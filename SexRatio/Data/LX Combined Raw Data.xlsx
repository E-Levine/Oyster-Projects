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Erica.Williams\Documents\GitHub\Oyster-Projects\SexRatio\Data\"/>
    </mc:Choice>
  </mc:AlternateContent>
  <xr:revisionPtr revIDLastSave="0" documentId="13_ncr:1_{C5B14E36-F7BD-49B3-8052-BB33E097BD0D}" xr6:coauthVersionLast="47" xr6:coauthVersionMax="47" xr10:uidLastSave="{00000000-0000-0000-0000-000000000000}"/>
  <bookViews>
    <workbookView xWindow="-120" yWindow="-120" windowWidth="29040" windowHeight="15720" activeTab="4" xr2:uid="{8420B65A-F21E-4B43-B576-EB254974B232}"/>
  </bookViews>
  <sheets>
    <sheet name="2020-2024 LX WQ" sheetId="4" r:id="rId1"/>
    <sheet name="ReproMSX" sheetId="3" r:id="rId2"/>
    <sheet name="Database_WQ" sheetId="7" r:id="rId3"/>
    <sheet name="Database_dermo" sheetId="5" r:id="rId4"/>
    <sheet name="Database_repro" sheetId="6" r:id="rId5"/>
    <sheet name="Notes" sheetId="8" r:id="rId6"/>
  </sheets>
  <definedNames>
    <definedName name="_xlnm._FilterDatabase" localSheetId="0" hidden="1">'2020-2024 LX WQ'!$A$1:$O$980</definedName>
    <definedName name="FixedLocations">#REF!</definedName>
    <definedName name="_xlnm.Print_Area" localSheetId="1">ReproMSX!#REF!</definedName>
    <definedName name="_xlnm.Print_Titles" localSheetId="1">ReproMSX!$1:$4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46" i="3" l="1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745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745" i="3"/>
  <c r="B1746" i="3"/>
  <c r="B1747" i="3"/>
  <c r="B1748" i="3"/>
  <c r="B1749" i="3"/>
  <c r="B1750" i="3"/>
  <c r="B1751" i="3"/>
  <c r="B1752" i="3"/>
  <c r="D1626" i="3"/>
  <c r="D1628" i="3"/>
  <c r="D1507" i="3"/>
  <c r="N315" i="4"/>
  <c r="N316" i="4"/>
  <c r="M316" i="4"/>
  <c r="K315" i="4"/>
  <c r="J315" i="4"/>
  <c r="I315" i="4"/>
  <c r="H315" i="4"/>
  <c r="G315" i="4"/>
  <c r="F315" i="4"/>
  <c r="E315" i="4"/>
  <c r="D315" i="4"/>
  <c r="C316" i="4"/>
  <c r="B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C315" i="4"/>
  <c r="B315" i="4"/>
  <c r="M1520" i="3"/>
  <c r="K1521" i="3"/>
  <c r="G1520" i="3"/>
  <c r="F1520" i="3"/>
  <c r="E1520" i="3"/>
  <c r="D1520" i="3"/>
  <c r="C1520" i="3"/>
  <c r="B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B1521" i="3"/>
  <c r="C1521" i="3"/>
  <c r="D1521" i="3"/>
  <c r="E1521" i="3"/>
  <c r="F1521" i="3"/>
  <c r="G1521" i="3"/>
  <c r="B1522" i="3"/>
  <c r="C1522" i="3"/>
  <c r="D1522" i="3"/>
  <c r="E1522" i="3"/>
  <c r="F1522" i="3"/>
  <c r="G1522" i="3"/>
  <c r="B1523" i="3"/>
  <c r="C1523" i="3"/>
  <c r="D1523" i="3"/>
  <c r="E1523" i="3"/>
  <c r="F1523" i="3"/>
  <c r="G1523" i="3"/>
  <c r="B1524" i="3"/>
  <c r="C1524" i="3"/>
  <c r="D1524" i="3"/>
  <c r="E1524" i="3"/>
  <c r="F1524" i="3"/>
  <c r="G1524" i="3"/>
  <c r="B1525" i="3"/>
  <c r="C1525" i="3"/>
  <c r="D1525" i="3"/>
  <c r="E1525" i="3"/>
  <c r="F1525" i="3"/>
  <c r="G1525" i="3"/>
  <c r="B1526" i="3"/>
  <c r="C1526" i="3"/>
  <c r="D1526" i="3"/>
  <c r="E1526" i="3"/>
  <c r="F1526" i="3"/>
  <c r="G1526" i="3"/>
  <c r="B1527" i="3"/>
  <c r="C1527" i="3"/>
  <c r="D1527" i="3"/>
  <c r="E1527" i="3"/>
  <c r="F1527" i="3"/>
  <c r="G1527" i="3"/>
  <c r="B1528" i="3"/>
  <c r="C1528" i="3"/>
  <c r="D1528" i="3"/>
  <c r="E1528" i="3"/>
  <c r="F1528" i="3"/>
  <c r="G1528" i="3"/>
  <c r="B1529" i="3"/>
  <c r="C1529" i="3"/>
  <c r="D1529" i="3"/>
  <c r="E1529" i="3"/>
  <c r="F1529" i="3"/>
  <c r="G1529" i="3"/>
  <c r="B1530" i="3"/>
  <c r="C1530" i="3"/>
  <c r="D1530" i="3"/>
  <c r="E1530" i="3"/>
  <c r="F1530" i="3"/>
  <c r="G1530" i="3"/>
  <c r="B1531" i="3"/>
  <c r="C1531" i="3"/>
  <c r="D1531" i="3"/>
  <c r="E1531" i="3"/>
  <c r="F1531" i="3"/>
  <c r="G1531" i="3"/>
  <c r="B1532" i="3"/>
  <c r="C1532" i="3"/>
  <c r="D1532" i="3"/>
  <c r="E1532" i="3"/>
  <c r="F1532" i="3"/>
  <c r="G1532" i="3"/>
  <c r="B1533" i="3"/>
  <c r="C1533" i="3"/>
  <c r="D1533" i="3"/>
  <c r="E1533" i="3"/>
  <c r="F1533" i="3"/>
  <c r="G1533" i="3"/>
  <c r="B1534" i="3"/>
  <c r="C1534" i="3"/>
  <c r="D1534" i="3"/>
  <c r="E1534" i="3"/>
  <c r="F1534" i="3"/>
  <c r="G1534" i="3"/>
  <c r="B1535" i="3"/>
  <c r="C1535" i="3"/>
  <c r="D1535" i="3"/>
  <c r="E1535" i="3"/>
  <c r="F1535" i="3"/>
  <c r="G1535" i="3"/>
  <c r="B1536" i="3"/>
  <c r="C1536" i="3"/>
  <c r="D1536" i="3"/>
  <c r="E1536" i="3"/>
  <c r="F1536" i="3"/>
  <c r="G1536" i="3"/>
  <c r="B1537" i="3"/>
  <c r="C1537" i="3"/>
  <c r="D1537" i="3"/>
  <c r="E1537" i="3"/>
  <c r="F1537" i="3"/>
  <c r="G1537" i="3"/>
  <c r="B1538" i="3"/>
  <c r="C1538" i="3"/>
  <c r="D1538" i="3"/>
  <c r="E1538" i="3"/>
  <c r="F1538" i="3"/>
  <c r="G1538" i="3"/>
  <c r="B1539" i="3"/>
  <c r="C1539" i="3"/>
  <c r="D1539" i="3"/>
  <c r="E1539" i="3"/>
  <c r="F1539" i="3"/>
  <c r="G1539" i="3"/>
  <c r="B1540" i="3"/>
  <c r="C1540" i="3"/>
  <c r="D1540" i="3"/>
  <c r="E1540" i="3"/>
  <c r="F1540" i="3"/>
  <c r="G1540" i="3"/>
  <c r="B1541" i="3"/>
  <c r="C1541" i="3"/>
  <c r="D1541" i="3"/>
  <c r="E1541" i="3"/>
  <c r="F1541" i="3"/>
  <c r="G1541" i="3"/>
  <c r="B1542" i="3"/>
  <c r="C1542" i="3"/>
  <c r="D1542" i="3"/>
  <c r="E1542" i="3"/>
  <c r="F1542" i="3"/>
  <c r="G1542" i="3"/>
  <c r="B1543" i="3"/>
  <c r="C1543" i="3"/>
  <c r="D1543" i="3"/>
  <c r="E1543" i="3"/>
  <c r="F1543" i="3"/>
  <c r="G1543" i="3"/>
  <c r="B1544" i="3"/>
  <c r="C1544" i="3"/>
  <c r="D1544" i="3"/>
  <c r="E1544" i="3"/>
  <c r="F1544" i="3"/>
  <c r="G1544" i="3"/>
  <c r="B1545" i="3"/>
  <c r="C1545" i="3"/>
  <c r="D1545" i="3"/>
  <c r="E1545" i="3"/>
  <c r="F1545" i="3"/>
  <c r="G1545" i="3"/>
  <c r="B1546" i="3"/>
  <c r="C1546" i="3"/>
  <c r="D1546" i="3"/>
  <c r="E1546" i="3"/>
  <c r="F1546" i="3"/>
  <c r="G1546" i="3"/>
  <c r="B1547" i="3"/>
  <c r="C1547" i="3"/>
  <c r="D1547" i="3"/>
  <c r="E1547" i="3"/>
  <c r="F1547" i="3"/>
  <c r="G1547" i="3"/>
  <c r="B1548" i="3"/>
  <c r="C1548" i="3"/>
  <c r="D1548" i="3"/>
  <c r="E1548" i="3"/>
  <c r="F1548" i="3"/>
  <c r="G1548" i="3"/>
  <c r="B1549" i="3"/>
  <c r="C1549" i="3"/>
  <c r="D1549" i="3"/>
  <c r="E1549" i="3"/>
  <c r="F1549" i="3"/>
  <c r="G1549" i="3"/>
  <c r="B1550" i="3"/>
  <c r="C1550" i="3"/>
  <c r="D1550" i="3"/>
  <c r="E1550" i="3"/>
  <c r="F1550" i="3"/>
  <c r="G1550" i="3"/>
  <c r="B1551" i="3"/>
  <c r="C1551" i="3"/>
  <c r="D1551" i="3"/>
  <c r="E1551" i="3"/>
  <c r="F1551" i="3"/>
  <c r="G1551" i="3"/>
  <c r="B1552" i="3"/>
  <c r="C1552" i="3"/>
  <c r="D1552" i="3"/>
  <c r="E1552" i="3"/>
  <c r="F1552" i="3"/>
  <c r="G1552" i="3"/>
  <c r="B1553" i="3"/>
  <c r="C1553" i="3"/>
  <c r="D1553" i="3"/>
  <c r="E1553" i="3"/>
  <c r="F1553" i="3"/>
  <c r="G1553" i="3"/>
  <c r="B1554" i="3"/>
  <c r="C1554" i="3"/>
  <c r="D1554" i="3"/>
  <c r="E1554" i="3"/>
  <c r="F1554" i="3"/>
  <c r="G1554" i="3"/>
  <c r="B1555" i="3"/>
  <c r="C1555" i="3"/>
  <c r="D1555" i="3"/>
  <c r="E1555" i="3"/>
  <c r="F1555" i="3"/>
  <c r="G1555" i="3"/>
  <c r="B1556" i="3"/>
  <c r="C1556" i="3"/>
  <c r="D1556" i="3"/>
  <c r="E1556" i="3"/>
  <c r="F1556" i="3"/>
  <c r="G1556" i="3"/>
  <c r="B1557" i="3"/>
  <c r="C1557" i="3"/>
  <c r="D1557" i="3"/>
  <c r="E1557" i="3"/>
  <c r="F1557" i="3"/>
  <c r="G1557" i="3"/>
  <c r="B1558" i="3"/>
  <c r="C1558" i="3"/>
  <c r="D1558" i="3"/>
  <c r="E1558" i="3"/>
  <c r="F1558" i="3"/>
  <c r="G1558" i="3"/>
  <c r="B1559" i="3"/>
  <c r="C1559" i="3"/>
  <c r="D1559" i="3"/>
  <c r="E1559" i="3"/>
  <c r="F1559" i="3"/>
  <c r="G1559" i="3"/>
  <c r="B1560" i="3"/>
  <c r="C1560" i="3"/>
  <c r="D1560" i="3"/>
  <c r="E1560" i="3"/>
  <c r="F1560" i="3"/>
  <c r="G1560" i="3"/>
  <c r="B1561" i="3"/>
  <c r="C1561" i="3"/>
  <c r="D1561" i="3"/>
  <c r="E1561" i="3"/>
  <c r="F1561" i="3"/>
  <c r="G1561" i="3"/>
  <c r="B1562" i="3"/>
  <c r="C1562" i="3"/>
  <c r="D1562" i="3"/>
  <c r="E1562" i="3"/>
  <c r="F1562" i="3"/>
  <c r="G1562" i="3"/>
  <c r="B1563" i="3"/>
  <c r="C1563" i="3"/>
  <c r="D1563" i="3"/>
  <c r="E1563" i="3"/>
  <c r="F1563" i="3"/>
  <c r="G1563" i="3"/>
  <c r="B1564" i="3"/>
  <c r="C1564" i="3"/>
  <c r="D1564" i="3"/>
  <c r="E1564" i="3"/>
  <c r="F1564" i="3"/>
  <c r="G1564" i="3"/>
  <c r="B1565" i="3"/>
  <c r="C1565" i="3"/>
  <c r="D1565" i="3"/>
  <c r="E1565" i="3"/>
  <c r="F1565" i="3"/>
  <c r="G1565" i="3"/>
  <c r="B1566" i="3"/>
  <c r="C1566" i="3"/>
  <c r="D1566" i="3"/>
  <c r="E1566" i="3"/>
  <c r="F1566" i="3"/>
  <c r="G1566" i="3"/>
  <c r="B1567" i="3"/>
  <c r="C1567" i="3"/>
  <c r="D1567" i="3"/>
  <c r="E1567" i="3"/>
  <c r="F1567" i="3"/>
  <c r="G1567" i="3"/>
  <c r="B1568" i="3"/>
  <c r="C1568" i="3"/>
  <c r="D1568" i="3"/>
  <c r="E1568" i="3"/>
  <c r="F1568" i="3"/>
  <c r="G1568" i="3"/>
  <c r="B1569" i="3"/>
  <c r="C1569" i="3"/>
  <c r="D1569" i="3"/>
  <c r="E1569" i="3"/>
  <c r="F1569" i="3"/>
  <c r="G1569" i="3"/>
  <c r="B1570" i="3"/>
  <c r="C1570" i="3"/>
  <c r="D1570" i="3"/>
  <c r="E1570" i="3"/>
  <c r="F1570" i="3"/>
  <c r="G1570" i="3"/>
  <c r="B1571" i="3"/>
  <c r="C1571" i="3"/>
  <c r="D1571" i="3"/>
  <c r="E1571" i="3"/>
  <c r="F1571" i="3"/>
  <c r="G1571" i="3"/>
  <c r="B1572" i="3"/>
  <c r="C1572" i="3"/>
  <c r="D1572" i="3"/>
  <c r="E1572" i="3"/>
  <c r="F1572" i="3"/>
  <c r="G1572" i="3"/>
  <c r="B1573" i="3"/>
  <c r="C1573" i="3"/>
  <c r="D1573" i="3"/>
  <c r="E1573" i="3"/>
  <c r="F1573" i="3"/>
  <c r="G1573" i="3"/>
  <c r="B1574" i="3"/>
  <c r="C1574" i="3"/>
  <c r="D1574" i="3"/>
  <c r="E1574" i="3"/>
  <c r="F1574" i="3"/>
  <c r="G1574" i="3"/>
  <c r="B1575" i="3"/>
  <c r="C1575" i="3"/>
  <c r="D1575" i="3"/>
  <c r="E1575" i="3"/>
  <c r="F1575" i="3"/>
  <c r="G1575" i="3"/>
  <c r="B1576" i="3"/>
  <c r="C1576" i="3"/>
  <c r="D1576" i="3"/>
  <c r="E1576" i="3"/>
  <c r="F1576" i="3"/>
  <c r="G1576" i="3"/>
  <c r="B1577" i="3"/>
  <c r="C1577" i="3"/>
  <c r="D1577" i="3"/>
  <c r="E1577" i="3"/>
  <c r="F1577" i="3"/>
  <c r="G1577" i="3"/>
  <c r="B1578" i="3"/>
  <c r="C1578" i="3"/>
  <c r="D1578" i="3"/>
  <c r="E1578" i="3"/>
  <c r="F1578" i="3"/>
  <c r="G1578" i="3"/>
  <c r="B1579" i="3"/>
  <c r="C1579" i="3"/>
  <c r="D1579" i="3"/>
  <c r="E1579" i="3"/>
  <c r="F1579" i="3"/>
  <c r="G1579" i="3"/>
  <c r="B1580" i="3"/>
  <c r="C1580" i="3"/>
  <c r="D1580" i="3"/>
  <c r="E1580" i="3"/>
  <c r="F1580" i="3"/>
  <c r="G1580" i="3"/>
  <c r="B1581" i="3"/>
  <c r="C1581" i="3"/>
  <c r="D1581" i="3"/>
  <c r="E1581" i="3"/>
  <c r="F1581" i="3"/>
  <c r="G1581" i="3"/>
  <c r="B1582" i="3"/>
  <c r="C1582" i="3"/>
  <c r="D1582" i="3"/>
  <c r="E1582" i="3"/>
  <c r="F1582" i="3"/>
  <c r="G1582" i="3"/>
  <c r="B1583" i="3"/>
  <c r="C1583" i="3"/>
  <c r="D1583" i="3"/>
  <c r="E1583" i="3"/>
  <c r="F1583" i="3"/>
  <c r="G1583" i="3"/>
  <c r="B1584" i="3"/>
  <c r="C1584" i="3"/>
  <c r="D1584" i="3"/>
  <c r="E1584" i="3"/>
  <c r="F1584" i="3"/>
  <c r="G1584" i="3"/>
  <c r="B1585" i="3"/>
  <c r="C1585" i="3"/>
  <c r="D1585" i="3"/>
  <c r="E1585" i="3"/>
  <c r="F1585" i="3"/>
  <c r="G1585" i="3"/>
  <c r="B1586" i="3"/>
  <c r="C1586" i="3"/>
  <c r="D1586" i="3"/>
  <c r="E1586" i="3"/>
  <c r="F1586" i="3"/>
  <c r="G1586" i="3"/>
  <c r="B1587" i="3"/>
  <c r="C1587" i="3"/>
  <c r="D1587" i="3"/>
  <c r="E1587" i="3"/>
  <c r="F1587" i="3"/>
  <c r="G1587" i="3"/>
  <c r="B1588" i="3"/>
  <c r="C1588" i="3"/>
  <c r="D1588" i="3"/>
  <c r="E1588" i="3"/>
  <c r="F1588" i="3"/>
  <c r="G1588" i="3"/>
  <c r="B1589" i="3"/>
  <c r="C1589" i="3"/>
  <c r="D1589" i="3"/>
  <c r="E1589" i="3"/>
  <c r="F1589" i="3"/>
  <c r="G1589" i="3"/>
  <c r="B1590" i="3"/>
  <c r="C1590" i="3"/>
  <c r="D1590" i="3"/>
  <c r="E1590" i="3"/>
  <c r="F1590" i="3"/>
  <c r="G1590" i="3"/>
  <c r="B1591" i="3"/>
  <c r="C1591" i="3"/>
  <c r="D1591" i="3"/>
  <c r="E1591" i="3"/>
  <c r="F1591" i="3"/>
  <c r="G1591" i="3"/>
  <c r="B1592" i="3"/>
  <c r="C1592" i="3"/>
  <c r="D1592" i="3"/>
  <c r="E1592" i="3"/>
  <c r="F1592" i="3"/>
  <c r="G1592" i="3"/>
  <c r="B1593" i="3"/>
  <c r="C1593" i="3"/>
  <c r="D1593" i="3"/>
  <c r="E1593" i="3"/>
  <c r="F1593" i="3"/>
  <c r="G1593" i="3"/>
  <c r="B1594" i="3"/>
  <c r="C1594" i="3"/>
  <c r="D1594" i="3"/>
  <c r="E1594" i="3"/>
  <c r="F1594" i="3"/>
  <c r="G1594" i="3"/>
  <c r="B1595" i="3"/>
  <c r="C1595" i="3"/>
  <c r="D1595" i="3"/>
  <c r="E1595" i="3"/>
  <c r="F1595" i="3"/>
  <c r="G1595" i="3"/>
  <c r="B1596" i="3"/>
  <c r="C1596" i="3"/>
  <c r="D1596" i="3"/>
  <c r="E1596" i="3"/>
  <c r="F1596" i="3"/>
  <c r="G1596" i="3"/>
  <c r="B1597" i="3"/>
  <c r="C1597" i="3"/>
  <c r="D1597" i="3"/>
  <c r="E1597" i="3"/>
  <c r="F1597" i="3"/>
  <c r="G1597" i="3"/>
  <c r="B1598" i="3"/>
  <c r="C1598" i="3"/>
  <c r="D1598" i="3"/>
  <c r="E1598" i="3"/>
  <c r="F1598" i="3"/>
  <c r="G1598" i="3"/>
  <c r="B1599" i="3"/>
  <c r="C1599" i="3"/>
  <c r="D1599" i="3"/>
  <c r="E1599" i="3"/>
  <c r="F1599" i="3"/>
  <c r="G1599" i="3"/>
  <c r="B1600" i="3"/>
  <c r="C1600" i="3"/>
  <c r="D1600" i="3"/>
  <c r="E1600" i="3"/>
  <c r="F1600" i="3"/>
  <c r="G1600" i="3"/>
  <c r="B1601" i="3"/>
  <c r="C1601" i="3"/>
  <c r="D1601" i="3"/>
  <c r="E1601" i="3"/>
  <c r="F1601" i="3"/>
  <c r="G1601" i="3"/>
  <c r="B1602" i="3"/>
  <c r="C1602" i="3"/>
  <c r="D1602" i="3"/>
  <c r="E1602" i="3"/>
  <c r="F1602" i="3"/>
  <c r="G1602" i="3"/>
  <c r="B1603" i="3"/>
  <c r="C1603" i="3"/>
  <c r="D1603" i="3"/>
  <c r="E1603" i="3"/>
  <c r="F1603" i="3"/>
  <c r="G1603" i="3"/>
  <c r="B1604" i="3"/>
  <c r="C1604" i="3"/>
  <c r="D1604" i="3"/>
  <c r="E1604" i="3"/>
  <c r="F1604" i="3"/>
  <c r="G1604" i="3"/>
  <c r="B1605" i="3"/>
  <c r="C1605" i="3"/>
  <c r="D1605" i="3"/>
  <c r="E1605" i="3"/>
  <c r="F1605" i="3"/>
  <c r="G1605" i="3"/>
  <c r="B1606" i="3"/>
  <c r="C1606" i="3"/>
  <c r="D1606" i="3"/>
  <c r="E1606" i="3"/>
  <c r="F1606" i="3"/>
  <c r="G1606" i="3"/>
  <c r="B1607" i="3"/>
  <c r="C1607" i="3"/>
  <c r="D1607" i="3"/>
  <c r="E1607" i="3"/>
  <c r="F1607" i="3"/>
  <c r="G1607" i="3"/>
  <c r="B1608" i="3"/>
  <c r="C1608" i="3"/>
  <c r="D1608" i="3"/>
  <c r="E1608" i="3"/>
  <c r="F1608" i="3"/>
  <c r="G1608" i="3"/>
  <c r="B1609" i="3"/>
  <c r="C1609" i="3"/>
  <c r="D1609" i="3"/>
  <c r="E1609" i="3"/>
  <c r="F1609" i="3"/>
  <c r="G1609" i="3"/>
  <c r="B1610" i="3"/>
  <c r="C1610" i="3"/>
  <c r="D1610" i="3"/>
  <c r="E1610" i="3"/>
  <c r="F1610" i="3"/>
  <c r="G1610" i="3"/>
  <c r="B1611" i="3"/>
  <c r="C1611" i="3"/>
  <c r="D1611" i="3"/>
  <c r="E1611" i="3"/>
  <c r="F1611" i="3"/>
  <c r="G1611" i="3"/>
  <c r="B1612" i="3"/>
  <c r="C1612" i="3"/>
  <c r="D1612" i="3"/>
  <c r="E1612" i="3"/>
  <c r="F1612" i="3"/>
  <c r="G1612" i="3"/>
  <c r="B1613" i="3"/>
  <c r="C1613" i="3"/>
  <c r="D1613" i="3"/>
  <c r="E1613" i="3"/>
  <c r="F1613" i="3"/>
  <c r="G1613" i="3"/>
  <c r="B1614" i="3"/>
  <c r="C1614" i="3"/>
  <c r="D1614" i="3"/>
  <c r="E1614" i="3"/>
  <c r="F1614" i="3"/>
  <c r="G1614" i="3"/>
  <c r="B1615" i="3"/>
  <c r="C1615" i="3"/>
  <c r="D1615" i="3"/>
  <c r="E1615" i="3"/>
  <c r="F1615" i="3"/>
  <c r="G1615" i="3"/>
  <c r="B1616" i="3"/>
  <c r="C1616" i="3"/>
  <c r="D1616" i="3"/>
  <c r="E1616" i="3"/>
  <c r="F1616" i="3"/>
  <c r="G1616" i="3"/>
  <c r="B1617" i="3"/>
  <c r="C1617" i="3"/>
  <c r="D1617" i="3"/>
  <c r="E1617" i="3"/>
  <c r="F1617" i="3"/>
  <c r="G1617" i="3"/>
  <c r="B1618" i="3"/>
  <c r="C1618" i="3"/>
  <c r="D1618" i="3"/>
  <c r="E1618" i="3"/>
  <c r="F1618" i="3"/>
  <c r="G1618" i="3"/>
  <c r="B1619" i="3"/>
  <c r="C1619" i="3"/>
  <c r="D1619" i="3"/>
  <c r="E1619" i="3"/>
  <c r="F1619" i="3"/>
  <c r="G1619" i="3"/>
  <c r="B1620" i="3"/>
  <c r="C1620" i="3"/>
  <c r="D1620" i="3"/>
  <c r="E1620" i="3"/>
  <c r="F1620" i="3"/>
  <c r="G1620" i="3"/>
  <c r="B1621" i="3"/>
  <c r="C1621" i="3"/>
  <c r="D1621" i="3"/>
  <c r="E1621" i="3"/>
  <c r="F1621" i="3"/>
  <c r="G1621" i="3"/>
  <c r="B1622" i="3"/>
  <c r="C1622" i="3"/>
  <c r="D1622" i="3"/>
  <c r="E1622" i="3"/>
  <c r="F1622" i="3"/>
  <c r="G1622" i="3"/>
  <c r="B1623" i="3"/>
  <c r="C1623" i="3"/>
  <c r="D1623" i="3"/>
  <c r="E1623" i="3"/>
  <c r="F1623" i="3"/>
  <c r="G1623" i="3"/>
  <c r="B1624" i="3"/>
  <c r="C1624" i="3"/>
  <c r="D1624" i="3"/>
  <c r="E1624" i="3"/>
  <c r="F1624" i="3"/>
  <c r="G1624" i="3"/>
  <c r="B1625" i="3"/>
  <c r="C1625" i="3"/>
  <c r="D1625" i="3"/>
  <c r="E1625" i="3"/>
  <c r="F1625" i="3"/>
  <c r="G1625" i="3"/>
  <c r="B1626" i="3"/>
  <c r="C1626" i="3"/>
  <c r="E1626" i="3"/>
  <c r="F1626" i="3"/>
  <c r="G1626" i="3"/>
  <c r="B1627" i="3"/>
  <c r="C1627" i="3"/>
  <c r="D1627" i="3"/>
  <c r="E1627" i="3"/>
  <c r="F1627" i="3"/>
  <c r="G1627" i="3"/>
  <c r="B1628" i="3"/>
  <c r="C1628" i="3"/>
  <c r="E1628" i="3"/>
  <c r="F1628" i="3"/>
  <c r="G1628" i="3"/>
  <c r="B1629" i="3"/>
  <c r="C1629" i="3"/>
  <c r="D1629" i="3"/>
  <c r="E1629" i="3"/>
  <c r="F1629" i="3"/>
  <c r="G1629" i="3"/>
  <c r="B1630" i="3"/>
  <c r="C1630" i="3"/>
  <c r="D1630" i="3"/>
  <c r="E1630" i="3"/>
  <c r="F1630" i="3"/>
  <c r="G1630" i="3"/>
  <c r="B1631" i="3"/>
  <c r="C1631" i="3"/>
  <c r="D1631" i="3"/>
  <c r="E1631" i="3"/>
  <c r="F1631" i="3"/>
  <c r="G1631" i="3"/>
  <c r="B1632" i="3"/>
  <c r="C1632" i="3"/>
  <c r="D1632" i="3"/>
  <c r="E1632" i="3"/>
  <c r="F1632" i="3"/>
  <c r="G1632" i="3"/>
  <c r="B1633" i="3"/>
  <c r="C1633" i="3"/>
  <c r="D1633" i="3"/>
  <c r="E1633" i="3"/>
  <c r="F1633" i="3"/>
  <c r="G1633" i="3"/>
  <c r="B1634" i="3"/>
  <c r="C1634" i="3"/>
  <c r="D1634" i="3"/>
  <c r="E1634" i="3"/>
  <c r="F1634" i="3"/>
  <c r="G1634" i="3"/>
  <c r="B1635" i="3"/>
  <c r="C1635" i="3"/>
  <c r="D1635" i="3"/>
  <c r="E1635" i="3"/>
  <c r="F1635" i="3"/>
  <c r="G1635" i="3"/>
  <c r="B1636" i="3"/>
  <c r="C1636" i="3"/>
  <c r="D1636" i="3"/>
  <c r="E1636" i="3"/>
  <c r="F1636" i="3"/>
  <c r="G1636" i="3"/>
  <c r="B1637" i="3"/>
  <c r="C1637" i="3"/>
  <c r="D1637" i="3"/>
  <c r="E1637" i="3"/>
  <c r="F1637" i="3"/>
  <c r="G1637" i="3"/>
  <c r="B1638" i="3"/>
  <c r="C1638" i="3"/>
  <c r="D1638" i="3"/>
  <c r="E1638" i="3"/>
  <c r="F1638" i="3"/>
  <c r="G1638" i="3"/>
  <c r="B1639" i="3"/>
  <c r="C1639" i="3"/>
  <c r="D1639" i="3"/>
  <c r="E1639" i="3"/>
  <c r="F1639" i="3"/>
  <c r="G1639" i="3"/>
  <c r="B1640" i="3"/>
  <c r="C1640" i="3"/>
  <c r="D1640" i="3"/>
  <c r="E1640" i="3"/>
  <c r="F1640" i="3"/>
  <c r="G1640" i="3"/>
  <c r="B1641" i="3"/>
  <c r="C1641" i="3"/>
  <c r="D1641" i="3"/>
  <c r="E1641" i="3"/>
  <c r="F1641" i="3"/>
  <c r="G1641" i="3"/>
  <c r="B1642" i="3"/>
  <c r="C1642" i="3"/>
  <c r="D1642" i="3"/>
  <c r="E1642" i="3"/>
  <c r="F1642" i="3"/>
  <c r="G1642" i="3"/>
  <c r="B1643" i="3"/>
  <c r="C1643" i="3"/>
  <c r="D1643" i="3"/>
  <c r="E1643" i="3"/>
  <c r="F1643" i="3"/>
  <c r="G1643" i="3"/>
  <c r="B1644" i="3"/>
  <c r="C1644" i="3"/>
  <c r="D1644" i="3"/>
  <c r="E1644" i="3"/>
  <c r="F1644" i="3"/>
  <c r="G1644" i="3"/>
  <c r="B1645" i="3"/>
  <c r="C1645" i="3"/>
  <c r="D1645" i="3"/>
  <c r="E1645" i="3"/>
  <c r="F1645" i="3"/>
  <c r="G1645" i="3"/>
  <c r="B1646" i="3"/>
  <c r="C1646" i="3"/>
  <c r="D1646" i="3"/>
  <c r="E1646" i="3"/>
  <c r="F1646" i="3"/>
  <c r="G1646" i="3"/>
  <c r="B1647" i="3"/>
  <c r="C1647" i="3"/>
  <c r="D1647" i="3"/>
  <c r="E1647" i="3"/>
  <c r="F1647" i="3"/>
  <c r="G1647" i="3"/>
  <c r="B1648" i="3"/>
  <c r="C1648" i="3"/>
  <c r="D1648" i="3"/>
  <c r="E1648" i="3"/>
  <c r="F1648" i="3"/>
  <c r="G1648" i="3"/>
  <c r="B1649" i="3"/>
  <c r="C1649" i="3"/>
  <c r="D1649" i="3"/>
  <c r="E1649" i="3"/>
  <c r="F1649" i="3"/>
  <c r="G1649" i="3"/>
  <c r="B1650" i="3"/>
  <c r="C1650" i="3"/>
  <c r="D1650" i="3"/>
  <c r="E1650" i="3"/>
  <c r="F1650" i="3"/>
  <c r="G1650" i="3"/>
  <c r="B1651" i="3"/>
  <c r="C1651" i="3"/>
  <c r="D1651" i="3"/>
  <c r="E1651" i="3"/>
  <c r="F1651" i="3"/>
  <c r="G1651" i="3"/>
  <c r="B1652" i="3"/>
  <c r="C1652" i="3"/>
  <c r="D1652" i="3"/>
  <c r="E1652" i="3"/>
  <c r="F1652" i="3"/>
  <c r="G1652" i="3"/>
  <c r="B1653" i="3"/>
  <c r="C1653" i="3"/>
  <c r="D1653" i="3"/>
  <c r="E1653" i="3"/>
  <c r="F1653" i="3"/>
  <c r="G1653" i="3"/>
  <c r="B1654" i="3"/>
  <c r="C1654" i="3"/>
  <c r="D1654" i="3"/>
  <c r="E1654" i="3"/>
  <c r="F1654" i="3"/>
  <c r="G1654" i="3"/>
  <c r="B1655" i="3"/>
  <c r="C1655" i="3"/>
  <c r="D1655" i="3"/>
  <c r="E1655" i="3"/>
  <c r="F1655" i="3"/>
  <c r="G1655" i="3"/>
  <c r="B1656" i="3"/>
  <c r="C1656" i="3"/>
  <c r="D1656" i="3"/>
  <c r="E1656" i="3"/>
  <c r="F1656" i="3"/>
  <c r="G1656" i="3"/>
  <c r="B1657" i="3"/>
  <c r="C1657" i="3"/>
  <c r="D1657" i="3"/>
  <c r="E1657" i="3"/>
  <c r="F1657" i="3"/>
  <c r="G1657" i="3"/>
  <c r="B1658" i="3"/>
  <c r="C1658" i="3"/>
  <c r="D1658" i="3"/>
  <c r="E1658" i="3"/>
  <c r="F1658" i="3"/>
  <c r="G1658" i="3"/>
  <c r="B1659" i="3"/>
  <c r="C1659" i="3"/>
  <c r="D1659" i="3"/>
  <c r="E1659" i="3"/>
  <c r="F1659" i="3"/>
  <c r="G1659" i="3"/>
  <c r="B1660" i="3"/>
  <c r="C1660" i="3"/>
  <c r="D1660" i="3"/>
  <c r="E1660" i="3"/>
  <c r="F1660" i="3"/>
  <c r="G1660" i="3"/>
  <c r="B1661" i="3"/>
  <c r="C1661" i="3"/>
  <c r="D1661" i="3"/>
  <c r="E1661" i="3"/>
  <c r="F1661" i="3"/>
  <c r="G1661" i="3"/>
  <c r="B1662" i="3"/>
  <c r="C1662" i="3"/>
  <c r="D1662" i="3"/>
  <c r="E1662" i="3"/>
  <c r="F1662" i="3"/>
  <c r="G1662" i="3"/>
  <c r="B1663" i="3"/>
  <c r="C1663" i="3"/>
  <c r="D1663" i="3"/>
  <c r="E1663" i="3"/>
  <c r="F1663" i="3"/>
  <c r="G1663" i="3"/>
  <c r="B1664" i="3"/>
  <c r="C1664" i="3"/>
  <c r="D1664" i="3"/>
  <c r="E1664" i="3"/>
  <c r="F1664" i="3"/>
  <c r="G1664" i="3"/>
  <c r="B1665" i="3"/>
  <c r="C1665" i="3"/>
  <c r="D1665" i="3"/>
  <c r="E1665" i="3"/>
  <c r="F1665" i="3"/>
  <c r="G1665" i="3"/>
  <c r="B1666" i="3"/>
  <c r="C1666" i="3"/>
  <c r="D1666" i="3"/>
  <c r="E1666" i="3"/>
  <c r="F1666" i="3"/>
  <c r="G1666" i="3"/>
  <c r="B1667" i="3"/>
  <c r="C1667" i="3"/>
  <c r="D1667" i="3"/>
  <c r="E1667" i="3"/>
  <c r="F1667" i="3"/>
  <c r="G1667" i="3"/>
  <c r="B1668" i="3"/>
  <c r="C1668" i="3"/>
  <c r="D1668" i="3"/>
  <c r="E1668" i="3"/>
  <c r="F1668" i="3"/>
  <c r="G1668" i="3"/>
  <c r="B1669" i="3"/>
  <c r="C1669" i="3"/>
  <c r="D1669" i="3"/>
  <c r="E1669" i="3"/>
  <c r="F1669" i="3"/>
  <c r="G1669" i="3"/>
  <c r="B1670" i="3"/>
  <c r="C1670" i="3"/>
  <c r="D1670" i="3"/>
  <c r="E1670" i="3"/>
  <c r="F1670" i="3"/>
  <c r="G1670" i="3"/>
  <c r="B1671" i="3"/>
  <c r="C1671" i="3"/>
  <c r="D1671" i="3"/>
  <c r="E1671" i="3"/>
  <c r="F1671" i="3"/>
  <c r="G1671" i="3"/>
  <c r="B1672" i="3"/>
  <c r="C1672" i="3"/>
  <c r="D1672" i="3"/>
  <c r="E1672" i="3"/>
  <c r="F1672" i="3"/>
  <c r="G1672" i="3"/>
  <c r="B1673" i="3"/>
  <c r="C1673" i="3"/>
  <c r="D1673" i="3"/>
  <c r="E1673" i="3"/>
  <c r="F1673" i="3"/>
  <c r="G1673" i="3"/>
  <c r="B1674" i="3"/>
  <c r="C1674" i="3"/>
  <c r="D1674" i="3"/>
  <c r="E1674" i="3"/>
  <c r="F1674" i="3"/>
  <c r="G1674" i="3"/>
  <c r="B1675" i="3"/>
  <c r="C1675" i="3"/>
  <c r="D1675" i="3"/>
  <c r="E1675" i="3"/>
  <c r="F1675" i="3"/>
  <c r="G1675" i="3"/>
  <c r="B1676" i="3"/>
  <c r="C1676" i="3"/>
  <c r="D1676" i="3"/>
  <c r="E1676" i="3"/>
  <c r="F1676" i="3"/>
  <c r="G1676" i="3"/>
  <c r="B1677" i="3"/>
  <c r="C1677" i="3"/>
  <c r="D1677" i="3"/>
  <c r="E1677" i="3"/>
  <c r="F1677" i="3"/>
  <c r="G1677" i="3"/>
  <c r="B1678" i="3"/>
  <c r="C1678" i="3"/>
  <c r="D1678" i="3"/>
  <c r="E1678" i="3"/>
  <c r="F1678" i="3"/>
  <c r="G1678" i="3"/>
  <c r="B1679" i="3"/>
  <c r="C1679" i="3"/>
  <c r="D1679" i="3"/>
  <c r="E1679" i="3"/>
  <c r="F1679" i="3"/>
  <c r="G1679" i="3"/>
  <c r="B1680" i="3"/>
  <c r="C1680" i="3"/>
  <c r="D1680" i="3"/>
  <c r="E1680" i="3"/>
  <c r="F1680" i="3"/>
  <c r="G1680" i="3"/>
  <c r="B1681" i="3"/>
  <c r="C1681" i="3"/>
  <c r="D1681" i="3"/>
  <c r="E1681" i="3"/>
  <c r="F1681" i="3"/>
  <c r="G1681" i="3"/>
  <c r="B1682" i="3"/>
  <c r="C1682" i="3"/>
  <c r="D1682" i="3"/>
  <c r="E1682" i="3"/>
  <c r="F1682" i="3"/>
  <c r="G1682" i="3"/>
  <c r="B1683" i="3"/>
  <c r="C1683" i="3"/>
  <c r="D1683" i="3"/>
  <c r="E1683" i="3"/>
  <c r="F1683" i="3"/>
  <c r="G1683" i="3"/>
  <c r="B1684" i="3"/>
  <c r="C1684" i="3"/>
  <c r="D1684" i="3"/>
  <c r="E1684" i="3"/>
  <c r="F1684" i="3"/>
  <c r="G1684" i="3"/>
  <c r="B1685" i="3"/>
  <c r="C1685" i="3"/>
  <c r="D1685" i="3"/>
  <c r="E1685" i="3"/>
  <c r="F1685" i="3"/>
  <c r="G1685" i="3"/>
  <c r="B1686" i="3"/>
  <c r="C1686" i="3"/>
  <c r="D1686" i="3"/>
  <c r="E1686" i="3"/>
  <c r="F1686" i="3"/>
  <c r="G1686" i="3"/>
  <c r="B1687" i="3"/>
  <c r="C1687" i="3"/>
  <c r="D1687" i="3"/>
  <c r="E1687" i="3"/>
  <c r="F1687" i="3"/>
  <c r="G1687" i="3"/>
  <c r="B1688" i="3"/>
  <c r="C1688" i="3"/>
  <c r="D1688" i="3"/>
  <c r="E1688" i="3"/>
  <c r="F1688" i="3"/>
  <c r="G1688" i="3"/>
  <c r="B1689" i="3"/>
  <c r="C1689" i="3"/>
  <c r="D1689" i="3"/>
  <c r="E1689" i="3"/>
  <c r="F1689" i="3"/>
  <c r="G1689" i="3"/>
  <c r="B1690" i="3"/>
  <c r="C1690" i="3"/>
  <c r="D1690" i="3"/>
  <c r="E1690" i="3"/>
  <c r="F1690" i="3"/>
  <c r="G1690" i="3"/>
  <c r="B1691" i="3"/>
  <c r="C1691" i="3"/>
  <c r="D1691" i="3"/>
  <c r="E1691" i="3"/>
  <c r="F1691" i="3"/>
  <c r="G1691" i="3"/>
  <c r="B1692" i="3"/>
  <c r="C1692" i="3"/>
  <c r="D1692" i="3"/>
  <c r="E1692" i="3"/>
  <c r="F1692" i="3"/>
  <c r="G1692" i="3"/>
  <c r="B1693" i="3"/>
  <c r="C1693" i="3"/>
  <c r="D1693" i="3"/>
  <c r="E1693" i="3"/>
  <c r="F1693" i="3"/>
  <c r="G1693" i="3"/>
  <c r="B1694" i="3"/>
  <c r="C1694" i="3"/>
  <c r="D1694" i="3"/>
  <c r="E1694" i="3"/>
  <c r="F1694" i="3"/>
  <c r="G1694" i="3"/>
  <c r="B1695" i="3"/>
  <c r="C1695" i="3"/>
  <c r="D1695" i="3"/>
  <c r="E1695" i="3"/>
  <c r="F1695" i="3"/>
  <c r="G1695" i="3"/>
  <c r="B1696" i="3"/>
  <c r="C1696" i="3"/>
  <c r="D1696" i="3"/>
  <c r="E1696" i="3"/>
  <c r="F1696" i="3"/>
  <c r="G1696" i="3"/>
  <c r="B1697" i="3"/>
  <c r="C1697" i="3"/>
  <c r="D1697" i="3"/>
  <c r="E1697" i="3"/>
  <c r="F1697" i="3"/>
  <c r="G1697" i="3"/>
  <c r="B1698" i="3"/>
  <c r="C1698" i="3"/>
  <c r="D1698" i="3"/>
  <c r="E1698" i="3"/>
  <c r="F1698" i="3"/>
  <c r="G1698" i="3"/>
  <c r="B1699" i="3"/>
  <c r="C1699" i="3"/>
  <c r="D1699" i="3"/>
  <c r="E1699" i="3"/>
  <c r="F1699" i="3"/>
  <c r="G1699" i="3"/>
  <c r="B1700" i="3"/>
  <c r="C1700" i="3"/>
  <c r="D1700" i="3"/>
  <c r="E1700" i="3"/>
  <c r="F1700" i="3"/>
  <c r="G1700" i="3"/>
  <c r="B1701" i="3"/>
  <c r="C1701" i="3"/>
  <c r="D1701" i="3"/>
  <c r="E1701" i="3"/>
  <c r="F1701" i="3"/>
  <c r="G1701" i="3"/>
  <c r="B1702" i="3"/>
  <c r="C1702" i="3"/>
  <c r="D1702" i="3"/>
  <c r="E1702" i="3"/>
  <c r="F1702" i="3"/>
  <c r="G1702" i="3"/>
  <c r="B1703" i="3"/>
  <c r="C1703" i="3"/>
  <c r="D1703" i="3"/>
  <c r="E1703" i="3"/>
  <c r="F1703" i="3"/>
  <c r="G1703" i="3"/>
  <c r="B1704" i="3"/>
  <c r="C1704" i="3"/>
  <c r="D1704" i="3"/>
  <c r="E1704" i="3"/>
  <c r="F1704" i="3"/>
  <c r="G1704" i="3"/>
  <c r="B1705" i="3"/>
  <c r="C1705" i="3"/>
  <c r="D1705" i="3"/>
  <c r="E1705" i="3"/>
  <c r="F1705" i="3"/>
  <c r="G1705" i="3"/>
  <c r="B1706" i="3"/>
  <c r="C1706" i="3"/>
  <c r="D1706" i="3"/>
  <c r="E1706" i="3"/>
  <c r="F1706" i="3"/>
  <c r="G1706" i="3"/>
  <c r="B1707" i="3"/>
  <c r="C1707" i="3"/>
  <c r="D1707" i="3"/>
  <c r="E1707" i="3"/>
  <c r="F1707" i="3"/>
  <c r="G1707" i="3"/>
  <c r="B1708" i="3"/>
  <c r="C1708" i="3"/>
  <c r="D1708" i="3"/>
  <c r="E1708" i="3"/>
  <c r="F1708" i="3"/>
  <c r="G1708" i="3"/>
  <c r="B1709" i="3"/>
  <c r="C1709" i="3"/>
  <c r="D1709" i="3"/>
  <c r="E1709" i="3"/>
  <c r="F1709" i="3"/>
  <c r="G1709" i="3"/>
  <c r="B1710" i="3"/>
  <c r="C1710" i="3"/>
  <c r="D1710" i="3"/>
  <c r="E1710" i="3"/>
  <c r="F1710" i="3"/>
  <c r="G1710" i="3"/>
  <c r="B1711" i="3"/>
  <c r="C1711" i="3"/>
  <c r="D1711" i="3"/>
  <c r="E1711" i="3"/>
  <c r="F1711" i="3"/>
  <c r="G1711" i="3"/>
  <c r="B1712" i="3"/>
  <c r="C1712" i="3"/>
  <c r="D1712" i="3"/>
  <c r="E1712" i="3"/>
  <c r="F1712" i="3"/>
  <c r="G1712" i="3"/>
  <c r="B1713" i="3"/>
  <c r="C1713" i="3"/>
  <c r="D1713" i="3"/>
  <c r="E1713" i="3"/>
  <c r="F1713" i="3"/>
  <c r="G1713" i="3"/>
  <c r="B1714" i="3"/>
  <c r="C1714" i="3"/>
  <c r="D1714" i="3"/>
  <c r="E1714" i="3"/>
  <c r="F1714" i="3"/>
  <c r="G1714" i="3"/>
  <c r="B1715" i="3"/>
  <c r="C1715" i="3"/>
  <c r="D1715" i="3"/>
  <c r="E1715" i="3"/>
  <c r="F1715" i="3"/>
  <c r="G1715" i="3"/>
  <c r="B1716" i="3"/>
  <c r="C1716" i="3"/>
  <c r="D1716" i="3"/>
  <c r="E1716" i="3"/>
  <c r="F1716" i="3"/>
  <c r="G1716" i="3"/>
  <c r="B1717" i="3"/>
  <c r="C1717" i="3"/>
  <c r="D1717" i="3"/>
  <c r="E1717" i="3"/>
  <c r="F1717" i="3"/>
  <c r="G1717" i="3"/>
  <c r="B1718" i="3"/>
  <c r="C1718" i="3"/>
  <c r="D1718" i="3"/>
  <c r="E1718" i="3"/>
  <c r="F1718" i="3"/>
  <c r="G1718" i="3"/>
  <c r="B1719" i="3"/>
  <c r="C1719" i="3"/>
  <c r="D1719" i="3"/>
  <c r="E1719" i="3"/>
  <c r="F1719" i="3"/>
  <c r="G1719" i="3"/>
  <c r="B1720" i="3"/>
  <c r="C1720" i="3"/>
  <c r="D1720" i="3"/>
  <c r="E1720" i="3"/>
  <c r="F1720" i="3"/>
  <c r="G1720" i="3"/>
  <c r="B1721" i="3"/>
  <c r="C1721" i="3"/>
  <c r="D1721" i="3"/>
  <c r="E1721" i="3"/>
  <c r="F1721" i="3"/>
  <c r="G1721" i="3"/>
  <c r="B1722" i="3"/>
  <c r="C1722" i="3"/>
  <c r="D1722" i="3"/>
  <c r="E1722" i="3"/>
  <c r="F1722" i="3"/>
  <c r="G1722" i="3"/>
  <c r="B1723" i="3"/>
  <c r="C1723" i="3"/>
  <c r="D1723" i="3"/>
  <c r="E1723" i="3"/>
  <c r="F1723" i="3"/>
  <c r="G1723" i="3"/>
  <c r="B1724" i="3"/>
  <c r="C1724" i="3"/>
  <c r="D1724" i="3"/>
  <c r="E1724" i="3"/>
  <c r="F1724" i="3"/>
  <c r="G1724" i="3"/>
  <c r="B1725" i="3"/>
  <c r="C1725" i="3"/>
  <c r="D1725" i="3"/>
  <c r="E1725" i="3"/>
  <c r="F1725" i="3"/>
  <c r="G1725" i="3"/>
  <c r="B1726" i="3"/>
  <c r="C1726" i="3"/>
  <c r="D1726" i="3"/>
  <c r="E1726" i="3"/>
  <c r="F1726" i="3"/>
  <c r="G1726" i="3"/>
  <c r="B1727" i="3"/>
  <c r="C1727" i="3"/>
  <c r="D1727" i="3"/>
  <c r="E1727" i="3"/>
  <c r="F1727" i="3"/>
  <c r="G1727" i="3"/>
  <c r="B1728" i="3"/>
  <c r="C1728" i="3"/>
  <c r="D1728" i="3"/>
  <c r="E1728" i="3"/>
  <c r="F1728" i="3"/>
  <c r="G1728" i="3"/>
  <c r="B1729" i="3"/>
  <c r="C1729" i="3"/>
  <c r="D1729" i="3"/>
  <c r="E1729" i="3"/>
  <c r="F1729" i="3"/>
  <c r="G1729" i="3"/>
  <c r="B1730" i="3"/>
  <c r="C1730" i="3"/>
  <c r="D1730" i="3"/>
  <c r="E1730" i="3"/>
  <c r="F1730" i="3"/>
  <c r="G1730" i="3"/>
  <c r="B1731" i="3"/>
  <c r="C1731" i="3"/>
  <c r="D1731" i="3"/>
  <c r="E1731" i="3"/>
  <c r="F1731" i="3"/>
  <c r="G1731" i="3"/>
  <c r="B1732" i="3"/>
  <c r="C1732" i="3"/>
  <c r="D1732" i="3"/>
  <c r="E1732" i="3"/>
  <c r="F1732" i="3"/>
  <c r="G1732" i="3"/>
  <c r="B1733" i="3"/>
  <c r="C1733" i="3"/>
  <c r="D1733" i="3"/>
  <c r="E1733" i="3"/>
  <c r="F1733" i="3"/>
  <c r="G1733" i="3"/>
  <c r="B1734" i="3"/>
  <c r="C1734" i="3"/>
  <c r="D1734" i="3"/>
  <c r="E1734" i="3"/>
  <c r="F1734" i="3"/>
  <c r="G1734" i="3"/>
  <c r="B1735" i="3"/>
  <c r="C1735" i="3"/>
  <c r="D1735" i="3"/>
  <c r="E1735" i="3"/>
  <c r="F1735" i="3"/>
  <c r="G1735" i="3"/>
  <c r="B1736" i="3"/>
  <c r="C1736" i="3"/>
  <c r="D1736" i="3"/>
  <c r="E1736" i="3"/>
  <c r="F1736" i="3"/>
  <c r="G1736" i="3"/>
  <c r="B1737" i="3"/>
  <c r="C1737" i="3"/>
  <c r="D1737" i="3"/>
  <c r="E1737" i="3"/>
  <c r="F1737" i="3"/>
  <c r="G1737" i="3"/>
  <c r="B1738" i="3"/>
  <c r="C1738" i="3"/>
  <c r="D1738" i="3"/>
  <c r="E1738" i="3"/>
  <c r="F1738" i="3"/>
  <c r="G1738" i="3"/>
  <c r="B1739" i="3"/>
  <c r="C1739" i="3"/>
  <c r="D1739" i="3"/>
  <c r="E1739" i="3"/>
  <c r="F1739" i="3"/>
  <c r="G1739" i="3"/>
  <c r="B1740" i="3"/>
  <c r="C1740" i="3"/>
  <c r="D1740" i="3"/>
  <c r="E1740" i="3"/>
  <c r="F1740" i="3"/>
  <c r="G1740" i="3"/>
  <c r="B1741" i="3"/>
  <c r="C1741" i="3"/>
  <c r="D1741" i="3"/>
  <c r="E1741" i="3"/>
  <c r="F1741" i="3"/>
  <c r="G1741" i="3"/>
  <c r="B1742" i="3"/>
  <c r="C1742" i="3"/>
  <c r="D1742" i="3"/>
  <c r="E1742" i="3"/>
  <c r="F1742" i="3"/>
  <c r="G1742" i="3"/>
  <c r="B1743" i="3"/>
  <c r="C1743" i="3"/>
  <c r="D1743" i="3"/>
  <c r="E1743" i="3"/>
  <c r="F1743" i="3"/>
  <c r="G1743" i="3"/>
  <c r="B1744" i="3"/>
  <c r="C1744" i="3"/>
  <c r="D1744" i="3"/>
  <c r="E1744" i="3"/>
  <c r="F1744" i="3"/>
  <c r="G1744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05" i="3"/>
  <c r="D1512" i="3"/>
  <c r="D1513" i="3"/>
  <c r="D1514" i="3"/>
  <c r="D1515" i="3"/>
  <c r="D1516" i="3"/>
  <c r="D1517" i="3"/>
  <c r="D1518" i="3"/>
  <c r="D1519" i="3"/>
  <c r="D1506" i="3"/>
  <c r="D1508" i="3"/>
  <c r="D1509" i="3"/>
  <c r="D1510" i="3"/>
  <c r="D1511" i="3"/>
  <c r="D1505" i="3"/>
  <c r="D316" i="4" l="1"/>
  <c r="E316" i="4"/>
  <c r="F316" i="4"/>
  <c r="G316" i="4"/>
  <c r="H316" i="4"/>
  <c r="I316" i="4"/>
  <c r="J316" i="4"/>
  <c r="K316" i="4"/>
  <c r="D317" i="4"/>
  <c r="E317" i="4"/>
  <c r="F317" i="4"/>
  <c r="G317" i="4"/>
  <c r="H317" i="4"/>
  <c r="I317" i="4"/>
  <c r="J317" i="4"/>
  <c r="K317" i="4"/>
  <c r="D318" i="4"/>
  <c r="E318" i="4"/>
  <c r="F318" i="4"/>
  <c r="G318" i="4"/>
  <c r="H318" i="4"/>
  <c r="I318" i="4"/>
  <c r="J318" i="4"/>
  <c r="K318" i="4"/>
  <c r="D319" i="4"/>
  <c r="E319" i="4"/>
  <c r="F319" i="4"/>
  <c r="G319" i="4"/>
  <c r="H319" i="4"/>
  <c r="I319" i="4"/>
  <c r="J319" i="4"/>
  <c r="K319" i="4"/>
  <c r="D320" i="4"/>
  <c r="E320" i="4"/>
  <c r="F320" i="4"/>
  <c r="G320" i="4"/>
  <c r="H320" i="4"/>
  <c r="I320" i="4"/>
  <c r="J320" i="4"/>
  <c r="K320" i="4"/>
  <c r="D321" i="4"/>
  <c r="E321" i="4"/>
  <c r="F321" i="4"/>
  <c r="G321" i="4"/>
  <c r="H321" i="4"/>
  <c r="I321" i="4"/>
  <c r="J321" i="4"/>
  <c r="K321" i="4"/>
  <c r="D322" i="4"/>
  <c r="E322" i="4"/>
  <c r="F322" i="4"/>
  <c r="G322" i="4"/>
  <c r="H322" i="4"/>
  <c r="I322" i="4"/>
  <c r="J322" i="4"/>
  <c r="K322" i="4"/>
  <c r="D323" i="4"/>
  <c r="E323" i="4"/>
  <c r="F323" i="4"/>
  <c r="G323" i="4"/>
  <c r="H323" i="4"/>
  <c r="I323" i="4"/>
  <c r="J323" i="4"/>
  <c r="K323" i="4"/>
  <c r="D324" i="4"/>
  <c r="E324" i="4"/>
  <c r="F324" i="4"/>
  <c r="G324" i="4"/>
  <c r="H324" i="4"/>
  <c r="I324" i="4"/>
  <c r="J324" i="4"/>
  <c r="K324" i="4"/>
  <c r="D325" i="4"/>
  <c r="E325" i="4"/>
  <c r="F325" i="4"/>
  <c r="G325" i="4"/>
  <c r="H325" i="4"/>
  <c r="I325" i="4"/>
  <c r="J325" i="4"/>
  <c r="K325" i="4"/>
  <c r="D326" i="4"/>
  <c r="E326" i="4"/>
  <c r="F326" i="4"/>
  <c r="G326" i="4"/>
  <c r="H326" i="4"/>
  <c r="I326" i="4"/>
  <c r="J326" i="4"/>
  <c r="K326" i="4"/>
  <c r="D327" i="4"/>
  <c r="E327" i="4"/>
  <c r="F327" i="4"/>
  <c r="G327" i="4"/>
  <c r="H327" i="4"/>
  <c r="I327" i="4"/>
  <c r="J327" i="4"/>
  <c r="K327" i="4"/>
  <c r="D328" i="4"/>
  <c r="E328" i="4"/>
  <c r="F328" i="4"/>
  <c r="G328" i="4"/>
  <c r="H328" i="4"/>
  <c r="I328" i="4"/>
  <c r="J328" i="4"/>
  <c r="K328" i="4"/>
  <c r="D329" i="4"/>
  <c r="E329" i="4"/>
  <c r="F329" i="4"/>
  <c r="G329" i="4"/>
  <c r="H329" i="4"/>
  <c r="I329" i="4"/>
  <c r="J329" i="4"/>
  <c r="K329" i="4"/>
  <c r="D330" i="4"/>
  <c r="E330" i="4"/>
  <c r="F330" i="4"/>
  <c r="G330" i="4"/>
  <c r="H330" i="4"/>
  <c r="I330" i="4"/>
  <c r="J330" i="4"/>
  <c r="K330" i="4"/>
  <c r="D331" i="4"/>
  <c r="E331" i="4"/>
  <c r="F331" i="4"/>
  <c r="G331" i="4"/>
  <c r="H331" i="4"/>
  <c r="I331" i="4"/>
  <c r="J331" i="4"/>
  <c r="K331" i="4"/>
  <c r="D332" i="4"/>
  <c r="E332" i="4"/>
  <c r="F332" i="4"/>
  <c r="G332" i="4"/>
  <c r="H332" i="4"/>
  <c r="I332" i="4"/>
  <c r="J332" i="4"/>
  <c r="K332" i="4"/>
  <c r="D333" i="4"/>
  <c r="E333" i="4"/>
  <c r="F333" i="4"/>
  <c r="G333" i="4"/>
  <c r="H333" i="4"/>
  <c r="I333" i="4"/>
  <c r="J333" i="4"/>
  <c r="K333" i="4"/>
  <c r="D334" i="4"/>
  <c r="E334" i="4"/>
  <c r="F334" i="4"/>
  <c r="G334" i="4"/>
  <c r="H334" i="4"/>
  <c r="I334" i="4"/>
  <c r="J334" i="4"/>
  <c r="K334" i="4"/>
  <c r="D335" i="4"/>
  <c r="E335" i="4"/>
  <c r="F335" i="4"/>
  <c r="G335" i="4"/>
  <c r="H335" i="4"/>
  <c r="I335" i="4"/>
  <c r="J335" i="4"/>
  <c r="K335" i="4"/>
  <c r="D336" i="4"/>
  <c r="E336" i="4"/>
  <c r="F336" i="4"/>
  <c r="G336" i="4"/>
  <c r="H336" i="4"/>
  <c r="I336" i="4"/>
  <c r="J336" i="4"/>
  <c r="K336" i="4"/>
  <c r="D337" i="4"/>
  <c r="E337" i="4"/>
  <c r="F337" i="4"/>
  <c r="G337" i="4"/>
  <c r="H337" i="4"/>
  <c r="I337" i="4"/>
  <c r="J337" i="4"/>
  <c r="K337" i="4"/>
  <c r="D338" i="4"/>
  <c r="E338" i="4"/>
  <c r="F338" i="4"/>
  <c r="G338" i="4"/>
  <c r="H338" i="4"/>
  <c r="I338" i="4"/>
  <c r="J338" i="4"/>
  <c r="K338" i="4"/>
  <c r="D339" i="4"/>
  <c r="E339" i="4"/>
  <c r="F339" i="4"/>
  <c r="G339" i="4"/>
  <c r="H339" i="4"/>
  <c r="I339" i="4"/>
  <c r="J339" i="4"/>
  <c r="K339" i="4"/>
  <c r="D340" i="4"/>
  <c r="E340" i="4"/>
  <c r="F340" i="4"/>
  <c r="G340" i="4"/>
  <c r="H340" i="4"/>
  <c r="I340" i="4"/>
  <c r="J340" i="4"/>
  <c r="K340" i="4"/>
  <c r="D341" i="4"/>
  <c r="E341" i="4"/>
  <c r="F341" i="4"/>
  <c r="G341" i="4"/>
  <c r="H341" i="4"/>
  <c r="I341" i="4"/>
  <c r="J341" i="4"/>
  <c r="K341" i="4"/>
  <c r="D342" i="4"/>
  <c r="E342" i="4"/>
  <c r="F342" i="4"/>
  <c r="G342" i="4"/>
  <c r="H342" i="4"/>
  <c r="I342" i="4"/>
  <c r="J342" i="4"/>
  <c r="K342" i="4"/>
  <c r="D343" i="4"/>
  <c r="E343" i="4"/>
  <c r="F343" i="4"/>
  <c r="G343" i="4"/>
  <c r="H343" i="4"/>
  <c r="I343" i="4"/>
  <c r="J343" i="4"/>
  <c r="K343" i="4"/>
  <c r="D344" i="4"/>
  <c r="E344" i="4"/>
  <c r="F344" i="4"/>
  <c r="G344" i="4"/>
  <c r="H344" i="4"/>
  <c r="I344" i="4"/>
  <c r="J344" i="4"/>
  <c r="K344" i="4"/>
  <c r="D345" i="4"/>
  <c r="E345" i="4"/>
  <c r="F345" i="4"/>
  <c r="G345" i="4"/>
  <c r="H345" i="4"/>
  <c r="I345" i="4"/>
  <c r="J345" i="4"/>
  <c r="K345" i="4"/>
  <c r="D346" i="4"/>
  <c r="E346" i="4"/>
  <c r="F346" i="4"/>
  <c r="G346" i="4"/>
  <c r="H346" i="4"/>
  <c r="I346" i="4"/>
  <c r="J346" i="4"/>
  <c r="K346" i="4"/>
  <c r="D347" i="4"/>
  <c r="E347" i="4"/>
  <c r="F347" i="4"/>
  <c r="G347" i="4"/>
  <c r="H347" i="4"/>
  <c r="I347" i="4"/>
  <c r="J347" i="4"/>
  <c r="K347" i="4"/>
  <c r="D348" i="4"/>
  <c r="E348" i="4"/>
  <c r="F348" i="4"/>
  <c r="G348" i="4"/>
  <c r="H348" i="4"/>
  <c r="I348" i="4"/>
  <c r="J348" i="4"/>
  <c r="K348" i="4"/>
  <c r="D349" i="4"/>
  <c r="E349" i="4"/>
  <c r="F349" i="4"/>
  <c r="G349" i="4"/>
  <c r="H349" i="4"/>
  <c r="I349" i="4"/>
  <c r="J349" i="4"/>
  <c r="K349" i="4"/>
  <c r="D350" i="4"/>
  <c r="E350" i="4"/>
  <c r="F350" i="4"/>
  <c r="G350" i="4"/>
  <c r="H350" i="4"/>
  <c r="I350" i="4"/>
  <c r="J350" i="4"/>
  <c r="K350" i="4"/>
  <c r="D351" i="4"/>
  <c r="E351" i="4"/>
  <c r="F351" i="4"/>
  <c r="G351" i="4"/>
  <c r="H351" i="4"/>
  <c r="I351" i="4"/>
  <c r="J351" i="4"/>
  <c r="K351" i="4"/>
  <c r="D352" i="4"/>
  <c r="E352" i="4"/>
  <c r="F352" i="4"/>
  <c r="G352" i="4"/>
  <c r="H352" i="4"/>
  <c r="I352" i="4"/>
  <c r="J352" i="4"/>
  <c r="K352" i="4"/>
  <c r="D353" i="4"/>
  <c r="E353" i="4"/>
  <c r="F353" i="4"/>
  <c r="G353" i="4"/>
  <c r="H353" i="4"/>
  <c r="I353" i="4"/>
  <c r="J353" i="4"/>
  <c r="K353" i="4"/>
  <c r="D354" i="4"/>
  <c r="E354" i="4"/>
  <c r="F354" i="4"/>
  <c r="G354" i="4"/>
  <c r="H354" i="4"/>
  <c r="I354" i="4"/>
  <c r="J354" i="4"/>
  <c r="K354" i="4"/>
  <c r="D355" i="4"/>
  <c r="E355" i="4"/>
  <c r="F355" i="4"/>
  <c r="G355" i="4"/>
  <c r="H355" i="4"/>
  <c r="I355" i="4"/>
  <c r="J355" i="4"/>
  <c r="K355" i="4"/>
  <c r="D356" i="4"/>
  <c r="E356" i="4"/>
  <c r="F356" i="4"/>
  <c r="G356" i="4"/>
  <c r="H356" i="4"/>
  <c r="I356" i="4"/>
  <c r="J356" i="4"/>
  <c r="K356" i="4"/>
  <c r="D357" i="4"/>
  <c r="E357" i="4"/>
  <c r="F357" i="4"/>
  <c r="G357" i="4"/>
  <c r="H357" i="4"/>
  <c r="I357" i="4"/>
  <c r="J357" i="4"/>
  <c r="K357" i="4"/>
  <c r="D358" i="4"/>
  <c r="E358" i="4"/>
  <c r="F358" i="4"/>
  <c r="G358" i="4"/>
  <c r="H358" i="4"/>
  <c r="I358" i="4"/>
  <c r="J358" i="4"/>
  <c r="K358" i="4"/>
  <c r="D359" i="4"/>
  <c r="E359" i="4"/>
  <c r="F359" i="4"/>
  <c r="G359" i="4"/>
  <c r="H359" i="4"/>
  <c r="I359" i="4"/>
  <c r="J359" i="4"/>
  <c r="K359" i="4"/>
  <c r="D360" i="4"/>
  <c r="E360" i="4"/>
  <c r="F360" i="4"/>
  <c r="G360" i="4"/>
  <c r="H360" i="4"/>
  <c r="I360" i="4"/>
  <c r="J360" i="4"/>
  <c r="K360" i="4"/>
  <c r="D361" i="4"/>
  <c r="E361" i="4"/>
  <c r="F361" i="4"/>
  <c r="G361" i="4"/>
  <c r="H361" i="4"/>
  <c r="I361" i="4"/>
  <c r="J361" i="4"/>
  <c r="K361" i="4"/>
  <c r="D362" i="4"/>
  <c r="E362" i="4"/>
  <c r="F362" i="4"/>
  <c r="G362" i="4"/>
  <c r="H362" i="4"/>
  <c r="I362" i="4"/>
  <c r="J362" i="4"/>
  <c r="K362" i="4"/>
  <c r="M317" i="4"/>
  <c r="N317" i="4"/>
  <c r="M318" i="4"/>
  <c r="N318" i="4"/>
  <c r="M319" i="4"/>
  <c r="N319" i="4"/>
  <c r="M320" i="4"/>
  <c r="N320" i="4"/>
  <c r="M321" i="4"/>
  <c r="N321" i="4"/>
  <c r="M322" i="4"/>
  <c r="N322" i="4"/>
  <c r="M323" i="4"/>
  <c r="N323" i="4"/>
  <c r="M324" i="4"/>
  <c r="N324" i="4"/>
  <c r="M325" i="4"/>
  <c r="N325" i="4"/>
  <c r="M326" i="4"/>
  <c r="N326" i="4"/>
  <c r="M327" i="4"/>
  <c r="N327" i="4"/>
  <c r="M328" i="4"/>
  <c r="N328" i="4"/>
  <c r="M329" i="4"/>
  <c r="N329" i="4"/>
  <c r="M330" i="4"/>
  <c r="N330" i="4"/>
  <c r="M331" i="4"/>
  <c r="N331" i="4"/>
  <c r="M332" i="4"/>
  <c r="N332" i="4"/>
  <c r="M333" i="4"/>
  <c r="N333" i="4"/>
  <c r="M334" i="4"/>
  <c r="N334" i="4"/>
  <c r="M335" i="4"/>
  <c r="N335" i="4"/>
  <c r="M336" i="4"/>
  <c r="N336" i="4"/>
  <c r="M337" i="4"/>
  <c r="N337" i="4"/>
  <c r="M338" i="4"/>
  <c r="N338" i="4"/>
  <c r="M339" i="4"/>
  <c r="N339" i="4"/>
  <c r="M340" i="4"/>
  <c r="N340" i="4"/>
  <c r="M341" i="4"/>
  <c r="N341" i="4"/>
  <c r="M342" i="4"/>
  <c r="N342" i="4"/>
  <c r="M343" i="4"/>
  <c r="N343" i="4"/>
  <c r="M344" i="4"/>
  <c r="N344" i="4"/>
  <c r="M345" i="4"/>
  <c r="N345" i="4"/>
  <c r="M346" i="4"/>
  <c r="N346" i="4"/>
  <c r="M347" i="4"/>
  <c r="N347" i="4"/>
  <c r="M348" i="4"/>
  <c r="N348" i="4"/>
  <c r="M349" i="4"/>
  <c r="N349" i="4"/>
  <c r="M350" i="4"/>
  <c r="N350" i="4"/>
  <c r="M351" i="4"/>
  <c r="N351" i="4"/>
  <c r="M352" i="4"/>
  <c r="N352" i="4"/>
  <c r="M353" i="4"/>
  <c r="N353" i="4"/>
  <c r="M354" i="4"/>
  <c r="N354" i="4"/>
  <c r="M355" i="4"/>
  <c r="N355" i="4"/>
  <c r="M356" i="4"/>
  <c r="N356" i="4"/>
  <c r="M357" i="4"/>
  <c r="N357" i="4"/>
  <c r="M358" i="4"/>
  <c r="N358" i="4"/>
  <c r="M359" i="4"/>
  <c r="N359" i="4"/>
  <c r="M360" i="4"/>
  <c r="N360" i="4"/>
  <c r="M361" i="4"/>
  <c r="N361" i="4"/>
  <c r="M362" i="4"/>
  <c r="N362" i="4"/>
  <c r="M315" i="4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0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tc={85A9750F-72DA-46AD-81D0-79199C6C5253}</author>
  </authors>
  <commentList>
    <comment ref="L4" authorId="0" shapeId="0" xr:uid="{85A9750F-72DA-46AD-81D0-79199C6C5253}">
      <text>
        <t>[Threaded comment]
Your version of Excel allows you to read this threaded comment; however, any edits to it will get removed if the file is opened in a newer version of Excel. Learn more: https://go.microsoft.com/fwlink/?linkid=870924
Comment:
    April 2024 - Dec 2024. May need to check for M/F. Would only show in Comments-none currently noted.</t>
      </text>
    </comment>
  </commentList>
</comments>
</file>

<file path=xl/sharedStrings.xml><?xml version="1.0" encoding="utf-8"?>
<sst xmlns="http://schemas.openxmlformats.org/spreadsheetml/2006/main" count="52261" uniqueCount="3528">
  <si>
    <t>Sample Number</t>
  </si>
  <si>
    <t>SH (mm)</t>
  </si>
  <si>
    <t>Site</t>
  </si>
  <si>
    <t xml:space="preserve">Station </t>
  </si>
  <si>
    <t>Date</t>
  </si>
  <si>
    <t>CERP Oyster Monitoring</t>
  </si>
  <si>
    <t>Sex</t>
  </si>
  <si>
    <t>MSX Present</t>
  </si>
  <si>
    <t>MSX Stage</t>
  </si>
  <si>
    <t>Bad Slide</t>
  </si>
  <si>
    <t>Other Parasite</t>
  </si>
  <si>
    <t>Male and Female</t>
  </si>
  <si>
    <t>Repro Stage (2017-current)</t>
  </si>
  <si>
    <t>Repro Stage (2005-2016)</t>
  </si>
  <si>
    <t>Loxahatchee- Repro/MSX</t>
  </si>
  <si>
    <t>LX-N</t>
  </si>
  <si>
    <t>Z</t>
  </si>
  <si>
    <t>No</t>
  </si>
  <si>
    <t>F</t>
  </si>
  <si>
    <t>M</t>
  </si>
  <si>
    <t>Buceph</t>
  </si>
  <si>
    <t>Yes</t>
  </si>
  <si>
    <t>LX-S</t>
  </si>
  <si>
    <t>Bucephalus/Yes</t>
  </si>
  <si>
    <t>Bucephalus</t>
  </si>
  <si>
    <t xml:space="preserve">Buceph </t>
  </si>
  <si>
    <t>CR-W</t>
  </si>
  <si>
    <t>Temp (oC)</t>
  </si>
  <si>
    <t>Salinity (ppt)</t>
  </si>
  <si>
    <t>pH</t>
  </si>
  <si>
    <t>DO (mg/L)</t>
  </si>
  <si>
    <t>DO %</t>
  </si>
  <si>
    <t>Secchi (m)</t>
  </si>
  <si>
    <t>Chl a (ug/L)</t>
  </si>
  <si>
    <t>Tubidity Probe (NTU)</t>
  </si>
  <si>
    <t>Tubidity Handheld (NTU)</t>
  </si>
  <si>
    <t>Station</t>
  </si>
  <si>
    <t>Time</t>
  </si>
  <si>
    <t>Depth (m)</t>
  </si>
  <si>
    <t>OysterID</t>
  </si>
  <si>
    <t>SampleEventID</t>
  </si>
  <si>
    <t>ShellHeight</t>
  </si>
  <si>
    <t>ShellLength</t>
  </si>
  <si>
    <t>ShellWidth</t>
  </si>
  <si>
    <t>TotalWeight</t>
  </si>
  <si>
    <t>ShellWetWeight</t>
  </si>
  <si>
    <t>DermoMantle</t>
  </si>
  <si>
    <t>DermoGill</t>
  </si>
  <si>
    <t>DataStatus</t>
  </si>
  <si>
    <t>Comments</t>
  </si>
  <si>
    <t>LXND2405-01</t>
  </si>
  <si>
    <t>LXCOLL_20240506_1_0242_1</t>
  </si>
  <si>
    <t>Completed</t>
  </si>
  <si>
    <t>LXND2405-02</t>
  </si>
  <si>
    <t>LXND2405-03</t>
  </si>
  <si>
    <t>LXND2405-04</t>
  </si>
  <si>
    <t>LXND2405-05</t>
  </si>
  <si>
    <t>LXND2405-06</t>
  </si>
  <si>
    <t>LXCOLL_20240506_1_0243_1</t>
  </si>
  <si>
    <t>Pea crab: 0.02g</t>
  </si>
  <si>
    <t>LXND2405-07</t>
  </si>
  <si>
    <t>LXND2405-08</t>
  </si>
  <si>
    <t>LXND2405-09</t>
  </si>
  <si>
    <t>Pea crab: 0.45g</t>
  </si>
  <si>
    <t>LXND2405-10</t>
  </si>
  <si>
    <t>Pea crab:0.32g</t>
  </si>
  <si>
    <t>LXND2405-11</t>
  </si>
  <si>
    <t>LXCOLL_20240506_1_0244_1</t>
  </si>
  <si>
    <t>LXND2405-12</t>
  </si>
  <si>
    <t>LXND2405-13</t>
  </si>
  <si>
    <t>LXND2405-14</t>
  </si>
  <si>
    <t>LXND2405-15</t>
  </si>
  <si>
    <t>LXND2406-01</t>
  </si>
  <si>
    <t>LXCOLL_20240603_1_0242_1</t>
  </si>
  <si>
    <t>LXND2406-02</t>
  </si>
  <si>
    <t>TW correct</t>
  </si>
  <si>
    <t>LXND2406-03</t>
  </si>
  <si>
    <t>LXND2406-04</t>
  </si>
  <si>
    <t>LXND2406-05</t>
  </si>
  <si>
    <t>LXND2406-06</t>
  </si>
  <si>
    <t>LXCOLL_20240603_1_0243_1</t>
  </si>
  <si>
    <t>LXND2406-07</t>
  </si>
  <si>
    <t>LXND2406-08</t>
  </si>
  <si>
    <t>Pea crab 0.76</t>
  </si>
  <si>
    <t>LXND2406-09</t>
  </si>
  <si>
    <t>LXND2406-10</t>
  </si>
  <si>
    <t>LXND2406-11</t>
  </si>
  <si>
    <t>LXCOLL_20240603_1_0244_1</t>
  </si>
  <si>
    <t>LXND2406-12</t>
  </si>
  <si>
    <t>LXND2406-13</t>
  </si>
  <si>
    <t>LXND2406-14</t>
  </si>
  <si>
    <t>LXND2406-15</t>
  </si>
  <si>
    <t>LXND2407-01</t>
  </si>
  <si>
    <t>LXCOLL_20240709_1_0242_1</t>
  </si>
  <si>
    <t>LXND2407-02</t>
  </si>
  <si>
    <t>LXND2407-03</t>
  </si>
  <si>
    <t>LXND2407-04</t>
  </si>
  <si>
    <t>Pea crab 0.53g</t>
  </si>
  <si>
    <t>LXND2407-05</t>
  </si>
  <si>
    <t>LXND2407-06</t>
  </si>
  <si>
    <t>LXCOLL_20240709_1_0243_1</t>
  </si>
  <si>
    <t>LXND2407-07</t>
  </si>
  <si>
    <t>Pea crab 0.32g</t>
  </si>
  <si>
    <t>LXND2407-08</t>
  </si>
  <si>
    <t>LXND2407-09</t>
  </si>
  <si>
    <t>LXND2407-10</t>
  </si>
  <si>
    <t>LXND2407-11</t>
  </si>
  <si>
    <t>LXCOLL_20240709_1_0244_1</t>
  </si>
  <si>
    <t>LXND2407-12</t>
  </si>
  <si>
    <t>LXND2407-13</t>
  </si>
  <si>
    <t>LXND2407-14</t>
  </si>
  <si>
    <t>LXND2407-15</t>
  </si>
  <si>
    <t>LXND2408-01</t>
  </si>
  <si>
    <t>LXCOLL_20240806_1_0242_1</t>
  </si>
  <si>
    <t>LXND2408-02</t>
  </si>
  <si>
    <t>LXND2408-03</t>
  </si>
  <si>
    <t>LXND2408-04</t>
  </si>
  <si>
    <t>LXND2408-05</t>
  </si>
  <si>
    <t>pea crab 0.28g</t>
  </si>
  <si>
    <t>LXND2408-06</t>
  </si>
  <si>
    <t>LXCOLL_20240806_1_0243_1</t>
  </si>
  <si>
    <t>LXND2408-07</t>
  </si>
  <si>
    <t>LXND2408-08</t>
  </si>
  <si>
    <t>LXND2408-09</t>
  </si>
  <si>
    <t>LXND2408-10</t>
  </si>
  <si>
    <t>pea crab 0.64g</t>
  </si>
  <si>
    <t>LXND2408-11</t>
  </si>
  <si>
    <t>LXCOLL_20240806_1_0244_1</t>
  </si>
  <si>
    <t>pea crab 0.26g</t>
  </si>
  <si>
    <t>LXND2408-12</t>
  </si>
  <si>
    <t>LXND2408-13</t>
  </si>
  <si>
    <t>Data confirmed</t>
  </si>
  <si>
    <t>LXND2408-14</t>
  </si>
  <si>
    <t>LXND2408-15</t>
  </si>
  <si>
    <t>LXND2409-01</t>
  </si>
  <si>
    <t>LXCOLL_20240904_1_0242_1</t>
  </si>
  <si>
    <t>pea crab 0.56g</t>
  </si>
  <si>
    <t>LXND2409-02</t>
  </si>
  <si>
    <t>pea crab 0.61g</t>
  </si>
  <si>
    <t>LXND2409-03</t>
  </si>
  <si>
    <t>LXND2409-04</t>
  </si>
  <si>
    <t>LXND2409-05</t>
  </si>
  <si>
    <t>LXND2409-06</t>
  </si>
  <si>
    <t>LXCOLL_20240904_1_0243_1</t>
  </si>
  <si>
    <t>pea crab 0.70g</t>
  </si>
  <si>
    <t>LXND2409-07</t>
  </si>
  <si>
    <t>LXND2409-08</t>
  </si>
  <si>
    <t>LXND2409-09</t>
  </si>
  <si>
    <t>LXND2409-10</t>
  </si>
  <si>
    <t>LXND2409-11</t>
  </si>
  <si>
    <t>LXCOLL_20240904_1_0244_1</t>
  </si>
  <si>
    <t>LXND2409-12</t>
  </si>
  <si>
    <t>double oyster present</t>
  </si>
  <si>
    <t>LXND2409-13</t>
  </si>
  <si>
    <t>LXND2409-14</t>
  </si>
  <si>
    <t>LXND2409-15</t>
  </si>
  <si>
    <t>LXND2410-01</t>
  </si>
  <si>
    <t>LXCOLL_20241002_1_0242_1</t>
  </si>
  <si>
    <t>LXND2410-02</t>
  </si>
  <si>
    <t>pea crab 0.29g</t>
  </si>
  <si>
    <t>LXND2410-03</t>
  </si>
  <si>
    <t>pea crab 0.15g</t>
  </si>
  <si>
    <t>LXND2410-04</t>
  </si>
  <si>
    <t>LXND2410-05</t>
  </si>
  <si>
    <t>LXND2410-06</t>
  </si>
  <si>
    <t>LXCOLL_20241002_1_0243_1</t>
  </si>
  <si>
    <t>LXND2410-07</t>
  </si>
  <si>
    <t>LXND2410-08</t>
  </si>
  <si>
    <t>pea crab 0.67g</t>
  </si>
  <si>
    <t>LXND2410-09</t>
  </si>
  <si>
    <t>LXND2410-10</t>
  </si>
  <si>
    <t>LXND2410-11</t>
  </si>
  <si>
    <t>LXCOLL_20241002_1_0244_1</t>
  </si>
  <si>
    <t>LXND2410-12</t>
  </si>
  <si>
    <t>LXND2410-13</t>
  </si>
  <si>
    <t>LXND2410-14</t>
  </si>
  <si>
    <t>LXND2410-15</t>
  </si>
  <si>
    <t>LXND2411-01</t>
  </si>
  <si>
    <t>LXCOLL_20241105_1_0242_1</t>
  </si>
  <si>
    <t>LXND2411-02</t>
  </si>
  <si>
    <t>LXND2411-03</t>
  </si>
  <si>
    <t>LXND2411-04</t>
  </si>
  <si>
    <t>LXND2411-05</t>
  </si>
  <si>
    <t>LXND2411-06</t>
  </si>
  <si>
    <t>LXCOLL_20241105_1_0243_1</t>
  </si>
  <si>
    <t>LXND2411-07</t>
  </si>
  <si>
    <t>LXND2411-08</t>
  </si>
  <si>
    <t>LXND2411-09</t>
  </si>
  <si>
    <t>LXND2411-10</t>
  </si>
  <si>
    <t>LXND2411-11</t>
  </si>
  <si>
    <t>LXCOLL_20241105_1_0244_1</t>
  </si>
  <si>
    <t>LXND2411-12</t>
  </si>
  <si>
    <t>LXND2411-13</t>
  </si>
  <si>
    <t>LXND2411-14</t>
  </si>
  <si>
    <t>LXND2411-15</t>
  </si>
  <si>
    <t>LXND2412-01</t>
  </si>
  <si>
    <t>LXCOLL_20241204_1_0242_1</t>
  </si>
  <si>
    <t>LXND2412-02</t>
  </si>
  <si>
    <t>LXND2412-03</t>
  </si>
  <si>
    <t>LXND2412-04</t>
  </si>
  <si>
    <t>LXND2412-05</t>
  </si>
  <si>
    <t>LXND2412-06</t>
  </si>
  <si>
    <t>LXCOLL_20241204_1_0243_1</t>
  </si>
  <si>
    <t>pea crab 0.36g</t>
  </si>
  <si>
    <t>LXND2412-07</t>
  </si>
  <si>
    <t>LXND2412-08</t>
  </si>
  <si>
    <t>pea crab 0.54g</t>
  </si>
  <si>
    <t>LXND2412-09</t>
  </si>
  <si>
    <t>LXND2412-10</t>
  </si>
  <si>
    <t>LXND2412-11</t>
  </si>
  <si>
    <t>LXCOLL_20241204_1_0244_1</t>
  </si>
  <si>
    <t>LXND2412-12</t>
  </si>
  <si>
    <t>LXND2412-13</t>
  </si>
  <si>
    <t>LXND2412-14</t>
  </si>
  <si>
    <t>LXND2412-15</t>
  </si>
  <si>
    <t>LXSD2405-01</t>
  </si>
  <si>
    <t>LXCOLL_20240506_1_0246_1</t>
  </si>
  <si>
    <t>LXSD2405-02</t>
  </si>
  <si>
    <t>LXSD2405-03</t>
  </si>
  <si>
    <t>LXSD2405-04</t>
  </si>
  <si>
    <t>LXSD2405-05</t>
  </si>
  <si>
    <t>LXSD2405-06</t>
  </si>
  <si>
    <t>LXCOLL_20240506_1_0247_1</t>
  </si>
  <si>
    <t>LXSD2405-07</t>
  </si>
  <si>
    <t>Pea crab: 0.21g</t>
  </si>
  <si>
    <t>LXSD2405-08</t>
  </si>
  <si>
    <t>LXSD2405-09</t>
  </si>
  <si>
    <t>Pea crab: 0.82g</t>
  </si>
  <si>
    <t>LXSD2405-10</t>
  </si>
  <si>
    <t>LXSD2405-11</t>
  </si>
  <si>
    <t>LXCOLL_20240506_1_0249_1</t>
  </si>
  <si>
    <t>Pea crab: 0.41g</t>
  </si>
  <si>
    <t>LXSD2405-12</t>
  </si>
  <si>
    <t>LXSD2405-13</t>
  </si>
  <si>
    <t>LXSD2405-14</t>
  </si>
  <si>
    <t>LXSD2405-15</t>
  </si>
  <si>
    <t>LXSD2406-01</t>
  </si>
  <si>
    <t>LXCOLL_20240603_1_0246_1</t>
  </si>
  <si>
    <t>LXSD2406-02</t>
  </si>
  <si>
    <t>LXSD2406-03</t>
  </si>
  <si>
    <t>Pea crab 0.27</t>
  </si>
  <si>
    <t>LXSD2406-04</t>
  </si>
  <si>
    <t>LXSD2406-05</t>
  </si>
  <si>
    <t>Pea crab 0.05</t>
  </si>
  <si>
    <t>LXSD2406-06</t>
  </si>
  <si>
    <t>LXCOLL_20240603_1_0247_1</t>
  </si>
  <si>
    <t>LXSD2406-07</t>
  </si>
  <si>
    <t>LXSD2406-08</t>
  </si>
  <si>
    <t>LXSD2406-09</t>
  </si>
  <si>
    <t>LXSD2406-10</t>
  </si>
  <si>
    <t>LXSD2406-11</t>
  </si>
  <si>
    <t>LXCOLL_20240603_1_0249_1</t>
  </si>
  <si>
    <t>LXSD2406-12</t>
  </si>
  <si>
    <t>LXSD2406-13</t>
  </si>
  <si>
    <t>LXSD2406-14</t>
  </si>
  <si>
    <t>LXSD2406-15</t>
  </si>
  <si>
    <t>Pea crab 0.57g</t>
  </si>
  <si>
    <t>LXSD2407-01</t>
  </si>
  <si>
    <t>LXCOLL_20240709_1_0246_1</t>
  </si>
  <si>
    <t>LXSD2407-02</t>
  </si>
  <si>
    <t>LXSD2407-03</t>
  </si>
  <si>
    <t>LXSD2407-04</t>
  </si>
  <si>
    <t>LXSD2407-05</t>
  </si>
  <si>
    <t>LXSD2407-06</t>
  </si>
  <si>
    <t>LXCOLL_20240709_1_0247_1</t>
  </si>
  <si>
    <t>LXSD2407-07</t>
  </si>
  <si>
    <t>LXSD2407-08</t>
  </si>
  <si>
    <t>LXSD2407-09</t>
  </si>
  <si>
    <t>LXSD2407-10</t>
  </si>
  <si>
    <t>LXSD2407-11</t>
  </si>
  <si>
    <t>LXCOLL_20240709_1_0249_1</t>
  </si>
  <si>
    <t>LXSD2407-12</t>
  </si>
  <si>
    <t>LXSD2407-13</t>
  </si>
  <si>
    <t>LXSD2407-14</t>
  </si>
  <si>
    <t>LXSD2407-15</t>
  </si>
  <si>
    <t>LXSD2408-01</t>
  </si>
  <si>
    <t>LXCOLL_20240806_1_0246_1</t>
  </si>
  <si>
    <t>pea crab 0.48g</t>
  </si>
  <si>
    <t>LXSD2408-02</t>
  </si>
  <si>
    <t>pea crab 0.01g</t>
  </si>
  <si>
    <t>LXSD2408-03</t>
  </si>
  <si>
    <t>LXSD2408-04</t>
  </si>
  <si>
    <t>LXSD2408-05</t>
  </si>
  <si>
    <t>LXSD2408-06</t>
  </si>
  <si>
    <t>LXCOLL_20240806_1_0247_1</t>
  </si>
  <si>
    <t>pea crab 0.78g</t>
  </si>
  <si>
    <t>LXSD2408-07</t>
  </si>
  <si>
    <t>LXSD2408-08</t>
  </si>
  <si>
    <t>LXSD2408-09</t>
  </si>
  <si>
    <t>LXSD2408-10</t>
  </si>
  <si>
    <t>LXSD2408-11</t>
  </si>
  <si>
    <t>LXCOLL_20240806_1_0249_1</t>
  </si>
  <si>
    <t>LXSD2408-12</t>
  </si>
  <si>
    <t>LXSD2408-13</t>
  </si>
  <si>
    <t>LXSD2408-14</t>
  </si>
  <si>
    <t>LXSD2408-15</t>
  </si>
  <si>
    <t>LXSD2409-01</t>
  </si>
  <si>
    <t>LXCOLL_20240904_1_0246_1</t>
  </si>
  <si>
    <t>pea crab 0.14g</t>
  </si>
  <si>
    <t>LXSD2409-02</t>
  </si>
  <si>
    <t>LXSD2409-03</t>
  </si>
  <si>
    <t>LXSD2409-04</t>
  </si>
  <si>
    <t>LXSD2409-05</t>
  </si>
  <si>
    <t>LXSD2409-06</t>
  </si>
  <si>
    <t>LXCOLL_20240904_1_0247_1</t>
  </si>
  <si>
    <t>pea crab 0.08g</t>
  </si>
  <si>
    <t>LXSD2409-07</t>
  </si>
  <si>
    <t>pea crab 0.17g</t>
  </si>
  <si>
    <t>LXSD2409-08</t>
  </si>
  <si>
    <t>LXSD2409-09</t>
  </si>
  <si>
    <t>LXSD2409-10</t>
  </si>
  <si>
    <t>pea crab 0.03g</t>
  </si>
  <si>
    <t>LXSD2409-11</t>
  </si>
  <si>
    <t>LXCOLL_20240904_1_0249_1</t>
  </si>
  <si>
    <t>pea crab 0.35g</t>
  </si>
  <si>
    <t>LXSD2409-12</t>
  </si>
  <si>
    <t>LXSD2409-13</t>
  </si>
  <si>
    <t>LXSD2409-14</t>
  </si>
  <si>
    <t>LXSD2409-15</t>
  </si>
  <si>
    <t>LXSD2410-01</t>
  </si>
  <si>
    <t>LXCOLL_20241002_1_0246_1</t>
  </si>
  <si>
    <t>LXSD2410-02</t>
  </si>
  <si>
    <t>LXSD2410-03</t>
  </si>
  <si>
    <t>LXSD2410-04</t>
  </si>
  <si>
    <t>LXSD2410-05</t>
  </si>
  <si>
    <t>LXSD2410-06</t>
  </si>
  <si>
    <t>LXCOLL_20241002_1_0247_1</t>
  </si>
  <si>
    <t>LXSD2410-07</t>
  </si>
  <si>
    <t>LXSD2410-08</t>
  </si>
  <si>
    <t>LXSD2410-09</t>
  </si>
  <si>
    <t>LXSD2410-10</t>
  </si>
  <si>
    <t>LXSD2410-11</t>
  </si>
  <si>
    <t>LXCOLL_20241002_1_0249_1</t>
  </si>
  <si>
    <t>LXSD2410-12</t>
  </si>
  <si>
    <t>LXSD2410-13</t>
  </si>
  <si>
    <t>LXSD2410-14</t>
  </si>
  <si>
    <t>LXSD2410-15</t>
  </si>
  <si>
    <t>LXSD2411-01</t>
  </si>
  <si>
    <t>LXCOLL_20241105_1_0246_1</t>
  </si>
  <si>
    <t>LXSD2411-02</t>
  </si>
  <si>
    <t>LXSD2411-03</t>
  </si>
  <si>
    <t>LXSD2411-04</t>
  </si>
  <si>
    <t>pea crab 0.38g</t>
  </si>
  <si>
    <t>LXSD2411-05</t>
  </si>
  <si>
    <t>LXSD2411-06</t>
  </si>
  <si>
    <t>LXCOLL_20241105_1_0247_1</t>
  </si>
  <si>
    <t>LXSD2411-07</t>
  </si>
  <si>
    <t>LXSD2411-08</t>
  </si>
  <si>
    <t>LXSD2411-09</t>
  </si>
  <si>
    <t>LXSD2411-10</t>
  </si>
  <si>
    <t>LXSD2411-11</t>
  </si>
  <si>
    <t>LXCOLL_20241105_1_0249_1</t>
  </si>
  <si>
    <t>LXSD2411-12</t>
  </si>
  <si>
    <t>LXSD2411-13</t>
  </si>
  <si>
    <t>LXSD2411-14</t>
  </si>
  <si>
    <t>LXSD2411-15</t>
  </si>
  <si>
    <t>LXSD2412-01</t>
  </si>
  <si>
    <t>LXCOLL_20241204_1_0246_1</t>
  </si>
  <si>
    <t>LXSD2412-02</t>
  </si>
  <si>
    <t>LXSD2412-03</t>
  </si>
  <si>
    <t>LXSD2412-04</t>
  </si>
  <si>
    <t>LXSD2412-05</t>
  </si>
  <si>
    <t>LXSD2412-06</t>
  </si>
  <si>
    <t>LXCOLL_20241204_1_0247_1</t>
  </si>
  <si>
    <t>LXSD2412-07</t>
  </si>
  <si>
    <t>pea crab 0.51g</t>
  </si>
  <si>
    <t>LXSD2412-08</t>
  </si>
  <si>
    <t>pea crab 0.18g</t>
  </si>
  <si>
    <t>LXSD2412-09</t>
  </si>
  <si>
    <t>LXSD2412-10</t>
  </si>
  <si>
    <t>oyster on another shell- underdeveloped valve</t>
  </si>
  <si>
    <t>LXSD2412-11</t>
  </si>
  <si>
    <t>LXCOLL_20241204_1_0249_1</t>
  </si>
  <si>
    <t>LXSD2412-12</t>
  </si>
  <si>
    <t>LXSD2412-13</t>
  </si>
  <si>
    <t>LXSD2412-14</t>
  </si>
  <si>
    <t>LXSD2412-15</t>
  </si>
  <si>
    <t>ReproStage</t>
  </si>
  <si>
    <t>Parasite</t>
  </si>
  <si>
    <t>BadSlide</t>
  </si>
  <si>
    <t>N</t>
  </si>
  <si>
    <t>Y</t>
  </si>
  <si>
    <t>VGH</t>
  </si>
  <si>
    <t>SampleEventWQID</t>
  </si>
  <si>
    <t>Temperature</t>
  </si>
  <si>
    <t>Salinity</t>
  </si>
  <si>
    <t>DissolvedOxygen</t>
  </si>
  <si>
    <t>Depth</t>
  </si>
  <si>
    <t>SampleDepth</t>
  </si>
  <si>
    <t>Secchi</t>
  </si>
  <si>
    <t>TurbidityYSI</t>
  </si>
  <si>
    <t>TurbidityHach</t>
  </si>
  <si>
    <t>CollectionTime</t>
  </si>
  <si>
    <t>PercentDissolvedOxygen</t>
  </si>
  <si>
    <t>LXCOLL_20240506_1_0242_1_01</t>
  </si>
  <si>
    <t>LXCOLL_20240506_1_0243_1_01</t>
  </si>
  <si>
    <t>LXCOLL_20240506_1_0244_1_01</t>
  </si>
  <si>
    <t>LXCOLL_20240506_1_0246_1_01</t>
  </si>
  <si>
    <t>LXCOLL_20240506_1_0247_1_01</t>
  </si>
  <si>
    <t>LXCOLL_20240506_1_0249_1_01</t>
  </si>
  <si>
    <t>LXCOLL_20240603_1_0242_1_01</t>
  </si>
  <si>
    <t>LXCOLL_20240603_1_0243_1_01</t>
  </si>
  <si>
    <t>LXCOLL_20240603_1_0244_1_01</t>
  </si>
  <si>
    <t>LXCOLL_20240603_1_0246_1_01</t>
  </si>
  <si>
    <t>LXCOLL_20240603_1_0247_1_01</t>
  </si>
  <si>
    <t>LXCOLL_20240603_1_0249_1_01</t>
  </si>
  <si>
    <t>LXCOLL_20240709_1_0242_1_01</t>
  </si>
  <si>
    <t>LXCOLL_20240709_1_0243_1_01</t>
  </si>
  <si>
    <t>LXCOLL_20240709_1_0244_1_01</t>
  </si>
  <si>
    <t>LXCOLL_20240709_1_0246_1_01</t>
  </si>
  <si>
    <t>LXCOLL_20240709_1_0247_1_01</t>
  </si>
  <si>
    <t>LXCOLL_20240709_1_0249_1_01</t>
  </si>
  <si>
    <t>LXCOLL_20240806_1_0242_1_01</t>
  </si>
  <si>
    <t>LXCOLL_20240806_1_0243_1_01</t>
  </si>
  <si>
    <t>LXCOLL_20240806_1_0244_1_01</t>
  </si>
  <si>
    <t>LXCOLL_20240806_1_0246_1_01</t>
  </si>
  <si>
    <t>LXCOLL_20240806_1_0247_1_01</t>
  </si>
  <si>
    <t>LXCOLL_20240806_1_0249_1_01</t>
  </si>
  <si>
    <t>LXCOLL_20240904_1_0242_1_01</t>
  </si>
  <si>
    <t>LXCOLL_20240904_1_0243_1_01</t>
  </si>
  <si>
    <t>LXCOLL_20240904_1_0244_1_01</t>
  </si>
  <si>
    <t>LXCOLL_20240904_1_0246_1_01</t>
  </si>
  <si>
    <t>LXCOLL_20240904_1_0247_1_01</t>
  </si>
  <si>
    <t>LXCOLL_20240904_1_0249_1_01</t>
  </si>
  <si>
    <t>LXCOLL_20241002_1_0242_1_01</t>
  </si>
  <si>
    <t>LXCOLL_20241002_1_0243_1_01</t>
  </si>
  <si>
    <t>LXCOLL_20241002_1_0244_1_01</t>
  </si>
  <si>
    <t>LXCOLL_20241002_1_0246_1_01</t>
  </si>
  <si>
    <t>LXCOLL_20241002_1_0247_1_01</t>
  </si>
  <si>
    <t>LXCOLL_20241002_1_0249_1_01</t>
  </si>
  <si>
    <t>LXCOLL_20241105_1_0242_1_01</t>
  </si>
  <si>
    <t>LXCOLL_20241105_1_0243_1_01</t>
  </si>
  <si>
    <t>LXCOLL_20241105_1_0244_1_01</t>
  </si>
  <si>
    <t>LXCOLL_20241105_1_0246_1_01</t>
  </si>
  <si>
    <t>LXCOLL_20241105_1_0247_1_01</t>
  </si>
  <si>
    <t>LXCOLL_20241105_1_0249_1_01</t>
  </si>
  <si>
    <t>LXCOLL_20241204_1_0242_1_01</t>
  </si>
  <si>
    <t>LXCOLL_20241204_1_0243_1_01</t>
  </si>
  <si>
    <t>LXCOLL_20241204_1_0244_1_01</t>
  </si>
  <si>
    <t>LXCOLL_20241204_1_0246_1_01</t>
  </si>
  <si>
    <t>LXCOLL_20241204_1_0247_1_01</t>
  </si>
  <si>
    <t>LXCOLL_20241204_1_0249_1_01</t>
  </si>
  <si>
    <t>Helper</t>
  </si>
  <si>
    <t>StationNumber</t>
  </si>
  <si>
    <t>FixedLocationID</t>
  </si>
  <si>
    <t>Formulas</t>
  </si>
  <si>
    <t>Repro</t>
  </si>
  <si>
    <t/>
  </si>
  <si>
    <t>242</t>
  </si>
  <si>
    <t>243</t>
  </si>
  <si>
    <t>244</t>
  </si>
  <si>
    <t>245</t>
  </si>
  <si>
    <t>246</t>
  </si>
  <si>
    <t>247</t>
  </si>
  <si>
    <t>248</t>
  </si>
  <si>
    <t>249</t>
  </si>
  <si>
    <t>Row1520</t>
  </si>
  <si>
    <t>=IFERROR(TEXT(DATE(MID(INDEX(Database_dermo!$A:$I, MATCH($N1520, Database_dermo!$A:$A, 0), 2),8,4),MID(INDEX(Database_dermo!$A:$I, MATCH($N1520, Database_dermo!$A:$A, 0), 2),12,2),MID(INDEX(Database_dermo!$A:$I, MATCH($N1520, Database_dermo!$A:$A, 0), 2),14,2)), "M/D/YYYY"), "Not Found")</t>
  </si>
  <si>
    <t>=IFERROR(VLOOKUP(MID(INDEX(Database_dermo!$A:$I, MATCH($N1520, Database_dermo!$A:$A, 0), 2),20,3),Notes!A$1:C$9,3,TRUE), "Not Found")</t>
  </si>
  <si>
    <t>=IFERROR(RIGHT(INDEX(Database_dermo!$A:$I, MATCH($N1520, Database_dermo!$A:$A, 0), 1),2), "Not Found")</t>
  </si>
  <si>
    <t>=IFERROR(VLOOKUP(MID(INDEX(Database_dermo!$A:$I, MATCH($N1520, Database_dermo!$A:$A, 0), 2),20,3),Notes!A$1:C$9,2,TRUE), "Not Found")</t>
  </si>
  <si>
    <t>=IFERROR(INDEX(Database_dermo!$A:$I, MATCH($N1520, Database_dermo!$A:$A, 0), 3), "Not Found")</t>
  </si>
  <si>
    <t>=IFERROR(INDEX(Database_repro!$A:$F, MATCH($N1520, Database_repro!$A:$A, 0), 3), "Not Found")</t>
  </si>
  <si>
    <t>=IFERROR(INDEX(Database_repro!$A:$F, MATCH($N1520, Database_repro!$A:$A, 0), 4), "Not Found")</t>
  </si>
  <si>
    <t>=IFERROR(INDEX(Database_repro!$A:$F, MATCH($N1521, Database_repro!$A:$A, 0), 5), "Not Found")</t>
  </si>
  <si>
    <t>=IFERROR(IF(INDEX(Database_repro!$A:$F, MATCH($N1520, Database_repro!$A:$A, 0), 6)="N","No",IF(INDEX(Database_repro!$A:$F, MATCH($N1520, Database_repro!$A:$A, 0), 6)="Y","Yes","Z")), "Not Found")</t>
  </si>
  <si>
    <t>WQ</t>
  </si>
  <si>
    <t>=DATE(MID(O315,8,4), MID(O315,12,2),MID(O315,14,2))</t>
  </si>
  <si>
    <t>=VLOOKUP(MID(O316,20,3),Notes!A$1:C$9, 3)</t>
  </si>
  <si>
    <t>=VLOOKUP(MID(O316,20,3),Notes!A$1:C$9,2)</t>
  </si>
  <si>
    <t>Row315</t>
  </si>
  <si>
    <t>=IFERROR(INDEX(Database_WQ!$A:$V, MATCH($O315, Database_WQ!$A:$A, 0), 21), "Not Found")</t>
  </si>
  <si>
    <t>=IFERROR(INDEX(Database_WQ!$A:$V, MATCH($O315, Database_WQ!$A:$A, 0), 7), "Not Found")</t>
  </si>
  <si>
    <t>=IFERROR(INDEX(Database_WQ!$A:$V, MATCH($O315, Database_WQ!$A:$A, 0), 3), "Not Found")</t>
  </si>
  <si>
    <t>=IFERROR(INDEX(Database_WQ!$A:$V, MATCH($O315, Database_WQ!$A:$A, 0), 4), "Not Found")</t>
  </si>
  <si>
    <t>=IFERROR(INDEX(Database_WQ!$A:$V, MATCH($O315, Database_WQ!$A:$A, 0), 6), "Not Found")</t>
  </si>
  <si>
    <t>=IFERROR(INDEX(Database_WQ!$A:$V, MATCH($O315, Database_WQ!$A:$A, 0), 5), "Not Found")</t>
  </si>
  <si>
    <t>=IFERROR(INDEX(Database_WQ!$A:$V, MATCH($O315, Database_WQ!$A:$A, 0), 22), "Not Found")</t>
  </si>
  <si>
    <t>=IFERROR(INDEX(Database_WQ!$A:$V, MATCH($O315, Database_WQ!$A:$A, 0), 9), "Not Found")</t>
  </si>
  <si>
    <t>=IFERROR(INDEX(Database_WQ!$A:$V, MATCH($O316, Database_WQ!$A:$A, 0), 10), "Not Found")</t>
  </si>
  <si>
    <t>=IFERROR(INDEX(Database_WQ!$A:$V, MATCH($O315, Database_WQ!$A:$A, 0), 11), "Not Found")</t>
  </si>
  <si>
    <t>LXND2503-16</t>
  </si>
  <si>
    <t>LXCOLL_20250318_1_0242_1</t>
  </si>
  <si>
    <t>LXND2503-17</t>
  </si>
  <si>
    <t>LXND2503-18</t>
  </si>
  <si>
    <t>LXND2503-19</t>
  </si>
  <si>
    <t>LXND2503-20</t>
  </si>
  <si>
    <t>LXND2503-21</t>
  </si>
  <si>
    <t>LXND2503-22</t>
  </si>
  <si>
    <t>LXND2503-23</t>
  </si>
  <si>
    <t>LXND2503-24</t>
  </si>
  <si>
    <t>LXND2503-25</t>
  </si>
  <si>
    <t>LXND2503-26</t>
  </si>
  <si>
    <t>LXND2503-27</t>
  </si>
  <si>
    <t>LXND2503-28</t>
  </si>
  <si>
    <t>LXND2503-29</t>
  </si>
  <si>
    <t>LXCOLL_20250318_1_0243_1</t>
  </si>
  <si>
    <t>LXND2503-30</t>
  </si>
  <si>
    <t>LXND2503-31</t>
  </si>
  <si>
    <t>LXND2503-32</t>
  </si>
  <si>
    <t>LXND2503-33</t>
  </si>
  <si>
    <t>LXND2503-34</t>
  </si>
  <si>
    <t>LXND2503-35</t>
  </si>
  <si>
    <t>LXND2503-36</t>
  </si>
  <si>
    <t>LXND2503-37</t>
  </si>
  <si>
    <t>LXND2503-38</t>
  </si>
  <si>
    <t>LXND2503-39</t>
  </si>
  <si>
    <t>LXND2503-40</t>
  </si>
  <si>
    <t>LXCOLL_20250318_1_0244_1</t>
  </si>
  <si>
    <t>LXND2503-41</t>
  </si>
  <si>
    <t>LXND2503-42</t>
  </si>
  <si>
    <t>LXND2503-43</t>
  </si>
  <si>
    <t>LXND2503-44</t>
  </si>
  <si>
    <t>LXND2503-45</t>
  </si>
  <si>
    <t>LXND2503-46</t>
  </si>
  <si>
    <t>LXND2503-47</t>
  </si>
  <si>
    <t>LXND2503-48</t>
  </si>
  <si>
    <t>LXND2503-49</t>
  </si>
  <si>
    <t>LXND2503-50</t>
  </si>
  <si>
    <t>LXND2503-51</t>
  </si>
  <si>
    <t>LXND2503-52</t>
  </si>
  <si>
    <t>LXND2503-53</t>
  </si>
  <si>
    <t>LXND2503-54</t>
  </si>
  <si>
    <t>LXND2503-55</t>
  </si>
  <si>
    <t>LXND2504-16</t>
  </si>
  <si>
    <t>LXCOLL_20250408_1_0242_1</t>
  </si>
  <si>
    <t>LXND2504-17</t>
  </si>
  <si>
    <t>LXND2504-18</t>
  </si>
  <si>
    <t>LXND2504-19</t>
  </si>
  <si>
    <t>LXND2504-20</t>
  </si>
  <si>
    <t>LXND2504-21</t>
  </si>
  <si>
    <t>LXND2504-22</t>
  </si>
  <si>
    <t>LXND2504-23</t>
  </si>
  <si>
    <t>LXND2504-24</t>
  </si>
  <si>
    <t>LXND2504-25</t>
  </si>
  <si>
    <t>LXND2504-26</t>
  </si>
  <si>
    <t>LXND2504-27</t>
  </si>
  <si>
    <t>LXCOLL_20250408_1_0243_1</t>
  </si>
  <si>
    <t>LXND2504-28</t>
  </si>
  <si>
    <t>LXND2504-29</t>
  </si>
  <si>
    <t>LXND2504-30</t>
  </si>
  <si>
    <t>LXND2504-31</t>
  </si>
  <si>
    <t>LXND2504-32</t>
  </si>
  <si>
    <t>LXND2504-33</t>
  </si>
  <si>
    <t>LXND2504-34</t>
  </si>
  <si>
    <t>LXND2504-35</t>
  </si>
  <si>
    <t>LXND2504-36</t>
  </si>
  <si>
    <t>LXND2504-37</t>
  </si>
  <si>
    <t>LXND2504-38</t>
  </si>
  <si>
    <t>LXND2504-39</t>
  </si>
  <si>
    <t>LXND2504-40</t>
  </si>
  <si>
    <t>LXCOLL_20250408_1_0244_1</t>
  </si>
  <si>
    <t>LXND2504-41</t>
  </si>
  <si>
    <t>LXND2504-42</t>
  </si>
  <si>
    <t>LXND2504-43</t>
  </si>
  <si>
    <t>LXND2504-44</t>
  </si>
  <si>
    <t>LXND2504-45</t>
  </si>
  <si>
    <t>LXND2504-46</t>
  </si>
  <si>
    <t>LXND2504-47</t>
  </si>
  <si>
    <t>LXND2504-48</t>
  </si>
  <si>
    <t>LXND2504-49</t>
  </si>
  <si>
    <t>LXND2504-50</t>
  </si>
  <si>
    <t>LXND2505-16</t>
  </si>
  <si>
    <t>LXCOLL_20250506_1_0242_1</t>
  </si>
  <si>
    <t>LXND2505-17</t>
  </si>
  <si>
    <t>LXND2505-18</t>
  </si>
  <si>
    <t>LXND2505-19</t>
  </si>
  <si>
    <t>LXND2505-20</t>
  </si>
  <si>
    <t>LXND2505-21</t>
  </si>
  <si>
    <t>LXND2505-22</t>
  </si>
  <si>
    <t>LXND2505-23</t>
  </si>
  <si>
    <t>LXND2505-24</t>
  </si>
  <si>
    <t>LXND2505-25</t>
  </si>
  <si>
    <t>LXND2505-26</t>
  </si>
  <si>
    <t>LXND2505-27</t>
  </si>
  <si>
    <t>LXND2505-28</t>
  </si>
  <si>
    <t>LXCOLL_20250506_1_0243_1</t>
  </si>
  <si>
    <t>LXND2505-29</t>
  </si>
  <si>
    <t>LXND2505-30</t>
  </si>
  <si>
    <t>LXND2505-31</t>
  </si>
  <si>
    <t>LXND2505-32</t>
  </si>
  <si>
    <t>LXND2505-33</t>
  </si>
  <si>
    <t>LXND2505-34</t>
  </si>
  <si>
    <t>LXND2505-35</t>
  </si>
  <si>
    <t>LXND2505-36</t>
  </si>
  <si>
    <t>LXND2505-37</t>
  </si>
  <si>
    <t>LXND2505-38</t>
  </si>
  <si>
    <t>LXND2505-39</t>
  </si>
  <si>
    <t>LXND2505-40</t>
  </si>
  <si>
    <t>LXND2505-41</t>
  </si>
  <si>
    <t>LXCOLL_20250506_1_0244_1</t>
  </si>
  <si>
    <t>LXND2505-42</t>
  </si>
  <si>
    <t>LXND2505-43</t>
  </si>
  <si>
    <t>LXND2505-44</t>
  </si>
  <si>
    <t>LXND2505-45</t>
  </si>
  <si>
    <t>LXND2505-46</t>
  </si>
  <si>
    <t>LXND2505-47</t>
  </si>
  <si>
    <t>LXND2505-48</t>
  </si>
  <si>
    <t>LXND2505-49</t>
  </si>
  <si>
    <t>LXND2505-50</t>
  </si>
  <si>
    <t>LXND2505-51</t>
  </si>
  <si>
    <t>LXND2505-52</t>
  </si>
  <si>
    <t>LXND2505-53</t>
  </si>
  <si>
    <t>1=second spawn</t>
  </si>
  <si>
    <t>Proofed</t>
  </si>
  <si>
    <t>NA</t>
  </si>
  <si>
    <t>LXND2506-01</t>
  </si>
  <si>
    <t>LXCOLL_20250610_1_0242_1</t>
  </si>
  <si>
    <t>NULL</t>
  </si>
  <si>
    <t>LXND2506-02</t>
  </si>
  <si>
    <t>LXND2506-03</t>
  </si>
  <si>
    <t>LXND2506-04</t>
  </si>
  <si>
    <t>LXND2506-05</t>
  </si>
  <si>
    <t>LXND2506-06</t>
  </si>
  <si>
    <t>LXCOLL_20250610_1_0243_1</t>
  </si>
  <si>
    <t>LXND2506-07</t>
  </si>
  <si>
    <t>LXND2506-08</t>
  </si>
  <si>
    <t>LXND2506-09</t>
  </si>
  <si>
    <t>LXND2506-10</t>
  </si>
  <si>
    <t>LXND2506-11</t>
  </si>
  <si>
    <t>LXCOLL_20250610_1_0244_1</t>
  </si>
  <si>
    <t>LXND2506-12</t>
  </si>
  <si>
    <t>LXND2506-13</t>
  </si>
  <si>
    <t>LXND2506-14</t>
  </si>
  <si>
    <t>LXND2506-15</t>
  </si>
  <si>
    <t>LXND2506-16</t>
  </si>
  <si>
    <t>LXND2506-17</t>
  </si>
  <si>
    <t>LXND2506-18</t>
  </si>
  <si>
    <t>LXND2506-19</t>
  </si>
  <si>
    <t>LXND2506-20</t>
  </si>
  <si>
    <t>LXND2506-21</t>
  </si>
  <si>
    <t>LXND2506-22</t>
  </si>
  <si>
    <t>LXND2506-23</t>
  </si>
  <si>
    <t>LXND2506-24</t>
  </si>
  <si>
    <t>LXND2506-25</t>
  </si>
  <si>
    <t>full body repro</t>
  </si>
  <si>
    <t>LXND2506-26</t>
  </si>
  <si>
    <t>LXND2506-27</t>
  </si>
  <si>
    <t>LXND2506-28</t>
  </si>
  <si>
    <t>LXND2506-29</t>
  </si>
  <si>
    <t>LXND2506-30</t>
  </si>
  <si>
    <t>LXND2506-31</t>
  </si>
  <si>
    <t>LXND2506-32</t>
  </si>
  <si>
    <t>LXND2506-33</t>
  </si>
  <si>
    <t>LXND2506-34</t>
  </si>
  <si>
    <t>LXND2506-35</t>
  </si>
  <si>
    <t>LXND2506-36</t>
  </si>
  <si>
    <t>LXND2506-37</t>
  </si>
  <si>
    <t>LXND2506-38</t>
  </si>
  <si>
    <t>LXND2506-39</t>
  </si>
  <si>
    <t>LXND2506-40</t>
  </si>
  <si>
    <t>LXND2506-41</t>
  </si>
  <si>
    <t>LXND2506-42</t>
  </si>
  <si>
    <t>LXND2506-43</t>
  </si>
  <si>
    <t>LXND2506-44</t>
  </si>
  <si>
    <t>LXND2506-45</t>
  </si>
  <si>
    <t>LXND2506-46</t>
  </si>
  <si>
    <t>LXND2506-47</t>
  </si>
  <si>
    <t>LXND2506-48</t>
  </si>
  <si>
    <t>LXND2506-49</t>
  </si>
  <si>
    <t>LXND2506-50</t>
  </si>
  <si>
    <t>LXND2506-51</t>
  </si>
  <si>
    <t>LXSD2506-01</t>
  </si>
  <si>
    <t>LXCOLL_20250610_1_0246_1</t>
  </si>
  <si>
    <t>pea crab 0.82</t>
  </si>
  <si>
    <t>LXSD2506-02</t>
  </si>
  <si>
    <t>pea crab 0.40</t>
  </si>
  <si>
    <t>LXSD2506-03</t>
  </si>
  <si>
    <t>LXSD2506-04</t>
  </si>
  <si>
    <t>pea crab 0.94</t>
  </si>
  <si>
    <t>LXSD2506-05</t>
  </si>
  <si>
    <t>LXSD2506-06</t>
  </si>
  <si>
    <t>LXCOLL_20250610_1_0247_1</t>
  </si>
  <si>
    <t>LXSD2506-07</t>
  </si>
  <si>
    <t>LXSD2506-08</t>
  </si>
  <si>
    <t>LXSD2506-09</t>
  </si>
  <si>
    <t>LXSD2506-10</t>
  </si>
  <si>
    <t>LXSD2506-11</t>
  </si>
  <si>
    <t>LXCOLL_20250610_1_0249_1</t>
  </si>
  <si>
    <t>LXSD2506-12</t>
  </si>
  <si>
    <t>LXSD2506-13</t>
  </si>
  <si>
    <t>pea crab 0.48</t>
  </si>
  <si>
    <t>LXSD2506-14</t>
  </si>
  <si>
    <t>LXSD2506-15</t>
  </si>
  <si>
    <t>LXND2502-01</t>
  </si>
  <si>
    <t>LXCOLL_20250211_1_0242_1</t>
  </si>
  <si>
    <t>pea crab 0.52g</t>
  </si>
  <si>
    <t>LXND2502-02</t>
  </si>
  <si>
    <t>LXND2502-03</t>
  </si>
  <si>
    <t>LXND2502-04</t>
  </si>
  <si>
    <t>LXND2502-05</t>
  </si>
  <si>
    <t>LXND2502-06</t>
  </si>
  <si>
    <t>LXCOLL_20250211_1_0243_1</t>
  </si>
  <si>
    <t>pea crab 0.45g</t>
  </si>
  <si>
    <t>LXND2502-07</t>
  </si>
  <si>
    <t>LXND2502-08</t>
  </si>
  <si>
    <t>LXND2502-09</t>
  </si>
  <si>
    <t>LXND2502-10</t>
  </si>
  <si>
    <t>pea crab 0.91g</t>
  </si>
  <si>
    <t>LXND2502-11</t>
  </si>
  <si>
    <t>LXCOLL_20250211_1_0244_1</t>
  </si>
  <si>
    <t>LXND2502-12</t>
  </si>
  <si>
    <t>LXND2502-13</t>
  </si>
  <si>
    <t>LXND2502-14</t>
  </si>
  <si>
    <t>LXND2502-15</t>
  </si>
  <si>
    <t>LXND2503-01</t>
  </si>
  <si>
    <t>LXND2503-02</t>
  </si>
  <si>
    <t>LXND2503-03</t>
  </si>
  <si>
    <t>LXND2503-04</t>
  </si>
  <si>
    <t>LXND2503-05</t>
  </si>
  <si>
    <t>LXND2503-06</t>
  </si>
  <si>
    <t>LXND2503-07</t>
  </si>
  <si>
    <t>LXND2503-08</t>
  </si>
  <si>
    <t>LXND2503-09</t>
  </si>
  <si>
    <t>LXND2503-10</t>
  </si>
  <si>
    <t>LXND2503-11</t>
  </si>
  <si>
    <t>LXND2503-12</t>
  </si>
  <si>
    <t>LXND2503-13</t>
  </si>
  <si>
    <t>LXND2503-14</t>
  </si>
  <si>
    <t>LXND2503-15</t>
  </si>
  <si>
    <t>Extra sex ratio samples, no dermo data</t>
  </si>
  <si>
    <t>LXND2504-01</t>
  </si>
  <si>
    <t>LXND2504-02</t>
  </si>
  <si>
    <t>LXND2504-03</t>
  </si>
  <si>
    <t>LXND2504-04</t>
  </si>
  <si>
    <t>LXND2504-05</t>
  </si>
  <si>
    <t>LXND2504-06</t>
  </si>
  <si>
    <t>0.64 pea crab</t>
  </si>
  <si>
    <t>LXND2504-07</t>
  </si>
  <si>
    <t>LXND2504-08</t>
  </si>
  <si>
    <t>LXND2504-09</t>
  </si>
  <si>
    <t>LXND2504-10</t>
  </si>
  <si>
    <t>LXND2504-11</t>
  </si>
  <si>
    <t>LXND2504-12</t>
  </si>
  <si>
    <t>LXND2504-13</t>
  </si>
  <si>
    <t>LXND2504-14</t>
  </si>
  <si>
    <t>LXND2504-15</t>
  </si>
  <si>
    <t>pea crab 0.26</t>
  </si>
  <si>
    <t>LXND2505-01</t>
  </si>
  <si>
    <t>LXND2505-02</t>
  </si>
  <si>
    <t>LXND2505-03</t>
  </si>
  <si>
    <t>LXND2505-04</t>
  </si>
  <si>
    <t>LXND2505-05</t>
  </si>
  <si>
    <t>LXND2505-06</t>
  </si>
  <si>
    <t>LXND2505-07</t>
  </si>
  <si>
    <t>LXND2505-08</t>
  </si>
  <si>
    <t>LXND2505-09</t>
  </si>
  <si>
    <t>LXND2505-10</t>
  </si>
  <si>
    <t>LXND2505-11</t>
  </si>
  <si>
    <t>LXND2505-12</t>
  </si>
  <si>
    <t>LXND2505-13</t>
  </si>
  <si>
    <t>LXND2505-14</t>
  </si>
  <si>
    <t>LXND2505-15</t>
  </si>
  <si>
    <t>pea crab 0.11g</t>
  </si>
  <si>
    <t>LXSD2502-01</t>
  </si>
  <si>
    <t>LXCOLL_20250211_1_0246_1</t>
  </si>
  <si>
    <t>pea crab 0.02g</t>
  </si>
  <si>
    <t>LXSD2502-02</t>
  </si>
  <si>
    <t>LXSD2502-03</t>
  </si>
  <si>
    <t>LXSD2502-04</t>
  </si>
  <si>
    <t>LXSD2502-05</t>
  </si>
  <si>
    <t>LXSD2502-06</t>
  </si>
  <si>
    <t>LXCOLL_20250211_1_0247_1</t>
  </si>
  <si>
    <t>LXSD2502-07</t>
  </si>
  <si>
    <t>LXSD2502-08</t>
  </si>
  <si>
    <t>LXSD2502-09</t>
  </si>
  <si>
    <t>LXSD2502-10</t>
  </si>
  <si>
    <t>LXSD2502-11</t>
  </si>
  <si>
    <t>LXCOLL_20250211_1_0249_1</t>
  </si>
  <si>
    <t>LXSD2502-12</t>
  </si>
  <si>
    <t>LXSD2502-13</t>
  </si>
  <si>
    <t>LXSD2502-14</t>
  </si>
  <si>
    <t>LXSD2502-15</t>
  </si>
  <si>
    <t>LXSD2503-01</t>
  </si>
  <si>
    <t>LXCOLL_20250318_1_0246_1</t>
  </si>
  <si>
    <t>LXSD2503-02</t>
  </si>
  <si>
    <t>LXSD2503-03</t>
  </si>
  <si>
    <t>LXSD2503-04</t>
  </si>
  <si>
    <t>LXSD2503-05</t>
  </si>
  <si>
    <t>LXSD2503-06</t>
  </si>
  <si>
    <t>LXCOLL_20250318_1_0247_1</t>
  </si>
  <si>
    <t>0.64g pea crab</t>
  </si>
  <si>
    <t>LXSD2503-07</t>
  </si>
  <si>
    <t>0.62g pea crab</t>
  </si>
  <si>
    <t>LXSD2503-08</t>
  </si>
  <si>
    <t>LXSD2503-09</t>
  </si>
  <si>
    <t>LXSD2503-10</t>
  </si>
  <si>
    <t>LXSD2503-11</t>
  </si>
  <si>
    <t>LXCOLL_20250318_1_0249_1</t>
  </si>
  <si>
    <t>LXSD2503-12</t>
  </si>
  <si>
    <t>LXSD2503-13</t>
  </si>
  <si>
    <t>LXSD2503-14</t>
  </si>
  <si>
    <t>LXSD2503-15</t>
  </si>
  <si>
    <t>LXSD2504-01</t>
  </si>
  <si>
    <t>LXCOLL_20250408_1_0246_1</t>
  </si>
  <si>
    <t>LXSD2504-02</t>
  </si>
  <si>
    <t>LXSD2504-03</t>
  </si>
  <si>
    <t>LXSD2504-04</t>
  </si>
  <si>
    <t>LXSD2504-05</t>
  </si>
  <si>
    <t>LXSD2504-06</t>
  </si>
  <si>
    <t>LXCOLL_20250408_1_0247_1</t>
  </si>
  <si>
    <t>LXSD2504-07</t>
  </si>
  <si>
    <t>LXSD2504-08</t>
  </si>
  <si>
    <t>LXSD2504-09</t>
  </si>
  <si>
    <t>LXSD2504-10</t>
  </si>
  <si>
    <t>0.54 pea crab</t>
  </si>
  <si>
    <t>LXSD2504-11</t>
  </si>
  <si>
    <t>LXCOLL_20250408_1_0249_1</t>
  </si>
  <si>
    <t>0.53 pea crab</t>
  </si>
  <si>
    <t>LXSD2504-12</t>
  </si>
  <si>
    <t>LXSD2504-13</t>
  </si>
  <si>
    <t>LXSD2504-14</t>
  </si>
  <si>
    <t>LXSD2504-15</t>
  </si>
  <si>
    <t>LXSD2505-01</t>
  </si>
  <si>
    <t>LXCOLL_20250506_1_0246_1</t>
  </si>
  <si>
    <t>LXSD2505-02</t>
  </si>
  <si>
    <t>LXSD2505-03</t>
  </si>
  <si>
    <t>LXSD2505-04</t>
  </si>
  <si>
    <t>LXSD2505-05</t>
  </si>
  <si>
    <t>LXSD2505-06</t>
  </si>
  <si>
    <t>LXCOLL_20250506_1_0247_1</t>
  </si>
  <si>
    <t>LXSD2505-07</t>
  </si>
  <si>
    <t>LXSD2505-08</t>
  </si>
  <si>
    <t>LXSD2505-09</t>
  </si>
  <si>
    <t>LXSD2505-10</t>
  </si>
  <si>
    <t>LXSD2505-11</t>
  </si>
  <si>
    <t>LXCOLL_20250506_1_0249_1</t>
  </si>
  <si>
    <t>LXSD2505-12</t>
  </si>
  <si>
    <t>LXSD2505-13</t>
  </si>
  <si>
    <t>LXSD2505-14</t>
  </si>
  <si>
    <t>LXSD2505-15</t>
  </si>
  <si>
    <t>LXND2507-01</t>
  </si>
  <si>
    <t>LXCOLL_20250708_1_0242_1</t>
  </si>
  <si>
    <t>0.51 pea crab</t>
  </si>
  <si>
    <t>LXND2507-02</t>
  </si>
  <si>
    <t>LXND2507-03</t>
  </si>
  <si>
    <t>LXND2507-04</t>
  </si>
  <si>
    <t>LXND2507-05</t>
  </si>
  <si>
    <t>LXND2507-06</t>
  </si>
  <si>
    <t>LXCOLL_20250708_1_0243_1</t>
  </si>
  <si>
    <t>LXND2507-07</t>
  </si>
  <si>
    <t>LXND2507-08</t>
  </si>
  <si>
    <t>0.38 pea crab</t>
  </si>
  <si>
    <t>LXND2507-09</t>
  </si>
  <si>
    <t>0.68 pea crab</t>
  </si>
  <si>
    <t>LXND2507-10</t>
  </si>
  <si>
    <t>LXND2507-11</t>
  </si>
  <si>
    <t>LXCOLL_20250708_1_0244_1</t>
  </si>
  <si>
    <t>LXND2507-12</t>
  </si>
  <si>
    <t>LXND2507-13</t>
  </si>
  <si>
    <t>LXND2507-14</t>
  </si>
  <si>
    <t>LXND2507-15</t>
  </si>
  <si>
    <t>LXND2507-16</t>
  </si>
  <si>
    <t>LXND2507-17</t>
  </si>
  <si>
    <t>pea crab 0.29</t>
  </si>
  <si>
    <t>LXND2507-18</t>
  </si>
  <si>
    <t>LXND2507-19</t>
  </si>
  <si>
    <t>LXND2507-20</t>
  </si>
  <si>
    <t>LXND2507-21</t>
  </si>
  <si>
    <t>LXND2507-22</t>
  </si>
  <si>
    <t>Spat on shell, full body repro</t>
  </si>
  <si>
    <t>LXND2507-23</t>
  </si>
  <si>
    <t>Full body repro</t>
  </si>
  <si>
    <t>LXND2507-24</t>
  </si>
  <si>
    <t>LXND2507-25</t>
  </si>
  <si>
    <t>LXND2507-26</t>
  </si>
  <si>
    <t>LXND2507-27</t>
  </si>
  <si>
    <t>LXND2507-28</t>
  </si>
  <si>
    <t>LXND2507-29</t>
  </si>
  <si>
    <t>LXND2507-30</t>
  </si>
  <si>
    <t>LXND2507-31</t>
  </si>
  <si>
    <t>LXND2507-32</t>
  </si>
  <si>
    <t>Spat on shell</t>
  </si>
  <si>
    <t>LXND2507-33</t>
  </si>
  <si>
    <t>LXND2507-34</t>
  </si>
  <si>
    <t>LXND2507-35</t>
  </si>
  <si>
    <t>LXND2507-36</t>
  </si>
  <si>
    <t>LXND2507-37</t>
  </si>
  <si>
    <t>LXND2507-38</t>
  </si>
  <si>
    <t>LXND2507-39</t>
  </si>
  <si>
    <t>LXND2507-40</t>
  </si>
  <si>
    <t>LXND2507-41</t>
  </si>
  <si>
    <t>LXND2507-42</t>
  </si>
  <si>
    <t>LXND2507-43</t>
  </si>
  <si>
    <t>LXND2507-44</t>
  </si>
  <si>
    <t>LXND2507-45</t>
  </si>
  <si>
    <t>LXND2507-46</t>
  </si>
  <si>
    <t>LXND2507-47</t>
  </si>
  <si>
    <t>LXND2507-48</t>
  </si>
  <si>
    <t>LXND2507-49</t>
  </si>
  <si>
    <t>LXND2508-01</t>
  </si>
  <si>
    <t>LXCOLL_20250805_1_0242_1</t>
  </si>
  <si>
    <t>pea crab 0.85</t>
  </si>
  <si>
    <t>LXND2508-02</t>
  </si>
  <si>
    <t>LXND2508-03</t>
  </si>
  <si>
    <t>LXND2508-04</t>
  </si>
  <si>
    <t>LXND2508-05</t>
  </si>
  <si>
    <t>LXND2508-06</t>
  </si>
  <si>
    <t>LXCOLL_20250805_1_0243_1</t>
  </si>
  <si>
    <t>LXND2508-07</t>
  </si>
  <si>
    <t>LXND2508-08</t>
  </si>
  <si>
    <t>LXND2508-09</t>
  </si>
  <si>
    <t>LXND2508-10</t>
  </si>
  <si>
    <t>LXND2508-11</t>
  </si>
  <si>
    <t>LXCOLL_20250805_1_0244_1</t>
  </si>
  <si>
    <t>LXND2508-12</t>
  </si>
  <si>
    <t>LXND2508-13</t>
  </si>
  <si>
    <t>LXND2508-14</t>
  </si>
  <si>
    <t>LXND2508-15</t>
  </si>
  <si>
    <t>LXND2508-16</t>
  </si>
  <si>
    <t>Entered</t>
  </si>
  <si>
    <t>LXND2508-17</t>
  </si>
  <si>
    <t>LXND2508-18</t>
  </si>
  <si>
    <t>LXND2508-19</t>
  </si>
  <si>
    <t>LXND2508-20</t>
  </si>
  <si>
    <t>LXND2508-21</t>
  </si>
  <si>
    <t>LXND2508-22</t>
  </si>
  <si>
    <t>LXND2508-23</t>
  </si>
  <si>
    <t>LXND2508-24</t>
  </si>
  <si>
    <t>LXND2508-25</t>
  </si>
  <si>
    <t>LXND2508-26</t>
  </si>
  <si>
    <t>LXND2508-27</t>
  </si>
  <si>
    <t>LXND2508-28</t>
  </si>
  <si>
    <t>LXND2508-29</t>
  </si>
  <si>
    <t>LXND2508-30</t>
  </si>
  <si>
    <t>LXND2508-31</t>
  </si>
  <si>
    <t>LXND2508-32</t>
  </si>
  <si>
    <t>LXND2508-33</t>
  </si>
  <si>
    <t>LXND2508-34</t>
  </si>
  <si>
    <t>LXND2508-35</t>
  </si>
  <si>
    <t>LXND2508-36</t>
  </si>
  <si>
    <t>LXND2508-37</t>
  </si>
  <si>
    <t>LXND2508-38</t>
  </si>
  <si>
    <t>LXND2508-39</t>
  </si>
  <si>
    <t>LXND2508-40</t>
  </si>
  <si>
    <t>LXND2508-41</t>
  </si>
  <si>
    <t>LXND2508-42</t>
  </si>
  <si>
    <t>LXND2508-43</t>
  </si>
  <si>
    <t>LXND2508-44</t>
  </si>
  <si>
    <t>LXND2508-45</t>
  </si>
  <si>
    <t>LXND2508-46</t>
  </si>
  <si>
    <t>LXND2508-47</t>
  </si>
  <si>
    <t>LXND2508-48</t>
  </si>
  <si>
    <t>LXND2508-49</t>
  </si>
  <si>
    <t>LXND2508-50</t>
  </si>
  <si>
    <t>LXND2508-51</t>
  </si>
  <si>
    <t>LXND2508-52</t>
  </si>
  <si>
    <t>Spat on shell, full body repro, just top shell of spat = 0.03g</t>
  </si>
  <si>
    <t>LXND2509-01</t>
  </si>
  <si>
    <t>LXCOLL_20250903_1_0242_1</t>
  </si>
  <si>
    <t>LXND2509-02</t>
  </si>
  <si>
    <t>LXND2509-03</t>
  </si>
  <si>
    <t>LXND2509-04</t>
  </si>
  <si>
    <t>LXND2509-05</t>
  </si>
  <si>
    <t>LXND2509-06</t>
  </si>
  <si>
    <t>LXCOLL_20250903_1_0243_1</t>
  </si>
  <si>
    <t>LXND2509-07</t>
  </si>
  <si>
    <t>LXND2509-08</t>
  </si>
  <si>
    <t>LXND2509-09</t>
  </si>
  <si>
    <t>LXND2509-10</t>
  </si>
  <si>
    <t>LXND2509-11</t>
  </si>
  <si>
    <t>LXCOLL_20250903_1_0244_1</t>
  </si>
  <si>
    <t>LXND2509-12</t>
  </si>
  <si>
    <t>LXND2509-13</t>
  </si>
  <si>
    <t>LXND2509-14</t>
  </si>
  <si>
    <t>LXND2509-15</t>
  </si>
  <si>
    <t>LXND2509-16</t>
  </si>
  <si>
    <t>LXND2509-17</t>
  </si>
  <si>
    <t>LXND2509-18</t>
  </si>
  <si>
    <t>LXND2509-19</t>
  </si>
  <si>
    <t>LXND2509-20</t>
  </si>
  <si>
    <t>LXND2509-21</t>
  </si>
  <si>
    <t>LXND2509-22</t>
  </si>
  <si>
    <t>LXND2509-23</t>
  </si>
  <si>
    <t>LXND2509-24</t>
  </si>
  <si>
    <t>LXND2509-25</t>
  </si>
  <si>
    <t>LXND2509-26</t>
  </si>
  <si>
    <t>LXND2509-27</t>
  </si>
  <si>
    <t>LXND2509-28</t>
  </si>
  <si>
    <t>LXND2509-29</t>
  </si>
  <si>
    <t>LXND2509-30</t>
  </si>
  <si>
    <t>LXND2509-31</t>
  </si>
  <si>
    <t>LXND2509-32</t>
  </si>
  <si>
    <t>LXND2509-33</t>
  </si>
  <si>
    <t>LXND2509-34</t>
  </si>
  <si>
    <t>LXND2509-35</t>
  </si>
  <si>
    <t>LXND2509-36</t>
  </si>
  <si>
    <t>LXND2509-37</t>
  </si>
  <si>
    <t>LXND2509-38</t>
  </si>
  <si>
    <t>LXND2509-39</t>
  </si>
  <si>
    <t>LXND2509-40</t>
  </si>
  <si>
    <t>LXND2509-41</t>
  </si>
  <si>
    <t>LXND2509-42</t>
  </si>
  <si>
    <t>LXND2509-43</t>
  </si>
  <si>
    <t>LXND2509-44</t>
  </si>
  <si>
    <t>LXND2509-45</t>
  </si>
  <si>
    <t>LXSD2507-01</t>
  </si>
  <si>
    <t>LXCOLL_20250708_1_0246_1</t>
  </si>
  <si>
    <t>LXSD2507-02</t>
  </si>
  <si>
    <t>LXSD2507-03</t>
  </si>
  <si>
    <t>LXSD2507-04</t>
  </si>
  <si>
    <t>LXSD2507-05</t>
  </si>
  <si>
    <t>LXSD2507-06</t>
  </si>
  <si>
    <t>LXCOLL_20250708_1_0247_1</t>
  </si>
  <si>
    <t>LXSD2507-07</t>
  </si>
  <si>
    <t>0.41 pea crab</t>
  </si>
  <si>
    <t>LXSD2507-08</t>
  </si>
  <si>
    <t>LXSD2507-09</t>
  </si>
  <si>
    <t>LXSD2507-10</t>
  </si>
  <si>
    <t>LXSD2507-11</t>
  </si>
  <si>
    <t>LXCOLL_20250708_1_0249_1</t>
  </si>
  <si>
    <t>LXSD2507-12</t>
  </si>
  <si>
    <t>LXSD2507-13</t>
  </si>
  <si>
    <t>LXSD2507-14</t>
  </si>
  <si>
    <t>LXSD2507-15</t>
  </si>
  <si>
    <t>LXSD2508-01</t>
  </si>
  <si>
    <t>LXCOLL_20250805_1_0246_1</t>
  </si>
  <si>
    <t>LXSD2508-02</t>
  </si>
  <si>
    <t>LXSD2508-03</t>
  </si>
  <si>
    <t>LXSD2508-04</t>
  </si>
  <si>
    <t>LXSD2508-05</t>
  </si>
  <si>
    <t>LXSD2508-06</t>
  </si>
  <si>
    <t>LXCOLL_20250805_1_0247_1</t>
  </si>
  <si>
    <t>LXSD2508-07</t>
  </si>
  <si>
    <t>LXSD2508-08</t>
  </si>
  <si>
    <t>LXSD2508-09</t>
  </si>
  <si>
    <t>LXSD2508-10</t>
  </si>
  <si>
    <t>LXSD2508-11</t>
  </si>
  <si>
    <t>LXCOLL_20250805_1_0249_1</t>
  </si>
  <si>
    <t>LXSD2508-12</t>
  </si>
  <si>
    <t>LXSD2508-13</t>
  </si>
  <si>
    <t>LXSD2508-14</t>
  </si>
  <si>
    <t>LXSD2508-15</t>
  </si>
  <si>
    <t>LXSD2509-01</t>
  </si>
  <si>
    <t>LXCOLL_20250904_1_0246_1</t>
  </si>
  <si>
    <t>LXSD2509-02</t>
  </si>
  <si>
    <t>LXSD2509-03</t>
  </si>
  <si>
    <t>LXSD2509-04</t>
  </si>
  <si>
    <t>LXSD2509-05</t>
  </si>
  <si>
    <t>LXSD2509-06</t>
  </si>
  <si>
    <t>LXCOLL_20250904_1_0247_1</t>
  </si>
  <si>
    <t>LXSD2509-07</t>
  </si>
  <si>
    <t>LXSD2509-08</t>
  </si>
  <si>
    <t>pea crab 0.72g</t>
  </si>
  <si>
    <t>LXSD2509-09</t>
  </si>
  <si>
    <t>LXSD2509-10</t>
  </si>
  <si>
    <t>LXSD2509-11</t>
  </si>
  <si>
    <t>LXCOLL_20250904_1_0249_1</t>
  </si>
  <si>
    <t>LXSD2509-12</t>
  </si>
  <si>
    <t>LXSD2509-13</t>
  </si>
  <si>
    <t>LXSD2509-14</t>
  </si>
  <si>
    <t>LXSD2509-15</t>
  </si>
  <si>
    <t>Note</t>
  </si>
  <si>
    <t>Pulling all data, not just supplementary data.Reducing columns copied. Using SexRatio_data gather.sql</t>
  </si>
  <si>
    <t>LXCOLL_20200107_1_0242_1_01</t>
  </si>
  <si>
    <t>LXCOLL_20200107_1_0242_1</t>
  </si>
  <si>
    <t>LXCOLL_20200107_1_0243_1_01</t>
  </si>
  <si>
    <t>LXCOLL_20200107_1_0243_1</t>
  </si>
  <si>
    <t>LXCOLL_20200107_1_0244_1_01</t>
  </si>
  <si>
    <t>LXCOLL_20200107_1_0244_1</t>
  </si>
  <si>
    <t>LXCOLL_20200107_1_0246_1_01</t>
  </si>
  <si>
    <t>LXCOLL_20200107_1_0246_1</t>
  </si>
  <si>
    <t>LXCOLL_20200107_1_0247_1_01</t>
  </si>
  <si>
    <t>LXCOLL_20200107_1_0247_1</t>
  </si>
  <si>
    <t>LXCOLL_20200107_1_0249_1_01</t>
  </si>
  <si>
    <t>LXCOLL_20200107_1_0249_1</t>
  </si>
  <si>
    <t>LXCOLL_20200204_1_0242_1_01</t>
  </si>
  <si>
    <t>LXCOLL_20200204_1_0242_1</t>
  </si>
  <si>
    <t>LXCOLL_20200204_1_0243_1_01</t>
  </si>
  <si>
    <t>LXCOLL_20200204_1_0243_1</t>
  </si>
  <si>
    <t>LXCOLL_20200204_1_0244_1_01</t>
  </si>
  <si>
    <t>LXCOLL_20200204_1_0244_1</t>
  </si>
  <si>
    <t>LXCOLL_20200204_1_0246_1_01</t>
  </si>
  <si>
    <t>LXCOLL_20200204_1_0246_1</t>
  </si>
  <si>
    <t>LXCOLL_20200204_1_0247_1_01</t>
  </si>
  <si>
    <t>LXCOLL_20200204_1_0247_1</t>
  </si>
  <si>
    <t>LXCOLL_20200204_1_0249_1_01</t>
  </si>
  <si>
    <t>LXCOLL_20200204_1_0249_1</t>
  </si>
  <si>
    <t>LXCOLL_20200303_1_0246_1_01</t>
  </si>
  <si>
    <t>LXCOLL_20200303_1_0246_1</t>
  </si>
  <si>
    <t>LXCOLL_20200303_1_0247_1_01</t>
  </si>
  <si>
    <t>LXCOLL_20200303_1_0247_1</t>
  </si>
  <si>
    <t>LXCOLL_20200303_1_0249_1_01</t>
  </si>
  <si>
    <t>LXCOLL_20200303_1_0249_1</t>
  </si>
  <si>
    <t>LXCOLL_20200304_1_0242_1_01</t>
  </si>
  <si>
    <t>LXCOLL_20200304_1_0242_1</t>
  </si>
  <si>
    <t>LXCOLL_20200304_1_0243_1_01</t>
  </si>
  <si>
    <t>LXCOLL_20200304_1_0243_1</t>
  </si>
  <si>
    <t>LXCOLL_20200304_1_0244_1_01</t>
  </si>
  <si>
    <t>LXCOLL_20200304_1_0244_1</t>
  </si>
  <si>
    <t>LXCOLL_20200612_1_0242_1_01</t>
  </si>
  <si>
    <t>LXCOLL_20200612_1_0242_1</t>
  </si>
  <si>
    <t>LXCOLL_20200612_1_0243_1_01</t>
  </si>
  <si>
    <t>LXCOLL_20200612_1_0243_1</t>
  </si>
  <si>
    <t>LXCOLL_20200612_1_0244_1_01</t>
  </si>
  <si>
    <t>LXCOLL_20200612_1_0244_1</t>
  </si>
  <si>
    <t>LXCOLL_20200612_1_0246_1_01</t>
  </si>
  <si>
    <t>LXCOLL_20200612_1_0246_1</t>
  </si>
  <si>
    <t>LXCOLL_20200612_1_0247_1_01</t>
  </si>
  <si>
    <t>LXCOLL_20200612_1_0247_1</t>
  </si>
  <si>
    <t>LXCOLL_20200612_1_0249_1_01</t>
  </si>
  <si>
    <t>LXCOLL_20200612_1_0249_1</t>
  </si>
  <si>
    <t>LXCOLL_20200724_1_0242_1_01</t>
  </si>
  <si>
    <t>LXCOLL_20200724_1_0242_1</t>
  </si>
  <si>
    <t>LXCOLL_20200724_1_0243_1_01</t>
  </si>
  <si>
    <t>LXCOLL_20200724_1_0243_1</t>
  </si>
  <si>
    <t>LXCOLL_20200724_1_0244_1_01</t>
  </si>
  <si>
    <t>LXCOLL_20200724_1_0244_1</t>
  </si>
  <si>
    <t>LXCOLL_20200724_1_0246_1_01</t>
  </si>
  <si>
    <t>LXCOLL_20200724_1_0246_1</t>
  </si>
  <si>
    <t>LXCOLL_20200724_1_0247_1_01</t>
  </si>
  <si>
    <t>LXCOLL_20200724_1_0247_1</t>
  </si>
  <si>
    <t>LXCOLL_20200724_1_0249_1_01</t>
  </si>
  <si>
    <t>LXCOLL_20200724_1_0249_1</t>
  </si>
  <si>
    <t>LXCOLL_20200821_1_0242_1_01</t>
  </si>
  <si>
    <t>LXCOLL_20200821_1_0242_1</t>
  </si>
  <si>
    <t>LXCOLL_20200821_1_0243_1_01</t>
  </si>
  <si>
    <t>LXCOLL_20200821_1_0243_1</t>
  </si>
  <si>
    <t>LXCOLL_20200821_1_0244_1_01</t>
  </si>
  <si>
    <t>LXCOLL_20200821_1_0244_1</t>
  </si>
  <si>
    <t>LXCOLL_20200821_1_0246_1_01</t>
  </si>
  <si>
    <t>LXCOLL_20200821_1_0246_1</t>
  </si>
  <si>
    <t>LXCOLL_20200821_1_0247_1_01</t>
  </si>
  <si>
    <t>LXCOLL_20200821_1_0247_1</t>
  </si>
  <si>
    <t>LXCOLL_20200821_1_0249_1_01</t>
  </si>
  <si>
    <t>LXCOLL_20200821_1_0249_1</t>
  </si>
  <si>
    <t>LXCOLL_20200916_1_0246_1_01</t>
  </si>
  <si>
    <t>LXCOLL_20200916_1_0246_1</t>
  </si>
  <si>
    <t>LXCOLL_20200916_1_0247_1_01</t>
  </si>
  <si>
    <t>LXCOLL_20200916_1_0247_1</t>
  </si>
  <si>
    <t>LXCOLL_20200916_1_0249_1_01</t>
  </si>
  <si>
    <t>LXCOLL_20200916_1_0249_1</t>
  </si>
  <si>
    <t>LXCOLL_20200917_1_0242_1_01</t>
  </si>
  <si>
    <t>LXCOLL_20200917_1_0242_1</t>
  </si>
  <si>
    <t>LXCOLL_20200917_1_0243_1_01</t>
  </si>
  <si>
    <t>LXCOLL_20200917_1_0243_1</t>
  </si>
  <si>
    <t>LXCOLL_20200917_1_0244_1_01</t>
  </si>
  <si>
    <t>LXCOLL_20200917_1_0244_1</t>
  </si>
  <si>
    <t>LXCOLL_20201006_1_0242_1_01</t>
  </si>
  <si>
    <t>LXCOLL_20201006_1_0242_1</t>
  </si>
  <si>
    <t>LXCOLL_20201006_1_0243_1_01</t>
  </si>
  <si>
    <t>LXCOLL_20201006_1_0243_1</t>
  </si>
  <si>
    <t>LXCOLL_20201006_1_0244_1_01</t>
  </si>
  <si>
    <t>LXCOLL_20201006_1_0244_1</t>
  </si>
  <si>
    <t>LXCOLL_20201006_1_0246_1_01</t>
  </si>
  <si>
    <t>LXCOLL_20201006_1_0246_1</t>
  </si>
  <si>
    <t>LXCOLL_20201006_1_0247_1_01</t>
  </si>
  <si>
    <t>LXCOLL_20201006_1_0247_1</t>
  </si>
  <si>
    <t>LXCOLL_20201006_1_0249_1_01</t>
  </si>
  <si>
    <t>LXCOLL_20201006_1_0249_1</t>
  </si>
  <si>
    <t>LXCOLL_20201102_1_0242_1_01</t>
  </si>
  <si>
    <t>LXCOLL_20201102_1_0242_1</t>
  </si>
  <si>
    <t>LXCOLL_20201102_1_0243_1_01</t>
  </si>
  <si>
    <t>LXCOLL_20201102_1_0243_1</t>
  </si>
  <si>
    <t>LXCOLL_20201102_1_0244_1_01</t>
  </si>
  <si>
    <t>LXCOLL_20201102_1_0244_1</t>
  </si>
  <si>
    <t>LXCOLL_20201102_1_0246_1_01</t>
  </si>
  <si>
    <t>LXCOLL_20201102_1_0246_1</t>
  </si>
  <si>
    <t>LXCOLL_20201102_1_0247_1_01</t>
  </si>
  <si>
    <t>LXCOLL_20201102_1_0247_1</t>
  </si>
  <si>
    <t>LXCOLL_20201102_1_0249_1_01</t>
  </si>
  <si>
    <t>LXCOLL_20201102_1_0249_1</t>
  </si>
  <si>
    <t>LXCOLL_20201202_1_0242_1_01</t>
  </si>
  <si>
    <t>LXCOLL_20201202_1_0242_1</t>
  </si>
  <si>
    <t>LXCOLL_20201202_1_0243_1_01</t>
  </si>
  <si>
    <t>LXCOLL_20201202_1_0243_1</t>
  </si>
  <si>
    <t>LXCOLL_20201202_1_0244_1_01</t>
  </si>
  <si>
    <t>LXCOLL_20201202_1_0244_1</t>
  </si>
  <si>
    <t>LXCOLL_20201202_1_0246_1_01</t>
  </si>
  <si>
    <t>LXCOLL_20201202_1_0246_1</t>
  </si>
  <si>
    <t>LXCOLL_20201202_1_0247_1_01</t>
  </si>
  <si>
    <t>LXCOLL_20201202_1_0247_1</t>
  </si>
  <si>
    <t>LXCOLL_20201202_1_0249_1_01</t>
  </si>
  <si>
    <t>LXCOLL_20201202_1_0249_1</t>
  </si>
  <si>
    <t>LXCOLL_20210105_1_0242_1_01</t>
  </si>
  <si>
    <t>LXCOLL_20210105_1_0242_1</t>
  </si>
  <si>
    <t>LXCOLL_20210105_1_0243_1_01</t>
  </si>
  <si>
    <t>LXCOLL_20210105_1_0243_1</t>
  </si>
  <si>
    <t>LXCOLL_20210105_1_0244_1_01</t>
  </si>
  <si>
    <t>LXCOLL_20210105_1_0244_1</t>
  </si>
  <si>
    <t>LXCOLL_20210105_1_0246_1_01</t>
  </si>
  <si>
    <t>LXCOLL_20210105_1_0246_1</t>
  </si>
  <si>
    <t>LXCOLL_20210105_1_0247_1_01</t>
  </si>
  <si>
    <t>LXCOLL_20210105_1_0247_1</t>
  </si>
  <si>
    <t>LXCOLL_20210105_1_0249_1_01</t>
  </si>
  <si>
    <t>LXCOLL_20210105_1_0249_1</t>
  </si>
  <si>
    <t>LXCOLL_20210203_1_0242_1_01</t>
  </si>
  <si>
    <t>LXCOLL_20210203_1_0242_1</t>
  </si>
  <si>
    <t>LXCOLL_20210203_1_0243_1_01</t>
  </si>
  <si>
    <t>LXCOLL_20210203_1_0243_1</t>
  </si>
  <si>
    <t>LXCOLL_20210203_1_0244_1_01</t>
  </si>
  <si>
    <t>LXCOLL_20210203_1_0244_1</t>
  </si>
  <si>
    <t>LXCOLL_20210203_1_0246_1_01</t>
  </si>
  <si>
    <t>LXCOLL_20210203_1_0246_1</t>
  </si>
  <si>
    <t>LXCOLL_20210203_1_0247_1_01</t>
  </si>
  <si>
    <t>LXCOLL_20210203_1_0247_1</t>
  </si>
  <si>
    <t>LXCOLL_20210203_1_0249_1_01</t>
  </si>
  <si>
    <t>LXCOLL_20210203_1_0249_1</t>
  </si>
  <si>
    <t>LXCOLL_20210302_1_0246_1_01</t>
  </si>
  <si>
    <t>LXCOLL_20210302_1_0246_1</t>
  </si>
  <si>
    <t>LXCOLL_20210302_1_0247_1_01</t>
  </si>
  <si>
    <t>LXCOLL_20210302_1_0247_1</t>
  </si>
  <si>
    <t>LXCOLL_20210302_1_0249_1_01</t>
  </si>
  <si>
    <t>LXCOLL_20210302_1_0249_1</t>
  </si>
  <si>
    <t>LXCOLL_20210303_1_0242_1_01</t>
  </si>
  <si>
    <t>LXCOLL_20210303_1_0242_1</t>
  </si>
  <si>
    <t>LXCOLL_20210303_1_0243_1_01</t>
  </si>
  <si>
    <t>LXCOLL_20210303_1_0243_1</t>
  </si>
  <si>
    <t>LXCOLL_20210303_1_0244_1_01</t>
  </si>
  <si>
    <t>LXCOLL_20210303_1_0244_1</t>
  </si>
  <si>
    <t>LXCOLL_20210406_1_0242_1_01</t>
  </si>
  <si>
    <t>LXCOLL_20210406_1_0242_1</t>
  </si>
  <si>
    <t>LXCOLL_20210406_1_0243_1_01</t>
  </si>
  <si>
    <t>LXCOLL_20210406_1_0243_1</t>
  </si>
  <si>
    <t>LXCOLL_20210406_1_0244_1_01</t>
  </si>
  <si>
    <t>LXCOLL_20210406_1_0244_1</t>
  </si>
  <si>
    <t>LXCOLL_20210406_1_0246_1_01</t>
  </si>
  <si>
    <t>LXCOLL_20210406_1_0246_1</t>
  </si>
  <si>
    <t>LXCOLL_20210406_1_0247_1_01</t>
  </si>
  <si>
    <t>LXCOLL_20210406_1_0247_1</t>
  </si>
  <si>
    <t>LXCOLL_20210406_1_0249_1_01</t>
  </si>
  <si>
    <t>LXCOLL_20210406_1_0249_1</t>
  </si>
  <si>
    <t>LXCOLL_20210504_1_0242_1_01</t>
  </si>
  <si>
    <t>LXCOLL_20210504_1_0242_1</t>
  </si>
  <si>
    <t>LXCOLL_20210504_1_0243_1_01</t>
  </si>
  <si>
    <t>LXCOLL_20210504_1_0243_1</t>
  </si>
  <si>
    <t>LXCOLL_20210504_1_0244_1_01</t>
  </si>
  <si>
    <t>LXCOLL_20210504_1_0244_1</t>
  </si>
  <si>
    <t>LXCOLL_20210504_1_0246_1_01</t>
  </si>
  <si>
    <t>LXCOLL_20210504_1_0246_1</t>
  </si>
  <si>
    <t>LXCOLL_20210504_1_0247_1_01</t>
  </si>
  <si>
    <t>LXCOLL_20210504_1_0247_1</t>
  </si>
  <si>
    <t>LXCOLL_20210504_1_0249_1_01</t>
  </si>
  <si>
    <t>LXCOLL_20210504_1_0249_1</t>
  </si>
  <si>
    <t>LXCOLL_20210607_1_0242_1_01</t>
  </si>
  <si>
    <t>LXCOLL_20210607_1_0242_1</t>
  </si>
  <si>
    <t>LXCOLL_20210607_1_0243_1_01</t>
  </si>
  <si>
    <t>LXCOLL_20210607_1_0243_1</t>
  </si>
  <si>
    <t>LXCOLL_20210607_1_0244_1_01</t>
  </si>
  <si>
    <t>LXCOLL_20210607_1_0244_1</t>
  </si>
  <si>
    <t>LXCOLL_20210607_1_0246_1_01</t>
  </si>
  <si>
    <t>LXCOLL_20210607_1_0246_1</t>
  </si>
  <si>
    <t>LXCOLL_20210607_1_0247_1_01</t>
  </si>
  <si>
    <t>LXCOLL_20210607_1_0247_1</t>
  </si>
  <si>
    <t>LXCOLL_20210607_1_0249_1_01</t>
  </si>
  <si>
    <t>LXCOLL_20210607_1_0249_1</t>
  </si>
  <si>
    <t>LXCOLL_20210712_1_0242_1_01</t>
  </si>
  <si>
    <t>LXCOLL_20210712_1_0242_1</t>
  </si>
  <si>
    <t>LXCOLL_20210712_1_0243_1_01</t>
  </si>
  <si>
    <t>LXCOLL_20210712_1_0243_1</t>
  </si>
  <si>
    <t>LXCOLL_20210712_1_0244_1_01</t>
  </si>
  <si>
    <t>LXCOLL_20210712_1_0244_1</t>
  </si>
  <si>
    <t>LXCOLL_20210712_1_0246_1_01</t>
  </si>
  <si>
    <t>LXCOLL_20210712_1_0246_1</t>
  </si>
  <si>
    <t>LXCOLL_20210712_1_0247_1_01</t>
  </si>
  <si>
    <t>LXCOLL_20210712_1_0247_1</t>
  </si>
  <si>
    <t>LXCOLL_20210712_1_0249_1_01</t>
  </si>
  <si>
    <t>LXCOLL_20210712_1_0249_1</t>
  </si>
  <si>
    <t>LXCOLL_20210803_1_0242_1_01</t>
  </si>
  <si>
    <t>LXCOLL_20210803_1_0242_1</t>
  </si>
  <si>
    <t>LXCOLL_20210803_1_0243_1_01</t>
  </si>
  <si>
    <t>LXCOLL_20210803_1_0243_1</t>
  </si>
  <si>
    <t>LXCOLL_20210803_1_0244_1_01</t>
  </si>
  <si>
    <t>LXCOLL_20210803_1_0244_1</t>
  </si>
  <si>
    <t>LXCOLL_20210803_1_0246_1_01</t>
  </si>
  <si>
    <t>LXCOLL_20210803_1_0246_1</t>
  </si>
  <si>
    <t>LXCOLL_20210803_1_0247_1_01</t>
  </si>
  <si>
    <t>LXCOLL_20210803_1_0247_1</t>
  </si>
  <si>
    <t>LXCOLL_20210803_1_0249_1_01</t>
  </si>
  <si>
    <t>LXCOLL_20210803_1_0249_1</t>
  </si>
  <si>
    <t>LXCOLL_20210909_1_0242_1_01</t>
  </si>
  <si>
    <t>LXCOLL_20210909_1_0242_1</t>
  </si>
  <si>
    <t>LXCOLL_20210909_1_0243_1_01</t>
  </si>
  <si>
    <t>LXCOLL_20210909_1_0243_1</t>
  </si>
  <si>
    <t>LXCOLL_20210909_1_0244_1_01</t>
  </si>
  <si>
    <t>LXCOLL_20210909_1_0244_1</t>
  </si>
  <si>
    <t>LXCOLL_20210909_1_0246_1_01</t>
  </si>
  <si>
    <t>LXCOLL_20210909_1_0246_1</t>
  </si>
  <si>
    <t>LXCOLL_20210909_1_0247_1_01</t>
  </si>
  <si>
    <t>LXCOLL_20210909_1_0247_1</t>
  </si>
  <si>
    <t>LXCOLL_20210909_1_0249_1_01</t>
  </si>
  <si>
    <t>LXCOLL_20210909_1_0249_1</t>
  </si>
  <si>
    <t>LXCOLL_20211005_1_0242_1_01</t>
  </si>
  <si>
    <t>LXCOLL_20211005_1_0242_1</t>
  </si>
  <si>
    <t>LXCOLL_20211005_1_0243_1_01</t>
  </si>
  <si>
    <t>LXCOLL_20211005_1_0243_1</t>
  </si>
  <si>
    <t>LXCOLL_20211005_1_0244_1_01</t>
  </si>
  <si>
    <t>LXCOLL_20211005_1_0244_1</t>
  </si>
  <si>
    <t>LXCOLL_20211005_1_0246_1_01</t>
  </si>
  <si>
    <t>LXCOLL_20211005_1_0246_1</t>
  </si>
  <si>
    <t>LXCOLL_20211005_1_0247_1_01</t>
  </si>
  <si>
    <t>LXCOLL_20211005_1_0247_1</t>
  </si>
  <si>
    <t>LXCOLL_20211005_1_0249_1_01</t>
  </si>
  <si>
    <t>LXCOLL_20211005_1_0249_1</t>
  </si>
  <si>
    <t>LXCOLL_20211103_1_0242_1_01</t>
  </si>
  <si>
    <t>LXCOLL_20211103_1_0242_1</t>
  </si>
  <si>
    <t>LXCOLL_20211103_1_0243_1_01</t>
  </si>
  <si>
    <t>LXCOLL_20211103_1_0243_1</t>
  </si>
  <si>
    <t>LXCOLL_20211103_1_0244_1_01</t>
  </si>
  <si>
    <t>LXCOLL_20211103_1_0244_1</t>
  </si>
  <si>
    <t>LXCOLL_20211103_1_0246_1_01</t>
  </si>
  <si>
    <t>LXCOLL_20211103_1_0246_1</t>
  </si>
  <si>
    <t>LXCOLL_20211103_1_0247_1_01</t>
  </si>
  <si>
    <t>LXCOLL_20211103_1_0247_1</t>
  </si>
  <si>
    <t>LXCOLL_20211103_1_0249_1_01</t>
  </si>
  <si>
    <t>LXCOLL_20211103_1_0249_1</t>
  </si>
  <si>
    <t>LXCOLL_20211207_1_0242_1_01</t>
  </si>
  <si>
    <t>LXCOLL_20211207_1_0242_1</t>
  </si>
  <si>
    <t>LXCOLL_20211207_1_0243_1_01</t>
  </si>
  <si>
    <t>LXCOLL_20211207_1_0243_1</t>
  </si>
  <si>
    <t>LXCOLL_20211207_1_0244_1_01</t>
  </si>
  <si>
    <t>LXCOLL_20211207_1_0244_1</t>
  </si>
  <si>
    <t>LXCOLL_20211207_1_0246_1_01</t>
  </si>
  <si>
    <t>LXCOLL_20211207_1_0246_1</t>
  </si>
  <si>
    <t>LXCOLL_20211207_1_0247_1_01</t>
  </si>
  <si>
    <t>LXCOLL_20211207_1_0247_1</t>
  </si>
  <si>
    <t>LXCOLL_20211207_1_0249_1_01</t>
  </si>
  <si>
    <t>LXCOLL_20211207_1_0249_1</t>
  </si>
  <si>
    <t>LXCOLL_20230104_1_0242_1_01</t>
  </si>
  <si>
    <t>LXCOLL_20230104_1_0242_1</t>
  </si>
  <si>
    <t>LXCOLL_20230104_1_0243_1_01</t>
  </si>
  <si>
    <t>LXCOLL_20230104_1_0243_1</t>
  </si>
  <si>
    <t>LXCOLL_20230104_1_0244_1_01</t>
  </si>
  <si>
    <t>LXCOLL_20230104_1_0244_1</t>
  </si>
  <si>
    <t>LXCOLL_20230104_1_0246_1_01</t>
  </si>
  <si>
    <t>LXCOLL_20230104_1_0246_1</t>
  </si>
  <si>
    <t>LXCOLL_20230104_1_0247_1_01</t>
  </si>
  <si>
    <t>LXCOLL_20230104_1_0247_1</t>
  </si>
  <si>
    <t>LXCOLL_20230104_1_0249_1_01</t>
  </si>
  <si>
    <t>LXCOLL_20230104_1_0249_1</t>
  </si>
  <si>
    <t>LXCOLL_20230207_1_0242_1_01</t>
  </si>
  <si>
    <t>LXCOLL_20230207_1_0242_1</t>
  </si>
  <si>
    <t>LXCOLL_20230207_1_0243_1_01</t>
  </si>
  <si>
    <t>LXCOLL_20230207_1_0243_1</t>
  </si>
  <si>
    <t>LXCOLL_20230207_1_0244_1_01</t>
  </si>
  <si>
    <t>LXCOLL_20230207_1_0244_1</t>
  </si>
  <si>
    <t>LXCOLL_20230207_1_0246_1_01</t>
  </si>
  <si>
    <t>LXCOLL_20230207_1_0246_1</t>
  </si>
  <si>
    <t>LXCOLL_20230207_1_0247_1_01</t>
  </si>
  <si>
    <t>LXCOLL_20230207_1_0247_1</t>
  </si>
  <si>
    <t>LXCOLL_20230207_1_0249_1_01</t>
  </si>
  <si>
    <t>LXCOLL_20230207_1_0249_1</t>
  </si>
  <si>
    <t>LXCOLL_20230308_1_0242_1_01</t>
  </si>
  <si>
    <t>LXCOLL_20230308_1_0242_1</t>
  </si>
  <si>
    <t>LXCOLL_20230308_1_0243_1_01</t>
  </si>
  <si>
    <t>LXCOLL_20230308_1_0243_1</t>
  </si>
  <si>
    <t>LXCOLL_20230308_1_0244_1_01</t>
  </si>
  <si>
    <t>LXCOLL_20230308_1_0244_1</t>
  </si>
  <si>
    <t>LXCOLL_20230308_1_0246_1_01</t>
  </si>
  <si>
    <t>LXCOLL_20230308_1_0246_1</t>
  </si>
  <si>
    <t>LXCOLL_20230308_1_0247_1_01</t>
  </si>
  <si>
    <t>LXCOLL_20230308_1_0247_1</t>
  </si>
  <si>
    <t>LXCOLL_20230308_1_0249_1_01</t>
  </si>
  <si>
    <t>LXCOLL_20230308_1_0249_1</t>
  </si>
  <si>
    <t>LXCOLL_20230404_1_0242_1_01</t>
  </si>
  <si>
    <t>LXCOLL_20230404_1_0242_1</t>
  </si>
  <si>
    <t>LXCOLL_20230404_1_0243_1_01</t>
  </si>
  <si>
    <t>LXCOLL_20230404_1_0243_1</t>
  </si>
  <si>
    <t>LXCOLL_20230404_1_0244_1_01</t>
  </si>
  <si>
    <t>LXCOLL_20230404_1_0244_1</t>
  </si>
  <si>
    <t>LXCOLL_20230404_1_0246_1_01</t>
  </si>
  <si>
    <t>LXCOLL_20230404_1_0246_1</t>
  </si>
  <si>
    <t>LXCOLL_20230404_1_0247_1_01</t>
  </si>
  <si>
    <t>LXCOLL_20230404_1_0247_1</t>
  </si>
  <si>
    <t>LXCOLL_20230404_1_0249_1_01</t>
  </si>
  <si>
    <t>LXCOLL_20230404_1_0249_1</t>
  </si>
  <si>
    <t>LXCOLL_20230705_1_0242_1_01</t>
  </si>
  <si>
    <t>LXCOLL_20230705_1_0242_1</t>
  </si>
  <si>
    <t>LXCOLL_20230705_1_0243_1_01</t>
  </si>
  <si>
    <t>LXCOLL_20230705_1_0243_1</t>
  </si>
  <si>
    <t>LXCOLL_20230705_1_0244_1_01</t>
  </si>
  <si>
    <t>LXCOLL_20230705_1_0244_1</t>
  </si>
  <si>
    <t>LXCOLL_20230705_1_0246_1_01</t>
  </si>
  <si>
    <t>LXCOLL_20230705_1_0246_1</t>
  </si>
  <si>
    <t>LXCOLL_20230705_1_0247_1_01</t>
  </si>
  <si>
    <t>LXCOLL_20230705_1_0247_1</t>
  </si>
  <si>
    <t>LXCOLL_20230705_1_0249_1_01</t>
  </si>
  <si>
    <t>LXCOLL_20230705_1_0249_1</t>
  </si>
  <si>
    <t>LXCOLL_20230801_1_0242_1_01</t>
  </si>
  <si>
    <t>LXCOLL_20230801_1_0242_1</t>
  </si>
  <si>
    <t>LXCOLL_20230801_1_0243_1_01</t>
  </si>
  <si>
    <t>LXCOLL_20230801_1_0243_1</t>
  </si>
  <si>
    <t>LXCOLL_20230801_1_0244_1_01</t>
  </si>
  <si>
    <t>LXCOLL_20230801_1_0244_1</t>
  </si>
  <si>
    <t>LXCOLL_20230801_1_0246_1_01</t>
  </si>
  <si>
    <t>LXCOLL_20230801_1_0246_1</t>
  </si>
  <si>
    <t>LXCOLL_20230801_1_0247_1_01</t>
  </si>
  <si>
    <t>LXCOLL_20230801_1_0247_1</t>
  </si>
  <si>
    <t>LXCOLL_20230801_1_0249_1_01</t>
  </si>
  <si>
    <t>LXCOLL_20230801_1_0249_1</t>
  </si>
  <si>
    <t>LXCOLL_20230906_1_0242_1_01</t>
  </si>
  <si>
    <t>LXCOLL_20230906_1_0242_1</t>
  </si>
  <si>
    <t>LXCOLL_20230906_1_0243_1_01</t>
  </si>
  <si>
    <t>LXCOLL_20230906_1_0243_1</t>
  </si>
  <si>
    <t>LXCOLL_20230906_1_0244_1_01</t>
  </si>
  <si>
    <t>LXCOLL_20230906_1_0244_1</t>
  </si>
  <si>
    <t>LXCOLL_20230906_1_0246_1_01</t>
  </si>
  <si>
    <t>LXCOLL_20230906_1_0246_1</t>
  </si>
  <si>
    <t>LXCOLL_20230906_1_0247_1_01</t>
  </si>
  <si>
    <t>LXCOLL_20230906_1_0247_1</t>
  </si>
  <si>
    <t>LXCOLL_20230906_1_0249_1_01</t>
  </si>
  <si>
    <t>LXCOLL_20230906_1_0249_1</t>
  </si>
  <si>
    <t>LXCOLL_20231107_1_0242_1_01</t>
  </si>
  <si>
    <t>LXCOLL_20231107_1_0242_1</t>
  </si>
  <si>
    <t>LXCOLL_20231107_1_0243_1_01</t>
  </si>
  <si>
    <t>LXCOLL_20231107_1_0243_1</t>
  </si>
  <si>
    <t>LXCOLL_20231107_1_0244_1_01</t>
  </si>
  <si>
    <t>LXCOLL_20231107_1_0244_1</t>
  </si>
  <si>
    <t>LXCOLL_20231107_1_0246_1_01</t>
  </si>
  <si>
    <t>LXCOLL_20231107_1_0246_1</t>
  </si>
  <si>
    <t>LXCOLL_20231107_1_0247_1_01</t>
  </si>
  <si>
    <t>LXCOLL_20231107_1_0247_1</t>
  </si>
  <si>
    <t>LXCOLL_20231107_1_0249_1_01</t>
  </si>
  <si>
    <t>LXCOLL_20231107_1_0249_1</t>
  </si>
  <si>
    <t>LXCOLL_20231205_1_0242_1_01</t>
  </si>
  <si>
    <t>LXCOLL_20231205_1_0242_1</t>
  </si>
  <si>
    <t>LXCOLL_20231205_1_0243_1_01</t>
  </si>
  <si>
    <t>LXCOLL_20231205_1_0243_1</t>
  </si>
  <si>
    <t>LXCOLL_20231205_1_0244_1_01</t>
  </si>
  <si>
    <t>LXCOLL_20231205_1_0244_1</t>
  </si>
  <si>
    <t>LXCOLL_20231205_1_0246_1_01</t>
  </si>
  <si>
    <t>LXCOLL_20231205_1_0246_1</t>
  </si>
  <si>
    <t>LXCOLL_20231205_1_0247_1_01</t>
  </si>
  <si>
    <t>LXCOLL_20231205_1_0247_1</t>
  </si>
  <si>
    <t>LXCOLL_20231205_1_0249_1_01</t>
  </si>
  <si>
    <t>LXCOLL_20231205_1_0249_1</t>
  </si>
  <si>
    <t>LXCOLL_20240103_1_0242_1_01</t>
  </si>
  <si>
    <t>LXCOLL_20240103_1_0242_1</t>
  </si>
  <si>
    <t>LXCOLL_20240103_1_0243_1_01</t>
  </si>
  <si>
    <t>LXCOLL_20240103_1_0243_1</t>
  </si>
  <si>
    <t>LXCOLL_20240103_1_0244_1_01</t>
  </si>
  <si>
    <t>LXCOLL_20240103_1_0244_1</t>
  </si>
  <si>
    <t>LXCOLL_20240103_1_0246_1_01</t>
  </si>
  <si>
    <t>LXCOLL_20240103_1_0246_1</t>
  </si>
  <si>
    <t>LXCOLL_20240103_1_0247_1_01</t>
  </si>
  <si>
    <t>LXCOLL_20240103_1_0247_1</t>
  </si>
  <si>
    <t>LXCOLL_20240103_1_0249_1_01</t>
  </si>
  <si>
    <t>LXCOLL_20240103_1_0249_1</t>
  </si>
  <si>
    <t>LXCOLL_20240212_1_0242_1_01</t>
  </si>
  <si>
    <t>LXCOLL_20240212_1_0242_1</t>
  </si>
  <si>
    <t>LXCOLL_20240212_1_0243_1_01</t>
  </si>
  <si>
    <t>LXCOLL_20240212_1_0243_1</t>
  </si>
  <si>
    <t>LXCOLL_20240212_1_0244_1_01</t>
  </si>
  <si>
    <t>LXCOLL_20240212_1_0244_1</t>
  </si>
  <si>
    <t>LXCOLL_20240212_1_0246_1_01</t>
  </si>
  <si>
    <t>LXCOLL_20240212_1_0246_1</t>
  </si>
  <si>
    <t>LXCOLL_20240212_1_0247_1_01</t>
  </si>
  <si>
    <t>LXCOLL_20240212_1_0247_1</t>
  </si>
  <si>
    <t>LXCOLL_20240212_1_0249_1_01</t>
  </si>
  <si>
    <t>LXCOLL_20240212_1_0249_1</t>
  </si>
  <si>
    <t>LXCOLL_20240306_1_0242_1_01</t>
  </si>
  <si>
    <t>LXCOLL_20240306_1_0242_1</t>
  </si>
  <si>
    <t>LXCOLL_20240306_1_0243_1_01</t>
  </si>
  <si>
    <t>LXCOLL_20240306_1_0243_1</t>
  </si>
  <si>
    <t>LXCOLL_20240306_1_0244_1_01</t>
  </si>
  <si>
    <t>LXCOLL_20240306_1_0244_1</t>
  </si>
  <si>
    <t>LXCOLL_20240306_1_0246_1_01</t>
  </si>
  <si>
    <t>LXCOLL_20240306_1_0246_1</t>
  </si>
  <si>
    <t>LXCOLL_20240306_1_0247_1_01</t>
  </si>
  <si>
    <t>LXCOLL_20240306_1_0247_1</t>
  </si>
  <si>
    <t>LXCOLL_20240306_1_0249_1_01</t>
  </si>
  <si>
    <t>LXCOLL_20240306_1_0249_1</t>
  </si>
  <si>
    <t>LXCOLL_20240409_1_0242_1_01</t>
  </si>
  <si>
    <t>LXCOLL_20240409_1_0242_1</t>
  </si>
  <si>
    <t>LXCOLL_20240409_1_0243_1_01</t>
  </si>
  <si>
    <t>LXCOLL_20240409_1_0243_1</t>
  </si>
  <si>
    <t>LXCOLL_20240409_1_0244_1_01</t>
  </si>
  <si>
    <t>LXCOLL_20240409_1_0244_1</t>
  </si>
  <si>
    <t>LXCOLL_20240409_1_0246_1_01</t>
  </si>
  <si>
    <t>LXCOLL_20240409_1_0246_1</t>
  </si>
  <si>
    <t>LXCOLL_20240409_1_0247_1_01</t>
  </si>
  <si>
    <t>LXCOLL_20240409_1_0247_1</t>
  </si>
  <si>
    <t>LXCOLL_20240409_1_0249_1_01</t>
  </si>
  <si>
    <t>LXCOLL_20240409_1_0249_1</t>
  </si>
  <si>
    <t>LXCOLL_20250106_1_0242_1_01</t>
  </si>
  <si>
    <t>LXCOLL_20250106_1_0242_1</t>
  </si>
  <si>
    <t>LXCOLL_20250106_1_0243_1_01</t>
  </si>
  <si>
    <t>LXCOLL_20250106_1_0243_1</t>
  </si>
  <si>
    <t>LXCOLL_20250106_1_0244_1_01</t>
  </si>
  <si>
    <t>LXCOLL_20250106_1_0244_1</t>
  </si>
  <si>
    <t>LXCOLL_20250106_1_0246_1_01</t>
  </si>
  <si>
    <t>LXCOLL_20250106_1_0246_1</t>
  </si>
  <si>
    <t>LXCOLL_20250106_1_0247_1_01</t>
  </si>
  <si>
    <t>LXCOLL_20250106_1_0247_1</t>
  </si>
  <si>
    <t>LXCOLL_20250106_1_0249_1_01</t>
  </si>
  <si>
    <t>LXCOLL_20250106_1_0249_1</t>
  </si>
  <si>
    <t>LXCOLL_20250211_1_0242_1_01</t>
  </si>
  <si>
    <t>LXCOLL_20250211_1_0243_1_01</t>
  </si>
  <si>
    <t>LXCOLL_20250211_1_0244_1_01</t>
  </si>
  <si>
    <t>LXCOLL_20250211_1_0246_1_01</t>
  </si>
  <si>
    <t>LXCOLL_20250211_1_0247_1_01</t>
  </si>
  <si>
    <t>LXCOLL_20250211_1_0249_1_01</t>
  </si>
  <si>
    <t>LXCOLL_20250318_1_0242_1_01</t>
  </si>
  <si>
    <t>LXCOLL_20250318_1_0243_1_01</t>
  </si>
  <si>
    <t>LXCOLL_20250318_1_0244_1_01</t>
  </si>
  <si>
    <t>LXCOLL_20250318_1_0246_1_01</t>
  </si>
  <si>
    <t>LXCOLL_20250318_1_0247_1_01</t>
  </si>
  <si>
    <t>LXCOLL_20250318_1_0249_1_01</t>
  </si>
  <si>
    <t>LXCOLL_20250408_1_0242_1_01</t>
  </si>
  <si>
    <t>LXCOLL_20250408_1_0243_1_01</t>
  </si>
  <si>
    <t>LXCOLL_20250408_1_0244_1_01</t>
  </si>
  <si>
    <t>LXCOLL_20250408_1_0246_1_01</t>
  </si>
  <si>
    <t>LXCOLL_20250408_1_0247_1_01</t>
  </si>
  <si>
    <t>LXCOLL_20250408_1_0249_1_01</t>
  </si>
  <si>
    <t>LXCOLL_20250506_1_0242_1_01</t>
  </si>
  <si>
    <t>LXCOLL_20250506_1_0243_1_01</t>
  </si>
  <si>
    <t>LXCOLL_20250506_1_0244_1_01</t>
  </si>
  <si>
    <t>LXCOLL_20250506_1_0246_1_01</t>
  </si>
  <si>
    <t>LXCOLL_20250506_1_0247_1_01</t>
  </si>
  <si>
    <t>LXCOLL_20250506_1_0249_1_01</t>
  </si>
  <si>
    <t>LXCOLL_20250610_1_0242_1_01</t>
  </si>
  <si>
    <t>LXCOLL_20250610_1_0243_1_01</t>
  </si>
  <si>
    <t>LXCOLL_20250610_1_0244_1_01</t>
  </si>
  <si>
    <t>LXCOLL_20250610_1_0246_1_01</t>
  </si>
  <si>
    <t>LXCOLL_20250610_1_0247_1_01</t>
  </si>
  <si>
    <t>LXCOLL_20250610_1_0249_1_01</t>
  </si>
  <si>
    <t>LXCOLL_20250708_1_0242_1_01</t>
  </si>
  <si>
    <t>LXCOLL_20250708_1_0243_1_01</t>
  </si>
  <si>
    <t>LXCOLL_20250708_1_0244_1_01</t>
  </si>
  <si>
    <t>LXCOLL_20250708_1_0246_1_01</t>
  </si>
  <si>
    <t>LXCOLL_20250708_1_0247_1_01</t>
  </si>
  <si>
    <t>LXCOLL_20250708_1_0249_1_01</t>
  </si>
  <si>
    <t>LXCOLL_20230502_1_0242_1_01</t>
  </si>
  <si>
    <t>LXCOLL_20230502_1_0242_1</t>
  </si>
  <si>
    <t>LXCOLL_20230502_1_0243_1_01</t>
  </si>
  <si>
    <t>LXCOLL_20230502_1_0243_1</t>
  </si>
  <si>
    <t>LXCOLL_20230502_1_0244_1_01</t>
  </si>
  <si>
    <t>LXCOLL_20230502_1_0244_1</t>
  </si>
  <si>
    <t>LXCOLL_20230502_1_0246_1_01</t>
  </si>
  <si>
    <t>LXCOLL_20230502_1_0246_1</t>
  </si>
  <si>
    <t>LXCOLL_20230502_1_0247_1_01</t>
  </si>
  <si>
    <t>LXCOLL_20230502_1_0247_1</t>
  </si>
  <si>
    <t>LXCOLL_20230502_1_0249_1_01</t>
  </si>
  <si>
    <t>LXCOLL_20230502_1_0249_1</t>
  </si>
  <si>
    <t>LXCOLL_20230606_1_0242_1_01</t>
  </si>
  <si>
    <t>LXCOLL_20230606_1_0242_1</t>
  </si>
  <si>
    <t>LXCOLL_20230606_1_0243_1_01</t>
  </si>
  <si>
    <t>LXCOLL_20230606_1_0243_1</t>
  </si>
  <si>
    <t>LXCOLL_20230606_1_0244_1_01</t>
  </si>
  <si>
    <t>LXCOLL_20230606_1_0244_1</t>
  </si>
  <si>
    <t>LXCOLL_20230606_1_0246_1_01</t>
  </si>
  <si>
    <t>LXCOLL_20230606_1_0246_1</t>
  </si>
  <si>
    <t>LXCOLL_20230606_1_0247_1_01</t>
  </si>
  <si>
    <t>LXCOLL_20230606_1_0247_1</t>
  </si>
  <si>
    <t>LXCOLL_20230606_1_0249_1_01</t>
  </si>
  <si>
    <t>LXCOLL_20230606_1_0249_1</t>
  </si>
  <si>
    <t>LXCOLL_20231003_1_0242_1_01</t>
  </si>
  <si>
    <t>LXCOLL_20231003_1_0242_1</t>
  </si>
  <si>
    <t>LXCOLL_20231003_1_0243_1_01</t>
  </si>
  <si>
    <t>LXCOLL_20231003_1_0243_1</t>
  </si>
  <si>
    <t>LXCOLL_20231003_1_0244_1_01</t>
  </si>
  <si>
    <t>LXCOLL_20231003_1_0244_1</t>
  </si>
  <si>
    <t>LXCOLL_20231003_1_0246_1_01</t>
  </si>
  <si>
    <t>LXCOLL_20231003_1_0246_1</t>
  </si>
  <si>
    <t>LXCOLL_20231003_1_0247_1_01</t>
  </si>
  <si>
    <t>LXCOLL_20231003_1_0247_1</t>
  </si>
  <si>
    <t>LXCOLL_20231003_1_0249_1_01</t>
  </si>
  <si>
    <t>LXCOLL_20231003_1_0249_1</t>
  </si>
  <si>
    <t>LXCOLL_20250805_1_0242_1_01</t>
  </si>
  <si>
    <t>LXCOLL_20250805_1_0243_1_01</t>
  </si>
  <si>
    <t>LXCOLL_20250805_1_0244_1_01</t>
  </si>
  <si>
    <t>LXCOLL_20250805_1_0246_1_01</t>
  </si>
  <si>
    <t>LXCOLL_20250805_1_0247_1_01</t>
  </si>
  <si>
    <t>LXCOLL_20250805_1_0249_1_01</t>
  </si>
  <si>
    <t>LXCOLL_20250903_1_0242_1_01</t>
  </si>
  <si>
    <t>LXCOLL_20250903_1_0243_1_01</t>
  </si>
  <si>
    <t>LXCOLL_20250903_1_0244_1_01</t>
  </si>
  <si>
    <t>LXCOLL_20250904_1_0246_1_01</t>
  </si>
  <si>
    <t>LXCOLL_20250904_1_0247_1_01</t>
  </si>
  <si>
    <t>LXCOLL_20250904_1_0249_1_01</t>
  </si>
  <si>
    <t>LXND2001-01</t>
  </si>
  <si>
    <t>LXND2001-02</t>
  </si>
  <si>
    <t>LXND2001-03</t>
  </si>
  <si>
    <t>LXND2001-04</t>
  </si>
  <si>
    <t>LXND2001-05</t>
  </si>
  <si>
    <t>LXND2001-06</t>
  </si>
  <si>
    <t>LXND2001-07</t>
  </si>
  <si>
    <t>LXND2001-08</t>
  </si>
  <si>
    <t>LXND2001-09</t>
  </si>
  <si>
    <t>LXND2001-10</t>
  </si>
  <si>
    <t>LXND2001-11</t>
  </si>
  <si>
    <t>LXND2001-12</t>
  </si>
  <si>
    <t>LXND2001-13</t>
  </si>
  <si>
    <t>LXND2001-14</t>
  </si>
  <si>
    <t>LXND2001-15</t>
  </si>
  <si>
    <t>LXND2002-01</t>
  </si>
  <si>
    <t>LXND2002-02</t>
  </si>
  <si>
    <t>LXND2002-03</t>
  </si>
  <si>
    <t>LXND2002-04</t>
  </si>
  <si>
    <t>LXND2002-05</t>
  </si>
  <si>
    <t>LXND2002-06</t>
  </si>
  <si>
    <t>LXND2002-07</t>
  </si>
  <si>
    <t>LXND2002-08</t>
  </si>
  <si>
    <t>LXND2002-09</t>
  </si>
  <si>
    <t>LXND2002-10</t>
  </si>
  <si>
    <t>LXND2002-11</t>
  </si>
  <si>
    <t>LXND2002-12</t>
  </si>
  <si>
    <t>LXND2002-13</t>
  </si>
  <si>
    <t>LXND2002-14</t>
  </si>
  <si>
    <t>LXND2002-15</t>
  </si>
  <si>
    <t>LXND2003-01</t>
  </si>
  <si>
    <t>LXND2003-02</t>
  </si>
  <si>
    <t>LXND2003-03</t>
  </si>
  <si>
    <t>LXND2003-04</t>
  </si>
  <si>
    <t>LXND2003-05</t>
  </si>
  <si>
    <t>LXND2003-06</t>
  </si>
  <si>
    <t>LXND2003-07</t>
  </si>
  <si>
    <t>LXND2003-08</t>
  </si>
  <si>
    <t>LXND2003-09</t>
  </si>
  <si>
    <t>LXND2003-10</t>
  </si>
  <si>
    <t>LXND2003-11</t>
  </si>
  <si>
    <t>LXND2003-12</t>
  </si>
  <si>
    <t>LXND2003-13</t>
  </si>
  <si>
    <t>LXND2003-14</t>
  </si>
  <si>
    <t>LXND2003-15</t>
  </si>
  <si>
    <t>LXND2006-01</t>
  </si>
  <si>
    <t>LXND2006-02</t>
  </si>
  <si>
    <t>LXND2006-03</t>
  </si>
  <si>
    <t>LXND2006-04</t>
  </si>
  <si>
    <t>LXND2006-05</t>
  </si>
  <si>
    <t>LXND2006-06</t>
  </si>
  <si>
    <t>LXND2006-07</t>
  </si>
  <si>
    <t>LXND2006-08</t>
  </si>
  <si>
    <t>LXND2006-09</t>
  </si>
  <si>
    <t>LXND2006-10</t>
  </si>
  <si>
    <t>LXND2006-11</t>
  </si>
  <si>
    <t>LXND2006-12</t>
  </si>
  <si>
    <t>LXND2006-13</t>
  </si>
  <si>
    <t>LXND2006-14</t>
  </si>
  <si>
    <t>LXND2006-15</t>
  </si>
  <si>
    <t>LXND2007-01</t>
  </si>
  <si>
    <t>LXND2007-02</t>
  </si>
  <si>
    <t>LXND2007-03</t>
  </si>
  <si>
    <t>LXND2007-04</t>
  </si>
  <si>
    <t>LXND2007-05</t>
  </si>
  <si>
    <t>LXND2007-06</t>
  </si>
  <si>
    <t>LXND2007-07</t>
  </si>
  <si>
    <t>LXND2007-08</t>
  </si>
  <si>
    <t>LXND2007-09</t>
  </si>
  <si>
    <t>LXND2007-10</t>
  </si>
  <si>
    <t>LXND2007-11</t>
  </si>
  <si>
    <t>LXND2007-12</t>
  </si>
  <si>
    <t>LXND2007-13</t>
  </si>
  <si>
    <t>LXND2007-14</t>
  </si>
  <si>
    <t>LXND2007-15</t>
  </si>
  <si>
    <t>LXND2008-01</t>
  </si>
  <si>
    <t>LXND2008-02</t>
  </si>
  <si>
    <t>LXND2008-03</t>
  </si>
  <si>
    <t>LXND2008-04</t>
  </si>
  <si>
    <t>LXND2008-05</t>
  </si>
  <si>
    <t>LXND2008-06</t>
  </si>
  <si>
    <t>LXND2008-07</t>
  </si>
  <si>
    <t>LXND2008-08</t>
  </si>
  <si>
    <t>LXND2008-09</t>
  </si>
  <si>
    <t>LXND2008-10</t>
  </si>
  <si>
    <t>LXND2008-11</t>
  </si>
  <si>
    <t>LXND2008-12</t>
  </si>
  <si>
    <t>LXND2008-13</t>
  </si>
  <si>
    <t>LXND2008-14</t>
  </si>
  <si>
    <t>LXND2008-15</t>
  </si>
  <si>
    <t>LXND2009-01</t>
  </si>
  <si>
    <t>LXND2009-02</t>
  </si>
  <si>
    <t>LXND2009-03</t>
  </si>
  <si>
    <t>LXND2009-04</t>
  </si>
  <si>
    <t>LXND2009-05</t>
  </si>
  <si>
    <t>LXND2009-06</t>
  </si>
  <si>
    <t>LXND2009-07</t>
  </si>
  <si>
    <t>LXND2009-08</t>
  </si>
  <si>
    <t>LXND2009-09</t>
  </si>
  <si>
    <t>LXND2009-10</t>
  </si>
  <si>
    <t>LXND2009-11</t>
  </si>
  <si>
    <t>LXND2009-12</t>
  </si>
  <si>
    <t>LXND2009-13</t>
  </si>
  <si>
    <t>LXND2009-14</t>
  </si>
  <si>
    <t>LXND2009-15</t>
  </si>
  <si>
    <t>LXND2010-01</t>
  </si>
  <si>
    <t>LXND2010-02</t>
  </si>
  <si>
    <t>LXND2010-03</t>
  </si>
  <si>
    <t>LXND2010-04</t>
  </si>
  <si>
    <t>LXND2010-05</t>
  </si>
  <si>
    <t>LXND2010-06</t>
  </si>
  <si>
    <t>LXND2010-07</t>
  </si>
  <si>
    <t>LXND2010-08</t>
  </si>
  <si>
    <t>LXND2010-09</t>
  </si>
  <si>
    <t>LXND2010-10</t>
  </si>
  <si>
    <t>LXND2010-11</t>
  </si>
  <si>
    <t>LXND2010-12</t>
  </si>
  <si>
    <t>LXND2010-13</t>
  </si>
  <si>
    <t>LXND2010-14</t>
  </si>
  <si>
    <t>LXND2010-15</t>
  </si>
  <si>
    <t>LXND2011-01</t>
  </si>
  <si>
    <t>LXND2011-02</t>
  </si>
  <si>
    <t>LXND2011-03</t>
  </si>
  <si>
    <t>LXND2011-04</t>
  </si>
  <si>
    <t>LXND2011-05</t>
  </si>
  <si>
    <t>LXND2011-06</t>
  </si>
  <si>
    <t>LXND2011-07</t>
  </si>
  <si>
    <t>LXND2011-08</t>
  </si>
  <si>
    <t>LXND2011-09</t>
  </si>
  <si>
    <t>LXND2011-10</t>
  </si>
  <si>
    <t>LXND2011-11</t>
  </si>
  <si>
    <t>LXND2011-12</t>
  </si>
  <si>
    <t>LXND2011-13</t>
  </si>
  <si>
    <t>LXND2011-14</t>
  </si>
  <si>
    <t>LXND2011-15</t>
  </si>
  <si>
    <t>LXND2012-01</t>
  </si>
  <si>
    <t>LXND2012-02</t>
  </si>
  <si>
    <t>LXND2012-03</t>
  </si>
  <si>
    <t>LXND2012-04</t>
  </si>
  <si>
    <t>LXND2012-05</t>
  </si>
  <si>
    <t>LXND2012-06</t>
  </si>
  <si>
    <t>LXND2012-07</t>
  </si>
  <si>
    <t>LXND2012-08</t>
  </si>
  <si>
    <t>LXND2012-09</t>
  </si>
  <si>
    <t>LXND2012-10</t>
  </si>
  <si>
    <t>LXND2012-11</t>
  </si>
  <si>
    <t>LXND2012-12</t>
  </si>
  <si>
    <t>LXND2012-13</t>
  </si>
  <si>
    <t>LXND2012-14</t>
  </si>
  <si>
    <t>LXND2012-15</t>
  </si>
  <si>
    <t>LXND2101-01</t>
  </si>
  <si>
    <t>LXND2101-02</t>
  </si>
  <si>
    <t>LXND2101-03</t>
  </si>
  <si>
    <t>LXND2101-04</t>
  </si>
  <si>
    <t>LXND2101-05</t>
  </si>
  <si>
    <t>LXND2101-06</t>
  </si>
  <si>
    <t>LXND2101-07</t>
  </si>
  <si>
    <t>LXND2101-08</t>
  </si>
  <si>
    <t>LXND2101-09</t>
  </si>
  <si>
    <t>LXND2101-10</t>
  </si>
  <si>
    <t>LXND2101-11</t>
  </si>
  <si>
    <t>LXND2101-12</t>
  </si>
  <si>
    <t>LXND2101-13</t>
  </si>
  <si>
    <t>LXND2101-14</t>
  </si>
  <si>
    <t>LXND2101-15</t>
  </si>
  <si>
    <t>LXND2102-01</t>
  </si>
  <si>
    <t>LXND2102-02</t>
  </si>
  <si>
    <t>LXND2102-03</t>
  </si>
  <si>
    <t>LXND2102-04</t>
  </si>
  <si>
    <t>LXND2102-05</t>
  </si>
  <si>
    <t>LXND2102-06</t>
  </si>
  <si>
    <t>LXND2102-07</t>
  </si>
  <si>
    <t>LXND2102-08</t>
  </si>
  <si>
    <t>LXND2102-09</t>
  </si>
  <si>
    <t>LXND2102-10</t>
  </si>
  <si>
    <t>LXND2102-11</t>
  </si>
  <si>
    <t>LXND2102-12</t>
  </si>
  <si>
    <t>LXND2102-13</t>
  </si>
  <si>
    <t>LXND2102-14</t>
  </si>
  <si>
    <t>LXND2102-15</t>
  </si>
  <si>
    <t>LXND2103-01</t>
  </si>
  <si>
    <t>LXND2103-02</t>
  </si>
  <si>
    <t>LXND2103-03</t>
  </si>
  <si>
    <t>LXND2103-04</t>
  </si>
  <si>
    <t>LXND2103-05</t>
  </si>
  <si>
    <t>LXND2103-06</t>
  </si>
  <si>
    <t>LXND2103-07</t>
  </si>
  <si>
    <t>LXND2103-08</t>
  </si>
  <si>
    <t>LXND2103-09</t>
  </si>
  <si>
    <t>LXND2103-10</t>
  </si>
  <si>
    <t>LXND2103-11</t>
  </si>
  <si>
    <t>LXND2103-12</t>
  </si>
  <si>
    <t>LXND2103-13</t>
  </si>
  <si>
    <t>LXND2103-14</t>
  </si>
  <si>
    <t>LXND2103-15</t>
  </si>
  <si>
    <t>LXND2104-01</t>
  </si>
  <si>
    <t>LXND2104-02</t>
  </si>
  <si>
    <t>LXND2104-03</t>
  </si>
  <si>
    <t>LXND2104-04</t>
  </si>
  <si>
    <t>LXND2104-05</t>
  </si>
  <si>
    <t>LXND2104-06</t>
  </si>
  <si>
    <t>LXND2104-07</t>
  </si>
  <si>
    <t>LXND2104-08</t>
  </si>
  <si>
    <t>LXND2104-09</t>
  </si>
  <si>
    <t>LXND2104-10</t>
  </si>
  <si>
    <t>LXND2104-11</t>
  </si>
  <si>
    <t>LXND2104-12</t>
  </si>
  <si>
    <t>LXND2104-13</t>
  </si>
  <si>
    <t>LXND2104-14</t>
  </si>
  <si>
    <t>LXND2104-15</t>
  </si>
  <si>
    <t>LXND2105-01</t>
  </si>
  <si>
    <t>LXND2105-02</t>
  </si>
  <si>
    <t>LXND2105-03</t>
  </si>
  <si>
    <t>LXND2105-04</t>
  </si>
  <si>
    <t>LXND2105-05</t>
  </si>
  <si>
    <t>LXND2105-06</t>
  </si>
  <si>
    <t>LXND2105-07</t>
  </si>
  <si>
    <t>LXND2105-08</t>
  </si>
  <si>
    <t>LXND2105-09</t>
  </si>
  <si>
    <t>LXND2105-10</t>
  </si>
  <si>
    <t>LXND2105-11</t>
  </si>
  <si>
    <t>LXND2105-12</t>
  </si>
  <si>
    <t>LXND2105-13</t>
  </si>
  <si>
    <t>LXND2105-14</t>
  </si>
  <si>
    <t>LXND2105-15</t>
  </si>
  <si>
    <t>LXND2106-01</t>
  </si>
  <si>
    <t>LXND2106-02</t>
  </si>
  <si>
    <t>LXND2106-03</t>
  </si>
  <si>
    <t>LXND2106-04</t>
  </si>
  <si>
    <t>LXND2106-05</t>
  </si>
  <si>
    <t>LXND2106-06</t>
  </si>
  <si>
    <t>LXND2106-07</t>
  </si>
  <si>
    <t>LXND2106-08</t>
  </si>
  <si>
    <t>LXND2106-09</t>
  </si>
  <si>
    <t>LXND2106-10</t>
  </si>
  <si>
    <t>LXND2106-11</t>
  </si>
  <si>
    <t>LXND2106-12</t>
  </si>
  <si>
    <t>LXND2106-13</t>
  </si>
  <si>
    <t>LXND2106-14</t>
  </si>
  <si>
    <t>LXND2106-15</t>
  </si>
  <si>
    <t>LXND2107-01</t>
  </si>
  <si>
    <t>LXND2107-02</t>
  </si>
  <si>
    <t>LXND2107-03</t>
  </si>
  <si>
    <t>LXND2107-04</t>
  </si>
  <si>
    <t>LXND2107-05</t>
  </si>
  <si>
    <t>LXND2107-06</t>
  </si>
  <si>
    <t>LXND2107-07</t>
  </si>
  <si>
    <t>LXND2107-08</t>
  </si>
  <si>
    <t>LXND2107-09</t>
  </si>
  <si>
    <t>LXND2107-10</t>
  </si>
  <si>
    <t>LXND2107-11</t>
  </si>
  <si>
    <t>LXND2107-12</t>
  </si>
  <si>
    <t>LXND2107-13</t>
  </si>
  <si>
    <t>LXND2107-14</t>
  </si>
  <si>
    <t>LXND2107-15</t>
  </si>
  <si>
    <t>LXND2108-01</t>
  </si>
  <si>
    <t>LXND2108-02</t>
  </si>
  <si>
    <t>LXND2108-03</t>
  </si>
  <si>
    <t>LXND2108-04</t>
  </si>
  <si>
    <t>LXND2108-05</t>
  </si>
  <si>
    <t>LXND2108-06</t>
  </si>
  <si>
    <t>LXND2108-07</t>
  </si>
  <si>
    <t>LXND2108-08</t>
  </si>
  <si>
    <t>LXND2108-09</t>
  </si>
  <si>
    <t>LXND2108-10</t>
  </si>
  <si>
    <t>LXND2108-11</t>
  </si>
  <si>
    <t>LXND2108-12</t>
  </si>
  <si>
    <t>LXND2108-13</t>
  </si>
  <si>
    <t>LXND2108-14</t>
  </si>
  <si>
    <t>LXND2108-15</t>
  </si>
  <si>
    <t>LXND2109-01</t>
  </si>
  <si>
    <t>LXND2109-02</t>
  </si>
  <si>
    <t>LXND2109-03</t>
  </si>
  <si>
    <t>LXND2109-04</t>
  </si>
  <si>
    <t>LXND2109-05</t>
  </si>
  <si>
    <t>LXND2109-06</t>
  </si>
  <si>
    <t>LXND2109-07</t>
  </si>
  <si>
    <t>LXND2109-08</t>
  </si>
  <si>
    <t>LXND2109-09</t>
  </si>
  <si>
    <t>LXND2109-10</t>
  </si>
  <si>
    <t>LXND2109-11</t>
  </si>
  <si>
    <t>LXND2109-12</t>
  </si>
  <si>
    <t>LXND2109-13</t>
  </si>
  <si>
    <t>LXND2109-14</t>
  </si>
  <si>
    <t>LXND2109-15</t>
  </si>
  <si>
    <t>LXND2110-01</t>
  </si>
  <si>
    <t>LXND2110-02</t>
  </si>
  <si>
    <t>LXND2110-03</t>
  </si>
  <si>
    <t>LXND2110-04</t>
  </si>
  <si>
    <t>LXND2110-05</t>
  </si>
  <si>
    <t>LXND2110-06</t>
  </si>
  <si>
    <t>LXND2110-07</t>
  </si>
  <si>
    <t>LXND2110-08</t>
  </si>
  <si>
    <t>LXND2110-09</t>
  </si>
  <si>
    <t>LXND2110-10</t>
  </si>
  <si>
    <t>LXND2110-11</t>
  </si>
  <si>
    <t>LXND2110-12</t>
  </si>
  <si>
    <t>LXND2110-13</t>
  </si>
  <si>
    <t>LXND2110-14</t>
  </si>
  <si>
    <t>LXND2110-15</t>
  </si>
  <si>
    <t>LXND2111-01</t>
  </si>
  <si>
    <t>LXND2111-02</t>
  </si>
  <si>
    <t>LXND2111-03</t>
  </si>
  <si>
    <t>LXND2111-04</t>
  </si>
  <si>
    <t>LXND2111-05</t>
  </si>
  <si>
    <t>LXND2111-06</t>
  </si>
  <si>
    <t>LXND2111-07</t>
  </si>
  <si>
    <t>LXND2111-08</t>
  </si>
  <si>
    <t>LXND2111-09</t>
  </si>
  <si>
    <t>LXND2111-10</t>
  </si>
  <si>
    <t>LXND2111-11</t>
  </si>
  <si>
    <t>LXND2111-12</t>
  </si>
  <si>
    <t>LXND2111-13</t>
  </si>
  <si>
    <t>LXND2111-14</t>
  </si>
  <si>
    <t>LXND2111-15</t>
  </si>
  <si>
    <t>LXND2112-01</t>
  </si>
  <si>
    <t>LXND2112-02</t>
  </si>
  <si>
    <t>LXND2112-03</t>
  </si>
  <si>
    <t>LXND2112-04</t>
  </si>
  <si>
    <t>LXND2112-05</t>
  </si>
  <si>
    <t>LXND2112-06</t>
  </si>
  <si>
    <t>LXND2112-07</t>
  </si>
  <si>
    <t>LXND2112-08</t>
  </si>
  <si>
    <t>LXND2112-09</t>
  </si>
  <si>
    <t>LXND2112-10</t>
  </si>
  <si>
    <t>LXND2112-11</t>
  </si>
  <si>
    <t>LXND2112-12</t>
  </si>
  <si>
    <t>LXND2112-13</t>
  </si>
  <si>
    <t>LXND2112-14</t>
  </si>
  <si>
    <t>LXND2112-15</t>
  </si>
  <si>
    <t>LXND2201-01</t>
  </si>
  <si>
    <t>LXCOLL_20220111_1_0242_1</t>
  </si>
  <si>
    <t>LXND2201-02</t>
  </si>
  <si>
    <t>LXND2201-03</t>
  </si>
  <si>
    <t>LXND2201-04</t>
  </si>
  <si>
    <t>LXND2201-05</t>
  </si>
  <si>
    <t>LXND2201-06</t>
  </si>
  <si>
    <t>LXCOLL_20220111_1_0243_1</t>
  </si>
  <si>
    <t>LXND2201-07</t>
  </si>
  <si>
    <t>LXND2201-08</t>
  </si>
  <si>
    <t>LXND2201-09</t>
  </si>
  <si>
    <t>LXND2201-10</t>
  </si>
  <si>
    <t>LXND2201-11</t>
  </si>
  <si>
    <t>LXCOLL_20220111_1_0244_1</t>
  </si>
  <si>
    <t>LXND2201-12</t>
  </si>
  <si>
    <t>LXND2201-13</t>
  </si>
  <si>
    <t>LXND2201-14</t>
  </si>
  <si>
    <t>LXND2201-15</t>
  </si>
  <si>
    <t>LXND2202-01</t>
  </si>
  <si>
    <t>LXCOLL_20220209_1_0242_1</t>
  </si>
  <si>
    <t>LXND2202-02</t>
  </si>
  <si>
    <t>LXND2202-03</t>
  </si>
  <si>
    <t>LXND2202-04</t>
  </si>
  <si>
    <t>LXND2202-05</t>
  </si>
  <si>
    <t>LXND2202-06</t>
  </si>
  <si>
    <t>LXCOLL_20220209_1_0243_1</t>
  </si>
  <si>
    <t>LXND2202-07</t>
  </si>
  <si>
    <t>LXND2202-08</t>
  </si>
  <si>
    <t>LXND2202-09</t>
  </si>
  <si>
    <t>LXND2202-10</t>
  </si>
  <si>
    <t>LXND2202-11</t>
  </si>
  <si>
    <t>LXCOLL_20220209_1_0244_1</t>
  </si>
  <si>
    <t>LXND2202-12</t>
  </si>
  <si>
    <t>LXND2202-13</t>
  </si>
  <si>
    <t>LXND2202-14</t>
  </si>
  <si>
    <t>LXND2202-15</t>
  </si>
  <si>
    <t>LXND2203-01</t>
  </si>
  <si>
    <t>LXCOLL_20220309_1_0242_1</t>
  </si>
  <si>
    <t>LXND2203-02</t>
  </si>
  <si>
    <t>LXND2203-03</t>
  </si>
  <si>
    <t>LXND2203-04</t>
  </si>
  <si>
    <t>LXND2203-05</t>
  </si>
  <si>
    <t>LXND2203-06</t>
  </si>
  <si>
    <t>LXCOLL_20220309_1_0243_1</t>
  </si>
  <si>
    <t>LXND2203-07</t>
  </si>
  <si>
    <t>LXND2203-08</t>
  </si>
  <si>
    <t>LXND2203-09</t>
  </si>
  <si>
    <t>LXND2203-10</t>
  </si>
  <si>
    <t>LXND2203-11</t>
  </si>
  <si>
    <t>LXCOLL_20220309_1_0244_1</t>
  </si>
  <si>
    <t>LXND2203-12</t>
  </si>
  <si>
    <t>LXND2203-13</t>
  </si>
  <si>
    <t>LXND2203-14</t>
  </si>
  <si>
    <t>LXND2203-15</t>
  </si>
  <si>
    <t>LXND2204-01</t>
  </si>
  <si>
    <t>LXCOLL_20220405_1_0242_1</t>
  </si>
  <si>
    <t>LXND2204-02</t>
  </si>
  <si>
    <t>LXND2204-03</t>
  </si>
  <si>
    <t>LXND2204-04</t>
  </si>
  <si>
    <t>LXND2204-05</t>
  </si>
  <si>
    <t>LXND2204-06</t>
  </si>
  <si>
    <t>LXCOLL_20220405_1_0243_1</t>
  </si>
  <si>
    <t>LXND2204-07</t>
  </si>
  <si>
    <t>LXND2204-08</t>
  </si>
  <si>
    <t>LXND2204-09</t>
  </si>
  <si>
    <t>LXND2204-10</t>
  </si>
  <si>
    <t>LXND2204-11</t>
  </si>
  <si>
    <t>LXCOLL_20220405_1_0244_1</t>
  </si>
  <si>
    <t>LXND2204-12</t>
  </si>
  <si>
    <t>LXND2204-13</t>
  </si>
  <si>
    <t>LXND2204-14</t>
  </si>
  <si>
    <t>LXND2204-15</t>
  </si>
  <si>
    <t>LXND2205-01</t>
  </si>
  <si>
    <t>LXCOLL_20220503_1_0242_1</t>
  </si>
  <si>
    <t>LXND2205-02</t>
  </si>
  <si>
    <t>LXND2205-03</t>
  </si>
  <si>
    <t>LXND2205-04</t>
  </si>
  <si>
    <t>LXND2205-05</t>
  </si>
  <si>
    <t>LXND2205-06</t>
  </si>
  <si>
    <t>LXCOLL_20220503_1_0243_1</t>
  </si>
  <si>
    <t>LXND2205-07</t>
  </si>
  <si>
    <t>LXND2205-08</t>
  </si>
  <si>
    <t>LXND2205-09</t>
  </si>
  <si>
    <t>LXND2205-10</t>
  </si>
  <si>
    <t>LXND2205-11</t>
  </si>
  <si>
    <t>LXCOLL_20220503_1_0244_1</t>
  </si>
  <si>
    <t>LXND2205-12</t>
  </si>
  <si>
    <t>LXND2205-13</t>
  </si>
  <si>
    <t>LXND2205-14</t>
  </si>
  <si>
    <t>LXND2205-15</t>
  </si>
  <si>
    <t>LXND2206-01</t>
  </si>
  <si>
    <t>LXCOLL_20220608_1_0242_1</t>
  </si>
  <si>
    <t>LXND2206-02</t>
  </si>
  <si>
    <t>LXND2206-03</t>
  </si>
  <si>
    <t>LXND2206-04</t>
  </si>
  <si>
    <t>LXND2206-05</t>
  </si>
  <si>
    <t>LXND2206-06</t>
  </si>
  <si>
    <t>LXCOLL_20220608_1_0243_1</t>
  </si>
  <si>
    <t>LXND2206-07</t>
  </si>
  <si>
    <t>LXND2206-08</t>
  </si>
  <si>
    <t>LXND2206-09</t>
  </si>
  <si>
    <t>LXND2206-10</t>
  </si>
  <si>
    <t>LXND2206-11</t>
  </si>
  <si>
    <t>LXCOLL_20220608_1_0244_1</t>
  </si>
  <si>
    <t>LXND2206-12</t>
  </si>
  <si>
    <t>LXND2206-13</t>
  </si>
  <si>
    <t>LXND2206-14</t>
  </si>
  <si>
    <t>LXND2206-15</t>
  </si>
  <si>
    <t>LXND2207-01</t>
  </si>
  <si>
    <t>LXCOLL_20220705_1_0242_1</t>
  </si>
  <si>
    <t>LXND2207-02</t>
  </si>
  <si>
    <t>LXND2207-03</t>
  </si>
  <si>
    <t>LXND2207-04</t>
  </si>
  <si>
    <t>LXND2207-05</t>
  </si>
  <si>
    <t>LXND2207-06</t>
  </si>
  <si>
    <t>LXCOLL_20220705_1_0243_1</t>
  </si>
  <si>
    <t>LXND2207-07</t>
  </si>
  <si>
    <t>LXND2207-08</t>
  </si>
  <si>
    <t>LXND2207-09</t>
  </si>
  <si>
    <t>LXND2207-10</t>
  </si>
  <si>
    <t>LXND2207-11</t>
  </si>
  <si>
    <t>LXCOLL_20220705_1_0244_1</t>
  </si>
  <si>
    <t>LXND2207-12</t>
  </si>
  <si>
    <t>LXND2207-13</t>
  </si>
  <si>
    <t>LXND2207-14</t>
  </si>
  <si>
    <t>LXND2207-15</t>
  </si>
  <si>
    <t>LXND2208-01</t>
  </si>
  <si>
    <t>LXCOLL_20220802_1_0242_1</t>
  </si>
  <si>
    <t>LXND2208-02</t>
  </si>
  <si>
    <t>LXND2208-03</t>
  </si>
  <si>
    <t>LXND2208-04</t>
  </si>
  <si>
    <t>LXND2208-05</t>
  </si>
  <si>
    <t>LXND2208-06</t>
  </si>
  <si>
    <t>LXCOLL_20220802_1_0243_1</t>
  </si>
  <si>
    <t>LXND2208-07</t>
  </si>
  <si>
    <t>LXND2208-08</t>
  </si>
  <si>
    <t>LXND2208-09</t>
  </si>
  <si>
    <t>LXND2208-10</t>
  </si>
  <si>
    <t>LXND2208-11</t>
  </si>
  <si>
    <t>LXCOLL_20220802_1_0244_1</t>
  </si>
  <si>
    <t>LXND2208-12</t>
  </si>
  <si>
    <t>LXND2208-13</t>
  </si>
  <si>
    <t>LXND2208-14</t>
  </si>
  <si>
    <t>LXND2208-15</t>
  </si>
  <si>
    <t>LXND2209-01</t>
  </si>
  <si>
    <t>LXCOLL_20220907_1_0242_1</t>
  </si>
  <si>
    <t>LXND2209-02</t>
  </si>
  <si>
    <t>LXND2209-03</t>
  </si>
  <si>
    <t>LXND2209-04</t>
  </si>
  <si>
    <t>LXND2209-05</t>
  </si>
  <si>
    <t>LXND2209-06</t>
  </si>
  <si>
    <t>LXCOLL_20220907_1_0243_1</t>
  </si>
  <si>
    <t>LXND2209-07</t>
  </si>
  <si>
    <t>LXND2209-08</t>
  </si>
  <si>
    <t>LXND2209-09</t>
  </si>
  <si>
    <t>LXND2209-10</t>
  </si>
  <si>
    <t>LXND2209-11</t>
  </si>
  <si>
    <t>LXCOLL_20220907_1_0244_1</t>
  </si>
  <si>
    <t>LXND2209-12</t>
  </si>
  <si>
    <t>LXND2209-13</t>
  </si>
  <si>
    <t>LXND2209-14</t>
  </si>
  <si>
    <t>LXND2209-15</t>
  </si>
  <si>
    <t>LXND2210-01</t>
  </si>
  <si>
    <t>LXCOLL_20221010_1_0242_1</t>
  </si>
  <si>
    <t>LXND2210-02</t>
  </si>
  <si>
    <t>LXND2210-03</t>
  </si>
  <si>
    <t>LXND2210-04</t>
  </si>
  <si>
    <t>LXND2210-05</t>
  </si>
  <si>
    <t>LXND2210-06</t>
  </si>
  <si>
    <t>LXCOLL_20221010_1_0243_1</t>
  </si>
  <si>
    <t>LXND2210-07</t>
  </si>
  <si>
    <t>LXND2210-08</t>
  </si>
  <si>
    <t>LXND2210-09</t>
  </si>
  <si>
    <t>LXND2210-10</t>
  </si>
  <si>
    <t>LXND2210-11</t>
  </si>
  <si>
    <t>LXCOLL_20221010_1_0244_1</t>
  </si>
  <si>
    <t>LXND2210-12</t>
  </si>
  <si>
    <t>LXND2210-13</t>
  </si>
  <si>
    <t>LXND2210-14</t>
  </si>
  <si>
    <t>LXND2210-15</t>
  </si>
  <si>
    <t>LXND2211-01</t>
  </si>
  <si>
    <t>LXCOLL_20221114_1_0242_1</t>
  </si>
  <si>
    <t>LXND2211-02</t>
  </si>
  <si>
    <t>LXND2211-03</t>
  </si>
  <si>
    <t>LXND2211-04</t>
  </si>
  <si>
    <t>LXND2211-05</t>
  </si>
  <si>
    <t>LXND2211-06</t>
  </si>
  <si>
    <t>LXCOLL_20221114_1_0243_1</t>
  </si>
  <si>
    <t>LXND2211-07</t>
  </si>
  <si>
    <t>LXND2211-08</t>
  </si>
  <si>
    <t>LXND2211-09</t>
  </si>
  <si>
    <t>LXND2211-10</t>
  </si>
  <si>
    <t>LXND2211-11</t>
  </si>
  <si>
    <t>LXCOLL_20221114_1_0244_1</t>
  </si>
  <si>
    <t>LXND2211-12</t>
  </si>
  <si>
    <t>LXND2211-13</t>
  </si>
  <si>
    <t>LXND2211-14</t>
  </si>
  <si>
    <t>LXND2211-15</t>
  </si>
  <si>
    <t>LXND2212-01</t>
  </si>
  <si>
    <t>LXCOLL_20221206_1_0242_1</t>
  </si>
  <si>
    <t>LXND2212-02</t>
  </si>
  <si>
    <t>LXND2212-03</t>
  </si>
  <si>
    <t>LXND2212-04</t>
  </si>
  <si>
    <t>LXND2212-05</t>
  </si>
  <si>
    <t>LXND2212-06</t>
  </si>
  <si>
    <t>LXCOLL_20221206_1_0243_1</t>
  </si>
  <si>
    <t>LXND2212-07</t>
  </si>
  <si>
    <t>LXND2212-08</t>
  </si>
  <si>
    <t>LXND2212-09</t>
  </si>
  <si>
    <t>LXND2212-10</t>
  </si>
  <si>
    <t>LXND2212-11</t>
  </si>
  <si>
    <t>LXCOLL_20221206_1_0244_1</t>
  </si>
  <si>
    <t>LXND2212-12</t>
  </si>
  <si>
    <t>LXND2212-13</t>
  </si>
  <si>
    <t>LXND2212-14</t>
  </si>
  <si>
    <t>LXND2212-15</t>
  </si>
  <si>
    <t>LXND2301-01</t>
  </si>
  <si>
    <t>LXND2301-02</t>
  </si>
  <si>
    <t>LXND2301-03</t>
  </si>
  <si>
    <t>LXND2301-04</t>
  </si>
  <si>
    <t>LXND2301-05</t>
  </si>
  <si>
    <t>LXND2301-06</t>
  </si>
  <si>
    <t>LXND2301-07</t>
  </si>
  <si>
    <t>LXND2301-08</t>
  </si>
  <si>
    <t>LXND2301-09</t>
  </si>
  <si>
    <t>LXND2301-10</t>
  </si>
  <si>
    <t>LXND2301-11</t>
  </si>
  <si>
    <t>LXND2301-12</t>
  </si>
  <si>
    <t>LXND2301-13</t>
  </si>
  <si>
    <t>LXND2301-14</t>
  </si>
  <si>
    <t>LXND2301-15</t>
  </si>
  <si>
    <t>LXND2302-01</t>
  </si>
  <si>
    <t>LXND2302-02</t>
  </si>
  <si>
    <t>LXND2302-03</t>
  </si>
  <si>
    <t>LXND2302-04</t>
  </si>
  <si>
    <t>LXND2302-05</t>
  </si>
  <si>
    <t>LXND2302-06</t>
  </si>
  <si>
    <t>LXND2302-07</t>
  </si>
  <si>
    <t>LXND2302-08</t>
  </si>
  <si>
    <t>LXND2302-09</t>
  </si>
  <si>
    <t>LXND2302-10</t>
  </si>
  <si>
    <t>LXND2302-11</t>
  </si>
  <si>
    <t>LXND2302-12</t>
  </si>
  <si>
    <t>LXND2302-13</t>
  </si>
  <si>
    <t>LXND2302-14</t>
  </si>
  <si>
    <t>LXND2302-15</t>
  </si>
  <si>
    <t>LXND2303-01</t>
  </si>
  <si>
    <t>LXND2303-02</t>
  </si>
  <si>
    <t>LXND2303-03</t>
  </si>
  <si>
    <t>LXND2303-04</t>
  </si>
  <si>
    <t>LXND2303-05</t>
  </si>
  <si>
    <t>LXND2303-06</t>
  </si>
  <si>
    <t>LXND2303-07</t>
  </si>
  <si>
    <t>LXND2303-08</t>
  </si>
  <si>
    <t>LXND2303-09</t>
  </si>
  <si>
    <t>LXND2303-10</t>
  </si>
  <si>
    <t>LXND2303-11</t>
  </si>
  <si>
    <t>LXND2303-12</t>
  </si>
  <si>
    <t>LXND2303-13</t>
  </si>
  <si>
    <t>LXND2303-14</t>
  </si>
  <si>
    <t>LXND2303-15</t>
  </si>
  <si>
    <t>LXND2304-01</t>
  </si>
  <si>
    <t>LXND2304-02</t>
  </si>
  <si>
    <t>LXND2304-03</t>
  </si>
  <si>
    <t>LXND2304-04</t>
  </si>
  <si>
    <t>LXND2304-05</t>
  </si>
  <si>
    <t>LXND2304-06</t>
  </si>
  <si>
    <t>LXND2304-07</t>
  </si>
  <si>
    <t>LXND2304-08</t>
  </si>
  <si>
    <t>LXND2304-09</t>
  </si>
  <si>
    <t>LXND2304-10</t>
  </si>
  <si>
    <t>LXND2304-11</t>
  </si>
  <si>
    <t>LXND2304-12</t>
  </si>
  <si>
    <t>LXND2304-13</t>
  </si>
  <si>
    <t>LXND2304-14</t>
  </si>
  <si>
    <t>LXND2304-15</t>
  </si>
  <si>
    <t>LXND2307-01</t>
  </si>
  <si>
    <t>LXND2307-02</t>
  </si>
  <si>
    <t>LXND2307-03</t>
  </si>
  <si>
    <t>LXND2307-04</t>
  </si>
  <si>
    <t>LXND2307-05</t>
  </si>
  <si>
    <t>LXND2307-06</t>
  </si>
  <si>
    <t>LXND2307-07</t>
  </si>
  <si>
    <t>LXND2307-08</t>
  </si>
  <si>
    <t>LXND2307-09</t>
  </si>
  <si>
    <t>LXND2307-10</t>
  </si>
  <si>
    <t>LXND2307-11</t>
  </si>
  <si>
    <t>LXND2307-12</t>
  </si>
  <si>
    <t>LXND2307-13</t>
  </si>
  <si>
    <t>LXND2307-14</t>
  </si>
  <si>
    <t>LXND2307-15</t>
  </si>
  <si>
    <t>LXND2308-01</t>
  </si>
  <si>
    <t>LXND2308-02</t>
  </si>
  <si>
    <t>LXND2308-03</t>
  </si>
  <si>
    <t>LXND2308-04</t>
  </si>
  <si>
    <t>LXND2308-05</t>
  </si>
  <si>
    <t>LXND2308-06</t>
  </si>
  <si>
    <t>LXND2308-07</t>
  </si>
  <si>
    <t>LXND2308-08</t>
  </si>
  <si>
    <t>LXND2308-09</t>
  </si>
  <si>
    <t>LXND2308-10</t>
  </si>
  <si>
    <t>LXND2308-11</t>
  </si>
  <si>
    <t>LXND2308-12</t>
  </si>
  <si>
    <t>LXND2308-13</t>
  </si>
  <si>
    <t>LXND2308-14</t>
  </si>
  <si>
    <t>LXND2308-15</t>
  </si>
  <si>
    <t>LXND2309-01</t>
  </si>
  <si>
    <t>LXND2309-02</t>
  </si>
  <si>
    <t>LXND2309-03</t>
  </si>
  <si>
    <t>LXND2309-04</t>
  </si>
  <si>
    <t>LXND2309-05</t>
  </si>
  <si>
    <t>LXND2309-06</t>
  </si>
  <si>
    <t>LXND2309-07</t>
  </si>
  <si>
    <t>LXND2309-08</t>
  </si>
  <si>
    <t>LXND2309-09</t>
  </si>
  <si>
    <t>LXND2309-10</t>
  </si>
  <si>
    <t>LXND2309-11</t>
  </si>
  <si>
    <t>LXND2309-12</t>
  </si>
  <si>
    <t>LXND2309-13</t>
  </si>
  <si>
    <t>LXND2309-14</t>
  </si>
  <si>
    <t>LXND2309-15</t>
  </si>
  <si>
    <t>LXND2311-01</t>
  </si>
  <si>
    <t>LXND2311-02</t>
  </si>
  <si>
    <t>LXND2311-03</t>
  </si>
  <si>
    <t>LXND2311-04</t>
  </si>
  <si>
    <t>LXND2311-05</t>
  </si>
  <si>
    <t>LXND2311-06</t>
  </si>
  <si>
    <t>LXND2311-07</t>
  </si>
  <si>
    <t>LXND2311-08</t>
  </si>
  <si>
    <t>LXND2311-09</t>
  </si>
  <si>
    <t>LXND2311-10</t>
  </si>
  <si>
    <t>LXND2311-11</t>
  </si>
  <si>
    <t>LXND2311-12</t>
  </si>
  <si>
    <t>LXND2311-13</t>
  </si>
  <si>
    <t>LXND2311-14</t>
  </si>
  <si>
    <t>LXND2311-15</t>
  </si>
  <si>
    <t>LXND2312-01</t>
  </si>
  <si>
    <t>LXND2312-02</t>
  </si>
  <si>
    <t>LXND2312-03</t>
  </si>
  <si>
    <t>LXND2312-04</t>
  </si>
  <si>
    <t>LXND2312-05</t>
  </si>
  <si>
    <t>LXND2312-06</t>
  </si>
  <si>
    <t>LXND2312-07</t>
  </si>
  <si>
    <t>LXND2312-08</t>
  </si>
  <si>
    <t>LXND2312-09</t>
  </si>
  <si>
    <t>LXND2312-10</t>
  </si>
  <si>
    <t>LXND2312-11</t>
  </si>
  <si>
    <t>LXND2312-12</t>
  </si>
  <si>
    <t>LXND2312-13</t>
  </si>
  <si>
    <t>LXND2312-14</t>
  </si>
  <si>
    <t>LXND2312-15</t>
  </si>
  <si>
    <t>LXND2401-01</t>
  </si>
  <si>
    <t>LXND2401-02</t>
  </si>
  <si>
    <t>LXND2401-03</t>
  </si>
  <si>
    <t>LXND2401-04</t>
  </si>
  <si>
    <t>LXND2401-05</t>
  </si>
  <si>
    <t>LXND2401-06</t>
  </si>
  <si>
    <t>LXND2401-07</t>
  </si>
  <si>
    <t>LXND2401-08</t>
  </si>
  <si>
    <t>LXND2401-09</t>
  </si>
  <si>
    <t>LXND2401-10</t>
  </si>
  <si>
    <t>LXND2401-11</t>
  </si>
  <si>
    <t>LXND2401-12</t>
  </si>
  <si>
    <t>LXND2401-13</t>
  </si>
  <si>
    <t>LXND2401-14</t>
  </si>
  <si>
    <t>LXND2401-15</t>
  </si>
  <si>
    <t>LXND2402-01</t>
  </si>
  <si>
    <t>LXND2402-02</t>
  </si>
  <si>
    <t>LXND2402-03</t>
  </si>
  <si>
    <t>LXND2402-04</t>
  </si>
  <si>
    <t>LXND2402-05</t>
  </si>
  <si>
    <t>LXND2402-06</t>
  </si>
  <si>
    <t>LXND2402-07</t>
  </si>
  <si>
    <t>LXND2402-08</t>
  </si>
  <si>
    <t>LXND2402-09</t>
  </si>
  <si>
    <t>LXND2402-10</t>
  </si>
  <si>
    <t>LXND2402-11</t>
  </si>
  <si>
    <t>LXND2402-12</t>
  </si>
  <si>
    <t>LXND2402-13</t>
  </si>
  <si>
    <t>LXND2402-14</t>
  </si>
  <si>
    <t>LXND2402-15</t>
  </si>
  <si>
    <t>LXND2403-01</t>
  </si>
  <si>
    <t>LXND2403-02</t>
  </si>
  <si>
    <t>LXND2403-03</t>
  </si>
  <si>
    <t>LXND2403-04</t>
  </si>
  <si>
    <t>LXND2403-05</t>
  </si>
  <si>
    <t>LXND2403-06</t>
  </si>
  <si>
    <t>LXND2403-07</t>
  </si>
  <si>
    <t>LXND2403-08</t>
  </si>
  <si>
    <t>LXND2403-09</t>
  </si>
  <si>
    <t>LXND2403-10</t>
  </si>
  <si>
    <t>LXND2403-11</t>
  </si>
  <si>
    <t>LXND2403-12</t>
  </si>
  <si>
    <t>LXND2403-13</t>
  </si>
  <si>
    <t>LXND2403-14</t>
  </si>
  <si>
    <t>LXND2403-15</t>
  </si>
  <si>
    <t>LXND2404-01</t>
  </si>
  <si>
    <t>LXND2404-02</t>
  </si>
  <si>
    <t>LXND2404-03</t>
  </si>
  <si>
    <t>LXND2404-04</t>
  </si>
  <si>
    <t>LXND2404-05</t>
  </si>
  <si>
    <t>LXND2404-06</t>
  </si>
  <si>
    <t>LXND2404-07</t>
  </si>
  <si>
    <t>LXND2404-08</t>
  </si>
  <si>
    <t>LXND2404-09</t>
  </si>
  <si>
    <t>LXND2404-10</t>
  </si>
  <si>
    <t>LXND2404-11</t>
  </si>
  <si>
    <t>LXND2404-12</t>
  </si>
  <si>
    <t>LXND2404-13</t>
  </si>
  <si>
    <t>LXND2404-14</t>
  </si>
  <si>
    <t>LXND2404-15</t>
  </si>
  <si>
    <t>LXND2501-01</t>
  </si>
  <si>
    <t>LXND2501-02</t>
  </si>
  <si>
    <t>LXND2501-03</t>
  </si>
  <si>
    <t>LXND2501-04</t>
  </si>
  <si>
    <t>LXND2501-05</t>
  </si>
  <si>
    <t>LXND2501-06</t>
  </si>
  <si>
    <t>LXND2501-07</t>
  </si>
  <si>
    <t>LXND2501-08</t>
  </si>
  <si>
    <t>LXND2501-09</t>
  </si>
  <si>
    <t>LXND2501-10</t>
  </si>
  <si>
    <t>LXND2501-11</t>
  </si>
  <si>
    <t>LXND2501-12</t>
  </si>
  <si>
    <t>LXND2501-13</t>
  </si>
  <si>
    <t>LXND2501-14</t>
  </si>
  <si>
    <t>LXND2501-15</t>
  </si>
  <si>
    <t>LXSD2001-01</t>
  </si>
  <si>
    <t>LXSD2001-02</t>
  </si>
  <si>
    <t>LXSD2001-03</t>
  </si>
  <si>
    <t>LXSD2001-04</t>
  </si>
  <si>
    <t>LXSD2001-05</t>
  </si>
  <si>
    <t>LXSD2001-06</t>
  </si>
  <si>
    <t>LXSD2001-07</t>
  </si>
  <si>
    <t>LXSD2001-08</t>
  </si>
  <si>
    <t>LXSD2001-09</t>
  </si>
  <si>
    <t>LXSD2001-10</t>
  </si>
  <si>
    <t>LXSD2001-11</t>
  </si>
  <si>
    <t>LXSD2001-12</t>
  </si>
  <si>
    <t>LXSD2001-13</t>
  </si>
  <si>
    <t>LXSD2001-14</t>
  </si>
  <si>
    <t>LXSD2001-15</t>
  </si>
  <si>
    <t>LXSD2002-01</t>
  </si>
  <si>
    <t>LXSD2002-02</t>
  </si>
  <si>
    <t>LXSD2002-03</t>
  </si>
  <si>
    <t>LXSD2002-04</t>
  </si>
  <si>
    <t>LXSD2002-05</t>
  </si>
  <si>
    <t>LXSD2002-06</t>
  </si>
  <si>
    <t>LXSD2002-07</t>
  </si>
  <si>
    <t>LXSD2002-08</t>
  </si>
  <si>
    <t>LXSD2002-09</t>
  </si>
  <si>
    <t>LXSD2002-10</t>
  </si>
  <si>
    <t>LXSD2002-11</t>
  </si>
  <si>
    <t>LXSD2002-12</t>
  </si>
  <si>
    <t>LXSD2002-13</t>
  </si>
  <si>
    <t>LXSD2002-14</t>
  </si>
  <si>
    <t>LXSD2002-15</t>
  </si>
  <si>
    <t>LXSD2003-01</t>
  </si>
  <si>
    <t>LXSD2003-02</t>
  </si>
  <si>
    <t>LXSD2003-03</t>
  </si>
  <si>
    <t>LXSD2003-04</t>
  </si>
  <si>
    <t>LXSD2003-05</t>
  </si>
  <si>
    <t>LXSD2003-06</t>
  </si>
  <si>
    <t>LXSD2003-07</t>
  </si>
  <si>
    <t>LXSD2003-08</t>
  </si>
  <si>
    <t>LXSD2003-09</t>
  </si>
  <si>
    <t>LXSD2003-10</t>
  </si>
  <si>
    <t>LXSD2003-11</t>
  </si>
  <si>
    <t>LXSD2003-12</t>
  </si>
  <si>
    <t>LXSD2003-13</t>
  </si>
  <si>
    <t>LXSD2003-14</t>
  </si>
  <si>
    <t>LXSD2003-15</t>
  </si>
  <si>
    <t>LXSD2006-01</t>
  </si>
  <si>
    <t>LXSD2006-02</t>
  </si>
  <si>
    <t>LXSD2006-03</t>
  </si>
  <si>
    <t>LXSD2006-04</t>
  </si>
  <si>
    <t>LXSD2006-05</t>
  </si>
  <si>
    <t>LXSD2006-06</t>
  </si>
  <si>
    <t>LXSD2006-07</t>
  </si>
  <si>
    <t>LXSD2006-08</t>
  </si>
  <si>
    <t>LXSD2006-09</t>
  </si>
  <si>
    <t>LXSD2006-10</t>
  </si>
  <si>
    <t>LXSD2006-11</t>
  </si>
  <si>
    <t>LXSD2006-12</t>
  </si>
  <si>
    <t>LXSD2006-13</t>
  </si>
  <si>
    <t>LXSD2006-14</t>
  </si>
  <si>
    <t>LXSD2006-15</t>
  </si>
  <si>
    <t>LXSD2007-01</t>
  </si>
  <si>
    <t>LXSD2007-02</t>
  </si>
  <si>
    <t>LXSD2007-03</t>
  </si>
  <si>
    <t>LXSD2007-04</t>
  </si>
  <si>
    <t>LXSD2007-05</t>
  </si>
  <si>
    <t>LXSD2007-06</t>
  </si>
  <si>
    <t>LXSD2007-07</t>
  </si>
  <si>
    <t>LXSD2007-08</t>
  </si>
  <si>
    <t>LXSD2007-09</t>
  </si>
  <si>
    <t>LXSD2007-10</t>
  </si>
  <si>
    <t>LXSD2007-11</t>
  </si>
  <si>
    <t>LXSD2007-12</t>
  </si>
  <si>
    <t>LXSD2007-13</t>
  </si>
  <si>
    <t>LXSD2007-14</t>
  </si>
  <si>
    <t>LXSD2007-15</t>
  </si>
  <si>
    <t>LXSD2008-01</t>
  </si>
  <si>
    <t>LXSD2008-02</t>
  </si>
  <si>
    <t>LXSD2008-03</t>
  </si>
  <si>
    <t>LXSD2008-04</t>
  </si>
  <si>
    <t>LXSD2008-05</t>
  </si>
  <si>
    <t>LXSD2008-06</t>
  </si>
  <si>
    <t>LXSD2008-07</t>
  </si>
  <si>
    <t>LXSD2008-08</t>
  </si>
  <si>
    <t>LXSD2008-09</t>
  </si>
  <si>
    <t>LXSD2008-10</t>
  </si>
  <si>
    <t>LXSD2008-11</t>
  </si>
  <si>
    <t>LXSD2008-12</t>
  </si>
  <si>
    <t>LXSD2008-13</t>
  </si>
  <si>
    <t>LXSD2008-14</t>
  </si>
  <si>
    <t>LXSD2008-15</t>
  </si>
  <si>
    <t>LXSD2009-01</t>
  </si>
  <si>
    <t>LXSD2009-02</t>
  </si>
  <si>
    <t>LXSD2009-03</t>
  </si>
  <si>
    <t>LXSD2009-04</t>
  </si>
  <si>
    <t>LXSD2009-05</t>
  </si>
  <si>
    <t>LXSD2009-06</t>
  </si>
  <si>
    <t>LXSD2009-07</t>
  </si>
  <si>
    <t>LXSD2009-08</t>
  </si>
  <si>
    <t>LXSD2009-09</t>
  </si>
  <si>
    <t>LXSD2009-10</t>
  </si>
  <si>
    <t>LXSD2009-11</t>
  </si>
  <si>
    <t>LXSD2009-12</t>
  </si>
  <si>
    <t>LXSD2009-13</t>
  </si>
  <si>
    <t>LXSD2009-14</t>
  </si>
  <si>
    <t>LXSD2009-15</t>
  </si>
  <si>
    <t>LXSD2010-01</t>
  </si>
  <si>
    <t>LXSD2010-02</t>
  </si>
  <si>
    <t>LXSD2010-03</t>
  </si>
  <si>
    <t>LXSD2010-04</t>
  </si>
  <si>
    <t>LXSD2010-05</t>
  </si>
  <si>
    <t>LXSD2010-06</t>
  </si>
  <si>
    <t>LXSD2010-07</t>
  </si>
  <si>
    <t>LXSD2010-08</t>
  </si>
  <si>
    <t>LXSD2010-09</t>
  </si>
  <si>
    <t>LXSD2010-10</t>
  </si>
  <si>
    <t>LXSD2010-11</t>
  </si>
  <si>
    <t>LXSD2010-12</t>
  </si>
  <si>
    <t>LXSD2010-13</t>
  </si>
  <si>
    <t>LXSD2010-14</t>
  </si>
  <si>
    <t>LXSD2010-15</t>
  </si>
  <si>
    <t>LXSD2011-01</t>
  </si>
  <si>
    <t>LXSD2011-02</t>
  </si>
  <si>
    <t>LXSD2011-03</t>
  </si>
  <si>
    <t>LXSD2011-04</t>
  </si>
  <si>
    <t>LXSD2011-05</t>
  </si>
  <si>
    <t>LXSD2011-06</t>
  </si>
  <si>
    <t>LXSD2011-07</t>
  </si>
  <si>
    <t>LXSD2011-08</t>
  </si>
  <si>
    <t>LXSD2011-09</t>
  </si>
  <si>
    <t>LXSD2011-10</t>
  </si>
  <si>
    <t>LXSD2011-11</t>
  </si>
  <si>
    <t>LXSD2011-12</t>
  </si>
  <si>
    <t>LXSD2011-13</t>
  </si>
  <si>
    <t>LXSD2011-14</t>
  </si>
  <si>
    <t>LXSD2011-15</t>
  </si>
  <si>
    <t>LXSD2012-01</t>
  </si>
  <si>
    <t>LXSD2012-02</t>
  </si>
  <si>
    <t>LXSD2012-03</t>
  </si>
  <si>
    <t>LXSD2012-04</t>
  </si>
  <si>
    <t>LXSD2012-05</t>
  </si>
  <si>
    <t>LXSD2012-06</t>
  </si>
  <si>
    <t>LXSD2012-07</t>
  </si>
  <si>
    <t>LXSD2012-08</t>
  </si>
  <si>
    <t>LXSD2012-09</t>
  </si>
  <si>
    <t>LXSD2012-10</t>
  </si>
  <si>
    <t>LXSD2012-11</t>
  </si>
  <si>
    <t>LXSD2012-12</t>
  </si>
  <si>
    <t>LXSD2012-13</t>
  </si>
  <si>
    <t>LXSD2012-14</t>
  </si>
  <si>
    <t>LXSD2012-15</t>
  </si>
  <si>
    <t>LXSD2101-01</t>
  </si>
  <si>
    <t>LXSD2101-02</t>
  </si>
  <si>
    <t>LXSD2101-03</t>
  </si>
  <si>
    <t>LXSD2101-04</t>
  </si>
  <si>
    <t>LXSD2101-05</t>
  </si>
  <si>
    <t>LXSD2101-06</t>
  </si>
  <si>
    <t>LXSD2101-07</t>
  </si>
  <si>
    <t>LXSD2101-08</t>
  </si>
  <si>
    <t>LXSD2101-09</t>
  </si>
  <si>
    <t>LXSD2101-10</t>
  </si>
  <si>
    <t>LXSD2101-11</t>
  </si>
  <si>
    <t>LXSD2101-12</t>
  </si>
  <si>
    <t>LXSD2101-13</t>
  </si>
  <si>
    <t>LXSD2101-14</t>
  </si>
  <si>
    <t>LXSD2101-15</t>
  </si>
  <si>
    <t>LXSD2102-01</t>
  </si>
  <si>
    <t>LXSD2102-02</t>
  </si>
  <si>
    <t>LXSD2102-03</t>
  </si>
  <si>
    <t>LXSD2102-04</t>
  </si>
  <si>
    <t>LXSD2102-05</t>
  </si>
  <si>
    <t>LXSD2102-06</t>
  </si>
  <si>
    <t>LXSD2102-07</t>
  </si>
  <si>
    <t>LXSD2102-08</t>
  </si>
  <si>
    <t>LXSD2102-09</t>
  </si>
  <si>
    <t>LXSD2102-10</t>
  </si>
  <si>
    <t>LXSD2102-11</t>
  </si>
  <si>
    <t>LXSD2102-12</t>
  </si>
  <si>
    <t>LXSD2102-13</t>
  </si>
  <si>
    <t>LXSD2102-14</t>
  </si>
  <si>
    <t>LXSD2102-15</t>
  </si>
  <si>
    <t>LXSD2103-01</t>
  </si>
  <si>
    <t>LXSD2103-02</t>
  </si>
  <si>
    <t>LXSD2103-03</t>
  </si>
  <si>
    <t>LXSD2103-04</t>
  </si>
  <si>
    <t>LXSD2103-05</t>
  </si>
  <si>
    <t>LXSD2103-06</t>
  </si>
  <si>
    <t>LXSD2103-07</t>
  </si>
  <si>
    <t>LXSD2103-08</t>
  </si>
  <si>
    <t>LXSD2103-09</t>
  </si>
  <si>
    <t>LXSD2103-10</t>
  </si>
  <si>
    <t>LXSD2103-11</t>
  </si>
  <si>
    <t>LXSD2103-12</t>
  </si>
  <si>
    <t>LXSD2103-13</t>
  </si>
  <si>
    <t>LXSD2103-14</t>
  </si>
  <si>
    <t>LXSD2103-15</t>
  </si>
  <si>
    <t>LXSD2104-01</t>
  </si>
  <si>
    <t>LXSD2104-02</t>
  </si>
  <si>
    <t>LXSD2104-03</t>
  </si>
  <si>
    <t>LXSD2104-04</t>
  </si>
  <si>
    <t>LXSD2104-05</t>
  </si>
  <si>
    <t>LXSD2104-06</t>
  </si>
  <si>
    <t>LXSD2104-07</t>
  </si>
  <si>
    <t>LXSD2104-08</t>
  </si>
  <si>
    <t>LXSD2104-09</t>
  </si>
  <si>
    <t>LXSD2104-10</t>
  </si>
  <si>
    <t>LXSD2104-11</t>
  </si>
  <si>
    <t>LXSD2104-12</t>
  </si>
  <si>
    <t>LXSD2104-13</t>
  </si>
  <si>
    <t>LXSD2104-14</t>
  </si>
  <si>
    <t>LXSD2104-15</t>
  </si>
  <si>
    <t>LXSD2105-01</t>
  </si>
  <si>
    <t>LXSD2105-02</t>
  </si>
  <si>
    <t>LXSD2105-03</t>
  </si>
  <si>
    <t>LXSD2105-04</t>
  </si>
  <si>
    <t>LXSD2105-05</t>
  </si>
  <si>
    <t>LXSD2105-06</t>
  </si>
  <si>
    <t>LXSD2105-07</t>
  </si>
  <si>
    <t>LXSD2105-08</t>
  </si>
  <si>
    <t>LXSD2105-09</t>
  </si>
  <si>
    <t>LXSD2105-10</t>
  </si>
  <si>
    <t>LXSD2105-11</t>
  </si>
  <si>
    <t>LXSD2105-12</t>
  </si>
  <si>
    <t>LXSD2105-13</t>
  </si>
  <si>
    <t>LXSD2105-14</t>
  </si>
  <si>
    <t>LXSD2105-15</t>
  </si>
  <si>
    <t>LXSD2106-01</t>
  </si>
  <si>
    <t>LXSD2106-02</t>
  </si>
  <si>
    <t>LXSD2106-03</t>
  </si>
  <si>
    <t>LXSD2106-04</t>
  </si>
  <si>
    <t>LXSD2106-05</t>
  </si>
  <si>
    <t>LXSD2106-06</t>
  </si>
  <si>
    <t>LXSD2106-07</t>
  </si>
  <si>
    <t>LXSD2106-08</t>
  </si>
  <si>
    <t>LXSD2106-09</t>
  </si>
  <si>
    <t>LXSD2106-10</t>
  </si>
  <si>
    <t>LXSD2106-11</t>
  </si>
  <si>
    <t>LXSD2106-12</t>
  </si>
  <si>
    <t>LXSD2106-13</t>
  </si>
  <si>
    <t>LXSD2106-14</t>
  </si>
  <si>
    <t>LXSD2106-15</t>
  </si>
  <si>
    <t>LXSD2107-01</t>
  </si>
  <si>
    <t>LXSD2107-02</t>
  </si>
  <si>
    <t>LXSD2107-03</t>
  </si>
  <si>
    <t>LXSD2107-04</t>
  </si>
  <si>
    <t>LXSD2107-05</t>
  </si>
  <si>
    <t>LXSD2107-06</t>
  </si>
  <si>
    <t>LXSD2107-07</t>
  </si>
  <si>
    <t>LXSD2107-08</t>
  </si>
  <si>
    <t>LXSD2107-09</t>
  </si>
  <si>
    <t>LXSD2107-10</t>
  </si>
  <si>
    <t>LXSD2107-11</t>
  </si>
  <si>
    <t>LXSD2107-12</t>
  </si>
  <si>
    <t>LXSD2107-13</t>
  </si>
  <si>
    <t>LXSD2107-14</t>
  </si>
  <si>
    <t>LXSD2107-15</t>
  </si>
  <si>
    <t>LXSD2108-01</t>
  </si>
  <si>
    <t>LXSD2108-02</t>
  </si>
  <si>
    <t>LXSD2108-03</t>
  </si>
  <si>
    <t>LXSD2108-04</t>
  </si>
  <si>
    <t>LXSD2108-05</t>
  </si>
  <si>
    <t>LXSD2108-06</t>
  </si>
  <si>
    <t>LXSD2108-07</t>
  </si>
  <si>
    <t>LXSD2108-08</t>
  </si>
  <si>
    <t>LXSD2108-09</t>
  </si>
  <si>
    <t>LXSD2108-10</t>
  </si>
  <si>
    <t>LXSD2108-11</t>
  </si>
  <si>
    <t>LXSD2108-12</t>
  </si>
  <si>
    <t>LXSD2108-13</t>
  </si>
  <si>
    <t>LXSD2108-14</t>
  </si>
  <si>
    <t>LXSD2108-15</t>
  </si>
  <si>
    <t>LXSD2109-01</t>
  </si>
  <si>
    <t>LXSD2109-02</t>
  </si>
  <si>
    <t>LXSD2109-03</t>
  </si>
  <si>
    <t>LXSD2109-04</t>
  </si>
  <si>
    <t>LXSD2109-05</t>
  </si>
  <si>
    <t>LXSD2109-06</t>
  </si>
  <si>
    <t>LXSD2109-07</t>
  </si>
  <si>
    <t>LXSD2109-08</t>
  </si>
  <si>
    <t>LXSD2109-09</t>
  </si>
  <si>
    <t>LXSD2109-10</t>
  </si>
  <si>
    <t>LXSD2109-11</t>
  </si>
  <si>
    <t>LXSD2109-12</t>
  </si>
  <si>
    <t>LXSD2109-13</t>
  </si>
  <si>
    <t>LXSD2109-14</t>
  </si>
  <si>
    <t>LXSD2109-15</t>
  </si>
  <si>
    <t>LXSD2110-01</t>
  </si>
  <si>
    <t>LXSD2110-02</t>
  </si>
  <si>
    <t>LXSD2110-03</t>
  </si>
  <si>
    <t>LXSD2110-04</t>
  </si>
  <si>
    <t>LXSD2110-05</t>
  </si>
  <si>
    <t>LXSD2110-06</t>
  </si>
  <si>
    <t>LXSD2110-07</t>
  </si>
  <si>
    <t>LXSD2110-08</t>
  </si>
  <si>
    <t>LXSD2110-09</t>
  </si>
  <si>
    <t>LXSD2110-10</t>
  </si>
  <si>
    <t>LXSD2110-11</t>
  </si>
  <si>
    <t>LXSD2110-12</t>
  </si>
  <si>
    <t>LXSD2110-13</t>
  </si>
  <si>
    <t>LXSD2110-14</t>
  </si>
  <si>
    <t>LXSD2110-15</t>
  </si>
  <si>
    <t>LXSD2111-01</t>
  </si>
  <si>
    <t>LXSD2111-02</t>
  </si>
  <si>
    <t>LXSD2111-03</t>
  </si>
  <si>
    <t>LXSD2111-04</t>
  </si>
  <si>
    <t>LXSD2111-05</t>
  </si>
  <si>
    <t>LXSD2111-06</t>
  </si>
  <si>
    <t>LXSD2111-07</t>
  </si>
  <si>
    <t>LXSD2111-08</t>
  </si>
  <si>
    <t>LXSD2111-09</t>
  </si>
  <si>
    <t>LXSD2111-10</t>
  </si>
  <si>
    <t>LXSD2111-11</t>
  </si>
  <si>
    <t>LXSD2111-12</t>
  </si>
  <si>
    <t>LXSD2111-13</t>
  </si>
  <si>
    <t>LXSD2111-14</t>
  </si>
  <si>
    <t>LXSD2111-15</t>
  </si>
  <si>
    <t>LXSD2112-01</t>
  </si>
  <si>
    <t>LXSD2112-02</t>
  </si>
  <si>
    <t>LXSD2112-03</t>
  </si>
  <si>
    <t>LXSD2112-04</t>
  </si>
  <si>
    <t>LXSD2112-05</t>
  </si>
  <si>
    <t>LXSD2112-06</t>
  </si>
  <si>
    <t>LXSD2112-07</t>
  </si>
  <si>
    <t>LXSD2112-08</t>
  </si>
  <si>
    <t>LXSD2112-09</t>
  </si>
  <si>
    <t>LXSD2112-10</t>
  </si>
  <si>
    <t>LXSD2112-11</t>
  </si>
  <si>
    <t>LXSD2112-12</t>
  </si>
  <si>
    <t>LXSD2112-13</t>
  </si>
  <si>
    <t>LXSD2112-14</t>
  </si>
  <si>
    <t>LXSD2112-15</t>
  </si>
  <si>
    <t>LXSD2201-01</t>
  </si>
  <si>
    <t>LXCOLL_20220112_1_0246_1</t>
  </si>
  <si>
    <t>LXSD2201-02</t>
  </si>
  <si>
    <t>LXSD2201-03</t>
  </si>
  <si>
    <t>LXSD2201-04</t>
  </si>
  <si>
    <t>LXSD2201-05</t>
  </si>
  <si>
    <t>LXSD2201-06</t>
  </si>
  <si>
    <t>LXCOLL_20220112_1_0247_1</t>
  </si>
  <si>
    <t>LXSD2201-07</t>
  </si>
  <si>
    <t>LXSD2201-08</t>
  </si>
  <si>
    <t>LXSD2201-09</t>
  </si>
  <si>
    <t>LXSD2201-10</t>
  </si>
  <si>
    <t>LXSD2201-11</t>
  </si>
  <si>
    <t>LXCOLL_20220112_1_0249_1</t>
  </si>
  <si>
    <t>LXSD2201-12</t>
  </si>
  <si>
    <t>LXSD2201-13</t>
  </si>
  <si>
    <t>LXSD2201-14</t>
  </si>
  <si>
    <t>LXSD2201-15</t>
  </si>
  <si>
    <t>LXSD2202-01</t>
  </si>
  <si>
    <t>LXCOLL_20220209_1_0246_1</t>
  </si>
  <si>
    <t>LXSD2202-02</t>
  </si>
  <si>
    <t>LXSD2202-03</t>
  </si>
  <si>
    <t>LXSD2202-04</t>
  </si>
  <si>
    <t>LXSD2202-05</t>
  </si>
  <si>
    <t>LXSD2202-06</t>
  </si>
  <si>
    <t>LXCOLL_20220209_1_0247_1</t>
  </si>
  <si>
    <t>LXSD2202-07</t>
  </si>
  <si>
    <t>LXSD2202-08</t>
  </si>
  <si>
    <t>LXSD2202-09</t>
  </si>
  <si>
    <t>LXSD2202-10</t>
  </si>
  <si>
    <t>LXSD2202-11</t>
  </si>
  <si>
    <t>LXCOLL_20220209_1_0249_1</t>
  </si>
  <si>
    <t>LXSD2202-12</t>
  </si>
  <si>
    <t>LXSD2202-13</t>
  </si>
  <si>
    <t>LXSD2202-14</t>
  </si>
  <si>
    <t>LXSD2202-15</t>
  </si>
  <si>
    <t>LXSD2203-01</t>
  </si>
  <si>
    <t>LXCOLL_20220309_1_0246_1</t>
  </si>
  <si>
    <t>LXSD2203-02</t>
  </si>
  <si>
    <t>LXSD2203-03</t>
  </si>
  <si>
    <t>LXSD2203-04</t>
  </si>
  <si>
    <t>LXSD2203-05</t>
  </si>
  <si>
    <t>LXSD2203-06</t>
  </si>
  <si>
    <t>LXCOLL_20220309_1_0247_1</t>
  </si>
  <si>
    <t>LXSD2203-07</t>
  </si>
  <si>
    <t>LXSD2203-08</t>
  </si>
  <si>
    <t>LXSD2203-09</t>
  </si>
  <si>
    <t>LXSD2203-10</t>
  </si>
  <si>
    <t>LXSD2203-11</t>
  </si>
  <si>
    <t>LXCOLL_20220309_1_0249_1</t>
  </si>
  <si>
    <t>LXSD2203-12</t>
  </si>
  <si>
    <t>LXSD2203-13</t>
  </si>
  <si>
    <t>LXSD2203-14</t>
  </si>
  <si>
    <t>LXSD2203-15</t>
  </si>
  <si>
    <t>LXSD2204-01</t>
  </si>
  <si>
    <t>LXCOLL_20220405_1_0246_1</t>
  </si>
  <si>
    <t>LXSD2204-02</t>
  </si>
  <si>
    <t>LXSD2204-03</t>
  </si>
  <si>
    <t>LXSD2204-04</t>
  </si>
  <si>
    <t>LXSD2204-05</t>
  </si>
  <si>
    <t>LXSD2204-06</t>
  </si>
  <si>
    <t>LXCOLL_20220405_1_0247_1</t>
  </si>
  <si>
    <t>LXSD2204-07</t>
  </si>
  <si>
    <t>LXSD2204-08</t>
  </si>
  <si>
    <t>LXSD2204-09</t>
  </si>
  <si>
    <t>LXSD2204-10</t>
  </si>
  <si>
    <t>LXSD2204-11</t>
  </si>
  <si>
    <t>LXCOLL_20220405_1_0249_1</t>
  </si>
  <si>
    <t>LXSD2204-12</t>
  </si>
  <si>
    <t>LXSD2204-13</t>
  </si>
  <si>
    <t>LXSD2204-14</t>
  </si>
  <si>
    <t>LXSD2204-15</t>
  </si>
  <si>
    <t>LXSD2205-01</t>
  </si>
  <si>
    <t>LXCOLL_20220503_1_0246_1</t>
  </si>
  <si>
    <t>LXSD2205-02</t>
  </si>
  <si>
    <t>LXSD2205-03</t>
  </si>
  <si>
    <t>LXSD2205-04</t>
  </si>
  <si>
    <t>LXSD2205-05</t>
  </si>
  <si>
    <t>LXSD2205-06</t>
  </si>
  <si>
    <t>LXCOLL_20220503_1_0247_1</t>
  </si>
  <si>
    <t>LXSD2205-07</t>
  </si>
  <si>
    <t>LXSD2205-08</t>
  </si>
  <si>
    <t>LXSD2205-09</t>
  </si>
  <si>
    <t>LXSD2205-10</t>
  </si>
  <si>
    <t>LXSD2205-11</t>
  </si>
  <si>
    <t>LXCOLL_20220503_1_0249_1</t>
  </si>
  <si>
    <t>LXSD2205-12</t>
  </si>
  <si>
    <t>LXSD2205-13</t>
  </si>
  <si>
    <t>LXSD2205-14</t>
  </si>
  <si>
    <t>LXSD2205-15</t>
  </si>
  <si>
    <t>LXSD2206-01</t>
  </si>
  <si>
    <t>LXCOLL_20220608_1_0246_1</t>
  </si>
  <si>
    <t>LXSD2206-02</t>
  </si>
  <si>
    <t>LXSD2206-03</t>
  </si>
  <si>
    <t>LXSD2206-04</t>
  </si>
  <si>
    <t>LXSD2206-05</t>
  </si>
  <si>
    <t>LXSD2206-06</t>
  </si>
  <si>
    <t>LXCOLL_20220608_1_0247_1</t>
  </si>
  <si>
    <t>LXSD2206-07</t>
  </si>
  <si>
    <t>LXSD2206-08</t>
  </si>
  <si>
    <t>LXSD2206-09</t>
  </si>
  <si>
    <t>LXSD2206-10</t>
  </si>
  <si>
    <t>LXSD2206-11</t>
  </si>
  <si>
    <t>LXCOLL_20220608_1_0249_1</t>
  </si>
  <si>
    <t>LXSD2206-12</t>
  </si>
  <si>
    <t>LXSD2206-13</t>
  </si>
  <si>
    <t>LXSD2206-14</t>
  </si>
  <si>
    <t>LXSD2206-15</t>
  </si>
  <si>
    <t>LXSD2207-01</t>
  </si>
  <si>
    <t>LXCOLL_20220705_1_0246_1</t>
  </si>
  <si>
    <t>LXSD2207-02</t>
  </si>
  <si>
    <t>LXSD2207-03</t>
  </si>
  <si>
    <t>LXSD2207-04</t>
  </si>
  <si>
    <t>LXSD2207-05</t>
  </si>
  <si>
    <t>LXSD2207-06</t>
  </si>
  <si>
    <t>LXCOLL_20220705_1_0247_1</t>
  </si>
  <si>
    <t>LXSD2207-07</t>
  </si>
  <si>
    <t>LXSD2207-08</t>
  </si>
  <si>
    <t>LXSD2207-09</t>
  </si>
  <si>
    <t>LXSD2207-10</t>
  </si>
  <si>
    <t>LXSD2207-11</t>
  </si>
  <si>
    <t>LXCOLL_20220705_1_0249_1</t>
  </si>
  <si>
    <t>LXSD2207-12</t>
  </si>
  <si>
    <t>LXSD2207-13</t>
  </si>
  <si>
    <t>LXSD2207-14</t>
  </si>
  <si>
    <t>LXSD2207-15</t>
  </si>
  <si>
    <t>LXSD2208-01</t>
  </si>
  <si>
    <t>LXCOLL_20220802_1_0246_1</t>
  </si>
  <si>
    <t>LXSD2208-02</t>
  </si>
  <si>
    <t>LXSD2208-03</t>
  </si>
  <si>
    <t>LXSD2208-04</t>
  </si>
  <si>
    <t>LXSD2208-05</t>
  </si>
  <si>
    <t>LXSD2208-06</t>
  </si>
  <si>
    <t>LXCOLL_20220802_1_0247_1</t>
  </si>
  <si>
    <t>LXSD2208-07</t>
  </si>
  <si>
    <t>LXSD2208-08</t>
  </si>
  <si>
    <t>LXSD2208-09</t>
  </si>
  <si>
    <t>LXSD2208-10</t>
  </si>
  <si>
    <t>LXSD2208-11</t>
  </si>
  <si>
    <t>LXCOLL_20220802_1_0249_1</t>
  </si>
  <si>
    <t>LXSD2208-12</t>
  </si>
  <si>
    <t>LXSD2208-13</t>
  </si>
  <si>
    <t>LXSD2208-14</t>
  </si>
  <si>
    <t>LXSD2208-15</t>
  </si>
  <si>
    <t>LXSD2209-01</t>
  </si>
  <si>
    <t>LXCOLL_20220907_1_0246_1</t>
  </si>
  <si>
    <t>LXSD2209-02</t>
  </si>
  <si>
    <t>LXSD2209-03</t>
  </si>
  <si>
    <t>LXSD2209-04</t>
  </si>
  <si>
    <t>LXSD2209-05</t>
  </si>
  <si>
    <t>LXSD2209-06</t>
  </si>
  <si>
    <t>LXCOLL_20220907_1_0247_1</t>
  </si>
  <si>
    <t>LXSD2209-07</t>
  </si>
  <si>
    <t>LXSD2209-08</t>
  </si>
  <si>
    <t>LXSD2209-09</t>
  </si>
  <si>
    <t>LXSD2209-10</t>
  </si>
  <si>
    <t>LXSD2209-11</t>
  </si>
  <si>
    <t>LXCOLL_20220907_1_0249_1</t>
  </si>
  <si>
    <t>LXSD2209-12</t>
  </si>
  <si>
    <t>LXSD2209-13</t>
  </si>
  <si>
    <t>LXSD2209-14</t>
  </si>
  <si>
    <t>LXSD2209-15</t>
  </si>
  <si>
    <t>LXSD2210-01</t>
  </si>
  <si>
    <t>LXCOLL_20221010_1_0246_1</t>
  </si>
  <si>
    <t>LXSD2210-02</t>
  </si>
  <si>
    <t>LXSD2210-03</t>
  </si>
  <si>
    <t>LXSD2210-04</t>
  </si>
  <si>
    <t>LXSD2210-05</t>
  </si>
  <si>
    <t>LXSD2210-06</t>
  </si>
  <si>
    <t>LXCOLL_20221010_1_0247_1</t>
  </si>
  <si>
    <t>LXSD2210-07</t>
  </si>
  <si>
    <t>LXSD2210-08</t>
  </si>
  <si>
    <t>LXSD2210-09</t>
  </si>
  <si>
    <t>LXSD2210-10</t>
  </si>
  <si>
    <t>LXSD2210-11</t>
  </si>
  <si>
    <t>LXCOLL_20221010_1_0249_1</t>
  </si>
  <si>
    <t>LXSD2210-12</t>
  </si>
  <si>
    <t>LXSD2210-13</t>
  </si>
  <si>
    <t>LXSD2210-14</t>
  </si>
  <si>
    <t>LXSD2210-15</t>
  </si>
  <si>
    <t>LXSD2211-01</t>
  </si>
  <si>
    <t>LXCOLL_20221114_1_0246_1</t>
  </si>
  <si>
    <t>LXSD2211-02</t>
  </si>
  <si>
    <t>LXSD2211-03</t>
  </si>
  <si>
    <t>LXSD2211-04</t>
  </si>
  <si>
    <t>LXSD2211-05</t>
  </si>
  <si>
    <t>LXSD2211-06</t>
  </si>
  <si>
    <t>LXCOLL_20221114_1_0247_1</t>
  </si>
  <si>
    <t>LXSD2211-07</t>
  </si>
  <si>
    <t>LXSD2211-08</t>
  </si>
  <si>
    <t>LXSD2211-09</t>
  </si>
  <si>
    <t>LXSD2211-10</t>
  </si>
  <si>
    <t>LXSD2211-11</t>
  </si>
  <si>
    <t>LXCOLL_20221114_1_0249_1</t>
  </si>
  <si>
    <t>LXSD2211-12</t>
  </si>
  <si>
    <t>LXSD2211-13</t>
  </si>
  <si>
    <t>LXSD2211-14</t>
  </si>
  <si>
    <t>LXSD2211-15</t>
  </si>
  <si>
    <t>LXSD2212-01</t>
  </si>
  <si>
    <t>LXCOLL_20221206_1_0246_1</t>
  </si>
  <si>
    <t>LXSD2212-02</t>
  </si>
  <si>
    <t>LXSD2212-03</t>
  </si>
  <si>
    <t>LXSD2212-04</t>
  </si>
  <si>
    <t>LXSD2212-05</t>
  </si>
  <si>
    <t>LXSD2212-06</t>
  </si>
  <si>
    <t>LXCOLL_20221206_1_0247_1</t>
  </si>
  <si>
    <t>LXSD2212-07</t>
  </si>
  <si>
    <t>LXSD2212-08</t>
  </si>
  <si>
    <t>LXSD2212-09</t>
  </si>
  <si>
    <t>LXSD2212-10</t>
  </si>
  <si>
    <t>LXSD2212-11</t>
  </si>
  <si>
    <t>LXCOLL_20221206_1_0249_1</t>
  </si>
  <si>
    <t>LXSD2212-12</t>
  </si>
  <si>
    <t>LXSD2212-13</t>
  </si>
  <si>
    <t>LXSD2212-14</t>
  </si>
  <si>
    <t>LXSD2212-15</t>
  </si>
  <si>
    <t>LXSD2301-01</t>
  </si>
  <si>
    <t>LXSD2301-02</t>
  </si>
  <si>
    <t>LXSD2301-03</t>
  </si>
  <si>
    <t>LXSD2301-04</t>
  </si>
  <si>
    <t>LXSD2301-05</t>
  </si>
  <si>
    <t>LXSD2301-06</t>
  </si>
  <si>
    <t>LXSD2301-07</t>
  </si>
  <si>
    <t>LXSD2301-08</t>
  </si>
  <si>
    <t>LXSD2301-09</t>
  </si>
  <si>
    <t>LXSD2301-10</t>
  </si>
  <si>
    <t>LXSD2301-11</t>
  </si>
  <si>
    <t>LXSD2301-12</t>
  </si>
  <si>
    <t>LXSD2301-13</t>
  </si>
  <si>
    <t>LXSD2301-14</t>
  </si>
  <si>
    <t>LXSD2301-15</t>
  </si>
  <si>
    <t>LXSD2302-01</t>
  </si>
  <si>
    <t>LXSD2302-02</t>
  </si>
  <si>
    <t>LXSD2302-03</t>
  </si>
  <si>
    <t>LXSD2302-04</t>
  </si>
  <si>
    <t>LXSD2302-05</t>
  </si>
  <si>
    <t>LXSD2302-06</t>
  </si>
  <si>
    <t>LXSD2302-07</t>
  </si>
  <si>
    <t>LXSD2302-08</t>
  </si>
  <si>
    <t>LXSD2302-09</t>
  </si>
  <si>
    <t>LXSD2302-10</t>
  </si>
  <si>
    <t>LXSD2302-11</t>
  </si>
  <si>
    <t>LXSD2302-12</t>
  </si>
  <si>
    <t>LXSD2302-13</t>
  </si>
  <si>
    <t>LXSD2302-14</t>
  </si>
  <si>
    <t>LXSD2302-15</t>
  </si>
  <si>
    <t>LXSD2303-01</t>
  </si>
  <si>
    <t>LXSD2303-02</t>
  </si>
  <si>
    <t>LXSD2303-03</t>
  </si>
  <si>
    <t>LXSD2303-04</t>
  </si>
  <si>
    <t>LXSD2303-05</t>
  </si>
  <si>
    <t>LXSD2303-06</t>
  </si>
  <si>
    <t>LXSD2303-07</t>
  </si>
  <si>
    <t>LXSD2303-08</t>
  </si>
  <si>
    <t>LXSD2303-09</t>
  </si>
  <si>
    <t>LXSD2303-10</t>
  </si>
  <si>
    <t>LXSD2303-11</t>
  </si>
  <si>
    <t>LXSD2303-12</t>
  </si>
  <si>
    <t>LXSD2303-13</t>
  </si>
  <si>
    <t>LXSD2303-14</t>
  </si>
  <si>
    <t>LXSD2303-15</t>
  </si>
  <si>
    <t>LXSD2304-01</t>
  </si>
  <si>
    <t>LXSD2304-02</t>
  </si>
  <si>
    <t>LXSD2304-03</t>
  </si>
  <si>
    <t>LXSD2304-04</t>
  </si>
  <si>
    <t>LXSD2304-05</t>
  </si>
  <si>
    <t>LXSD2304-06</t>
  </si>
  <si>
    <t>LXSD2304-07</t>
  </si>
  <si>
    <t>LXSD2304-08</t>
  </si>
  <si>
    <t>LXSD2304-09</t>
  </si>
  <si>
    <t>LXSD2304-10</t>
  </si>
  <si>
    <t>LXSD2304-11</t>
  </si>
  <si>
    <t>LXSD2304-12</t>
  </si>
  <si>
    <t>LXSD2304-13</t>
  </si>
  <si>
    <t>LXSD2304-14</t>
  </si>
  <si>
    <t>LXSD2304-15</t>
  </si>
  <si>
    <t>LXSD2307-01</t>
  </si>
  <si>
    <t>LXSD2307-02</t>
  </si>
  <si>
    <t>LXSD2307-03</t>
  </si>
  <si>
    <t>LXSD2307-04</t>
  </si>
  <si>
    <t>LXSD2307-05</t>
  </si>
  <si>
    <t>LXSD2307-06</t>
  </si>
  <si>
    <t>LXSD2307-07</t>
  </si>
  <si>
    <t>LXSD2307-08</t>
  </si>
  <si>
    <t>LXSD2307-09</t>
  </si>
  <si>
    <t>LXSD2307-10</t>
  </si>
  <si>
    <t>LXSD2307-11</t>
  </si>
  <si>
    <t>LXSD2307-12</t>
  </si>
  <si>
    <t>LXSD2307-13</t>
  </si>
  <si>
    <t>LXSD2307-14</t>
  </si>
  <si>
    <t>LXSD2307-15</t>
  </si>
  <si>
    <t>LXSD2308-01</t>
  </si>
  <si>
    <t>LXSD2308-02</t>
  </si>
  <si>
    <t>LXSD2308-03</t>
  </si>
  <si>
    <t>LXSD2308-04</t>
  </si>
  <si>
    <t>LXSD2308-05</t>
  </si>
  <si>
    <t>LXSD2308-06</t>
  </si>
  <si>
    <t>LXSD2308-07</t>
  </si>
  <si>
    <t>LXSD2308-08</t>
  </si>
  <si>
    <t>LXSD2308-09</t>
  </si>
  <si>
    <t>LXSD2308-10</t>
  </si>
  <si>
    <t>LXSD2308-11</t>
  </si>
  <si>
    <t>LXSD2308-12</t>
  </si>
  <si>
    <t>LXSD2308-13</t>
  </si>
  <si>
    <t>LXSD2308-14</t>
  </si>
  <si>
    <t>LXSD2308-15</t>
  </si>
  <si>
    <t>LXSD2309-01</t>
  </si>
  <si>
    <t>LXSD2309-02</t>
  </si>
  <si>
    <t>LXSD2309-03</t>
  </si>
  <si>
    <t>LXSD2309-04</t>
  </si>
  <si>
    <t>LXSD2309-05</t>
  </si>
  <si>
    <t>LXSD2309-06</t>
  </si>
  <si>
    <t>LXSD2309-07</t>
  </si>
  <si>
    <t>LXSD2309-08</t>
  </si>
  <si>
    <t>LXSD2309-09</t>
  </si>
  <si>
    <t>LXSD2309-10</t>
  </si>
  <si>
    <t>LXSD2309-11</t>
  </si>
  <si>
    <t>LXSD2309-12</t>
  </si>
  <si>
    <t>LXSD2309-13</t>
  </si>
  <si>
    <t>LXSD2309-14</t>
  </si>
  <si>
    <t>LXSD2309-15</t>
  </si>
  <si>
    <t>LXSD2311-01</t>
  </si>
  <si>
    <t>LXSD2311-02</t>
  </si>
  <si>
    <t>LXSD2311-03</t>
  </si>
  <si>
    <t>LXSD2311-04</t>
  </si>
  <si>
    <t>LXSD2311-05</t>
  </si>
  <si>
    <t>LXSD2311-06</t>
  </si>
  <si>
    <t>LXSD2311-07</t>
  </si>
  <si>
    <t>LXSD2311-08</t>
  </si>
  <si>
    <t>LXSD2311-09</t>
  </si>
  <si>
    <t>LXSD2311-10</t>
  </si>
  <si>
    <t>LXSD2311-11</t>
  </si>
  <si>
    <t>LXSD2311-12</t>
  </si>
  <si>
    <t>LXSD2311-13</t>
  </si>
  <si>
    <t>LXSD2311-14</t>
  </si>
  <si>
    <t>LXSD2311-15</t>
  </si>
  <si>
    <t>LXSD2312-01</t>
  </si>
  <si>
    <t>LXSD2312-02</t>
  </si>
  <si>
    <t>LXSD2312-03</t>
  </si>
  <si>
    <t>LXSD2312-04</t>
  </si>
  <si>
    <t>LXSD2312-05</t>
  </si>
  <si>
    <t>LXSD2312-06</t>
  </si>
  <si>
    <t>LXSD2312-07</t>
  </si>
  <si>
    <t>LXSD2312-08</t>
  </si>
  <si>
    <t>LXSD2312-09</t>
  </si>
  <si>
    <t>LXSD2312-10</t>
  </si>
  <si>
    <t>LXSD2312-11</t>
  </si>
  <si>
    <t>LXSD2312-12</t>
  </si>
  <si>
    <t>LXSD2312-13</t>
  </si>
  <si>
    <t>LXSD2312-14</t>
  </si>
  <si>
    <t>LXSD2312-15</t>
  </si>
  <si>
    <t>LXSD2401-01</t>
  </si>
  <si>
    <t>LXSD2401-02</t>
  </si>
  <si>
    <t>LXSD2401-03</t>
  </si>
  <si>
    <t>LXSD2401-04</t>
  </si>
  <si>
    <t>LXSD2401-05</t>
  </si>
  <si>
    <t>LXSD2401-06</t>
  </si>
  <si>
    <t>LXSD2401-07</t>
  </si>
  <si>
    <t>LXSD2401-08</t>
  </si>
  <si>
    <t>LXSD2401-09</t>
  </si>
  <si>
    <t>LXSD2401-10</t>
  </si>
  <si>
    <t>LXSD2401-11</t>
  </si>
  <si>
    <t>LXSD2401-12</t>
  </si>
  <si>
    <t>LXSD2401-13</t>
  </si>
  <si>
    <t>LXSD2401-14</t>
  </si>
  <si>
    <t>LXSD2401-15</t>
  </si>
  <si>
    <t>LXSD2402-01</t>
  </si>
  <si>
    <t>LXSD2402-02</t>
  </si>
  <si>
    <t>LXSD2402-03</t>
  </si>
  <si>
    <t>LXSD2402-04</t>
  </si>
  <si>
    <t>LXSD2402-05</t>
  </si>
  <si>
    <t>LXSD2402-06</t>
  </si>
  <si>
    <t>LXSD2402-07</t>
  </si>
  <si>
    <t>LXSD2402-08</t>
  </si>
  <si>
    <t>LXSD2402-09</t>
  </si>
  <si>
    <t>LXSD2402-10</t>
  </si>
  <si>
    <t>LXSD2402-11</t>
  </si>
  <si>
    <t>LXSD2402-12</t>
  </si>
  <si>
    <t>LXSD2402-13</t>
  </si>
  <si>
    <t>LXSD2402-14</t>
  </si>
  <si>
    <t>LXSD2402-15</t>
  </si>
  <si>
    <t>LXSD2403-01</t>
  </si>
  <si>
    <t>LXSD2403-02</t>
  </si>
  <si>
    <t>LXSD2403-03</t>
  </si>
  <si>
    <t>LXSD2403-04</t>
  </si>
  <si>
    <t>LXSD2403-05</t>
  </si>
  <si>
    <t>LXSD2403-06</t>
  </si>
  <si>
    <t>LXSD2403-07</t>
  </si>
  <si>
    <t>LXSD2403-08</t>
  </si>
  <si>
    <t>LXSD2403-09</t>
  </si>
  <si>
    <t>LXSD2403-10</t>
  </si>
  <si>
    <t>LXSD2403-11</t>
  </si>
  <si>
    <t>LXSD2403-12</t>
  </si>
  <si>
    <t>LXSD2403-13</t>
  </si>
  <si>
    <t>LXSD2403-14</t>
  </si>
  <si>
    <t>LXSD2403-15</t>
  </si>
  <si>
    <t>LXSD2404-01</t>
  </si>
  <si>
    <t>LXSD2404-02</t>
  </si>
  <si>
    <t>LXSD2404-03</t>
  </si>
  <si>
    <t>LXSD2404-04</t>
  </si>
  <si>
    <t>LXSD2404-05</t>
  </si>
  <si>
    <t>LXSD2404-06</t>
  </si>
  <si>
    <t>LXSD2404-07</t>
  </si>
  <si>
    <t>LXSD2404-08</t>
  </si>
  <si>
    <t>LXSD2404-09</t>
  </si>
  <si>
    <t>LXSD2404-10</t>
  </si>
  <si>
    <t>LXSD2404-11</t>
  </si>
  <si>
    <t>LXSD2404-12</t>
  </si>
  <si>
    <t>LXSD2404-13</t>
  </si>
  <si>
    <t>LXSD2404-14</t>
  </si>
  <si>
    <t>LXSD2404-15</t>
  </si>
  <si>
    <t>LXSD2501-01</t>
  </si>
  <si>
    <t>LXSD2501-02</t>
  </si>
  <si>
    <t>LXSD2501-03</t>
  </si>
  <si>
    <t>LXSD2501-04</t>
  </si>
  <si>
    <t>LXSD2501-05</t>
  </si>
  <si>
    <t>LXSD2501-06</t>
  </si>
  <si>
    <t>LXSD2501-07</t>
  </si>
  <si>
    <t>LXSD2501-08</t>
  </si>
  <si>
    <t>LXSD2501-09</t>
  </si>
  <si>
    <t>LXSD2501-10</t>
  </si>
  <si>
    <t>LXSD2501-11</t>
  </si>
  <si>
    <t>LXSD2501-12</t>
  </si>
  <si>
    <t>LXSD2501-13</t>
  </si>
  <si>
    <t>LXSD2501-14</t>
  </si>
  <si>
    <t>LXSD2501-15</t>
  </si>
  <si>
    <t>ShellDryWeight,SL,SW, not recorded;</t>
  </si>
  <si>
    <t>Pea crab 0.14g</t>
  </si>
  <si>
    <t>Pea crab 0.42g</t>
  </si>
  <si>
    <t>pea crab 0.37g</t>
  </si>
  <si>
    <t>pea crab 0.41g</t>
  </si>
  <si>
    <t>pea crab 0.23g</t>
  </si>
  <si>
    <t>pea crab 0.04g</t>
  </si>
  <si>
    <t>pea crab 0.12g</t>
  </si>
  <si>
    <t>pea crab 0.25g</t>
  </si>
  <si>
    <t>pea crab &lt;0.01g</t>
  </si>
  <si>
    <t>pea crab 1.10g</t>
  </si>
  <si>
    <t>Pea crab 0.72</t>
  </si>
  <si>
    <t>DermoMantle,ShellDryWeight,SL,SW, not recorded;</t>
  </si>
  <si>
    <t>Pea crab 0.11g</t>
  </si>
  <si>
    <t>Pea crab 0.59</t>
  </si>
  <si>
    <t>pea crab 0.20g</t>
  </si>
  <si>
    <t>pea crab 0.44g</t>
  </si>
  <si>
    <t>2 flat worms (0.10g + 0.20g) and pea crab 0.43g</t>
  </si>
  <si>
    <t>flat worm 0.39g</t>
  </si>
  <si>
    <t>pea crab 0.27g</t>
  </si>
  <si>
    <t>pea crab 0.3g</t>
  </si>
  <si>
    <t>Pea crab 0.14</t>
  </si>
  <si>
    <t>Pea crab 0.23</t>
  </si>
  <si>
    <t>Pea crab 0.28</t>
  </si>
  <si>
    <t>pea crab 0.13g</t>
  </si>
  <si>
    <t>LXND2305-01</t>
  </si>
  <si>
    <t>LXND2305-02</t>
  </si>
  <si>
    <t>LXND2305-03</t>
  </si>
  <si>
    <t>LXND2305-04</t>
  </si>
  <si>
    <t>LXND2305-05</t>
  </si>
  <si>
    <t>LXND2305-06</t>
  </si>
  <si>
    <t>LXND2305-07</t>
  </si>
  <si>
    <t>LXND2305-08</t>
  </si>
  <si>
    <t>LXND2305-09</t>
  </si>
  <si>
    <t>LXND2305-10</t>
  </si>
  <si>
    <t>LXND2305-11</t>
  </si>
  <si>
    <t>LXND2305-12</t>
  </si>
  <si>
    <t>LXND2305-13</t>
  </si>
  <si>
    <t>LXND2305-14</t>
  </si>
  <si>
    <t>LXND2305-15</t>
  </si>
  <si>
    <t>LXND2306-01</t>
  </si>
  <si>
    <t>LXND2306-02</t>
  </si>
  <si>
    <t>LXND2306-03</t>
  </si>
  <si>
    <t>LXND2306-04</t>
  </si>
  <si>
    <t>LXND2306-05</t>
  </si>
  <si>
    <t>LXND2306-06</t>
  </si>
  <si>
    <t>LXND2306-07</t>
  </si>
  <si>
    <t>LXND2306-08</t>
  </si>
  <si>
    <t>LXND2306-09</t>
  </si>
  <si>
    <t>LXND2306-10</t>
  </si>
  <si>
    <t>LXND2306-11</t>
  </si>
  <si>
    <t>LXND2306-12</t>
  </si>
  <si>
    <t>LXND2306-13</t>
  </si>
  <si>
    <t>LXND2306-14</t>
  </si>
  <si>
    <t>LXND2306-15</t>
  </si>
  <si>
    <t>LXND2310-01</t>
  </si>
  <si>
    <t>LXND2310-02</t>
  </si>
  <si>
    <t>LXND2310-03</t>
  </si>
  <si>
    <t>LXND2310-04</t>
  </si>
  <si>
    <t>LXND2310-05</t>
  </si>
  <si>
    <t>LXND2310-06</t>
  </si>
  <si>
    <t>LXND2310-07</t>
  </si>
  <si>
    <t>LXND2310-08</t>
  </si>
  <si>
    <t>LXND2310-09</t>
  </si>
  <si>
    <t>LXND2310-10</t>
  </si>
  <si>
    <t>LXND2310-11</t>
  </si>
  <si>
    <t>LXND2310-12</t>
  </si>
  <si>
    <t>pea crab .42g</t>
  </si>
  <si>
    <t>LXND2310-13</t>
  </si>
  <si>
    <t>LXND2310-14</t>
  </si>
  <si>
    <t>LXND2310-15</t>
  </si>
  <si>
    <t>pea crab .38g</t>
  </si>
  <si>
    <t>LXSD2305-01</t>
  </si>
  <si>
    <t>LXSD2305-02</t>
  </si>
  <si>
    <t>LXSD2305-03</t>
  </si>
  <si>
    <t>LXSD2305-04</t>
  </si>
  <si>
    <t>LXSD2305-05</t>
  </si>
  <si>
    <t>LXSD2305-06</t>
  </si>
  <si>
    <t>LXSD2305-07</t>
  </si>
  <si>
    <t>LXSD2305-08</t>
  </si>
  <si>
    <t>LXSD2305-09</t>
  </si>
  <si>
    <t>LXSD2305-10</t>
  </si>
  <si>
    <t>LXSD2305-11</t>
  </si>
  <si>
    <t>LXSD2305-12</t>
  </si>
  <si>
    <t>LXSD2305-13</t>
  </si>
  <si>
    <t>LXSD2305-14</t>
  </si>
  <si>
    <t>LXSD2305-15</t>
  </si>
  <si>
    <t>LXSD2306-01</t>
  </si>
  <si>
    <t>LXSD2306-02</t>
  </si>
  <si>
    <t>LXSD2306-03</t>
  </si>
  <si>
    <t>LXSD2306-04</t>
  </si>
  <si>
    <t>LXSD2306-05</t>
  </si>
  <si>
    <t>LXSD2306-06</t>
  </si>
  <si>
    <t>LXSD2306-07</t>
  </si>
  <si>
    <t>LXSD2306-08</t>
  </si>
  <si>
    <t>LXSD2306-09</t>
  </si>
  <si>
    <t>LXSD2306-10</t>
  </si>
  <si>
    <t>LXSD2306-11</t>
  </si>
  <si>
    <t>LXSD2306-12</t>
  </si>
  <si>
    <t>LXSD2306-13</t>
  </si>
  <si>
    <t>LXSD2306-14</t>
  </si>
  <si>
    <t>LXSD2306-15</t>
  </si>
  <si>
    <t>LXSD2310-01</t>
  </si>
  <si>
    <t>LXSD2310-02</t>
  </si>
  <si>
    <t>LXSD2310-03</t>
  </si>
  <si>
    <t>LXSD2310-04</t>
  </si>
  <si>
    <t>LXSD2310-05</t>
  </si>
  <si>
    <t>LXSD2310-06</t>
  </si>
  <si>
    <t>LXSD2310-07</t>
  </si>
  <si>
    <t>LXSD2310-08</t>
  </si>
  <si>
    <t>LXSD2310-09</t>
  </si>
  <si>
    <t>LXSD2310-10</t>
  </si>
  <si>
    <t>LXSD2310-11</t>
  </si>
  <si>
    <t>LXSD2310-12</t>
  </si>
  <si>
    <t>pea crab .96g</t>
  </si>
  <si>
    <t>LXSD2310-13</t>
  </si>
  <si>
    <t>pea crab .70g full of eggs</t>
  </si>
  <si>
    <t>LXSD2310-14</t>
  </si>
  <si>
    <t>LXSD2310-15</t>
  </si>
  <si>
    <t xml:space="preserve">OldStage=Z; </t>
  </si>
  <si>
    <t>M/F</t>
  </si>
  <si>
    <t>only gill tissue</t>
  </si>
  <si>
    <t>0=immature</t>
  </si>
  <si>
    <t>1=mature</t>
  </si>
  <si>
    <t>1=mat.</t>
  </si>
  <si>
    <t>0=imm.</t>
  </si>
  <si>
    <t>no slide</t>
  </si>
  <si>
    <t>Blown out tissue</t>
  </si>
  <si>
    <t>Blown out/overlapping tissue</t>
  </si>
  <si>
    <t>1 = mat</t>
  </si>
  <si>
    <t>1=mat</t>
  </si>
  <si>
    <t>0=imm</t>
  </si>
  <si>
    <t>0 = imm</t>
  </si>
  <si>
    <t>No slide</t>
  </si>
  <si>
    <t>LXCOLL_20251007_1_0242_1_01</t>
  </si>
  <si>
    <t>LXCOLL_20251007_1_0242_1</t>
  </si>
  <si>
    <t>LXCOLL_20251007_1_0243_1_01</t>
  </si>
  <si>
    <t>LXCOLL_20251007_1_0243_1</t>
  </si>
  <si>
    <t>LXCOLL_20251007_1_0244_1_01</t>
  </si>
  <si>
    <t>LXCOLL_20251007_1_0244_1</t>
  </si>
  <si>
    <t>LXCOLL_20251007_1_0246_1_01</t>
  </si>
  <si>
    <t>LXCOLL_20251007_1_0246_1</t>
  </si>
  <si>
    <t>LXCOLL_20251007_1_0247_1_01</t>
  </si>
  <si>
    <t>LXCOLL_20251007_1_0247_1</t>
  </si>
  <si>
    <t>LXCOLL_20251007_1_0249_1_01</t>
  </si>
  <si>
    <t>LXCOLL_20251007_1_0249_1</t>
  </si>
  <si>
    <t>LXCOLL_20251104_1_0242_1_01</t>
  </si>
  <si>
    <t>LXCOLL_20251104_1_0242_1</t>
  </si>
  <si>
    <t>LXCOLL_20251104_1_0243_1_01</t>
  </si>
  <si>
    <t>LXCOLL_20251104_1_0243_1</t>
  </si>
  <si>
    <t>LXCOLL_20251104_1_0244_1_01</t>
  </si>
  <si>
    <t>LXCOLL_20251104_1_0244_1</t>
  </si>
  <si>
    <t>LXCOLL_20251104_1_0246_1_01</t>
  </si>
  <si>
    <t>LXCOLL_20251104_1_0246_1</t>
  </si>
  <si>
    <t>LXCOLL_20251104_1_0247_1_01</t>
  </si>
  <si>
    <t>LXCOLL_20251104_1_0247_1</t>
  </si>
  <si>
    <t>LXCOLL_20251104_1_0249_1_01</t>
  </si>
  <si>
    <t>LXCOLL_20251104_1_0249_1</t>
  </si>
  <si>
    <t>LXCOLL_20251202_1_0242_1_01</t>
  </si>
  <si>
    <t>LXCOLL_20251202_1_0242_1</t>
  </si>
  <si>
    <t>LXCOLL_20251202_1_0243_1_01</t>
  </si>
  <si>
    <t>LXCOLL_20251202_1_0243_1</t>
  </si>
  <si>
    <t>LXCOLL_20251202_1_0244_1_01</t>
  </si>
  <si>
    <t>LXCOLL_20251202_1_0244_1</t>
  </si>
  <si>
    <t>LXCOLL_20251202_1_0246_1_01</t>
  </si>
  <si>
    <t>LXCOLL_20251202_1_0246_1</t>
  </si>
  <si>
    <t>LXCOLL_20251202_1_0247_1_01</t>
  </si>
  <si>
    <t>LXCOLL_20251202_1_0247_1</t>
  </si>
  <si>
    <t>LXCOLL_20251202_1_0249_1_01</t>
  </si>
  <si>
    <t>LXCOLL_20251202_1_0249_1</t>
  </si>
  <si>
    <t>LXCOLL_20260106_1_0242_1_01</t>
  </si>
  <si>
    <t>LXCOLL_20260106_1_0242_1</t>
  </si>
  <si>
    <t>LXCOLL_20260106_1_0243_1_01</t>
  </si>
  <si>
    <t>LXCOLL_20260106_1_0243_1</t>
  </si>
  <si>
    <t>LXCOLL_20260106_1_0244_1_01</t>
  </si>
  <si>
    <t>LXCOLL_20260106_1_0244_1</t>
  </si>
  <si>
    <t>LXCOLL_20260106_1_0246_1_01</t>
  </si>
  <si>
    <t>LXCOLL_20260106_1_0246_1</t>
  </si>
  <si>
    <t>LXCOLL_20260106_1_0247_1_01</t>
  </si>
  <si>
    <t>LXCOLL_20260106_1_0247_1</t>
  </si>
  <si>
    <t>LXCOLL_20260106_1_0249_1_01</t>
  </si>
  <si>
    <t>LXCOLL_20260106_1_0249_1</t>
  </si>
  <si>
    <t>LXND2510-01</t>
  </si>
  <si>
    <t>LXND2510-02</t>
  </si>
  <si>
    <t>LXND2510-03</t>
  </si>
  <si>
    <t>LXND2510-04</t>
  </si>
  <si>
    <t>LXND2510-05</t>
  </si>
  <si>
    <t>LXND2510-06</t>
  </si>
  <si>
    <t>LXND2510-07</t>
  </si>
  <si>
    <t>LXND2510-08</t>
  </si>
  <si>
    <t>LXND2510-09</t>
  </si>
  <si>
    <t>LXND2510-10</t>
  </si>
  <si>
    <t>LXND2510-11</t>
  </si>
  <si>
    <t>LXND2510-12</t>
  </si>
  <si>
    <t>LXND2510-13</t>
  </si>
  <si>
    <t>LXND2510-14</t>
  </si>
  <si>
    <t>LXND2510-15</t>
  </si>
  <si>
    <t>LXND2510-16</t>
  </si>
  <si>
    <t>LXND2510-17</t>
  </si>
  <si>
    <t>LXND2510-18</t>
  </si>
  <si>
    <t>LXND2510-19</t>
  </si>
  <si>
    <t>LXND2510-20</t>
  </si>
  <si>
    <t>LXND2510-21</t>
  </si>
  <si>
    <t>LXND2510-22</t>
  </si>
  <si>
    <t>LXND2510-23</t>
  </si>
  <si>
    <t>LXND2510-24</t>
  </si>
  <si>
    <t>LXND2510-25</t>
  </si>
  <si>
    <t>LXND2510-26</t>
  </si>
  <si>
    <t>LXND2510-27</t>
  </si>
  <si>
    <t>LXND2510-28</t>
  </si>
  <si>
    <t>LXND2510-29</t>
  </si>
  <si>
    <t>LXND2510-30</t>
  </si>
  <si>
    <t>LXND2510-31</t>
  </si>
  <si>
    <t>LXND2510-32</t>
  </si>
  <si>
    <t>LXND2510-33</t>
  </si>
  <si>
    <t>LXND2510-34</t>
  </si>
  <si>
    <t>LXND2510-35</t>
  </si>
  <si>
    <t>LXND2510-36</t>
  </si>
  <si>
    <t>LXND2510-37</t>
  </si>
  <si>
    <t>LXND2510-38</t>
  </si>
  <si>
    <t>LXND2510-39</t>
  </si>
  <si>
    <t>LXND2510-40</t>
  </si>
  <si>
    <t>LXND2510-41</t>
  </si>
  <si>
    <t>LXND2510-42</t>
  </si>
  <si>
    <t>LXND2510-43</t>
  </si>
  <si>
    <t>LXND2510-44</t>
  </si>
  <si>
    <t>LXND2510-45</t>
  </si>
  <si>
    <t>LXND2510-46</t>
  </si>
  <si>
    <t>LXND2510-47</t>
  </si>
  <si>
    <t>LXND2510-48</t>
  </si>
  <si>
    <t>LXND2510-49</t>
  </si>
  <si>
    <t>LXND2510-50</t>
  </si>
  <si>
    <t>LXND2511-01</t>
  </si>
  <si>
    <t>pea crab 0.68g</t>
  </si>
  <si>
    <t>LXND2511-02</t>
  </si>
  <si>
    <t>LXND2511-03</t>
  </si>
  <si>
    <t>LXND2511-04</t>
  </si>
  <si>
    <t>LXND2511-05</t>
  </si>
  <si>
    <t>LXND2511-06</t>
  </si>
  <si>
    <t>LXND2511-07</t>
  </si>
  <si>
    <t>LXND2511-08</t>
  </si>
  <si>
    <t>LXND2511-09</t>
  </si>
  <si>
    <t>LXND2511-10</t>
  </si>
  <si>
    <t>LXND2511-11</t>
  </si>
  <si>
    <t>LXND2511-12</t>
  </si>
  <si>
    <t>pea crab 0.53g</t>
  </si>
  <si>
    <t>LXND2511-13</t>
  </si>
  <si>
    <t>LXND2511-14</t>
  </si>
  <si>
    <t>LXND2511-15</t>
  </si>
  <si>
    <t>LXND2511-16</t>
  </si>
  <si>
    <t xml:space="preserve">Sex ratio project sample </t>
  </si>
  <si>
    <t>LXND2511-17</t>
  </si>
  <si>
    <t>LXND2511-18</t>
  </si>
  <si>
    <t>LXND2511-19</t>
  </si>
  <si>
    <t>LXND2511-20</t>
  </si>
  <si>
    <t>LXND2511-21</t>
  </si>
  <si>
    <t>LXND2511-22</t>
  </si>
  <si>
    <t>LXND2511-23</t>
  </si>
  <si>
    <t>LXND2511-24</t>
  </si>
  <si>
    <t>Sex ratio project sample full body repro</t>
  </si>
  <si>
    <t>LXND2511-25</t>
  </si>
  <si>
    <t>Sex ratio project sample full body repro, spat on shell top valve only</t>
  </si>
  <si>
    <t>LXND2511-26</t>
  </si>
  <si>
    <t>LXND2511-27</t>
  </si>
  <si>
    <t>LXND2511-28</t>
  </si>
  <si>
    <t>LXND2511-29</t>
  </si>
  <si>
    <t>LXND2511-30</t>
  </si>
  <si>
    <t>LXND2511-31</t>
  </si>
  <si>
    <t>LXND2511-32</t>
  </si>
  <si>
    <t>LXND2511-33</t>
  </si>
  <si>
    <t>LXND2511-34</t>
  </si>
  <si>
    <t>LXND2511-35</t>
  </si>
  <si>
    <t>LXND2511-36</t>
  </si>
  <si>
    <t>Sex ratio project sample pea crab 0.08g</t>
  </si>
  <si>
    <t>LXND2511-37</t>
  </si>
  <si>
    <t>LXND2511-38</t>
  </si>
  <si>
    <t>LXND2511-39</t>
  </si>
  <si>
    <t>LXND2511-40</t>
  </si>
  <si>
    <t>LXND2511-41</t>
  </si>
  <si>
    <t>LXND2511-42</t>
  </si>
  <si>
    <t>LXND2511-43</t>
  </si>
  <si>
    <t>LXND2511-44</t>
  </si>
  <si>
    <t>LXND2511-45</t>
  </si>
  <si>
    <t>LXND2511-46</t>
  </si>
  <si>
    <t>LXND2511-47</t>
  </si>
  <si>
    <t>LXND2512-01</t>
  </si>
  <si>
    <t>LXND2512-02</t>
  </si>
  <si>
    <t>LXND2512-03</t>
  </si>
  <si>
    <t>LXND2512-04</t>
  </si>
  <si>
    <t>LXND2512-05</t>
  </si>
  <si>
    <t>0.45 pea crab</t>
  </si>
  <si>
    <t>LXND2512-06</t>
  </si>
  <si>
    <t>LXND2512-07</t>
  </si>
  <si>
    <t>LXND2512-08</t>
  </si>
  <si>
    <t>LXND2512-09</t>
  </si>
  <si>
    <t>LXND2512-10</t>
  </si>
  <si>
    <t>LXND2512-11</t>
  </si>
  <si>
    <t>LXND2512-12</t>
  </si>
  <si>
    <t>LXND2512-13</t>
  </si>
  <si>
    <t>LXND2512-14</t>
  </si>
  <si>
    <t>LXND2512-15</t>
  </si>
  <si>
    <t>LXND2512-16</t>
  </si>
  <si>
    <t>LXND2512-17</t>
  </si>
  <si>
    <t>LXND2512-18</t>
  </si>
  <si>
    <t>LXND2512-19</t>
  </si>
  <si>
    <t>LXND2512-20</t>
  </si>
  <si>
    <t>LXND2512-21</t>
  </si>
  <si>
    <t>LXND2512-22</t>
  </si>
  <si>
    <t>LXND2512-23</t>
  </si>
  <si>
    <t>LXND2512-24</t>
  </si>
  <si>
    <t>LXND2512-25</t>
  </si>
  <si>
    <t>LXND2512-26</t>
  </si>
  <si>
    <t>LXND2512-27</t>
  </si>
  <si>
    <t>LXND2512-28</t>
  </si>
  <si>
    <t>LXND2512-29</t>
  </si>
  <si>
    <t>LXND2512-30</t>
  </si>
  <si>
    <t>LXND2512-31</t>
  </si>
  <si>
    <t>LXND2512-32</t>
  </si>
  <si>
    <t>LXND2512-33</t>
  </si>
  <si>
    <t>LXND2512-34</t>
  </si>
  <si>
    <t>LXND2512-35</t>
  </si>
  <si>
    <t>LXND2512-36</t>
  </si>
  <si>
    <t>LXND2512-37</t>
  </si>
  <si>
    <t>LXND2512-38</t>
  </si>
  <si>
    <t>LXND2512-39</t>
  </si>
  <si>
    <t>LXND2512-40</t>
  </si>
  <si>
    <t>LXND2512-41</t>
  </si>
  <si>
    <t>LXND2512-42</t>
  </si>
  <si>
    <t>LXND2512-43</t>
  </si>
  <si>
    <t>LXND2512-44</t>
  </si>
  <si>
    <t>LXND2512-45</t>
  </si>
  <si>
    <t>LXND2601-01</t>
  </si>
  <si>
    <t>pea crab 1.00g</t>
  </si>
  <si>
    <t>LXND2601-02</t>
  </si>
  <si>
    <t>LXND2601-03</t>
  </si>
  <si>
    <t>LXND2601-04</t>
  </si>
  <si>
    <t>LXND2601-05</t>
  </si>
  <si>
    <t>LXND2601-06</t>
  </si>
  <si>
    <t>LXND2601-07</t>
  </si>
  <si>
    <t>LXND2601-08</t>
  </si>
  <si>
    <t>LXND2601-09</t>
  </si>
  <si>
    <t>LXND2601-10</t>
  </si>
  <si>
    <t>LXND2601-11</t>
  </si>
  <si>
    <t>LXND2601-12</t>
  </si>
  <si>
    <t>LXND2601-13</t>
  </si>
  <si>
    <t>LXND2601-14</t>
  </si>
  <si>
    <t>LXND2601-15</t>
  </si>
  <si>
    <t>LXND2601-16</t>
  </si>
  <si>
    <t>LXND2601-17</t>
  </si>
  <si>
    <t>LXND2601-18</t>
  </si>
  <si>
    <t>LXND2601-19</t>
  </si>
  <si>
    <t>LXND2601-20</t>
  </si>
  <si>
    <t>LXND2601-21</t>
  </si>
  <si>
    <t>LXND2601-22</t>
  </si>
  <si>
    <t>LXND2601-23</t>
  </si>
  <si>
    <t>LXND2601-24</t>
  </si>
  <si>
    <t>LXND2601-25</t>
  </si>
  <si>
    <t>LXND2601-26</t>
  </si>
  <si>
    <t>pea crab 0.45 g</t>
  </si>
  <si>
    <t>LXND2601-27</t>
  </si>
  <si>
    <t>LXND2601-28</t>
  </si>
  <si>
    <t>LXND2601-29</t>
  </si>
  <si>
    <t>LXND2601-30</t>
  </si>
  <si>
    <t>LXND2601-31</t>
  </si>
  <si>
    <t>LXND2601-32</t>
  </si>
  <si>
    <t>LXND2601-33</t>
  </si>
  <si>
    <t>LXND2601-34</t>
  </si>
  <si>
    <t>LXND2601-35</t>
  </si>
  <si>
    <t>LXND2601-36</t>
  </si>
  <si>
    <t>LXND2601-37</t>
  </si>
  <si>
    <t>LXND2601-38</t>
  </si>
  <si>
    <t>LXND2601-39</t>
  </si>
  <si>
    <t>spat on shell</t>
  </si>
  <si>
    <t>LXND2601-40</t>
  </si>
  <si>
    <t>LXND2601-41</t>
  </si>
  <si>
    <t>LXND2601-42</t>
  </si>
  <si>
    <t>LXND2601-43</t>
  </si>
  <si>
    <t>LXND2601-44</t>
  </si>
  <si>
    <t>LXND2601-45</t>
  </si>
  <si>
    <t>LXSD2510-01</t>
  </si>
  <si>
    <t>LXSD2510-02</t>
  </si>
  <si>
    <t>LXSD2510-03</t>
  </si>
  <si>
    <t>LXSD2510-04</t>
  </si>
  <si>
    <t>LXSD2510-05</t>
  </si>
  <si>
    <t>LXSD2510-06</t>
  </si>
  <si>
    <t>LXSD2510-07</t>
  </si>
  <si>
    <t>LXSD2510-08</t>
  </si>
  <si>
    <t>LXSD2510-09</t>
  </si>
  <si>
    <t>LXSD2510-10</t>
  </si>
  <si>
    <t>LXSD2510-11</t>
  </si>
  <si>
    <t>pea crab 0.63g</t>
  </si>
  <si>
    <t>LXSD2510-12</t>
  </si>
  <si>
    <t>LXSD2510-13</t>
  </si>
  <si>
    <t>LXSD2510-14</t>
  </si>
  <si>
    <t>LXSD2510-15</t>
  </si>
  <si>
    <t>LXSD2511-01</t>
  </si>
  <si>
    <t>LXSD2511-02</t>
  </si>
  <si>
    <t>LXSD2511-03</t>
  </si>
  <si>
    <t>LXSD2511-04</t>
  </si>
  <si>
    <t>LXSD2511-05</t>
  </si>
  <si>
    <t>LXSD2511-06</t>
  </si>
  <si>
    <t>LXSD2511-07</t>
  </si>
  <si>
    <t>LXSD2511-08</t>
  </si>
  <si>
    <t>LXSD2511-09</t>
  </si>
  <si>
    <t>LXSD2511-10</t>
  </si>
  <si>
    <t>pea crab 0.73</t>
  </si>
  <si>
    <t>LXSD2511-11</t>
  </si>
  <si>
    <t>LXSD2511-12</t>
  </si>
  <si>
    <t>LXSD2511-13</t>
  </si>
  <si>
    <t>LXSD2511-14</t>
  </si>
  <si>
    <t>LXSD2511-15</t>
  </si>
  <si>
    <t>LXSD2512-01</t>
  </si>
  <si>
    <t>LXSD2512-02</t>
  </si>
  <si>
    <t>LXSD2512-03</t>
  </si>
  <si>
    <t>LXSD2512-04</t>
  </si>
  <si>
    <t>LXSD2512-05</t>
  </si>
  <si>
    <t>LXSD2512-06</t>
  </si>
  <si>
    <t>0.55 pea crab</t>
  </si>
  <si>
    <t>LXSD2512-07</t>
  </si>
  <si>
    <t>LXSD2512-08</t>
  </si>
  <si>
    <t>LXSD2512-09</t>
  </si>
  <si>
    <t>LXSD2512-10</t>
  </si>
  <si>
    <t>LXSD2512-11</t>
  </si>
  <si>
    <t>LXSD2512-12</t>
  </si>
  <si>
    <t>LXSD2512-13</t>
  </si>
  <si>
    <t>LXSD2512-14</t>
  </si>
  <si>
    <t>LXSD2512-15</t>
  </si>
  <si>
    <t>LXSD2601-01</t>
  </si>
  <si>
    <t>LXSD2601-02</t>
  </si>
  <si>
    <t>LXSD2601-03</t>
  </si>
  <si>
    <t>LXSD2601-04</t>
  </si>
  <si>
    <t>LXSD2601-05</t>
  </si>
  <si>
    <t>LXSD2601-06</t>
  </si>
  <si>
    <t>LXSD2601-07</t>
  </si>
  <si>
    <t>pea crab &lt;0.00g</t>
  </si>
  <si>
    <t>LXSD2601-08</t>
  </si>
  <si>
    <t>LXSD2601-09</t>
  </si>
  <si>
    <t>LXSD2601-10</t>
  </si>
  <si>
    <t>LXSD2601-11</t>
  </si>
  <si>
    <t>LXSD2601-12</t>
  </si>
  <si>
    <t>LXSD2601-13</t>
  </si>
  <si>
    <t>LXSD2601-14</t>
  </si>
  <si>
    <t>LXSD2601-15</t>
  </si>
  <si>
    <t>Missing a small chunk of slide</t>
  </si>
  <si>
    <t>Updated data sheets through Jan 2026</t>
  </si>
  <si>
    <t>Missing slide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</si>
</sst>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m/d/yy;@"/>
  </numFmts>
  <fonts count="6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b/>
      <u/>
      <sz val="10"/>
      <name val="Arial"/>
      <family val="2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 wrapText="1"/>
    </xf>
    <xf numFmtId="14" fontId="2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left"/>
    </xf>
    <xf numFmtId="166" fontId="2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left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/>
    <xf numFmtId="22" fontId="0" fillId="0" borderId="0" xfId="0" applyNumberFormat="1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2" fillId="0" borderId="0" xfId="0" quotePrefix="1" applyFont="1"/>
    <xf numFmtId="0" fontId="0" fillId="0" borderId="0" xfId="0" quotePrefix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center"/>
    </xf>
    <xf numFmtId="47" fontId="0" fillId="0" borderId="0" xfId="0" applyNumberFormat="1"/>
  </cellXfs>
  <cellStyles count="2">
    <cellStyle name="Normal" xfId="0" builtinId="0"/>
    <cellStyle name="Normal 2" xfId="1" xr:uid="{E8A24F96-723C-4B7C-8C62-33EC052D1EB4}"/>
  </cellStyles>
  <dxfs count="4">
    <dxf>
      <font>
        <b/>
        <i val="0"/>
      </font>
      <numFmt numFmtId="30" formatCode="@"/>
    </dxf>
    <dxf>
      <font>
        <b val="0"/>
        <i val="0"/>
      </font>
      <numFmt numFmtId="19" formatCode="m/d/yyyy"/>
    </dxf>
    <dxf>
      <font>
        <b/>
        <i val="0"/>
      </font>
      <numFmt numFmtId="30" formatCode="@"/>
    </dxf>
    <dxf>
      <font>
        <b val="0"/>
        <i val="0"/>
      </font>
      <numFmt numFmtId="19" formatCode="m/d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illiams, Erica" id="{72D8D3A3-A739-4242-BAA2-8BFEE8151ADE}" userId="S::Erica.Williams@MyFWC.com::921c2878-c904-4fb0-b24e-7ecaaeec0a2a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" dT="2025-03-06T19:42:14.03" personId="{72D8D3A3-A739-4242-BAA2-8BFEE8151ADE}" id="{85A9750F-72DA-46AD-81D0-79199C6C5253}">
    <text>April 2024 - Dec 2024. May need to check for M/F. Would only show in Comments-none currently noted.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6808F-9266-452F-B62C-DAC0F3BCEA29}">
  <dimension ref="A1:O362"/>
  <sheetViews>
    <sheetView zoomScale="90" zoomScaleNormal="90" workbookViewId="0">
      <pane ySplit="1" topLeftCell="A41" activePane="bottomLeft" state="frozen"/>
      <selection pane="bottomLeft"/>
    </sheetView>
  </sheetViews>
  <sheetFormatPr defaultRowHeight="12.75" x14ac:dyDescent="0.2"/>
  <cols>
    <col min="1" max="1" width="10.140625" bestFit="1" customWidth="1"/>
    <col min="5" max="5" width="9.7109375" style="1" bestFit="1" customWidth="1"/>
    <col min="6" max="6" width="10.140625" style="1" bestFit="1" customWidth="1"/>
    <col min="7" max="7" width="12.140625" style="1" bestFit="1" customWidth="1"/>
    <col min="8" max="8" width="8.85546875" style="1"/>
    <col min="9" max="9" width="10" style="1" bestFit="1" customWidth="1"/>
    <col min="10" max="10" width="6.140625" style="1" bestFit="1" customWidth="1"/>
    <col min="11" max="11" width="10.28515625" style="1" bestFit="1" customWidth="1"/>
    <col min="12" max="12" width="11.28515625" bestFit="1" customWidth="1"/>
    <col min="13" max="13" width="19.7109375" style="1" bestFit="1" customWidth="1"/>
    <col min="14" max="14" width="22.7109375" style="1" bestFit="1" customWidth="1"/>
    <col min="15" max="15" width="29.28515625" bestFit="1" customWidth="1"/>
  </cols>
  <sheetData>
    <row r="1" spans="1:15" x14ac:dyDescent="0.2">
      <c r="A1" s="2" t="s">
        <v>4</v>
      </c>
      <c r="B1" s="2" t="s">
        <v>2</v>
      </c>
      <c r="C1" s="2" t="s">
        <v>36</v>
      </c>
      <c r="D1" s="2" t="s">
        <v>37</v>
      </c>
      <c r="E1" s="2" t="s">
        <v>38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  <c r="M1" s="2" t="s">
        <v>34</v>
      </c>
      <c r="N1" s="2" t="s">
        <v>35</v>
      </c>
      <c r="O1" s="2" t="s">
        <v>383</v>
      </c>
    </row>
    <row r="2" spans="1:15" x14ac:dyDescent="0.2">
      <c r="A2" s="16">
        <v>43837</v>
      </c>
      <c r="B2" t="s">
        <v>15</v>
      </c>
      <c r="C2">
        <v>1</v>
      </c>
      <c r="D2" s="21">
        <v>0.65902777777777777</v>
      </c>
      <c r="E2" s="1">
        <v>0.6</v>
      </c>
      <c r="F2" s="1">
        <v>21.5</v>
      </c>
      <c r="G2" s="1">
        <v>10.87</v>
      </c>
      <c r="H2" s="1">
        <v>7.81</v>
      </c>
      <c r="I2" s="1">
        <v>7.07</v>
      </c>
      <c r="J2" s="1">
        <v>84.9</v>
      </c>
      <c r="K2" s="1">
        <v>0.6</v>
      </c>
      <c r="L2" t="s">
        <v>16</v>
      </c>
      <c r="M2" s="1" t="s">
        <v>16</v>
      </c>
      <c r="N2" s="1" t="s">
        <v>16</v>
      </c>
      <c r="O2" s="19" t="s">
        <v>16</v>
      </c>
    </row>
    <row r="3" spans="1:15" x14ac:dyDescent="0.2">
      <c r="A3" s="16">
        <v>43837</v>
      </c>
      <c r="B3" t="s">
        <v>15</v>
      </c>
      <c r="C3">
        <v>2</v>
      </c>
      <c r="D3" s="21">
        <v>0.63750000000000007</v>
      </c>
      <c r="E3" s="1">
        <v>0.5</v>
      </c>
      <c r="F3" s="1">
        <v>21.7</v>
      </c>
      <c r="G3" s="1">
        <v>11.7</v>
      </c>
      <c r="H3" s="1">
        <v>7.75</v>
      </c>
      <c r="I3" s="1">
        <v>7.12</v>
      </c>
      <c r="J3" s="1">
        <v>86.9</v>
      </c>
      <c r="K3" s="1">
        <v>0.5</v>
      </c>
      <c r="L3" t="s">
        <v>16</v>
      </c>
      <c r="M3" s="1" t="s">
        <v>16</v>
      </c>
      <c r="N3" s="1" t="s">
        <v>16</v>
      </c>
      <c r="O3" s="19" t="s">
        <v>16</v>
      </c>
    </row>
    <row r="4" spans="1:15" x14ac:dyDescent="0.2">
      <c r="A4" s="16">
        <v>43837</v>
      </c>
      <c r="B4" t="s">
        <v>15</v>
      </c>
      <c r="C4">
        <v>3</v>
      </c>
      <c r="D4" s="21">
        <v>0.62916666666666665</v>
      </c>
      <c r="E4" s="1">
        <v>0.5</v>
      </c>
      <c r="F4" s="1">
        <v>20</v>
      </c>
      <c r="G4" s="1">
        <v>2.2799999999999998</v>
      </c>
      <c r="H4" s="1">
        <v>8.16</v>
      </c>
      <c r="I4" s="1">
        <v>7.03</v>
      </c>
      <c r="J4" s="1">
        <v>78.099999999999994</v>
      </c>
      <c r="K4" s="1">
        <v>0.5</v>
      </c>
      <c r="L4" t="s">
        <v>16</v>
      </c>
      <c r="M4" s="1" t="s">
        <v>16</v>
      </c>
      <c r="N4" s="1" t="s">
        <v>16</v>
      </c>
      <c r="O4" s="19" t="s">
        <v>16</v>
      </c>
    </row>
    <row r="5" spans="1:15" x14ac:dyDescent="0.2">
      <c r="A5" s="16">
        <v>43837</v>
      </c>
      <c r="B5" t="s">
        <v>22</v>
      </c>
      <c r="C5">
        <v>1</v>
      </c>
      <c r="D5" s="21">
        <v>0.68194444444444446</v>
      </c>
      <c r="E5" s="1">
        <v>0.7</v>
      </c>
      <c r="F5" s="1">
        <v>22.5</v>
      </c>
      <c r="G5" s="1">
        <v>17.39</v>
      </c>
      <c r="H5" s="1">
        <v>7.98</v>
      </c>
      <c r="I5" s="1">
        <v>7.7</v>
      </c>
      <c r="J5" s="1">
        <v>98.3</v>
      </c>
      <c r="K5" s="1">
        <v>0.7</v>
      </c>
      <c r="L5" t="s">
        <v>16</v>
      </c>
      <c r="M5" s="1" t="s">
        <v>16</v>
      </c>
      <c r="N5" s="1" t="s">
        <v>16</v>
      </c>
      <c r="O5" s="19" t="s">
        <v>16</v>
      </c>
    </row>
    <row r="6" spans="1:15" x14ac:dyDescent="0.2">
      <c r="A6" s="16">
        <v>43837</v>
      </c>
      <c r="B6" t="s">
        <v>22</v>
      </c>
      <c r="C6">
        <v>2</v>
      </c>
      <c r="D6" s="21">
        <v>0.67013888888888884</v>
      </c>
      <c r="E6" s="1">
        <v>0.7</v>
      </c>
      <c r="F6" s="1">
        <v>22.9</v>
      </c>
      <c r="G6" s="1">
        <v>20.2</v>
      </c>
      <c r="H6" s="1">
        <v>7.9</v>
      </c>
      <c r="I6" s="1">
        <v>7.51</v>
      </c>
      <c r="J6" s="1">
        <v>98.3</v>
      </c>
      <c r="K6" s="1">
        <v>0.7</v>
      </c>
      <c r="L6" t="s">
        <v>16</v>
      </c>
      <c r="M6" s="1" t="s">
        <v>16</v>
      </c>
      <c r="N6" s="1" t="s">
        <v>16</v>
      </c>
      <c r="O6" s="19" t="s">
        <v>16</v>
      </c>
    </row>
    <row r="7" spans="1:15" x14ac:dyDescent="0.2">
      <c r="A7" s="16">
        <v>43837</v>
      </c>
      <c r="B7" t="s">
        <v>22</v>
      </c>
      <c r="C7">
        <v>3</v>
      </c>
      <c r="D7" s="21">
        <v>0.6743055555555556</v>
      </c>
      <c r="E7" s="1">
        <v>0.8</v>
      </c>
      <c r="F7" s="1">
        <v>22.7</v>
      </c>
      <c r="G7" s="1">
        <v>17.399999999999999</v>
      </c>
      <c r="H7" s="1">
        <v>7.98</v>
      </c>
      <c r="I7" s="1">
        <v>7.52</v>
      </c>
      <c r="J7" s="1">
        <v>95.7</v>
      </c>
      <c r="K7" s="1">
        <v>0.8</v>
      </c>
      <c r="L7" t="s">
        <v>16</v>
      </c>
      <c r="M7" s="1" t="s">
        <v>16</v>
      </c>
      <c r="N7" s="1" t="s">
        <v>16</v>
      </c>
      <c r="O7" s="19" t="s">
        <v>16</v>
      </c>
    </row>
    <row r="8" spans="1:15" x14ac:dyDescent="0.2">
      <c r="A8" s="16">
        <v>43865</v>
      </c>
      <c r="B8" t="s">
        <v>15</v>
      </c>
      <c r="C8">
        <v>1</v>
      </c>
      <c r="D8" s="21">
        <v>0.65208333333333335</v>
      </c>
      <c r="E8" s="1">
        <v>0.55000000000000004</v>
      </c>
      <c r="F8" s="1">
        <v>22.6</v>
      </c>
      <c r="G8" s="1">
        <v>16.27</v>
      </c>
      <c r="H8" s="1">
        <v>8.01</v>
      </c>
      <c r="I8" s="1">
        <v>8.07</v>
      </c>
      <c r="J8" s="1">
        <v>102.5</v>
      </c>
      <c r="K8" s="1">
        <v>0.55000000000000004</v>
      </c>
      <c r="L8" t="s">
        <v>16</v>
      </c>
      <c r="M8" s="1" t="s">
        <v>16</v>
      </c>
      <c r="N8" s="1" t="s">
        <v>16</v>
      </c>
      <c r="O8" s="19" t="s">
        <v>16</v>
      </c>
    </row>
    <row r="9" spans="1:15" x14ac:dyDescent="0.2">
      <c r="A9" s="16">
        <v>43865</v>
      </c>
      <c r="B9" t="s">
        <v>15</v>
      </c>
      <c r="C9">
        <v>2</v>
      </c>
      <c r="D9" s="21">
        <v>0.63541666666666663</v>
      </c>
      <c r="E9" s="1">
        <v>0.5</v>
      </c>
      <c r="F9" s="1">
        <v>22.2</v>
      </c>
      <c r="G9" s="1">
        <v>14.07</v>
      </c>
      <c r="H9" s="1">
        <v>8.01</v>
      </c>
      <c r="I9" s="1">
        <v>8.14</v>
      </c>
      <c r="J9" s="1">
        <v>101.5</v>
      </c>
      <c r="K9" s="1">
        <v>0.5</v>
      </c>
      <c r="L9" t="s">
        <v>16</v>
      </c>
      <c r="M9" s="1" t="s">
        <v>16</v>
      </c>
      <c r="N9" s="1" t="s">
        <v>16</v>
      </c>
      <c r="O9" s="19" t="s">
        <v>16</v>
      </c>
    </row>
    <row r="10" spans="1:15" x14ac:dyDescent="0.2">
      <c r="A10" s="16">
        <v>43865</v>
      </c>
      <c r="B10" t="s">
        <v>15</v>
      </c>
      <c r="C10">
        <v>3</v>
      </c>
      <c r="D10" s="21">
        <v>0.62638888888888888</v>
      </c>
      <c r="E10" s="1">
        <v>0.8</v>
      </c>
      <c r="F10" s="1">
        <v>21.3</v>
      </c>
      <c r="G10" s="1">
        <v>11.63</v>
      </c>
      <c r="H10" s="1">
        <v>7.91</v>
      </c>
      <c r="I10" s="1">
        <v>7.5</v>
      </c>
      <c r="J10" s="1">
        <v>90.3</v>
      </c>
      <c r="K10" s="1">
        <v>0.8</v>
      </c>
      <c r="L10" t="s">
        <v>16</v>
      </c>
      <c r="M10" s="1" t="s">
        <v>16</v>
      </c>
      <c r="N10" s="1" t="s">
        <v>16</v>
      </c>
      <c r="O10" s="19" t="s">
        <v>16</v>
      </c>
    </row>
    <row r="11" spans="1:15" x14ac:dyDescent="0.2">
      <c r="A11" s="16">
        <v>43865</v>
      </c>
      <c r="B11" t="s">
        <v>22</v>
      </c>
      <c r="C11">
        <v>1</v>
      </c>
      <c r="D11" s="21">
        <v>0.68125000000000002</v>
      </c>
      <c r="E11" s="1">
        <v>1</v>
      </c>
      <c r="F11" s="1">
        <v>24.2</v>
      </c>
      <c r="G11" s="1">
        <v>23.48</v>
      </c>
      <c r="H11" s="1">
        <v>7.95</v>
      </c>
      <c r="I11" s="1">
        <v>7.65</v>
      </c>
      <c r="J11" s="1">
        <v>104.5</v>
      </c>
      <c r="K11" s="1">
        <v>1</v>
      </c>
      <c r="L11" t="s">
        <v>16</v>
      </c>
      <c r="M11" s="1" t="s">
        <v>16</v>
      </c>
      <c r="N11" s="1" t="s">
        <v>16</v>
      </c>
      <c r="O11" s="19" t="s">
        <v>16</v>
      </c>
    </row>
    <row r="12" spans="1:15" x14ac:dyDescent="0.2">
      <c r="A12" s="16">
        <v>43865</v>
      </c>
      <c r="B12" t="s">
        <v>22</v>
      </c>
      <c r="C12">
        <v>2</v>
      </c>
      <c r="D12" s="21">
        <v>0.6645833333333333</v>
      </c>
      <c r="E12" s="1">
        <v>0.85</v>
      </c>
      <c r="F12" s="1">
        <v>23.9</v>
      </c>
      <c r="G12" s="1">
        <v>19.68</v>
      </c>
      <c r="H12" s="1">
        <v>7.97</v>
      </c>
      <c r="I12" s="1">
        <v>7.76</v>
      </c>
      <c r="J12" s="1">
        <v>98.3</v>
      </c>
      <c r="K12" s="1">
        <v>0.85</v>
      </c>
      <c r="L12" t="s">
        <v>16</v>
      </c>
      <c r="M12" s="1" t="s">
        <v>16</v>
      </c>
      <c r="N12" s="1" t="s">
        <v>16</v>
      </c>
      <c r="O12" s="19" t="s">
        <v>16</v>
      </c>
    </row>
    <row r="13" spans="1:15" x14ac:dyDescent="0.2">
      <c r="A13" s="16">
        <v>43865</v>
      </c>
      <c r="B13" t="s">
        <v>22</v>
      </c>
      <c r="C13">
        <v>3</v>
      </c>
      <c r="D13" s="21">
        <v>0.67222222222222217</v>
      </c>
      <c r="E13" s="1">
        <v>0.9</v>
      </c>
      <c r="F13" s="1">
        <v>23.8</v>
      </c>
      <c r="G13" s="1">
        <v>16.36</v>
      </c>
      <c r="H13" s="1">
        <v>7.9</v>
      </c>
      <c r="I13" s="1">
        <v>7.343</v>
      </c>
      <c r="J13" s="1">
        <v>96.5</v>
      </c>
      <c r="K13" s="1">
        <v>0.9</v>
      </c>
      <c r="L13" t="s">
        <v>16</v>
      </c>
      <c r="M13" s="1" t="s">
        <v>16</v>
      </c>
      <c r="N13" s="1" t="s">
        <v>16</v>
      </c>
      <c r="O13" s="19" t="s">
        <v>16</v>
      </c>
    </row>
    <row r="14" spans="1:15" x14ac:dyDescent="0.2">
      <c r="A14" s="16">
        <v>43894</v>
      </c>
      <c r="B14" t="s">
        <v>15</v>
      </c>
      <c r="C14">
        <v>1</v>
      </c>
      <c r="D14" s="21">
        <v>0.34791666666666665</v>
      </c>
      <c r="E14" s="1">
        <v>0.6</v>
      </c>
      <c r="F14" s="1">
        <v>22.3</v>
      </c>
      <c r="G14" s="1">
        <v>21.1</v>
      </c>
      <c r="H14" s="1">
        <v>8.08</v>
      </c>
      <c r="I14" s="1">
        <v>6.32</v>
      </c>
      <c r="J14" s="1">
        <v>81.900000000000006</v>
      </c>
      <c r="K14" s="1">
        <v>0.6</v>
      </c>
      <c r="L14" t="s">
        <v>16</v>
      </c>
      <c r="M14" s="1" t="s">
        <v>16</v>
      </c>
      <c r="N14" s="1" t="s">
        <v>16</v>
      </c>
      <c r="O14" s="19" t="s">
        <v>16</v>
      </c>
    </row>
    <row r="15" spans="1:15" x14ac:dyDescent="0.2">
      <c r="A15" s="16">
        <v>43894</v>
      </c>
      <c r="B15" t="s">
        <v>15</v>
      </c>
      <c r="C15">
        <v>2</v>
      </c>
      <c r="D15" s="21">
        <v>0.31666666666666665</v>
      </c>
      <c r="E15" s="1">
        <v>0.5</v>
      </c>
      <c r="F15" s="1">
        <v>21.8</v>
      </c>
      <c r="G15" s="1">
        <v>19.239999999999998</v>
      </c>
      <c r="H15" s="1">
        <v>8.17</v>
      </c>
      <c r="I15" s="1">
        <v>6.71</v>
      </c>
      <c r="J15" s="1">
        <v>85.7</v>
      </c>
      <c r="K15" s="1">
        <v>0.5</v>
      </c>
      <c r="L15" t="s">
        <v>16</v>
      </c>
      <c r="M15" s="1" t="s">
        <v>16</v>
      </c>
      <c r="N15" s="1" t="s">
        <v>16</v>
      </c>
      <c r="O15" s="19" t="s">
        <v>16</v>
      </c>
    </row>
    <row r="16" spans="1:15" x14ac:dyDescent="0.2">
      <c r="A16" s="16">
        <v>43894</v>
      </c>
      <c r="B16" t="s">
        <v>15</v>
      </c>
      <c r="C16">
        <v>3</v>
      </c>
      <c r="D16" s="21">
        <v>0.37847222222222227</v>
      </c>
      <c r="E16" s="1">
        <v>0.7</v>
      </c>
      <c r="F16" s="1">
        <v>21.8</v>
      </c>
      <c r="G16" s="1">
        <v>10.66</v>
      </c>
      <c r="H16" s="1">
        <v>8.0500000000000007</v>
      </c>
      <c r="I16" s="1">
        <v>6.94</v>
      </c>
      <c r="J16" s="1">
        <v>84</v>
      </c>
      <c r="K16" s="1">
        <v>0.7</v>
      </c>
      <c r="L16" t="s">
        <v>16</v>
      </c>
      <c r="M16" s="1" t="s">
        <v>16</v>
      </c>
      <c r="N16" s="1" t="s">
        <v>16</v>
      </c>
      <c r="O16" s="19" t="s">
        <v>16</v>
      </c>
    </row>
    <row r="17" spans="1:15" x14ac:dyDescent="0.2">
      <c r="A17" s="16">
        <v>43893</v>
      </c>
      <c r="B17" t="s">
        <v>22</v>
      </c>
      <c r="C17">
        <v>1</v>
      </c>
      <c r="D17" s="21">
        <v>0.70972222222222225</v>
      </c>
      <c r="E17" s="1">
        <v>0.5</v>
      </c>
      <c r="F17" s="1">
        <v>24.4</v>
      </c>
      <c r="G17" s="1">
        <v>30.42</v>
      </c>
      <c r="H17" s="1">
        <v>8.2899999999999991</v>
      </c>
      <c r="I17" s="1">
        <v>9.9499999999999993</v>
      </c>
      <c r="J17" s="1">
        <v>141.69999999999999</v>
      </c>
      <c r="K17" s="1">
        <v>0.5</v>
      </c>
      <c r="L17" t="s">
        <v>16</v>
      </c>
      <c r="M17" s="1" t="s">
        <v>16</v>
      </c>
      <c r="N17" s="1" t="s">
        <v>16</v>
      </c>
      <c r="O17" s="19" t="s">
        <v>16</v>
      </c>
    </row>
    <row r="18" spans="1:15" x14ac:dyDescent="0.2">
      <c r="A18" s="16">
        <v>43893</v>
      </c>
      <c r="B18" t="s">
        <v>22</v>
      </c>
      <c r="C18">
        <v>2</v>
      </c>
      <c r="D18" s="21">
        <v>0.66875000000000007</v>
      </c>
      <c r="E18" s="1">
        <v>0.7</v>
      </c>
      <c r="F18" s="1">
        <v>24.7</v>
      </c>
      <c r="G18" s="1">
        <v>28.81</v>
      </c>
      <c r="H18" s="1">
        <v>8.18</v>
      </c>
      <c r="I18" s="1">
        <v>10.16</v>
      </c>
      <c r="J18" s="1">
        <v>144</v>
      </c>
      <c r="K18" s="1">
        <v>0.7</v>
      </c>
      <c r="L18" t="s">
        <v>16</v>
      </c>
      <c r="M18" s="1" t="s">
        <v>16</v>
      </c>
      <c r="N18" s="1" t="s">
        <v>16</v>
      </c>
      <c r="O18" s="19" t="s">
        <v>16</v>
      </c>
    </row>
    <row r="19" spans="1:15" x14ac:dyDescent="0.2">
      <c r="A19" s="16">
        <v>43893</v>
      </c>
      <c r="B19" t="s">
        <v>22</v>
      </c>
      <c r="C19">
        <v>3</v>
      </c>
      <c r="D19" s="21">
        <v>0.69166666666666676</v>
      </c>
      <c r="E19" s="1">
        <v>0.6</v>
      </c>
      <c r="F19" s="1">
        <v>24.3</v>
      </c>
      <c r="G19" s="1">
        <v>30.28</v>
      </c>
      <c r="H19" s="1">
        <v>8.3000000000000007</v>
      </c>
      <c r="I19" s="1">
        <v>10.14</v>
      </c>
      <c r="J19" s="1">
        <v>144.19999999999999</v>
      </c>
      <c r="K19" s="1">
        <v>0.6</v>
      </c>
      <c r="L19" t="s">
        <v>16</v>
      </c>
      <c r="M19" s="1" t="s">
        <v>16</v>
      </c>
      <c r="N19" s="1" t="s">
        <v>16</v>
      </c>
      <c r="O19" s="19" t="s">
        <v>16</v>
      </c>
    </row>
    <row r="20" spans="1:15" x14ac:dyDescent="0.2">
      <c r="A20" s="16">
        <v>43937</v>
      </c>
      <c r="B20" t="s">
        <v>15</v>
      </c>
      <c r="C20">
        <v>1</v>
      </c>
      <c r="D20" s="21">
        <v>0.46388888888888885</v>
      </c>
      <c r="E20" s="1">
        <v>0.7</v>
      </c>
      <c r="F20" s="1">
        <v>28.8</v>
      </c>
      <c r="G20" s="1">
        <v>26.26</v>
      </c>
      <c r="H20" s="1" t="s">
        <v>16</v>
      </c>
      <c r="I20" s="1">
        <v>5.31</v>
      </c>
      <c r="J20" s="1">
        <v>79.3</v>
      </c>
      <c r="K20" s="1">
        <v>0.7</v>
      </c>
      <c r="L20" t="s">
        <v>16</v>
      </c>
      <c r="M20" s="1" t="s">
        <v>16</v>
      </c>
      <c r="N20" s="1" t="s">
        <v>16</v>
      </c>
      <c r="O20" s="19" t="s">
        <v>16</v>
      </c>
    </row>
    <row r="21" spans="1:15" x14ac:dyDescent="0.2">
      <c r="A21" s="16">
        <v>43937</v>
      </c>
      <c r="B21" t="s">
        <v>15</v>
      </c>
      <c r="C21">
        <v>2</v>
      </c>
      <c r="D21" s="21">
        <v>0.44861111111111113</v>
      </c>
      <c r="E21" s="1">
        <v>0.6</v>
      </c>
      <c r="F21" s="1">
        <v>28.6</v>
      </c>
      <c r="G21" s="1">
        <v>26.49</v>
      </c>
      <c r="H21" s="1" t="s">
        <v>16</v>
      </c>
      <c r="I21" s="1">
        <v>5.15</v>
      </c>
      <c r="J21" s="1">
        <v>76.900000000000006</v>
      </c>
      <c r="K21" s="1">
        <v>0.6</v>
      </c>
      <c r="L21" t="s">
        <v>16</v>
      </c>
      <c r="M21" s="1" t="s">
        <v>16</v>
      </c>
      <c r="N21" s="1" t="s">
        <v>16</v>
      </c>
      <c r="O21" s="19" t="s">
        <v>16</v>
      </c>
    </row>
    <row r="22" spans="1:15" x14ac:dyDescent="0.2">
      <c r="A22" s="16">
        <v>43937</v>
      </c>
      <c r="B22" t="s">
        <v>15</v>
      </c>
      <c r="C22">
        <v>3</v>
      </c>
      <c r="D22" s="21">
        <v>0.44027777777777777</v>
      </c>
      <c r="E22" s="1">
        <v>0.6</v>
      </c>
      <c r="F22" s="1">
        <v>28.7</v>
      </c>
      <c r="G22" s="1">
        <v>21.9</v>
      </c>
      <c r="H22" s="1" t="s">
        <v>16</v>
      </c>
      <c r="I22" s="1">
        <v>5.05</v>
      </c>
      <c r="J22" s="1">
        <v>73.7</v>
      </c>
      <c r="K22" s="1">
        <v>0.6</v>
      </c>
      <c r="L22" t="s">
        <v>16</v>
      </c>
      <c r="M22" s="1" t="s">
        <v>16</v>
      </c>
      <c r="N22" s="1" t="s">
        <v>16</v>
      </c>
      <c r="O22" s="19" t="s">
        <v>16</v>
      </c>
    </row>
    <row r="23" spans="1:15" x14ac:dyDescent="0.2">
      <c r="A23" s="16">
        <v>43937</v>
      </c>
      <c r="B23" t="s">
        <v>22</v>
      </c>
      <c r="C23">
        <v>1</v>
      </c>
      <c r="D23" s="21">
        <v>0.48125000000000001</v>
      </c>
      <c r="E23" s="1">
        <v>0.5</v>
      </c>
      <c r="F23" s="1">
        <v>28.6</v>
      </c>
      <c r="G23" s="1">
        <v>32.840000000000003</v>
      </c>
      <c r="H23" s="1" t="s">
        <v>16</v>
      </c>
      <c r="I23" s="1">
        <v>4.6500000000000004</v>
      </c>
      <c r="J23" s="1">
        <v>72.099999999999994</v>
      </c>
      <c r="K23" s="1">
        <v>0.5</v>
      </c>
      <c r="L23" t="s">
        <v>16</v>
      </c>
      <c r="M23" s="1" t="s">
        <v>16</v>
      </c>
      <c r="N23" s="1" t="s">
        <v>16</v>
      </c>
      <c r="O23" s="19" t="s">
        <v>16</v>
      </c>
    </row>
    <row r="24" spans="1:15" x14ac:dyDescent="0.2">
      <c r="A24" s="16">
        <v>43937</v>
      </c>
      <c r="B24" t="s">
        <v>22</v>
      </c>
      <c r="C24">
        <v>2</v>
      </c>
      <c r="D24" s="21">
        <v>0.49652777777777773</v>
      </c>
      <c r="E24" s="1">
        <v>0.4</v>
      </c>
      <c r="F24" s="1">
        <v>28.7</v>
      </c>
      <c r="G24" s="1">
        <v>33.299999999999997</v>
      </c>
      <c r="H24" s="1" t="s">
        <v>16</v>
      </c>
      <c r="I24" s="1">
        <v>5.0999999999999996</v>
      </c>
      <c r="J24" s="1">
        <v>79.400000000000006</v>
      </c>
      <c r="K24" s="1">
        <v>0.4</v>
      </c>
      <c r="L24" t="s">
        <v>16</v>
      </c>
      <c r="M24" s="1" t="s">
        <v>16</v>
      </c>
      <c r="N24" s="1" t="s">
        <v>16</v>
      </c>
      <c r="O24" s="19" t="s">
        <v>16</v>
      </c>
    </row>
    <row r="25" spans="1:15" x14ac:dyDescent="0.2">
      <c r="A25" s="16">
        <v>43937</v>
      </c>
      <c r="B25" t="s">
        <v>22</v>
      </c>
      <c r="C25">
        <v>3</v>
      </c>
      <c r="D25" s="21">
        <v>0.48958333333333331</v>
      </c>
      <c r="E25" s="1">
        <v>0.3</v>
      </c>
      <c r="F25" s="1">
        <v>29.3</v>
      </c>
      <c r="G25" s="1">
        <v>33.07</v>
      </c>
      <c r="H25" s="1" t="s">
        <v>16</v>
      </c>
      <c r="I25" s="1">
        <v>6.34</v>
      </c>
      <c r="J25" s="1">
        <v>99.5</v>
      </c>
      <c r="K25" s="1">
        <v>0.3</v>
      </c>
      <c r="L25" t="s">
        <v>16</v>
      </c>
      <c r="M25" s="1" t="s">
        <v>16</v>
      </c>
      <c r="N25" s="1" t="s">
        <v>16</v>
      </c>
      <c r="O25" s="19" t="s">
        <v>16</v>
      </c>
    </row>
    <row r="26" spans="1:15" x14ac:dyDescent="0.2">
      <c r="A26" s="16">
        <v>43965</v>
      </c>
      <c r="B26" t="s">
        <v>15</v>
      </c>
      <c r="C26">
        <v>1</v>
      </c>
      <c r="D26" s="21">
        <v>0.41875000000000001</v>
      </c>
      <c r="E26" s="1">
        <v>0.67</v>
      </c>
      <c r="F26" s="1">
        <v>25.2</v>
      </c>
      <c r="G26" s="1">
        <v>28.4</v>
      </c>
      <c r="H26" s="1">
        <v>7.79</v>
      </c>
      <c r="I26" s="1">
        <v>5.4</v>
      </c>
      <c r="J26" s="1">
        <v>77.099999999999994</v>
      </c>
      <c r="K26" s="1">
        <v>0.67</v>
      </c>
      <c r="L26" t="s">
        <v>16</v>
      </c>
      <c r="M26" s="1" t="s">
        <v>16</v>
      </c>
      <c r="N26" s="1" t="s">
        <v>16</v>
      </c>
      <c r="O26" s="19" t="s">
        <v>16</v>
      </c>
    </row>
    <row r="27" spans="1:15" x14ac:dyDescent="0.2">
      <c r="A27" s="16">
        <v>43965</v>
      </c>
      <c r="B27" t="s">
        <v>15</v>
      </c>
      <c r="C27">
        <v>2</v>
      </c>
      <c r="D27" s="21">
        <v>0.44027777777777777</v>
      </c>
      <c r="E27" s="1">
        <v>0.45</v>
      </c>
      <c r="F27" s="1">
        <v>25.6</v>
      </c>
      <c r="G27" s="1">
        <v>27.61</v>
      </c>
      <c r="H27" s="1">
        <v>7.74</v>
      </c>
      <c r="I27" s="1">
        <v>5.1100000000000003</v>
      </c>
      <c r="J27" s="1">
        <v>73.099999999999994</v>
      </c>
      <c r="K27" s="1">
        <v>0.45</v>
      </c>
      <c r="L27" t="s">
        <v>16</v>
      </c>
      <c r="M27" s="1" t="s">
        <v>16</v>
      </c>
      <c r="N27" s="1" t="s">
        <v>16</v>
      </c>
      <c r="O27" s="19" t="s">
        <v>16</v>
      </c>
    </row>
    <row r="28" spans="1:15" x14ac:dyDescent="0.2">
      <c r="A28" s="16">
        <v>43965</v>
      </c>
      <c r="B28" t="s">
        <v>15</v>
      </c>
      <c r="C28">
        <v>3</v>
      </c>
      <c r="D28" s="21">
        <v>0.43194444444444446</v>
      </c>
      <c r="E28" s="1">
        <v>0.78</v>
      </c>
      <c r="F28" s="1">
        <v>25.6</v>
      </c>
      <c r="G28" s="1">
        <v>25.38</v>
      </c>
      <c r="H28" s="1">
        <v>7.7</v>
      </c>
      <c r="I28" s="1">
        <v>4.78</v>
      </c>
      <c r="J28" s="1">
        <v>67.7</v>
      </c>
      <c r="K28" s="1">
        <v>0.78</v>
      </c>
      <c r="L28" t="s">
        <v>16</v>
      </c>
      <c r="M28" s="1" t="s">
        <v>16</v>
      </c>
      <c r="N28" s="1" t="s">
        <v>16</v>
      </c>
      <c r="O28" s="19" t="s">
        <v>16</v>
      </c>
    </row>
    <row r="29" spans="1:15" x14ac:dyDescent="0.2">
      <c r="A29" s="16">
        <v>43965</v>
      </c>
      <c r="B29" t="s">
        <v>22</v>
      </c>
      <c r="C29">
        <v>1</v>
      </c>
      <c r="D29" s="21">
        <v>0.46388888888888885</v>
      </c>
      <c r="E29" s="1">
        <v>0.55000000000000004</v>
      </c>
      <c r="F29" s="1">
        <v>25.1</v>
      </c>
      <c r="G29" s="1">
        <v>31.98</v>
      </c>
      <c r="H29" s="1">
        <v>7.66</v>
      </c>
      <c r="I29" s="1">
        <v>4.49</v>
      </c>
      <c r="J29" s="1">
        <v>65.2</v>
      </c>
      <c r="K29" s="1">
        <v>0.55000000000000004</v>
      </c>
      <c r="L29" t="s">
        <v>16</v>
      </c>
      <c r="M29" s="1" t="s">
        <v>16</v>
      </c>
      <c r="N29" s="1" t="s">
        <v>16</v>
      </c>
      <c r="O29" s="19" t="s">
        <v>16</v>
      </c>
    </row>
    <row r="30" spans="1:15" x14ac:dyDescent="0.2">
      <c r="A30" s="16">
        <v>43965</v>
      </c>
      <c r="B30" t="s">
        <v>22</v>
      </c>
      <c r="C30">
        <v>2</v>
      </c>
      <c r="D30" s="21">
        <v>0.48472222222222222</v>
      </c>
      <c r="E30" s="1">
        <v>0.8</v>
      </c>
      <c r="F30" s="1">
        <v>25.1</v>
      </c>
      <c r="G30" s="1">
        <v>32.39</v>
      </c>
      <c r="H30" s="1">
        <v>7.75</v>
      </c>
      <c r="I30" s="1">
        <v>5.44</v>
      </c>
      <c r="J30" s="1">
        <v>79.099999999999994</v>
      </c>
      <c r="K30" s="1">
        <v>0.65</v>
      </c>
      <c r="L30" t="s">
        <v>16</v>
      </c>
      <c r="M30" s="1" t="s">
        <v>16</v>
      </c>
      <c r="N30" s="1" t="s">
        <v>16</v>
      </c>
      <c r="O30" s="19" t="s">
        <v>16</v>
      </c>
    </row>
    <row r="31" spans="1:15" x14ac:dyDescent="0.2">
      <c r="A31" s="16">
        <v>43965</v>
      </c>
      <c r="B31" t="s">
        <v>22</v>
      </c>
      <c r="C31">
        <v>3</v>
      </c>
      <c r="D31" s="21">
        <v>0.4770833333333333</v>
      </c>
      <c r="E31" s="1">
        <v>0.45</v>
      </c>
      <c r="F31" s="1">
        <v>25.1</v>
      </c>
      <c r="G31" s="1">
        <v>32.65</v>
      </c>
      <c r="H31" s="1">
        <v>7.75</v>
      </c>
      <c r="I31" s="1">
        <v>5.45</v>
      </c>
      <c r="J31" s="1">
        <v>80.099999999999994</v>
      </c>
      <c r="K31" s="1">
        <v>0.45</v>
      </c>
      <c r="L31" t="s">
        <v>16</v>
      </c>
      <c r="M31" s="1" t="s">
        <v>16</v>
      </c>
      <c r="N31" s="1" t="s">
        <v>16</v>
      </c>
      <c r="O31" s="19" t="s">
        <v>16</v>
      </c>
    </row>
    <row r="32" spans="1:15" x14ac:dyDescent="0.2">
      <c r="A32" s="16">
        <v>43994</v>
      </c>
      <c r="B32" t="s">
        <v>15</v>
      </c>
      <c r="C32">
        <v>1</v>
      </c>
      <c r="D32" s="21">
        <v>0.57222222222222219</v>
      </c>
      <c r="E32" s="1">
        <v>1</v>
      </c>
      <c r="F32" s="1">
        <v>30.4</v>
      </c>
      <c r="G32" s="1">
        <v>1.17</v>
      </c>
      <c r="H32" s="1">
        <v>7.58</v>
      </c>
      <c r="I32" s="1">
        <v>5.31</v>
      </c>
      <c r="J32" s="1">
        <v>70.900000000000006</v>
      </c>
      <c r="K32" s="1">
        <v>0.9</v>
      </c>
      <c r="L32" t="s">
        <v>16</v>
      </c>
      <c r="M32" s="1" t="s">
        <v>16</v>
      </c>
      <c r="N32" s="1" t="s">
        <v>16</v>
      </c>
      <c r="O32" s="19" t="s">
        <v>16</v>
      </c>
    </row>
    <row r="33" spans="1:15" x14ac:dyDescent="0.2">
      <c r="A33" s="16">
        <v>43994</v>
      </c>
      <c r="B33" t="s">
        <v>15</v>
      </c>
      <c r="C33">
        <v>2</v>
      </c>
      <c r="D33" s="21">
        <v>0.57777777777777783</v>
      </c>
      <c r="E33" s="1">
        <v>0.5</v>
      </c>
      <c r="F33" s="1">
        <v>30.5</v>
      </c>
      <c r="G33" s="1">
        <v>1.07</v>
      </c>
      <c r="H33" s="1">
        <v>7.56</v>
      </c>
      <c r="I33" s="1">
        <v>5.16</v>
      </c>
      <c r="J33" s="1">
        <v>69.3</v>
      </c>
      <c r="K33" s="1">
        <v>0.5</v>
      </c>
      <c r="L33" t="s">
        <v>16</v>
      </c>
      <c r="M33" s="1" t="s">
        <v>16</v>
      </c>
      <c r="N33" s="1" t="s">
        <v>16</v>
      </c>
      <c r="O33" s="19" t="s">
        <v>16</v>
      </c>
    </row>
    <row r="34" spans="1:15" x14ac:dyDescent="0.2">
      <c r="A34" s="16">
        <v>43994</v>
      </c>
      <c r="B34" t="s">
        <v>15</v>
      </c>
      <c r="C34">
        <v>3</v>
      </c>
      <c r="D34" s="21">
        <v>0.56388888888888888</v>
      </c>
      <c r="E34" s="1">
        <v>0.5</v>
      </c>
      <c r="F34" s="1">
        <v>30.2</v>
      </c>
      <c r="G34" s="1">
        <v>0.73</v>
      </c>
      <c r="H34" s="1">
        <v>7.82</v>
      </c>
      <c r="I34" s="1">
        <v>4.41</v>
      </c>
      <c r="J34" s="1">
        <v>58.7</v>
      </c>
      <c r="K34" s="1">
        <v>0.5</v>
      </c>
      <c r="L34" t="s">
        <v>16</v>
      </c>
      <c r="M34" s="1" t="s">
        <v>16</v>
      </c>
      <c r="N34" s="1" t="s">
        <v>16</v>
      </c>
      <c r="O34" s="19" t="s">
        <v>16</v>
      </c>
    </row>
    <row r="35" spans="1:15" x14ac:dyDescent="0.2">
      <c r="A35" s="16">
        <v>43994</v>
      </c>
      <c r="B35" t="s">
        <v>22</v>
      </c>
      <c r="C35">
        <v>1</v>
      </c>
      <c r="D35" s="21">
        <v>0.61597222222222225</v>
      </c>
      <c r="E35" s="1">
        <v>0.75</v>
      </c>
      <c r="F35" s="1">
        <v>31</v>
      </c>
      <c r="G35" s="1">
        <v>5.76</v>
      </c>
      <c r="H35" s="1">
        <v>7.85</v>
      </c>
      <c r="I35" s="1">
        <v>6.65</v>
      </c>
      <c r="J35" s="1">
        <v>92.5</v>
      </c>
      <c r="K35" s="1">
        <v>0.75</v>
      </c>
      <c r="L35" t="s">
        <v>16</v>
      </c>
      <c r="M35" s="1" t="s">
        <v>16</v>
      </c>
      <c r="N35" s="1" t="s">
        <v>16</v>
      </c>
      <c r="O35" s="19" t="s">
        <v>16</v>
      </c>
    </row>
    <row r="36" spans="1:15" x14ac:dyDescent="0.2">
      <c r="A36" s="16">
        <v>43994</v>
      </c>
      <c r="B36" t="s">
        <v>22</v>
      </c>
      <c r="C36">
        <v>2</v>
      </c>
      <c r="D36" s="21">
        <v>0.6020833333333333</v>
      </c>
      <c r="E36" s="1">
        <v>0.9</v>
      </c>
      <c r="F36" s="1">
        <v>31</v>
      </c>
      <c r="G36" s="1">
        <v>5.5</v>
      </c>
      <c r="H36" s="1">
        <v>7.51</v>
      </c>
      <c r="I36" s="1">
        <v>7.25</v>
      </c>
      <c r="J36" s="1">
        <v>100.4</v>
      </c>
      <c r="K36" s="1">
        <v>0.9</v>
      </c>
      <c r="L36" t="s">
        <v>16</v>
      </c>
      <c r="M36" s="1" t="s">
        <v>16</v>
      </c>
      <c r="N36" s="1" t="s">
        <v>16</v>
      </c>
      <c r="O36" s="19" t="s">
        <v>16</v>
      </c>
    </row>
    <row r="37" spans="1:15" x14ac:dyDescent="0.2">
      <c r="A37" s="16">
        <v>43994</v>
      </c>
      <c r="B37" t="s">
        <v>22</v>
      </c>
      <c r="C37">
        <v>3</v>
      </c>
      <c r="D37" s="21">
        <v>0.6069444444444444</v>
      </c>
      <c r="E37" s="1">
        <v>0.85</v>
      </c>
      <c r="F37" s="1">
        <v>30.9</v>
      </c>
      <c r="G37" s="1">
        <v>5.67</v>
      </c>
      <c r="H37" s="1">
        <v>7.72</v>
      </c>
      <c r="I37" s="1">
        <v>5.68</v>
      </c>
      <c r="J37" s="1">
        <v>99.2</v>
      </c>
      <c r="K37" s="1">
        <v>0.85</v>
      </c>
      <c r="L37" t="s">
        <v>16</v>
      </c>
      <c r="M37" s="1" t="s">
        <v>16</v>
      </c>
      <c r="N37" s="1" t="s">
        <v>16</v>
      </c>
      <c r="O37" s="19" t="s">
        <v>16</v>
      </c>
    </row>
    <row r="38" spans="1:15" x14ac:dyDescent="0.2">
      <c r="A38" s="16">
        <v>44036</v>
      </c>
      <c r="B38" t="s">
        <v>15</v>
      </c>
      <c r="C38">
        <v>1</v>
      </c>
      <c r="D38" s="21">
        <v>0.64027777777777783</v>
      </c>
      <c r="E38" s="1">
        <v>0.7</v>
      </c>
      <c r="F38" s="1">
        <v>30.5</v>
      </c>
      <c r="G38" s="1">
        <v>3.81</v>
      </c>
      <c r="H38" s="1">
        <v>8.66</v>
      </c>
      <c r="I38" s="1">
        <v>6.4</v>
      </c>
      <c r="J38" s="1">
        <v>87.1</v>
      </c>
      <c r="K38" s="1">
        <v>0.7</v>
      </c>
      <c r="L38" t="s">
        <v>16</v>
      </c>
      <c r="M38" s="1" t="s">
        <v>16</v>
      </c>
      <c r="N38" s="1" t="s">
        <v>16</v>
      </c>
      <c r="O38" s="19" t="s">
        <v>16</v>
      </c>
    </row>
    <row r="39" spans="1:15" x14ac:dyDescent="0.2">
      <c r="A39" s="16">
        <v>44036</v>
      </c>
      <c r="B39" t="s">
        <v>15</v>
      </c>
      <c r="C39">
        <v>2</v>
      </c>
      <c r="D39" s="21">
        <v>0.62152777777777779</v>
      </c>
      <c r="E39" s="1">
        <v>0.7</v>
      </c>
      <c r="F39" s="1">
        <v>30.1</v>
      </c>
      <c r="G39" s="1">
        <v>5.25</v>
      </c>
      <c r="H39" s="1">
        <v>8.35</v>
      </c>
      <c r="I39" s="1">
        <v>6.78</v>
      </c>
      <c r="J39" s="1">
        <v>92.4</v>
      </c>
      <c r="K39" s="1">
        <v>0.7</v>
      </c>
      <c r="L39" t="s">
        <v>16</v>
      </c>
      <c r="M39" s="1" t="s">
        <v>16</v>
      </c>
      <c r="N39" s="1" t="s">
        <v>16</v>
      </c>
      <c r="O39" s="19" t="s">
        <v>16</v>
      </c>
    </row>
    <row r="40" spans="1:15" x14ac:dyDescent="0.2">
      <c r="A40" s="16">
        <v>44036</v>
      </c>
      <c r="B40" t="s">
        <v>15</v>
      </c>
      <c r="C40">
        <v>3</v>
      </c>
      <c r="D40" s="21">
        <v>0.64583333333333337</v>
      </c>
      <c r="E40" s="1">
        <v>0.5</v>
      </c>
      <c r="F40" s="1">
        <v>29.5</v>
      </c>
      <c r="G40" s="1">
        <v>2.78</v>
      </c>
      <c r="H40" s="1">
        <v>8.34</v>
      </c>
      <c r="I40" s="1">
        <v>5.96</v>
      </c>
      <c r="J40" s="1">
        <v>79.3</v>
      </c>
      <c r="K40" s="1">
        <v>0.5</v>
      </c>
      <c r="L40" t="s">
        <v>16</v>
      </c>
      <c r="M40" s="1" t="s">
        <v>16</v>
      </c>
      <c r="N40" s="1" t="s">
        <v>16</v>
      </c>
      <c r="O40" s="19" t="s">
        <v>16</v>
      </c>
    </row>
    <row r="41" spans="1:15" x14ac:dyDescent="0.2">
      <c r="A41" s="16">
        <v>44036</v>
      </c>
      <c r="B41" t="s">
        <v>22</v>
      </c>
      <c r="C41">
        <v>1</v>
      </c>
      <c r="D41" s="21">
        <v>0.67222222222222217</v>
      </c>
      <c r="E41" s="1">
        <v>0.7</v>
      </c>
      <c r="F41" s="1">
        <v>31</v>
      </c>
      <c r="G41" s="1">
        <v>12.55</v>
      </c>
      <c r="H41" s="1">
        <v>8.2899999999999991</v>
      </c>
      <c r="I41" s="1">
        <v>8.07</v>
      </c>
      <c r="J41" s="1">
        <v>116.2</v>
      </c>
      <c r="K41" s="1">
        <v>0.7</v>
      </c>
      <c r="L41" t="s">
        <v>16</v>
      </c>
      <c r="M41" s="1" t="s">
        <v>16</v>
      </c>
      <c r="N41" s="1" t="s">
        <v>16</v>
      </c>
      <c r="O41" s="19" t="s">
        <v>16</v>
      </c>
    </row>
    <row r="42" spans="1:15" x14ac:dyDescent="0.2">
      <c r="A42" s="16">
        <v>44036</v>
      </c>
      <c r="B42" t="s">
        <v>22</v>
      </c>
      <c r="C42">
        <v>2</v>
      </c>
      <c r="D42" s="21">
        <v>0.65902777777777777</v>
      </c>
      <c r="E42" s="1">
        <v>0.6</v>
      </c>
      <c r="F42" s="1">
        <v>31</v>
      </c>
      <c r="G42" s="1">
        <v>12.07</v>
      </c>
      <c r="H42" s="1">
        <v>8.0500000000000007</v>
      </c>
      <c r="I42" s="1">
        <v>7.51</v>
      </c>
      <c r="J42" s="1">
        <v>107.8</v>
      </c>
      <c r="K42" s="1">
        <v>0.6</v>
      </c>
      <c r="L42" t="s">
        <v>16</v>
      </c>
      <c r="M42" s="1" t="s">
        <v>16</v>
      </c>
      <c r="N42" s="1" t="s">
        <v>16</v>
      </c>
      <c r="O42" s="19" t="s">
        <v>16</v>
      </c>
    </row>
    <row r="43" spans="1:15" x14ac:dyDescent="0.2">
      <c r="A43" s="16">
        <v>44036</v>
      </c>
      <c r="B43" t="s">
        <v>22</v>
      </c>
      <c r="C43">
        <v>3</v>
      </c>
      <c r="D43" s="21">
        <v>0.6645833333333333</v>
      </c>
      <c r="E43" s="1">
        <v>0.6</v>
      </c>
      <c r="F43" s="1">
        <v>31.5</v>
      </c>
      <c r="G43" s="1">
        <v>12.33</v>
      </c>
      <c r="H43" s="1">
        <v>8.26</v>
      </c>
      <c r="I43" s="1">
        <v>8.56</v>
      </c>
      <c r="J43" s="1">
        <v>124.4</v>
      </c>
      <c r="K43" s="1">
        <v>0.6</v>
      </c>
      <c r="L43" t="s">
        <v>16</v>
      </c>
      <c r="M43" s="1" t="s">
        <v>16</v>
      </c>
      <c r="N43" s="1" t="s">
        <v>16</v>
      </c>
      <c r="O43" s="19" t="s">
        <v>16</v>
      </c>
    </row>
    <row r="44" spans="1:15" x14ac:dyDescent="0.2">
      <c r="A44" s="16">
        <v>44064</v>
      </c>
      <c r="B44" t="s">
        <v>15</v>
      </c>
      <c r="C44">
        <v>1</v>
      </c>
      <c r="D44" s="21">
        <v>0.61388888888888882</v>
      </c>
      <c r="E44" s="1">
        <v>0.75</v>
      </c>
      <c r="F44" s="1">
        <v>29.9</v>
      </c>
      <c r="G44" s="1">
        <v>5.78</v>
      </c>
      <c r="H44" s="1">
        <v>7.47</v>
      </c>
      <c r="I44" s="1">
        <v>4.21</v>
      </c>
      <c r="J44" s="1">
        <v>57.3</v>
      </c>
      <c r="K44" s="1">
        <v>0.75</v>
      </c>
      <c r="L44" t="s">
        <v>16</v>
      </c>
      <c r="M44" s="1" t="s">
        <v>16</v>
      </c>
      <c r="N44" s="1" t="s">
        <v>16</v>
      </c>
      <c r="O44" s="19" t="s">
        <v>16</v>
      </c>
    </row>
    <row r="45" spans="1:15" x14ac:dyDescent="0.2">
      <c r="A45" s="16">
        <v>44064</v>
      </c>
      <c r="B45" t="s">
        <v>15</v>
      </c>
      <c r="C45">
        <v>2</v>
      </c>
      <c r="D45" s="21">
        <v>0.61875000000000002</v>
      </c>
      <c r="E45" s="1">
        <v>0.65</v>
      </c>
      <c r="F45" s="1">
        <v>30.7</v>
      </c>
      <c r="G45" s="1">
        <v>6.5</v>
      </c>
      <c r="H45" s="1">
        <v>7.4</v>
      </c>
      <c r="I45" s="1">
        <v>5.91</v>
      </c>
      <c r="J45" s="1">
        <v>81.599999999999994</v>
      </c>
      <c r="K45" s="1">
        <v>0.65</v>
      </c>
      <c r="L45" t="s">
        <v>16</v>
      </c>
      <c r="M45" s="1" t="s">
        <v>16</v>
      </c>
      <c r="N45" s="1" t="s">
        <v>16</v>
      </c>
      <c r="O45" s="19" t="s">
        <v>16</v>
      </c>
    </row>
    <row r="46" spans="1:15" x14ac:dyDescent="0.2">
      <c r="A46" s="16">
        <v>44064</v>
      </c>
      <c r="B46" t="s">
        <v>15</v>
      </c>
      <c r="C46">
        <v>3</v>
      </c>
      <c r="D46" s="21">
        <v>0.60555555555555551</v>
      </c>
      <c r="E46" s="1">
        <v>0.75</v>
      </c>
      <c r="F46" s="1">
        <v>29.1</v>
      </c>
      <c r="G46" s="1">
        <v>3.93</v>
      </c>
      <c r="H46" s="1">
        <v>7.75</v>
      </c>
      <c r="I46" s="1">
        <v>4.55</v>
      </c>
      <c r="J46" s="1">
        <v>60.5</v>
      </c>
      <c r="K46" s="1">
        <v>0.75</v>
      </c>
      <c r="L46" t="s">
        <v>16</v>
      </c>
      <c r="M46" s="1" t="s">
        <v>16</v>
      </c>
      <c r="N46" s="1" t="s">
        <v>16</v>
      </c>
      <c r="O46" s="19" t="s">
        <v>16</v>
      </c>
    </row>
    <row r="47" spans="1:15" x14ac:dyDescent="0.2">
      <c r="A47" s="16">
        <v>44064</v>
      </c>
      <c r="B47" t="s">
        <v>22</v>
      </c>
      <c r="C47">
        <v>1</v>
      </c>
      <c r="D47" s="21">
        <v>0.66180555555555554</v>
      </c>
      <c r="E47" s="1">
        <v>0.85</v>
      </c>
      <c r="F47" s="1">
        <v>30.9</v>
      </c>
      <c r="G47" s="1">
        <v>18.25</v>
      </c>
      <c r="H47" s="1">
        <v>7.24</v>
      </c>
      <c r="I47" s="1">
        <v>4.96</v>
      </c>
      <c r="J47" s="1">
        <v>73</v>
      </c>
      <c r="K47" s="1">
        <v>0.85</v>
      </c>
      <c r="L47" t="s">
        <v>16</v>
      </c>
      <c r="M47" s="1" t="s">
        <v>16</v>
      </c>
      <c r="N47" s="1" t="s">
        <v>16</v>
      </c>
      <c r="O47" s="19" t="s">
        <v>16</v>
      </c>
    </row>
    <row r="48" spans="1:15" x14ac:dyDescent="0.2">
      <c r="A48" s="16">
        <v>44064</v>
      </c>
      <c r="B48" t="s">
        <v>22</v>
      </c>
      <c r="C48">
        <v>2</v>
      </c>
      <c r="D48" s="21">
        <v>0.64722222222222225</v>
      </c>
      <c r="E48" s="1">
        <v>0.8</v>
      </c>
      <c r="F48" s="1">
        <v>31.6</v>
      </c>
      <c r="G48" s="1">
        <v>15.36</v>
      </c>
      <c r="H48" s="1">
        <v>7.14</v>
      </c>
      <c r="I48" s="1">
        <v>6.31</v>
      </c>
      <c r="J48" s="1">
        <v>93.3</v>
      </c>
      <c r="K48" s="1">
        <v>0.8</v>
      </c>
      <c r="L48" t="s">
        <v>16</v>
      </c>
      <c r="M48" s="1" t="s">
        <v>16</v>
      </c>
      <c r="N48" s="1" t="s">
        <v>16</v>
      </c>
      <c r="O48" s="19" t="s">
        <v>16</v>
      </c>
    </row>
    <row r="49" spans="1:15" x14ac:dyDescent="0.2">
      <c r="A49" s="16">
        <v>44064</v>
      </c>
      <c r="B49" t="s">
        <v>22</v>
      </c>
      <c r="C49">
        <v>3</v>
      </c>
      <c r="D49" s="21">
        <v>0.65416666666666667</v>
      </c>
      <c r="E49" s="1">
        <v>0.7</v>
      </c>
      <c r="F49" s="1">
        <v>31.2</v>
      </c>
      <c r="G49" s="1">
        <v>18.27</v>
      </c>
      <c r="H49" s="1">
        <v>7.25</v>
      </c>
      <c r="I49" s="1">
        <v>5.89</v>
      </c>
      <c r="J49" s="1">
        <v>87.6</v>
      </c>
      <c r="K49" s="1">
        <v>0.7</v>
      </c>
      <c r="L49" t="s">
        <v>16</v>
      </c>
      <c r="M49" s="1" t="s">
        <v>16</v>
      </c>
      <c r="N49" s="1" t="s">
        <v>16</v>
      </c>
      <c r="O49" s="19" t="s">
        <v>16</v>
      </c>
    </row>
    <row r="50" spans="1:15" x14ac:dyDescent="0.2">
      <c r="A50" s="16">
        <v>44091</v>
      </c>
      <c r="B50" t="s">
        <v>15</v>
      </c>
      <c r="C50">
        <v>1</v>
      </c>
      <c r="D50" s="21">
        <v>0.3659722222222222</v>
      </c>
      <c r="E50" s="1">
        <v>0.85</v>
      </c>
      <c r="F50" s="1">
        <v>29.5</v>
      </c>
      <c r="G50" s="1">
        <v>13.5</v>
      </c>
      <c r="H50" s="1">
        <v>7.88</v>
      </c>
      <c r="I50" s="1">
        <v>5.37</v>
      </c>
      <c r="J50" s="1">
        <v>76</v>
      </c>
      <c r="K50" s="1">
        <v>0.85</v>
      </c>
      <c r="L50" t="s">
        <v>16</v>
      </c>
      <c r="M50" s="1" t="s">
        <v>16</v>
      </c>
      <c r="N50" s="1" t="s">
        <v>16</v>
      </c>
      <c r="O50" s="19" t="s">
        <v>16</v>
      </c>
    </row>
    <row r="51" spans="1:15" x14ac:dyDescent="0.2">
      <c r="A51" s="16">
        <v>44091</v>
      </c>
      <c r="B51" t="s">
        <v>15</v>
      </c>
      <c r="C51">
        <v>2</v>
      </c>
      <c r="D51" s="21">
        <v>0.39930555555555558</v>
      </c>
      <c r="E51" s="1">
        <v>1.1000000000000001</v>
      </c>
      <c r="F51" s="1">
        <v>29.5</v>
      </c>
      <c r="G51" s="1">
        <v>17.3</v>
      </c>
      <c r="H51" s="1">
        <v>7.98</v>
      </c>
      <c r="I51" s="1">
        <v>5.63</v>
      </c>
      <c r="J51" s="1">
        <v>81.5</v>
      </c>
      <c r="K51" s="1">
        <v>1.1000000000000001</v>
      </c>
      <c r="L51" t="s">
        <v>16</v>
      </c>
      <c r="M51" s="1" t="s">
        <v>16</v>
      </c>
      <c r="N51" s="1" t="s">
        <v>16</v>
      </c>
      <c r="O51" s="19" t="s">
        <v>16</v>
      </c>
    </row>
    <row r="52" spans="1:15" x14ac:dyDescent="0.2">
      <c r="A52" s="16">
        <v>44091</v>
      </c>
      <c r="B52" t="s">
        <v>15</v>
      </c>
      <c r="C52">
        <v>3</v>
      </c>
      <c r="D52" s="21">
        <v>0.32083333333333336</v>
      </c>
      <c r="E52" s="1">
        <v>0.8</v>
      </c>
      <c r="F52" s="1">
        <v>29.2</v>
      </c>
      <c r="G52" s="1">
        <v>7.81</v>
      </c>
      <c r="H52" s="1">
        <v>7.76</v>
      </c>
      <c r="I52" s="1">
        <v>4.47</v>
      </c>
      <c r="J52" s="1">
        <v>60.5</v>
      </c>
      <c r="K52" s="1">
        <v>0.8</v>
      </c>
      <c r="L52" t="s">
        <v>16</v>
      </c>
      <c r="M52" s="1" t="s">
        <v>16</v>
      </c>
      <c r="N52" s="1" t="s">
        <v>16</v>
      </c>
      <c r="O52" s="19" t="s">
        <v>16</v>
      </c>
    </row>
    <row r="53" spans="1:15" x14ac:dyDescent="0.2">
      <c r="A53" s="16">
        <v>44090</v>
      </c>
      <c r="B53" t="s">
        <v>22</v>
      </c>
      <c r="C53">
        <v>1</v>
      </c>
      <c r="D53" s="21">
        <v>0.72777777777777775</v>
      </c>
      <c r="E53" s="1">
        <v>0.7</v>
      </c>
      <c r="F53" s="1">
        <v>31.6</v>
      </c>
      <c r="G53" s="1">
        <v>15.76</v>
      </c>
      <c r="H53" s="1">
        <v>8.06</v>
      </c>
      <c r="I53" s="1">
        <v>7.7</v>
      </c>
      <c r="J53" s="1">
        <v>114</v>
      </c>
      <c r="K53" s="1">
        <v>0.7</v>
      </c>
      <c r="L53" t="s">
        <v>16</v>
      </c>
      <c r="M53" s="1" t="s">
        <v>16</v>
      </c>
      <c r="N53" s="1" t="s">
        <v>16</v>
      </c>
      <c r="O53" s="19" t="s">
        <v>16</v>
      </c>
    </row>
    <row r="54" spans="1:15" x14ac:dyDescent="0.2">
      <c r="A54" s="16">
        <v>44090</v>
      </c>
      <c r="B54" t="s">
        <v>22</v>
      </c>
      <c r="C54">
        <v>2</v>
      </c>
      <c r="D54" s="21">
        <v>0.68472222222222223</v>
      </c>
      <c r="E54" s="1">
        <v>0.6</v>
      </c>
      <c r="F54" s="1">
        <v>31.5</v>
      </c>
      <c r="G54" s="1">
        <v>14.67</v>
      </c>
      <c r="H54" s="1">
        <v>7.94</v>
      </c>
      <c r="I54" s="1">
        <v>6.99</v>
      </c>
      <c r="J54" s="1">
        <v>102.6</v>
      </c>
      <c r="K54" s="1">
        <v>0.6</v>
      </c>
      <c r="L54" t="s">
        <v>16</v>
      </c>
      <c r="M54" s="1" t="s">
        <v>16</v>
      </c>
      <c r="N54" s="1" t="s">
        <v>16</v>
      </c>
      <c r="O54" s="19" t="s">
        <v>16</v>
      </c>
    </row>
    <row r="55" spans="1:15" x14ac:dyDescent="0.2">
      <c r="A55" s="16">
        <v>44090</v>
      </c>
      <c r="B55" t="s">
        <v>22</v>
      </c>
      <c r="C55">
        <v>3</v>
      </c>
      <c r="D55" s="21">
        <v>0.70833333333333337</v>
      </c>
      <c r="E55" s="1">
        <v>0.6</v>
      </c>
      <c r="F55" s="1">
        <v>32.1</v>
      </c>
      <c r="G55" s="1">
        <v>16.21</v>
      </c>
      <c r="H55" s="1">
        <v>8.0399999999999991</v>
      </c>
      <c r="I55" s="1">
        <v>6.58</v>
      </c>
      <c r="J55" s="1">
        <v>98.3</v>
      </c>
      <c r="K55" s="1">
        <v>0.6</v>
      </c>
      <c r="L55" t="s">
        <v>16</v>
      </c>
      <c r="M55" s="1" t="s">
        <v>16</v>
      </c>
      <c r="N55" s="1" t="s">
        <v>16</v>
      </c>
      <c r="O55" s="19" t="s">
        <v>16</v>
      </c>
    </row>
    <row r="56" spans="1:15" x14ac:dyDescent="0.2">
      <c r="A56" s="16">
        <v>44110</v>
      </c>
      <c r="B56" t="s">
        <v>15</v>
      </c>
      <c r="C56">
        <v>1</v>
      </c>
      <c r="D56" s="21">
        <v>0.69513888888888886</v>
      </c>
      <c r="E56" s="1">
        <v>0.5</v>
      </c>
      <c r="F56" s="1">
        <v>28.6</v>
      </c>
      <c r="G56" s="1">
        <v>1.25</v>
      </c>
      <c r="H56" s="1">
        <v>8.1199999999999992</v>
      </c>
      <c r="I56" s="1">
        <v>5.43</v>
      </c>
      <c r="J56" s="1">
        <v>70.400000000000006</v>
      </c>
      <c r="K56" s="1">
        <v>0.5</v>
      </c>
      <c r="L56" t="s">
        <v>16</v>
      </c>
      <c r="M56" s="1" t="s">
        <v>16</v>
      </c>
      <c r="N56" s="1" t="s">
        <v>16</v>
      </c>
      <c r="O56" s="19" t="s">
        <v>16</v>
      </c>
    </row>
    <row r="57" spans="1:15" x14ac:dyDescent="0.2">
      <c r="A57" s="16">
        <v>44110</v>
      </c>
      <c r="B57" t="s">
        <v>15</v>
      </c>
      <c r="C57">
        <v>2</v>
      </c>
      <c r="D57" s="21">
        <v>0.70208333333333339</v>
      </c>
      <c r="E57" s="1">
        <v>1</v>
      </c>
      <c r="F57" s="1">
        <v>28.1</v>
      </c>
      <c r="G57" s="1">
        <v>1.36</v>
      </c>
      <c r="H57" s="1">
        <v>8</v>
      </c>
      <c r="I57" s="1">
        <v>4.9400000000000004</v>
      </c>
      <c r="J57" s="1">
        <v>63.5</v>
      </c>
      <c r="K57" s="1">
        <v>0.85</v>
      </c>
      <c r="L57" t="s">
        <v>16</v>
      </c>
      <c r="M57" s="1" t="s">
        <v>16</v>
      </c>
      <c r="N57" s="1" t="s">
        <v>16</v>
      </c>
      <c r="O57" s="19" t="s">
        <v>16</v>
      </c>
    </row>
    <row r="58" spans="1:15" x14ac:dyDescent="0.2">
      <c r="A58" s="16">
        <v>44110</v>
      </c>
      <c r="B58" t="s">
        <v>15</v>
      </c>
      <c r="C58">
        <v>3</v>
      </c>
      <c r="D58" s="21">
        <v>0.68611111111111101</v>
      </c>
      <c r="E58" s="1">
        <v>1</v>
      </c>
      <c r="F58" s="1">
        <v>28.2</v>
      </c>
      <c r="G58" s="1">
        <v>0.49</v>
      </c>
      <c r="H58" s="1">
        <v>7.82</v>
      </c>
      <c r="I58" s="1">
        <v>4.53</v>
      </c>
      <c r="J58" s="1">
        <v>58.2</v>
      </c>
      <c r="K58" s="1">
        <v>0.8</v>
      </c>
      <c r="L58" t="s">
        <v>16</v>
      </c>
      <c r="M58" s="1" t="s">
        <v>16</v>
      </c>
      <c r="N58" s="1" t="s">
        <v>16</v>
      </c>
      <c r="O58" s="19" t="s">
        <v>16</v>
      </c>
    </row>
    <row r="59" spans="1:15" x14ac:dyDescent="0.2">
      <c r="A59" s="16">
        <v>44110</v>
      </c>
      <c r="B59" t="s">
        <v>22</v>
      </c>
      <c r="C59">
        <v>1</v>
      </c>
      <c r="D59" s="21">
        <v>0.74791666666666667</v>
      </c>
      <c r="E59" s="1">
        <v>0.6</v>
      </c>
      <c r="F59" s="1">
        <v>29.1</v>
      </c>
      <c r="G59" s="1">
        <v>4.29</v>
      </c>
      <c r="H59" s="1">
        <v>7.72</v>
      </c>
      <c r="I59" s="1">
        <v>5.59</v>
      </c>
      <c r="J59" s="1">
        <v>74.5</v>
      </c>
      <c r="K59" s="1">
        <v>0.6</v>
      </c>
      <c r="L59" t="s">
        <v>16</v>
      </c>
      <c r="M59" s="1" t="s">
        <v>16</v>
      </c>
      <c r="N59" s="1" t="s">
        <v>16</v>
      </c>
      <c r="O59" s="19" t="s">
        <v>16</v>
      </c>
    </row>
    <row r="60" spans="1:15" x14ac:dyDescent="0.2">
      <c r="A60" s="16">
        <v>44110</v>
      </c>
      <c r="B60" t="s">
        <v>22</v>
      </c>
      <c r="C60">
        <v>2</v>
      </c>
      <c r="D60" s="21">
        <v>0.73333333333333339</v>
      </c>
      <c r="E60" s="1">
        <v>1.1000000000000001</v>
      </c>
      <c r="F60" s="1">
        <v>29.1</v>
      </c>
      <c r="G60" s="1">
        <v>2.86</v>
      </c>
      <c r="H60" s="1">
        <v>7.88</v>
      </c>
      <c r="I60" s="1">
        <v>6.93</v>
      </c>
      <c r="J60" s="1">
        <v>91.8</v>
      </c>
      <c r="K60" s="1">
        <v>1.1000000000000001</v>
      </c>
      <c r="L60" t="s">
        <v>16</v>
      </c>
      <c r="M60" s="1" t="s">
        <v>16</v>
      </c>
      <c r="N60" s="1" t="s">
        <v>16</v>
      </c>
      <c r="O60" s="19" t="s">
        <v>16</v>
      </c>
    </row>
    <row r="61" spans="1:15" x14ac:dyDescent="0.2">
      <c r="A61" s="16">
        <v>44110</v>
      </c>
      <c r="B61" t="s">
        <v>22</v>
      </c>
      <c r="C61">
        <v>3</v>
      </c>
      <c r="D61" s="21">
        <v>0.73888888888888893</v>
      </c>
      <c r="E61" s="1">
        <v>0.9</v>
      </c>
      <c r="F61" s="1">
        <v>29</v>
      </c>
      <c r="G61" s="1">
        <v>3.19</v>
      </c>
      <c r="H61" s="1">
        <v>7.78</v>
      </c>
      <c r="I61" s="1">
        <v>6.3</v>
      </c>
      <c r="J61" s="1">
        <v>83.2</v>
      </c>
      <c r="K61" s="1">
        <v>0.9</v>
      </c>
      <c r="L61" t="s">
        <v>16</v>
      </c>
      <c r="M61" s="1" t="s">
        <v>16</v>
      </c>
      <c r="N61" s="1" t="s">
        <v>16</v>
      </c>
      <c r="O61" s="19" t="s">
        <v>16</v>
      </c>
    </row>
    <row r="62" spans="1:15" x14ac:dyDescent="0.2">
      <c r="A62" s="16">
        <v>44118</v>
      </c>
      <c r="B62" t="s">
        <v>26</v>
      </c>
      <c r="C62">
        <v>4</v>
      </c>
      <c r="D62" s="21">
        <v>0.5131944444444444</v>
      </c>
      <c r="E62" s="1">
        <v>1</v>
      </c>
      <c r="F62" s="1">
        <v>29.1</v>
      </c>
      <c r="G62" s="1">
        <v>22.53</v>
      </c>
      <c r="H62" s="1">
        <v>8.0299999999999994</v>
      </c>
      <c r="I62" s="1">
        <v>7.25</v>
      </c>
      <c r="J62" s="1">
        <v>108.4</v>
      </c>
      <c r="K62" s="1">
        <v>1</v>
      </c>
      <c r="L62" t="s">
        <v>16</v>
      </c>
      <c r="M62" s="1" t="s">
        <v>16</v>
      </c>
      <c r="N62" s="1">
        <v>2.2000000000000002</v>
      </c>
      <c r="O62" s="19" t="s">
        <v>16</v>
      </c>
    </row>
    <row r="63" spans="1:15" x14ac:dyDescent="0.2">
      <c r="A63" s="16">
        <v>44137</v>
      </c>
      <c r="B63" t="s">
        <v>15</v>
      </c>
      <c r="C63">
        <v>1</v>
      </c>
      <c r="D63" s="21">
        <v>0.69513888888888886</v>
      </c>
      <c r="E63" s="1">
        <v>0.7</v>
      </c>
      <c r="F63" s="1">
        <v>25.8</v>
      </c>
      <c r="G63" s="1">
        <v>6.69</v>
      </c>
      <c r="H63" s="1">
        <v>7.68</v>
      </c>
      <c r="I63" s="1">
        <v>6.11</v>
      </c>
      <c r="J63" s="1">
        <v>77.7</v>
      </c>
      <c r="K63" s="1">
        <v>0.7</v>
      </c>
      <c r="L63" t="s">
        <v>16</v>
      </c>
      <c r="M63" s="1" t="s">
        <v>16</v>
      </c>
      <c r="N63" s="1">
        <v>2.95</v>
      </c>
      <c r="O63" s="19" t="s">
        <v>16</v>
      </c>
    </row>
    <row r="64" spans="1:15" x14ac:dyDescent="0.2">
      <c r="A64" s="16">
        <v>44137</v>
      </c>
      <c r="B64" t="s">
        <v>15</v>
      </c>
      <c r="C64">
        <v>2</v>
      </c>
      <c r="D64" s="21">
        <v>0.7006944444444444</v>
      </c>
      <c r="E64" s="1">
        <v>0.55000000000000004</v>
      </c>
      <c r="F64" s="1">
        <v>26</v>
      </c>
      <c r="G64" s="1">
        <v>7</v>
      </c>
      <c r="H64" s="1">
        <v>7.69</v>
      </c>
      <c r="I64" s="1">
        <v>5.81</v>
      </c>
      <c r="J64" s="1">
        <v>74.099999999999994</v>
      </c>
      <c r="K64" s="1">
        <v>0.55000000000000004</v>
      </c>
      <c r="L64" t="s">
        <v>16</v>
      </c>
      <c r="M64" s="1" t="s">
        <v>16</v>
      </c>
      <c r="N64" s="1">
        <v>13.3</v>
      </c>
      <c r="O64" s="19" t="s">
        <v>16</v>
      </c>
    </row>
    <row r="65" spans="1:15" x14ac:dyDescent="0.2">
      <c r="A65" s="16">
        <v>44137</v>
      </c>
      <c r="B65" t="s">
        <v>15</v>
      </c>
      <c r="C65">
        <v>3</v>
      </c>
      <c r="D65" s="21">
        <v>0.68819444444444444</v>
      </c>
      <c r="E65" s="1">
        <v>0.6</v>
      </c>
      <c r="F65" s="1">
        <v>26.2</v>
      </c>
      <c r="G65" s="1">
        <v>2.7</v>
      </c>
      <c r="H65" s="1">
        <v>8.17</v>
      </c>
      <c r="I65" s="1">
        <v>5.1100000000000003</v>
      </c>
      <c r="J65" s="1">
        <v>64.099999999999994</v>
      </c>
      <c r="K65" s="1">
        <v>0.6</v>
      </c>
      <c r="L65" t="s">
        <v>16</v>
      </c>
      <c r="M65" s="1" t="s">
        <v>16</v>
      </c>
      <c r="N65" s="1">
        <v>2.58</v>
      </c>
      <c r="O65" s="19" t="s">
        <v>16</v>
      </c>
    </row>
    <row r="66" spans="1:15" x14ac:dyDescent="0.2">
      <c r="A66" s="16">
        <v>44137</v>
      </c>
      <c r="B66" t="s">
        <v>22</v>
      </c>
      <c r="C66">
        <v>1</v>
      </c>
      <c r="D66" s="21">
        <v>0.73749999999999993</v>
      </c>
      <c r="E66" s="1">
        <v>0.8</v>
      </c>
      <c r="F66" s="1">
        <v>25.6</v>
      </c>
      <c r="G66" s="1">
        <v>6.35</v>
      </c>
      <c r="H66" s="1">
        <v>7.59</v>
      </c>
      <c r="I66" s="1">
        <v>7.24</v>
      </c>
      <c r="J66" s="1">
        <v>91.6</v>
      </c>
      <c r="K66" s="1">
        <v>0.8</v>
      </c>
      <c r="L66" t="s">
        <v>16</v>
      </c>
      <c r="M66" s="1" t="s">
        <v>16</v>
      </c>
      <c r="N66" s="1">
        <v>2.79</v>
      </c>
      <c r="O66" s="19" t="s">
        <v>16</v>
      </c>
    </row>
    <row r="67" spans="1:15" x14ac:dyDescent="0.2">
      <c r="A67" s="16">
        <v>44137</v>
      </c>
      <c r="B67" t="s">
        <v>22</v>
      </c>
      <c r="C67">
        <v>2</v>
      </c>
      <c r="D67" s="21">
        <v>0.72638888888888886</v>
      </c>
      <c r="E67" s="1">
        <v>0.9</v>
      </c>
      <c r="F67" s="1">
        <v>26.2</v>
      </c>
      <c r="G67" s="1">
        <v>5.0599999999999996</v>
      </c>
      <c r="H67" s="1">
        <v>7.77</v>
      </c>
      <c r="I67" s="1">
        <v>6.64</v>
      </c>
      <c r="J67" s="1">
        <v>84.6</v>
      </c>
      <c r="K67" s="1">
        <v>0.9</v>
      </c>
      <c r="L67" t="s">
        <v>16</v>
      </c>
      <c r="M67" s="1" t="s">
        <v>16</v>
      </c>
      <c r="N67" s="1">
        <v>2.96</v>
      </c>
      <c r="O67" s="19" t="s">
        <v>16</v>
      </c>
    </row>
    <row r="68" spans="1:15" x14ac:dyDescent="0.2">
      <c r="A68" s="16">
        <v>44137</v>
      </c>
      <c r="B68" t="s">
        <v>22</v>
      </c>
      <c r="C68">
        <v>3</v>
      </c>
      <c r="D68" s="21">
        <v>0.73125000000000007</v>
      </c>
      <c r="E68" s="1">
        <v>0.9</v>
      </c>
      <c r="F68" s="1">
        <v>25.1</v>
      </c>
      <c r="G68" s="1">
        <v>5.32</v>
      </c>
      <c r="H68" s="1">
        <v>7.65</v>
      </c>
      <c r="I68" s="1">
        <v>7.04</v>
      </c>
      <c r="J68" s="1">
        <v>87.9</v>
      </c>
      <c r="K68" s="1">
        <v>0.9</v>
      </c>
      <c r="L68" t="s">
        <v>16</v>
      </c>
      <c r="M68" s="1" t="s">
        <v>16</v>
      </c>
      <c r="N68" s="1">
        <v>4.7300000000000004</v>
      </c>
      <c r="O68" s="19" t="s">
        <v>16</v>
      </c>
    </row>
    <row r="69" spans="1:15" x14ac:dyDescent="0.2">
      <c r="A69" s="16">
        <v>44167</v>
      </c>
      <c r="B69" t="s">
        <v>15</v>
      </c>
      <c r="C69">
        <v>1</v>
      </c>
      <c r="D69" s="21">
        <v>0.65486111111111112</v>
      </c>
      <c r="E69" s="1">
        <v>0.85</v>
      </c>
      <c r="F69" s="1">
        <v>21.1</v>
      </c>
      <c r="G69" s="1">
        <v>13.55</v>
      </c>
      <c r="H69" s="1">
        <v>7.8</v>
      </c>
      <c r="I69" s="1">
        <v>6.76</v>
      </c>
      <c r="J69" s="1">
        <v>81.7</v>
      </c>
      <c r="K69" s="1">
        <v>0.85</v>
      </c>
      <c r="L69" t="s">
        <v>16</v>
      </c>
      <c r="M69" s="1" t="s">
        <v>16</v>
      </c>
      <c r="N69" s="1">
        <v>3.41</v>
      </c>
      <c r="O69" s="19" t="s">
        <v>16</v>
      </c>
    </row>
    <row r="70" spans="1:15" x14ac:dyDescent="0.2">
      <c r="A70" s="16">
        <v>44167</v>
      </c>
      <c r="B70" t="s">
        <v>15</v>
      </c>
      <c r="C70">
        <v>2</v>
      </c>
      <c r="D70" s="21">
        <v>0.65902777777777777</v>
      </c>
      <c r="E70" s="1">
        <v>0.35</v>
      </c>
      <c r="F70" s="1">
        <v>21.5</v>
      </c>
      <c r="G70" s="1">
        <v>14.59</v>
      </c>
      <c r="H70" s="1">
        <v>7.84</v>
      </c>
      <c r="I70" s="1">
        <v>7.06</v>
      </c>
      <c r="J70" s="1">
        <v>86.5</v>
      </c>
      <c r="K70" s="1">
        <v>0.35</v>
      </c>
      <c r="L70" t="s">
        <v>16</v>
      </c>
      <c r="M70" s="1" t="s">
        <v>16</v>
      </c>
      <c r="N70" s="1">
        <v>1.89</v>
      </c>
      <c r="O70" s="19" t="s">
        <v>16</v>
      </c>
    </row>
    <row r="71" spans="1:15" x14ac:dyDescent="0.2">
      <c r="A71" s="16">
        <v>44167</v>
      </c>
      <c r="B71" t="s">
        <v>15</v>
      </c>
      <c r="C71">
        <v>3</v>
      </c>
      <c r="D71" s="21">
        <v>0.64722222222222225</v>
      </c>
      <c r="E71" s="1">
        <v>0.5</v>
      </c>
      <c r="F71" s="1">
        <v>20.5</v>
      </c>
      <c r="G71" s="1">
        <v>6.66</v>
      </c>
      <c r="H71" s="1">
        <v>7.57</v>
      </c>
      <c r="I71" s="1">
        <v>6.27</v>
      </c>
      <c r="J71" s="1">
        <v>72.400000000000006</v>
      </c>
      <c r="K71" s="1">
        <v>0.5</v>
      </c>
      <c r="L71" t="s">
        <v>16</v>
      </c>
      <c r="M71" s="1" t="s">
        <v>16</v>
      </c>
      <c r="N71" s="1">
        <v>5.09</v>
      </c>
      <c r="O71" s="19" t="s">
        <v>16</v>
      </c>
    </row>
    <row r="72" spans="1:15" x14ac:dyDescent="0.2">
      <c r="A72" s="16">
        <v>44167</v>
      </c>
      <c r="B72" t="s">
        <v>22</v>
      </c>
      <c r="C72">
        <v>1</v>
      </c>
      <c r="D72" s="21">
        <v>0.69791666666666663</v>
      </c>
      <c r="E72" s="1">
        <v>0.4</v>
      </c>
      <c r="F72" s="1">
        <v>21.1</v>
      </c>
      <c r="G72" s="1">
        <v>19.010000000000002</v>
      </c>
      <c r="H72" s="1">
        <v>7.92</v>
      </c>
      <c r="I72" s="1">
        <v>7.43</v>
      </c>
      <c r="J72" s="1">
        <v>93.2</v>
      </c>
      <c r="K72" s="1">
        <v>0.4</v>
      </c>
      <c r="L72" t="s">
        <v>16</v>
      </c>
      <c r="M72" s="1" t="s">
        <v>16</v>
      </c>
      <c r="N72" s="1">
        <v>5.03</v>
      </c>
      <c r="O72" s="19" t="s">
        <v>16</v>
      </c>
    </row>
    <row r="73" spans="1:15" x14ac:dyDescent="0.2">
      <c r="A73" s="16">
        <v>44167</v>
      </c>
      <c r="B73" t="s">
        <v>22</v>
      </c>
      <c r="C73">
        <v>2</v>
      </c>
      <c r="D73" s="21">
        <v>0.68611111111111101</v>
      </c>
      <c r="E73" s="1">
        <v>0.85</v>
      </c>
      <c r="F73" s="1">
        <v>22.7</v>
      </c>
      <c r="G73" s="1">
        <v>20.65</v>
      </c>
      <c r="H73" s="1">
        <v>7.86</v>
      </c>
      <c r="I73" s="1">
        <v>6.42</v>
      </c>
      <c r="J73" s="1">
        <v>83.6</v>
      </c>
      <c r="K73" s="1">
        <v>0.85</v>
      </c>
      <c r="L73" t="s">
        <v>16</v>
      </c>
      <c r="M73" s="1" t="s">
        <v>16</v>
      </c>
      <c r="N73" s="1">
        <v>2.2999999999999998</v>
      </c>
      <c r="O73" s="19" t="s">
        <v>16</v>
      </c>
    </row>
    <row r="74" spans="1:15" x14ac:dyDescent="0.2">
      <c r="A74" s="16">
        <v>44167</v>
      </c>
      <c r="B74" t="s">
        <v>22</v>
      </c>
      <c r="C74">
        <v>3</v>
      </c>
      <c r="D74" s="21">
        <v>0.69097222222222221</v>
      </c>
      <c r="E74" s="1">
        <v>0.5</v>
      </c>
      <c r="F74" s="1">
        <v>21.1</v>
      </c>
      <c r="G74" s="1">
        <v>17.489999999999998</v>
      </c>
      <c r="H74" s="1">
        <v>7.89</v>
      </c>
      <c r="I74" s="1">
        <v>7.38</v>
      </c>
      <c r="J74" s="1">
        <v>91.7</v>
      </c>
      <c r="K74" s="1">
        <v>0.5</v>
      </c>
      <c r="L74" t="s">
        <v>16</v>
      </c>
      <c r="M74" s="1" t="s">
        <v>16</v>
      </c>
      <c r="N74" s="1">
        <v>4.99</v>
      </c>
      <c r="O74" s="19" t="s">
        <v>16</v>
      </c>
    </row>
    <row r="75" spans="1:15" x14ac:dyDescent="0.2">
      <c r="A75" s="16">
        <v>44201</v>
      </c>
      <c r="B75" t="s">
        <v>15</v>
      </c>
      <c r="C75">
        <v>1</v>
      </c>
      <c r="D75" s="21">
        <v>0.67708333333333337</v>
      </c>
      <c r="E75" s="1">
        <v>0.9</v>
      </c>
      <c r="F75" s="1">
        <v>22.3</v>
      </c>
      <c r="G75" s="1">
        <v>23.46</v>
      </c>
      <c r="H75" s="1">
        <v>8.18</v>
      </c>
      <c r="I75" s="1">
        <v>7.67</v>
      </c>
      <c r="J75" s="1">
        <v>100.7</v>
      </c>
      <c r="K75" s="1">
        <v>0.9</v>
      </c>
      <c r="L75" t="s">
        <v>16</v>
      </c>
      <c r="M75" s="1" t="s">
        <v>16</v>
      </c>
      <c r="N75" s="1">
        <v>2.4</v>
      </c>
      <c r="O75" s="19" t="s">
        <v>16</v>
      </c>
    </row>
    <row r="76" spans="1:15" x14ac:dyDescent="0.2">
      <c r="A76" s="16">
        <v>44201</v>
      </c>
      <c r="B76" t="s">
        <v>15</v>
      </c>
      <c r="C76">
        <v>2</v>
      </c>
      <c r="D76" s="21">
        <v>0.68472222222222223</v>
      </c>
      <c r="E76" s="1">
        <v>0.6</v>
      </c>
      <c r="F76" s="1">
        <v>22.2</v>
      </c>
      <c r="G76" s="1">
        <v>23.1</v>
      </c>
      <c r="H76" s="1">
        <v>8.18</v>
      </c>
      <c r="I76" s="1">
        <v>7.89</v>
      </c>
      <c r="J76" s="1">
        <v>103.5</v>
      </c>
      <c r="K76" s="1">
        <v>0.6</v>
      </c>
      <c r="L76" t="s">
        <v>16</v>
      </c>
      <c r="M76" s="1" t="s">
        <v>16</v>
      </c>
      <c r="N76" s="1">
        <v>2.33</v>
      </c>
      <c r="O76" s="19" t="s">
        <v>16</v>
      </c>
    </row>
    <row r="77" spans="1:15" x14ac:dyDescent="0.2">
      <c r="A77" s="16">
        <v>44201</v>
      </c>
      <c r="B77" t="s">
        <v>15</v>
      </c>
      <c r="C77">
        <v>3</v>
      </c>
      <c r="D77" s="21">
        <v>0.6694444444444444</v>
      </c>
      <c r="E77" s="1">
        <v>0.9</v>
      </c>
      <c r="F77" s="1">
        <v>21.6</v>
      </c>
      <c r="G77" s="1">
        <v>13.2</v>
      </c>
      <c r="H77" s="1">
        <v>7.97</v>
      </c>
      <c r="I77" s="1">
        <v>7.44</v>
      </c>
      <c r="J77" s="1">
        <v>91.1</v>
      </c>
      <c r="K77" s="1">
        <v>0.9</v>
      </c>
      <c r="L77" t="s">
        <v>16</v>
      </c>
      <c r="M77" s="1" t="s">
        <v>16</v>
      </c>
      <c r="N77" s="1">
        <v>2.58</v>
      </c>
      <c r="O77" s="19" t="s">
        <v>16</v>
      </c>
    </row>
    <row r="78" spans="1:15" x14ac:dyDescent="0.2">
      <c r="A78" s="16">
        <v>44201</v>
      </c>
      <c r="B78" t="s">
        <v>22</v>
      </c>
      <c r="C78">
        <v>1</v>
      </c>
      <c r="D78" s="21">
        <v>0.72777777777777775</v>
      </c>
      <c r="E78" s="1">
        <v>0.6</v>
      </c>
      <c r="F78" s="1">
        <v>21.1</v>
      </c>
      <c r="G78" s="1">
        <v>25.81</v>
      </c>
      <c r="H78" s="1">
        <v>8.14</v>
      </c>
      <c r="I78" s="1">
        <v>7.92</v>
      </c>
      <c r="J78" s="1">
        <v>103.8</v>
      </c>
      <c r="K78" s="1">
        <v>0.6</v>
      </c>
      <c r="L78" t="s">
        <v>16</v>
      </c>
      <c r="M78" s="1" t="s">
        <v>16</v>
      </c>
      <c r="N78" s="1">
        <v>2.97</v>
      </c>
      <c r="O78" s="19" t="s">
        <v>16</v>
      </c>
    </row>
    <row r="79" spans="1:15" x14ac:dyDescent="0.2">
      <c r="A79" s="16">
        <v>44201</v>
      </c>
      <c r="B79" t="s">
        <v>22</v>
      </c>
      <c r="C79">
        <v>2</v>
      </c>
      <c r="D79" s="21">
        <v>0.71527777777777779</v>
      </c>
      <c r="E79" s="1">
        <v>0.7</v>
      </c>
      <c r="F79" s="1">
        <v>22.2</v>
      </c>
      <c r="G79" s="1">
        <v>28.65</v>
      </c>
      <c r="H79" s="1">
        <v>8.27</v>
      </c>
      <c r="I79" s="1">
        <v>8.1</v>
      </c>
      <c r="J79" s="1">
        <v>109.8</v>
      </c>
      <c r="K79" s="1">
        <v>0.7</v>
      </c>
      <c r="L79" t="s">
        <v>16</v>
      </c>
      <c r="M79" s="1" t="s">
        <v>16</v>
      </c>
      <c r="N79" s="1">
        <v>2.91</v>
      </c>
      <c r="O79" s="19" t="s">
        <v>16</v>
      </c>
    </row>
    <row r="80" spans="1:15" x14ac:dyDescent="0.2">
      <c r="A80" s="16">
        <v>44201</v>
      </c>
      <c r="B80" t="s">
        <v>22</v>
      </c>
      <c r="C80">
        <v>3</v>
      </c>
      <c r="D80" s="21">
        <v>0.71944444444444444</v>
      </c>
      <c r="E80" s="1">
        <v>0.6</v>
      </c>
      <c r="F80" s="1">
        <v>21.1</v>
      </c>
      <c r="G80" s="1">
        <v>24.49</v>
      </c>
      <c r="H80" s="1">
        <v>8.1199999999999992</v>
      </c>
      <c r="I80" s="1">
        <v>8.06</v>
      </c>
      <c r="J80" s="1">
        <v>104.8</v>
      </c>
      <c r="K80" s="1">
        <v>0.6</v>
      </c>
      <c r="L80" t="s">
        <v>16</v>
      </c>
      <c r="M80" s="1" t="s">
        <v>16</v>
      </c>
      <c r="N80" s="1">
        <v>2.87</v>
      </c>
      <c r="O80" s="19" t="s">
        <v>16</v>
      </c>
    </row>
    <row r="81" spans="1:15" x14ac:dyDescent="0.2">
      <c r="A81" s="16">
        <v>44230</v>
      </c>
      <c r="B81" t="s">
        <v>15</v>
      </c>
      <c r="C81">
        <v>1</v>
      </c>
      <c r="D81" s="21">
        <v>0.66041666666666665</v>
      </c>
      <c r="E81" s="1">
        <v>0.8</v>
      </c>
      <c r="F81" s="1">
        <v>17.5</v>
      </c>
      <c r="G81" s="1">
        <v>29.39</v>
      </c>
      <c r="H81" s="1">
        <v>8.27</v>
      </c>
      <c r="I81" s="1">
        <v>8.56</v>
      </c>
      <c r="J81" s="1">
        <v>107.1</v>
      </c>
      <c r="K81" s="1">
        <v>0.8</v>
      </c>
      <c r="L81" t="s">
        <v>16</v>
      </c>
      <c r="M81" s="1" t="s">
        <v>16</v>
      </c>
      <c r="N81" s="1">
        <v>2.14</v>
      </c>
      <c r="O81" s="19" t="s">
        <v>16</v>
      </c>
    </row>
    <row r="82" spans="1:15" x14ac:dyDescent="0.2">
      <c r="A82" s="16">
        <v>44230</v>
      </c>
      <c r="B82" t="s">
        <v>15</v>
      </c>
      <c r="C82">
        <v>2</v>
      </c>
      <c r="D82" s="21">
        <v>0.66527777777777775</v>
      </c>
      <c r="E82" s="1">
        <v>0.6</v>
      </c>
      <c r="F82" s="1">
        <v>17.3</v>
      </c>
      <c r="G82" s="1">
        <v>28.8</v>
      </c>
      <c r="H82" s="1">
        <v>8.26</v>
      </c>
      <c r="I82" s="1">
        <v>8.6</v>
      </c>
      <c r="J82" s="1">
        <v>106.7</v>
      </c>
      <c r="K82" s="1">
        <v>0.6</v>
      </c>
      <c r="L82" t="s">
        <v>16</v>
      </c>
      <c r="M82" s="1" t="s">
        <v>16</v>
      </c>
      <c r="N82" s="1">
        <v>3.31</v>
      </c>
      <c r="O82" s="19" t="s">
        <v>16</v>
      </c>
    </row>
    <row r="83" spans="1:15" x14ac:dyDescent="0.2">
      <c r="A83" s="16">
        <v>44230</v>
      </c>
      <c r="B83" t="s">
        <v>15</v>
      </c>
      <c r="C83">
        <v>3</v>
      </c>
      <c r="D83" s="21">
        <v>0.65277777777777779</v>
      </c>
      <c r="E83" s="1">
        <v>0.75</v>
      </c>
      <c r="F83" s="1">
        <v>17.399999999999999</v>
      </c>
      <c r="G83" s="1">
        <v>25.48</v>
      </c>
      <c r="H83" s="1">
        <v>8.2100000000000009</v>
      </c>
      <c r="I83" s="1">
        <v>8.64</v>
      </c>
      <c r="J83" s="1">
        <v>105</v>
      </c>
      <c r="K83" s="1">
        <v>0.75</v>
      </c>
      <c r="L83" t="s">
        <v>16</v>
      </c>
      <c r="M83" s="1" t="s">
        <v>16</v>
      </c>
      <c r="N83" s="1">
        <v>3.98</v>
      </c>
      <c r="O83" s="19" t="s">
        <v>16</v>
      </c>
    </row>
    <row r="84" spans="1:15" x14ac:dyDescent="0.2">
      <c r="A84" s="16">
        <v>44230</v>
      </c>
      <c r="B84" t="s">
        <v>22</v>
      </c>
      <c r="C84">
        <v>1</v>
      </c>
      <c r="D84" s="21">
        <v>0.70694444444444438</v>
      </c>
      <c r="E84" s="1">
        <v>0.9</v>
      </c>
      <c r="F84" s="1">
        <v>17.3</v>
      </c>
      <c r="G84" s="1">
        <v>32.35</v>
      </c>
      <c r="H84" s="1">
        <v>8.2799999999999994</v>
      </c>
      <c r="I84" s="1">
        <v>8.9700000000000006</v>
      </c>
      <c r="J84" s="1">
        <v>113.7</v>
      </c>
      <c r="K84" s="1">
        <v>0.9</v>
      </c>
      <c r="L84" t="s">
        <v>16</v>
      </c>
      <c r="M84" s="1" t="s">
        <v>16</v>
      </c>
      <c r="N84" s="1">
        <v>8.9499999999999993</v>
      </c>
      <c r="O84" s="19" t="s">
        <v>16</v>
      </c>
    </row>
    <row r="85" spans="1:15" x14ac:dyDescent="0.2">
      <c r="A85" s="16">
        <v>44230</v>
      </c>
      <c r="B85" t="s">
        <v>22</v>
      </c>
      <c r="C85">
        <v>2</v>
      </c>
      <c r="D85" s="21">
        <v>0.69097222222222221</v>
      </c>
      <c r="E85" s="1">
        <v>1</v>
      </c>
      <c r="F85" s="1">
        <v>17.600000000000001</v>
      </c>
      <c r="G85" s="1">
        <v>32.340000000000003</v>
      </c>
      <c r="H85" s="1">
        <v>8.2799999999999994</v>
      </c>
      <c r="I85" s="1">
        <v>8.94</v>
      </c>
      <c r="J85" s="1">
        <v>113.9</v>
      </c>
      <c r="K85" s="1">
        <v>1</v>
      </c>
      <c r="L85" t="s">
        <v>16</v>
      </c>
      <c r="M85" s="1" t="s">
        <v>16</v>
      </c>
      <c r="N85" s="1">
        <v>6.21</v>
      </c>
      <c r="O85" s="19" t="s">
        <v>16</v>
      </c>
    </row>
    <row r="86" spans="1:15" x14ac:dyDescent="0.2">
      <c r="A86" s="16">
        <v>44230</v>
      </c>
      <c r="B86" t="s">
        <v>22</v>
      </c>
      <c r="C86">
        <v>3</v>
      </c>
      <c r="D86" s="21">
        <v>0.69791666666666663</v>
      </c>
      <c r="E86" s="1">
        <v>0.8</v>
      </c>
      <c r="F86" s="1">
        <v>17.100000000000001</v>
      </c>
      <c r="G86" s="1">
        <v>32.520000000000003</v>
      </c>
      <c r="H86" s="1">
        <v>8.2799999999999994</v>
      </c>
      <c r="I86" s="1">
        <v>8.8699999999999992</v>
      </c>
      <c r="J86" s="1">
        <v>112.1</v>
      </c>
      <c r="K86" s="1">
        <v>0.8</v>
      </c>
      <c r="L86" t="s">
        <v>16</v>
      </c>
      <c r="M86" s="1" t="s">
        <v>16</v>
      </c>
      <c r="N86" s="1">
        <v>5.87</v>
      </c>
      <c r="O86" s="19" t="s">
        <v>16</v>
      </c>
    </row>
    <row r="87" spans="1:15" x14ac:dyDescent="0.2">
      <c r="A87" s="16">
        <v>44258</v>
      </c>
      <c r="B87" t="s">
        <v>15</v>
      </c>
      <c r="C87">
        <v>1</v>
      </c>
      <c r="D87" s="21">
        <v>0.3659722222222222</v>
      </c>
      <c r="E87" s="1">
        <v>0.6</v>
      </c>
      <c r="F87" s="1">
        <v>24.6</v>
      </c>
      <c r="G87" s="1">
        <v>22.13</v>
      </c>
      <c r="H87" s="1">
        <v>7.86</v>
      </c>
      <c r="I87" s="1">
        <v>5.75</v>
      </c>
      <c r="J87" s="1">
        <v>78.3</v>
      </c>
      <c r="K87" s="1">
        <v>0.6</v>
      </c>
      <c r="L87" t="s">
        <v>16</v>
      </c>
      <c r="M87" s="1" t="s">
        <v>16</v>
      </c>
      <c r="N87" s="1">
        <v>4.3600000000000003</v>
      </c>
      <c r="O87" s="19" t="s">
        <v>16</v>
      </c>
    </row>
    <row r="88" spans="1:15" x14ac:dyDescent="0.2">
      <c r="A88" s="16">
        <v>44258</v>
      </c>
      <c r="B88" t="s">
        <v>15</v>
      </c>
      <c r="C88">
        <v>2</v>
      </c>
      <c r="D88" s="21">
        <v>0.39027777777777778</v>
      </c>
      <c r="E88" s="1">
        <v>0.5</v>
      </c>
      <c r="F88" s="1">
        <v>24.9</v>
      </c>
      <c r="G88" s="1">
        <v>22.01</v>
      </c>
      <c r="H88" s="1">
        <v>7.87</v>
      </c>
      <c r="I88" s="1">
        <v>6.13</v>
      </c>
      <c r="J88" s="1">
        <v>83.8</v>
      </c>
      <c r="K88" s="1">
        <v>0.5</v>
      </c>
      <c r="L88" t="s">
        <v>16</v>
      </c>
      <c r="M88" s="1" t="s">
        <v>16</v>
      </c>
      <c r="N88" s="1">
        <v>8.11</v>
      </c>
      <c r="O88" s="19" t="s">
        <v>16</v>
      </c>
    </row>
    <row r="89" spans="1:15" x14ac:dyDescent="0.2">
      <c r="A89" s="16">
        <v>44258</v>
      </c>
      <c r="B89" t="s">
        <v>15</v>
      </c>
      <c r="C89">
        <v>3</v>
      </c>
      <c r="D89" s="21">
        <v>0.33194444444444443</v>
      </c>
      <c r="E89" s="1">
        <v>0.5</v>
      </c>
      <c r="F89" s="1">
        <v>24.2</v>
      </c>
      <c r="G89" s="1">
        <v>13.92</v>
      </c>
      <c r="H89" s="1">
        <v>7.84</v>
      </c>
      <c r="I89" s="1">
        <v>5.08</v>
      </c>
      <c r="J89" s="1">
        <v>64.5</v>
      </c>
      <c r="K89" s="1">
        <v>0.5</v>
      </c>
      <c r="L89" t="s">
        <v>16</v>
      </c>
      <c r="M89" s="1" t="s">
        <v>16</v>
      </c>
      <c r="N89" s="1">
        <v>3.52</v>
      </c>
      <c r="O89" s="19" t="s">
        <v>16</v>
      </c>
    </row>
    <row r="90" spans="1:15" x14ac:dyDescent="0.2">
      <c r="A90" s="16">
        <v>44257</v>
      </c>
      <c r="B90" t="s">
        <v>22</v>
      </c>
      <c r="C90">
        <v>1</v>
      </c>
      <c r="D90" s="21">
        <v>0.69930555555555562</v>
      </c>
      <c r="E90" s="1">
        <v>0.55000000000000004</v>
      </c>
      <c r="F90" s="1">
        <v>26.7</v>
      </c>
      <c r="G90" s="1">
        <v>30.38</v>
      </c>
      <c r="H90" s="1">
        <v>8.0500000000000007</v>
      </c>
      <c r="I90" s="1">
        <v>7.45</v>
      </c>
      <c r="J90" s="1">
        <v>109.8</v>
      </c>
      <c r="K90" s="1">
        <v>0.55000000000000004</v>
      </c>
      <c r="L90" t="s">
        <v>16</v>
      </c>
      <c r="M90" s="1" t="s">
        <v>16</v>
      </c>
      <c r="N90" s="1">
        <v>8.5299999999999994</v>
      </c>
      <c r="O90" s="19" t="s">
        <v>16</v>
      </c>
    </row>
    <row r="91" spans="1:15" x14ac:dyDescent="0.2">
      <c r="A91" s="16">
        <v>44257</v>
      </c>
      <c r="B91" t="s">
        <v>22</v>
      </c>
      <c r="C91">
        <v>2</v>
      </c>
      <c r="D91" s="21">
        <v>0.65833333333333333</v>
      </c>
      <c r="E91" s="1">
        <v>0.6</v>
      </c>
      <c r="F91" s="1">
        <v>26.7</v>
      </c>
      <c r="G91" s="1">
        <v>30.07</v>
      </c>
      <c r="H91" s="1">
        <v>8</v>
      </c>
      <c r="I91" s="1">
        <v>7.68</v>
      </c>
      <c r="J91" s="1">
        <v>113.8</v>
      </c>
      <c r="K91" s="1">
        <v>0.6</v>
      </c>
      <c r="L91" t="s">
        <v>16</v>
      </c>
      <c r="M91" s="1" t="s">
        <v>16</v>
      </c>
      <c r="N91" s="1">
        <v>5.3</v>
      </c>
      <c r="O91" s="19" t="s">
        <v>16</v>
      </c>
    </row>
    <row r="92" spans="1:15" x14ac:dyDescent="0.2">
      <c r="A92" s="16">
        <v>44257</v>
      </c>
      <c r="B92" t="s">
        <v>22</v>
      </c>
      <c r="C92">
        <v>3</v>
      </c>
      <c r="D92" s="21">
        <v>0.6791666666666667</v>
      </c>
      <c r="E92" s="1">
        <v>0.5</v>
      </c>
      <c r="F92" s="1">
        <v>26.7</v>
      </c>
      <c r="G92" s="1">
        <v>30.41</v>
      </c>
      <c r="H92" s="1">
        <v>8.07</v>
      </c>
      <c r="I92" s="1">
        <v>8.01</v>
      </c>
      <c r="J92" s="1">
        <v>118.5</v>
      </c>
      <c r="K92" s="1">
        <v>0.5</v>
      </c>
      <c r="L92" t="s">
        <v>16</v>
      </c>
      <c r="M92" s="1" t="s">
        <v>16</v>
      </c>
      <c r="N92" s="1">
        <v>7.31</v>
      </c>
      <c r="O92" s="19" t="s">
        <v>16</v>
      </c>
    </row>
    <row r="93" spans="1:15" x14ac:dyDescent="0.2">
      <c r="A93" s="16">
        <v>44292</v>
      </c>
      <c r="B93" t="s">
        <v>15</v>
      </c>
      <c r="C93">
        <v>1</v>
      </c>
      <c r="D93" s="21">
        <v>0.65833333333333333</v>
      </c>
      <c r="E93" s="1">
        <v>0.95</v>
      </c>
      <c r="F93" s="1">
        <v>25</v>
      </c>
      <c r="G93" s="1">
        <v>23.48</v>
      </c>
      <c r="H93" s="1">
        <v>7.77</v>
      </c>
      <c r="I93" s="1">
        <v>7.68</v>
      </c>
      <c r="J93" s="1">
        <v>106.2</v>
      </c>
      <c r="K93" s="1">
        <v>0.95</v>
      </c>
      <c r="L93" t="s">
        <v>16</v>
      </c>
      <c r="M93" s="1" t="s">
        <v>16</v>
      </c>
      <c r="N93" s="1">
        <v>3.32</v>
      </c>
      <c r="O93" s="19" t="s">
        <v>16</v>
      </c>
    </row>
    <row r="94" spans="1:15" x14ac:dyDescent="0.2">
      <c r="A94" s="16">
        <v>44292</v>
      </c>
      <c r="B94" t="s">
        <v>15</v>
      </c>
      <c r="C94">
        <v>2</v>
      </c>
      <c r="D94" s="21">
        <v>0.66319444444444442</v>
      </c>
      <c r="E94" s="1">
        <v>0.65</v>
      </c>
      <c r="F94" s="1">
        <v>25.2</v>
      </c>
      <c r="G94" s="1">
        <v>23.59</v>
      </c>
      <c r="H94" s="1">
        <v>7.76</v>
      </c>
      <c r="I94" s="1">
        <v>7.62</v>
      </c>
      <c r="J94" s="1">
        <v>105.9</v>
      </c>
      <c r="K94" s="1">
        <v>0.65</v>
      </c>
      <c r="L94" t="s">
        <v>16</v>
      </c>
      <c r="M94" s="1" t="s">
        <v>16</v>
      </c>
      <c r="N94" s="1">
        <v>3.07</v>
      </c>
      <c r="O94" s="19" t="s">
        <v>16</v>
      </c>
    </row>
    <row r="95" spans="1:15" x14ac:dyDescent="0.2">
      <c r="A95" s="16">
        <v>44292</v>
      </c>
      <c r="B95" t="s">
        <v>15</v>
      </c>
      <c r="C95">
        <v>3</v>
      </c>
      <c r="D95" s="21">
        <v>0.65069444444444446</v>
      </c>
      <c r="E95" s="1">
        <v>0.75</v>
      </c>
      <c r="F95" s="1">
        <v>24.8</v>
      </c>
      <c r="G95" s="1">
        <v>24.51</v>
      </c>
      <c r="H95" s="1">
        <v>7.73</v>
      </c>
      <c r="I95" s="1">
        <v>7.02</v>
      </c>
      <c r="J95" s="1">
        <v>96.6</v>
      </c>
      <c r="K95" s="1">
        <v>0.75</v>
      </c>
      <c r="L95" t="s">
        <v>16</v>
      </c>
      <c r="M95" s="1" t="s">
        <v>16</v>
      </c>
      <c r="N95" s="1">
        <v>3.82</v>
      </c>
      <c r="O95" s="19" t="s">
        <v>16</v>
      </c>
    </row>
    <row r="96" spans="1:15" x14ac:dyDescent="0.2">
      <c r="A96" s="16">
        <v>44292</v>
      </c>
      <c r="B96" t="s">
        <v>22</v>
      </c>
      <c r="C96">
        <v>1</v>
      </c>
      <c r="D96" s="21">
        <v>0.7055555555555556</v>
      </c>
      <c r="E96" s="1">
        <v>0.7</v>
      </c>
      <c r="F96" s="1">
        <v>25</v>
      </c>
      <c r="G96" s="1">
        <v>31.5</v>
      </c>
      <c r="H96" s="1">
        <v>8.0299999999999994</v>
      </c>
      <c r="I96" s="1">
        <v>8.86</v>
      </c>
      <c r="J96" s="1">
        <v>128.69999999999999</v>
      </c>
      <c r="K96" s="1">
        <v>0.7</v>
      </c>
      <c r="L96" t="s">
        <v>16</v>
      </c>
      <c r="M96" s="1" t="s">
        <v>16</v>
      </c>
      <c r="N96" s="1">
        <v>13.8</v>
      </c>
      <c r="O96" s="19" t="s">
        <v>16</v>
      </c>
    </row>
    <row r="97" spans="1:15" x14ac:dyDescent="0.2">
      <c r="A97" s="16">
        <v>44292</v>
      </c>
      <c r="B97" t="s">
        <v>22</v>
      </c>
      <c r="C97">
        <v>2</v>
      </c>
      <c r="D97" s="21">
        <v>0.69027777777777777</v>
      </c>
      <c r="E97" s="1">
        <v>0.95</v>
      </c>
      <c r="F97" s="1">
        <v>25</v>
      </c>
      <c r="G97" s="1">
        <v>31.02</v>
      </c>
      <c r="H97" s="1">
        <v>7.92</v>
      </c>
      <c r="I97" s="1">
        <v>9.0299999999999994</v>
      </c>
      <c r="J97" s="1">
        <v>130.4</v>
      </c>
      <c r="K97" s="1">
        <v>0.95</v>
      </c>
      <c r="L97" t="s">
        <v>16</v>
      </c>
      <c r="M97" s="1" t="s">
        <v>16</v>
      </c>
      <c r="N97" s="1">
        <v>10.5</v>
      </c>
      <c r="O97" s="19" t="s">
        <v>16</v>
      </c>
    </row>
    <row r="98" spans="1:15" x14ac:dyDescent="0.2">
      <c r="A98" s="16">
        <v>44292</v>
      </c>
      <c r="B98" t="s">
        <v>22</v>
      </c>
      <c r="C98">
        <v>3</v>
      </c>
      <c r="D98" s="21">
        <v>0.6972222222222223</v>
      </c>
      <c r="E98" s="1">
        <v>0.8</v>
      </c>
      <c r="F98" s="1">
        <v>25.4</v>
      </c>
      <c r="G98" s="1">
        <v>30.61</v>
      </c>
      <c r="H98" s="1">
        <v>7.9</v>
      </c>
      <c r="I98" s="1">
        <v>9.2899999999999991</v>
      </c>
      <c r="J98" s="1">
        <v>134.6</v>
      </c>
      <c r="K98" s="1">
        <v>0.8</v>
      </c>
      <c r="L98" t="s">
        <v>16</v>
      </c>
      <c r="M98" s="1" t="s">
        <v>16</v>
      </c>
      <c r="N98" s="1">
        <v>9.58</v>
      </c>
      <c r="O98" s="19" t="s">
        <v>16</v>
      </c>
    </row>
    <row r="99" spans="1:15" x14ac:dyDescent="0.2">
      <c r="A99" s="16">
        <v>44320</v>
      </c>
      <c r="B99" t="s">
        <v>15</v>
      </c>
      <c r="C99">
        <v>1</v>
      </c>
      <c r="D99" s="21">
        <v>0.67638888888888893</v>
      </c>
      <c r="E99" s="1">
        <v>1.05</v>
      </c>
      <c r="F99" s="1">
        <v>30.4</v>
      </c>
      <c r="G99" s="1">
        <v>26.61</v>
      </c>
      <c r="H99" s="1">
        <v>7.97</v>
      </c>
      <c r="I99" s="1">
        <v>7.64</v>
      </c>
      <c r="J99" s="1">
        <v>117.5</v>
      </c>
      <c r="K99" s="1">
        <v>1.05</v>
      </c>
      <c r="L99" t="s">
        <v>16</v>
      </c>
      <c r="M99" s="1" t="s">
        <v>16</v>
      </c>
      <c r="N99" s="1">
        <v>7.05</v>
      </c>
      <c r="O99" s="19" t="s">
        <v>16</v>
      </c>
    </row>
    <row r="100" spans="1:15" x14ac:dyDescent="0.2">
      <c r="A100" s="16">
        <v>44320</v>
      </c>
      <c r="B100" t="s">
        <v>15</v>
      </c>
      <c r="C100">
        <v>2</v>
      </c>
      <c r="D100" s="21">
        <v>0.68333333333333324</v>
      </c>
      <c r="E100" s="1">
        <v>0.65</v>
      </c>
      <c r="F100" s="1">
        <v>30.4</v>
      </c>
      <c r="G100" s="1">
        <v>26.03</v>
      </c>
      <c r="H100" s="1">
        <v>7.95</v>
      </c>
      <c r="I100" s="1">
        <v>7.63</v>
      </c>
      <c r="J100" s="1">
        <v>117.2</v>
      </c>
      <c r="K100" s="1">
        <v>0.65</v>
      </c>
      <c r="L100" t="s">
        <v>16</v>
      </c>
      <c r="M100" s="1" t="s">
        <v>16</v>
      </c>
      <c r="N100" s="1">
        <v>6.28</v>
      </c>
      <c r="O100" s="19" t="s">
        <v>16</v>
      </c>
    </row>
    <row r="101" spans="1:15" x14ac:dyDescent="0.2">
      <c r="A101" s="16">
        <v>44320</v>
      </c>
      <c r="B101" t="s">
        <v>15</v>
      </c>
      <c r="C101">
        <v>3</v>
      </c>
      <c r="D101" s="21">
        <v>0.6694444444444444</v>
      </c>
      <c r="E101" s="1">
        <v>0.65</v>
      </c>
      <c r="F101" s="1">
        <v>30.5</v>
      </c>
      <c r="G101" s="1">
        <v>24.47</v>
      </c>
      <c r="H101" s="1">
        <v>7.89</v>
      </c>
      <c r="I101" s="1">
        <v>7.05</v>
      </c>
      <c r="J101" s="1">
        <v>107.3</v>
      </c>
      <c r="K101" s="1">
        <v>0.65</v>
      </c>
      <c r="L101" t="s">
        <v>16</v>
      </c>
      <c r="M101" s="1" t="s">
        <v>16</v>
      </c>
      <c r="N101" s="1">
        <v>3.46</v>
      </c>
      <c r="O101" s="19" t="s">
        <v>16</v>
      </c>
    </row>
    <row r="102" spans="1:15" x14ac:dyDescent="0.2">
      <c r="A102" s="16">
        <v>44320</v>
      </c>
      <c r="B102" t="s">
        <v>22</v>
      </c>
      <c r="C102">
        <v>1</v>
      </c>
      <c r="D102" s="21">
        <v>0.72430555555555554</v>
      </c>
      <c r="E102" s="1">
        <v>0.85</v>
      </c>
      <c r="F102" s="1">
        <v>30.1</v>
      </c>
      <c r="G102" s="1">
        <v>34.57</v>
      </c>
      <c r="H102" s="1">
        <v>8.11</v>
      </c>
      <c r="I102" s="1">
        <v>8.0500000000000007</v>
      </c>
      <c r="J102" s="1">
        <v>129.19999999999999</v>
      </c>
      <c r="K102" s="1">
        <v>0.85</v>
      </c>
      <c r="L102" t="s">
        <v>16</v>
      </c>
      <c r="M102" s="1" t="s">
        <v>16</v>
      </c>
      <c r="N102" s="1">
        <v>8</v>
      </c>
      <c r="O102" s="19" t="s">
        <v>16</v>
      </c>
    </row>
    <row r="103" spans="1:15" x14ac:dyDescent="0.2">
      <c r="A103" s="16">
        <v>44320</v>
      </c>
      <c r="B103" t="s">
        <v>22</v>
      </c>
      <c r="C103">
        <v>2</v>
      </c>
      <c r="D103" s="21">
        <v>0.71250000000000002</v>
      </c>
      <c r="E103" s="1">
        <v>0.8</v>
      </c>
      <c r="F103" s="1">
        <v>30.8</v>
      </c>
      <c r="G103" s="1">
        <v>33.54</v>
      </c>
      <c r="H103" s="1">
        <v>8.1300000000000008</v>
      </c>
      <c r="I103" s="1">
        <v>9.66</v>
      </c>
      <c r="J103" s="1">
        <v>155.80000000000001</v>
      </c>
      <c r="K103" s="1">
        <v>0.8</v>
      </c>
      <c r="L103" t="s">
        <v>16</v>
      </c>
      <c r="M103" s="1" t="s">
        <v>16</v>
      </c>
      <c r="N103" s="1">
        <v>8.3800000000000008</v>
      </c>
      <c r="O103" s="19" t="s">
        <v>16</v>
      </c>
    </row>
    <row r="104" spans="1:15" x14ac:dyDescent="0.2">
      <c r="A104" s="16">
        <v>44320</v>
      </c>
      <c r="B104" t="s">
        <v>22</v>
      </c>
      <c r="C104">
        <v>3</v>
      </c>
      <c r="D104" s="21">
        <v>0.71666666666666667</v>
      </c>
      <c r="E104" s="1">
        <v>0.75</v>
      </c>
      <c r="F104" s="1">
        <v>30.8</v>
      </c>
      <c r="G104" s="1">
        <v>33.53</v>
      </c>
      <c r="H104" s="1">
        <v>8.1</v>
      </c>
      <c r="I104" s="1">
        <v>9.3000000000000007</v>
      </c>
      <c r="J104" s="1">
        <v>150</v>
      </c>
      <c r="K104" s="1">
        <v>0.75</v>
      </c>
      <c r="L104" t="s">
        <v>16</v>
      </c>
      <c r="M104" s="1" t="s">
        <v>16</v>
      </c>
      <c r="N104" s="1">
        <v>5</v>
      </c>
      <c r="O104" s="19" t="s">
        <v>16</v>
      </c>
    </row>
    <row r="105" spans="1:15" x14ac:dyDescent="0.2">
      <c r="A105" s="16">
        <v>44354</v>
      </c>
      <c r="B105" t="s">
        <v>15</v>
      </c>
      <c r="C105">
        <v>1</v>
      </c>
      <c r="D105" s="21">
        <v>0.63888888888888895</v>
      </c>
      <c r="E105" s="1">
        <v>0.6</v>
      </c>
      <c r="F105" s="1">
        <v>31.7</v>
      </c>
      <c r="G105" s="1">
        <v>21.27</v>
      </c>
      <c r="H105" s="1">
        <v>7.93</v>
      </c>
      <c r="I105" s="1">
        <v>8.4600000000000009</v>
      </c>
      <c r="J105" s="1">
        <v>129.4</v>
      </c>
      <c r="K105" s="1">
        <v>0.6</v>
      </c>
      <c r="L105" t="s">
        <v>16</v>
      </c>
      <c r="M105" s="1" t="s">
        <v>16</v>
      </c>
      <c r="N105" s="1">
        <v>1.7</v>
      </c>
      <c r="O105" s="19" t="s">
        <v>16</v>
      </c>
    </row>
    <row r="106" spans="1:15" x14ac:dyDescent="0.2">
      <c r="A106" s="16">
        <v>44354</v>
      </c>
      <c r="B106" t="s">
        <v>15</v>
      </c>
      <c r="C106">
        <v>2</v>
      </c>
      <c r="D106" s="21">
        <v>0.64652777777777781</v>
      </c>
      <c r="E106" s="1">
        <v>0.4</v>
      </c>
      <c r="F106" s="1">
        <v>31.2</v>
      </c>
      <c r="G106" s="1">
        <v>18.2</v>
      </c>
      <c r="H106" s="1">
        <v>7.92</v>
      </c>
      <c r="I106" s="1">
        <v>7.97</v>
      </c>
      <c r="J106" s="1">
        <v>118.9</v>
      </c>
      <c r="K106" s="1">
        <v>0.4</v>
      </c>
      <c r="L106" t="s">
        <v>16</v>
      </c>
      <c r="M106" s="1" t="s">
        <v>16</v>
      </c>
      <c r="N106" s="1">
        <v>4.17</v>
      </c>
      <c r="O106" s="19" t="s">
        <v>16</v>
      </c>
    </row>
    <row r="107" spans="1:15" x14ac:dyDescent="0.2">
      <c r="A107" s="16">
        <v>44354</v>
      </c>
      <c r="B107" t="s">
        <v>15</v>
      </c>
      <c r="C107">
        <v>3</v>
      </c>
      <c r="D107" s="21">
        <v>0.63124999999999998</v>
      </c>
      <c r="E107" s="1">
        <v>0.55000000000000004</v>
      </c>
      <c r="F107" s="1">
        <v>30.9</v>
      </c>
      <c r="G107" s="1">
        <v>15.57</v>
      </c>
      <c r="H107" s="1">
        <v>7.85</v>
      </c>
      <c r="I107" s="1">
        <v>6.73</v>
      </c>
      <c r="J107" s="1">
        <v>98.1</v>
      </c>
      <c r="K107" s="1">
        <v>0.55000000000000004</v>
      </c>
      <c r="L107" t="s">
        <v>16</v>
      </c>
      <c r="M107" s="1" t="s">
        <v>16</v>
      </c>
      <c r="N107" s="1">
        <v>3.89</v>
      </c>
      <c r="O107" s="19" t="s">
        <v>16</v>
      </c>
    </row>
    <row r="108" spans="1:15" x14ac:dyDescent="0.2">
      <c r="A108" s="16">
        <v>44354</v>
      </c>
      <c r="B108" t="s">
        <v>22</v>
      </c>
      <c r="C108">
        <v>1</v>
      </c>
      <c r="D108" s="21">
        <v>0.69374999999999998</v>
      </c>
      <c r="E108" s="1">
        <v>0.45</v>
      </c>
      <c r="F108" s="1">
        <v>31.4</v>
      </c>
      <c r="G108" s="1">
        <v>30.74</v>
      </c>
      <c r="H108" s="1">
        <v>8.06</v>
      </c>
      <c r="I108" s="1">
        <v>8.99</v>
      </c>
      <c r="J108" s="1">
        <v>144.1</v>
      </c>
      <c r="K108" s="1">
        <v>0.45</v>
      </c>
      <c r="L108" t="s">
        <v>16</v>
      </c>
      <c r="M108" s="1" t="s">
        <v>16</v>
      </c>
      <c r="N108" s="1">
        <v>13</v>
      </c>
      <c r="O108" s="19" t="s">
        <v>16</v>
      </c>
    </row>
    <row r="109" spans="1:15" x14ac:dyDescent="0.2">
      <c r="A109" s="16">
        <v>44354</v>
      </c>
      <c r="B109" t="s">
        <v>22</v>
      </c>
      <c r="C109">
        <v>2</v>
      </c>
      <c r="D109" s="21">
        <v>0.6777777777777777</v>
      </c>
      <c r="E109" s="1">
        <v>0.4</v>
      </c>
      <c r="F109" s="1">
        <v>31.6</v>
      </c>
      <c r="G109" s="1">
        <v>30.44</v>
      </c>
      <c r="H109" s="1" t="s">
        <v>16</v>
      </c>
      <c r="I109" s="1">
        <v>9.14</v>
      </c>
      <c r="J109" s="1">
        <v>146.6</v>
      </c>
      <c r="K109" s="1">
        <v>0.4</v>
      </c>
      <c r="L109" t="s">
        <v>16</v>
      </c>
      <c r="M109" s="1" t="s">
        <v>16</v>
      </c>
      <c r="N109" s="1">
        <v>17.8</v>
      </c>
      <c r="O109" s="19" t="s">
        <v>16</v>
      </c>
    </row>
    <row r="110" spans="1:15" x14ac:dyDescent="0.2">
      <c r="A110" s="16">
        <v>44354</v>
      </c>
      <c r="B110" t="s">
        <v>22</v>
      </c>
      <c r="C110">
        <v>3</v>
      </c>
      <c r="D110" s="21">
        <v>0.68611111111111101</v>
      </c>
      <c r="E110" s="1">
        <v>0.35</v>
      </c>
      <c r="F110" s="1">
        <v>32.700000000000003</v>
      </c>
      <c r="G110" s="1">
        <v>30.64</v>
      </c>
      <c r="H110" s="1">
        <v>8.01</v>
      </c>
      <c r="I110" s="1">
        <v>9.33</v>
      </c>
      <c r="J110" s="1">
        <v>152.4</v>
      </c>
      <c r="K110" s="1">
        <v>0.35</v>
      </c>
      <c r="L110" t="s">
        <v>16</v>
      </c>
      <c r="M110" s="1" t="s">
        <v>16</v>
      </c>
      <c r="N110" s="1">
        <v>8.76</v>
      </c>
      <c r="O110" s="19" t="s">
        <v>16</v>
      </c>
    </row>
    <row r="111" spans="1:15" x14ac:dyDescent="0.2">
      <c r="A111" s="16">
        <v>44389</v>
      </c>
      <c r="B111" t="s">
        <v>15</v>
      </c>
      <c r="C111">
        <v>1</v>
      </c>
      <c r="D111" s="21">
        <v>0.63263888888888886</v>
      </c>
      <c r="E111" s="1">
        <v>0.5</v>
      </c>
      <c r="F111" s="1">
        <v>29.2</v>
      </c>
      <c r="G111" s="1">
        <v>16.04</v>
      </c>
      <c r="H111" s="1">
        <v>7.83</v>
      </c>
      <c r="I111" s="1">
        <v>5.66</v>
      </c>
      <c r="J111" s="1">
        <v>80.7</v>
      </c>
      <c r="K111" s="1">
        <v>0.5</v>
      </c>
      <c r="L111" t="s">
        <v>16</v>
      </c>
      <c r="M111" s="1" t="s">
        <v>16</v>
      </c>
      <c r="N111" s="1">
        <v>4.8600000000000003</v>
      </c>
      <c r="O111" s="19" t="s">
        <v>16</v>
      </c>
    </row>
    <row r="112" spans="1:15" x14ac:dyDescent="0.2">
      <c r="A112" s="16">
        <v>44389</v>
      </c>
      <c r="B112" t="s">
        <v>15</v>
      </c>
      <c r="C112">
        <v>2</v>
      </c>
      <c r="D112" s="21">
        <v>0.63750000000000007</v>
      </c>
      <c r="E112" s="1">
        <v>0.5</v>
      </c>
      <c r="F112" s="1">
        <v>29.2</v>
      </c>
      <c r="G112" s="1">
        <v>16.29</v>
      </c>
      <c r="H112" s="1">
        <v>7.77</v>
      </c>
      <c r="I112" s="1">
        <v>4.2300000000000004</v>
      </c>
      <c r="J112" s="1">
        <v>59.8</v>
      </c>
      <c r="K112" s="1">
        <v>0.5</v>
      </c>
      <c r="L112" t="s">
        <v>16</v>
      </c>
      <c r="M112" s="1" t="s">
        <v>16</v>
      </c>
      <c r="N112" s="1">
        <v>6.1</v>
      </c>
      <c r="O112" s="19" t="s">
        <v>16</v>
      </c>
    </row>
    <row r="113" spans="1:15" x14ac:dyDescent="0.2">
      <c r="A113" s="16">
        <v>44389</v>
      </c>
      <c r="B113" t="s">
        <v>15</v>
      </c>
      <c r="C113">
        <v>3</v>
      </c>
      <c r="D113" s="21">
        <v>0.62569444444444444</v>
      </c>
      <c r="E113" s="1">
        <v>0.6</v>
      </c>
      <c r="F113" s="1">
        <v>29.5</v>
      </c>
      <c r="G113" s="1">
        <v>10.43</v>
      </c>
      <c r="H113" s="1">
        <v>7.83</v>
      </c>
      <c r="I113" s="1">
        <v>6.14</v>
      </c>
      <c r="J113" s="1">
        <v>85.4</v>
      </c>
      <c r="K113" s="1">
        <v>0.6</v>
      </c>
      <c r="L113" t="s">
        <v>16</v>
      </c>
      <c r="M113" s="1" t="s">
        <v>16</v>
      </c>
      <c r="N113" s="1">
        <v>3.65</v>
      </c>
      <c r="O113" s="19" t="s">
        <v>16</v>
      </c>
    </row>
    <row r="114" spans="1:15" x14ac:dyDescent="0.2">
      <c r="A114" s="16">
        <v>44389</v>
      </c>
      <c r="B114" t="s">
        <v>22</v>
      </c>
      <c r="C114">
        <v>1</v>
      </c>
      <c r="D114" s="21">
        <v>0.69513888888888886</v>
      </c>
      <c r="E114" s="1">
        <v>0.4</v>
      </c>
      <c r="F114" s="1">
        <v>28.9</v>
      </c>
      <c r="G114" s="1">
        <v>25.9</v>
      </c>
      <c r="H114" s="1">
        <v>7.78</v>
      </c>
      <c r="I114" s="1">
        <v>4.88</v>
      </c>
      <c r="J114" s="1">
        <v>73</v>
      </c>
      <c r="K114" s="1">
        <v>0.4</v>
      </c>
      <c r="L114" t="s">
        <v>16</v>
      </c>
      <c r="M114" s="1" t="s">
        <v>16</v>
      </c>
      <c r="N114" s="1">
        <v>6.44</v>
      </c>
      <c r="O114" s="19" t="s">
        <v>16</v>
      </c>
    </row>
    <row r="115" spans="1:15" x14ac:dyDescent="0.2">
      <c r="A115" s="16">
        <v>44389</v>
      </c>
      <c r="B115" t="s">
        <v>22</v>
      </c>
      <c r="C115">
        <v>2</v>
      </c>
      <c r="D115" s="21">
        <v>0.68194444444444446</v>
      </c>
      <c r="E115" s="1">
        <v>0.55000000000000004</v>
      </c>
      <c r="F115" s="1">
        <v>29.3</v>
      </c>
      <c r="G115" s="1">
        <v>27.27</v>
      </c>
      <c r="H115" s="1">
        <v>7.85</v>
      </c>
      <c r="I115" s="1">
        <v>5.44</v>
      </c>
      <c r="J115" s="1">
        <v>82.1</v>
      </c>
      <c r="K115" s="1">
        <v>0.55000000000000004</v>
      </c>
      <c r="L115" t="s">
        <v>16</v>
      </c>
      <c r="M115" s="1" t="s">
        <v>16</v>
      </c>
      <c r="N115" s="1">
        <v>7.6</v>
      </c>
      <c r="O115" s="19" t="s">
        <v>16</v>
      </c>
    </row>
    <row r="116" spans="1:15" x14ac:dyDescent="0.2">
      <c r="A116" s="16">
        <v>44389</v>
      </c>
      <c r="B116" t="s">
        <v>22</v>
      </c>
      <c r="C116">
        <v>3</v>
      </c>
      <c r="D116" s="21">
        <v>0.68680555555555556</v>
      </c>
      <c r="E116" s="1">
        <v>0.4</v>
      </c>
      <c r="F116" s="1">
        <v>28.7</v>
      </c>
      <c r="G116" s="1">
        <v>26.81</v>
      </c>
      <c r="H116" s="1">
        <v>7.88</v>
      </c>
      <c r="I116" s="1">
        <v>5.6</v>
      </c>
      <c r="J116" s="1">
        <v>84.1</v>
      </c>
      <c r="K116" s="1">
        <v>0.4</v>
      </c>
      <c r="L116" t="s">
        <v>16</v>
      </c>
      <c r="M116" s="1" t="s">
        <v>16</v>
      </c>
      <c r="N116" s="1">
        <v>13.85</v>
      </c>
      <c r="O116" s="19" t="s">
        <v>16</v>
      </c>
    </row>
    <row r="117" spans="1:15" x14ac:dyDescent="0.2">
      <c r="A117" s="16">
        <v>44411</v>
      </c>
      <c r="B117" t="s">
        <v>15</v>
      </c>
      <c r="C117">
        <v>1</v>
      </c>
      <c r="D117" s="21">
        <v>0.65625</v>
      </c>
      <c r="E117" s="1">
        <v>0.7</v>
      </c>
      <c r="F117" s="1">
        <v>30.4</v>
      </c>
      <c r="G117" s="1">
        <v>11.74</v>
      </c>
      <c r="H117" s="1">
        <v>7.93</v>
      </c>
      <c r="I117" s="1">
        <v>6.65</v>
      </c>
      <c r="J117" s="1">
        <v>94.1</v>
      </c>
      <c r="K117" s="1">
        <v>0.7</v>
      </c>
      <c r="L117" t="s">
        <v>16</v>
      </c>
      <c r="M117" s="1" t="s">
        <v>16</v>
      </c>
      <c r="N117" s="1">
        <v>8.27</v>
      </c>
      <c r="O117" s="19" t="s">
        <v>16</v>
      </c>
    </row>
    <row r="118" spans="1:15" x14ac:dyDescent="0.2">
      <c r="A118" s="16">
        <v>44411</v>
      </c>
      <c r="B118" t="s">
        <v>15</v>
      </c>
      <c r="C118">
        <v>2</v>
      </c>
      <c r="D118" s="21">
        <v>0.6645833333333333</v>
      </c>
      <c r="E118" s="1">
        <v>0.55000000000000004</v>
      </c>
      <c r="F118" s="1">
        <v>30.2</v>
      </c>
      <c r="G118" s="1">
        <v>12.3</v>
      </c>
      <c r="H118" s="1">
        <v>7.96</v>
      </c>
      <c r="I118" s="1">
        <v>6.58</v>
      </c>
      <c r="J118" s="1">
        <v>93.3</v>
      </c>
      <c r="K118" s="1">
        <v>0.55000000000000004</v>
      </c>
      <c r="L118" t="s">
        <v>16</v>
      </c>
      <c r="M118" s="1" t="s">
        <v>16</v>
      </c>
      <c r="N118" s="1">
        <v>4.6100000000000003</v>
      </c>
      <c r="O118" s="19" t="s">
        <v>16</v>
      </c>
    </row>
    <row r="119" spans="1:15" x14ac:dyDescent="0.2">
      <c r="A119" s="16">
        <v>44411</v>
      </c>
      <c r="B119" t="s">
        <v>15</v>
      </c>
      <c r="C119">
        <v>3</v>
      </c>
      <c r="D119" s="21">
        <v>0.6479166666666667</v>
      </c>
      <c r="E119" s="1">
        <v>0.55000000000000004</v>
      </c>
      <c r="F119" s="1">
        <v>30.4</v>
      </c>
      <c r="G119" s="1">
        <v>9.2100000000000009</v>
      </c>
      <c r="H119" s="1">
        <v>7.85</v>
      </c>
      <c r="I119" s="1">
        <v>4.8</v>
      </c>
      <c r="J119" s="1">
        <v>67.3</v>
      </c>
      <c r="K119" s="1">
        <v>0.55000000000000004</v>
      </c>
      <c r="L119" t="s">
        <v>16</v>
      </c>
      <c r="M119" s="1" t="s">
        <v>16</v>
      </c>
      <c r="N119" s="1">
        <v>2.39</v>
      </c>
      <c r="O119" s="19" t="s">
        <v>16</v>
      </c>
    </row>
    <row r="120" spans="1:15" x14ac:dyDescent="0.2">
      <c r="A120" s="16">
        <v>44411</v>
      </c>
      <c r="B120" t="s">
        <v>22</v>
      </c>
      <c r="C120">
        <v>1</v>
      </c>
      <c r="D120" s="21">
        <v>0.70347222222222217</v>
      </c>
      <c r="E120" s="1">
        <v>0.65</v>
      </c>
      <c r="F120" s="1">
        <v>29.9</v>
      </c>
      <c r="G120" s="1">
        <v>26</v>
      </c>
      <c r="H120" s="1">
        <v>8.0500000000000007</v>
      </c>
      <c r="I120" s="1">
        <v>7.39</v>
      </c>
      <c r="J120" s="1">
        <v>112.8</v>
      </c>
      <c r="K120" s="1">
        <v>0.65</v>
      </c>
      <c r="L120" t="s">
        <v>16</v>
      </c>
      <c r="M120" s="1" t="s">
        <v>16</v>
      </c>
      <c r="N120" s="1">
        <v>4.93</v>
      </c>
      <c r="O120" s="19" t="s">
        <v>16</v>
      </c>
    </row>
    <row r="121" spans="1:15" x14ac:dyDescent="0.2">
      <c r="A121" s="16">
        <v>44411</v>
      </c>
      <c r="B121" t="s">
        <v>22</v>
      </c>
      <c r="C121">
        <v>2</v>
      </c>
      <c r="D121" s="21">
        <v>0.68888888888888899</v>
      </c>
      <c r="E121" s="1">
        <v>0.9</v>
      </c>
      <c r="F121" s="1">
        <v>30.3</v>
      </c>
      <c r="G121" s="1">
        <v>28.04</v>
      </c>
      <c r="H121" s="1">
        <v>8</v>
      </c>
      <c r="I121" s="1">
        <v>6.9</v>
      </c>
      <c r="J121" s="1">
        <v>107.1</v>
      </c>
      <c r="K121" s="1">
        <v>0.9</v>
      </c>
      <c r="L121" t="s">
        <v>16</v>
      </c>
      <c r="M121" s="1" t="s">
        <v>16</v>
      </c>
      <c r="N121" s="1">
        <v>5.98</v>
      </c>
      <c r="O121" s="19" t="s">
        <v>16</v>
      </c>
    </row>
    <row r="122" spans="1:15" x14ac:dyDescent="0.2">
      <c r="A122" s="16">
        <v>44411</v>
      </c>
      <c r="B122" t="s">
        <v>22</v>
      </c>
      <c r="C122">
        <v>3</v>
      </c>
      <c r="D122" s="21">
        <v>0.69444444444444453</v>
      </c>
      <c r="E122" s="1">
        <v>0.9</v>
      </c>
      <c r="F122" s="1">
        <v>30.6</v>
      </c>
      <c r="G122" s="1">
        <v>27.3</v>
      </c>
      <c r="H122" s="1">
        <v>7.96</v>
      </c>
      <c r="I122" s="1">
        <v>6.8</v>
      </c>
      <c r="J122" s="1">
        <v>105.4</v>
      </c>
      <c r="K122" s="1">
        <v>0.9</v>
      </c>
      <c r="L122" t="s">
        <v>16</v>
      </c>
      <c r="M122" s="1" t="s">
        <v>16</v>
      </c>
      <c r="N122" s="1">
        <v>9.02</v>
      </c>
      <c r="O122" s="19" t="s">
        <v>16</v>
      </c>
    </row>
    <row r="123" spans="1:15" x14ac:dyDescent="0.2">
      <c r="A123" s="16">
        <v>44448</v>
      </c>
      <c r="B123" t="s">
        <v>15</v>
      </c>
      <c r="C123">
        <v>1</v>
      </c>
      <c r="D123" s="21">
        <v>0.36458333333333331</v>
      </c>
      <c r="E123" s="1">
        <v>0.8</v>
      </c>
      <c r="F123" s="1">
        <v>29.4</v>
      </c>
      <c r="G123" s="1">
        <v>13.08</v>
      </c>
      <c r="H123" s="1">
        <v>7.38</v>
      </c>
      <c r="I123" s="1">
        <v>3.79</v>
      </c>
      <c r="J123" s="1">
        <v>53.2</v>
      </c>
      <c r="K123" s="1">
        <v>0.8</v>
      </c>
      <c r="L123" t="s">
        <v>16</v>
      </c>
      <c r="M123" s="1">
        <v>1.38</v>
      </c>
      <c r="N123" s="1">
        <v>2.86</v>
      </c>
      <c r="O123" s="19" t="s">
        <v>16</v>
      </c>
    </row>
    <row r="124" spans="1:15" x14ac:dyDescent="0.2">
      <c r="A124" s="16">
        <v>44448</v>
      </c>
      <c r="B124" t="s">
        <v>15</v>
      </c>
      <c r="C124">
        <v>2</v>
      </c>
      <c r="D124" s="21">
        <v>0.39027777777777778</v>
      </c>
      <c r="E124" s="1">
        <v>0.5</v>
      </c>
      <c r="F124" s="1">
        <v>29.3</v>
      </c>
      <c r="G124" s="1">
        <v>13.43</v>
      </c>
      <c r="H124" s="1">
        <v>7.48</v>
      </c>
      <c r="I124" s="1">
        <v>4.43</v>
      </c>
      <c r="J124" s="1">
        <v>62.5</v>
      </c>
      <c r="K124" s="1">
        <v>0.5</v>
      </c>
      <c r="L124" t="s">
        <v>16</v>
      </c>
      <c r="M124" s="1">
        <v>2</v>
      </c>
      <c r="N124" s="1">
        <v>3.89</v>
      </c>
      <c r="O124" s="19" t="s">
        <v>16</v>
      </c>
    </row>
    <row r="125" spans="1:15" x14ac:dyDescent="0.2">
      <c r="A125" s="16">
        <v>44448</v>
      </c>
      <c r="B125" t="s">
        <v>15</v>
      </c>
      <c r="C125">
        <v>3</v>
      </c>
      <c r="D125" s="21">
        <v>0.33124999999999999</v>
      </c>
      <c r="E125" s="1">
        <v>0.75</v>
      </c>
      <c r="F125" s="1">
        <v>28.4</v>
      </c>
      <c r="G125" s="1">
        <v>5.49</v>
      </c>
      <c r="H125" s="1">
        <v>7.28</v>
      </c>
      <c r="I125" s="1">
        <v>3.31</v>
      </c>
      <c r="J125" s="1">
        <v>44</v>
      </c>
      <c r="K125" s="1">
        <v>0.75</v>
      </c>
      <c r="L125" t="s">
        <v>16</v>
      </c>
      <c r="M125" s="1">
        <v>2.5299999999999998</v>
      </c>
      <c r="N125" s="1">
        <v>5.09</v>
      </c>
      <c r="O125" s="19" t="s">
        <v>16</v>
      </c>
    </row>
    <row r="126" spans="1:15" x14ac:dyDescent="0.2">
      <c r="A126" s="16">
        <v>44448</v>
      </c>
      <c r="B126" t="s">
        <v>22</v>
      </c>
      <c r="C126">
        <v>1</v>
      </c>
      <c r="D126" s="21">
        <v>0.46736111111111112</v>
      </c>
      <c r="E126" s="1">
        <v>1.1000000000000001</v>
      </c>
      <c r="F126" s="1">
        <v>29.6</v>
      </c>
      <c r="G126" s="1">
        <v>28.39</v>
      </c>
      <c r="H126" s="1">
        <v>7.94</v>
      </c>
      <c r="I126" s="1">
        <v>5.99</v>
      </c>
      <c r="J126" s="1">
        <v>92.1</v>
      </c>
      <c r="K126" s="1">
        <v>1.1000000000000001</v>
      </c>
      <c r="L126" t="s">
        <v>16</v>
      </c>
      <c r="M126" s="1">
        <v>1.3</v>
      </c>
      <c r="N126" s="1">
        <v>3.33</v>
      </c>
      <c r="O126" s="19" t="s">
        <v>16</v>
      </c>
    </row>
    <row r="127" spans="1:15" x14ac:dyDescent="0.2">
      <c r="A127" s="16">
        <v>44448</v>
      </c>
      <c r="B127" t="s">
        <v>22</v>
      </c>
      <c r="C127">
        <v>2</v>
      </c>
      <c r="D127" s="21">
        <v>0.4291666666666667</v>
      </c>
      <c r="E127" s="1">
        <v>1.1000000000000001</v>
      </c>
      <c r="F127" s="1">
        <v>29.7</v>
      </c>
      <c r="G127" s="1">
        <v>27.58</v>
      </c>
      <c r="H127" s="1">
        <v>7.82</v>
      </c>
      <c r="I127" s="1">
        <v>5.62</v>
      </c>
      <c r="J127" s="1">
        <v>86.2</v>
      </c>
      <c r="K127" s="1">
        <v>0.8</v>
      </c>
      <c r="L127" t="s">
        <v>16</v>
      </c>
      <c r="M127" s="1">
        <v>1.45</v>
      </c>
      <c r="N127" s="1">
        <v>3.32</v>
      </c>
      <c r="O127" s="19" t="s">
        <v>16</v>
      </c>
    </row>
    <row r="128" spans="1:15" x14ac:dyDescent="0.2">
      <c r="A128" s="16">
        <v>44448</v>
      </c>
      <c r="B128" t="s">
        <v>22</v>
      </c>
      <c r="C128">
        <v>3</v>
      </c>
      <c r="D128" s="21">
        <v>0.45277777777777778</v>
      </c>
      <c r="E128" s="1">
        <v>0.9</v>
      </c>
      <c r="F128" s="1">
        <v>29.8</v>
      </c>
      <c r="G128" s="1">
        <v>29.4</v>
      </c>
      <c r="H128" s="1">
        <v>7.91</v>
      </c>
      <c r="I128" s="1">
        <v>5.72</v>
      </c>
      <c r="J128" s="1">
        <v>88.3</v>
      </c>
      <c r="K128" s="1">
        <v>0.9</v>
      </c>
      <c r="L128" t="s">
        <v>16</v>
      </c>
      <c r="M128" s="1">
        <v>2.5099999999999998</v>
      </c>
      <c r="N128" s="1">
        <v>2.71</v>
      </c>
      <c r="O128" s="19" t="s">
        <v>16</v>
      </c>
    </row>
    <row r="129" spans="1:15" x14ac:dyDescent="0.2">
      <c r="A129" s="16">
        <v>44474</v>
      </c>
      <c r="B129" t="s">
        <v>15</v>
      </c>
      <c r="C129">
        <v>1</v>
      </c>
      <c r="D129" s="21">
        <v>0.64583333333333337</v>
      </c>
      <c r="E129" s="1">
        <v>0.45</v>
      </c>
      <c r="F129" s="1">
        <v>29.1</v>
      </c>
      <c r="G129" s="1">
        <v>9.86</v>
      </c>
      <c r="H129" s="1">
        <v>7.66</v>
      </c>
      <c r="I129" s="1">
        <v>5.01</v>
      </c>
      <c r="J129" s="1">
        <v>68.599999999999994</v>
      </c>
      <c r="K129" s="1">
        <v>0.45</v>
      </c>
      <c r="L129" t="s">
        <v>16</v>
      </c>
      <c r="M129" s="1">
        <v>6.77</v>
      </c>
      <c r="N129" s="1">
        <v>5.9</v>
      </c>
      <c r="O129" s="19" t="s">
        <v>16</v>
      </c>
    </row>
    <row r="130" spans="1:15" x14ac:dyDescent="0.2">
      <c r="A130" s="16">
        <v>44474</v>
      </c>
      <c r="B130" t="s">
        <v>15</v>
      </c>
      <c r="C130">
        <v>2</v>
      </c>
      <c r="D130" s="21">
        <v>0.65138888888888891</v>
      </c>
      <c r="E130" s="1">
        <v>0.4</v>
      </c>
      <c r="F130" s="1">
        <v>29.6</v>
      </c>
      <c r="G130" s="1">
        <v>9.7200000000000006</v>
      </c>
      <c r="H130" s="1">
        <v>7.79</v>
      </c>
      <c r="I130" s="1">
        <v>6.13</v>
      </c>
      <c r="J130" s="1">
        <v>85</v>
      </c>
      <c r="K130" s="1">
        <v>0.4</v>
      </c>
      <c r="L130" t="s">
        <v>16</v>
      </c>
      <c r="M130" s="1">
        <v>4.16</v>
      </c>
      <c r="N130" s="1">
        <v>9.24</v>
      </c>
      <c r="O130" s="19" t="s">
        <v>16</v>
      </c>
    </row>
    <row r="131" spans="1:15" x14ac:dyDescent="0.2">
      <c r="A131" s="16">
        <v>44474</v>
      </c>
      <c r="B131" t="s">
        <v>15</v>
      </c>
      <c r="C131">
        <v>3</v>
      </c>
      <c r="D131" s="21">
        <v>0.63750000000000007</v>
      </c>
      <c r="E131" s="1">
        <v>0.6</v>
      </c>
      <c r="F131" s="1">
        <v>28.2</v>
      </c>
      <c r="G131" s="1">
        <v>3.54</v>
      </c>
      <c r="H131" s="1">
        <v>7.66</v>
      </c>
      <c r="I131" s="1">
        <v>4.92</v>
      </c>
      <c r="J131" s="1">
        <v>64.5</v>
      </c>
      <c r="K131" s="1">
        <v>0.6</v>
      </c>
      <c r="L131" t="s">
        <v>16</v>
      </c>
      <c r="M131" s="1">
        <v>1.18</v>
      </c>
      <c r="N131" s="1">
        <v>4.3899999999999997</v>
      </c>
      <c r="O131" s="19" t="s">
        <v>16</v>
      </c>
    </row>
    <row r="132" spans="1:15" x14ac:dyDescent="0.2">
      <c r="A132" s="16">
        <v>44474</v>
      </c>
      <c r="B132" t="s">
        <v>22</v>
      </c>
      <c r="C132">
        <v>1</v>
      </c>
      <c r="D132" s="21">
        <v>0.69374999999999998</v>
      </c>
      <c r="E132" s="1">
        <v>0.5</v>
      </c>
      <c r="F132" s="1">
        <v>30.4</v>
      </c>
      <c r="G132" s="1">
        <v>21.45</v>
      </c>
      <c r="H132" s="1">
        <v>8.07</v>
      </c>
      <c r="I132" s="1">
        <v>7.27</v>
      </c>
      <c r="J132" s="1">
        <v>109</v>
      </c>
      <c r="K132" s="1">
        <v>0.5</v>
      </c>
      <c r="L132" t="s">
        <v>16</v>
      </c>
      <c r="M132" s="1">
        <v>6.56</v>
      </c>
      <c r="N132" s="1">
        <v>5.71</v>
      </c>
      <c r="O132" s="19" t="s">
        <v>16</v>
      </c>
    </row>
    <row r="133" spans="1:15" x14ac:dyDescent="0.2">
      <c r="A133" s="16">
        <v>44474</v>
      </c>
      <c r="B133" t="s">
        <v>22</v>
      </c>
      <c r="C133">
        <v>2</v>
      </c>
      <c r="D133" s="21">
        <v>0.67847222222222225</v>
      </c>
      <c r="E133" s="1">
        <v>0.3</v>
      </c>
      <c r="F133" s="1">
        <v>30.7</v>
      </c>
      <c r="G133" s="1">
        <v>17.920000000000002</v>
      </c>
      <c r="H133" s="1">
        <v>8.1199999999999992</v>
      </c>
      <c r="I133" s="1">
        <v>9.07</v>
      </c>
      <c r="J133" s="1">
        <v>134.19999999999999</v>
      </c>
      <c r="K133" s="1">
        <v>0.3</v>
      </c>
      <c r="L133" t="s">
        <v>16</v>
      </c>
      <c r="M133" s="1">
        <v>2.75</v>
      </c>
      <c r="N133" s="1">
        <v>6</v>
      </c>
      <c r="O133" s="19" t="s">
        <v>16</v>
      </c>
    </row>
    <row r="134" spans="1:15" x14ac:dyDescent="0.2">
      <c r="A134" s="16">
        <v>44474</v>
      </c>
      <c r="B134" t="s">
        <v>22</v>
      </c>
      <c r="C134">
        <v>3</v>
      </c>
      <c r="D134" s="21">
        <v>0.68333333333333324</v>
      </c>
      <c r="E134" s="1">
        <v>0.5</v>
      </c>
      <c r="F134" s="1">
        <v>30.8</v>
      </c>
      <c r="G134" s="1">
        <v>16.25</v>
      </c>
      <c r="H134" s="1">
        <v>8.01</v>
      </c>
      <c r="I134" s="1">
        <v>7.95</v>
      </c>
      <c r="J134" s="1">
        <v>117.4</v>
      </c>
      <c r="K134" s="1">
        <v>0.5</v>
      </c>
      <c r="L134" t="s">
        <v>16</v>
      </c>
      <c r="M134" s="1">
        <v>13.84</v>
      </c>
      <c r="N134" s="1">
        <v>5.9</v>
      </c>
      <c r="O134" s="19" t="s">
        <v>16</v>
      </c>
    </row>
    <row r="135" spans="1:15" x14ac:dyDescent="0.2">
      <c r="A135" s="16">
        <v>44503</v>
      </c>
      <c r="B135" t="s">
        <v>15</v>
      </c>
      <c r="C135">
        <v>1</v>
      </c>
      <c r="D135" s="21">
        <v>0.65347222222222223</v>
      </c>
      <c r="E135" s="1">
        <v>0.75</v>
      </c>
      <c r="F135" s="1">
        <v>26.3</v>
      </c>
      <c r="G135" s="1">
        <v>14.62</v>
      </c>
      <c r="H135" s="1">
        <v>7.68</v>
      </c>
      <c r="I135" s="1">
        <v>5.0199999999999996</v>
      </c>
      <c r="J135" s="1">
        <v>67.400000000000006</v>
      </c>
      <c r="K135" s="1">
        <v>0.75</v>
      </c>
      <c r="L135" t="s">
        <v>16</v>
      </c>
      <c r="M135" s="1">
        <v>9.1</v>
      </c>
      <c r="N135" s="1">
        <v>3.4</v>
      </c>
      <c r="O135" s="19" t="s">
        <v>16</v>
      </c>
    </row>
    <row r="136" spans="1:15" x14ac:dyDescent="0.2">
      <c r="A136" s="16">
        <v>44503</v>
      </c>
      <c r="B136" t="s">
        <v>15</v>
      </c>
      <c r="C136">
        <v>2</v>
      </c>
      <c r="D136" s="21">
        <v>0.65833333333333333</v>
      </c>
      <c r="E136" s="1">
        <v>0.5</v>
      </c>
      <c r="F136" s="1">
        <v>26.7</v>
      </c>
      <c r="G136" s="1">
        <v>15.33</v>
      </c>
      <c r="H136" s="1">
        <v>7.67</v>
      </c>
      <c r="I136" s="1">
        <v>5.09</v>
      </c>
      <c r="J136" s="1">
        <v>70.099999999999994</v>
      </c>
      <c r="K136" s="1">
        <v>0.5</v>
      </c>
      <c r="L136" t="s">
        <v>16</v>
      </c>
      <c r="M136" s="1">
        <v>20.56</v>
      </c>
      <c r="N136" s="1">
        <v>3.42</v>
      </c>
      <c r="O136" s="19" t="s">
        <v>16</v>
      </c>
    </row>
    <row r="137" spans="1:15" x14ac:dyDescent="0.2">
      <c r="A137" s="16">
        <v>44503</v>
      </c>
      <c r="B137" t="s">
        <v>15</v>
      </c>
      <c r="C137">
        <v>3</v>
      </c>
      <c r="D137" s="21">
        <v>0.64513888888888882</v>
      </c>
      <c r="E137" s="1">
        <v>0.5</v>
      </c>
      <c r="F137" s="1">
        <v>25.8</v>
      </c>
      <c r="G137" s="1">
        <v>10.16</v>
      </c>
      <c r="H137" s="1">
        <v>7.75</v>
      </c>
      <c r="I137" s="1">
        <v>4.43</v>
      </c>
      <c r="J137" s="1">
        <v>57.6</v>
      </c>
      <c r="K137" s="1">
        <v>0.5</v>
      </c>
      <c r="L137" t="s">
        <v>16</v>
      </c>
      <c r="M137" s="1">
        <v>4.25</v>
      </c>
      <c r="N137" s="1">
        <v>3.41</v>
      </c>
      <c r="O137" s="19" t="s">
        <v>16</v>
      </c>
    </row>
    <row r="138" spans="1:15" x14ac:dyDescent="0.2">
      <c r="A138" s="16">
        <v>44503</v>
      </c>
      <c r="B138" t="s">
        <v>22</v>
      </c>
      <c r="C138">
        <v>1</v>
      </c>
      <c r="D138" s="21">
        <v>0.69791666666666663</v>
      </c>
      <c r="E138" s="1">
        <v>0.5</v>
      </c>
      <c r="F138" s="1">
        <v>26.8</v>
      </c>
      <c r="G138" s="1">
        <v>24.13</v>
      </c>
      <c r="H138" s="1">
        <v>7.95</v>
      </c>
      <c r="I138" s="1">
        <v>7.76</v>
      </c>
      <c r="J138" s="1">
        <v>111.3</v>
      </c>
      <c r="K138" s="1">
        <v>0.5</v>
      </c>
      <c r="L138" t="s">
        <v>16</v>
      </c>
      <c r="M138" s="1">
        <v>27.63</v>
      </c>
      <c r="N138" s="1">
        <v>4.87</v>
      </c>
      <c r="O138" s="19" t="s">
        <v>16</v>
      </c>
    </row>
    <row r="139" spans="1:15" x14ac:dyDescent="0.2">
      <c r="A139" s="16">
        <v>44503</v>
      </c>
      <c r="B139" t="s">
        <v>22</v>
      </c>
      <c r="C139">
        <v>2</v>
      </c>
      <c r="D139" s="21">
        <v>0.68541666666666667</v>
      </c>
      <c r="E139" s="1">
        <v>0.7</v>
      </c>
      <c r="F139" s="1">
        <v>26.9</v>
      </c>
      <c r="G139" s="1">
        <v>22.85</v>
      </c>
      <c r="H139" s="1">
        <v>7.8</v>
      </c>
      <c r="I139" s="1">
        <v>6.34</v>
      </c>
      <c r="J139" s="1">
        <v>90.1</v>
      </c>
      <c r="K139" s="1">
        <v>0.7</v>
      </c>
      <c r="L139" t="s">
        <v>16</v>
      </c>
      <c r="M139" s="1">
        <v>19.350000000000001</v>
      </c>
      <c r="N139" s="1">
        <v>5.41</v>
      </c>
      <c r="O139" s="19" t="s">
        <v>16</v>
      </c>
    </row>
    <row r="140" spans="1:15" x14ac:dyDescent="0.2">
      <c r="A140" s="16">
        <v>44503</v>
      </c>
      <c r="B140" t="s">
        <v>22</v>
      </c>
      <c r="C140">
        <v>3</v>
      </c>
      <c r="D140" s="21">
        <v>0.69027777777777777</v>
      </c>
      <c r="E140" s="1">
        <v>0.6</v>
      </c>
      <c r="F140" s="1">
        <v>27.1</v>
      </c>
      <c r="G140" s="1">
        <v>21.17</v>
      </c>
      <c r="H140" s="1">
        <v>7.85</v>
      </c>
      <c r="I140" s="1">
        <v>7.12</v>
      </c>
      <c r="J140" s="1">
        <v>100.8</v>
      </c>
      <c r="K140" s="1">
        <v>0.6</v>
      </c>
      <c r="L140" t="s">
        <v>16</v>
      </c>
      <c r="M140" s="1">
        <v>19.32</v>
      </c>
      <c r="N140" s="1">
        <v>6.41</v>
      </c>
      <c r="O140" s="19" t="s">
        <v>16</v>
      </c>
    </row>
    <row r="141" spans="1:15" x14ac:dyDescent="0.2">
      <c r="A141" s="16">
        <v>44537</v>
      </c>
      <c r="B141" t="s">
        <v>15</v>
      </c>
      <c r="C141">
        <v>1</v>
      </c>
      <c r="D141" s="21">
        <v>0.64513888888888882</v>
      </c>
      <c r="E141" s="1">
        <v>0.9</v>
      </c>
      <c r="F141" s="1">
        <v>23.9</v>
      </c>
      <c r="G141" s="1">
        <v>20.29</v>
      </c>
      <c r="H141" s="1">
        <v>7.74</v>
      </c>
      <c r="I141" s="1">
        <v>5.63</v>
      </c>
      <c r="J141" s="1">
        <v>74.900000000000006</v>
      </c>
      <c r="K141" s="1">
        <v>0.9</v>
      </c>
      <c r="L141" t="s">
        <v>16</v>
      </c>
      <c r="M141" s="1">
        <v>6.58</v>
      </c>
      <c r="N141" s="1">
        <v>2.15</v>
      </c>
      <c r="O141" s="19" t="s">
        <v>16</v>
      </c>
    </row>
    <row r="142" spans="1:15" x14ac:dyDescent="0.2">
      <c r="A142" s="16">
        <v>44537</v>
      </c>
      <c r="B142" t="s">
        <v>15</v>
      </c>
      <c r="C142">
        <v>2</v>
      </c>
      <c r="D142" s="21">
        <v>0.64930555555555558</v>
      </c>
      <c r="E142" s="1">
        <v>0.5</v>
      </c>
      <c r="F142" s="1">
        <v>24.2</v>
      </c>
      <c r="G142" s="1">
        <v>19.920000000000002</v>
      </c>
      <c r="H142" s="1">
        <v>7.78</v>
      </c>
      <c r="I142" s="1">
        <v>6.06</v>
      </c>
      <c r="J142" s="1">
        <v>80.900000000000006</v>
      </c>
      <c r="K142" s="1">
        <v>0.5</v>
      </c>
      <c r="L142" t="s">
        <v>16</v>
      </c>
      <c r="M142" s="1">
        <v>6.18</v>
      </c>
      <c r="N142" s="1">
        <v>3.21</v>
      </c>
      <c r="O142" s="19" t="s">
        <v>16</v>
      </c>
    </row>
    <row r="143" spans="1:15" x14ac:dyDescent="0.2">
      <c r="A143" s="16">
        <v>44537</v>
      </c>
      <c r="B143" t="s">
        <v>15</v>
      </c>
      <c r="C143">
        <v>3</v>
      </c>
      <c r="D143" s="21">
        <v>0.63750000000000007</v>
      </c>
      <c r="E143" s="1">
        <v>0.95</v>
      </c>
      <c r="F143" s="1">
        <v>23.2</v>
      </c>
      <c r="G143" s="1">
        <v>13.27</v>
      </c>
      <c r="H143" s="1">
        <v>7.58</v>
      </c>
      <c r="I143" s="1">
        <v>5.52</v>
      </c>
      <c r="J143" s="1">
        <v>69.8</v>
      </c>
      <c r="K143" s="1">
        <v>0.95</v>
      </c>
      <c r="L143" t="s">
        <v>16</v>
      </c>
      <c r="M143" s="1">
        <v>3.11</v>
      </c>
      <c r="N143" s="1">
        <v>2.4</v>
      </c>
      <c r="O143" s="19" t="s">
        <v>16</v>
      </c>
    </row>
    <row r="144" spans="1:15" x14ac:dyDescent="0.2">
      <c r="A144" s="16">
        <v>44537</v>
      </c>
      <c r="B144" t="s">
        <v>22</v>
      </c>
      <c r="C144">
        <v>1</v>
      </c>
      <c r="D144" s="21">
        <v>0.68611111111111101</v>
      </c>
      <c r="E144" s="1">
        <v>0.65</v>
      </c>
      <c r="F144" s="1">
        <v>24.2</v>
      </c>
      <c r="G144" s="1">
        <v>25.41</v>
      </c>
      <c r="H144" s="1">
        <v>7.77</v>
      </c>
      <c r="I144" s="1">
        <v>5.55</v>
      </c>
      <c r="J144" s="1">
        <v>76</v>
      </c>
      <c r="K144" s="1">
        <v>0.65</v>
      </c>
      <c r="L144" t="s">
        <v>16</v>
      </c>
      <c r="M144" s="1">
        <v>3.15</v>
      </c>
      <c r="N144" s="1">
        <v>3.44</v>
      </c>
      <c r="O144" s="19" t="s">
        <v>16</v>
      </c>
    </row>
    <row r="145" spans="1:15" x14ac:dyDescent="0.2">
      <c r="A145" s="16">
        <v>44537</v>
      </c>
      <c r="B145" t="s">
        <v>22</v>
      </c>
      <c r="C145">
        <v>2</v>
      </c>
      <c r="D145" s="21">
        <v>0.67361111111111116</v>
      </c>
      <c r="E145" s="1">
        <v>0.9</v>
      </c>
      <c r="F145" s="1">
        <v>24.6</v>
      </c>
      <c r="G145" s="1">
        <v>24.18</v>
      </c>
      <c r="H145" s="1">
        <v>7.7</v>
      </c>
      <c r="I145" s="1">
        <v>4.84</v>
      </c>
      <c r="J145" s="1">
        <v>67.2</v>
      </c>
      <c r="K145" s="1">
        <v>0.9</v>
      </c>
      <c r="L145" t="s">
        <v>16</v>
      </c>
      <c r="M145" s="1">
        <v>3.43</v>
      </c>
      <c r="N145" s="1">
        <v>2.95</v>
      </c>
      <c r="O145" s="19" t="s">
        <v>16</v>
      </c>
    </row>
    <row r="146" spans="1:15" x14ac:dyDescent="0.2">
      <c r="A146" s="16">
        <v>44537</v>
      </c>
      <c r="B146" t="s">
        <v>22</v>
      </c>
      <c r="C146">
        <v>3</v>
      </c>
      <c r="D146" s="21">
        <v>0.6777777777777777</v>
      </c>
      <c r="E146" s="1">
        <v>0.65</v>
      </c>
      <c r="F146" s="1">
        <v>24.5</v>
      </c>
      <c r="G146" s="1">
        <v>26.72</v>
      </c>
      <c r="H146" s="1">
        <v>7.87</v>
      </c>
      <c r="I146" s="1">
        <v>5.91</v>
      </c>
      <c r="J146" s="1">
        <v>81.8</v>
      </c>
      <c r="K146" s="1">
        <v>0.65</v>
      </c>
      <c r="L146" t="s">
        <v>16</v>
      </c>
      <c r="M146" s="1">
        <v>7.72</v>
      </c>
      <c r="N146" s="1">
        <v>4.0999999999999996</v>
      </c>
      <c r="O146" s="19" t="s">
        <v>16</v>
      </c>
    </row>
    <row r="147" spans="1:15" x14ac:dyDescent="0.2">
      <c r="A147" s="16">
        <v>44572</v>
      </c>
      <c r="B147" t="s">
        <v>15</v>
      </c>
      <c r="C147">
        <v>1</v>
      </c>
      <c r="D147" s="21">
        <v>0.73263888888888884</v>
      </c>
      <c r="E147" s="1">
        <v>1.2</v>
      </c>
      <c r="F147" s="1">
        <v>22.9</v>
      </c>
      <c r="G147" s="1">
        <v>26.91</v>
      </c>
      <c r="H147" s="1">
        <v>7.95</v>
      </c>
      <c r="I147" s="1">
        <v>6.36</v>
      </c>
      <c r="J147" s="1">
        <v>86.7</v>
      </c>
      <c r="K147" s="1">
        <v>1.2</v>
      </c>
      <c r="L147" t="s">
        <v>16</v>
      </c>
      <c r="M147" s="1">
        <v>3.41</v>
      </c>
      <c r="N147" s="1">
        <v>2.68</v>
      </c>
      <c r="O147" s="19" t="s">
        <v>16</v>
      </c>
    </row>
    <row r="148" spans="1:15" x14ac:dyDescent="0.2">
      <c r="A148" s="16">
        <v>44572</v>
      </c>
      <c r="B148" t="s">
        <v>15</v>
      </c>
      <c r="C148">
        <v>2</v>
      </c>
      <c r="D148" s="21">
        <v>0.71527777777777779</v>
      </c>
      <c r="E148" s="1">
        <v>0.85</v>
      </c>
      <c r="F148" s="1">
        <v>22.8</v>
      </c>
      <c r="G148" s="1">
        <v>23.02</v>
      </c>
      <c r="H148" s="1">
        <v>7.99</v>
      </c>
      <c r="I148" s="1">
        <v>7.16</v>
      </c>
      <c r="J148" s="1">
        <v>94.8</v>
      </c>
      <c r="K148" s="1">
        <v>0.85</v>
      </c>
      <c r="L148" t="s">
        <v>16</v>
      </c>
      <c r="M148" s="1">
        <v>6.87</v>
      </c>
      <c r="N148" s="1">
        <v>4.7300000000000004</v>
      </c>
      <c r="O148" s="19" t="s">
        <v>16</v>
      </c>
    </row>
    <row r="149" spans="1:15" x14ac:dyDescent="0.2">
      <c r="A149" s="16">
        <v>44572</v>
      </c>
      <c r="B149" t="s">
        <v>15</v>
      </c>
      <c r="C149">
        <v>3</v>
      </c>
      <c r="D149" s="21">
        <v>0.73958333333333337</v>
      </c>
      <c r="E149" s="1">
        <v>0.85</v>
      </c>
      <c r="F149" s="1">
        <v>23</v>
      </c>
      <c r="G149" s="1">
        <v>20.98</v>
      </c>
      <c r="H149" s="1">
        <v>7.88</v>
      </c>
      <c r="I149" s="1">
        <v>6.52</v>
      </c>
      <c r="J149" s="1">
        <v>85.5</v>
      </c>
      <c r="K149" s="1">
        <v>0.85</v>
      </c>
      <c r="L149" t="s">
        <v>16</v>
      </c>
      <c r="M149" s="1">
        <v>2.8</v>
      </c>
      <c r="N149" s="1">
        <v>7.5</v>
      </c>
      <c r="O149" s="19" t="s">
        <v>16</v>
      </c>
    </row>
    <row r="150" spans="1:15" x14ac:dyDescent="0.2">
      <c r="A150" s="16">
        <v>44573</v>
      </c>
      <c r="B150" t="s">
        <v>22</v>
      </c>
      <c r="C150">
        <v>1</v>
      </c>
      <c r="D150" s="21">
        <v>0.53472222222222221</v>
      </c>
      <c r="E150" s="1">
        <v>0.75</v>
      </c>
      <c r="F150" s="1">
        <v>22</v>
      </c>
      <c r="G150" s="1">
        <v>25.38</v>
      </c>
      <c r="H150" s="1">
        <v>7.8</v>
      </c>
      <c r="I150" s="1">
        <v>6.63</v>
      </c>
      <c r="J150" s="1">
        <v>88.1</v>
      </c>
      <c r="K150" s="1">
        <v>0.75</v>
      </c>
      <c r="L150" t="s">
        <v>16</v>
      </c>
      <c r="M150" s="1">
        <v>3.59</v>
      </c>
      <c r="N150" s="1">
        <v>5.63</v>
      </c>
      <c r="O150" s="19" t="s">
        <v>16</v>
      </c>
    </row>
    <row r="151" spans="1:15" x14ac:dyDescent="0.2">
      <c r="A151" s="16">
        <v>44573</v>
      </c>
      <c r="B151" t="s">
        <v>22</v>
      </c>
      <c r="C151">
        <v>2</v>
      </c>
      <c r="D151" s="21">
        <v>0.5229166666666667</v>
      </c>
      <c r="E151" s="1">
        <v>0.8</v>
      </c>
      <c r="F151" s="1">
        <v>21.9</v>
      </c>
      <c r="G151" s="1">
        <v>24.82</v>
      </c>
      <c r="H151" s="1">
        <v>7.77</v>
      </c>
      <c r="I151" s="1">
        <v>6.74</v>
      </c>
      <c r="J151" s="1">
        <v>88.8</v>
      </c>
      <c r="K151" s="1">
        <v>0.8</v>
      </c>
      <c r="L151" t="s">
        <v>16</v>
      </c>
      <c r="M151" s="1">
        <v>2.74</v>
      </c>
      <c r="N151" s="1">
        <v>4.3899999999999997</v>
      </c>
      <c r="O151" s="19" t="s">
        <v>16</v>
      </c>
    </row>
    <row r="152" spans="1:15" x14ac:dyDescent="0.2">
      <c r="A152" s="16">
        <v>44573</v>
      </c>
      <c r="B152" t="s">
        <v>22</v>
      </c>
      <c r="C152">
        <v>3</v>
      </c>
      <c r="D152" s="21">
        <v>0.52777777777777779</v>
      </c>
      <c r="E152" s="1">
        <v>0.8</v>
      </c>
      <c r="F152" s="1">
        <v>22.1</v>
      </c>
      <c r="G152" s="1">
        <v>25.01</v>
      </c>
      <c r="H152" s="1">
        <v>7.78</v>
      </c>
      <c r="I152" s="1">
        <v>6.96</v>
      </c>
      <c r="J152" s="1">
        <v>92</v>
      </c>
      <c r="K152" s="1">
        <v>0.8</v>
      </c>
      <c r="L152" t="s">
        <v>16</v>
      </c>
      <c r="M152" s="1">
        <v>2.89</v>
      </c>
      <c r="N152" s="1">
        <v>3.73</v>
      </c>
      <c r="O152" s="19" t="s">
        <v>16</v>
      </c>
    </row>
    <row r="153" spans="1:15" x14ac:dyDescent="0.2">
      <c r="A153" s="16">
        <v>44601</v>
      </c>
      <c r="B153" t="s">
        <v>15</v>
      </c>
      <c r="C153">
        <v>1</v>
      </c>
      <c r="D153" s="21">
        <v>0.68402777777777779</v>
      </c>
      <c r="E153" s="1">
        <v>0.9</v>
      </c>
      <c r="F153" s="1">
        <v>22.5</v>
      </c>
      <c r="G153" s="1">
        <v>27.69</v>
      </c>
      <c r="H153" s="1">
        <v>8.0500000000000007</v>
      </c>
      <c r="I153" s="1">
        <v>7.22</v>
      </c>
      <c r="J153" s="1">
        <v>97.5</v>
      </c>
      <c r="K153" s="1">
        <v>0.9</v>
      </c>
      <c r="L153" t="s">
        <v>16</v>
      </c>
      <c r="M153" s="1">
        <v>1.93</v>
      </c>
      <c r="N153" s="1">
        <v>3.74</v>
      </c>
      <c r="O153" s="19" t="s">
        <v>16</v>
      </c>
    </row>
    <row r="154" spans="1:15" x14ac:dyDescent="0.2">
      <c r="A154" s="16">
        <v>44601</v>
      </c>
      <c r="B154" t="s">
        <v>15</v>
      </c>
      <c r="C154">
        <v>2</v>
      </c>
      <c r="D154" s="21">
        <v>0.69027777777777777</v>
      </c>
      <c r="E154" s="1">
        <v>0.75</v>
      </c>
      <c r="F154" s="1">
        <v>21.9</v>
      </c>
      <c r="G154" s="1">
        <v>25.39</v>
      </c>
      <c r="H154" s="1">
        <v>7.99</v>
      </c>
      <c r="I154" s="1">
        <v>6.98</v>
      </c>
      <c r="J154" s="1">
        <v>92.3</v>
      </c>
      <c r="K154" s="1">
        <v>0.75</v>
      </c>
      <c r="L154" t="s">
        <v>16</v>
      </c>
      <c r="M154" s="1">
        <v>1.96</v>
      </c>
      <c r="N154" s="1">
        <v>1.1599999999999999</v>
      </c>
      <c r="O154" s="19" t="s">
        <v>16</v>
      </c>
    </row>
    <row r="155" spans="1:15" x14ac:dyDescent="0.2">
      <c r="A155" s="16">
        <v>44601</v>
      </c>
      <c r="B155" t="s">
        <v>15</v>
      </c>
      <c r="C155">
        <v>3</v>
      </c>
      <c r="D155" s="21">
        <v>0.67569444444444438</v>
      </c>
      <c r="E155" s="1">
        <v>0.75</v>
      </c>
      <c r="F155" s="1">
        <v>21.6</v>
      </c>
      <c r="G155" s="1">
        <v>20.69</v>
      </c>
      <c r="H155" s="1">
        <v>7.9</v>
      </c>
      <c r="I155" s="1">
        <v>6.92</v>
      </c>
      <c r="J155" s="1">
        <v>88.4</v>
      </c>
      <c r="K155" s="1">
        <v>0.75</v>
      </c>
      <c r="L155" t="s">
        <v>16</v>
      </c>
      <c r="M155" s="1">
        <v>0.96</v>
      </c>
      <c r="N155" s="1">
        <v>2.12</v>
      </c>
      <c r="O155" s="19" t="s">
        <v>16</v>
      </c>
    </row>
    <row r="156" spans="1:15" x14ac:dyDescent="0.2">
      <c r="A156" s="16">
        <v>44601</v>
      </c>
      <c r="B156" t="s">
        <v>22</v>
      </c>
      <c r="C156">
        <v>1</v>
      </c>
      <c r="D156" s="21">
        <v>0.73611111111111116</v>
      </c>
      <c r="E156" s="1">
        <v>0.75</v>
      </c>
      <c r="F156" s="1">
        <v>22.1</v>
      </c>
      <c r="G156" s="1">
        <v>25.97</v>
      </c>
      <c r="H156" s="1">
        <v>7.94</v>
      </c>
      <c r="I156" s="1">
        <v>7.25</v>
      </c>
      <c r="J156" s="1">
        <v>96.8</v>
      </c>
      <c r="K156" s="1">
        <v>0.75</v>
      </c>
      <c r="L156" t="s">
        <v>16</v>
      </c>
      <c r="M156" s="1">
        <v>3.38</v>
      </c>
      <c r="N156" s="1">
        <v>4.1100000000000003</v>
      </c>
      <c r="O156" s="19" t="s">
        <v>16</v>
      </c>
    </row>
    <row r="157" spans="1:15" x14ac:dyDescent="0.2">
      <c r="A157" s="16">
        <v>44601</v>
      </c>
      <c r="B157" t="s">
        <v>22</v>
      </c>
      <c r="C157">
        <v>2</v>
      </c>
      <c r="D157" s="21">
        <v>0.71944444444444444</v>
      </c>
      <c r="E157" s="1">
        <v>0.6</v>
      </c>
      <c r="F157" s="1">
        <v>22.3</v>
      </c>
      <c r="G157" s="1">
        <v>27.56</v>
      </c>
      <c r="H157" s="1">
        <v>7.98</v>
      </c>
      <c r="I157" s="1">
        <v>6.9</v>
      </c>
      <c r="J157" s="1">
        <v>93.3</v>
      </c>
      <c r="K157" s="1">
        <v>0.6</v>
      </c>
      <c r="L157" t="s">
        <v>16</v>
      </c>
      <c r="M157" s="1">
        <v>1.5</v>
      </c>
      <c r="N157" s="1">
        <v>2.86</v>
      </c>
      <c r="O157" s="19" t="s">
        <v>16</v>
      </c>
    </row>
    <row r="158" spans="1:15" x14ac:dyDescent="0.2">
      <c r="A158" s="16">
        <v>44601</v>
      </c>
      <c r="B158" t="s">
        <v>22</v>
      </c>
      <c r="C158">
        <v>3</v>
      </c>
      <c r="D158" s="21">
        <v>0.7270833333333333</v>
      </c>
      <c r="E158" s="1">
        <v>0.9</v>
      </c>
      <c r="F158" s="1">
        <v>21.7</v>
      </c>
      <c r="G158" s="1">
        <v>25.62</v>
      </c>
      <c r="H158" s="1">
        <v>8</v>
      </c>
      <c r="I158" s="1">
        <v>7.73</v>
      </c>
      <c r="J158" s="1">
        <v>100.4</v>
      </c>
      <c r="K158" s="1">
        <v>0.9</v>
      </c>
      <c r="L158" t="s">
        <v>16</v>
      </c>
      <c r="M158" s="1">
        <v>0.82</v>
      </c>
      <c r="N158" s="1">
        <v>2.73</v>
      </c>
      <c r="O158" s="19" t="s">
        <v>16</v>
      </c>
    </row>
    <row r="159" spans="1:15" x14ac:dyDescent="0.2">
      <c r="A159" s="16">
        <v>44629</v>
      </c>
      <c r="B159" t="s">
        <v>15</v>
      </c>
      <c r="C159">
        <v>1</v>
      </c>
      <c r="D159" s="21">
        <v>0.70763888888888893</v>
      </c>
      <c r="E159" s="1">
        <v>0.5</v>
      </c>
      <c r="F159" s="1">
        <v>26.9</v>
      </c>
      <c r="G159" s="1">
        <v>21.49</v>
      </c>
      <c r="H159" s="1">
        <v>7.99</v>
      </c>
      <c r="I159" s="1">
        <v>6.93</v>
      </c>
      <c r="J159" s="1">
        <v>98.2</v>
      </c>
      <c r="K159" s="1">
        <v>0.5</v>
      </c>
      <c r="L159" t="s">
        <v>16</v>
      </c>
      <c r="M159" s="1">
        <v>7.72</v>
      </c>
      <c r="N159" s="1">
        <v>7.44</v>
      </c>
      <c r="O159" s="19" t="s">
        <v>16</v>
      </c>
    </row>
    <row r="160" spans="1:15" x14ac:dyDescent="0.2">
      <c r="A160" s="16">
        <v>44629</v>
      </c>
      <c r="B160" t="s">
        <v>15</v>
      </c>
      <c r="C160">
        <v>2</v>
      </c>
      <c r="D160" s="21">
        <v>0.59513888888888888</v>
      </c>
      <c r="E160" s="1">
        <v>0.5</v>
      </c>
      <c r="F160" s="1">
        <v>26.8</v>
      </c>
      <c r="G160" s="1">
        <v>22.33</v>
      </c>
      <c r="H160" s="1">
        <v>8.02</v>
      </c>
      <c r="I160" s="1">
        <v>7.48</v>
      </c>
      <c r="J160" s="1">
        <v>106.2</v>
      </c>
      <c r="K160" s="1">
        <v>0.5</v>
      </c>
      <c r="L160" t="s">
        <v>16</v>
      </c>
      <c r="M160" s="1">
        <v>4.5199999999999996</v>
      </c>
      <c r="N160" s="1">
        <v>8.61</v>
      </c>
      <c r="O160" s="19" t="s">
        <v>16</v>
      </c>
    </row>
    <row r="161" spans="1:15" x14ac:dyDescent="0.2">
      <c r="A161" s="16">
        <v>44629</v>
      </c>
      <c r="B161" t="s">
        <v>15</v>
      </c>
      <c r="C161">
        <v>3</v>
      </c>
      <c r="D161" s="21">
        <v>0.72916666666666663</v>
      </c>
      <c r="E161" s="1">
        <v>0.7</v>
      </c>
      <c r="F161" s="1">
        <v>26.3</v>
      </c>
      <c r="G161" s="1">
        <v>16.37</v>
      </c>
      <c r="H161" s="1">
        <v>7.91</v>
      </c>
      <c r="I161" s="1">
        <v>6.95</v>
      </c>
      <c r="J161" s="1">
        <v>94.3</v>
      </c>
      <c r="K161" s="1">
        <v>0.7</v>
      </c>
      <c r="L161" t="s">
        <v>16</v>
      </c>
      <c r="M161" s="1">
        <v>1.84</v>
      </c>
      <c r="N161" s="1">
        <v>4.1399999999999997</v>
      </c>
      <c r="O161" s="19" t="s">
        <v>16</v>
      </c>
    </row>
    <row r="162" spans="1:15" x14ac:dyDescent="0.2">
      <c r="A162" s="16">
        <v>44629</v>
      </c>
      <c r="B162" t="s">
        <v>22</v>
      </c>
      <c r="C162">
        <v>1</v>
      </c>
      <c r="D162" s="21">
        <v>0.65763888888888888</v>
      </c>
      <c r="E162" s="1">
        <v>0.7</v>
      </c>
      <c r="F162" s="1">
        <v>27.6</v>
      </c>
      <c r="G162" s="1">
        <v>34.229999999999997</v>
      </c>
      <c r="H162" s="1">
        <v>8.18</v>
      </c>
      <c r="I162" s="1">
        <v>8.91</v>
      </c>
      <c r="J162" s="1">
        <v>137.19999999999999</v>
      </c>
      <c r="K162" s="1">
        <v>0.7</v>
      </c>
      <c r="L162" t="s">
        <v>16</v>
      </c>
      <c r="M162" s="1">
        <v>7.92</v>
      </c>
      <c r="N162" s="1">
        <v>5.86</v>
      </c>
      <c r="O162" s="19" t="s">
        <v>16</v>
      </c>
    </row>
    <row r="163" spans="1:15" x14ac:dyDescent="0.2">
      <c r="A163" s="16">
        <v>44629</v>
      </c>
      <c r="B163" t="s">
        <v>22</v>
      </c>
      <c r="C163">
        <v>2</v>
      </c>
      <c r="D163" s="21">
        <v>0.62708333333333333</v>
      </c>
      <c r="E163" s="1">
        <v>0.7</v>
      </c>
      <c r="F163" s="1">
        <v>27.8</v>
      </c>
      <c r="G163" s="1">
        <v>32.270000000000003</v>
      </c>
      <c r="H163" s="1">
        <v>8.1300000000000008</v>
      </c>
      <c r="I163" s="1">
        <v>9.64</v>
      </c>
      <c r="J163" s="1">
        <v>146.69999999999999</v>
      </c>
      <c r="K163" s="1">
        <v>0.7</v>
      </c>
      <c r="L163" t="s">
        <v>16</v>
      </c>
      <c r="M163" s="1">
        <v>2.0499999999999998</v>
      </c>
      <c r="N163" s="1">
        <v>6</v>
      </c>
      <c r="O163" s="19" t="s">
        <v>16</v>
      </c>
    </row>
    <row r="164" spans="1:15" x14ac:dyDescent="0.2">
      <c r="A164" s="16">
        <v>44629</v>
      </c>
      <c r="B164" t="s">
        <v>22</v>
      </c>
      <c r="C164">
        <v>3</v>
      </c>
      <c r="D164" s="21">
        <v>0.64444444444444449</v>
      </c>
      <c r="E164" s="1">
        <v>0.7</v>
      </c>
      <c r="F164" s="1">
        <v>27.5</v>
      </c>
      <c r="G164" s="1">
        <v>35.25</v>
      </c>
      <c r="H164" s="1">
        <v>8.18</v>
      </c>
      <c r="I164" s="1">
        <v>8.8000000000000007</v>
      </c>
      <c r="J164" s="1">
        <v>137.30000000000001</v>
      </c>
      <c r="K164" s="1">
        <v>0.7</v>
      </c>
      <c r="L164" t="s">
        <v>16</v>
      </c>
      <c r="M164" s="1">
        <v>3.41</v>
      </c>
      <c r="N164" s="1">
        <v>6.15</v>
      </c>
      <c r="O164" s="19" t="s">
        <v>16</v>
      </c>
    </row>
    <row r="165" spans="1:15" x14ac:dyDescent="0.2">
      <c r="A165" s="16">
        <v>44656</v>
      </c>
      <c r="B165" t="s">
        <v>15</v>
      </c>
      <c r="C165">
        <v>1</v>
      </c>
      <c r="D165" s="21">
        <v>0.65208333333333335</v>
      </c>
      <c r="E165" s="1">
        <v>0.9</v>
      </c>
      <c r="F165" s="1">
        <v>26.8</v>
      </c>
      <c r="G165" s="1">
        <v>24.78</v>
      </c>
      <c r="H165" s="1">
        <v>7.9</v>
      </c>
      <c r="I165" s="1">
        <v>6.77</v>
      </c>
      <c r="J165" s="1">
        <v>97.5</v>
      </c>
      <c r="K165" s="1">
        <v>0.9</v>
      </c>
      <c r="L165" t="s">
        <v>16</v>
      </c>
      <c r="M165" s="1">
        <v>9.02</v>
      </c>
      <c r="N165" s="1">
        <v>8.84</v>
      </c>
      <c r="O165" s="19" t="s">
        <v>16</v>
      </c>
    </row>
    <row r="166" spans="1:15" x14ac:dyDescent="0.2">
      <c r="A166" s="16">
        <v>44656</v>
      </c>
      <c r="B166" t="s">
        <v>15</v>
      </c>
      <c r="C166">
        <v>2</v>
      </c>
      <c r="D166" s="21">
        <v>0.65625</v>
      </c>
      <c r="E166" s="1">
        <v>0.6</v>
      </c>
      <c r="F166" s="1">
        <v>26.7</v>
      </c>
      <c r="G166" s="1">
        <v>25.08</v>
      </c>
      <c r="H166" s="1">
        <v>7.91</v>
      </c>
      <c r="I166" s="1">
        <v>6.97</v>
      </c>
      <c r="J166" s="1">
        <v>100.2</v>
      </c>
      <c r="K166" s="1">
        <v>0.6</v>
      </c>
      <c r="L166" t="s">
        <v>16</v>
      </c>
      <c r="M166" s="1">
        <v>4.67</v>
      </c>
      <c r="N166" s="1">
        <v>4.49</v>
      </c>
      <c r="O166" s="19" t="s">
        <v>16</v>
      </c>
    </row>
    <row r="167" spans="1:15" x14ac:dyDescent="0.2">
      <c r="A167" s="16">
        <v>44656</v>
      </c>
      <c r="B167" t="s">
        <v>15</v>
      </c>
      <c r="C167">
        <v>3</v>
      </c>
      <c r="D167" s="21">
        <v>0.64513888888888882</v>
      </c>
      <c r="E167" s="1">
        <v>0.9</v>
      </c>
      <c r="F167" s="1">
        <v>26.1</v>
      </c>
      <c r="G167" s="1">
        <v>22.21</v>
      </c>
      <c r="H167" s="1">
        <v>7.87</v>
      </c>
      <c r="I167" s="1">
        <v>6.6</v>
      </c>
      <c r="J167" s="1">
        <v>92.4</v>
      </c>
      <c r="K167" s="1">
        <v>0.9</v>
      </c>
      <c r="L167" t="s">
        <v>16</v>
      </c>
      <c r="M167" s="1">
        <v>1.69</v>
      </c>
      <c r="N167" s="1">
        <v>2.85</v>
      </c>
      <c r="O167" s="19" t="s">
        <v>16</v>
      </c>
    </row>
    <row r="168" spans="1:15" x14ac:dyDescent="0.2">
      <c r="A168" s="16">
        <v>44656</v>
      </c>
      <c r="B168" t="s">
        <v>22</v>
      </c>
      <c r="C168">
        <v>1</v>
      </c>
      <c r="D168" s="21">
        <v>0.69791666666666663</v>
      </c>
      <c r="E168" s="1">
        <v>0.65</v>
      </c>
      <c r="F168" s="1">
        <v>27.6</v>
      </c>
      <c r="G168" s="1">
        <v>30.33</v>
      </c>
      <c r="H168" s="1">
        <v>8</v>
      </c>
      <c r="I168" s="1">
        <v>8.33</v>
      </c>
      <c r="J168" s="1">
        <v>125.4</v>
      </c>
      <c r="K168" s="1">
        <v>0.65</v>
      </c>
      <c r="L168" t="s">
        <v>16</v>
      </c>
      <c r="M168" s="1">
        <v>3.07</v>
      </c>
      <c r="N168" s="1">
        <v>6.28</v>
      </c>
      <c r="O168" s="19" t="s">
        <v>16</v>
      </c>
    </row>
    <row r="169" spans="1:15" x14ac:dyDescent="0.2">
      <c r="A169" s="16">
        <v>44656</v>
      </c>
      <c r="B169" t="s">
        <v>22</v>
      </c>
      <c r="C169">
        <v>2</v>
      </c>
      <c r="D169" s="21">
        <v>0.68263888888888891</v>
      </c>
      <c r="E169" s="1">
        <v>0.7</v>
      </c>
      <c r="F169" s="1">
        <v>28.1</v>
      </c>
      <c r="G169" s="1">
        <v>28.05</v>
      </c>
      <c r="H169" s="1">
        <v>8.0299999999999994</v>
      </c>
      <c r="I169" s="1">
        <v>8.52</v>
      </c>
      <c r="J169" s="1">
        <v>126.9</v>
      </c>
      <c r="K169" s="1">
        <v>0.7</v>
      </c>
      <c r="L169" t="s">
        <v>16</v>
      </c>
      <c r="M169" s="1">
        <v>4.47</v>
      </c>
      <c r="N169" s="1">
        <v>4.6399999999999997</v>
      </c>
      <c r="O169" s="19" t="s">
        <v>16</v>
      </c>
    </row>
    <row r="170" spans="1:15" x14ac:dyDescent="0.2">
      <c r="A170" s="16">
        <v>44656</v>
      </c>
      <c r="B170" t="s">
        <v>22</v>
      </c>
      <c r="C170">
        <v>3</v>
      </c>
      <c r="D170" s="21">
        <v>0.68958333333333333</v>
      </c>
      <c r="E170" s="1">
        <v>0.6</v>
      </c>
      <c r="F170" s="1">
        <v>28.1</v>
      </c>
      <c r="G170" s="1">
        <v>28.72</v>
      </c>
      <c r="H170" s="1">
        <v>8.02</v>
      </c>
      <c r="I170" s="1">
        <v>8.61</v>
      </c>
      <c r="J170" s="1">
        <v>129.69999999999999</v>
      </c>
      <c r="K170" s="1">
        <v>0.6</v>
      </c>
      <c r="L170" t="s">
        <v>16</v>
      </c>
      <c r="M170" s="1">
        <v>4.2300000000000004</v>
      </c>
      <c r="N170" s="1">
        <v>4.8099999999999996</v>
      </c>
      <c r="O170" s="19" t="s">
        <v>16</v>
      </c>
    </row>
    <row r="171" spans="1:15" x14ac:dyDescent="0.2">
      <c r="A171" s="16">
        <v>44684</v>
      </c>
      <c r="B171" t="s">
        <v>15</v>
      </c>
      <c r="C171">
        <v>1</v>
      </c>
      <c r="D171" s="21">
        <v>0.65833333333333333</v>
      </c>
      <c r="E171" s="1">
        <v>0.5</v>
      </c>
      <c r="F171" s="1">
        <v>28.3</v>
      </c>
      <c r="G171" s="1">
        <v>19.8</v>
      </c>
      <c r="H171" s="1">
        <v>7.9</v>
      </c>
      <c r="I171" s="1">
        <v>6.54</v>
      </c>
      <c r="J171" s="1">
        <v>93.9</v>
      </c>
      <c r="K171" s="1">
        <v>0.5</v>
      </c>
      <c r="L171" t="s">
        <v>16</v>
      </c>
      <c r="M171" s="1">
        <v>14.95</v>
      </c>
      <c r="N171" s="1">
        <v>4.33</v>
      </c>
      <c r="O171" s="19" t="s">
        <v>16</v>
      </c>
    </row>
    <row r="172" spans="1:15" x14ac:dyDescent="0.2">
      <c r="A172" s="16">
        <v>44684</v>
      </c>
      <c r="B172" t="s">
        <v>15</v>
      </c>
      <c r="C172">
        <v>2</v>
      </c>
      <c r="D172" s="21">
        <v>0.66249999999999998</v>
      </c>
      <c r="E172" s="1">
        <v>0.5</v>
      </c>
      <c r="F172" s="1">
        <v>28.5</v>
      </c>
      <c r="G172" s="1">
        <v>20.420000000000002</v>
      </c>
      <c r="H172" s="1">
        <v>7.96</v>
      </c>
      <c r="I172" s="1">
        <v>7.13</v>
      </c>
      <c r="J172" s="1">
        <v>103</v>
      </c>
      <c r="K172" s="1">
        <v>0.5</v>
      </c>
      <c r="L172" t="s">
        <v>16</v>
      </c>
      <c r="M172" s="1">
        <v>5.01</v>
      </c>
      <c r="N172" s="1">
        <v>3.88</v>
      </c>
      <c r="O172" s="19" t="s">
        <v>16</v>
      </c>
    </row>
    <row r="173" spans="1:15" x14ac:dyDescent="0.2">
      <c r="A173" s="16">
        <v>44684</v>
      </c>
      <c r="B173" t="s">
        <v>15</v>
      </c>
      <c r="C173">
        <v>3</v>
      </c>
      <c r="D173" s="21">
        <v>0.64930555555555558</v>
      </c>
      <c r="E173" s="1">
        <v>0.65</v>
      </c>
      <c r="F173" s="1">
        <v>28</v>
      </c>
      <c r="G173" s="1">
        <v>14.62</v>
      </c>
      <c r="H173" s="1">
        <v>7.88</v>
      </c>
      <c r="I173" s="1">
        <v>6.69</v>
      </c>
      <c r="J173" s="1">
        <v>92.8</v>
      </c>
      <c r="K173" s="1">
        <v>0.65</v>
      </c>
      <c r="L173" t="s">
        <v>16</v>
      </c>
      <c r="M173" s="1">
        <v>0.95</v>
      </c>
      <c r="N173" s="1">
        <v>5.05</v>
      </c>
      <c r="O173" s="19" t="s">
        <v>16</v>
      </c>
    </row>
    <row r="174" spans="1:15" x14ac:dyDescent="0.2">
      <c r="A174" s="16">
        <v>44684</v>
      </c>
      <c r="B174" t="s">
        <v>22</v>
      </c>
      <c r="C174">
        <v>1</v>
      </c>
      <c r="D174" s="21">
        <v>0.69861111111111107</v>
      </c>
      <c r="E174" s="1">
        <v>0.45</v>
      </c>
      <c r="F174" s="1">
        <v>28</v>
      </c>
      <c r="G174" s="1">
        <v>29.82</v>
      </c>
      <c r="H174" s="1">
        <v>7.94</v>
      </c>
      <c r="I174" s="1">
        <v>6.25</v>
      </c>
      <c r="J174" s="1">
        <v>94.1</v>
      </c>
      <c r="K174" s="1">
        <v>0.45</v>
      </c>
      <c r="L174" t="s">
        <v>16</v>
      </c>
      <c r="M174" s="1">
        <v>4.46</v>
      </c>
      <c r="N174" s="1">
        <v>5.98</v>
      </c>
      <c r="O174" s="19" t="s">
        <v>16</v>
      </c>
    </row>
    <row r="175" spans="1:15" x14ac:dyDescent="0.2">
      <c r="A175" s="16">
        <v>44684</v>
      </c>
      <c r="B175" t="s">
        <v>22</v>
      </c>
      <c r="C175">
        <v>2</v>
      </c>
      <c r="D175" s="21">
        <v>0.68611111111111101</v>
      </c>
      <c r="E175" s="1">
        <v>0.45</v>
      </c>
      <c r="F175" s="1">
        <v>28.2</v>
      </c>
      <c r="G175" s="1">
        <v>30.18</v>
      </c>
      <c r="H175" s="1">
        <v>8.08</v>
      </c>
      <c r="I175" s="1">
        <v>7.31</v>
      </c>
      <c r="J175" s="1">
        <v>110.8</v>
      </c>
      <c r="K175" s="1">
        <v>0.45</v>
      </c>
      <c r="L175" t="s">
        <v>16</v>
      </c>
      <c r="M175" s="1">
        <v>3.05</v>
      </c>
      <c r="N175" s="1">
        <v>8.7799999999999994</v>
      </c>
      <c r="O175" s="19" t="s">
        <v>16</v>
      </c>
    </row>
    <row r="176" spans="1:15" x14ac:dyDescent="0.2">
      <c r="A176" s="16">
        <v>44684</v>
      </c>
      <c r="B176" t="s">
        <v>22</v>
      </c>
      <c r="C176">
        <v>3</v>
      </c>
      <c r="D176" s="21">
        <v>0.69027777777777777</v>
      </c>
      <c r="E176" s="1">
        <v>0.4</v>
      </c>
      <c r="F176" s="1">
        <v>28.3</v>
      </c>
      <c r="G176" s="1">
        <v>30.16</v>
      </c>
      <c r="H176" s="1">
        <v>8.07</v>
      </c>
      <c r="I176" s="1">
        <v>7.32</v>
      </c>
      <c r="J176" s="1">
        <v>111.3</v>
      </c>
      <c r="K176" s="1">
        <v>0.4</v>
      </c>
      <c r="L176" t="s">
        <v>16</v>
      </c>
      <c r="M176" s="1">
        <v>3.8</v>
      </c>
      <c r="N176" s="1">
        <v>6.69</v>
      </c>
      <c r="O176" s="19" t="s">
        <v>16</v>
      </c>
    </row>
    <row r="177" spans="1:15" x14ac:dyDescent="0.2">
      <c r="A177" s="16">
        <v>44720</v>
      </c>
      <c r="B177" t="s">
        <v>15</v>
      </c>
      <c r="C177">
        <v>1</v>
      </c>
      <c r="D177" s="21">
        <v>0.47291666666666665</v>
      </c>
      <c r="E177" s="1">
        <v>0.45</v>
      </c>
      <c r="F177" s="1">
        <v>29.4</v>
      </c>
      <c r="G177" s="1">
        <v>7.59</v>
      </c>
      <c r="H177" s="1">
        <v>7.71</v>
      </c>
      <c r="I177" s="1">
        <v>5.37</v>
      </c>
      <c r="J177" s="1">
        <v>73.2</v>
      </c>
      <c r="K177" s="1">
        <v>0.45</v>
      </c>
      <c r="L177" t="s">
        <v>16</v>
      </c>
      <c r="M177" s="1">
        <v>1.62</v>
      </c>
      <c r="N177" s="1">
        <v>4.03</v>
      </c>
      <c r="O177" s="19" t="s">
        <v>16</v>
      </c>
    </row>
    <row r="178" spans="1:15" x14ac:dyDescent="0.2">
      <c r="A178" s="16">
        <v>44720</v>
      </c>
      <c r="B178" t="s">
        <v>15</v>
      </c>
      <c r="C178">
        <v>2</v>
      </c>
      <c r="D178" s="21">
        <v>0.47638888888888892</v>
      </c>
      <c r="E178" s="1">
        <v>0.4</v>
      </c>
      <c r="F178" s="1">
        <v>29.7</v>
      </c>
      <c r="G178" s="1">
        <v>7.51</v>
      </c>
      <c r="H178" s="1">
        <v>7.66</v>
      </c>
      <c r="I178" s="1">
        <v>5.49</v>
      </c>
      <c r="J178" s="1">
        <v>75.2</v>
      </c>
      <c r="K178" s="1">
        <v>0.4</v>
      </c>
      <c r="L178" t="s">
        <v>16</v>
      </c>
      <c r="M178" s="1">
        <v>2.66</v>
      </c>
      <c r="N178" s="1">
        <v>5.57</v>
      </c>
      <c r="O178" s="19" t="s">
        <v>16</v>
      </c>
    </row>
    <row r="179" spans="1:15" x14ac:dyDescent="0.2">
      <c r="A179" s="16">
        <v>44720</v>
      </c>
      <c r="B179" t="s">
        <v>15</v>
      </c>
      <c r="C179">
        <v>3</v>
      </c>
      <c r="D179" s="21">
        <v>0.46458333333333335</v>
      </c>
      <c r="E179" s="1">
        <v>0.5</v>
      </c>
      <c r="F179" s="1">
        <v>28.6</v>
      </c>
      <c r="G179" s="1">
        <v>2.56</v>
      </c>
      <c r="H179" s="1">
        <v>7.63</v>
      </c>
      <c r="I179" s="1">
        <v>4.78</v>
      </c>
      <c r="J179" s="1">
        <v>62.5</v>
      </c>
      <c r="K179" s="1">
        <v>0.5</v>
      </c>
      <c r="L179" t="s">
        <v>16</v>
      </c>
      <c r="M179" s="1">
        <v>1.52</v>
      </c>
      <c r="N179" s="1">
        <v>3.73</v>
      </c>
      <c r="O179" s="19" t="s">
        <v>16</v>
      </c>
    </row>
    <row r="180" spans="1:15" x14ac:dyDescent="0.2">
      <c r="A180" s="16">
        <v>44720</v>
      </c>
      <c r="B180" t="s">
        <v>22</v>
      </c>
      <c r="C180">
        <v>1</v>
      </c>
      <c r="D180" s="21">
        <v>0.52013888888888882</v>
      </c>
      <c r="E180" s="1">
        <v>0.55000000000000004</v>
      </c>
      <c r="F180" s="1">
        <v>29.9</v>
      </c>
      <c r="G180" s="1">
        <v>30.11</v>
      </c>
      <c r="H180" s="1">
        <v>8.0299999999999994</v>
      </c>
      <c r="I180" s="1">
        <v>6.24</v>
      </c>
      <c r="J180" s="1">
        <v>97.2</v>
      </c>
      <c r="K180" s="1">
        <v>0.55000000000000004</v>
      </c>
      <c r="L180" t="s">
        <v>16</v>
      </c>
      <c r="M180" s="1">
        <v>3.19</v>
      </c>
      <c r="N180" s="1">
        <v>4.24</v>
      </c>
      <c r="O180" s="19" t="s">
        <v>16</v>
      </c>
    </row>
    <row r="181" spans="1:15" x14ac:dyDescent="0.2">
      <c r="A181" s="16">
        <v>44720</v>
      </c>
      <c r="B181" t="s">
        <v>22</v>
      </c>
      <c r="C181">
        <v>2</v>
      </c>
      <c r="D181" s="21">
        <v>0.50555555555555554</v>
      </c>
      <c r="E181" s="1">
        <v>0.6</v>
      </c>
      <c r="F181" s="1">
        <v>29.7</v>
      </c>
      <c r="G181" s="1">
        <v>30.21</v>
      </c>
      <c r="H181" s="1">
        <v>7.94</v>
      </c>
      <c r="I181" s="1">
        <v>5.53</v>
      </c>
      <c r="J181" s="1">
        <v>86.2</v>
      </c>
      <c r="K181" s="1">
        <v>0.6</v>
      </c>
      <c r="L181" t="s">
        <v>16</v>
      </c>
      <c r="M181" s="1">
        <v>2.06</v>
      </c>
      <c r="N181" s="1">
        <v>3.49</v>
      </c>
      <c r="O181" s="19" t="s">
        <v>16</v>
      </c>
    </row>
    <row r="182" spans="1:15" x14ac:dyDescent="0.2">
      <c r="A182" s="16">
        <v>44720</v>
      </c>
      <c r="B182" t="s">
        <v>22</v>
      </c>
      <c r="C182">
        <v>3</v>
      </c>
      <c r="D182" s="21">
        <v>0.51250000000000007</v>
      </c>
      <c r="E182" s="1">
        <v>0.65</v>
      </c>
      <c r="F182" s="1">
        <v>30.2</v>
      </c>
      <c r="G182" s="1">
        <v>31.55</v>
      </c>
      <c r="H182" s="1">
        <v>8.02</v>
      </c>
      <c r="I182" s="1">
        <v>6.39</v>
      </c>
      <c r="J182" s="1">
        <v>100.7</v>
      </c>
      <c r="K182" s="1">
        <v>0.65</v>
      </c>
      <c r="L182" t="s">
        <v>16</v>
      </c>
      <c r="M182" s="1">
        <v>2.2599999999999998</v>
      </c>
      <c r="N182" s="1">
        <v>2.96</v>
      </c>
      <c r="O182" s="19" t="s">
        <v>16</v>
      </c>
    </row>
    <row r="183" spans="1:15" x14ac:dyDescent="0.2">
      <c r="A183" s="16">
        <v>44747</v>
      </c>
      <c r="B183" t="s">
        <v>15</v>
      </c>
      <c r="C183">
        <v>1</v>
      </c>
      <c r="D183" s="21">
        <v>0.6694444444444444</v>
      </c>
      <c r="E183" s="1">
        <v>0.8</v>
      </c>
      <c r="F183" s="1">
        <v>32.799999999999997</v>
      </c>
      <c r="G183" s="1">
        <v>14.48</v>
      </c>
      <c r="H183" s="1">
        <v>7.86</v>
      </c>
      <c r="I183" s="1">
        <v>7.13</v>
      </c>
      <c r="J183" s="1">
        <v>107.2</v>
      </c>
      <c r="K183" s="1">
        <v>0.8</v>
      </c>
      <c r="L183" t="s">
        <v>16</v>
      </c>
      <c r="M183" s="1">
        <v>0.81</v>
      </c>
      <c r="N183" s="1">
        <v>3.49</v>
      </c>
      <c r="O183" s="19" t="s">
        <v>16</v>
      </c>
    </row>
    <row r="184" spans="1:15" x14ac:dyDescent="0.2">
      <c r="A184" s="16">
        <v>44747</v>
      </c>
      <c r="B184" t="s">
        <v>15</v>
      </c>
      <c r="C184">
        <v>2</v>
      </c>
      <c r="D184" s="21">
        <v>0.6743055555555556</v>
      </c>
      <c r="E184" s="1">
        <v>0.6</v>
      </c>
      <c r="F184" s="1">
        <v>33</v>
      </c>
      <c r="G184" s="1">
        <v>16.43</v>
      </c>
      <c r="H184" s="1">
        <v>7.91</v>
      </c>
      <c r="I184" s="1">
        <v>7.24</v>
      </c>
      <c r="J184" s="1">
        <v>110.9</v>
      </c>
      <c r="K184" s="1">
        <v>0.6</v>
      </c>
      <c r="L184" t="s">
        <v>16</v>
      </c>
      <c r="M184" s="1">
        <v>0.45</v>
      </c>
      <c r="N184" s="1">
        <v>3.52</v>
      </c>
      <c r="O184" s="19" t="s">
        <v>16</v>
      </c>
    </row>
    <row r="185" spans="1:15" x14ac:dyDescent="0.2">
      <c r="A185" s="16">
        <v>44747</v>
      </c>
      <c r="B185" t="s">
        <v>15</v>
      </c>
      <c r="C185">
        <v>3</v>
      </c>
      <c r="D185" s="21">
        <v>0.66249999999999998</v>
      </c>
      <c r="E185" s="1">
        <v>0.7</v>
      </c>
      <c r="F185" s="1">
        <v>32.299999999999997</v>
      </c>
      <c r="G185" s="1">
        <v>14.1</v>
      </c>
      <c r="H185" s="1">
        <v>7.87</v>
      </c>
      <c r="I185" s="1">
        <v>7.28</v>
      </c>
      <c r="J185" s="1">
        <v>108</v>
      </c>
      <c r="K185" s="1">
        <v>0.7</v>
      </c>
      <c r="L185" t="s">
        <v>16</v>
      </c>
      <c r="M185" s="1">
        <v>0.55000000000000004</v>
      </c>
      <c r="N185" s="1">
        <v>3.95</v>
      </c>
      <c r="O185" s="19" t="s">
        <v>16</v>
      </c>
    </row>
    <row r="186" spans="1:15" x14ac:dyDescent="0.2">
      <c r="A186" s="16">
        <v>44747</v>
      </c>
      <c r="B186" t="s">
        <v>22</v>
      </c>
      <c r="C186">
        <v>1</v>
      </c>
      <c r="D186" s="21">
        <v>0.71527777777777779</v>
      </c>
      <c r="E186" s="1">
        <v>0.8</v>
      </c>
      <c r="F186" s="1">
        <v>32.799999999999997</v>
      </c>
      <c r="G186" s="1">
        <v>24.35</v>
      </c>
      <c r="H186" s="1">
        <v>7.97</v>
      </c>
      <c r="I186" s="1">
        <v>7.86</v>
      </c>
      <c r="J186" s="1">
        <v>124.8</v>
      </c>
      <c r="K186" s="1">
        <v>0.8</v>
      </c>
      <c r="L186" t="s">
        <v>16</v>
      </c>
      <c r="M186" s="1">
        <v>2.78</v>
      </c>
      <c r="N186" s="1">
        <v>3.6</v>
      </c>
      <c r="O186" s="19" t="s">
        <v>16</v>
      </c>
    </row>
    <row r="187" spans="1:15" x14ac:dyDescent="0.2">
      <c r="A187" s="16">
        <v>44747</v>
      </c>
      <c r="B187" t="s">
        <v>22</v>
      </c>
      <c r="C187">
        <v>2</v>
      </c>
      <c r="D187" s="21">
        <v>0.70208333333333339</v>
      </c>
      <c r="E187" s="1">
        <v>0.8</v>
      </c>
      <c r="F187" s="1">
        <v>32.6</v>
      </c>
      <c r="G187" s="1">
        <v>23.94</v>
      </c>
      <c r="H187" s="1">
        <v>8</v>
      </c>
      <c r="I187" s="1">
        <v>7.87</v>
      </c>
      <c r="J187" s="1">
        <v>124.2</v>
      </c>
      <c r="K187" s="1">
        <v>0.8</v>
      </c>
      <c r="L187" t="s">
        <v>16</v>
      </c>
      <c r="M187" s="1">
        <v>4.55</v>
      </c>
      <c r="N187" s="1">
        <v>4.7699999999999996</v>
      </c>
      <c r="O187" s="19" t="s">
        <v>16</v>
      </c>
    </row>
    <row r="188" spans="1:15" x14ac:dyDescent="0.2">
      <c r="A188" s="16">
        <v>44747</v>
      </c>
      <c r="B188" t="s">
        <v>22</v>
      </c>
      <c r="C188">
        <v>3</v>
      </c>
      <c r="D188" s="21">
        <v>0.70624999999999993</v>
      </c>
      <c r="E188" s="1">
        <v>0.7</v>
      </c>
      <c r="F188" s="1">
        <v>32.6</v>
      </c>
      <c r="G188" s="1">
        <v>24.45</v>
      </c>
      <c r="H188" s="1">
        <v>7.99</v>
      </c>
      <c r="I188" s="1">
        <v>7.99</v>
      </c>
      <c r="J188" s="1">
        <v>126.5</v>
      </c>
      <c r="K188" s="1">
        <v>0.7</v>
      </c>
      <c r="L188" t="s">
        <v>16</v>
      </c>
      <c r="M188" s="1">
        <v>1.06</v>
      </c>
      <c r="N188" s="1">
        <v>5.42</v>
      </c>
      <c r="O188" s="19" t="s">
        <v>16</v>
      </c>
    </row>
    <row r="189" spans="1:15" x14ac:dyDescent="0.2">
      <c r="A189" s="16">
        <v>44775</v>
      </c>
      <c r="B189" t="s">
        <v>15</v>
      </c>
      <c r="C189">
        <v>1</v>
      </c>
      <c r="D189" s="21">
        <v>0.62152777777777779</v>
      </c>
      <c r="E189" s="1">
        <v>0.7</v>
      </c>
      <c r="F189" s="1">
        <v>33</v>
      </c>
      <c r="G189" s="1">
        <v>20.87</v>
      </c>
      <c r="H189" s="1">
        <v>7.85</v>
      </c>
      <c r="I189" s="1">
        <v>5.92</v>
      </c>
      <c r="J189" s="1">
        <v>92.5</v>
      </c>
      <c r="K189" s="1">
        <v>0.7</v>
      </c>
      <c r="L189" t="s">
        <v>16</v>
      </c>
      <c r="M189" s="1">
        <v>2.13</v>
      </c>
      <c r="N189" s="1">
        <v>2.9</v>
      </c>
      <c r="O189" s="19" t="s">
        <v>16</v>
      </c>
    </row>
    <row r="190" spans="1:15" x14ac:dyDescent="0.2">
      <c r="A190" s="16">
        <v>44775</v>
      </c>
      <c r="B190" t="s">
        <v>15</v>
      </c>
      <c r="C190">
        <v>2</v>
      </c>
      <c r="D190" s="21">
        <v>0.62569444444444444</v>
      </c>
      <c r="E190" s="1">
        <v>0.55000000000000004</v>
      </c>
      <c r="F190" s="1">
        <v>33.200000000000003</v>
      </c>
      <c r="G190" s="1">
        <v>22.06</v>
      </c>
      <c r="H190" s="1">
        <v>7.92</v>
      </c>
      <c r="I190" s="1">
        <v>6.32</v>
      </c>
      <c r="J190" s="1">
        <v>99.7</v>
      </c>
      <c r="K190" s="1">
        <v>0.55000000000000004</v>
      </c>
      <c r="L190" t="s">
        <v>16</v>
      </c>
      <c r="M190" s="1">
        <v>2.25</v>
      </c>
      <c r="N190" s="1">
        <v>2.54</v>
      </c>
      <c r="O190" s="19" t="s">
        <v>16</v>
      </c>
    </row>
    <row r="191" spans="1:15" x14ac:dyDescent="0.2">
      <c r="A191" s="16">
        <v>44775</v>
      </c>
      <c r="B191" t="s">
        <v>15</v>
      </c>
      <c r="C191">
        <v>3</v>
      </c>
      <c r="D191" s="21">
        <v>0.61388888888888882</v>
      </c>
      <c r="E191" s="1">
        <v>0.7</v>
      </c>
      <c r="F191" s="1">
        <v>33</v>
      </c>
      <c r="G191" s="1">
        <v>20.97</v>
      </c>
      <c r="H191" s="1">
        <v>7.86</v>
      </c>
      <c r="I191" s="1">
        <v>5.82</v>
      </c>
      <c r="J191" s="1">
        <v>90.6</v>
      </c>
      <c r="K191" s="1">
        <v>0.7</v>
      </c>
      <c r="L191" t="s">
        <v>16</v>
      </c>
      <c r="M191" s="1">
        <v>0.93</v>
      </c>
      <c r="N191" s="1">
        <v>2.5499999999999998</v>
      </c>
      <c r="O191" s="19" t="s">
        <v>16</v>
      </c>
    </row>
    <row r="192" spans="1:15" x14ac:dyDescent="0.2">
      <c r="A192" s="16">
        <v>44775</v>
      </c>
      <c r="B192" t="s">
        <v>22</v>
      </c>
      <c r="C192">
        <v>1</v>
      </c>
      <c r="D192" s="21">
        <v>0.6645833333333333</v>
      </c>
      <c r="E192" s="1">
        <v>0.65</v>
      </c>
      <c r="F192" s="1">
        <v>33.299999999999997</v>
      </c>
      <c r="G192" s="1">
        <v>29.48</v>
      </c>
      <c r="H192" s="1">
        <v>7.98</v>
      </c>
      <c r="I192" s="1">
        <v>6.8</v>
      </c>
      <c r="J192" s="1">
        <v>112.2</v>
      </c>
      <c r="K192" s="1">
        <v>0.65</v>
      </c>
      <c r="L192" t="s">
        <v>16</v>
      </c>
      <c r="M192" s="1">
        <v>6.82</v>
      </c>
      <c r="N192" s="1">
        <v>12.4</v>
      </c>
      <c r="O192" s="19" t="s">
        <v>16</v>
      </c>
    </row>
    <row r="193" spans="1:15" x14ac:dyDescent="0.2">
      <c r="A193" s="16">
        <v>44775</v>
      </c>
      <c r="B193" t="s">
        <v>22</v>
      </c>
      <c r="C193">
        <v>2</v>
      </c>
      <c r="D193" s="21">
        <v>0.65208333333333335</v>
      </c>
      <c r="E193" s="1">
        <v>0.8</v>
      </c>
      <c r="F193" s="1">
        <v>33.299999999999997</v>
      </c>
      <c r="G193" s="1">
        <v>29.09</v>
      </c>
      <c r="H193" s="1">
        <v>8.02</v>
      </c>
      <c r="I193" s="1">
        <v>7.32</v>
      </c>
      <c r="J193" s="1">
        <v>119.6</v>
      </c>
      <c r="K193" s="1">
        <v>0.8</v>
      </c>
      <c r="L193" t="s">
        <v>16</v>
      </c>
      <c r="M193" s="1">
        <v>3.17</v>
      </c>
      <c r="N193" s="1">
        <v>5.91</v>
      </c>
      <c r="O193" s="19" t="s">
        <v>16</v>
      </c>
    </row>
    <row r="194" spans="1:15" x14ac:dyDescent="0.2">
      <c r="A194" s="16">
        <v>44775</v>
      </c>
      <c r="B194" t="s">
        <v>22</v>
      </c>
      <c r="C194">
        <v>3</v>
      </c>
      <c r="D194" s="21">
        <v>15.45</v>
      </c>
      <c r="E194" s="1">
        <v>0.7</v>
      </c>
      <c r="F194" s="1">
        <v>33.6</v>
      </c>
      <c r="G194" s="1">
        <v>28.84</v>
      </c>
      <c r="H194" s="1">
        <v>8</v>
      </c>
      <c r="I194" s="1">
        <v>7.2</v>
      </c>
      <c r="J194" s="1">
        <v>118.1</v>
      </c>
      <c r="K194" s="1">
        <v>0.7</v>
      </c>
      <c r="L194" t="s">
        <v>16</v>
      </c>
      <c r="M194" s="1">
        <v>3.84</v>
      </c>
      <c r="N194" s="1">
        <v>4.17</v>
      </c>
      <c r="O194" s="19" t="s">
        <v>16</v>
      </c>
    </row>
    <row r="195" spans="1:15" x14ac:dyDescent="0.2">
      <c r="A195" s="16">
        <v>44811</v>
      </c>
      <c r="B195" t="s">
        <v>15</v>
      </c>
      <c r="C195">
        <v>1</v>
      </c>
      <c r="D195" s="21">
        <v>0.65833333333333333</v>
      </c>
      <c r="E195" s="1">
        <v>0.3</v>
      </c>
      <c r="F195" s="1">
        <v>34.1</v>
      </c>
      <c r="G195" s="1">
        <v>21.44</v>
      </c>
      <c r="H195" s="1">
        <v>7.74</v>
      </c>
      <c r="I195" s="1">
        <v>6.11</v>
      </c>
      <c r="J195" s="1">
        <v>97.2</v>
      </c>
      <c r="K195" s="1">
        <v>0.3</v>
      </c>
      <c r="L195" t="s">
        <v>16</v>
      </c>
      <c r="M195" s="1">
        <v>4.05</v>
      </c>
      <c r="N195" s="1">
        <v>3.83</v>
      </c>
      <c r="O195" s="19" t="s">
        <v>16</v>
      </c>
    </row>
    <row r="196" spans="1:15" x14ac:dyDescent="0.2">
      <c r="A196" s="16">
        <v>44811</v>
      </c>
      <c r="B196" t="s">
        <v>15</v>
      </c>
      <c r="C196">
        <v>2</v>
      </c>
      <c r="D196" s="21">
        <v>0.68055555555555547</v>
      </c>
      <c r="E196" s="1">
        <v>0.5</v>
      </c>
      <c r="F196" s="1">
        <v>34.1</v>
      </c>
      <c r="G196" s="1">
        <v>21.07</v>
      </c>
      <c r="H196" s="1">
        <v>7.75</v>
      </c>
      <c r="I196" s="1">
        <v>6.17</v>
      </c>
      <c r="J196" s="1">
        <v>98.2</v>
      </c>
      <c r="K196" s="1">
        <v>0.5</v>
      </c>
      <c r="L196" t="s">
        <v>16</v>
      </c>
      <c r="M196" s="1">
        <v>6.52</v>
      </c>
      <c r="N196" s="1">
        <v>3.42</v>
      </c>
      <c r="O196" s="19" t="s">
        <v>16</v>
      </c>
    </row>
    <row r="197" spans="1:15" x14ac:dyDescent="0.2">
      <c r="A197" s="16">
        <v>44811</v>
      </c>
      <c r="B197" t="s">
        <v>15</v>
      </c>
      <c r="C197">
        <v>3</v>
      </c>
      <c r="D197" s="21">
        <v>0.62916666666666665</v>
      </c>
      <c r="E197" s="1">
        <v>0.5</v>
      </c>
      <c r="F197" s="1">
        <v>33.700000000000003</v>
      </c>
      <c r="G197" s="1">
        <v>15.21</v>
      </c>
      <c r="H197" s="1">
        <v>7.56</v>
      </c>
      <c r="I197" s="1">
        <v>5.26</v>
      </c>
      <c r="J197" s="1">
        <v>80.3</v>
      </c>
      <c r="K197" s="1">
        <v>0.5</v>
      </c>
      <c r="L197" t="s">
        <v>16</v>
      </c>
      <c r="M197" s="1">
        <v>2.16</v>
      </c>
      <c r="N197" s="1">
        <v>2.44</v>
      </c>
      <c r="O197" s="19" t="s">
        <v>16</v>
      </c>
    </row>
    <row r="198" spans="1:15" x14ac:dyDescent="0.2">
      <c r="A198" s="16">
        <v>44811</v>
      </c>
      <c r="B198" t="s">
        <v>22</v>
      </c>
      <c r="C198">
        <v>1</v>
      </c>
      <c r="D198" s="21">
        <v>0.74097222222222225</v>
      </c>
      <c r="E198" s="1">
        <v>1</v>
      </c>
      <c r="F198" s="1">
        <v>33.4</v>
      </c>
      <c r="G198" s="1">
        <v>31.49</v>
      </c>
      <c r="H198" s="1">
        <v>8.0299999999999994</v>
      </c>
      <c r="I198" s="1">
        <v>7.31</v>
      </c>
      <c r="J198" s="1">
        <v>121.5</v>
      </c>
      <c r="K198" s="1">
        <v>0.8</v>
      </c>
      <c r="L198" t="s">
        <v>16</v>
      </c>
      <c r="M198" s="1">
        <v>3.08</v>
      </c>
      <c r="N198" s="1">
        <v>3.66</v>
      </c>
      <c r="O198" s="19" t="s">
        <v>16</v>
      </c>
    </row>
    <row r="199" spans="1:15" x14ac:dyDescent="0.2">
      <c r="A199" s="16">
        <v>44811</v>
      </c>
      <c r="B199" t="s">
        <v>22</v>
      </c>
      <c r="C199">
        <v>2</v>
      </c>
      <c r="D199" s="21">
        <v>0.7104166666666667</v>
      </c>
      <c r="E199" s="1">
        <v>0.5</v>
      </c>
      <c r="F199" s="1">
        <v>33.9</v>
      </c>
      <c r="G199" s="1">
        <v>31.53</v>
      </c>
      <c r="H199" s="1">
        <v>7.91</v>
      </c>
      <c r="I199" s="1">
        <v>7.3</v>
      </c>
      <c r="J199" s="1">
        <v>122.1</v>
      </c>
      <c r="K199" s="1">
        <v>0.5</v>
      </c>
      <c r="L199" t="s">
        <v>16</v>
      </c>
      <c r="M199" s="1">
        <v>4.7699999999999996</v>
      </c>
      <c r="N199" s="1">
        <v>4.3</v>
      </c>
      <c r="O199" s="19" t="s">
        <v>16</v>
      </c>
    </row>
    <row r="200" spans="1:15" x14ac:dyDescent="0.2">
      <c r="A200" s="16">
        <v>44811</v>
      </c>
      <c r="B200" t="s">
        <v>22</v>
      </c>
      <c r="C200">
        <v>3</v>
      </c>
      <c r="D200" s="21">
        <v>0.72777777777777775</v>
      </c>
      <c r="E200" s="1">
        <v>0.4</v>
      </c>
      <c r="F200" s="1">
        <v>33.799999999999997</v>
      </c>
      <c r="G200" s="1">
        <v>31.66</v>
      </c>
      <c r="H200" s="1">
        <v>7.98</v>
      </c>
      <c r="I200" s="1">
        <v>7.38</v>
      </c>
      <c r="J200" s="1">
        <v>123.6</v>
      </c>
      <c r="K200" s="1">
        <v>0.4</v>
      </c>
      <c r="L200" t="s">
        <v>16</v>
      </c>
      <c r="M200" s="1">
        <v>3.46</v>
      </c>
      <c r="N200" s="1">
        <v>4.18</v>
      </c>
      <c r="O200" s="19" t="s">
        <v>16</v>
      </c>
    </row>
    <row r="201" spans="1:15" x14ac:dyDescent="0.2">
      <c r="A201" s="16">
        <v>44844</v>
      </c>
      <c r="B201" t="s">
        <v>15</v>
      </c>
      <c r="C201">
        <v>1</v>
      </c>
      <c r="D201" s="21">
        <v>0.67499999999999993</v>
      </c>
      <c r="E201" s="1">
        <v>0.7</v>
      </c>
      <c r="F201" s="1">
        <v>27.8</v>
      </c>
      <c r="G201" s="1">
        <v>10.76</v>
      </c>
      <c r="H201" s="1">
        <v>7.99</v>
      </c>
      <c r="I201" s="1">
        <v>4.08</v>
      </c>
      <c r="J201" s="1">
        <v>55.2</v>
      </c>
      <c r="K201" s="1">
        <v>0.7</v>
      </c>
      <c r="L201" t="s">
        <v>16</v>
      </c>
      <c r="M201" s="1">
        <v>1.07</v>
      </c>
      <c r="N201" s="1">
        <v>4.1100000000000003</v>
      </c>
      <c r="O201" s="19" t="s">
        <v>16</v>
      </c>
    </row>
    <row r="202" spans="1:15" x14ac:dyDescent="0.2">
      <c r="A202" s="16">
        <v>44844</v>
      </c>
      <c r="B202" t="s">
        <v>15</v>
      </c>
      <c r="C202">
        <v>2</v>
      </c>
      <c r="D202" s="21">
        <v>0.67986111111111114</v>
      </c>
      <c r="E202" s="1">
        <v>0.5</v>
      </c>
      <c r="F202" s="1">
        <v>28.1</v>
      </c>
      <c r="G202" s="1">
        <v>11.78</v>
      </c>
      <c r="H202" s="1">
        <v>7.75</v>
      </c>
      <c r="I202" s="1">
        <v>4.49</v>
      </c>
      <c r="J202" s="1">
        <v>61.2</v>
      </c>
      <c r="K202" s="1">
        <v>0.5</v>
      </c>
      <c r="L202" t="s">
        <v>16</v>
      </c>
      <c r="M202" s="1">
        <v>1.1399999999999999</v>
      </c>
      <c r="N202" s="1">
        <v>10.7</v>
      </c>
      <c r="O202" s="19" t="s">
        <v>16</v>
      </c>
    </row>
    <row r="203" spans="1:15" x14ac:dyDescent="0.2">
      <c r="A203" s="16">
        <v>44844</v>
      </c>
      <c r="B203" t="s">
        <v>15</v>
      </c>
      <c r="C203">
        <v>3</v>
      </c>
      <c r="D203" s="21">
        <v>0.66666666666666663</v>
      </c>
      <c r="E203" s="1">
        <v>0.65</v>
      </c>
      <c r="F203" s="1">
        <v>27.1</v>
      </c>
      <c r="G203" s="1">
        <v>5.49</v>
      </c>
      <c r="H203" s="1">
        <v>8.66</v>
      </c>
      <c r="I203" s="1">
        <v>3.47</v>
      </c>
      <c r="J203" s="1">
        <v>45</v>
      </c>
      <c r="K203" s="1">
        <v>0.65</v>
      </c>
      <c r="L203" t="s">
        <v>16</v>
      </c>
      <c r="M203" s="1">
        <v>2.86</v>
      </c>
      <c r="N203" s="1">
        <v>5.78</v>
      </c>
      <c r="O203" s="19" t="s">
        <v>16</v>
      </c>
    </row>
    <row r="204" spans="1:15" x14ac:dyDescent="0.2">
      <c r="A204" s="16">
        <v>44844</v>
      </c>
      <c r="B204" t="s">
        <v>22</v>
      </c>
      <c r="C204">
        <v>1</v>
      </c>
      <c r="D204" s="21">
        <v>0.72222222222222221</v>
      </c>
      <c r="E204" s="1">
        <v>0.65</v>
      </c>
      <c r="F204" s="1">
        <v>28.8</v>
      </c>
      <c r="G204" s="1">
        <v>17.89</v>
      </c>
      <c r="H204" s="1">
        <v>7.76</v>
      </c>
      <c r="I204" s="1">
        <v>5.41</v>
      </c>
      <c r="J204" s="1">
        <v>77.3</v>
      </c>
      <c r="K204" s="1">
        <v>0.65</v>
      </c>
      <c r="L204" t="s">
        <v>16</v>
      </c>
      <c r="M204" s="1">
        <v>1.83</v>
      </c>
      <c r="N204" s="1">
        <v>6.97</v>
      </c>
      <c r="O204" s="19" t="s">
        <v>16</v>
      </c>
    </row>
    <row r="205" spans="1:15" x14ac:dyDescent="0.2">
      <c r="A205" s="16">
        <v>44844</v>
      </c>
      <c r="B205" t="s">
        <v>22</v>
      </c>
      <c r="C205">
        <v>2</v>
      </c>
      <c r="D205" s="21">
        <v>0.7055555555555556</v>
      </c>
      <c r="E205" s="1">
        <v>0.6</v>
      </c>
      <c r="F205" s="1">
        <v>29.4</v>
      </c>
      <c r="G205" s="1">
        <v>15.43</v>
      </c>
      <c r="H205" s="1">
        <v>7.97</v>
      </c>
      <c r="I205" s="1">
        <v>6.19</v>
      </c>
      <c r="J205" s="1">
        <v>88.1</v>
      </c>
      <c r="K205" s="1">
        <v>0.6</v>
      </c>
      <c r="L205" t="s">
        <v>16</v>
      </c>
      <c r="M205" s="1">
        <v>1.56</v>
      </c>
      <c r="N205" s="1">
        <v>3.43</v>
      </c>
      <c r="O205" s="19" t="s">
        <v>16</v>
      </c>
    </row>
    <row r="206" spans="1:15" x14ac:dyDescent="0.2">
      <c r="A206" s="16">
        <v>44844</v>
      </c>
      <c r="B206" t="s">
        <v>22</v>
      </c>
      <c r="C206">
        <v>3</v>
      </c>
      <c r="D206" s="21">
        <v>0.71180555555555547</v>
      </c>
      <c r="E206" s="1">
        <v>0.7</v>
      </c>
      <c r="F206" s="1">
        <v>29.3</v>
      </c>
      <c r="G206" s="1">
        <v>15.91</v>
      </c>
      <c r="H206" s="1">
        <v>7.83</v>
      </c>
      <c r="I206" s="1">
        <v>6.34</v>
      </c>
      <c r="J206" s="1">
        <v>90.4</v>
      </c>
      <c r="K206" s="1">
        <v>0.7</v>
      </c>
      <c r="L206" t="s">
        <v>16</v>
      </c>
      <c r="M206" s="1">
        <v>3.22</v>
      </c>
      <c r="N206" s="1">
        <v>9.9600000000000009</v>
      </c>
      <c r="O206" s="19" t="s">
        <v>16</v>
      </c>
    </row>
    <row r="207" spans="1:15" x14ac:dyDescent="0.2">
      <c r="A207" s="16">
        <v>44879</v>
      </c>
      <c r="B207" t="s">
        <v>15</v>
      </c>
      <c r="C207">
        <v>1</v>
      </c>
      <c r="D207" s="21">
        <v>0.70416666666666661</v>
      </c>
      <c r="E207" s="1">
        <v>0.7</v>
      </c>
      <c r="F207" s="1">
        <v>26.5</v>
      </c>
      <c r="G207" s="1">
        <v>8.83</v>
      </c>
      <c r="H207" s="1">
        <v>7.92</v>
      </c>
      <c r="I207" s="1">
        <v>4.83</v>
      </c>
      <c r="J207" s="1">
        <v>62.9</v>
      </c>
      <c r="K207" s="1">
        <v>0.7</v>
      </c>
      <c r="L207" t="s">
        <v>16</v>
      </c>
      <c r="M207" s="1">
        <v>0.34</v>
      </c>
      <c r="N207" s="1">
        <v>1.85</v>
      </c>
      <c r="O207" s="19" t="s">
        <v>16</v>
      </c>
    </row>
    <row r="208" spans="1:15" x14ac:dyDescent="0.2">
      <c r="A208" s="16">
        <v>44879</v>
      </c>
      <c r="B208" t="s">
        <v>15</v>
      </c>
      <c r="C208">
        <v>2</v>
      </c>
      <c r="D208" s="21">
        <v>0.70833333333333337</v>
      </c>
      <c r="E208" s="1">
        <v>0.65</v>
      </c>
      <c r="F208" s="1">
        <v>26.7</v>
      </c>
      <c r="G208" s="1">
        <v>9.31</v>
      </c>
      <c r="H208" s="1">
        <v>7.82</v>
      </c>
      <c r="I208" s="1">
        <v>5.24</v>
      </c>
      <c r="J208" s="1">
        <v>68.900000000000006</v>
      </c>
      <c r="K208" s="1">
        <v>0.65</v>
      </c>
      <c r="L208" t="s">
        <v>16</v>
      </c>
      <c r="M208" s="1">
        <v>4.6500000000000004</v>
      </c>
      <c r="N208" s="1">
        <v>1.49</v>
      </c>
      <c r="O208" s="19" t="s">
        <v>16</v>
      </c>
    </row>
    <row r="209" spans="1:15" x14ac:dyDescent="0.2">
      <c r="A209" s="16">
        <v>44879</v>
      </c>
      <c r="B209" t="s">
        <v>15</v>
      </c>
      <c r="C209">
        <v>3</v>
      </c>
      <c r="D209" s="21">
        <v>0.69791666666666663</v>
      </c>
      <c r="E209" s="1">
        <v>0.94</v>
      </c>
      <c r="F209" s="1">
        <v>26.1</v>
      </c>
      <c r="G209" s="1">
        <v>5.17</v>
      </c>
      <c r="H209" s="1">
        <v>8.1999999999999993</v>
      </c>
      <c r="I209" s="1">
        <v>4.2699999999999996</v>
      </c>
      <c r="J209" s="1">
        <v>54.2</v>
      </c>
      <c r="K209" s="1">
        <v>0.7</v>
      </c>
      <c r="L209" t="s">
        <v>16</v>
      </c>
      <c r="M209" s="1">
        <v>0.7</v>
      </c>
      <c r="N209" s="1">
        <v>1.9</v>
      </c>
      <c r="O209" s="19" t="s">
        <v>16</v>
      </c>
    </row>
    <row r="210" spans="1:15" x14ac:dyDescent="0.2">
      <c r="A210" s="16">
        <v>44879</v>
      </c>
      <c r="B210" t="s">
        <v>22</v>
      </c>
      <c r="C210">
        <v>1</v>
      </c>
      <c r="D210" s="21">
        <v>0.74652777777777779</v>
      </c>
      <c r="E210" s="1">
        <v>0.5</v>
      </c>
      <c r="F210" s="1">
        <v>26.8</v>
      </c>
      <c r="G210" s="1">
        <v>16.45</v>
      </c>
      <c r="H210" s="1">
        <v>8.0399999999999991</v>
      </c>
      <c r="I210" s="1">
        <v>7.59</v>
      </c>
      <c r="J210" s="1">
        <v>104.2</v>
      </c>
      <c r="K210" s="1">
        <v>0.5</v>
      </c>
      <c r="L210" t="s">
        <v>16</v>
      </c>
      <c r="M210" s="1">
        <v>1.19</v>
      </c>
      <c r="N210" s="1">
        <v>1.41</v>
      </c>
      <c r="O210" s="19" t="s">
        <v>16</v>
      </c>
    </row>
    <row r="211" spans="1:15" x14ac:dyDescent="0.2">
      <c r="A211" s="16">
        <v>44879</v>
      </c>
      <c r="B211" t="s">
        <v>22</v>
      </c>
      <c r="C211">
        <v>2</v>
      </c>
      <c r="D211" s="21">
        <v>0.7319444444444444</v>
      </c>
      <c r="E211" s="1">
        <v>0.65</v>
      </c>
      <c r="F211" s="1">
        <v>26.8</v>
      </c>
      <c r="G211" s="1">
        <v>15.68</v>
      </c>
      <c r="H211" s="1">
        <v>8.0399999999999991</v>
      </c>
      <c r="I211" s="1">
        <v>7.54</v>
      </c>
      <c r="J211" s="1">
        <v>103</v>
      </c>
      <c r="K211" s="1">
        <v>0.65</v>
      </c>
      <c r="L211" t="s">
        <v>16</v>
      </c>
      <c r="M211" s="1">
        <v>4.53</v>
      </c>
      <c r="N211" s="1">
        <v>2.74</v>
      </c>
      <c r="O211" s="19" t="s">
        <v>16</v>
      </c>
    </row>
    <row r="212" spans="1:15" x14ac:dyDescent="0.2">
      <c r="A212" s="16">
        <v>44879</v>
      </c>
      <c r="B212" t="s">
        <v>22</v>
      </c>
      <c r="C212">
        <v>3</v>
      </c>
      <c r="D212" s="21">
        <v>0.73819444444444438</v>
      </c>
      <c r="E212" s="1">
        <v>0.8</v>
      </c>
      <c r="F212" s="1">
        <v>26.6</v>
      </c>
      <c r="G212" s="1">
        <v>15.13</v>
      </c>
      <c r="H212" s="1">
        <v>7.94</v>
      </c>
      <c r="I212" s="1">
        <v>7.57</v>
      </c>
      <c r="J212" s="1">
        <v>102.7</v>
      </c>
      <c r="K212" s="1">
        <v>0.8</v>
      </c>
      <c r="L212" t="s">
        <v>16</v>
      </c>
      <c r="M212" s="1">
        <v>2.48</v>
      </c>
      <c r="N212" s="1">
        <v>3.73</v>
      </c>
      <c r="O212" s="19" t="s">
        <v>16</v>
      </c>
    </row>
    <row r="213" spans="1:15" x14ac:dyDescent="0.2">
      <c r="A213" s="16">
        <v>44901</v>
      </c>
      <c r="B213" t="s">
        <v>15</v>
      </c>
      <c r="C213">
        <v>1</v>
      </c>
      <c r="D213" s="21">
        <v>0.64513888888888882</v>
      </c>
      <c r="E213" s="1">
        <v>0.8</v>
      </c>
      <c r="F213" s="1">
        <v>25</v>
      </c>
      <c r="G213" s="1">
        <v>15.27</v>
      </c>
      <c r="H213" s="1">
        <v>7.94</v>
      </c>
      <c r="I213" s="1">
        <v>5.4</v>
      </c>
      <c r="J213" s="1">
        <v>71</v>
      </c>
      <c r="K213" s="1">
        <v>0.8</v>
      </c>
      <c r="L213" t="s">
        <v>16</v>
      </c>
      <c r="M213" s="1" t="s">
        <v>16</v>
      </c>
      <c r="N213" s="1">
        <v>1.26</v>
      </c>
      <c r="O213" s="19" t="s">
        <v>16</v>
      </c>
    </row>
    <row r="214" spans="1:15" x14ac:dyDescent="0.2">
      <c r="A214" s="16">
        <v>44901</v>
      </c>
      <c r="B214" t="s">
        <v>15</v>
      </c>
      <c r="C214">
        <v>2</v>
      </c>
      <c r="D214" s="21">
        <v>0.64861111111111114</v>
      </c>
      <c r="E214" s="1">
        <v>0.5</v>
      </c>
      <c r="F214" s="1">
        <v>25</v>
      </c>
      <c r="G214" s="1">
        <v>15.18</v>
      </c>
      <c r="H214" s="1">
        <v>7.84</v>
      </c>
      <c r="I214" s="1">
        <v>5.25</v>
      </c>
      <c r="J214" s="1">
        <v>69.099999999999994</v>
      </c>
      <c r="K214" s="1">
        <v>0.5</v>
      </c>
      <c r="L214" t="s">
        <v>16</v>
      </c>
      <c r="M214" s="1" t="s">
        <v>16</v>
      </c>
      <c r="N214" s="1">
        <v>1.2</v>
      </c>
      <c r="O214" s="19" t="s">
        <v>16</v>
      </c>
    </row>
    <row r="215" spans="1:15" x14ac:dyDescent="0.2">
      <c r="A215" s="16">
        <v>44901</v>
      </c>
      <c r="B215" t="s">
        <v>15</v>
      </c>
      <c r="C215">
        <v>3</v>
      </c>
      <c r="D215" s="21">
        <v>0.63750000000000007</v>
      </c>
      <c r="E215" s="1">
        <v>0.6</v>
      </c>
      <c r="F215" s="1">
        <v>24.2</v>
      </c>
      <c r="G215" s="1">
        <v>8.94</v>
      </c>
      <c r="H215" s="1">
        <v>8.27</v>
      </c>
      <c r="I215" s="1">
        <v>4.9000000000000004</v>
      </c>
      <c r="J215" s="1">
        <v>61.1</v>
      </c>
      <c r="K215" s="1">
        <v>0.6</v>
      </c>
      <c r="L215" t="s">
        <v>16</v>
      </c>
      <c r="M215" s="1" t="s">
        <v>16</v>
      </c>
      <c r="N215" s="1">
        <v>1.22</v>
      </c>
      <c r="O215" s="19" t="s">
        <v>16</v>
      </c>
    </row>
    <row r="216" spans="1:15" x14ac:dyDescent="0.2">
      <c r="A216" s="16">
        <v>44901</v>
      </c>
      <c r="B216" t="s">
        <v>22</v>
      </c>
      <c r="C216">
        <v>1</v>
      </c>
      <c r="D216" s="21">
        <v>0.68819444444444444</v>
      </c>
      <c r="E216" s="1">
        <v>0.65</v>
      </c>
      <c r="F216" s="1">
        <v>25.9</v>
      </c>
      <c r="G216" s="1">
        <v>27.05</v>
      </c>
      <c r="H216" s="1">
        <v>7.86</v>
      </c>
      <c r="I216" s="1">
        <v>7.04</v>
      </c>
      <c r="J216" s="1">
        <v>101</v>
      </c>
      <c r="K216" s="1">
        <v>0.65</v>
      </c>
      <c r="L216" t="s">
        <v>16</v>
      </c>
      <c r="M216" s="1" t="s">
        <v>16</v>
      </c>
      <c r="N216" s="1">
        <v>1.31</v>
      </c>
      <c r="O216" s="19" t="s">
        <v>16</v>
      </c>
    </row>
    <row r="217" spans="1:15" x14ac:dyDescent="0.2">
      <c r="A217" s="16">
        <v>44901</v>
      </c>
      <c r="B217" t="s">
        <v>22</v>
      </c>
      <c r="C217">
        <v>2</v>
      </c>
      <c r="D217" s="21">
        <v>0.6743055555555556</v>
      </c>
      <c r="E217" s="1">
        <v>0.8</v>
      </c>
      <c r="F217" s="1">
        <v>26.2</v>
      </c>
      <c r="G217" s="1">
        <v>26.47</v>
      </c>
      <c r="H217" s="1">
        <v>8.24</v>
      </c>
      <c r="I217" s="1">
        <v>6.18</v>
      </c>
      <c r="J217" s="1">
        <v>88.8</v>
      </c>
      <c r="K217" s="1">
        <v>0.8</v>
      </c>
      <c r="L217" t="s">
        <v>16</v>
      </c>
      <c r="M217" s="1" t="s">
        <v>16</v>
      </c>
      <c r="N217" s="1">
        <v>1.94</v>
      </c>
      <c r="O217" s="19" t="s">
        <v>16</v>
      </c>
    </row>
    <row r="218" spans="1:15" x14ac:dyDescent="0.2">
      <c r="A218" s="16">
        <v>44901</v>
      </c>
      <c r="B218" t="s">
        <v>22</v>
      </c>
      <c r="C218">
        <v>3</v>
      </c>
      <c r="D218" s="21">
        <v>0.68263888888888891</v>
      </c>
      <c r="E218" s="1">
        <v>0.7</v>
      </c>
      <c r="F218" s="1">
        <v>26.1</v>
      </c>
      <c r="G218" s="1">
        <v>26.18</v>
      </c>
      <c r="H218" s="1">
        <v>7.87</v>
      </c>
      <c r="I218" s="1">
        <v>6.36</v>
      </c>
      <c r="J218" s="1">
        <v>91</v>
      </c>
      <c r="K218" s="1">
        <v>0.7</v>
      </c>
      <c r="L218" t="s">
        <v>16</v>
      </c>
      <c r="M218" s="1" t="s">
        <v>16</v>
      </c>
      <c r="N218" s="1">
        <v>2.08</v>
      </c>
      <c r="O218" s="19" t="s">
        <v>16</v>
      </c>
    </row>
    <row r="219" spans="1:15" x14ac:dyDescent="0.2">
      <c r="A219" s="16">
        <v>44930</v>
      </c>
      <c r="B219" t="s">
        <v>15</v>
      </c>
      <c r="C219">
        <v>1</v>
      </c>
      <c r="D219" s="21">
        <v>0.6743055555555556</v>
      </c>
      <c r="E219" s="1">
        <v>0.8</v>
      </c>
      <c r="F219" s="1">
        <v>24.6</v>
      </c>
      <c r="G219" s="1">
        <v>11.07</v>
      </c>
      <c r="H219" s="1">
        <v>7.68</v>
      </c>
      <c r="I219" s="1">
        <v>6.77</v>
      </c>
      <c r="J219" s="1">
        <v>86.6</v>
      </c>
      <c r="K219" s="1">
        <v>0.8</v>
      </c>
      <c r="L219" t="s">
        <v>16</v>
      </c>
      <c r="M219" s="1" t="s">
        <v>16</v>
      </c>
      <c r="N219" s="1">
        <v>1.72</v>
      </c>
      <c r="O219" s="19" t="s">
        <v>16</v>
      </c>
    </row>
    <row r="220" spans="1:15" x14ac:dyDescent="0.2">
      <c r="A220" s="16">
        <v>44930</v>
      </c>
      <c r="B220" t="s">
        <v>15</v>
      </c>
      <c r="C220">
        <v>2</v>
      </c>
      <c r="D220" s="21">
        <v>0.68055555555555547</v>
      </c>
      <c r="E220" s="1">
        <v>0.5</v>
      </c>
      <c r="F220" s="1">
        <v>24.3</v>
      </c>
      <c r="G220" s="1">
        <v>10.99</v>
      </c>
      <c r="H220" s="1">
        <v>7.67</v>
      </c>
      <c r="I220" s="1">
        <v>6.72</v>
      </c>
      <c r="J220" s="1">
        <v>85.4</v>
      </c>
      <c r="K220" s="1">
        <v>0.5</v>
      </c>
      <c r="L220" t="s">
        <v>16</v>
      </c>
      <c r="M220" s="1" t="s">
        <v>16</v>
      </c>
      <c r="N220" s="1">
        <v>1.34</v>
      </c>
      <c r="O220" s="19" t="s">
        <v>16</v>
      </c>
    </row>
    <row r="221" spans="1:15" x14ac:dyDescent="0.2">
      <c r="A221" s="16">
        <v>44930</v>
      </c>
      <c r="B221" t="s">
        <v>15</v>
      </c>
      <c r="C221">
        <v>3</v>
      </c>
      <c r="D221" s="21">
        <v>0.66736111111111107</v>
      </c>
      <c r="E221" s="1">
        <v>0.6</v>
      </c>
      <c r="F221" s="1">
        <v>24.1</v>
      </c>
      <c r="G221" s="1">
        <v>8.68</v>
      </c>
      <c r="H221" s="1">
        <v>7.6</v>
      </c>
      <c r="I221" s="1">
        <v>5.75</v>
      </c>
      <c r="J221" s="1">
        <v>71.8</v>
      </c>
      <c r="K221" s="1">
        <v>0.6</v>
      </c>
      <c r="L221" t="s">
        <v>16</v>
      </c>
      <c r="M221" s="1" t="s">
        <v>16</v>
      </c>
      <c r="N221" s="1">
        <v>1.58</v>
      </c>
      <c r="O221" s="19" t="s">
        <v>16</v>
      </c>
    </row>
    <row r="222" spans="1:15" x14ac:dyDescent="0.2">
      <c r="A222" s="16">
        <v>44930</v>
      </c>
      <c r="B222" t="s">
        <v>22</v>
      </c>
      <c r="C222">
        <v>1</v>
      </c>
      <c r="D222" s="21">
        <v>0.72291666666666676</v>
      </c>
      <c r="E222" s="1">
        <v>0.85</v>
      </c>
      <c r="F222" s="1">
        <v>25.7</v>
      </c>
      <c r="G222" s="1">
        <v>28.19</v>
      </c>
      <c r="H222" s="1">
        <v>7.84</v>
      </c>
      <c r="I222" s="1">
        <v>6.74</v>
      </c>
      <c r="J222" s="1">
        <v>96.9</v>
      </c>
      <c r="K222" s="1">
        <v>0.85</v>
      </c>
      <c r="L222" t="s">
        <v>16</v>
      </c>
      <c r="M222" s="1" t="s">
        <v>16</v>
      </c>
      <c r="N222" s="1">
        <v>1.02</v>
      </c>
      <c r="O222" s="19" t="s">
        <v>16</v>
      </c>
    </row>
    <row r="223" spans="1:15" x14ac:dyDescent="0.2">
      <c r="A223" s="16">
        <v>44930</v>
      </c>
      <c r="B223" t="s">
        <v>22</v>
      </c>
      <c r="C223">
        <v>2</v>
      </c>
      <c r="D223" s="21">
        <v>0.7104166666666667</v>
      </c>
      <c r="E223" s="1">
        <v>0.8</v>
      </c>
      <c r="F223" s="1">
        <v>25.8</v>
      </c>
      <c r="G223" s="1">
        <v>26.75</v>
      </c>
      <c r="H223" s="1">
        <v>7.81</v>
      </c>
      <c r="I223" s="1">
        <v>6.37</v>
      </c>
      <c r="J223" s="1">
        <v>91</v>
      </c>
      <c r="K223" s="1">
        <v>0.8</v>
      </c>
      <c r="L223" t="s">
        <v>16</v>
      </c>
      <c r="M223" s="1" t="s">
        <v>16</v>
      </c>
      <c r="N223" s="1">
        <v>1.76</v>
      </c>
      <c r="O223" s="19" t="s">
        <v>16</v>
      </c>
    </row>
    <row r="224" spans="1:15" x14ac:dyDescent="0.2">
      <c r="A224" s="16">
        <v>44930</v>
      </c>
      <c r="B224" t="s">
        <v>22</v>
      </c>
      <c r="C224">
        <v>3</v>
      </c>
      <c r="D224" s="21">
        <v>0.71666666666666667</v>
      </c>
      <c r="E224" s="1">
        <v>0.75</v>
      </c>
      <c r="F224" s="1">
        <v>25.9</v>
      </c>
      <c r="G224" s="1">
        <v>27.03</v>
      </c>
      <c r="H224" s="1">
        <v>7.74</v>
      </c>
      <c r="I224" s="1">
        <v>5.79</v>
      </c>
      <c r="J224" s="1">
        <v>83</v>
      </c>
      <c r="K224" s="1">
        <v>0.75</v>
      </c>
      <c r="L224" t="s">
        <v>16</v>
      </c>
      <c r="M224" s="1" t="s">
        <v>16</v>
      </c>
      <c r="N224" s="1">
        <v>1.44</v>
      </c>
      <c r="O224" s="19" t="s">
        <v>16</v>
      </c>
    </row>
    <row r="225" spans="1:15" x14ac:dyDescent="0.2">
      <c r="A225" s="16">
        <v>44964</v>
      </c>
      <c r="B225" t="s">
        <v>15</v>
      </c>
      <c r="C225">
        <v>1</v>
      </c>
      <c r="D225" s="21">
        <v>0.64444444444444449</v>
      </c>
      <c r="E225" s="1">
        <v>0.5</v>
      </c>
      <c r="F225" s="1">
        <v>23</v>
      </c>
      <c r="G225" s="1">
        <v>23.05</v>
      </c>
      <c r="H225" s="1">
        <v>7.8</v>
      </c>
      <c r="I225" s="1">
        <v>6.79</v>
      </c>
      <c r="J225" s="1">
        <v>90.5</v>
      </c>
      <c r="K225" s="1">
        <v>0.5</v>
      </c>
      <c r="L225" t="s">
        <v>16</v>
      </c>
      <c r="M225" s="1">
        <v>4.6100000000000003</v>
      </c>
      <c r="N225" s="1">
        <v>2.2400000000000002</v>
      </c>
      <c r="O225" s="19" t="s">
        <v>16</v>
      </c>
    </row>
    <row r="226" spans="1:15" x14ac:dyDescent="0.2">
      <c r="A226" s="16">
        <v>44964</v>
      </c>
      <c r="B226" t="s">
        <v>15</v>
      </c>
      <c r="C226">
        <v>2</v>
      </c>
      <c r="D226" s="21">
        <v>0.65138888888888891</v>
      </c>
      <c r="E226" s="1">
        <v>0.5</v>
      </c>
      <c r="F226" s="1">
        <v>23.1</v>
      </c>
      <c r="G226" s="1">
        <v>23.52</v>
      </c>
      <c r="H226" s="1">
        <v>7.89</v>
      </c>
      <c r="I226" s="1">
        <v>7.55</v>
      </c>
      <c r="J226" s="1">
        <v>101.1</v>
      </c>
      <c r="K226" s="1">
        <v>0.5</v>
      </c>
      <c r="L226" t="s">
        <v>16</v>
      </c>
      <c r="M226" s="1">
        <v>0.95</v>
      </c>
      <c r="N226" s="1">
        <v>2.38</v>
      </c>
      <c r="O226" s="19" t="s">
        <v>16</v>
      </c>
    </row>
    <row r="227" spans="1:15" x14ac:dyDescent="0.2">
      <c r="A227" s="16">
        <v>44964</v>
      </c>
      <c r="B227" t="s">
        <v>15</v>
      </c>
      <c r="C227">
        <v>3</v>
      </c>
      <c r="D227" s="21">
        <v>0.6381944444444444</v>
      </c>
      <c r="E227" s="1">
        <v>0.8</v>
      </c>
      <c r="F227" s="1">
        <v>23</v>
      </c>
      <c r="G227" s="1">
        <v>17.96</v>
      </c>
      <c r="H227" s="1">
        <v>7.7</v>
      </c>
      <c r="I227" s="1">
        <v>5.89</v>
      </c>
      <c r="J227" s="1">
        <v>76.099999999999994</v>
      </c>
      <c r="K227" s="1">
        <v>0.8</v>
      </c>
      <c r="L227" t="s">
        <v>16</v>
      </c>
      <c r="M227" s="1">
        <v>1.57</v>
      </c>
      <c r="N227" s="1">
        <v>0.99</v>
      </c>
      <c r="O227" s="19" t="s">
        <v>16</v>
      </c>
    </row>
    <row r="228" spans="1:15" x14ac:dyDescent="0.2">
      <c r="A228" s="16">
        <v>44964</v>
      </c>
      <c r="B228" t="s">
        <v>22</v>
      </c>
      <c r="C228">
        <v>1</v>
      </c>
      <c r="D228" s="21">
        <v>0.69513888888888886</v>
      </c>
      <c r="E228" s="1">
        <v>0.5</v>
      </c>
      <c r="F228" s="1">
        <v>22.7</v>
      </c>
      <c r="G228" s="1">
        <v>27.58</v>
      </c>
      <c r="H228" s="1">
        <v>7.73</v>
      </c>
      <c r="I228" s="1">
        <v>6.29</v>
      </c>
      <c r="J228" s="1">
        <v>85.4</v>
      </c>
      <c r="K228" s="1">
        <v>0.5</v>
      </c>
      <c r="L228" t="s">
        <v>16</v>
      </c>
      <c r="M228" s="1">
        <v>3.27</v>
      </c>
      <c r="N228" s="1">
        <v>1.1399999999999999</v>
      </c>
      <c r="O228" s="19" t="s">
        <v>16</v>
      </c>
    </row>
    <row r="229" spans="1:15" x14ac:dyDescent="0.2">
      <c r="A229" s="16">
        <v>44964</v>
      </c>
      <c r="B229" t="s">
        <v>22</v>
      </c>
      <c r="C229">
        <v>2</v>
      </c>
      <c r="D229" s="21">
        <v>0.68055555555555547</v>
      </c>
      <c r="E229" s="1">
        <v>0.7</v>
      </c>
      <c r="F229" s="1">
        <v>23.2</v>
      </c>
      <c r="G229" s="1">
        <v>29.05</v>
      </c>
      <c r="H229" s="1">
        <v>7.9</v>
      </c>
      <c r="I229" s="1">
        <v>7.83</v>
      </c>
      <c r="J229" s="1">
        <v>108.4</v>
      </c>
      <c r="K229" s="1">
        <v>0.7</v>
      </c>
      <c r="L229" t="s">
        <v>16</v>
      </c>
      <c r="M229" s="1">
        <v>3.4</v>
      </c>
      <c r="N229" s="1">
        <v>1.2</v>
      </c>
      <c r="O229" s="19" t="s">
        <v>16</v>
      </c>
    </row>
    <row r="230" spans="1:15" x14ac:dyDescent="0.2">
      <c r="A230" s="16">
        <v>44964</v>
      </c>
      <c r="B230" t="s">
        <v>22</v>
      </c>
      <c r="C230">
        <v>3</v>
      </c>
      <c r="D230" s="21">
        <v>0.68611111111111101</v>
      </c>
      <c r="E230" s="1">
        <v>0.5</v>
      </c>
      <c r="F230" s="1">
        <v>22.8</v>
      </c>
      <c r="G230" s="1">
        <v>26.33</v>
      </c>
      <c r="H230" s="1">
        <v>7.78</v>
      </c>
      <c r="I230" s="1">
        <v>7.3</v>
      </c>
      <c r="J230" s="1">
        <v>99.4</v>
      </c>
      <c r="K230" s="1">
        <v>0.5</v>
      </c>
      <c r="L230" t="s">
        <v>16</v>
      </c>
      <c r="M230" s="1">
        <v>4.32</v>
      </c>
      <c r="N230" s="1">
        <v>1.35</v>
      </c>
      <c r="O230" s="19" t="s">
        <v>16</v>
      </c>
    </row>
    <row r="231" spans="1:15" x14ac:dyDescent="0.2">
      <c r="A231" s="16">
        <v>44993</v>
      </c>
      <c r="B231" t="s">
        <v>15</v>
      </c>
      <c r="C231">
        <v>1</v>
      </c>
      <c r="D231" s="21">
        <v>0.6694444444444444</v>
      </c>
      <c r="E231" s="1">
        <v>0.4</v>
      </c>
      <c r="F231" s="1">
        <v>27.7</v>
      </c>
      <c r="G231" s="1">
        <v>25.18</v>
      </c>
      <c r="H231" s="1">
        <v>7.62</v>
      </c>
      <c r="I231" s="1">
        <v>6.01</v>
      </c>
      <c r="J231" s="1">
        <v>87.8</v>
      </c>
      <c r="K231" s="1">
        <v>0.4</v>
      </c>
      <c r="L231" t="s">
        <v>16</v>
      </c>
      <c r="M231" s="1">
        <v>3.36</v>
      </c>
      <c r="N231" s="1">
        <v>1.67</v>
      </c>
      <c r="O231" s="19" t="s">
        <v>16</v>
      </c>
    </row>
    <row r="232" spans="1:15" x14ac:dyDescent="0.2">
      <c r="A232" s="16">
        <v>44993</v>
      </c>
      <c r="B232" t="s">
        <v>15</v>
      </c>
      <c r="C232">
        <v>2</v>
      </c>
      <c r="D232" s="21">
        <v>0.69166666666666676</v>
      </c>
      <c r="E232" s="1">
        <v>0.3</v>
      </c>
      <c r="F232" s="1">
        <v>28</v>
      </c>
      <c r="G232" s="1">
        <v>27.2</v>
      </c>
      <c r="H232" s="1">
        <v>7.66</v>
      </c>
      <c r="I232" s="1">
        <v>6.23</v>
      </c>
      <c r="J232" s="1">
        <v>92.6</v>
      </c>
      <c r="K232" s="1">
        <v>0.3</v>
      </c>
      <c r="L232" t="s">
        <v>16</v>
      </c>
      <c r="M232" s="1">
        <v>2.91</v>
      </c>
      <c r="N232" s="1">
        <v>1.64</v>
      </c>
      <c r="O232" s="19" t="s">
        <v>16</v>
      </c>
    </row>
    <row r="233" spans="1:15" x14ac:dyDescent="0.2">
      <c r="A233" s="16">
        <v>44993</v>
      </c>
      <c r="B233" t="s">
        <v>15</v>
      </c>
      <c r="C233">
        <v>3</v>
      </c>
      <c r="D233" s="21">
        <v>0.6381944444444444</v>
      </c>
      <c r="E233" s="1">
        <v>0.4</v>
      </c>
      <c r="F233" s="1">
        <v>27.6</v>
      </c>
      <c r="G233" s="1">
        <v>22</v>
      </c>
      <c r="H233" s="1">
        <v>7.53</v>
      </c>
      <c r="I233" s="1">
        <v>5.61</v>
      </c>
      <c r="J233" s="1">
        <v>80.400000000000006</v>
      </c>
      <c r="K233" s="1">
        <v>0.4</v>
      </c>
      <c r="L233" t="s">
        <v>16</v>
      </c>
      <c r="M233" s="1">
        <v>2.36</v>
      </c>
      <c r="N233" s="1">
        <v>1.76</v>
      </c>
      <c r="O233" s="19" t="s">
        <v>16</v>
      </c>
    </row>
    <row r="234" spans="1:15" x14ac:dyDescent="0.2">
      <c r="A234" s="16">
        <v>44993</v>
      </c>
      <c r="B234" t="s">
        <v>22</v>
      </c>
      <c r="C234">
        <v>1</v>
      </c>
      <c r="D234" s="21">
        <v>0.75624999999999998</v>
      </c>
      <c r="E234" s="1">
        <v>0.3</v>
      </c>
      <c r="F234" s="1">
        <v>26.9</v>
      </c>
      <c r="G234" s="1">
        <v>34.24</v>
      </c>
      <c r="H234" s="1">
        <v>7.86</v>
      </c>
      <c r="I234" s="1">
        <v>7.09</v>
      </c>
      <c r="J234" s="1">
        <v>107.6</v>
      </c>
      <c r="K234" s="1">
        <v>0.2</v>
      </c>
      <c r="L234" t="s">
        <v>16</v>
      </c>
      <c r="M234" s="1">
        <v>13.36</v>
      </c>
      <c r="N234" s="1">
        <v>2.08</v>
      </c>
      <c r="O234" s="19" t="s">
        <v>16</v>
      </c>
    </row>
    <row r="235" spans="1:15" x14ac:dyDescent="0.2">
      <c r="A235" s="16">
        <v>44993</v>
      </c>
      <c r="B235" t="s">
        <v>22</v>
      </c>
      <c r="C235">
        <v>2</v>
      </c>
      <c r="D235" s="21">
        <v>0.7284722222222223</v>
      </c>
      <c r="E235" s="1">
        <v>0.5</v>
      </c>
      <c r="F235" s="1">
        <v>27.1</v>
      </c>
      <c r="G235" s="1">
        <v>33.630000000000003</v>
      </c>
      <c r="H235" s="1">
        <v>7.74</v>
      </c>
      <c r="I235" s="1">
        <v>6.71</v>
      </c>
      <c r="J235" s="1">
        <v>102.1</v>
      </c>
      <c r="K235" s="1">
        <v>0.5</v>
      </c>
      <c r="L235" t="s">
        <v>16</v>
      </c>
      <c r="M235" s="1">
        <v>4.3099999999999996</v>
      </c>
      <c r="N235" s="1">
        <v>5.68</v>
      </c>
      <c r="O235" s="19" t="s">
        <v>16</v>
      </c>
    </row>
    <row r="236" spans="1:15" x14ac:dyDescent="0.2">
      <c r="A236" s="16">
        <v>44993</v>
      </c>
      <c r="B236" t="s">
        <v>22</v>
      </c>
      <c r="C236">
        <v>3</v>
      </c>
      <c r="D236" s="21">
        <v>0.74236111111111114</v>
      </c>
      <c r="E236" s="1">
        <v>0.3</v>
      </c>
      <c r="F236" s="1">
        <v>27</v>
      </c>
      <c r="G236" s="1">
        <v>33.659999999999997</v>
      </c>
      <c r="H236" s="1">
        <v>7.73</v>
      </c>
      <c r="I236" s="1">
        <v>6.33</v>
      </c>
      <c r="J236" s="1">
        <v>95.9</v>
      </c>
      <c r="K236" s="1">
        <v>0.3</v>
      </c>
      <c r="L236" t="s">
        <v>16</v>
      </c>
      <c r="M236" s="1">
        <v>7.44</v>
      </c>
      <c r="N236" s="1">
        <v>2.52</v>
      </c>
      <c r="O236" s="19" t="s">
        <v>16</v>
      </c>
    </row>
    <row r="237" spans="1:15" x14ac:dyDescent="0.2">
      <c r="A237" s="16">
        <v>45020</v>
      </c>
      <c r="B237" t="s">
        <v>15</v>
      </c>
      <c r="C237">
        <v>1</v>
      </c>
      <c r="D237" s="21">
        <v>0.69027777777777777</v>
      </c>
      <c r="E237" s="1">
        <v>0.5</v>
      </c>
      <c r="F237" s="1">
        <v>27.8</v>
      </c>
      <c r="G237" s="1">
        <v>25.74</v>
      </c>
      <c r="H237" s="1">
        <v>7.73</v>
      </c>
      <c r="I237" s="1">
        <v>6.48</v>
      </c>
      <c r="J237" s="1">
        <v>95.1</v>
      </c>
      <c r="K237" s="1">
        <v>0.5</v>
      </c>
      <c r="L237" t="s">
        <v>16</v>
      </c>
      <c r="M237" s="1">
        <v>7.01</v>
      </c>
      <c r="N237" s="1">
        <v>1.97</v>
      </c>
      <c r="O237" s="19" t="s">
        <v>16</v>
      </c>
    </row>
    <row r="238" spans="1:15" x14ac:dyDescent="0.2">
      <c r="A238" s="16">
        <v>45020</v>
      </c>
      <c r="B238" t="s">
        <v>15</v>
      </c>
      <c r="C238">
        <v>2</v>
      </c>
      <c r="D238" s="21">
        <v>0.69513888888888886</v>
      </c>
      <c r="E238" s="1">
        <v>0.4</v>
      </c>
      <c r="F238" s="1">
        <v>27.8</v>
      </c>
      <c r="G238" s="1">
        <v>25.11</v>
      </c>
      <c r="H238" s="1">
        <v>7.7</v>
      </c>
      <c r="I238" s="1">
        <v>6.33</v>
      </c>
      <c r="J238" s="1">
        <v>92.6</v>
      </c>
      <c r="K238" s="1">
        <v>0.4</v>
      </c>
      <c r="L238" t="s">
        <v>16</v>
      </c>
      <c r="M238" s="1">
        <v>4.82</v>
      </c>
      <c r="N238" s="1">
        <v>2.16</v>
      </c>
      <c r="O238" s="19" t="s">
        <v>16</v>
      </c>
    </row>
    <row r="239" spans="1:15" x14ac:dyDescent="0.2">
      <c r="A239" s="16">
        <v>45020</v>
      </c>
      <c r="B239" t="s">
        <v>15</v>
      </c>
      <c r="C239">
        <v>3</v>
      </c>
      <c r="D239" s="21">
        <v>0.68194444444444446</v>
      </c>
      <c r="E239" s="1">
        <v>0.7</v>
      </c>
      <c r="F239" s="1">
        <v>27.7</v>
      </c>
      <c r="G239" s="1">
        <v>21.62</v>
      </c>
      <c r="H239" s="1">
        <v>7.6</v>
      </c>
      <c r="I239" s="1">
        <v>5.58</v>
      </c>
      <c r="J239" s="1">
        <v>80.099999999999994</v>
      </c>
      <c r="K239" s="1">
        <v>0.7</v>
      </c>
      <c r="L239" t="s">
        <v>16</v>
      </c>
      <c r="M239" s="1">
        <v>2.69</v>
      </c>
      <c r="N239" s="1">
        <v>1.61</v>
      </c>
      <c r="O239" s="19" t="s">
        <v>16</v>
      </c>
    </row>
    <row r="240" spans="1:15" x14ac:dyDescent="0.2">
      <c r="A240" s="16">
        <v>45020</v>
      </c>
      <c r="B240" t="s">
        <v>22</v>
      </c>
      <c r="C240">
        <v>1</v>
      </c>
      <c r="D240" s="21">
        <v>0.73472222222222217</v>
      </c>
      <c r="E240" s="1">
        <v>0.6</v>
      </c>
      <c r="F240" s="1">
        <v>27.8</v>
      </c>
      <c r="G240" s="1">
        <v>33.200000000000003</v>
      </c>
      <c r="H240" s="1">
        <v>7.81</v>
      </c>
      <c r="I240" s="1">
        <v>6.82</v>
      </c>
      <c r="J240" s="1">
        <v>104.2</v>
      </c>
      <c r="K240" s="1">
        <v>0.6</v>
      </c>
      <c r="L240" t="s">
        <v>16</v>
      </c>
      <c r="M240" s="1">
        <v>7.48</v>
      </c>
      <c r="N240" s="1">
        <v>5.93</v>
      </c>
      <c r="O240" s="19" t="s">
        <v>16</v>
      </c>
    </row>
    <row r="241" spans="1:15" x14ac:dyDescent="0.2">
      <c r="A241" s="16">
        <v>45020</v>
      </c>
      <c r="B241" t="s">
        <v>22</v>
      </c>
      <c r="C241">
        <v>2</v>
      </c>
      <c r="D241" s="21">
        <v>0.72222222222222221</v>
      </c>
      <c r="E241" s="1">
        <v>0.5</v>
      </c>
      <c r="F241" s="1">
        <v>27.7</v>
      </c>
      <c r="G241" s="1">
        <v>32.31</v>
      </c>
      <c r="H241" s="1">
        <v>7.86</v>
      </c>
      <c r="I241" s="1">
        <v>7.44</v>
      </c>
      <c r="J241" s="1">
        <v>113.2</v>
      </c>
      <c r="K241" s="1">
        <v>0.4</v>
      </c>
      <c r="L241" t="s">
        <v>16</v>
      </c>
      <c r="M241" s="1">
        <v>17.809999999999999</v>
      </c>
      <c r="N241" s="1">
        <v>9.09</v>
      </c>
      <c r="O241" s="19" t="s">
        <v>16</v>
      </c>
    </row>
    <row r="242" spans="1:15" x14ac:dyDescent="0.2">
      <c r="A242" s="16">
        <v>45020</v>
      </c>
      <c r="B242" t="s">
        <v>22</v>
      </c>
      <c r="C242">
        <v>3</v>
      </c>
      <c r="D242" s="21">
        <v>0.73055555555555562</v>
      </c>
      <c r="E242" s="1">
        <v>0.6</v>
      </c>
      <c r="F242" s="1">
        <v>28.1</v>
      </c>
      <c r="G242" s="1">
        <v>32.700000000000003</v>
      </c>
      <c r="H242" s="1">
        <v>7.8</v>
      </c>
      <c r="I242" s="1">
        <v>7.11</v>
      </c>
      <c r="J242" s="1">
        <v>109.6</v>
      </c>
      <c r="K242" s="1">
        <v>0.6</v>
      </c>
      <c r="L242" t="s">
        <v>16</v>
      </c>
      <c r="M242" s="1">
        <v>6.08</v>
      </c>
      <c r="N242" s="1">
        <v>5.63</v>
      </c>
      <c r="O242" s="19" t="s">
        <v>16</v>
      </c>
    </row>
    <row r="243" spans="1:15" x14ac:dyDescent="0.2">
      <c r="A243" s="16">
        <v>45048</v>
      </c>
      <c r="B243" t="s">
        <v>15</v>
      </c>
      <c r="C243">
        <v>1</v>
      </c>
      <c r="D243" s="21">
        <v>0.67638888888888893</v>
      </c>
      <c r="E243" s="1">
        <v>0.9</v>
      </c>
      <c r="F243" s="1">
        <v>29.3</v>
      </c>
      <c r="G243" s="1">
        <v>21.71</v>
      </c>
      <c r="H243" s="1">
        <v>7.95</v>
      </c>
      <c r="I243" s="1">
        <v>8.1199999999999992</v>
      </c>
      <c r="J243" s="1">
        <v>120.3</v>
      </c>
      <c r="K243" s="1">
        <v>0.9</v>
      </c>
      <c r="L243" t="s">
        <v>16</v>
      </c>
      <c r="M243" s="1">
        <v>3.86</v>
      </c>
      <c r="N243" s="1">
        <v>3.33</v>
      </c>
      <c r="O243" s="19" t="s">
        <v>16</v>
      </c>
    </row>
    <row r="244" spans="1:15" x14ac:dyDescent="0.2">
      <c r="A244" s="16">
        <v>45048</v>
      </c>
      <c r="B244" t="s">
        <v>15</v>
      </c>
      <c r="C244">
        <v>2</v>
      </c>
      <c r="D244" s="21">
        <v>0.68333333333333324</v>
      </c>
      <c r="E244" s="1">
        <v>0.4</v>
      </c>
      <c r="F244" s="1">
        <v>29.6</v>
      </c>
      <c r="G244" s="1">
        <v>20.37</v>
      </c>
      <c r="H244" s="1">
        <v>7.94</v>
      </c>
      <c r="I244" s="1">
        <v>8.11</v>
      </c>
      <c r="J244" s="1">
        <v>119.5</v>
      </c>
      <c r="K244" s="1">
        <v>0.4</v>
      </c>
      <c r="L244" t="s">
        <v>16</v>
      </c>
      <c r="M244" s="1">
        <v>4.5199999999999996</v>
      </c>
      <c r="N244" s="1">
        <v>2.29</v>
      </c>
      <c r="O244" s="19" t="s">
        <v>16</v>
      </c>
    </row>
    <row r="245" spans="1:15" x14ac:dyDescent="0.2">
      <c r="A245" s="16">
        <v>45048</v>
      </c>
      <c r="B245" t="s">
        <v>15</v>
      </c>
      <c r="C245">
        <v>3</v>
      </c>
      <c r="D245" s="21">
        <v>0.66666666666666663</v>
      </c>
      <c r="E245" s="1">
        <v>0.55000000000000004</v>
      </c>
      <c r="F245" s="1">
        <v>29.2</v>
      </c>
      <c r="G245" s="1">
        <v>8.49</v>
      </c>
      <c r="H245" s="1">
        <v>7.72</v>
      </c>
      <c r="I245" s="1">
        <v>6.82</v>
      </c>
      <c r="J245" s="1">
        <v>93.2</v>
      </c>
      <c r="K245" s="1">
        <v>0.55000000000000004</v>
      </c>
      <c r="L245" t="s">
        <v>16</v>
      </c>
      <c r="M245" s="1">
        <v>2.02</v>
      </c>
      <c r="N245" s="1">
        <v>2.0099999999999998</v>
      </c>
      <c r="O245" s="19" t="s">
        <v>16</v>
      </c>
    </row>
    <row r="246" spans="1:15" x14ac:dyDescent="0.2">
      <c r="A246" s="16">
        <v>45048</v>
      </c>
      <c r="B246" t="s">
        <v>22</v>
      </c>
      <c r="C246">
        <v>1</v>
      </c>
      <c r="D246" s="21">
        <v>0.72916666666666663</v>
      </c>
      <c r="E246" s="1">
        <v>0.8</v>
      </c>
      <c r="F246" s="1">
        <v>29.3</v>
      </c>
      <c r="G246" s="1">
        <v>30.48</v>
      </c>
      <c r="H246" s="1">
        <v>8.07</v>
      </c>
      <c r="I246" s="1">
        <v>8.8699999999999992</v>
      </c>
      <c r="J246" s="1">
        <v>137.30000000000001</v>
      </c>
      <c r="K246" s="1">
        <v>0.8</v>
      </c>
      <c r="L246" t="s">
        <v>16</v>
      </c>
      <c r="M246" s="1">
        <v>4.63</v>
      </c>
      <c r="N246" s="1">
        <v>2.36</v>
      </c>
      <c r="O246" s="19" t="s">
        <v>16</v>
      </c>
    </row>
    <row r="247" spans="1:15" x14ac:dyDescent="0.2">
      <c r="A247" s="16">
        <v>45048</v>
      </c>
      <c r="B247" t="s">
        <v>22</v>
      </c>
      <c r="C247">
        <v>2</v>
      </c>
      <c r="D247" s="21">
        <v>0.71388888888888891</v>
      </c>
      <c r="E247" s="1">
        <v>0.7</v>
      </c>
      <c r="F247" s="1">
        <v>30</v>
      </c>
      <c r="G247" s="1">
        <v>30.19</v>
      </c>
      <c r="H247" s="1">
        <v>8.0500000000000007</v>
      </c>
      <c r="I247" s="1">
        <v>9.6199999999999992</v>
      </c>
      <c r="J247" s="1">
        <v>150</v>
      </c>
      <c r="K247" s="1">
        <v>0.6</v>
      </c>
      <c r="L247" t="s">
        <v>16</v>
      </c>
      <c r="M247" s="1">
        <v>10.42</v>
      </c>
      <c r="N247" s="1">
        <v>3.43</v>
      </c>
      <c r="O247" s="19" t="s">
        <v>16</v>
      </c>
    </row>
    <row r="248" spans="1:15" x14ac:dyDescent="0.2">
      <c r="A248" s="16">
        <v>45048</v>
      </c>
      <c r="B248" t="s">
        <v>22</v>
      </c>
      <c r="C248">
        <v>3</v>
      </c>
      <c r="D248" s="21">
        <v>0.72083333333333333</v>
      </c>
      <c r="E248" s="1">
        <v>0.8</v>
      </c>
      <c r="F248" s="1">
        <v>29.9</v>
      </c>
      <c r="G248" s="1">
        <v>30.72</v>
      </c>
      <c r="H248" s="1">
        <v>8.0500000000000007</v>
      </c>
      <c r="I248" s="1">
        <v>9.56</v>
      </c>
      <c r="J248" s="1">
        <v>150.1</v>
      </c>
      <c r="K248" s="1">
        <v>0.7</v>
      </c>
      <c r="L248" t="s">
        <v>16</v>
      </c>
      <c r="M248" s="1">
        <v>5.5</v>
      </c>
      <c r="N248" s="1">
        <v>3.98</v>
      </c>
      <c r="O248" s="19" t="s">
        <v>16</v>
      </c>
    </row>
    <row r="249" spans="1:15" x14ac:dyDescent="0.2">
      <c r="A249" s="16">
        <v>45083</v>
      </c>
      <c r="B249" t="s">
        <v>15</v>
      </c>
      <c r="C249">
        <v>1</v>
      </c>
      <c r="D249" s="21">
        <v>0.67499999999999993</v>
      </c>
      <c r="E249" s="1">
        <v>0.6</v>
      </c>
      <c r="F249" s="1">
        <v>29.4</v>
      </c>
      <c r="G249" s="1">
        <v>18.62</v>
      </c>
      <c r="H249" s="1">
        <v>7.67</v>
      </c>
      <c r="I249" s="1">
        <v>5.91</v>
      </c>
      <c r="J249" s="1">
        <v>85.1</v>
      </c>
      <c r="K249" s="1">
        <v>0.6</v>
      </c>
      <c r="L249" t="s">
        <v>16</v>
      </c>
      <c r="M249" s="1">
        <v>1.89</v>
      </c>
      <c r="N249" s="1">
        <v>4.9400000000000004</v>
      </c>
      <c r="O249" s="19" t="s">
        <v>16</v>
      </c>
    </row>
    <row r="250" spans="1:15" x14ac:dyDescent="0.2">
      <c r="A250" s="16">
        <v>45083</v>
      </c>
      <c r="B250" t="s">
        <v>15</v>
      </c>
      <c r="C250">
        <v>2</v>
      </c>
      <c r="D250" s="21">
        <v>0.68125000000000002</v>
      </c>
      <c r="E250" s="1">
        <v>0.6</v>
      </c>
      <c r="F250" s="1">
        <v>29.6</v>
      </c>
      <c r="G250" s="1">
        <v>19.34</v>
      </c>
      <c r="H250" s="1">
        <v>7.75</v>
      </c>
      <c r="I250" s="1">
        <v>6.61</v>
      </c>
      <c r="J250" s="1">
        <v>96.6</v>
      </c>
      <c r="K250" s="1">
        <v>0.6</v>
      </c>
      <c r="L250" t="s">
        <v>16</v>
      </c>
      <c r="M250" s="1">
        <v>1.51</v>
      </c>
      <c r="N250" s="1">
        <v>3.28</v>
      </c>
      <c r="O250" s="19" t="s">
        <v>16</v>
      </c>
    </row>
    <row r="251" spans="1:15" x14ac:dyDescent="0.2">
      <c r="A251" s="16">
        <v>45083</v>
      </c>
      <c r="B251" t="s">
        <v>15</v>
      </c>
      <c r="C251">
        <v>3</v>
      </c>
      <c r="D251" s="21">
        <v>0.66875000000000007</v>
      </c>
      <c r="E251" s="1">
        <v>0.6</v>
      </c>
      <c r="F251" s="1">
        <v>29.1</v>
      </c>
      <c r="G251" s="1">
        <v>12.76</v>
      </c>
      <c r="H251" s="1">
        <v>7.57</v>
      </c>
      <c r="I251" s="1">
        <v>5.18</v>
      </c>
      <c r="J251" s="1">
        <v>72.400000000000006</v>
      </c>
      <c r="K251" s="1">
        <v>0.6</v>
      </c>
      <c r="L251" t="s">
        <v>16</v>
      </c>
      <c r="M251" s="1">
        <v>1.57</v>
      </c>
      <c r="N251" s="1">
        <v>1.53</v>
      </c>
      <c r="O251" s="19" t="s">
        <v>16</v>
      </c>
    </row>
    <row r="252" spans="1:15" x14ac:dyDescent="0.2">
      <c r="A252" s="16">
        <v>45083</v>
      </c>
      <c r="B252" t="s">
        <v>22</v>
      </c>
      <c r="C252">
        <v>1</v>
      </c>
      <c r="D252" s="21">
        <v>0.72986111111111107</v>
      </c>
      <c r="E252" s="1">
        <v>0.6</v>
      </c>
      <c r="F252" s="1">
        <v>29.3</v>
      </c>
      <c r="G252" s="1">
        <v>25.79</v>
      </c>
      <c r="H252" s="1">
        <v>7.72</v>
      </c>
      <c r="I252" s="1">
        <v>6.57</v>
      </c>
      <c r="J252" s="1">
        <v>99</v>
      </c>
      <c r="K252" s="1">
        <v>0.6</v>
      </c>
      <c r="L252" t="s">
        <v>16</v>
      </c>
      <c r="M252" s="1">
        <v>2.4300000000000002</v>
      </c>
      <c r="N252" s="1">
        <v>6.63</v>
      </c>
      <c r="O252" s="19" t="s">
        <v>16</v>
      </c>
    </row>
    <row r="253" spans="1:15" x14ac:dyDescent="0.2">
      <c r="A253" s="16">
        <v>45083</v>
      </c>
      <c r="B253" t="s">
        <v>22</v>
      </c>
      <c r="C253">
        <v>2</v>
      </c>
      <c r="D253" s="21">
        <v>0.71458333333333324</v>
      </c>
      <c r="E253" s="1">
        <v>0.65</v>
      </c>
      <c r="F253" s="1">
        <v>29.7</v>
      </c>
      <c r="G253" s="1">
        <v>26.3</v>
      </c>
      <c r="H253" s="1">
        <v>7.83</v>
      </c>
      <c r="I253" s="1">
        <v>7.45</v>
      </c>
      <c r="J253" s="1">
        <v>113.4</v>
      </c>
      <c r="K253" s="1">
        <v>0.65</v>
      </c>
      <c r="L253" t="s">
        <v>16</v>
      </c>
      <c r="M253" s="1">
        <v>4.34</v>
      </c>
      <c r="N253" s="1">
        <v>8.19</v>
      </c>
      <c r="O253" s="19" t="s">
        <v>16</v>
      </c>
    </row>
    <row r="254" spans="1:15" x14ac:dyDescent="0.2">
      <c r="A254" s="16">
        <v>45083</v>
      </c>
      <c r="B254" t="s">
        <v>22</v>
      </c>
      <c r="C254">
        <v>3</v>
      </c>
      <c r="D254" s="21">
        <v>0.71944444444444444</v>
      </c>
      <c r="E254" s="1">
        <v>0.6</v>
      </c>
      <c r="F254" s="1">
        <v>29.3</v>
      </c>
      <c r="G254" s="1">
        <v>23.56</v>
      </c>
      <c r="H254" s="1">
        <v>7.79</v>
      </c>
      <c r="I254" s="1">
        <v>7.49</v>
      </c>
      <c r="J254" s="1">
        <v>111.6</v>
      </c>
      <c r="K254" s="1">
        <v>0.6</v>
      </c>
      <c r="L254" t="s">
        <v>16</v>
      </c>
      <c r="M254" s="1">
        <v>1.91</v>
      </c>
      <c r="N254" s="1">
        <v>4.34</v>
      </c>
      <c r="O254" s="19" t="s">
        <v>16</v>
      </c>
    </row>
    <row r="255" spans="1:15" x14ac:dyDescent="0.2">
      <c r="A255" s="16">
        <v>45112</v>
      </c>
      <c r="B255" t="s">
        <v>15</v>
      </c>
      <c r="C255">
        <v>1</v>
      </c>
      <c r="D255" s="21">
        <v>0.65555555555555556</v>
      </c>
      <c r="E255" s="1">
        <v>0.6</v>
      </c>
      <c r="F255" s="1">
        <v>32.799999999999997</v>
      </c>
      <c r="G255" s="1">
        <v>10.28</v>
      </c>
      <c r="H255" s="1">
        <v>7.67</v>
      </c>
      <c r="I255" s="1">
        <v>5.3</v>
      </c>
      <c r="J255" s="1">
        <v>77.599999999999994</v>
      </c>
      <c r="K255" s="1">
        <v>0.6</v>
      </c>
      <c r="L255" t="s">
        <v>16</v>
      </c>
      <c r="M255" s="1">
        <v>5.27</v>
      </c>
      <c r="N255" s="1">
        <v>10.4</v>
      </c>
      <c r="O255" s="19" t="s">
        <v>16</v>
      </c>
    </row>
    <row r="256" spans="1:15" x14ac:dyDescent="0.2">
      <c r="A256" s="16">
        <v>45112</v>
      </c>
      <c r="B256" t="s">
        <v>15</v>
      </c>
      <c r="C256">
        <v>2</v>
      </c>
      <c r="D256" s="21">
        <v>0.66180555555555554</v>
      </c>
      <c r="E256" s="1">
        <v>0.6</v>
      </c>
      <c r="F256" s="1">
        <v>33.700000000000003</v>
      </c>
      <c r="G256" s="1">
        <v>10.8</v>
      </c>
      <c r="H256" s="1">
        <v>7.74</v>
      </c>
      <c r="I256" s="1">
        <v>6.06</v>
      </c>
      <c r="J256" s="1">
        <v>90.3</v>
      </c>
      <c r="K256" s="1">
        <v>0.6</v>
      </c>
      <c r="L256" t="s">
        <v>16</v>
      </c>
      <c r="M256" s="1">
        <v>2.67</v>
      </c>
      <c r="N256" s="1">
        <v>3.97</v>
      </c>
      <c r="O256" s="19" t="s">
        <v>16</v>
      </c>
    </row>
    <row r="257" spans="1:15" x14ac:dyDescent="0.2">
      <c r="A257" s="16">
        <v>45112</v>
      </c>
      <c r="B257" t="s">
        <v>15</v>
      </c>
      <c r="C257">
        <v>3</v>
      </c>
      <c r="D257" s="21">
        <v>0.6479166666666667</v>
      </c>
      <c r="E257" s="1">
        <v>0.55000000000000004</v>
      </c>
      <c r="F257" s="1">
        <v>32</v>
      </c>
      <c r="G257" s="1">
        <v>4.72</v>
      </c>
      <c r="H257" s="1">
        <v>7.61</v>
      </c>
      <c r="I257" s="1">
        <v>4.62</v>
      </c>
      <c r="J257" s="1">
        <v>64.8</v>
      </c>
      <c r="K257" s="1">
        <v>0.55000000000000004</v>
      </c>
      <c r="L257" t="s">
        <v>16</v>
      </c>
      <c r="M257" s="1">
        <v>2.42</v>
      </c>
      <c r="N257" s="1">
        <v>4.45</v>
      </c>
      <c r="O257" s="19" t="s">
        <v>16</v>
      </c>
    </row>
    <row r="258" spans="1:15" x14ac:dyDescent="0.2">
      <c r="A258" s="16">
        <v>45112</v>
      </c>
      <c r="B258" t="s">
        <v>22</v>
      </c>
      <c r="C258">
        <v>1</v>
      </c>
      <c r="D258" s="21">
        <v>0.70624999999999993</v>
      </c>
      <c r="E258" s="1">
        <v>0.55000000000000004</v>
      </c>
      <c r="F258" s="1">
        <v>33.299999999999997</v>
      </c>
      <c r="G258" s="1">
        <v>25.31</v>
      </c>
      <c r="H258" s="1">
        <v>7.81</v>
      </c>
      <c r="I258" s="1">
        <v>6.1</v>
      </c>
      <c r="J258" s="1">
        <v>97.8</v>
      </c>
      <c r="K258" s="1">
        <v>0.55000000000000004</v>
      </c>
      <c r="L258" t="s">
        <v>16</v>
      </c>
      <c r="M258" s="1">
        <v>4.2300000000000004</v>
      </c>
      <c r="N258" s="1">
        <v>5.7</v>
      </c>
      <c r="O258" s="19" t="s">
        <v>16</v>
      </c>
    </row>
    <row r="259" spans="1:15" x14ac:dyDescent="0.2">
      <c r="A259" s="16">
        <v>45112</v>
      </c>
      <c r="B259" t="s">
        <v>22</v>
      </c>
      <c r="C259">
        <v>2</v>
      </c>
      <c r="D259" s="21">
        <v>0.69236111111111109</v>
      </c>
      <c r="E259" s="1">
        <v>0.6</v>
      </c>
      <c r="F259" s="1">
        <v>33.4</v>
      </c>
      <c r="G259" s="1">
        <v>26.36</v>
      </c>
      <c r="H259" s="1">
        <v>7.93</v>
      </c>
      <c r="I259" s="1">
        <v>7.5</v>
      </c>
      <c r="J259" s="1">
        <v>121.1</v>
      </c>
      <c r="K259" s="1">
        <v>0.6</v>
      </c>
      <c r="L259" t="s">
        <v>16</v>
      </c>
      <c r="M259" s="1">
        <v>3.34</v>
      </c>
      <c r="N259" s="1">
        <v>2.74</v>
      </c>
      <c r="O259" s="19" t="s">
        <v>16</v>
      </c>
    </row>
    <row r="260" spans="1:15" x14ac:dyDescent="0.2">
      <c r="A260" s="16">
        <v>45112</v>
      </c>
      <c r="B260" t="s">
        <v>22</v>
      </c>
      <c r="C260">
        <v>3</v>
      </c>
      <c r="D260" s="21">
        <v>0.69861111111111107</v>
      </c>
      <c r="E260" s="1">
        <v>0.45</v>
      </c>
      <c r="F260" s="1">
        <v>33.6</v>
      </c>
      <c r="G260" s="1">
        <v>24.89</v>
      </c>
      <c r="H260" s="1">
        <v>7.93</v>
      </c>
      <c r="I260" s="1">
        <v>7.65</v>
      </c>
      <c r="J260" s="1">
        <v>123.3</v>
      </c>
      <c r="K260" s="1">
        <v>0.45</v>
      </c>
      <c r="L260" t="s">
        <v>16</v>
      </c>
      <c r="M260" s="1">
        <v>3.18</v>
      </c>
      <c r="N260" s="1">
        <v>3.08</v>
      </c>
      <c r="O260" s="19" t="s">
        <v>16</v>
      </c>
    </row>
    <row r="261" spans="1:15" x14ac:dyDescent="0.2">
      <c r="A261" s="16">
        <v>45139</v>
      </c>
      <c r="B261" t="s">
        <v>15</v>
      </c>
      <c r="C261">
        <v>1</v>
      </c>
      <c r="D261" s="21">
        <v>0.65833333333333333</v>
      </c>
      <c r="E261" s="1">
        <v>0.35</v>
      </c>
      <c r="F261" s="1">
        <v>32</v>
      </c>
      <c r="G261" s="1">
        <v>11.02</v>
      </c>
      <c r="H261" s="1">
        <v>7.7</v>
      </c>
      <c r="I261" s="1">
        <v>5.87</v>
      </c>
      <c r="J261" s="1">
        <v>84</v>
      </c>
      <c r="K261" s="1">
        <v>0.35</v>
      </c>
      <c r="L261" t="s">
        <v>16</v>
      </c>
      <c r="M261" s="1">
        <v>2.41</v>
      </c>
      <c r="N261" s="1">
        <v>1.43</v>
      </c>
      <c r="O261" s="19" t="s">
        <v>16</v>
      </c>
    </row>
    <row r="262" spans="1:15" x14ac:dyDescent="0.2">
      <c r="A262" s="16">
        <v>45139</v>
      </c>
      <c r="B262" t="s">
        <v>15</v>
      </c>
      <c r="C262">
        <v>2</v>
      </c>
      <c r="D262" s="21">
        <v>0.66527777777777775</v>
      </c>
      <c r="E262" s="1">
        <v>0.5</v>
      </c>
      <c r="F262" s="1">
        <v>32.5</v>
      </c>
      <c r="G262" s="1">
        <v>13.05</v>
      </c>
      <c r="H262" s="1">
        <v>7.77</v>
      </c>
      <c r="I262" s="1">
        <v>6.08</v>
      </c>
      <c r="J262" s="1">
        <v>90.3</v>
      </c>
      <c r="K262" s="1">
        <v>0.5</v>
      </c>
      <c r="L262" t="s">
        <v>16</v>
      </c>
      <c r="M262" s="1">
        <v>6.88</v>
      </c>
      <c r="N262" s="1">
        <v>1.97</v>
      </c>
      <c r="O262" s="19" t="s">
        <v>16</v>
      </c>
    </row>
    <row r="263" spans="1:15" x14ac:dyDescent="0.2">
      <c r="A263" s="16">
        <v>45139</v>
      </c>
      <c r="B263" t="s">
        <v>15</v>
      </c>
      <c r="C263">
        <v>3</v>
      </c>
      <c r="D263" s="21">
        <v>0.64930555555555558</v>
      </c>
      <c r="E263" s="1">
        <v>0.6</v>
      </c>
      <c r="F263" s="1">
        <v>31</v>
      </c>
      <c r="G263" s="1">
        <v>4.8499999999999996</v>
      </c>
      <c r="H263" s="1">
        <v>7.58</v>
      </c>
      <c r="I263" s="1">
        <v>4.6500000000000004</v>
      </c>
      <c r="J263" s="1">
        <v>64.099999999999994</v>
      </c>
      <c r="K263" s="1">
        <v>0.6</v>
      </c>
      <c r="L263" t="s">
        <v>16</v>
      </c>
      <c r="M263" s="1">
        <v>1.73</v>
      </c>
      <c r="N263" s="1">
        <v>1.4</v>
      </c>
      <c r="O263" s="19" t="s">
        <v>16</v>
      </c>
    </row>
    <row r="264" spans="1:15" x14ac:dyDescent="0.2">
      <c r="A264" s="16">
        <v>45139</v>
      </c>
      <c r="B264" t="s">
        <v>22</v>
      </c>
      <c r="C264">
        <v>1</v>
      </c>
      <c r="D264" s="21">
        <v>0.70972222222222225</v>
      </c>
      <c r="E264" s="1">
        <v>0.5</v>
      </c>
      <c r="F264" s="1">
        <v>31.2</v>
      </c>
      <c r="G264" s="1">
        <v>28.03</v>
      </c>
      <c r="H264" s="1">
        <v>7.99</v>
      </c>
      <c r="I264" s="1">
        <v>8.0500000000000007</v>
      </c>
      <c r="J264" s="1">
        <v>127</v>
      </c>
      <c r="K264" s="1">
        <v>0.5</v>
      </c>
      <c r="L264" t="s">
        <v>16</v>
      </c>
      <c r="M264" s="1">
        <v>5.19</v>
      </c>
      <c r="N264" s="1">
        <v>2.2400000000000002</v>
      </c>
      <c r="O264" s="19" t="s">
        <v>16</v>
      </c>
    </row>
    <row r="265" spans="1:15" x14ac:dyDescent="0.2">
      <c r="A265" s="16">
        <v>45139</v>
      </c>
      <c r="B265" t="s">
        <v>22</v>
      </c>
      <c r="C265">
        <v>2</v>
      </c>
      <c r="D265" s="21">
        <v>0.69861111111111107</v>
      </c>
      <c r="E265" s="1">
        <v>0.45</v>
      </c>
      <c r="F265" s="1">
        <v>32.4</v>
      </c>
      <c r="G265" s="1">
        <v>23.82</v>
      </c>
      <c r="H265" s="1">
        <v>7.93</v>
      </c>
      <c r="I265" s="1">
        <v>7.69</v>
      </c>
      <c r="J265" s="1">
        <v>120.8</v>
      </c>
      <c r="K265" s="1">
        <v>0.45</v>
      </c>
      <c r="L265" t="s">
        <v>16</v>
      </c>
      <c r="M265" s="1">
        <v>7.52</v>
      </c>
      <c r="N265" s="1">
        <v>6.97</v>
      </c>
      <c r="O265" s="19" t="s">
        <v>16</v>
      </c>
    </row>
    <row r="266" spans="1:15" x14ac:dyDescent="0.2">
      <c r="A266" s="16">
        <v>45139</v>
      </c>
      <c r="B266" t="s">
        <v>22</v>
      </c>
      <c r="C266">
        <v>3</v>
      </c>
      <c r="D266" s="21">
        <v>0.70416666666666661</v>
      </c>
      <c r="E266" s="1">
        <v>0.4</v>
      </c>
      <c r="F266" s="1">
        <v>32</v>
      </c>
      <c r="G266" s="1">
        <v>26.8</v>
      </c>
      <c r="H266" s="1">
        <v>7.97</v>
      </c>
      <c r="I266" s="1">
        <v>8.49</v>
      </c>
      <c r="J266" s="1">
        <v>134.5</v>
      </c>
      <c r="K266" s="1">
        <v>0.4</v>
      </c>
      <c r="L266" t="s">
        <v>16</v>
      </c>
      <c r="M266" s="1">
        <v>6.63</v>
      </c>
      <c r="N266" s="1">
        <v>3.47</v>
      </c>
      <c r="O266" s="19" t="s">
        <v>16</v>
      </c>
    </row>
    <row r="267" spans="1:15" x14ac:dyDescent="0.2">
      <c r="A267" s="16">
        <v>45175</v>
      </c>
      <c r="B267" t="s">
        <v>15</v>
      </c>
      <c r="C267">
        <v>1</v>
      </c>
      <c r="D267" s="21">
        <v>0.65902777777777777</v>
      </c>
      <c r="E267" s="1">
        <v>1.2</v>
      </c>
      <c r="F267" s="1">
        <v>31.9</v>
      </c>
      <c r="G267" s="1">
        <v>16.809999999999999</v>
      </c>
      <c r="H267" s="1">
        <v>7.93</v>
      </c>
      <c r="I267" s="1">
        <v>7.37</v>
      </c>
      <c r="J267" s="1">
        <v>110.3</v>
      </c>
      <c r="K267" s="1">
        <v>1.2</v>
      </c>
      <c r="L267" t="s">
        <v>16</v>
      </c>
      <c r="M267" s="1">
        <v>0.9</v>
      </c>
      <c r="N267" s="1">
        <v>2.79</v>
      </c>
      <c r="O267" s="19" t="s">
        <v>16</v>
      </c>
    </row>
    <row r="268" spans="1:15" x14ac:dyDescent="0.2">
      <c r="A268" s="16">
        <v>45175</v>
      </c>
      <c r="B268" t="s">
        <v>15</v>
      </c>
      <c r="C268">
        <v>2</v>
      </c>
      <c r="D268" s="21">
        <v>0.6791666666666667</v>
      </c>
      <c r="E268" s="1">
        <v>1.1000000000000001</v>
      </c>
      <c r="F268" s="1">
        <v>32.200000000000003</v>
      </c>
      <c r="G268" s="1">
        <v>14.81</v>
      </c>
      <c r="H268" s="1">
        <v>7.93</v>
      </c>
      <c r="I268" s="1">
        <v>7.52</v>
      </c>
      <c r="J268" s="1">
        <v>112.1</v>
      </c>
      <c r="K268" s="1">
        <v>0.95</v>
      </c>
      <c r="L268" t="s">
        <v>16</v>
      </c>
      <c r="M268" s="1">
        <v>0.73</v>
      </c>
      <c r="N268" s="1">
        <v>2.1800000000000002</v>
      </c>
      <c r="O268" s="19" t="s">
        <v>16</v>
      </c>
    </row>
    <row r="269" spans="1:15" x14ac:dyDescent="0.2">
      <c r="A269" s="16">
        <v>45175</v>
      </c>
      <c r="B269" t="s">
        <v>15</v>
      </c>
      <c r="C269">
        <v>3</v>
      </c>
      <c r="D269" s="21">
        <v>0.6645833333333333</v>
      </c>
      <c r="E269" s="1">
        <v>1</v>
      </c>
      <c r="F269" s="1">
        <v>30.8</v>
      </c>
      <c r="G269" s="1">
        <v>14.05</v>
      </c>
      <c r="H269" s="1">
        <v>7.72</v>
      </c>
      <c r="I269" s="1">
        <v>6.22</v>
      </c>
      <c r="J269" s="1">
        <v>90</v>
      </c>
      <c r="K269" s="1">
        <v>1</v>
      </c>
      <c r="L269" t="s">
        <v>16</v>
      </c>
      <c r="M269" s="1">
        <v>0.7</v>
      </c>
      <c r="N269" s="1">
        <v>1.88</v>
      </c>
      <c r="O269" s="19" t="s">
        <v>16</v>
      </c>
    </row>
    <row r="270" spans="1:15" x14ac:dyDescent="0.2">
      <c r="A270" s="16">
        <v>45175</v>
      </c>
      <c r="B270" t="s">
        <v>22</v>
      </c>
      <c r="C270">
        <v>1</v>
      </c>
      <c r="D270" s="21">
        <v>0.74930555555555556</v>
      </c>
      <c r="E270" s="1">
        <v>1</v>
      </c>
      <c r="F270" s="1">
        <v>31.5</v>
      </c>
      <c r="G270" s="1">
        <v>21.13</v>
      </c>
      <c r="H270" s="1">
        <v>8.06</v>
      </c>
      <c r="I270" s="1">
        <v>8.1</v>
      </c>
      <c r="J270" s="1">
        <v>123.6</v>
      </c>
      <c r="K270" s="1">
        <v>1</v>
      </c>
      <c r="L270" t="s">
        <v>16</v>
      </c>
      <c r="M270" s="1">
        <v>1.38</v>
      </c>
      <c r="N270" s="1">
        <v>1.77</v>
      </c>
      <c r="O270" s="19" t="s">
        <v>16</v>
      </c>
    </row>
    <row r="271" spans="1:15" x14ac:dyDescent="0.2">
      <c r="A271" s="16">
        <v>45175</v>
      </c>
      <c r="B271" t="s">
        <v>22</v>
      </c>
      <c r="C271">
        <v>2</v>
      </c>
      <c r="D271" s="21">
        <v>0.71527777777777779</v>
      </c>
      <c r="E271" s="1">
        <v>1</v>
      </c>
      <c r="F271" s="1">
        <v>31.3</v>
      </c>
      <c r="G271" s="1">
        <v>23.92</v>
      </c>
      <c r="H271" s="1">
        <v>7.96</v>
      </c>
      <c r="I271" s="1">
        <v>8.09</v>
      </c>
      <c r="J271" s="1">
        <v>125.9</v>
      </c>
      <c r="K271" s="1">
        <v>0.7</v>
      </c>
      <c r="L271" t="s">
        <v>16</v>
      </c>
      <c r="M271" s="1">
        <v>3.15</v>
      </c>
      <c r="N271" s="1">
        <v>3.73</v>
      </c>
      <c r="O271" s="19" t="s">
        <v>16</v>
      </c>
    </row>
    <row r="272" spans="1:15" x14ac:dyDescent="0.2">
      <c r="A272" s="16">
        <v>45175</v>
      </c>
      <c r="B272" t="s">
        <v>22</v>
      </c>
      <c r="C272">
        <v>3</v>
      </c>
      <c r="D272" s="21">
        <v>0.7368055555555556</v>
      </c>
      <c r="E272" s="1">
        <v>0.7</v>
      </c>
      <c r="F272" s="1">
        <v>31.7</v>
      </c>
      <c r="G272" s="1">
        <v>19.87</v>
      </c>
      <c r="H272" s="1">
        <v>7.99</v>
      </c>
      <c r="I272" s="1">
        <v>8</v>
      </c>
      <c r="J272" s="1">
        <v>121.4</v>
      </c>
      <c r="K272" s="1">
        <v>0.7</v>
      </c>
      <c r="L272" t="s">
        <v>16</v>
      </c>
      <c r="M272" s="1">
        <v>1.08</v>
      </c>
      <c r="N272" s="1">
        <v>2.11</v>
      </c>
      <c r="O272" s="19" t="s">
        <v>16</v>
      </c>
    </row>
    <row r="273" spans="1:15" x14ac:dyDescent="0.2">
      <c r="A273" s="16">
        <v>45202</v>
      </c>
      <c r="B273" t="s">
        <v>15</v>
      </c>
      <c r="C273">
        <v>1</v>
      </c>
      <c r="D273" s="21">
        <v>0.70277777777777783</v>
      </c>
      <c r="E273" s="1">
        <v>1.1000000000000001</v>
      </c>
      <c r="F273" s="1">
        <v>27.8</v>
      </c>
      <c r="G273" s="1">
        <v>7.22</v>
      </c>
      <c r="H273" s="1">
        <v>7.52</v>
      </c>
      <c r="I273" s="1">
        <v>4.84</v>
      </c>
      <c r="J273" s="1">
        <v>64.099999999999994</v>
      </c>
      <c r="K273" s="1">
        <v>1.1000000000000001</v>
      </c>
      <c r="L273" t="s">
        <v>16</v>
      </c>
      <c r="M273" s="1">
        <v>0.93</v>
      </c>
      <c r="N273" s="1">
        <v>2.68</v>
      </c>
      <c r="O273" s="19" t="s">
        <v>16</v>
      </c>
    </row>
    <row r="274" spans="1:15" x14ac:dyDescent="0.2">
      <c r="A274" s="16">
        <v>45202</v>
      </c>
      <c r="B274" t="s">
        <v>15</v>
      </c>
      <c r="C274">
        <v>2</v>
      </c>
      <c r="D274" s="21">
        <v>0.70694444444444438</v>
      </c>
      <c r="E274" s="1">
        <v>0.9</v>
      </c>
      <c r="F274" s="1">
        <v>27.8</v>
      </c>
      <c r="G274" s="1">
        <v>7.96</v>
      </c>
      <c r="H274" s="1">
        <v>7.57</v>
      </c>
      <c r="I274" s="1">
        <v>5.32</v>
      </c>
      <c r="J274" s="1">
        <v>70.5</v>
      </c>
      <c r="K274" s="1">
        <v>0.9</v>
      </c>
      <c r="L274" t="s">
        <v>16</v>
      </c>
      <c r="M274" s="1">
        <v>2.2200000000000002</v>
      </c>
      <c r="N274" s="1">
        <v>2.58</v>
      </c>
      <c r="O274" s="19" t="s">
        <v>16</v>
      </c>
    </row>
    <row r="275" spans="1:15" x14ac:dyDescent="0.2">
      <c r="A275" s="16">
        <v>45202</v>
      </c>
      <c r="B275" t="s">
        <v>15</v>
      </c>
      <c r="C275">
        <v>3</v>
      </c>
      <c r="D275" s="21">
        <v>0.69444444444444453</v>
      </c>
      <c r="E275" s="1">
        <v>1.2</v>
      </c>
      <c r="F275" s="1">
        <v>27.6</v>
      </c>
      <c r="G275" s="1">
        <v>4.03</v>
      </c>
      <c r="H275" s="1">
        <v>7.47</v>
      </c>
      <c r="I275" s="1">
        <v>4.58</v>
      </c>
      <c r="J275" s="1">
        <v>59.5</v>
      </c>
      <c r="K275" s="1">
        <v>0.9</v>
      </c>
      <c r="L275" t="s">
        <v>16</v>
      </c>
      <c r="M275" s="1">
        <v>2.06</v>
      </c>
      <c r="N275" s="1">
        <v>4.34</v>
      </c>
      <c r="O275" s="19" t="s">
        <v>16</v>
      </c>
    </row>
    <row r="276" spans="1:15" x14ac:dyDescent="0.2">
      <c r="A276" s="16">
        <v>45202</v>
      </c>
      <c r="B276" t="s">
        <v>22</v>
      </c>
      <c r="C276">
        <v>1</v>
      </c>
      <c r="D276" s="21">
        <v>0.75555555555555554</v>
      </c>
      <c r="E276" s="1">
        <v>0.7</v>
      </c>
      <c r="F276" s="1">
        <v>28.1</v>
      </c>
      <c r="G276" s="1">
        <v>4.7</v>
      </c>
      <c r="H276" s="1">
        <v>7.63</v>
      </c>
      <c r="I276" s="1">
        <v>6.7</v>
      </c>
      <c r="J276" s="1">
        <v>87.5</v>
      </c>
      <c r="K276" s="1">
        <v>0.7</v>
      </c>
      <c r="L276" t="s">
        <v>16</v>
      </c>
      <c r="M276" s="1">
        <v>0.74</v>
      </c>
      <c r="N276" s="1">
        <v>2.69</v>
      </c>
      <c r="O276" s="19" t="s">
        <v>16</v>
      </c>
    </row>
    <row r="277" spans="1:15" x14ac:dyDescent="0.2">
      <c r="A277" s="16">
        <v>45202</v>
      </c>
      <c r="B277" t="s">
        <v>22</v>
      </c>
      <c r="C277">
        <v>2</v>
      </c>
      <c r="D277" s="21">
        <v>0.73888888888888893</v>
      </c>
      <c r="E277" s="1">
        <v>1.1499999999999999</v>
      </c>
      <c r="F277" s="1">
        <v>28.6</v>
      </c>
      <c r="G277" s="1">
        <v>4.42</v>
      </c>
      <c r="H277" s="1">
        <v>7.62</v>
      </c>
      <c r="I277" s="1">
        <v>6.88</v>
      </c>
      <c r="J277" s="1">
        <v>91</v>
      </c>
      <c r="K277" s="1">
        <v>1.1499999999999999</v>
      </c>
      <c r="L277" t="s">
        <v>16</v>
      </c>
      <c r="M277" s="1">
        <v>0.8</v>
      </c>
      <c r="N277" s="1">
        <v>3.6</v>
      </c>
      <c r="O277" s="19" t="s">
        <v>16</v>
      </c>
    </row>
    <row r="278" spans="1:15" x14ac:dyDescent="0.2">
      <c r="A278" s="16">
        <v>45202</v>
      </c>
      <c r="B278" t="s">
        <v>22</v>
      </c>
      <c r="C278">
        <v>3</v>
      </c>
      <c r="D278" s="21">
        <v>0.74791666666666667</v>
      </c>
      <c r="E278" s="1">
        <v>1.1000000000000001</v>
      </c>
      <c r="F278" s="1">
        <v>28.2</v>
      </c>
      <c r="G278" s="1">
        <v>3.61</v>
      </c>
      <c r="H278" s="1">
        <v>7.72</v>
      </c>
      <c r="I278" s="1">
        <v>7.15</v>
      </c>
      <c r="J278" s="1">
        <v>93.5</v>
      </c>
      <c r="K278" s="1">
        <v>1</v>
      </c>
      <c r="L278" t="s">
        <v>16</v>
      </c>
      <c r="M278" s="1">
        <v>0.73</v>
      </c>
      <c r="N278" s="1">
        <v>2.36</v>
      </c>
      <c r="O278" s="19" t="s">
        <v>16</v>
      </c>
    </row>
    <row r="279" spans="1:15" x14ac:dyDescent="0.2">
      <c r="A279" s="16">
        <v>45237</v>
      </c>
      <c r="B279" t="s">
        <v>15</v>
      </c>
      <c r="C279">
        <v>1</v>
      </c>
      <c r="D279" s="21">
        <v>0.64930555555555558</v>
      </c>
      <c r="E279" s="1">
        <v>1</v>
      </c>
      <c r="F279" s="1">
        <v>26.3</v>
      </c>
      <c r="G279" s="1">
        <v>24.06</v>
      </c>
      <c r="H279" s="1">
        <v>7.83</v>
      </c>
      <c r="I279" s="1">
        <v>6.89</v>
      </c>
      <c r="J279" s="1">
        <v>97.8</v>
      </c>
      <c r="K279" s="1">
        <v>1</v>
      </c>
      <c r="L279" t="s">
        <v>16</v>
      </c>
      <c r="M279" s="1">
        <v>1.1499999999999999</v>
      </c>
      <c r="N279" s="1">
        <v>1.51</v>
      </c>
      <c r="O279" s="19" t="s">
        <v>16</v>
      </c>
    </row>
    <row r="280" spans="1:15" x14ac:dyDescent="0.2">
      <c r="A280" s="16">
        <v>45237</v>
      </c>
      <c r="B280" t="s">
        <v>15</v>
      </c>
      <c r="C280">
        <v>2</v>
      </c>
      <c r="D280" s="21">
        <v>0.65763888888888888</v>
      </c>
      <c r="E280" s="1">
        <v>0.9</v>
      </c>
      <c r="F280" s="1">
        <v>26.2</v>
      </c>
      <c r="G280" s="1">
        <v>24.66</v>
      </c>
      <c r="H280" s="1">
        <v>7.85</v>
      </c>
      <c r="I280" s="1">
        <v>7.02</v>
      </c>
      <c r="J280" s="1">
        <v>99.7</v>
      </c>
      <c r="K280" s="1">
        <v>0.9</v>
      </c>
      <c r="L280" t="s">
        <v>16</v>
      </c>
      <c r="M280" s="1">
        <v>1.21</v>
      </c>
      <c r="N280" s="1">
        <v>1.79</v>
      </c>
      <c r="O280" s="19" t="s">
        <v>16</v>
      </c>
    </row>
    <row r="281" spans="1:15" x14ac:dyDescent="0.2">
      <c r="A281" s="16">
        <v>45237</v>
      </c>
      <c r="B281" t="s">
        <v>15</v>
      </c>
      <c r="C281">
        <v>3</v>
      </c>
      <c r="D281" s="21">
        <v>0.64027777777777783</v>
      </c>
      <c r="E281" s="1">
        <v>1.1000000000000001</v>
      </c>
      <c r="F281" s="1">
        <v>26.3</v>
      </c>
      <c r="G281" s="1">
        <v>22.4</v>
      </c>
      <c r="H281" s="1">
        <v>7.8</v>
      </c>
      <c r="I281" s="1">
        <v>6.13</v>
      </c>
      <c r="J281" s="1">
        <v>85.8</v>
      </c>
      <c r="K281" s="1">
        <v>1.1000000000000001</v>
      </c>
      <c r="L281" t="s">
        <v>16</v>
      </c>
      <c r="M281" s="1">
        <v>-0.17</v>
      </c>
      <c r="N281" s="1">
        <v>2.0099999999999998</v>
      </c>
      <c r="O281" s="19" t="s">
        <v>16</v>
      </c>
    </row>
    <row r="282" spans="1:15" x14ac:dyDescent="0.2">
      <c r="A282" s="16">
        <v>45237</v>
      </c>
      <c r="B282" t="s">
        <v>22</v>
      </c>
      <c r="C282">
        <v>1</v>
      </c>
      <c r="D282" s="21">
        <v>0.71666666666666667</v>
      </c>
      <c r="E282" s="1">
        <v>0.95</v>
      </c>
      <c r="F282" s="1">
        <v>26</v>
      </c>
      <c r="G282" s="1">
        <v>28.73</v>
      </c>
      <c r="H282" s="1">
        <v>8.01</v>
      </c>
      <c r="I282" s="1">
        <v>8.1</v>
      </c>
      <c r="J282" s="1">
        <v>117.5</v>
      </c>
      <c r="K282" s="1">
        <v>0.95</v>
      </c>
      <c r="L282" t="s">
        <v>16</v>
      </c>
      <c r="M282" s="1">
        <v>0.47</v>
      </c>
      <c r="N282" s="1">
        <v>2.56</v>
      </c>
      <c r="O282" s="19" t="s">
        <v>16</v>
      </c>
    </row>
    <row r="283" spans="1:15" x14ac:dyDescent="0.2">
      <c r="A283" s="16">
        <v>45237</v>
      </c>
      <c r="B283" t="s">
        <v>22</v>
      </c>
      <c r="C283">
        <v>2</v>
      </c>
      <c r="D283" s="21">
        <v>0.68819444444444444</v>
      </c>
      <c r="E283" s="1">
        <v>1.2</v>
      </c>
      <c r="F283" s="1">
        <v>26</v>
      </c>
      <c r="G283" s="1">
        <v>28.66</v>
      </c>
      <c r="H283" s="1">
        <v>8</v>
      </c>
      <c r="I283" s="1">
        <v>7.86</v>
      </c>
      <c r="J283" s="1">
        <v>113.9</v>
      </c>
      <c r="K283" s="1">
        <v>1.2</v>
      </c>
      <c r="L283" t="s">
        <v>16</v>
      </c>
      <c r="M283" s="1">
        <v>0.21</v>
      </c>
      <c r="N283" s="1">
        <v>3.33</v>
      </c>
      <c r="O283" s="19" t="s">
        <v>16</v>
      </c>
    </row>
    <row r="284" spans="1:15" x14ac:dyDescent="0.2">
      <c r="A284" s="16">
        <v>45237</v>
      </c>
      <c r="B284" t="s">
        <v>22</v>
      </c>
      <c r="C284">
        <v>3</v>
      </c>
      <c r="D284" s="21">
        <v>0.7006944444444444</v>
      </c>
      <c r="E284" s="1">
        <v>1.1000000000000001</v>
      </c>
      <c r="F284" s="1">
        <v>25.9</v>
      </c>
      <c r="G284" s="1">
        <v>28.58</v>
      </c>
      <c r="H284" s="1">
        <v>7.99</v>
      </c>
      <c r="I284" s="1">
        <v>7.82</v>
      </c>
      <c r="J284" s="1">
        <v>113.3</v>
      </c>
      <c r="K284" s="1">
        <v>1.1000000000000001</v>
      </c>
      <c r="L284" t="s">
        <v>16</v>
      </c>
      <c r="M284" s="1">
        <v>0.12</v>
      </c>
      <c r="N284" s="1">
        <v>3.13</v>
      </c>
      <c r="O284" s="19" t="s">
        <v>16</v>
      </c>
    </row>
    <row r="285" spans="1:15" x14ac:dyDescent="0.2">
      <c r="A285" s="16">
        <v>45265</v>
      </c>
      <c r="B285" t="s">
        <v>15</v>
      </c>
      <c r="C285">
        <v>1</v>
      </c>
      <c r="D285" s="21">
        <v>0.66527777777777775</v>
      </c>
      <c r="E285" s="1">
        <v>0.85</v>
      </c>
      <c r="F285" s="1">
        <v>24.9</v>
      </c>
      <c r="G285" s="1">
        <v>24.75</v>
      </c>
      <c r="H285" s="1">
        <v>7.85</v>
      </c>
      <c r="I285" s="1">
        <v>6.7</v>
      </c>
      <c r="J285" s="1">
        <v>94.3</v>
      </c>
      <c r="K285" s="1">
        <v>0.85</v>
      </c>
      <c r="L285" t="s">
        <v>16</v>
      </c>
      <c r="M285" s="1">
        <v>1.68</v>
      </c>
      <c r="N285" s="1">
        <v>2.16</v>
      </c>
      <c r="O285" s="19" t="s">
        <v>16</v>
      </c>
    </row>
    <row r="286" spans="1:15" x14ac:dyDescent="0.2">
      <c r="A286" s="16">
        <v>45265</v>
      </c>
      <c r="B286" t="s">
        <v>15</v>
      </c>
      <c r="C286">
        <v>2</v>
      </c>
      <c r="D286" s="21">
        <v>0.67013888888888884</v>
      </c>
      <c r="E286" s="1">
        <v>0.8</v>
      </c>
      <c r="F286" s="1">
        <v>25.3</v>
      </c>
      <c r="G286" s="1">
        <v>24.8</v>
      </c>
      <c r="H286" s="1">
        <v>7.94</v>
      </c>
      <c r="I286" s="1">
        <v>7.61</v>
      </c>
      <c r="J286" s="1">
        <v>106.8</v>
      </c>
      <c r="K286" s="1">
        <v>0.8</v>
      </c>
      <c r="L286" t="s">
        <v>16</v>
      </c>
      <c r="M286" s="1">
        <v>1.52</v>
      </c>
      <c r="N286" s="1">
        <v>2.0299999999999998</v>
      </c>
      <c r="O286" s="19" t="s">
        <v>16</v>
      </c>
    </row>
    <row r="287" spans="1:15" x14ac:dyDescent="0.2">
      <c r="A287" s="16">
        <v>45265</v>
      </c>
      <c r="B287" t="s">
        <v>15</v>
      </c>
      <c r="C287">
        <v>3</v>
      </c>
      <c r="D287" s="21">
        <v>0.65902777777777777</v>
      </c>
      <c r="E287" s="1">
        <v>0.95</v>
      </c>
      <c r="F287" s="1">
        <v>24.7</v>
      </c>
      <c r="G287" s="1">
        <v>16.53</v>
      </c>
      <c r="H287" s="1">
        <v>7.8</v>
      </c>
      <c r="I287" s="1">
        <v>6.89</v>
      </c>
      <c r="J287" s="1">
        <v>91</v>
      </c>
      <c r="K287" s="1">
        <v>0.95</v>
      </c>
      <c r="L287" t="s">
        <v>16</v>
      </c>
      <c r="M287" s="1">
        <v>1.43</v>
      </c>
      <c r="N287" s="1">
        <v>3.29</v>
      </c>
      <c r="O287" s="19" t="s">
        <v>16</v>
      </c>
    </row>
    <row r="288" spans="1:15" x14ac:dyDescent="0.2">
      <c r="A288" s="16">
        <v>45265</v>
      </c>
      <c r="B288" t="s">
        <v>22</v>
      </c>
      <c r="C288">
        <v>1</v>
      </c>
      <c r="D288" s="21">
        <v>0.71875</v>
      </c>
      <c r="E288" s="1">
        <v>0.95</v>
      </c>
      <c r="F288" s="1">
        <v>24.4</v>
      </c>
      <c r="G288" s="1">
        <v>28.78</v>
      </c>
      <c r="H288" s="1">
        <v>7.93</v>
      </c>
      <c r="I288" s="1">
        <v>7.13</v>
      </c>
      <c r="J288" s="1">
        <v>101.7</v>
      </c>
      <c r="K288" s="1">
        <v>0.95</v>
      </c>
      <c r="L288" t="s">
        <v>16</v>
      </c>
      <c r="M288" s="1">
        <v>3.19</v>
      </c>
      <c r="N288" s="1">
        <v>4.04</v>
      </c>
      <c r="O288" s="19" t="s">
        <v>16</v>
      </c>
    </row>
    <row r="289" spans="1:15" x14ac:dyDescent="0.2">
      <c r="A289" s="16">
        <v>45265</v>
      </c>
      <c r="B289" t="s">
        <v>22</v>
      </c>
      <c r="C289">
        <v>2</v>
      </c>
      <c r="D289" s="21">
        <v>0.69791666666666663</v>
      </c>
      <c r="E289" s="1">
        <v>1.1000000000000001</v>
      </c>
      <c r="F289" s="1">
        <v>25.5</v>
      </c>
      <c r="G289" s="1">
        <v>29.19</v>
      </c>
      <c r="H289" s="1">
        <v>7.95</v>
      </c>
      <c r="I289" s="1">
        <v>7.48</v>
      </c>
      <c r="J289" s="1">
        <v>107.8</v>
      </c>
      <c r="K289" s="1">
        <v>1.1000000000000001</v>
      </c>
      <c r="L289" t="s">
        <v>16</v>
      </c>
      <c r="M289" s="1">
        <v>3.36</v>
      </c>
      <c r="N289" s="1">
        <v>4.25</v>
      </c>
      <c r="O289" s="19" t="s">
        <v>16</v>
      </c>
    </row>
    <row r="290" spans="1:15" x14ac:dyDescent="0.2">
      <c r="A290" s="16">
        <v>45265</v>
      </c>
      <c r="B290" t="s">
        <v>22</v>
      </c>
      <c r="C290">
        <v>3</v>
      </c>
      <c r="D290" s="21">
        <v>0.71319444444444446</v>
      </c>
      <c r="E290" s="1">
        <v>1</v>
      </c>
      <c r="F290" s="1">
        <v>25.6</v>
      </c>
      <c r="G290" s="1">
        <v>30.01</v>
      </c>
      <c r="H290" s="1">
        <v>7.96</v>
      </c>
      <c r="I290" s="1">
        <v>7.11</v>
      </c>
      <c r="J290" s="1">
        <v>102.5</v>
      </c>
      <c r="K290" s="1">
        <v>1</v>
      </c>
      <c r="L290" t="s">
        <v>16</v>
      </c>
      <c r="M290" s="1">
        <v>3.52</v>
      </c>
      <c r="N290" s="1">
        <v>4.6100000000000003</v>
      </c>
      <c r="O290" s="19" t="s">
        <v>16</v>
      </c>
    </row>
    <row r="291" spans="1:15" x14ac:dyDescent="0.2">
      <c r="A291" s="16">
        <v>45294</v>
      </c>
      <c r="B291" t="s">
        <v>15</v>
      </c>
      <c r="C291">
        <v>1</v>
      </c>
      <c r="D291" s="21">
        <v>0.68125000000000002</v>
      </c>
      <c r="E291" s="1">
        <v>0.7</v>
      </c>
      <c r="F291" s="1">
        <v>19.7</v>
      </c>
      <c r="G291" s="1">
        <v>13.12</v>
      </c>
      <c r="H291" s="1">
        <v>7.7</v>
      </c>
      <c r="I291" s="1">
        <v>7.44</v>
      </c>
      <c r="J291" s="1">
        <v>88</v>
      </c>
      <c r="K291" s="1">
        <v>0.7</v>
      </c>
      <c r="L291" t="s">
        <v>16</v>
      </c>
      <c r="M291" s="1">
        <v>0.87</v>
      </c>
      <c r="N291" s="1">
        <v>1.44</v>
      </c>
      <c r="O291" s="19" t="s">
        <v>16</v>
      </c>
    </row>
    <row r="292" spans="1:15" x14ac:dyDescent="0.2">
      <c r="A292" s="16">
        <v>45294</v>
      </c>
      <c r="B292" t="s">
        <v>15</v>
      </c>
      <c r="C292">
        <v>2</v>
      </c>
      <c r="D292" s="21">
        <v>0.68819444444444444</v>
      </c>
      <c r="E292" s="1">
        <v>0.7</v>
      </c>
      <c r="F292" s="1">
        <v>19.7</v>
      </c>
      <c r="G292" s="1">
        <v>14.57</v>
      </c>
      <c r="H292" s="1">
        <v>7.79</v>
      </c>
      <c r="I292" s="1">
        <v>8.1199999999999992</v>
      </c>
      <c r="J292" s="1">
        <v>96.9</v>
      </c>
      <c r="K292" s="1">
        <v>0.7</v>
      </c>
      <c r="L292" t="s">
        <v>16</v>
      </c>
      <c r="M292" s="1">
        <v>3.17</v>
      </c>
      <c r="N292" s="1">
        <v>2.2599999999999998</v>
      </c>
      <c r="O292" s="19" t="s">
        <v>16</v>
      </c>
    </row>
    <row r="293" spans="1:15" x14ac:dyDescent="0.2">
      <c r="A293" s="16">
        <v>45294</v>
      </c>
      <c r="B293" t="s">
        <v>15</v>
      </c>
      <c r="C293">
        <v>3</v>
      </c>
      <c r="D293" s="21">
        <v>0.67291666666666661</v>
      </c>
      <c r="E293" s="1">
        <v>0.85</v>
      </c>
      <c r="F293" s="1">
        <v>19.8</v>
      </c>
      <c r="G293" s="1">
        <v>14.49</v>
      </c>
      <c r="H293" s="1">
        <v>7.73</v>
      </c>
      <c r="I293" s="1">
        <v>7.21</v>
      </c>
      <c r="J293" s="1">
        <v>86.3</v>
      </c>
      <c r="K293" s="1">
        <v>0.85</v>
      </c>
      <c r="L293" t="s">
        <v>16</v>
      </c>
      <c r="M293" s="1">
        <v>1.1299999999999999</v>
      </c>
      <c r="N293" s="1">
        <v>1.76</v>
      </c>
      <c r="O293" s="19" t="s">
        <v>16</v>
      </c>
    </row>
    <row r="294" spans="1:15" x14ac:dyDescent="0.2">
      <c r="A294" s="16">
        <v>45294</v>
      </c>
      <c r="B294" t="s">
        <v>22</v>
      </c>
      <c r="C294">
        <v>1</v>
      </c>
      <c r="D294" s="21">
        <v>0.7368055555555556</v>
      </c>
      <c r="E294" s="1">
        <v>0.8</v>
      </c>
      <c r="F294" s="1">
        <v>21</v>
      </c>
      <c r="G294" s="1">
        <v>24.78</v>
      </c>
      <c r="H294" s="1">
        <v>7.87</v>
      </c>
      <c r="I294" s="1">
        <v>7.32</v>
      </c>
      <c r="J294" s="1">
        <v>95.3</v>
      </c>
      <c r="K294" s="1">
        <v>0.8</v>
      </c>
      <c r="L294" t="s">
        <v>16</v>
      </c>
      <c r="M294" s="1">
        <v>2.86</v>
      </c>
      <c r="N294" s="1">
        <v>2.89</v>
      </c>
      <c r="O294" s="19" t="s">
        <v>16</v>
      </c>
    </row>
    <row r="295" spans="1:15" x14ac:dyDescent="0.2">
      <c r="A295" s="16">
        <v>45294</v>
      </c>
      <c r="B295" t="s">
        <v>22</v>
      </c>
      <c r="C295">
        <v>2</v>
      </c>
      <c r="D295" s="21">
        <v>0.71875</v>
      </c>
      <c r="E295" s="1">
        <v>0.7</v>
      </c>
      <c r="F295" s="1">
        <v>21.9</v>
      </c>
      <c r="G295" s="1">
        <v>29.4</v>
      </c>
      <c r="H295" s="1">
        <v>7.83</v>
      </c>
      <c r="I295" s="1">
        <v>5.97</v>
      </c>
      <c r="J295" s="1">
        <v>81.2</v>
      </c>
      <c r="K295" s="1">
        <v>0.7</v>
      </c>
      <c r="L295" t="s">
        <v>16</v>
      </c>
      <c r="M295" s="1">
        <v>6.8</v>
      </c>
      <c r="N295" s="1">
        <v>3.21</v>
      </c>
      <c r="O295" s="19" t="s">
        <v>16</v>
      </c>
    </row>
    <row r="296" spans="1:15" x14ac:dyDescent="0.2">
      <c r="A296" s="16">
        <v>45294</v>
      </c>
      <c r="B296" t="s">
        <v>22</v>
      </c>
      <c r="C296">
        <v>3</v>
      </c>
      <c r="D296" s="21">
        <v>0.73055555555555562</v>
      </c>
      <c r="E296" s="1">
        <v>0.8</v>
      </c>
      <c r="F296" s="1">
        <v>22.1</v>
      </c>
      <c r="G296" s="1">
        <v>29.24</v>
      </c>
      <c r="H296" s="1">
        <v>7.9</v>
      </c>
      <c r="I296" s="1">
        <v>6.42</v>
      </c>
      <c r="J296" s="1">
        <v>87.5</v>
      </c>
      <c r="K296" s="1">
        <v>0.8</v>
      </c>
      <c r="L296" t="s">
        <v>16</v>
      </c>
      <c r="M296" s="1">
        <v>4.66</v>
      </c>
      <c r="N296" s="1">
        <v>2.89</v>
      </c>
      <c r="O296" s="19" t="s">
        <v>16</v>
      </c>
    </row>
    <row r="297" spans="1:15" x14ac:dyDescent="0.2">
      <c r="A297" s="16">
        <v>45334</v>
      </c>
      <c r="B297" t="s">
        <v>15</v>
      </c>
      <c r="C297">
        <v>1</v>
      </c>
      <c r="D297" s="21">
        <v>0.68194444444444446</v>
      </c>
      <c r="E297" s="1">
        <v>0.55000000000000004</v>
      </c>
      <c r="F297" s="1">
        <v>22.7</v>
      </c>
      <c r="G297" s="1">
        <v>20.22</v>
      </c>
      <c r="H297" s="1">
        <v>7.79</v>
      </c>
      <c r="I297" s="1">
        <v>7.34</v>
      </c>
      <c r="J297" s="1">
        <v>96.2</v>
      </c>
      <c r="K297" s="1">
        <v>0.55000000000000004</v>
      </c>
      <c r="L297" t="s">
        <v>16</v>
      </c>
      <c r="M297" s="1">
        <v>5.55</v>
      </c>
      <c r="N297" s="1">
        <v>6.42</v>
      </c>
      <c r="O297" s="19" t="s">
        <v>16</v>
      </c>
    </row>
    <row r="298" spans="1:15" x14ac:dyDescent="0.2">
      <c r="A298" s="16">
        <v>45334</v>
      </c>
      <c r="B298" t="s">
        <v>15</v>
      </c>
      <c r="C298">
        <v>2</v>
      </c>
      <c r="D298" s="21">
        <v>0.6875</v>
      </c>
      <c r="E298" s="1">
        <v>0.45</v>
      </c>
      <c r="F298" s="1">
        <v>23</v>
      </c>
      <c r="G298" s="1">
        <v>21.64</v>
      </c>
      <c r="H298" s="1">
        <v>7.84</v>
      </c>
      <c r="I298" s="1">
        <v>7.72</v>
      </c>
      <c r="J298" s="1">
        <v>101.8</v>
      </c>
      <c r="K298" s="1">
        <v>0.45</v>
      </c>
      <c r="L298" t="s">
        <v>16</v>
      </c>
      <c r="M298" s="1">
        <v>3.28</v>
      </c>
      <c r="N298" s="1">
        <v>4.04</v>
      </c>
      <c r="O298" s="19" t="s">
        <v>16</v>
      </c>
    </row>
    <row r="299" spans="1:15" x14ac:dyDescent="0.2">
      <c r="A299" s="16">
        <v>45334</v>
      </c>
      <c r="B299" t="s">
        <v>15</v>
      </c>
      <c r="C299">
        <v>3</v>
      </c>
      <c r="D299" s="21">
        <v>0.67361111111111116</v>
      </c>
      <c r="E299" s="1">
        <v>0.6</v>
      </c>
      <c r="F299" s="1">
        <v>22.5</v>
      </c>
      <c r="G299" s="1">
        <v>15.89</v>
      </c>
      <c r="H299" s="1">
        <v>7.82</v>
      </c>
      <c r="I299" s="1">
        <v>7.25</v>
      </c>
      <c r="J299" s="1">
        <v>91.9</v>
      </c>
      <c r="K299" s="1">
        <v>0.6</v>
      </c>
      <c r="L299" t="s">
        <v>16</v>
      </c>
      <c r="M299" s="1">
        <v>2.57</v>
      </c>
      <c r="N299" s="1">
        <v>7.22</v>
      </c>
      <c r="O299" s="19" t="s">
        <v>16</v>
      </c>
    </row>
    <row r="300" spans="1:15" x14ac:dyDescent="0.2">
      <c r="A300" s="16">
        <v>45334</v>
      </c>
      <c r="B300" t="s">
        <v>22</v>
      </c>
      <c r="C300">
        <v>1</v>
      </c>
      <c r="D300" s="21">
        <v>0.73402777777777783</v>
      </c>
      <c r="E300" s="1">
        <v>0.45</v>
      </c>
      <c r="F300" s="1">
        <v>23.1</v>
      </c>
      <c r="G300" s="1">
        <v>31.5</v>
      </c>
      <c r="H300" s="1">
        <v>7.77</v>
      </c>
      <c r="I300" s="1">
        <v>6.19</v>
      </c>
      <c r="J300" s="1">
        <v>87.1</v>
      </c>
      <c r="K300" s="1">
        <v>0.45</v>
      </c>
      <c r="L300" t="s">
        <v>16</v>
      </c>
      <c r="M300" s="1">
        <v>5.84</v>
      </c>
      <c r="N300" s="1">
        <v>12.1</v>
      </c>
      <c r="O300" s="19" t="s">
        <v>16</v>
      </c>
    </row>
    <row r="301" spans="1:15" x14ac:dyDescent="0.2">
      <c r="A301" s="16">
        <v>45334</v>
      </c>
      <c r="B301" t="s">
        <v>22</v>
      </c>
      <c r="C301">
        <v>2</v>
      </c>
      <c r="D301" s="21">
        <v>0.72013888888888899</v>
      </c>
      <c r="E301" s="1">
        <v>0.55000000000000004</v>
      </c>
      <c r="F301" s="1">
        <v>23.5</v>
      </c>
      <c r="G301" s="1">
        <v>33.020000000000003</v>
      </c>
      <c r="H301" s="1">
        <v>7.88</v>
      </c>
      <c r="I301" s="1">
        <v>6.63</v>
      </c>
      <c r="J301" s="1">
        <v>94.2</v>
      </c>
      <c r="K301" s="1">
        <v>0.55000000000000004</v>
      </c>
      <c r="L301" t="s">
        <v>16</v>
      </c>
      <c r="M301" s="1">
        <v>9.8699999999999992</v>
      </c>
      <c r="N301" s="1">
        <v>9.0299999999999994</v>
      </c>
      <c r="O301" s="19" t="s">
        <v>16</v>
      </c>
    </row>
    <row r="302" spans="1:15" x14ac:dyDescent="0.2">
      <c r="A302" s="16">
        <v>45334</v>
      </c>
      <c r="B302" t="s">
        <v>22</v>
      </c>
      <c r="C302">
        <v>3</v>
      </c>
      <c r="D302" s="21">
        <v>0.72777777777777775</v>
      </c>
      <c r="E302" s="1">
        <v>0.45</v>
      </c>
      <c r="F302" s="1">
        <v>23.7</v>
      </c>
      <c r="G302" s="1">
        <v>33.04</v>
      </c>
      <c r="H302" s="1">
        <v>7.91</v>
      </c>
      <c r="I302" s="1">
        <v>6.97</v>
      </c>
      <c r="J302" s="1">
        <v>99.4</v>
      </c>
      <c r="K302" s="1">
        <v>0.45</v>
      </c>
      <c r="L302" t="s">
        <v>16</v>
      </c>
      <c r="M302" s="1">
        <v>3.22</v>
      </c>
      <c r="N302" s="1">
        <v>4.33</v>
      </c>
      <c r="O302" s="19" t="s">
        <v>16</v>
      </c>
    </row>
    <row r="303" spans="1:15" x14ac:dyDescent="0.2">
      <c r="A303" s="16">
        <v>45357</v>
      </c>
      <c r="B303" t="s">
        <v>15</v>
      </c>
      <c r="C303">
        <v>1</v>
      </c>
      <c r="D303" s="21">
        <v>0.625</v>
      </c>
      <c r="E303" s="1">
        <v>0.8</v>
      </c>
      <c r="F303" s="1">
        <v>24.8</v>
      </c>
      <c r="G303" s="1">
        <v>15.08</v>
      </c>
      <c r="H303" s="1">
        <v>7.8</v>
      </c>
      <c r="I303" s="1">
        <v>7.51</v>
      </c>
      <c r="J303" s="1">
        <v>98.7</v>
      </c>
      <c r="K303" s="1">
        <v>0.8</v>
      </c>
      <c r="L303" t="s">
        <v>16</v>
      </c>
      <c r="M303" s="1">
        <v>1.68</v>
      </c>
      <c r="N303" s="1">
        <v>4.3</v>
      </c>
      <c r="O303" s="19" t="s">
        <v>16</v>
      </c>
    </row>
    <row r="304" spans="1:15" x14ac:dyDescent="0.2">
      <c r="A304" s="16">
        <v>45357</v>
      </c>
      <c r="B304" t="s">
        <v>15</v>
      </c>
      <c r="C304">
        <v>2</v>
      </c>
      <c r="D304" s="21">
        <v>0.64375000000000004</v>
      </c>
      <c r="E304" s="1">
        <v>0.6</v>
      </c>
      <c r="F304" s="1">
        <v>24.7</v>
      </c>
      <c r="G304" s="1">
        <v>14.03</v>
      </c>
      <c r="H304" s="1">
        <v>7.81</v>
      </c>
      <c r="I304" s="1">
        <v>7.37</v>
      </c>
      <c r="J304" s="1">
        <v>95.9</v>
      </c>
      <c r="K304" s="1">
        <v>0.6</v>
      </c>
      <c r="L304" t="s">
        <v>16</v>
      </c>
      <c r="M304" s="1">
        <v>2.85</v>
      </c>
      <c r="N304" s="1">
        <v>5.17</v>
      </c>
      <c r="O304" s="19" t="s">
        <v>16</v>
      </c>
    </row>
    <row r="305" spans="1:15" x14ac:dyDescent="0.2">
      <c r="A305" s="16">
        <v>45357</v>
      </c>
      <c r="B305" t="s">
        <v>15</v>
      </c>
      <c r="C305">
        <v>3</v>
      </c>
      <c r="D305" s="21">
        <v>0.59305555555555556</v>
      </c>
      <c r="E305" s="1">
        <v>0.8</v>
      </c>
      <c r="F305" s="1">
        <v>24.5</v>
      </c>
      <c r="G305" s="1">
        <v>7.51</v>
      </c>
      <c r="H305" s="1">
        <v>7.56</v>
      </c>
      <c r="I305" s="1">
        <v>5.81</v>
      </c>
      <c r="J305" s="1">
        <v>73</v>
      </c>
      <c r="K305" s="1">
        <v>0.8</v>
      </c>
      <c r="L305" t="s">
        <v>16</v>
      </c>
      <c r="M305" s="1">
        <v>1.99</v>
      </c>
      <c r="N305" s="1">
        <v>6.03</v>
      </c>
      <c r="O305" s="19" t="s">
        <v>16</v>
      </c>
    </row>
    <row r="306" spans="1:15" x14ac:dyDescent="0.2">
      <c r="A306" s="16">
        <v>45357</v>
      </c>
      <c r="B306" t="s">
        <v>22</v>
      </c>
      <c r="C306">
        <v>1</v>
      </c>
      <c r="D306" s="21">
        <v>0.70277777777777772</v>
      </c>
      <c r="E306" s="1">
        <v>0.95</v>
      </c>
      <c r="F306" s="1">
        <v>24.9</v>
      </c>
      <c r="G306" s="1">
        <v>28.31</v>
      </c>
      <c r="H306" s="1">
        <v>8.06</v>
      </c>
      <c r="I306" s="1">
        <v>8.35</v>
      </c>
      <c r="J306" s="1">
        <v>119.8</v>
      </c>
      <c r="K306" s="1">
        <v>0.95</v>
      </c>
      <c r="L306" t="s">
        <v>16</v>
      </c>
      <c r="M306" s="1">
        <v>4.13</v>
      </c>
      <c r="N306" s="1">
        <v>4.2699999999999996</v>
      </c>
      <c r="O306" s="19" t="s">
        <v>16</v>
      </c>
    </row>
    <row r="307" spans="1:15" x14ac:dyDescent="0.2">
      <c r="A307" s="16">
        <v>45357</v>
      </c>
      <c r="B307" t="s">
        <v>22</v>
      </c>
      <c r="C307">
        <v>2</v>
      </c>
      <c r="D307" s="21">
        <v>0.67847222222222225</v>
      </c>
      <c r="E307" s="1">
        <v>0.7</v>
      </c>
      <c r="F307" s="1">
        <v>25</v>
      </c>
      <c r="G307" s="1">
        <v>27.87</v>
      </c>
      <c r="H307" s="1">
        <v>7.94</v>
      </c>
      <c r="I307" s="1">
        <v>7.88</v>
      </c>
      <c r="J307" s="1">
        <v>112.6</v>
      </c>
      <c r="K307" s="1">
        <v>0.7</v>
      </c>
      <c r="L307" t="s">
        <v>16</v>
      </c>
      <c r="M307" s="1">
        <v>4.08</v>
      </c>
      <c r="N307" s="1">
        <v>3.65</v>
      </c>
      <c r="O307" s="19" t="s">
        <v>16</v>
      </c>
    </row>
    <row r="308" spans="1:15" x14ac:dyDescent="0.2">
      <c r="A308" s="16">
        <v>45357</v>
      </c>
      <c r="B308" t="s">
        <v>22</v>
      </c>
      <c r="C308">
        <v>3</v>
      </c>
      <c r="D308" s="21">
        <v>0.69097222222222221</v>
      </c>
      <c r="E308" s="1">
        <v>0.85</v>
      </c>
      <c r="F308" s="1">
        <v>25.1</v>
      </c>
      <c r="G308" s="1">
        <v>29.08</v>
      </c>
      <c r="H308" s="1">
        <v>8</v>
      </c>
      <c r="I308" s="1">
        <v>7.94</v>
      </c>
      <c r="J308" s="1">
        <v>113.9</v>
      </c>
      <c r="K308" s="1">
        <v>0.85</v>
      </c>
      <c r="L308" t="s">
        <v>16</v>
      </c>
      <c r="M308" s="1">
        <v>3.03</v>
      </c>
      <c r="N308" s="1">
        <v>5.77</v>
      </c>
      <c r="O308" s="19" t="s">
        <v>16</v>
      </c>
    </row>
    <row r="309" spans="1:15" x14ac:dyDescent="0.2">
      <c r="A309" s="16">
        <v>45391</v>
      </c>
      <c r="B309" t="s">
        <v>15</v>
      </c>
      <c r="C309">
        <v>1</v>
      </c>
      <c r="D309" s="21">
        <v>0.64583333333333337</v>
      </c>
      <c r="E309" s="1">
        <v>0.7</v>
      </c>
      <c r="F309" s="1">
        <v>24.8</v>
      </c>
      <c r="G309" s="1">
        <v>26.37</v>
      </c>
      <c r="H309" s="1">
        <v>7.9</v>
      </c>
      <c r="I309" s="1">
        <v>6.84</v>
      </c>
      <c r="J309" s="1">
        <v>95.8</v>
      </c>
      <c r="K309" s="1">
        <v>0.7</v>
      </c>
      <c r="L309" t="s">
        <v>16</v>
      </c>
      <c r="M309" s="1">
        <v>4.8</v>
      </c>
      <c r="N309" s="1">
        <v>14.5</v>
      </c>
      <c r="O309" s="19" t="s">
        <v>16</v>
      </c>
    </row>
    <row r="310" spans="1:15" x14ac:dyDescent="0.2">
      <c r="A310" s="16">
        <v>45391</v>
      </c>
      <c r="B310" t="s">
        <v>15</v>
      </c>
      <c r="C310">
        <v>2</v>
      </c>
      <c r="D310" s="21">
        <v>0.65138888888888891</v>
      </c>
      <c r="E310" s="1">
        <v>0.55000000000000004</v>
      </c>
      <c r="F310" s="1">
        <v>25</v>
      </c>
      <c r="G310" s="1">
        <v>27.13</v>
      </c>
      <c r="H310" s="1">
        <v>7.94</v>
      </c>
      <c r="I310" s="1">
        <v>7.26</v>
      </c>
      <c r="J310" s="1">
        <v>102.6</v>
      </c>
      <c r="K310" s="1">
        <v>0.55000000000000004</v>
      </c>
      <c r="L310" t="s">
        <v>16</v>
      </c>
      <c r="M310" s="1">
        <v>4.09</v>
      </c>
      <c r="N310" s="1">
        <v>4.13</v>
      </c>
      <c r="O310" s="19" t="s">
        <v>16</v>
      </c>
    </row>
    <row r="311" spans="1:15" x14ac:dyDescent="0.2">
      <c r="A311" s="16">
        <v>45391</v>
      </c>
      <c r="B311" t="s">
        <v>15</v>
      </c>
      <c r="C311">
        <v>3</v>
      </c>
      <c r="D311" s="21">
        <v>0.63749999999999996</v>
      </c>
      <c r="E311" s="1">
        <v>0.6</v>
      </c>
      <c r="F311" s="1">
        <v>24.9</v>
      </c>
      <c r="G311" s="1">
        <v>22.17</v>
      </c>
      <c r="H311" s="1">
        <v>7.87</v>
      </c>
      <c r="I311" s="1">
        <v>6.49</v>
      </c>
      <c r="J311" s="1">
        <v>88.8</v>
      </c>
      <c r="K311" s="1">
        <v>0.6</v>
      </c>
      <c r="L311" t="s">
        <v>16</v>
      </c>
      <c r="M311" s="1">
        <v>2.2799999999999998</v>
      </c>
      <c r="N311" s="1">
        <v>4.08</v>
      </c>
      <c r="O311" s="19" t="s">
        <v>16</v>
      </c>
    </row>
    <row r="312" spans="1:15" x14ac:dyDescent="0.2">
      <c r="A312" s="16">
        <v>45391</v>
      </c>
      <c r="B312" t="s">
        <v>22</v>
      </c>
      <c r="C312">
        <v>1</v>
      </c>
      <c r="D312" s="21">
        <v>0.70347222222222228</v>
      </c>
      <c r="E312" s="1">
        <v>0.6</v>
      </c>
      <c r="F312" s="1">
        <v>24.8</v>
      </c>
      <c r="G312" s="1">
        <v>31.14</v>
      </c>
      <c r="H312" s="1">
        <v>7.96</v>
      </c>
      <c r="I312" s="1">
        <v>7.36</v>
      </c>
      <c r="J312" s="1">
        <v>107.3</v>
      </c>
      <c r="K312" s="1">
        <v>0.6</v>
      </c>
      <c r="L312" t="s">
        <v>16</v>
      </c>
      <c r="M312" s="1">
        <v>14.23</v>
      </c>
      <c r="N312" s="1">
        <v>15</v>
      </c>
      <c r="O312" s="19" t="s">
        <v>16</v>
      </c>
    </row>
    <row r="313" spans="1:15" x14ac:dyDescent="0.2">
      <c r="A313" s="16">
        <v>45391</v>
      </c>
      <c r="B313" t="s">
        <v>22</v>
      </c>
      <c r="C313">
        <v>2</v>
      </c>
      <c r="D313" s="21">
        <v>0.68541666666666667</v>
      </c>
      <c r="E313" s="1">
        <v>0.55000000000000004</v>
      </c>
      <c r="F313" s="1">
        <v>25</v>
      </c>
      <c r="G313" s="1">
        <v>30.26</v>
      </c>
      <c r="H313" s="1">
        <v>8.0299999999999994</v>
      </c>
      <c r="I313" s="1">
        <v>8.6199999999999992</v>
      </c>
      <c r="J313" s="1">
        <v>124</v>
      </c>
      <c r="K313" s="1">
        <v>0.55000000000000004</v>
      </c>
      <c r="L313" t="s">
        <v>16</v>
      </c>
      <c r="M313" s="1">
        <v>7.7</v>
      </c>
      <c r="N313" s="1">
        <v>6.84</v>
      </c>
      <c r="O313" s="19" t="s">
        <v>16</v>
      </c>
    </row>
    <row r="314" spans="1:15" x14ac:dyDescent="0.2">
      <c r="A314" s="16">
        <v>45391</v>
      </c>
      <c r="B314" t="s">
        <v>22</v>
      </c>
      <c r="C314">
        <v>3</v>
      </c>
      <c r="D314" s="21">
        <v>0.69444444444444442</v>
      </c>
      <c r="E314" s="1">
        <v>0.5</v>
      </c>
      <c r="F314" s="1">
        <v>25.3</v>
      </c>
      <c r="G314" s="1">
        <v>31.42</v>
      </c>
      <c r="H314" s="1">
        <v>7.97</v>
      </c>
      <c r="I314" s="1">
        <v>7.42</v>
      </c>
      <c r="J314" s="1">
        <v>108.2</v>
      </c>
      <c r="K314" s="1">
        <v>0.5</v>
      </c>
      <c r="L314" t="s">
        <v>16</v>
      </c>
      <c r="M314" s="1">
        <v>4.71</v>
      </c>
      <c r="N314" s="1">
        <v>7.6</v>
      </c>
      <c r="O314" s="19" t="s">
        <v>16</v>
      </c>
    </row>
    <row r="315" spans="1:15" x14ac:dyDescent="0.2">
      <c r="A315" s="16">
        <v>45418</v>
      </c>
      <c r="B315" t="str">
        <f>VLOOKUP(MID(O315,20,3),Notes!A$1:C$9, 3)</f>
        <v>LX-N</v>
      </c>
      <c r="C315">
        <f>VLOOKUP(MID(O315,20,3),Notes!A$1:C$9,2)</f>
        <v>1</v>
      </c>
      <c r="D315" s="1" t="str">
        <f>IFERROR(INDEX(Database_WQ!$A:$N, MATCH($O315, Database_WQ!$A:$A, 0), 21), "Not Found")</f>
        <v>Not Found</v>
      </c>
      <c r="E315" s="1">
        <f>IFERROR(INDEX(Database_WQ!$A:$N, MATCH($O315, Database_WQ!$A:$A, 0), 7), "Not Found")</f>
        <v>0.55000000000000004</v>
      </c>
      <c r="F315" s="1">
        <f>IFERROR(INDEX(Database_WQ!$A:$N, MATCH($O315, Database_WQ!$A:$A, 0), 3), "Not Found")</f>
        <v>30.2</v>
      </c>
      <c r="G315" s="1">
        <f>IFERROR(INDEX(Database_WQ!$A:$N, MATCH($O315, Database_WQ!$A:$A, 0), 4), "Not Found")</f>
        <v>23.3</v>
      </c>
      <c r="H315" s="1">
        <f>IFERROR(INDEX(Database_WQ!$A:$N, MATCH($O315, Database_WQ!$A:$A, 0), 6), "Not Found")</f>
        <v>7.98</v>
      </c>
      <c r="I315" s="1">
        <f>IFERROR(INDEX(Database_WQ!$A:$N, MATCH($O315, Database_WQ!$A:$A, 0), 5), "Not Found")</f>
        <v>7.14</v>
      </c>
      <c r="J315" s="1" t="str">
        <f>IFERROR(INDEX(Database_WQ!$A:$N, MATCH($O315, Database_WQ!$A:$A, 0), 22), "Not Found")</f>
        <v>Not Found</v>
      </c>
      <c r="K315" s="1">
        <f>IFERROR(INDEX(Database_WQ!$A:$N, MATCH($O315, Database_WQ!$A:$A, 0), 9), "Not Found")</f>
        <v>0.55000000000000004</v>
      </c>
      <c r="L315" s="19" t="s">
        <v>16</v>
      </c>
      <c r="M315" s="1">
        <f>IFERROR(INDEX(Database_WQ!$A:$N, MATCH($O315, Database_WQ!$A:$A, 0), 10), "Not Found")</f>
        <v>107.8</v>
      </c>
      <c r="N315" s="1">
        <f>IFERROR(INDEX(Database_WQ!$A:$N, MATCH($O315, Database_WQ!$A:$A, 0), 11), "Not Found")</f>
        <v>1543</v>
      </c>
      <c r="O315" t="s">
        <v>394</v>
      </c>
    </row>
    <row r="316" spans="1:15" x14ac:dyDescent="0.2">
      <c r="A316" s="16">
        <v>45418</v>
      </c>
      <c r="B316" t="str">
        <f>VLOOKUP(MID(O316,20,3),Notes!A$1:C$9, 3)</f>
        <v>LX-N</v>
      </c>
      <c r="C316">
        <f>VLOOKUP(MID(O316,20,3),Notes!A$1:C$9,2)</f>
        <v>2</v>
      </c>
      <c r="D316" s="1" t="str">
        <f>IFERROR(INDEX(Database_WQ!$A:$N, MATCH($O316, Database_WQ!$A:$A, 0), 21), "Not Found")</f>
        <v>Not Found</v>
      </c>
      <c r="E316" s="1">
        <f>IFERROR(INDEX(Database_WQ!$A:$N, MATCH($O316, Database_WQ!$A:$A, 0), 7), "Not Found")</f>
        <v>0.5</v>
      </c>
      <c r="F316" s="1">
        <f>IFERROR(INDEX(Database_WQ!$A:$N, MATCH($O316, Database_WQ!$A:$A, 0), 3), "Not Found")</f>
        <v>30.1</v>
      </c>
      <c r="G316" s="1">
        <f>IFERROR(INDEX(Database_WQ!$A:$N, MATCH($O316, Database_WQ!$A:$A, 0), 4), "Not Found")</f>
        <v>20.97</v>
      </c>
      <c r="H316" s="1">
        <f>IFERROR(INDEX(Database_WQ!$A:$N, MATCH($O316, Database_WQ!$A:$A, 0), 6), "Not Found")</f>
        <v>7.97</v>
      </c>
      <c r="I316" s="1">
        <f>IFERROR(INDEX(Database_WQ!$A:$N, MATCH($O316, Database_WQ!$A:$A, 0), 5), "Not Found")</f>
        <v>6.79</v>
      </c>
      <c r="J316" s="1" t="str">
        <f>IFERROR(INDEX(Database_WQ!$A:$N, MATCH($O316, Database_WQ!$A:$A, 0), 22), "Not Found")</f>
        <v>Not Found</v>
      </c>
      <c r="K316" s="1">
        <f>IFERROR(INDEX(Database_WQ!$A:$N, MATCH($O316, Database_WQ!$A:$A, 0), 9), "Not Found")</f>
        <v>0.5</v>
      </c>
      <c r="L316" s="19" t="s">
        <v>16</v>
      </c>
      <c r="M316" s="1">
        <f>IFERROR(INDEX(Database_WQ!$A:$N, MATCH($O316, Database_WQ!$A:$A, 0), 10), "Not Found")</f>
        <v>101</v>
      </c>
      <c r="N316" s="1">
        <f>IFERROR(INDEX(Database_WQ!$A:$N, MATCH($O316, Database_WQ!$A:$A, 0), 11), "Not Found")</f>
        <v>1552</v>
      </c>
      <c r="O316" t="s">
        <v>395</v>
      </c>
    </row>
    <row r="317" spans="1:15" x14ac:dyDescent="0.2">
      <c r="A317" s="16">
        <v>45418</v>
      </c>
      <c r="B317" t="str">
        <f>VLOOKUP(MID(O317,20,3),Notes!A$1:C$9, 3)</f>
        <v>LX-N</v>
      </c>
      <c r="C317">
        <f>VLOOKUP(MID(O317,20,3),Notes!A$1:C$9,2)</f>
        <v>3</v>
      </c>
      <c r="D317" s="1" t="str">
        <f>IFERROR(INDEX(Database_WQ!$A:$N, MATCH($O317, Database_WQ!$A:$A, 0), 21), "Not Found")</f>
        <v>Not Found</v>
      </c>
      <c r="E317" s="1">
        <f>IFERROR(INDEX(Database_WQ!$A:$N, MATCH($O317, Database_WQ!$A:$A, 0), 7), "Not Found")</f>
        <v>0.65</v>
      </c>
      <c r="F317" s="1">
        <f>IFERROR(INDEX(Database_WQ!$A:$N, MATCH($O317, Database_WQ!$A:$A, 0), 3), "Not Found")</f>
        <v>29.2</v>
      </c>
      <c r="G317" s="1">
        <f>IFERROR(INDEX(Database_WQ!$A:$N, MATCH($O317, Database_WQ!$A:$A, 0), 4), "Not Found")</f>
        <v>17.760000000000002</v>
      </c>
      <c r="H317" s="1">
        <f>IFERROR(INDEX(Database_WQ!$A:$N, MATCH($O317, Database_WQ!$A:$A, 0), 6), "Not Found")</f>
        <v>7.84</v>
      </c>
      <c r="I317" s="1">
        <f>IFERROR(INDEX(Database_WQ!$A:$N, MATCH($O317, Database_WQ!$A:$A, 0), 5), "Not Found")</f>
        <v>6.01</v>
      </c>
      <c r="J317" s="1" t="str">
        <f>IFERROR(INDEX(Database_WQ!$A:$N, MATCH($O317, Database_WQ!$A:$A, 0), 22), "Not Found")</f>
        <v>Not Found</v>
      </c>
      <c r="K317" s="1">
        <f>IFERROR(INDEX(Database_WQ!$A:$N, MATCH($O317, Database_WQ!$A:$A, 0), 9), "Not Found")</f>
        <v>0.65</v>
      </c>
      <c r="L317" s="19" t="s">
        <v>16</v>
      </c>
      <c r="M317" s="1">
        <f>IFERROR(INDEX(Database_WQ!$A:$N, MATCH($O317, Database_WQ!$A:$A, 0), 10), "Not Found")</f>
        <v>86.4</v>
      </c>
      <c r="N317" s="1">
        <f>IFERROR(INDEX(Database_WQ!$A:$N, MATCH($O317, Database_WQ!$A:$A, 0), 11), "Not Found")</f>
        <v>1529</v>
      </c>
      <c r="O317" t="s">
        <v>396</v>
      </c>
    </row>
    <row r="318" spans="1:15" x14ac:dyDescent="0.2">
      <c r="A318" s="16">
        <v>45418</v>
      </c>
      <c r="B318" t="str">
        <f>VLOOKUP(MID(O318,20,3),Notes!A$1:C$9, 3)</f>
        <v>LX-S</v>
      </c>
      <c r="C318">
        <f>VLOOKUP(MID(O318,20,3),Notes!A$1:C$9,2)</f>
        <v>1</v>
      </c>
      <c r="D318" s="1" t="str">
        <f>IFERROR(INDEX(Database_WQ!$A:$N, MATCH($O318, Database_WQ!$A:$A, 0), 21), "Not Found")</f>
        <v>Not Found</v>
      </c>
      <c r="E318" s="1">
        <f>IFERROR(INDEX(Database_WQ!$A:$N, MATCH($O318, Database_WQ!$A:$A, 0), 7), "Not Found")</f>
        <v>0.6</v>
      </c>
      <c r="F318" s="1">
        <f>IFERROR(INDEX(Database_WQ!$A:$N, MATCH($O318, Database_WQ!$A:$A, 0), 3), "Not Found")</f>
        <v>29.9</v>
      </c>
      <c r="G318" s="1">
        <f>IFERROR(INDEX(Database_WQ!$A:$N, MATCH($O318, Database_WQ!$A:$A, 0), 4), "Not Found")</f>
        <v>32.200000000000003</v>
      </c>
      <c r="H318" s="1">
        <f>IFERROR(INDEX(Database_WQ!$A:$N, MATCH($O318, Database_WQ!$A:$A, 0), 6), "Not Found")</f>
        <v>8.09</v>
      </c>
      <c r="I318" s="1">
        <f>IFERROR(INDEX(Database_WQ!$A:$N, MATCH($O318, Database_WQ!$A:$A, 0), 5), "Not Found")</f>
        <v>7.88</v>
      </c>
      <c r="J318" s="1" t="str">
        <f>IFERROR(INDEX(Database_WQ!$A:$N, MATCH($O318, Database_WQ!$A:$A, 0), 22), "Not Found")</f>
        <v>Not Found</v>
      </c>
      <c r="K318" s="1">
        <f>IFERROR(INDEX(Database_WQ!$A:$N, MATCH($O318, Database_WQ!$A:$A, 0), 9), "Not Found")</f>
        <v>0.6</v>
      </c>
      <c r="L318" s="19" t="s">
        <v>16</v>
      </c>
      <c r="M318" s="1">
        <f>IFERROR(INDEX(Database_WQ!$A:$N, MATCH($O318, Database_WQ!$A:$A, 0), 10), "Not Found")</f>
        <v>124.5</v>
      </c>
      <c r="N318" s="1">
        <f>IFERROR(INDEX(Database_WQ!$A:$N, MATCH($O318, Database_WQ!$A:$A, 0), 11), "Not Found")</f>
        <v>1705</v>
      </c>
      <c r="O318" t="s">
        <v>397</v>
      </c>
    </row>
    <row r="319" spans="1:15" x14ac:dyDescent="0.2">
      <c r="A319" s="16">
        <v>45418</v>
      </c>
      <c r="B319" t="str">
        <f>VLOOKUP(MID(O319,20,3),Notes!A$1:C$9, 3)</f>
        <v>LX-S</v>
      </c>
      <c r="C319">
        <f>VLOOKUP(MID(O319,20,3),Notes!A$1:C$9,2)</f>
        <v>2</v>
      </c>
      <c r="D319" s="1" t="str">
        <f>IFERROR(INDEX(Database_WQ!$A:$N, MATCH($O319, Database_WQ!$A:$A, 0), 21), "Not Found")</f>
        <v>Not Found</v>
      </c>
      <c r="E319" s="1">
        <f>IFERROR(INDEX(Database_WQ!$A:$N, MATCH($O319, Database_WQ!$A:$A, 0), 7), "Not Found")</f>
        <v>0.6</v>
      </c>
      <c r="F319" s="1">
        <f>IFERROR(INDEX(Database_WQ!$A:$N, MATCH($O319, Database_WQ!$A:$A, 0), 3), "Not Found")</f>
        <v>30.3</v>
      </c>
      <c r="G319" s="1">
        <f>IFERROR(INDEX(Database_WQ!$A:$N, MATCH($O319, Database_WQ!$A:$A, 0), 4), "Not Found")</f>
        <v>31.23</v>
      </c>
      <c r="H319" s="1">
        <f>IFERROR(INDEX(Database_WQ!$A:$N, MATCH($O319, Database_WQ!$A:$A, 0), 6), "Not Found")</f>
        <v>8.0500000000000007</v>
      </c>
      <c r="I319" s="1">
        <f>IFERROR(INDEX(Database_WQ!$A:$N, MATCH($O319, Database_WQ!$A:$A, 0), 5), "Not Found")</f>
        <v>8.07</v>
      </c>
      <c r="J319" s="1" t="str">
        <f>IFERROR(INDEX(Database_WQ!$A:$N, MATCH($O319, Database_WQ!$A:$A, 0), 22), "Not Found")</f>
        <v>Not Found</v>
      </c>
      <c r="K319" s="1">
        <f>IFERROR(INDEX(Database_WQ!$A:$N, MATCH($O319, Database_WQ!$A:$A, 0), 9), "Not Found")</f>
        <v>0.6</v>
      </c>
      <c r="L319" s="19" t="s">
        <v>16</v>
      </c>
      <c r="M319" s="1">
        <f>IFERROR(INDEX(Database_WQ!$A:$N, MATCH($O319, Database_WQ!$A:$A, 0), 10), "Not Found")</f>
        <v>127.9</v>
      </c>
      <c r="N319" s="1">
        <f>IFERROR(INDEX(Database_WQ!$A:$N, MATCH($O319, Database_WQ!$A:$A, 0), 11), "Not Found")</f>
        <v>1641</v>
      </c>
      <c r="O319" t="s">
        <v>398</v>
      </c>
    </row>
    <row r="320" spans="1:15" x14ac:dyDescent="0.2">
      <c r="A320" s="16">
        <v>45418</v>
      </c>
      <c r="B320" t="str">
        <f>VLOOKUP(MID(O320,20,3),Notes!A$1:C$9, 3)</f>
        <v>LX-S</v>
      </c>
      <c r="C320">
        <f>VLOOKUP(MID(O320,20,3),Notes!A$1:C$9,2)</f>
        <v>3</v>
      </c>
      <c r="D320" s="1" t="str">
        <f>IFERROR(INDEX(Database_WQ!$A:$N, MATCH($O320, Database_WQ!$A:$A, 0), 21), "Not Found")</f>
        <v>Not Found</v>
      </c>
      <c r="E320" s="1">
        <f>IFERROR(INDEX(Database_WQ!$A:$N, MATCH($O320, Database_WQ!$A:$A, 0), 7), "Not Found")</f>
        <v>0.55000000000000004</v>
      </c>
      <c r="F320" s="1">
        <f>IFERROR(INDEX(Database_WQ!$A:$N, MATCH($O320, Database_WQ!$A:$A, 0), 3), "Not Found")</f>
        <v>31.2</v>
      </c>
      <c r="G320" s="1">
        <f>IFERROR(INDEX(Database_WQ!$A:$N, MATCH($O320, Database_WQ!$A:$A, 0), 4), "Not Found")</f>
        <v>31.72</v>
      </c>
      <c r="H320" s="1">
        <f>IFERROR(INDEX(Database_WQ!$A:$N, MATCH($O320, Database_WQ!$A:$A, 0), 6), "Not Found")</f>
        <v>8.02</v>
      </c>
      <c r="I320" s="1">
        <f>IFERROR(INDEX(Database_WQ!$A:$N, MATCH($O320, Database_WQ!$A:$A, 0), 5), "Not Found")</f>
        <v>7.77</v>
      </c>
      <c r="J320" s="1" t="str">
        <f>IFERROR(INDEX(Database_WQ!$A:$N, MATCH($O320, Database_WQ!$A:$A, 0), 22), "Not Found")</f>
        <v>Not Found</v>
      </c>
      <c r="K320" s="1">
        <f>IFERROR(INDEX(Database_WQ!$A:$N, MATCH($O320, Database_WQ!$A:$A, 0), 9), "Not Found")</f>
        <v>0.55000000000000004</v>
      </c>
      <c r="L320" s="19" t="s">
        <v>16</v>
      </c>
      <c r="M320" s="1">
        <f>IFERROR(INDEX(Database_WQ!$A:$N, MATCH($O320, Database_WQ!$A:$A, 0), 10), "Not Found")</f>
        <v>125</v>
      </c>
      <c r="N320" s="1">
        <f>IFERROR(INDEX(Database_WQ!$A:$N, MATCH($O320, Database_WQ!$A:$A, 0), 11), "Not Found")</f>
        <v>1647</v>
      </c>
      <c r="O320" t="s">
        <v>399</v>
      </c>
    </row>
    <row r="321" spans="1:15" x14ac:dyDescent="0.2">
      <c r="A321" s="16">
        <v>45446</v>
      </c>
      <c r="B321" t="str">
        <f>VLOOKUP(MID(O321,20,3),Notes!A$1:C$9, 3)</f>
        <v>LX-N</v>
      </c>
      <c r="C321">
        <f>VLOOKUP(MID(O321,20,3),Notes!A$1:C$9,2)</f>
        <v>1</v>
      </c>
      <c r="D321" s="1" t="str">
        <f>IFERROR(INDEX(Database_WQ!$A:$N, MATCH($O321, Database_WQ!$A:$A, 0), 21), "Not Found")</f>
        <v>Not Found</v>
      </c>
      <c r="E321" s="1">
        <f>IFERROR(INDEX(Database_WQ!$A:$N, MATCH($O321, Database_WQ!$A:$A, 0), 7), "Not Found")</f>
        <v>0.8</v>
      </c>
      <c r="F321" s="1">
        <f>IFERROR(INDEX(Database_WQ!$A:$N, MATCH($O321, Database_WQ!$A:$A, 0), 3), "Not Found")</f>
        <v>31.2</v>
      </c>
      <c r="G321" s="1">
        <f>IFERROR(INDEX(Database_WQ!$A:$N, MATCH($O321, Database_WQ!$A:$A, 0), 4), "Not Found")</f>
        <v>29.72</v>
      </c>
      <c r="H321" s="1">
        <f>IFERROR(INDEX(Database_WQ!$A:$N, MATCH($O321, Database_WQ!$A:$A, 0), 6), "Not Found")</f>
        <v>7.92</v>
      </c>
      <c r="I321" s="1">
        <f>IFERROR(INDEX(Database_WQ!$A:$N, MATCH($O321, Database_WQ!$A:$A, 0), 5), "Not Found")</f>
        <v>6.44</v>
      </c>
      <c r="J321" s="1" t="str">
        <f>IFERROR(INDEX(Database_WQ!$A:$N, MATCH($O321, Database_WQ!$A:$A, 0), 22), "Not Found")</f>
        <v>Not Found</v>
      </c>
      <c r="K321" s="1">
        <f>IFERROR(INDEX(Database_WQ!$A:$N, MATCH($O321, Database_WQ!$A:$A, 0), 9), "Not Found")</f>
        <v>0.8</v>
      </c>
      <c r="L321" s="19" t="s">
        <v>16</v>
      </c>
      <c r="M321" s="1">
        <f>IFERROR(INDEX(Database_WQ!$A:$N, MATCH($O321, Database_WQ!$A:$A, 0), 10), "Not Found")</f>
        <v>101.9</v>
      </c>
      <c r="N321" s="1">
        <f>IFERROR(INDEX(Database_WQ!$A:$N, MATCH($O321, Database_WQ!$A:$A, 0), 11), "Not Found")</f>
        <v>1626</v>
      </c>
      <c r="O321" t="s">
        <v>400</v>
      </c>
    </row>
    <row r="322" spans="1:15" x14ac:dyDescent="0.2">
      <c r="A322" s="16">
        <v>45446</v>
      </c>
      <c r="B322" t="str">
        <f>VLOOKUP(MID(O322,20,3),Notes!A$1:C$9, 3)</f>
        <v>LX-N</v>
      </c>
      <c r="C322">
        <f>VLOOKUP(MID(O322,20,3),Notes!A$1:C$9,2)</f>
        <v>2</v>
      </c>
      <c r="D322" s="1" t="str">
        <f>IFERROR(INDEX(Database_WQ!$A:$N, MATCH($O322, Database_WQ!$A:$A, 0), 21), "Not Found")</f>
        <v>Not Found</v>
      </c>
      <c r="E322" s="1">
        <f>IFERROR(INDEX(Database_WQ!$A:$N, MATCH($O322, Database_WQ!$A:$A, 0), 7), "Not Found")</f>
        <v>0.5</v>
      </c>
      <c r="F322" s="1">
        <f>IFERROR(INDEX(Database_WQ!$A:$N, MATCH($O322, Database_WQ!$A:$A, 0), 3), "Not Found")</f>
        <v>30.9</v>
      </c>
      <c r="G322" s="1">
        <f>IFERROR(INDEX(Database_WQ!$A:$N, MATCH($O322, Database_WQ!$A:$A, 0), 4), "Not Found")</f>
        <v>30.04</v>
      </c>
      <c r="H322" s="1">
        <f>IFERROR(INDEX(Database_WQ!$A:$N, MATCH($O322, Database_WQ!$A:$A, 0), 6), "Not Found")</f>
        <v>7.92</v>
      </c>
      <c r="I322" s="1">
        <f>IFERROR(INDEX(Database_WQ!$A:$N, MATCH($O322, Database_WQ!$A:$A, 0), 5), "Not Found")</f>
        <v>6.37</v>
      </c>
      <c r="J322" s="1" t="str">
        <f>IFERROR(INDEX(Database_WQ!$A:$N, MATCH($O322, Database_WQ!$A:$A, 0), 22), "Not Found")</f>
        <v>Not Found</v>
      </c>
      <c r="K322" s="1">
        <f>IFERROR(INDEX(Database_WQ!$A:$N, MATCH($O322, Database_WQ!$A:$A, 0), 9), "Not Found")</f>
        <v>0.5</v>
      </c>
      <c r="L322" s="19" t="s">
        <v>16</v>
      </c>
      <c r="M322" s="1">
        <f>IFERROR(INDEX(Database_WQ!$A:$N, MATCH($O322, Database_WQ!$A:$A, 0), 10), "Not Found")</f>
        <v>100.9</v>
      </c>
      <c r="N322" s="1">
        <f>IFERROR(INDEX(Database_WQ!$A:$N, MATCH($O322, Database_WQ!$A:$A, 0), 11), "Not Found")</f>
        <v>1635</v>
      </c>
      <c r="O322" t="s">
        <v>401</v>
      </c>
    </row>
    <row r="323" spans="1:15" x14ac:dyDescent="0.2">
      <c r="A323" s="16">
        <v>45446</v>
      </c>
      <c r="B323" t="str">
        <f>VLOOKUP(MID(O323,20,3),Notes!A$1:C$9, 3)</f>
        <v>LX-N</v>
      </c>
      <c r="C323">
        <f>VLOOKUP(MID(O323,20,3),Notes!A$1:C$9,2)</f>
        <v>3</v>
      </c>
      <c r="D323" s="1" t="str">
        <f>IFERROR(INDEX(Database_WQ!$A:$N, MATCH($O323, Database_WQ!$A:$A, 0), 21), "Not Found")</f>
        <v>Not Found</v>
      </c>
      <c r="E323" s="1">
        <f>IFERROR(INDEX(Database_WQ!$A:$N, MATCH($O323, Database_WQ!$A:$A, 0), 7), "Not Found")</f>
        <v>0.55000000000000004</v>
      </c>
      <c r="F323" s="1">
        <f>IFERROR(INDEX(Database_WQ!$A:$N, MATCH($O323, Database_WQ!$A:$A, 0), 3), "Not Found")</f>
        <v>31</v>
      </c>
      <c r="G323" s="1">
        <f>IFERROR(INDEX(Database_WQ!$A:$N, MATCH($O323, Database_WQ!$A:$A, 0), 4), "Not Found")</f>
        <v>30.4</v>
      </c>
      <c r="H323" s="1">
        <f>IFERROR(INDEX(Database_WQ!$A:$N, MATCH($O323, Database_WQ!$A:$A, 0), 6), "Not Found")</f>
        <v>7.89</v>
      </c>
      <c r="I323" s="1">
        <f>IFERROR(INDEX(Database_WQ!$A:$N, MATCH($O323, Database_WQ!$A:$A, 0), 5), "Not Found")</f>
        <v>5.69</v>
      </c>
      <c r="J323" s="1" t="str">
        <f>IFERROR(INDEX(Database_WQ!$A:$N, MATCH($O323, Database_WQ!$A:$A, 0), 22), "Not Found")</f>
        <v>Not Found</v>
      </c>
      <c r="K323" s="1">
        <f>IFERROR(INDEX(Database_WQ!$A:$N, MATCH($O323, Database_WQ!$A:$A, 0), 9), "Not Found")</f>
        <v>0.55000000000000004</v>
      </c>
      <c r="L323" s="19" t="s">
        <v>16</v>
      </c>
      <c r="M323" s="1">
        <f>IFERROR(INDEX(Database_WQ!$A:$N, MATCH($O323, Database_WQ!$A:$A, 0), 10), "Not Found")</f>
        <v>90.4</v>
      </c>
      <c r="N323" s="1">
        <f>IFERROR(INDEX(Database_WQ!$A:$N, MATCH($O323, Database_WQ!$A:$A, 0), 11), "Not Found")</f>
        <v>1612</v>
      </c>
      <c r="O323" t="s">
        <v>402</v>
      </c>
    </row>
    <row r="324" spans="1:15" x14ac:dyDescent="0.2">
      <c r="A324" s="16">
        <v>45446</v>
      </c>
      <c r="B324" t="str">
        <f>VLOOKUP(MID(O324,20,3),Notes!A$1:C$9, 3)</f>
        <v>LX-S</v>
      </c>
      <c r="C324">
        <f>VLOOKUP(MID(O324,20,3),Notes!A$1:C$9,2)</f>
        <v>1</v>
      </c>
      <c r="D324" s="1" t="str">
        <f>IFERROR(INDEX(Database_WQ!$A:$N, MATCH($O324, Database_WQ!$A:$A, 0), 21), "Not Found")</f>
        <v>Not Found</v>
      </c>
      <c r="E324" s="1">
        <f>IFERROR(INDEX(Database_WQ!$A:$N, MATCH($O324, Database_WQ!$A:$A, 0), 7), "Not Found")</f>
        <v>0.7</v>
      </c>
      <c r="F324" s="1">
        <f>IFERROR(INDEX(Database_WQ!$A:$N, MATCH($O324, Database_WQ!$A:$A, 0), 3), "Not Found")</f>
        <v>29.9</v>
      </c>
      <c r="G324" s="1">
        <f>IFERROR(INDEX(Database_WQ!$A:$N, MATCH($O324, Database_WQ!$A:$A, 0), 4), "Not Found")</f>
        <v>34.770000000000003</v>
      </c>
      <c r="H324" s="1">
        <f>IFERROR(INDEX(Database_WQ!$A:$N, MATCH($O324, Database_WQ!$A:$A, 0), 6), "Not Found")</f>
        <v>8.09</v>
      </c>
      <c r="I324" s="1">
        <f>IFERROR(INDEX(Database_WQ!$A:$N, MATCH($O324, Database_WQ!$A:$A, 0), 5), "Not Found")</f>
        <v>7.21</v>
      </c>
      <c r="J324" s="1" t="str">
        <f>IFERROR(INDEX(Database_WQ!$A:$N, MATCH($O324, Database_WQ!$A:$A, 0), 22), "Not Found")</f>
        <v>Not Found</v>
      </c>
      <c r="K324" s="1">
        <f>IFERROR(INDEX(Database_WQ!$A:$N, MATCH($O324, Database_WQ!$A:$A, 0), 9), "Not Found")</f>
        <v>0.7</v>
      </c>
      <c r="L324" s="19" t="s">
        <v>16</v>
      </c>
      <c r="M324" s="1">
        <f>IFERROR(INDEX(Database_WQ!$A:$N, MATCH($O324, Database_WQ!$A:$A, 0), 10), "Not Found")</f>
        <v>116.1</v>
      </c>
      <c r="N324" s="1">
        <f>IFERROR(INDEX(Database_WQ!$A:$N, MATCH($O324, Database_WQ!$A:$A, 0), 11), "Not Found")</f>
        <v>1800</v>
      </c>
      <c r="O324" t="s">
        <v>403</v>
      </c>
    </row>
    <row r="325" spans="1:15" x14ac:dyDescent="0.2">
      <c r="A325" s="16">
        <v>45446</v>
      </c>
      <c r="B325" t="str">
        <f>VLOOKUP(MID(O325,20,3),Notes!A$1:C$9, 3)</f>
        <v>LX-S</v>
      </c>
      <c r="C325">
        <f>VLOOKUP(MID(O325,20,3),Notes!A$1:C$9,2)</f>
        <v>2</v>
      </c>
      <c r="D325" s="1" t="str">
        <f>IFERROR(INDEX(Database_WQ!$A:$N, MATCH($O325, Database_WQ!$A:$A, 0), 21), "Not Found")</f>
        <v>Not Found</v>
      </c>
      <c r="E325" s="1">
        <f>IFERROR(INDEX(Database_WQ!$A:$N, MATCH($O325, Database_WQ!$A:$A, 0), 7), "Not Found")</f>
        <v>0.9</v>
      </c>
      <c r="F325" s="1">
        <f>IFERROR(INDEX(Database_WQ!$A:$N, MATCH($O325, Database_WQ!$A:$A, 0), 3), "Not Found")</f>
        <v>30.6</v>
      </c>
      <c r="G325" s="1">
        <f>IFERROR(INDEX(Database_WQ!$A:$N, MATCH($O325, Database_WQ!$A:$A, 0), 4), "Not Found")</f>
        <v>33.590000000000003</v>
      </c>
      <c r="H325" s="1">
        <f>IFERROR(INDEX(Database_WQ!$A:$N, MATCH($O325, Database_WQ!$A:$A, 0), 6), "Not Found")</f>
        <v>7.91</v>
      </c>
      <c r="I325" s="1">
        <f>IFERROR(INDEX(Database_WQ!$A:$N, MATCH($O325, Database_WQ!$A:$A, 0), 5), "Not Found")</f>
        <v>6.67</v>
      </c>
      <c r="J325" s="1" t="str">
        <f>IFERROR(INDEX(Database_WQ!$A:$N, MATCH($O325, Database_WQ!$A:$A, 0), 22), "Not Found")</f>
        <v>Not Found</v>
      </c>
      <c r="K325" s="1">
        <f>IFERROR(INDEX(Database_WQ!$A:$N, MATCH($O325, Database_WQ!$A:$A, 0), 9), "Not Found")</f>
        <v>0.6</v>
      </c>
      <c r="L325" s="19" t="s">
        <v>16</v>
      </c>
      <c r="M325" s="1">
        <f>IFERROR(INDEX(Database_WQ!$A:$N, MATCH($O325, Database_WQ!$A:$A, 0), 10), "Not Found")</f>
        <v>107.2</v>
      </c>
      <c r="N325" s="1">
        <f>IFERROR(INDEX(Database_WQ!$A:$N, MATCH($O325, Database_WQ!$A:$A, 0), 11), "Not Found")</f>
        <v>1737</v>
      </c>
      <c r="O325" t="s">
        <v>404</v>
      </c>
    </row>
    <row r="326" spans="1:15" x14ac:dyDescent="0.2">
      <c r="A326" s="16">
        <v>45446</v>
      </c>
      <c r="B326" t="str">
        <f>VLOOKUP(MID(O326,20,3),Notes!A$1:C$9, 3)</f>
        <v>LX-S</v>
      </c>
      <c r="C326">
        <f>VLOOKUP(MID(O326,20,3),Notes!A$1:C$9,2)</f>
        <v>3</v>
      </c>
      <c r="D326" s="1" t="str">
        <f>IFERROR(INDEX(Database_WQ!$A:$N, MATCH($O326, Database_WQ!$A:$A, 0), 21), "Not Found")</f>
        <v>Not Found</v>
      </c>
      <c r="E326" s="1">
        <f>IFERROR(INDEX(Database_WQ!$A:$N, MATCH($O326, Database_WQ!$A:$A, 0), 7), "Not Found")</f>
        <v>0.85</v>
      </c>
      <c r="F326" s="1">
        <f>IFERROR(INDEX(Database_WQ!$A:$N, MATCH($O326, Database_WQ!$A:$A, 0), 3), "Not Found")</f>
        <v>30.6</v>
      </c>
      <c r="G326" s="1">
        <f>IFERROR(INDEX(Database_WQ!$A:$N, MATCH($O326, Database_WQ!$A:$A, 0), 4), "Not Found")</f>
        <v>33.86</v>
      </c>
      <c r="H326" s="1">
        <f>IFERROR(INDEX(Database_WQ!$A:$N, MATCH($O326, Database_WQ!$A:$A, 0), 6), "Not Found")</f>
        <v>7.97</v>
      </c>
      <c r="I326" s="1">
        <f>IFERROR(INDEX(Database_WQ!$A:$N, MATCH($O326, Database_WQ!$A:$A, 0), 5), "Not Found")</f>
        <v>6.95</v>
      </c>
      <c r="J326" s="1" t="str">
        <f>IFERROR(INDEX(Database_WQ!$A:$N, MATCH($O326, Database_WQ!$A:$A, 0), 22), "Not Found")</f>
        <v>Not Found</v>
      </c>
      <c r="K326" s="1">
        <f>IFERROR(INDEX(Database_WQ!$A:$N, MATCH($O326, Database_WQ!$A:$A, 0), 9), "Not Found")</f>
        <v>0.65</v>
      </c>
      <c r="L326" s="19" t="s">
        <v>16</v>
      </c>
      <c r="M326" s="1">
        <f>IFERROR(INDEX(Database_WQ!$A:$N, MATCH($O326, Database_WQ!$A:$A, 0), 10), "Not Found")</f>
        <v>112</v>
      </c>
      <c r="N326" s="1">
        <f>IFERROR(INDEX(Database_WQ!$A:$N, MATCH($O326, Database_WQ!$A:$A, 0), 11), "Not Found")</f>
        <v>1746</v>
      </c>
      <c r="O326" t="s">
        <v>405</v>
      </c>
    </row>
    <row r="327" spans="1:15" x14ac:dyDescent="0.2">
      <c r="A327" s="16">
        <v>45482</v>
      </c>
      <c r="B327" t="str">
        <f>VLOOKUP(MID(O327,20,3),Notes!A$1:C$9, 3)</f>
        <v>LX-N</v>
      </c>
      <c r="C327">
        <f>VLOOKUP(MID(O327,20,3),Notes!A$1:C$9,2)</f>
        <v>1</v>
      </c>
      <c r="D327" s="1" t="str">
        <f>IFERROR(INDEX(Database_WQ!$A:$N, MATCH($O327, Database_WQ!$A:$A, 0), 21), "Not Found")</f>
        <v>Not Found</v>
      </c>
      <c r="E327" s="1">
        <f>IFERROR(INDEX(Database_WQ!$A:$N, MATCH($O327, Database_WQ!$A:$A, 0), 7), "Not Found")</f>
        <v>0.6</v>
      </c>
      <c r="F327" s="1">
        <f>IFERROR(INDEX(Database_WQ!$A:$N, MATCH($O327, Database_WQ!$A:$A, 0), 3), "Not Found")</f>
        <v>32.5</v>
      </c>
      <c r="G327" s="1">
        <f>IFERROR(INDEX(Database_WQ!$A:$N, MATCH($O327, Database_WQ!$A:$A, 0), 4), "Not Found")</f>
        <v>11.68</v>
      </c>
      <c r="H327" s="1">
        <f>IFERROR(INDEX(Database_WQ!$A:$N, MATCH($O327, Database_WQ!$A:$A, 0), 6), "Not Found")</f>
        <v>7.81</v>
      </c>
      <c r="I327" s="1">
        <f>IFERROR(INDEX(Database_WQ!$A:$N, MATCH($O327, Database_WQ!$A:$A, 0), 5), "Not Found")</f>
        <v>4.6500000000000004</v>
      </c>
      <c r="J327" s="1" t="str">
        <f>IFERROR(INDEX(Database_WQ!$A:$N, MATCH($O327, Database_WQ!$A:$A, 0), 22), "Not Found")</f>
        <v>Not Found</v>
      </c>
      <c r="K327" s="1">
        <f>IFERROR(INDEX(Database_WQ!$A:$N, MATCH($O327, Database_WQ!$A:$A, 0), 9), "Not Found")</f>
        <v>0.6</v>
      </c>
      <c r="L327" s="19" t="s">
        <v>16</v>
      </c>
      <c r="M327" s="1">
        <f>IFERROR(INDEX(Database_WQ!$A:$N, MATCH($O327, Database_WQ!$A:$A, 0), 10), "Not Found")</f>
        <v>67.099999999999994</v>
      </c>
      <c r="N327" s="1">
        <f>IFERROR(INDEX(Database_WQ!$A:$N, MATCH($O327, Database_WQ!$A:$A, 0), 11), "Not Found")</f>
        <v>1600</v>
      </c>
      <c r="O327" t="s">
        <v>406</v>
      </c>
    </row>
    <row r="328" spans="1:15" x14ac:dyDescent="0.2">
      <c r="A328" s="16">
        <v>45482</v>
      </c>
      <c r="B328" t="str">
        <f>VLOOKUP(MID(O328,20,3),Notes!A$1:C$9, 3)</f>
        <v>LX-N</v>
      </c>
      <c r="C328">
        <f>VLOOKUP(MID(O328,20,3),Notes!A$1:C$9,2)</f>
        <v>2</v>
      </c>
      <c r="D328" s="1" t="str">
        <f>IFERROR(INDEX(Database_WQ!$A:$N, MATCH($O328, Database_WQ!$A:$A, 0), 21), "Not Found")</f>
        <v>Not Found</v>
      </c>
      <c r="E328" s="1">
        <f>IFERROR(INDEX(Database_WQ!$A:$N, MATCH($O328, Database_WQ!$A:$A, 0), 7), "Not Found")</f>
        <v>0.55000000000000004</v>
      </c>
      <c r="F328" s="1">
        <f>IFERROR(INDEX(Database_WQ!$A:$N, MATCH($O328, Database_WQ!$A:$A, 0), 3), "Not Found")</f>
        <v>32.700000000000003</v>
      </c>
      <c r="G328" s="1">
        <f>IFERROR(INDEX(Database_WQ!$A:$N, MATCH($O328, Database_WQ!$A:$A, 0), 4), "Not Found")</f>
        <v>11.57</v>
      </c>
      <c r="H328" s="1">
        <f>IFERROR(INDEX(Database_WQ!$A:$N, MATCH($O328, Database_WQ!$A:$A, 0), 6), "Not Found")</f>
        <v>7.9</v>
      </c>
      <c r="I328" s="1">
        <f>IFERROR(INDEX(Database_WQ!$A:$N, MATCH($O328, Database_WQ!$A:$A, 0), 5), "Not Found")</f>
        <v>6.48</v>
      </c>
      <c r="J328" s="1" t="str">
        <f>IFERROR(INDEX(Database_WQ!$A:$N, MATCH($O328, Database_WQ!$A:$A, 0), 22), "Not Found")</f>
        <v>Not Found</v>
      </c>
      <c r="K328" s="1">
        <f>IFERROR(INDEX(Database_WQ!$A:$N, MATCH($O328, Database_WQ!$A:$A, 0), 9), "Not Found")</f>
        <v>0.55000000000000004</v>
      </c>
      <c r="L328" s="19" t="s">
        <v>16</v>
      </c>
      <c r="M328" s="1">
        <f>IFERROR(INDEX(Database_WQ!$A:$N, MATCH($O328, Database_WQ!$A:$A, 0), 10), "Not Found")</f>
        <v>95.8</v>
      </c>
      <c r="N328" s="1">
        <f>IFERROR(INDEX(Database_WQ!$A:$N, MATCH($O328, Database_WQ!$A:$A, 0), 11), "Not Found")</f>
        <v>1613</v>
      </c>
      <c r="O328" t="s">
        <v>407</v>
      </c>
    </row>
    <row r="329" spans="1:15" x14ac:dyDescent="0.2">
      <c r="A329" s="16">
        <v>45482</v>
      </c>
      <c r="B329" t="str">
        <f>VLOOKUP(MID(O329,20,3),Notes!A$1:C$9, 3)</f>
        <v>LX-N</v>
      </c>
      <c r="C329">
        <f>VLOOKUP(MID(O329,20,3),Notes!A$1:C$9,2)</f>
        <v>3</v>
      </c>
      <c r="D329" s="1" t="str">
        <f>IFERROR(INDEX(Database_WQ!$A:$N, MATCH($O329, Database_WQ!$A:$A, 0), 21), "Not Found")</f>
        <v>Not Found</v>
      </c>
      <c r="E329" s="1">
        <f>IFERROR(INDEX(Database_WQ!$A:$N, MATCH($O329, Database_WQ!$A:$A, 0), 7), "Not Found")</f>
        <v>0.65</v>
      </c>
      <c r="F329" s="1">
        <f>IFERROR(INDEX(Database_WQ!$A:$N, MATCH($O329, Database_WQ!$A:$A, 0), 3), "Not Found")</f>
        <v>32.1</v>
      </c>
      <c r="G329" s="1">
        <f>IFERROR(INDEX(Database_WQ!$A:$N, MATCH($O329, Database_WQ!$A:$A, 0), 4), "Not Found")</f>
        <v>7.07</v>
      </c>
      <c r="H329" s="1">
        <f>IFERROR(INDEX(Database_WQ!$A:$N, MATCH($O329, Database_WQ!$A:$A, 0), 6), "Not Found")</f>
        <v>7.9</v>
      </c>
      <c r="I329" s="1">
        <f>IFERROR(INDEX(Database_WQ!$A:$N, MATCH($O329, Database_WQ!$A:$A, 0), 5), "Not Found")</f>
        <v>4.6500000000000004</v>
      </c>
      <c r="J329" s="1" t="str">
        <f>IFERROR(INDEX(Database_WQ!$A:$N, MATCH($O329, Database_WQ!$A:$A, 0), 22), "Not Found")</f>
        <v>Not Found</v>
      </c>
      <c r="K329" s="1">
        <f>IFERROR(INDEX(Database_WQ!$A:$N, MATCH($O329, Database_WQ!$A:$A, 0), 9), "Not Found")</f>
        <v>0.65</v>
      </c>
      <c r="L329" s="19" t="s">
        <v>16</v>
      </c>
      <c r="M329" s="1">
        <f>IFERROR(INDEX(Database_WQ!$A:$N, MATCH($O329, Database_WQ!$A:$A, 0), 10), "Not Found")</f>
        <v>66.2</v>
      </c>
      <c r="N329" s="1">
        <f>IFERROR(INDEX(Database_WQ!$A:$N, MATCH($O329, Database_WQ!$A:$A, 0), 11), "Not Found")</f>
        <v>1548</v>
      </c>
      <c r="O329" t="s">
        <v>408</v>
      </c>
    </row>
    <row r="330" spans="1:15" x14ac:dyDescent="0.2">
      <c r="A330" s="16">
        <v>45482</v>
      </c>
      <c r="B330" t="str">
        <f>VLOOKUP(MID(O330,20,3),Notes!A$1:C$9, 3)</f>
        <v>LX-S</v>
      </c>
      <c r="C330">
        <f>VLOOKUP(MID(O330,20,3),Notes!A$1:C$9,2)</f>
        <v>1</v>
      </c>
      <c r="D330" s="1" t="str">
        <f>IFERROR(INDEX(Database_WQ!$A:$N, MATCH($O330, Database_WQ!$A:$A, 0), 21), "Not Found")</f>
        <v>Not Found</v>
      </c>
      <c r="E330" s="1">
        <f>IFERROR(INDEX(Database_WQ!$A:$N, MATCH($O330, Database_WQ!$A:$A, 0), 7), "Not Found")</f>
        <v>0.55000000000000004</v>
      </c>
      <c r="F330" s="1">
        <f>IFERROR(INDEX(Database_WQ!$A:$N, MATCH($O330, Database_WQ!$A:$A, 0), 3), "Not Found")</f>
        <v>30.8</v>
      </c>
      <c r="G330" s="1">
        <f>IFERROR(INDEX(Database_WQ!$A:$N, MATCH($O330, Database_WQ!$A:$A, 0), 4), "Not Found")</f>
        <v>24.45</v>
      </c>
      <c r="H330" s="1">
        <f>IFERROR(INDEX(Database_WQ!$A:$N, MATCH($O330, Database_WQ!$A:$A, 0), 6), "Not Found")</f>
        <v>7.84</v>
      </c>
      <c r="I330" s="1">
        <f>IFERROR(INDEX(Database_WQ!$A:$N, MATCH($O330, Database_WQ!$A:$A, 0), 5), "Not Found")</f>
        <v>6.88</v>
      </c>
      <c r="J330" s="1" t="str">
        <f>IFERROR(INDEX(Database_WQ!$A:$N, MATCH($O330, Database_WQ!$A:$A, 0), 22), "Not Found")</f>
        <v>Not Found</v>
      </c>
      <c r="K330" s="1">
        <f>IFERROR(INDEX(Database_WQ!$A:$N, MATCH($O330, Database_WQ!$A:$A, 0), 9), "Not Found")</f>
        <v>0.55000000000000004</v>
      </c>
      <c r="L330" s="19" t="s">
        <v>16</v>
      </c>
      <c r="M330" s="1">
        <f>IFERROR(INDEX(Database_WQ!$A:$N, MATCH($O330, Database_WQ!$A:$A, 0), 10), "Not Found")</f>
        <v>105.7</v>
      </c>
      <c r="N330" s="1">
        <f>IFERROR(INDEX(Database_WQ!$A:$N, MATCH($O330, Database_WQ!$A:$A, 0), 11), "Not Found")</f>
        <v>1841</v>
      </c>
      <c r="O330" t="s">
        <v>409</v>
      </c>
    </row>
    <row r="331" spans="1:15" x14ac:dyDescent="0.2">
      <c r="A331" s="16">
        <v>45482</v>
      </c>
      <c r="B331" t="str">
        <f>VLOOKUP(MID(O331,20,3),Notes!A$1:C$9, 3)</f>
        <v>LX-S</v>
      </c>
      <c r="C331">
        <f>VLOOKUP(MID(O331,20,3),Notes!A$1:C$9,2)</f>
        <v>2</v>
      </c>
      <c r="D331" s="1" t="str">
        <f>IFERROR(INDEX(Database_WQ!$A:$N, MATCH($O331, Database_WQ!$A:$A, 0), 21), "Not Found")</f>
        <v>Not Found</v>
      </c>
      <c r="E331" s="1">
        <f>IFERROR(INDEX(Database_WQ!$A:$N, MATCH($O331, Database_WQ!$A:$A, 0), 7), "Not Found")</f>
        <v>0.6</v>
      </c>
      <c r="F331" s="1">
        <f>IFERROR(INDEX(Database_WQ!$A:$N, MATCH($O331, Database_WQ!$A:$A, 0), 3), "Not Found")</f>
        <v>32.700000000000003</v>
      </c>
      <c r="G331" s="1">
        <f>IFERROR(INDEX(Database_WQ!$A:$N, MATCH($O331, Database_WQ!$A:$A, 0), 4), "Not Found")</f>
        <v>24.72</v>
      </c>
      <c r="H331" s="1">
        <f>IFERROR(INDEX(Database_WQ!$A:$N, MATCH($O331, Database_WQ!$A:$A, 0), 6), "Not Found")</f>
        <v>8.0500000000000007</v>
      </c>
      <c r="I331" s="1">
        <f>IFERROR(INDEX(Database_WQ!$A:$N, MATCH($O331, Database_WQ!$A:$A, 0), 5), "Not Found")</f>
        <v>7.32</v>
      </c>
      <c r="J331" s="1" t="str">
        <f>IFERROR(INDEX(Database_WQ!$A:$N, MATCH($O331, Database_WQ!$A:$A, 0), 22), "Not Found")</f>
        <v>Not Found</v>
      </c>
      <c r="K331" s="1">
        <f>IFERROR(INDEX(Database_WQ!$A:$N, MATCH($O331, Database_WQ!$A:$A, 0), 9), "Not Found")</f>
        <v>0.6</v>
      </c>
      <c r="L331" s="19" t="s">
        <v>16</v>
      </c>
      <c r="M331" s="1">
        <f>IFERROR(INDEX(Database_WQ!$A:$N, MATCH($O331, Database_WQ!$A:$A, 0), 10), "Not Found")</f>
        <v>115.7</v>
      </c>
      <c r="N331" s="1">
        <f>IFERROR(INDEX(Database_WQ!$A:$N, MATCH($O331, Database_WQ!$A:$A, 0), 11), "Not Found")</f>
        <v>1709</v>
      </c>
      <c r="O331" t="s">
        <v>410</v>
      </c>
    </row>
    <row r="332" spans="1:15" x14ac:dyDescent="0.2">
      <c r="A332" s="16">
        <v>45482</v>
      </c>
      <c r="B332" t="str">
        <f>VLOOKUP(MID(O332,20,3),Notes!A$1:C$9, 3)</f>
        <v>LX-S</v>
      </c>
      <c r="C332">
        <f>VLOOKUP(MID(O332,20,3),Notes!A$1:C$9,2)</f>
        <v>3</v>
      </c>
      <c r="D332" s="1" t="str">
        <f>IFERROR(INDEX(Database_WQ!$A:$N, MATCH($O332, Database_WQ!$A:$A, 0), 21), "Not Found")</f>
        <v>Not Found</v>
      </c>
      <c r="E332" s="1">
        <f>IFERROR(INDEX(Database_WQ!$A:$N, MATCH($O332, Database_WQ!$A:$A, 0), 7), "Not Found")</f>
        <v>0.6</v>
      </c>
      <c r="F332" s="1">
        <f>IFERROR(INDEX(Database_WQ!$A:$N, MATCH($O332, Database_WQ!$A:$A, 0), 3), "Not Found")</f>
        <v>32.4</v>
      </c>
      <c r="G332" s="1">
        <f>IFERROR(INDEX(Database_WQ!$A:$N, MATCH($O332, Database_WQ!$A:$A, 0), 4), "Not Found")</f>
        <v>24.34</v>
      </c>
      <c r="H332" s="1">
        <f>IFERROR(INDEX(Database_WQ!$A:$N, MATCH($O332, Database_WQ!$A:$A, 0), 6), "Not Found")</f>
        <v>8.08</v>
      </c>
      <c r="I332" s="1">
        <f>IFERROR(INDEX(Database_WQ!$A:$N, MATCH($O332, Database_WQ!$A:$A, 0), 5), "Not Found")</f>
        <v>7.18</v>
      </c>
      <c r="J332" s="1" t="str">
        <f>IFERROR(INDEX(Database_WQ!$A:$N, MATCH($O332, Database_WQ!$A:$A, 0), 22), "Not Found")</f>
        <v>Not Found</v>
      </c>
      <c r="K332" s="1">
        <f>IFERROR(INDEX(Database_WQ!$A:$N, MATCH($O332, Database_WQ!$A:$A, 0), 9), "Not Found")</f>
        <v>0.6</v>
      </c>
      <c r="L332" s="19" t="s">
        <v>16</v>
      </c>
      <c r="M332" s="1">
        <f>IFERROR(INDEX(Database_WQ!$A:$N, MATCH($O332, Database_WQ!$A:$A, 0), 10), "Not Found")</f>
        <v>113</v>
      </c>
      <c r="N332" s="1">
        <f>IFERROR(INDEX(Database_WQ!$A:$N, MATCH($O332, Database_WQ!$A:$A, 0), 11), "Not Found")</f>
        <v>1715</v>
      </c>
      <c r="O332" t="s">
        <v>411</v>
      </c>
    </row>
    <row r="333" spans="1:15" x14ac:dyDescent="0.2">
      <c r="A333" s="16">
        <v>45510</v>
      </c>
      <c r="B333" t="str">
        <f>VLOOKUP(MID(O333,20,3),Notes!A$1:C$9, 3)</f>
        <v>LX-N</v>
      </c>
      <c r="C333">
        <f>VLOOKUP(MID(O333,20,3),Notes!A$1:C$9,2)</f>
        <v>1</v>
      </c>
      <c r="D333" s="1" t="str">
        <f>IFERROR(INDEX(Database_WQ!$A:$N, MATCH($O333, Database_WQ!$A:$A, 0), 21), "Not Found")</f>
        <v>Not Found</v>
      </c>
      <c r="E333" s="1">
        <f>IFERROR(INDEX(Database_WQ!$A:$N, MATCH($O333, Database_WQ!$A:$A, 0), 7), "Not Found")</f>
        <v>0.45</v>
      </c>
      <c r="F333" s="1">
        <f>IFERROR(INDEX(Database_WQ!$A:$N, MATCH($O333, Database_WQ!$A:$A, 0), 3), "Not Found")</f>
        <v>30.6</v>
      </c>
      <c r="G333" s="1">
        <f>IFERROR(INDEX(Database_WQ!$A:$N, MATCH($O333, Database_WQ!$A:$A, 0), 4), "Not Found")</f>
        <v>7.62</v>
      </c>
      <c r="H333" s="1">
        <f>IFERROR(INDEX(Database_WQ!$A:$N, MATCH($O333, Database_WQ!$A:$A, 0), 6), "Not Found")</f>
        <v>8.16</v>
      </c>
      <c r="I333" s="1">
        <f>IFERROR(INDEX(Database_WQ!$A:$N, MATCH($O333, Database_WQ!$A:$A, 0), 5), "Not Found")</f>
        <v>6.95</v>
      </c>
      <c r="J333" s="1" t="str">
        <f>IFERROR(INDEX(Database_WQ!$A:$N, MATCH($O333, Database_WQ!$A:$A, 0), 22), "Not Found")</f>
        <v>Not Found</v>
      </c>
      <c r="K333" s="1">
        <f>IFERROR(INDEX(Database_WQ!$A:$N, MATCH($O333, Database_WQ!$A:$A, 0), 9), "Not Found")</f>
        <v>0.45</v>
      </c>
      <c r="L333" s="19" t="s">
        <v>16</v>
      </c>
      <c r="M333" s="1">
        <f>IFERROR(INDEX(Database_WQ!$A:$N, MATCH($O333, Database_WQ!$A:$A, 0), 10), "Not Found")</f>
        <v>96.7</v>
      </c>
      <c r="N333" s="1">
        <f>IFERROR(INDEX(Database_WQ!$A:$N, MATCH($O333, Database_WQ!$A:$A, 0), 11), "Not Found")</f>
        <v>1718</v>
      </c>
      <c r="O333" t="s">
        <v>412</v>
      </c>
    </row>
    <row r="334" spans="1:15" x14ac:dyDescent="0.2">
      <c r="A334" s="16">
        <v>45510</v>
      </c>
      <c r="B334" t="str">
        <f>VLOOKUP(MID(O334,20,3),Notes!A$1:C$9, 3)</f>
        <v>LX-N</v>
      </c>
      <c r="C334">
        <f>VLOOKUP(MID(O334,20,3),Notes!A$1:C$9,2)</f>
        <v>2</v>
      </c>
      <c r="D334" s="1" t="str">
        <f>IFERROR(INDEX(Database_WQ!$A:$N, MATCH($O334, Database_WQ!$A:$A, 0), 21), "Not Found")</f>
        <v>Not Found</v>
      </c>
      <c r="E334" s="1">
        <f>IFERROR(INDEX(Database_WQ!$A:$N, MATCH($O334, Database_WQ!$A:$A, 0), 7), "Not Found")</f>
        <v>0.5</v>
      </c>
      <c r="F334" s="1">
        <f>IFERROR(INDEX(Database_WQ!$A:$N, MATCH($O334, Database_WQ!$A:$A, 0), 3), "Not Found")</f>
        <v>30.2</v>
      </c>
      <c r="G334" s="1">
        <f>IFERROR(INDEX(Database_WQ!$A:$N, MATCH($O334, Database_WQ!$A:$A, 0), 4), "Not Found")</f>
        <v>4.8499999999999996</v>
      </c>
      <c r="H334" s="1">
        <f>IFERROR(INDEX(Database_WQ!$A:$N, MATCH($O334, Database_WQ!$A:$A, 0), 6), "Not Found")</f>
        <v>8.1199999999999992</v>
      </c>
      <c r="I334" s="1">
        <f>IFERROR(INDEX(Database_WQ!$A:$N, MATCH($O334, Database_WQ!$A:$A, 0), 5), "Not Found")</f>
        <v>7.17</v>
      </c>
      <c r="J334" s="1" t="str">
        <f>IFERROR(INDEX(Database_WQ!$A:$N, MATCH($O334, Database_WQ!$A:$A, 0), 22), "Not Found")</f>
        <v>Not Found</v>
      </c>
      <c r="K334" s="1">
        <f>IFERROR(INDEX(Database_WQ!$A:$N, MATCH($O334, Database_WQ!$A:$A, 0), 9), "Not Found")</f>
        <v>0.5</v>
      </c>
      <c r="L334" s="19" t="s">
        <v>16</v>
      </c>
      <c r="M334" s="1">
        <f>IFERROR(INDEX(Database_WQ!$A:$N, MATCH($O334, Database_WQ!$A:$A, 0), 10), "Not Found")</f>
        <v>98.5</v>
      </c>
      <c r="N334" s="1">
        <f>IFERROR(INDEX(Database_WQ!$A:$N, MATCH($O334, Database_WQ!$A:$A, 0), 11), "Not Found")</f>
        <v>1743</v>
      </c>
      <c r="O334" t="s">
        <v>413</v>
      </c>
    </row>
    <row r="335" spans="1:15" x14ac:dyDescent="0.2">
      <c r="A335" s="16">
        <v>45510</v>
      </c>
      <c r="B335" t="str">
        <f>VLOOKUP(MID(O335,20,3),Notes!A$1:C$9, 3)</f>
        <v>LX-N</v>
      </c>
      <c r="C335">
        <f>VLOOKUP(MID(O335,20,3),Notes!A$1:C$9,2)</f>
        <v>3</v>
      </c>
      <c r="D335" s="1" t="str">
        <f>IFERROR(INDEX(Database_WQ!$A:$N, MATCH($O335, Database_WQ!$A:$A, 0), 21), "Not Found")</f>
        <v>Not Found</v>
      </c>
      <c r="E335" s="1">
        <f>IFERROR(INDEX(Database_WQ!$A:$N, MATCH($O335, Database_WQ!$A:$A, 0), 7), "Not Found")</f>
        <v>0.65</v>
      </c>
      <c r="F335" s="1">
        <f>IFERROR(INDEX(Database_WQ!$A:$N, MATCH($O335, Database_WQ!$A:$A, 0), 3), "Not Found")</f>
        <v>30</v>
      </c>
      <c r="G335" s="1">
        <f>IFERROR(INDEX(Database_WQ!$A:$N, MATCH($O335, Database_WQ!$A:$A, 0), 4), "Not Found")</f>
        <v>2.04</v>
      </c>
      <c r="H335" s="1">
        <f>IFERROR(INDEX(Database_WQ!$A:$N, MATCH($O335, Database_WQ!$A:$A, 0), 6), "Not Found")</f>
        <v>8.23</v>
      </c>
      <c r="I335" s="1">
        <f>IFERROR(INDEX(Database_WQ!$A:$N, MATCH($O335, Database_WQ!$A:$A, 0), 5), "Not Found")</f>
        <v>6.03</v>
      </c>
      <c r="J335" s="1" t="str">
        <f>IFERROR(INDEX(Database_WQ!$A:$N, MATCH($O335, Database_WQ!$A:$A, 0), 22), "Not Found")</f>
        <v>Not Found</v>
      </c>
      <c r="K335" s="1">
        <f>IFERROR(INDEX(Database_WQ!$A:$N, MATCH($O335, Database_WQ!$A:$A, 0), 9), "Not Found")</f>
        <v>0.65</v>
      </c>
      <c r="L335" s="19" t="s">
        <v>16</v>
      </c>
      <c r="M335" s="1">
        <f>IFERROR(INDEX(Database_WQ!$A:$N, MATCH($O335, Database_WQ!$A:$A, 0), 10), "Not Found")</f>
        <v>80.5</v>
      </c>
      <c r="N335" s="1">
        <f>IFERROR(INDEX(Database_WQ!$A:$N, MATCH($O335, Database_WQ!$A:$A, 0), 11), "Not Found")</f>
        <v>1703</v>
      </c>
      <c r="O335" t="s">
        <v>414</v>
      </c>
    </row>
    <row r="336" spans="1:15" x14ac:dyDescent="0.2">
      <c r="A336" s="16">
        <v>45510</v>
      </c>
      <c r="B336" t="str">
        <f>VLOOKUP(MID(O336,20,3),Notes!A$1:C$9, 3)</f>
        <v>LX-S</v>
      </c>
      <c r="C336">
        <f>VLOOKUP(MID(O336,20,3),Notes!A$1:C$9,2)</f>
        <v>1</v>
      </c>
      <c r="D336" s="1" t="str">
        <f>IFERROR(INDEX(Database_WQ!$A:$N, MATCH($O336, Database_WQ!$A:$A, 0), 21), "Not Found")</f>
        <v>Not Found</v>
      </c>
      <c r="E336" s="1">
        <f>IFERROR(INDEX(Database_WQ!$A:$N, MATCH($O336, Database_WQ!$A:$A, 0), 7), "Not Found")</f>
        <v>0.5</v>
      </c>
      <c r="F336" s="1">
        <f>IFERROR(INDEX(Database_WQ!$A:$N, MATCH($O336, Database_WQ!$A:$A, 0), 3), "Not Found")</f>
        <v>30.3</v>
      </c>
      <c r="G336" s="1">
        <f>IFERROR(INDEX(Database_WQ!$A:$N, MATCH($O336, Database_WQ!$A:$A, 0), 4), "Not Found")</f>
        <v>29.79</v>
      </c>
      <c r="H336" s="1">
        <f>IFERROR(INDEX(Database_WQ!$A:$N, MATCH($O336, Database_WQ!$A:$A, 0), 6), "Not Found")</f>
        <v>8.1</v>
      </c>
      <c r="I336" s="1">
        <f>IFERROR(INDEX(Database_WQ!$A:$N, MATCH($O336, Database_WQ!$A:$A, 0), 5), "Not Found")</f>
        <v>7.1</v>
      </c>
      <c r="J336" s="1" t="str">
        <f>IFERROR(INDEX(Database_WQ!$A:$N, MATCH($O336, Database_WQ!$A:$A, 0), 22), "Not Found")</f>
        <v>Not Found</v>
      </c>
      <c r="K336" s="1">
        <f>IFERROR(INDEX(Database_WQ!$A:$N, MATCH($O336, Database_WQ!$A:$A, 0), 9), "Not Found")</f>
        <v>0.5</v>
      </c>
      <c r="L336" s="19" t="s">
        <v>16</v>
      </c>
      <c r="M336" s="1">
        <f>IFERROR(INDEX(Database_WQ!$A:$N, MATCH($O336, Database_WQ!$A:$A, 0), 10), "Not Found")</f>
        <v>111.1</v>
      </c>
      <c r="N336" s="1">
        <f>IFERROR(INDEX(Database_WQ!$A:$N, MATCH($O336, Database_WQ!$A:$A, 0), 11), "Not Found")</f>
        <v>1930</v>
      </c>
      <c r="O336" t="s">
        <v>415</v>
      </c>
    </row>
    <row r="337" spans="1:15" x14ac:dyDescent="0.2">
      <c r="A337" s="16">
        <v>45510</v>
      </c>
      <c r="B337" t="str">
        <f>VLOOKUP(MID(O337,20,3),Notes!A$1:C$9, 3)</f>
        <v>LX-S</v>
      </c>
      <c r="C337">
        <f>VLOOKUP(MID(O337,20,3),Notes!A$1:C$9,2)</f>
        <v>2</v>
      </c>
      <c r="D337" s="1" t="str">
        <f>IFERROR(INDEX(Database_WQ!$A:$N, MATCH($O337, Database_WQ!$A:$A, 0), 21), "Not Found")</f>
        <v>Not Found</v>
      </c>
      <c r="E337" s="1">
        <f>IFERROR(INDEX(Database_WQ!$A:$N, MATCH($O337, Database_WQ!$A:$A, 0), 7), "Not Found")</f>
        <v>0.45</v>
      </c>
      <c r="F337" s="1">
        <f>IFERROR(INDEX(Database_WQ!$A:$N, MATCH($O337, Database_WQ!$A:$A, 0), 3), "Not Found")</f>
        <v>30.6</v>
      </c>
      <c r="G337" s="1">
        <f>IFERROR(INDEX(Database_WQ!$A:$N, MATCH($O337, Database_WQ!$A:$A, 0), 4), "Not Found")</f>
        <v>28.98</v>
      </c>
      <c r="H337" s="1">
        <f>IFERROR(INDEX(Database_WQ!$A:$N, MATCH($O337, Database_WQ!$A:$A, 0), 6), "Not Found")</f>
        <v>7.97</v>
      </c>
      <c r="I337" s="1">
        <f>IFERROR(INDEX(Database_WQ!$A:$N, MATCH($O337, Database_WQ!$A:$A, 0), 5), "Not Found")</f>
        <v>6.72</v>
      </c>
      <c r="J337" s="1" t="str">
        <f>IFERROR(INDEX(Database_WQ!$A:$N, MATCH($O337, Database_WQ!$A:$A, 0), 22), "Not Found")</f>
        <v>Not Found</v>
      </c>
      <c r="K337" s="1">
        <f>IFERROR(INDEX(Database_WQ!$A:$N, MATCH($O337, Database_WQ!$A:$A, 0), 9), "Not Found")</f>
        <v>0.45</v>
      </c>
      <c r="L337" s="19" t="s">
        <v>16</v>
      </c>
      <c r="M337" s="1">
        <f>IFERROR(INDEX(Database_WQ!$A:$N, MATCH($O337, Database_WQ!$A:$A, 0), 10), "Not Found")</f>
        <v>105.5</v>
      </c>
      <c r="N337" s="1">
        <f>IFERROR(INDEX(Database_WQ!$A:$N, MATCH($O337, Database_WQ!$A:$A, 0), 11), "Not Found")</f>
        <v>1909</v>
      </c>
      <c r="O337" t="s">
        <v>416</v>
      </c>
    </row>
    <row r="338" spans="1:15" x14ac:dyDescent="0.2">
      <c r="A338" s="16">
        <v>45510</v>
      </c>
      <c r="B338" t="str">
        <f>VLOOKUP(MID(O338,20,3),Notes!A$1:C$9, 3)</f>
        <v>LX-S</v>
      </c>
      <c r="C338">
        <f>VLOOKUP(MID(O338,20,3),Notes!A$1:C$9,2)</f>
        <v>3</v>
      </c>
      <c r="D338" s="1" t="str">
        <f>IFERROR(INDEX(Database_WQ!$A:$N, MATCH($O338, Database_WQ!$A:$A, 0), 21), "Not Found")</f>
        <v>Not Found</v>
      </c>
      <c r="E338" s="1">
        <f>IFERROR(INDEX(Database_WQ!$A:$N, MATCH($O338, Database_WQ!$A:$A, 0), 7), "Not Found")</f>
        <v>0.45</v>
      </c>
      <c r="F338" s="1">
        <f>IFERROR(INDEX(Database_WQ!$A:$N, MATCH($O338, Database_WQ!$A:$A, 0), 3), "Not Found")</f>
        <v>30.9</v>
      </c>
      <c r="G338" s="1">
        <f>IFERROR(INDEX(Database_WQ!$A:$N, MATCH($O338, Database_WQ!$A:$A, 0), 4), "Not Found")</f>
        <v>29.25</v>
      </c>
      <c r="H338" s="1">
        <f>IFERROR(INDEX(Database_WQ!$A:$N, MATCH($O338, Database_WQ!$A:$A, 0), 6), "Not Found")</f>
        <v>8.08</v>
      </c>
      <c r="I338" s="1">
        <f>IFERROR(INDEX(Database_WQ!$A:$N, MATCH($O338, Database_WQ!$A:$A, 0), 5), "Not Found")</f>
        <v>7.36</v>
      </c>
      <c r="J338" s="1" t="str">
        <f>IFERROR(INDEX(Database_WQ!$A:$N, MATCH($O338, Database_WQ!$A:$A, 0), 22), "Not Found")</f>
        <v>Not Found</v>
      </c>
      <c r="K338" s="1">
        <f>IFERROR(INDEX(Database_WQ!$A:$N, MATCH($O338, Database_WQ!$A:$A, 0), 9), "Not Found")</f>
        <v>0.45</v>
      </c>
      <c r="L338" s="19" t="s">
        <v>16</v>
      </c>
      <c r="M338" s="1">
        <f>IFERROR(INDEX(Database_WQ!$A:$N, MATCH($O338, Database_WQ!$A:$A, 0), 10), "Not Found")</f>
        <v>116</v>
      </c>
      <c r="N338" s="1">
        <f>IFERROR(INDEX(Database_WQ!$A:$N, MATCH($O338, Database_WQ!$A:$A, 0), 11), "Not Found")</f>
        <v>1918</v>
      </c>
      <c r="O338" t="s">
        <v>417</v>
      </c>
    </row>
    <row r="339" spans="1:15" x14ac:dyDescent="0.2">
      <c r="A339" s="16">
        <v>45539</v>
      </c>
      <c r="B339" t="str">
        <f>VLOOKUP(MID(O339,20,3),Notes!A$1:C$9, 3)</f>
        <v>LX-N</v>
      </c>
      <c r="C339">
        <f>VLOOKUP(MID(O339,20,3),Notes!A$1:C$9,2)</f>
        <v>1</v>
      </c>
      <c r="D339" s="1" t="str">
        <f>IFERROR(INDEX(Database_WQ!$A:$N, MATCH($O339, Database_WQ!$A:$A, 0), 21), "Not Found")</f>
        <v>Not Found</v>
      </c>
      <c r="E339" s="1">
        <f>IFERROR(INDEX(Database_WQ!$A:$N, MATCH($O339, Database_WQ!$A:$A, 0), 7), "Not Found")</f>
        <v>0.6</v>
      </c>
      <c r="F339" s="1">
        <f>IFERROR(INDEX(Database_WQ!$A:$N, MATCH($O339, Database_WQ!$A:$A, 0), 3), "Not Found")</f>
        <v>30.2</v>
      </c>
      <c r="G339" s="1">
        <f>IFERROR(INDEX(Database_WQ!$A:$N, MATCH($O339, Database_WQ!$A:$A, 0), 4), "Not Found")</f>
        <v>8.52</v>
      </c>
      <c r="H339" s="1">
        <f>IFERROR(INDEX(Database_WQ!$A:$N, MATCH($O339, Database_WQ!$A:$A, 0), 6), "Not Found")</f>
        <v>7.9</v>
      </c>
      <c r="I339" s="1">
        <f>IFERROR(INDEX(Database_WQ!$A:$N, MATCH($O339, Database_WQ!$A:$A, 0), 5), "Not Found")</f>
        <v>4.91</v>
      </c>
      <c r="J339" s="1" t="str">
        <f>IFERROR(INDEX(Database_WQ!$A:$N, MATCH($O339, Database_WQ!$A:$A, 0), 22), "Not Found")</f>
        <v>Not Found</v>
      </c>
      <c r="K339" s="1">
        <f>IFERROR(INDEX(Database_WQ!$A:$N, MATCH($O339, Database_WQ!$A:$A, 0), 9), "Not Found")</f>
        <v>0.6</v>
      </c>
      <c r="L339" s="19" t="s">
        <v>16</v>
      </c>
      <c r="M339" s="1">
        <f>IFERROR(INDEX(Database_WQ!$A:$N, MATCH($O339, Database_WQ!$A:$A, 0), 10), "Not Found")</f>
        <v>68.099999999999994</v>
      </c>
      <c r="N339" s="1">
        <f>IFERROR(INDEX(Database_WQ!$A:$N, MATCH($O339, Database_WQ!$A:$A, 0), 11), "Not Found")</f>
        <v>1535</v>
      </c>
      <c r="O339" t="s">
        <v>418</v>
      </c>
    </row>
    <row r="340" spans="1:15" x14ac:dyDescent="0.2">
      <c r="A340" s="16">
        <v>45539</v>
      </c>
      <c r="B340" t="str">
        <f>VLOOKUP(MID(O340,20,3),Notes!A$1:C$9, 3)</f>
        <v>LX-N</v>
      </c>
      <c r="C340">
        <f>VLOOKUP(MID(O340,20,3),Notes!A$1:C$9,2)</f>
        <v>2</v>
      </c>
      <c r="D340" s="1" t="str">
        <f>IFERROR(INDEX(Database_WQ!$A:$N, MATCH($O340, Database_WQ!$A:$A, 0), 21), "Not Found")</f>
        <v>Not Found</v>
      </c>
      <c r="E340" s="1">
        <f>IFERROR(INDEX(Database_WQ!$A:$N, MATCH($O340, Database_WQ!$A:$A, 0), 7), "Not Found")</f>
        <v>0.6</v>
      </c>
      <c r="F340" s="1">
        <f>IFERROR(INDEX(Database_WQ!$A:$N, MATCH($O340, Database_WQ!$A:$A, 0), 3), "Not Found")</f>
        <v>30.8</v>
      </c>
      <c r="G340" s="1">
        <f>IFERROR(INDEX(Database_WQ!$A:$N, MATCH($O340, Database_WQ!$A:$A, 0), 4), "Not Found")</f>
        <v>10.34</v>
      </c>
      <c r="H340" s="1">
        <f>IFERROR(INDEX(Database_WQ!$A:$N, MATCH($O340, Database_WQ!$A:$A, 0), 6), "Not Found")</f>
        <v>8.09</v>
      </c>
      <c r="I340" s="1">
        <f>IFERROR(INDEX(Database_WQ!$A:$N, MATCH($O340, Database_WQ!$A:$A, 0), 5), "Not Found")</f>
        <v>6.73</v>
      </c>
      <c r="J340" s="1" t="str">
        <f>IFERROR(INDEX(Database_WQ!$A:$N, MATCH($O340, Database_WQ!$A:$A, 0), 22), "Not Found")</f>
        <v>Not Found</v>
      </c>
      <c r="K340" s="1">
        <f>IFERROR(INDEX(Database_WQ!$A:$N, MATCH($O340, Database_WQ!$A:$A, 0), 9), "Not Found")</f>
        <v>0.6</v>
      </c>
      <c r="L340" s="19" t="s">
        <v>16</v>
      </c>
      <c r="M340" s="1">
        <f>IFERROR(INDEX(Database_WQ!$A:$N, MATCH($O340, Database_WQ!$A:$A, 0), 10), "Not Found")</f>
        <v>95.4</v>
      </c>
      <c r="N340" s="1">
        <f>IFERROR(INDEX(Database_WQ!$A:$N, MATCH($O340, Database_WQ!$A:$A, 0), 11), "Not Found")</f>
        <v>1452</v>
      </c>
      <c r="O340" t="s">
        <v>419</v>
      </c>
    </row>
    <row r="341" spans="1:15" x14ac:dyDescent="0.2">
      <c r="A341" s="16">
        <v>45539</v>
      </c>
      <c r="B341" t="str">
        <f>VLOOKUP(MID(O341,20,3),Notes!A$1:C$9, 3)</f>
        <v>LX-N</v>
      </c>
      <c r="C341">
        <f>VLOOKUP(MID(O341,20,3),Notes!A$1:C$9,2)</f>
        <v>3</v>
      </c>
      <c r="D341" s="1" t="str">
        <f>IFERROR(INDEX(Database_WQ!$A:$N, MATCH($O341, Database_WQ!$A:$A, 0), 21), "Not Found")</f>
        <v>Not Found</v>
      </c>
      <c r="E341" s="1">
        <f>IFERROR(INDEX(Database_WQ!$A:$N, MATCH($O341, Database_WQ!$A:$A, 0), 7), "Not Found")</f>
        <v>0.6</v>
      </c>
      <c r="F341" s="1">
        <f>IFERROR(INDEX(Database_WQ!$A:$N, MATCH($O341, Database_WQ!$A:$A, 0), 3), "Not Found")</f>
        <v>29.7</v>
      </c>
      <c r="G341" s="1">
        <f>IFERROR(INDEX(Database_WQ!$A:$N, MATCH($O341, Database_WQ!$A:$A, 0), 4), "Not Found")</f>
        <v>4.09</v>
      </c>
      <c r="H341" s="1">
        <f>IFERROR(INDEX(Database_WQ!$A:$N, MATCH($O341, Database_WQ!$A:$A, 0), 6), "Not Found")</f>
        <v>7.71</v>
      </c>
      <c r="I341" s="1">
        <f>IFERROR(INDEX(Database_WQ!$A:$N, MATCH($O341, Database_WQ!$A:$A, 0), 5), "Not Found")</f>
        <v>4.4000000000000004</v>
      </c>
      <c r="J341" s="1" t="str">
        <f>IFERROR(INDEX(Database_WQ!$A:$N, MATCH($O341, Database_WQ!$A:$A, 0), 22), "Not Found")</f>
        <v>Not Found</v>
      </c>
      <c r="K341" s="1">
        <f>IFERROR(INDEX(Database_WQ!$A:$N, MATCH($O341, Database_WQ!$A:$A, 0), 9), "Not Found")</f>
        <v>0.6</v>
      </c>
      <c r="L341" s="19" t="s">
        <v>16</v>
      </c>
      <c r="M341" s="1">
        <f>IFERROR(INDEX(Database_WQ!$A:$N, MATCH($O341, Database_WQ!$A:$A, 0), 10), "Not Found")</f>
        <v>59.1</v>
      </c>
      <c r="N341" s="1">
        <f>IFERROR(INDEX(Database_WQ!$A:$N, MATCH($O341, Database_WQ!$A:$A, 0), 11), "Not Found")</f>
        <v>1616</v>
      </c>
      <c r="O341" t="s">
        <v>420</v>
      </c>
    </row>
    <row r="342" spans="1:15" x14ac:dyDescent="0.2">
      <c r="A342" s="16">
        <v>45539</v>
      </c>
      <c r="B342" t="str">
        <f>VLOOKUP(MID(O342,20,3),Notes!A$1:C$9, 3)</f>
        <v>LX-S</v>
      </c>
      <c r="C342">
        <f>VLOOKUP(MID(O342,20,3),Notes!A$1:C$9,2)</f>
        <v>1</v>
      </c>
      <c r="D342" s="1" t="str">
        <f>IFERROR(INDEX(Database_WQ!$A:$N, MATCH($O342, Database_WQ!$A:$A, 0), 21), "Not Found")</f>
        <v>Not Found</v>
      </c>
      <c r="E342" s="1">
        <f>IFERROR(INDEX(Database_WQ!$A:$N, MATCH($O342, Database_WQ!$A:$A, 0), 7), "Not Found")</f>
        <v>0.8</v>
      </c>
      <c r="F342" s="1">
        <f>IFERROR(INDEX(Database_WQ!$A:$N, MATCH($O342, Database_WQ!$A:$A, 0), 3), "Not Found")</f>
        <v>30.3</v>
      </c>
      <c r="G342" s="1">
        <f>IFERROR(INDEX(Database_WQ!$A:$N, MATCH($O342, Database_WQ!$A:$A, 0), 4), "Not Found")</f>
        <v>12.05</v>
      </c>
      <c r="H342" s="1">
        <f>IFERROR(INDEX(Database_WQ!$A:$N, MATCH($O342, Database_WQ!$A:$A, 0), 6), "Not Found")</f>
        <v>7.69</v>
      </c>
      <c r="I342" s="1">
        <f>IFERROR(INDEX(Database_WQ!$A:$N, MATCH($O342, Database_WQ!$A:$A, 0), 5), "Not Found")</f>
        <v>4.8499999999999996</v>
      </c>
      <c r="J342" s="1" t="str">
        <f>IFERROR(INDEX(Database_WQ!$A:$N, MATCH($O342, Database_WQ!$A:$A, 0), 22), "Not Found")</f>
        <v>Not Found</v>
      </c>
      <c r="K342" s="1">
        <f>IFERROR(INDEX(Database_WQ!$A:$N, MATCH($O342, Database_WQ!$A:$A, 0), 9), "Not Found")</f>
        <v>0.8</v>
      </c>
      <c r="L342" s="19" t="s">
        <v>16</v>
      </c>
      <c r="M342" s="1">
        <f>IFERROR(INDEX(Database_WQ!$A:$N, MATCH($O342, Database_WQ!$A:$A, 0), 10), "Not Found")</f>
        <v>68.400000000000006</v>
      </c>
      <c r="N342" s="1">
        <f>IFERROR(INDEX(Database_WQ!$A:$N, MATCH($O342, Database_WQ!$A:$A, 0), 11), "Not Found")</f>
        <v>1747</v>
      </c>
      <c r="O342" t="s">
        <v>421</v>
      </c>
    </row>
    <row r="343" spans="1:15" x14ac:dyDescent="0.2">
      <c r="A343" s="16">
        <v>45539</v>
      </c>
      <c r="B343" t="str">
        <f>VLOOKUP(MID(O343,20,3),Notes!A$1:C$9, 3)</f>
        <v>LX-S</v>
      </c>
      <c r="C343">
        <f>VLOOKUP(MID(O343,20,3),Notes!A$1:C$9,2)</f>
        <v>2</v>
      </c>
      <c r="D343" s="1" t="str">
        <f>IFERROR(INDEX(Database_WQ!$A:$N, MATCH($O343, Database_WQ!$A:$A, 0), 21), "Not Found")</f>
        <v>Not Found</v>
      </c>
      <c r="E343" s="1">
        <f>IFERROR(INDEX(Database_WQ!$A:$N, MATCH($O343, Database_WQ!$A:$A, 0), 7), "Not Found")</f>
        <v>0.6</v>
      </c>
      <c r="F343" s="1">
        <f>IFERROR(INDEX(Database_WQ!$A:$N, MATCH($O343, Database_WQ!$A:$A, 0), 3), "Not Found")</f>
        <v>30.1</v>
      </c>
      <c r="G343" s="1">
        <f>IFERROR(INDEX(Database_WQ!$A:$N, MATCH($O343, Database_WQ!$A:$A, 0), 4), "Not Found")</f>
        <v>12.32</v>
      </c>
      <c r="H343" s="1">
        <f>IFERROR(INDEX(Database_WQ!$A:$N, MATCH($O343, Database_WQ!$A:$A, 0), 6), "Not Found")</f>
        <v>7.69</v>
      </c>
      <c r="I343" s="1">
        <f>IFERROR(INDEX(Database_WQ!$A:$N, MATCH($O343, Database_WQ!$A:$A, 0), 5), "Not Found")</f>
        <v>5.98</v>
      </c>
      <c r="J343" s="1" t="str">
        <f>IFERROR(INDEX(Database_WQ!$A:$N, MATCH($O343, Database_WQ!$A:$A, 0), 22), "Not Found")</f>
        <v>Not Found</v>
      </c>
      <c r="K343" s="1">
        <f>IFERROR(INDEX(Database_WQ!$A:$N, MATCH($O343, Database_WQ!$A:$A, 0), 9), "Not Found")</f>
        <v>0.6</v>
      </c>
      <c r="L343" s="19" t="s">
        <v>16</v>
      </c>
      <c r="M343" s="1">
        <f>IFERROR(INDEX(Database_WQ!$A:$N, MATCH($O343, Database_WQ!$A:$A, 0), 10), "Not Found")</f>
        <v>84.4</v>
      </c>
      <c r="N343" s="1">
        <f>IFERROR(INDEX(Database_WQ!$A:$N, MATCH($O343, Database_WQ!$A:$A, 0), 11), "Not Found")</f>
        <v>1710</v>
      </c>
      <c r="O343" t="s">
        <v>422</v>
      </c>
    </row>
    <row r="344" spans="1:15" x14ac:dyDescent="0.2">
      <c r="A344" s="16">
        <v>45539</v>
      </c>
      <c r="B344" t="str">
        <f>VLOOKUP(MID(O344,20,3),Notes!A$1:C$9, 3)</f>
        <v>LX-S</v>
      </c>
      <c r="C344">
        <f>VLOOKUP(MID(O344,20,3),Notes!A$1:C$9,2)</f>
        <v>3</v>
      </c>
      <c r="D344" s="1" t="str">
        <f>IFERROR(INDEX(Database_WQ!$A:$N, MATCH($O344, Database_WQ!$A:$A, 0), 21), "Not Found")</f>
        <v>Not Found</v>
      </c>
      <c r="E344" s="1">
        <f>IFERROR(INDEX(Database_WQ!$A:$N, MATCH($O344, Database_WQ!$A:$A, 0), 7), "Not Found")</f>
        <v>0.7</v>
      </c>
      <c r="F344" s="1">
        <f>IFERROR(INDEX(Database_WQ!$A:$N, MATCH($O344, Database_WQ!$A:$A, 0), 3), "Not Found")</f>
        <v>30.8</v>
      </c>
      <c r="G344" s="1">
        <f>IFERROR(INDEX(Database_WQ!$A:$N, MATCH($O344, Database_WQ!$A:$A, 0), 4), "Not Found")</f>
        <v>11.61</v>
      </c>
      <c r="H344" s="1">
        <f>IFERROR(INDEX(Database_WQ!$A:$N, MATCH($O344, Database_WQ!$A:$A, 0), 6), "Not Found")</f>
        <v>7.62</v>
      </c>
      <c r="I344" s="1">
        <f>IFERROR(INDEX(Database_WQ!$A:$N, MATCH($O344, Database_WQ!$A:$A, 0), 5), "Not Found")</f>
        <v>5.37</v>
      </c>
      <c r="J344" s="1" t="str">
        <f>IFERROR(INDEX(Database_WQ!$A:$N, MATCH($O344, Database_WQ!$A:$A, 0), 22), "Not Found")</f>
        <v>Not Found</v>
      </c>
      <c r="K344" s="1">
        <f>IFERROR(INDEX(Database_WQ!$A:$N, MATCH($O344, Database_WQ!$A:$A, 0), 9), "Not Found")</f>
        <v>0.7</v>
      </c>
      <c r="L344" s="19" t="s">
        <v>16</v>
      </c>
      <c r="M344" s="1">
        <f>IFERROR(INDEX(Database_WQ!$A:$N, MATCH($O344, Database_WQ!$A:$A, 0), 10), "Not Found")</f>
        <v>76.5</v>
      </c>
      <c r="N344" s="1">
        <f>IFERROR(INDEX(Database_WQ!$A:$N, MATCH($O344, Database_WQ!$A:$A, 0), 11), "Not Found")</f>
        <v>1731</v>
      </c>
      <c r="O344" t="s">
        <v>423</v>
      </c>
    </row>
    <row r="345" spans="1:15" x14ac:dyDescent="0.2">
      <c r="A345" s="16">
        <v>45567</v>
      </c>
      <c r="B345" t="str">
        <f>VLOOKUP(MID(O345,20,3),Notes!A$1:C$9, 3)</f>
        <v>LX-N</v>
      </c>
      <c r="C345">
        <f>VLOOKUP(MID(O345,20,3),Notes!A$1:C$9,2)</f>
        <v>1</v>
      </c>
      <c r="D345" s="1" t="str">
        <f>IFERROR(INDEX(Database_WQ!$A:$N, MATCH($O345, Database_WQ!$A:$A, 0), 21), "Not Found")</f>
        <v>Not Found</v>
      </c>
      <c r="E345" s="1">
        <f>IFERROR(INDEX(Database_WQ!$A:$N, MATCH($O345, Database_WQ!$A:$A, 0), 7), "Not Found")</f>
        <v>0.6</v>
      </c>
      <c r="F345" s="1">
        <f>IFERROR(INDEX(Database_WQ!$A:$N, MATCH($O345, Database_WQ!$A:$A, 0), 3), "Not Found")</f>
        <v>31.5</v>
      </c>
      <c r="G345" s="1">
        <f>IFERROR(INDEX(Database_WQ!$A:$N, MATCH($O345, Database_WQ!$A:$A, 0), 4), "Not Found")</f>
        <v>7.32</v>
      </c>
      <c r="H345" s="1">
        <f>IFERROR(INDEX(Database_WQ!$A:$N, MATCH($O345, Database_WQ!$A:$A, 0), 6), "Not Found")</f>
        <v>7.8</v>
      </c>
      <c r="I345" s="1">
        <f>IFERROR(INDEX(Database_WQ!$A:$N, MATCH($O345, Database_WQ!$A:$A, 0), 5), "Not Found")</f>
        <v>4.8899999999999997</v>
      </c>
      <c r="J345" s="1" t="str">
        <f>IFERROR(INDEX(Database_WQ!$A:$N, MATCH($O345, Database_WQ!$A:$A, 0), 22), "Not Found")</f>
        <v>Not Found</v>
      </c>
      <c r="K345" s="1">
        <f>IFERROR(INDEX(Database_WQ!$A:$N, MATCH($O345, Database_WQ!$A:$A, 0), 9), "Not Found")</f>
        <v>0.6</v>
      </c>
      <c r="L345" s="19" t="s">
        <v>16</v>
      </c>
      <c r="M345" s="1">
        <f>IFERROR(INDEX(Database_WQ!$A:$N, MATCH($O345, Database_WQ!$A:$A, 0), 10), "Not Found")</f>
        <v>69</v>
      </c>
      <c r="N345" s="1">
        <f>IFERROR(INDEX(Database_WQ!$A:$N, MATCH($O345, Database_WQ!$A:$A, 0), 11), "Not Found")</f>
        <v>1522</v>
      </c>
      <c r="O345" t="s">
        <v>424</v>
      </c>
    </row>
    <row r="346" spans="1:15" x14ac:dyDescent="0.2">
      <c r="A346" s="16">
        <v>45567</v>
      </c>
      <c r="B346" t="str">
        <f>VLOOKUP(MID(O346,20,3),Notes!A$1:C$9, 3)</f>
        <v>LX-N</v>
      </c>
      <c r="C346">
        <f>VLOOKUP(MID(O346,20,3),Notes!A$1:C$9,2)</f>
        <v>2</v>
      </c>
      <c r="D346" s="1" t="str">
        <f>IFERROR(INDEX(Database_WQ!$A:$N, MATCH($O346, Database_WQ!$A:$A, 0), 21), "Not Found")</f>
        <v>Not Found</v>
      </c>
      <c r="E346" s="1">
        <f>IFERROR(INDEX(Database_WQ!$A:$N, MATCH($O346, Database_WQ!$A:$A, 0), 7), "Not Found")</f>
        <v>0.55000000000000004</v>
      </c>
      <c r="F346" s="1">
        <f>IFERROR(INDEX(Database_WQ!$A:$N, MATCH($O346, Database_WQ!$A:$A, 0), 3), "Not Found")</f>
        <v>31.7</v>
      </c>
      <c r="G346" s="1">
        <f>IFERROR(INDEX(Database_WQ!$A:$N, MATCH($O346, Database_WQ!$A:$A, 0), 4), "Not Found")</f>
        <v>7.66</v>
      </c>
      <c r="H346" s="1">
        <f>IFERROR(INDEX(Database_WQ!$A:$N, MATCH($O346, Database_WQ!$A:$A, 0), 6), "Not Found")</f>
        <v>7.81</v>
      </c>
      <c r="I346" s="1">
        <f>IFERROR(INDEX(Database_WQ!$A:$N, MATCH($O346, Database_WQ!$A:$A, 0), 5), "Not Found")</f>
        <v>5.34</v>
      </c>
      <c r="J346" s="1" t="str">
        <f>IFERROR(INDEX(Database_WQ!$A:$N, MATCH($O346, Database_WQ!$A:$A, 0), 22), "Not Found")</f>
        <v>Not Found</v>
      </c>
      <c r="K346" s="1">
        <f>IFERROR(INDEX(Database_WQ!$A:$N, MATCH($O346, Database_WQ!$A:$A, 0), 9), "Not Found")</f>
        <v>0.55000000000000004</v>
      </c>
      <c r="L346" s="19" t="s">
        <v>16</v>
      </c>
      <c r="M346" s="1">
        <f>IFERROR(INDEX(Database_WQ!$A:$N, MATCH($O346, Database_WQ!$A:$A, 0), 10), "Not Found")</f>
        <v>75.5</v>
      </c>
      <c r="N346" s="1">
        <f>IFERROR(INDEX(Database_WQ!$A:$N, MATCH($O346, Database_WQ!$A:$A, 0), 11), "Not Found")</f>
        <v>1535</v>
      </c>
      <c r="O346" t="s">
        <v>425</v>
      </c>
    </row>
    <row r="347" spans="1:15" x14ac:dyDescent="0.2">
      <c r="A347" s="16">
        <v>45567</v>
      </c>
      <c r="B347" t="str">
        <f>VLOOKUP(MID(O347,20,3),Notes!A$1:C$9, 3)</f>
        <v>LX-N</v>
      </c>
      <c r="C347">
        <f>VLOOKUP(MID(O347,20,3),Notes!A$1:C$9,2)</f>
        <v>3</v>
      </c>
      <c r="D347" s="1" t="str">
        <f>IFERROR(INDEX(Database_WQ!$A:$N, MATCH($O347, Database_WQ!$A:$A, 0), 21), "Not Found")</f>
        <v>Not Found</v>
      </c>
      <c r="E347" s="1">
        <f>IFERROR(INDEX(Database_WQ!$A:$N, MATCH($O347, Database_WQ!$A:$A, 0), 7), "Not Found")</f>
        <v>0.65</v>
      </c>
      <c r="F347" s="1">
        <f>IFERROR(INDEX(Database_WQ!$A:$N, MATCH($O347, Database_WQ!$A:$A, 0), 3), "Not Found")</f>
        <v>30.2</v>
      </c>
      <c r="G347" s="1">
        <f>IFERROR(INDEX(Database_WQ!$A:$N, MATCH($O347, Database_WQ!$A:$A, 0), 4), "Not Found")</f>
        <v>2.77</v>
      </c>
      <c r="H347" s="1">
        <f>IFERROR(INDEX(Database_WQ!$A:$N, MATCH($O347, Database_WQ!$A:$A, 0), 6), "Not Found")</f>
        <v>8.19</v>
      </c>
      <c r="I347" s="1">
        <f>IFERROR(INDEX(Database_WQ!$A:$N, MATCH($O347, Database_WQ!$A:$A, 0), 5), "Not Found")</f>
        <v>3.69</v>
      </c>
      <c r="J347" s="1" t="str">
        <f>IFERROR(INDEX(Database_WQ!$A:$N, MATCH($O347, Database_WQ!$A:$A, 0), 22), "Not Found")</f>
        <v>Not Found</v>
      </c>
      <c r="K347" s="1">
        <f>IFERROR(INDEX(Database_WQ!$A:$N, MATCH($O347, Database_WQ!$A:$A, 0), 9), "Not Found")</f>
        <v>0.65</v>
      </c>
      <c r="L347" s="19" t="s">
        <v>16</v>
      </c>
      <c r="M347" s="1">
        <f>IFERROR(INDEX(Database_WQ!$A:$N, MATCH($O347, Database_WQ!$A:$A, 0), 10), "Not Found")</f>
        <v>49.6</v>
      </c>
      <c r="N347" s="1">
        <f>IFERROR(INDEX(Database_WQ!$A:$N, MATCH($O347, Database_WQ!$A:$A, 0), 11), "Not Found")</f>
        <v>1512</v>
      </c>
      <c r="O347" t="s">
        <v>426</v>
      </c>
    </row>
    <row r="348" spans="1:15" x14ac:dyDescent="0.2">
      <c r="A348" s="16">
        <v>45567</v>
      </c>
      <c r="B348" t="str">
        <f>VLOOKUP(MID(O348,20,3),Notes!A$1:C$9, 3)</f>
        <v>LX-S</v>
      </c>
      <c r="C348">
        <f>VLOOKUP(MID(O348,20,3),Notes!A$1:C$9,2)</f>
        <v>1</v>
      </c>
      <c r="D348" s="1" t="str">
        <f>IFERROR(INDEX(Database_WQ!$A:$N, MATCH($O348, Database_WQ!$A:$A, 0), 21), "Not Found")</f>
        <v>Not Found</v>
      </c>
      <c r="E348" s="1">
        <f>IFERROR(INDEX(Database_WQ!$A:$N, MATCH($O348, Database_WQ!$A:$A, 0), 7), "Not Found")</f>
        <v>0.7</v>
      </c>
      <c r="F348" s="1">
        <f>IFERROR(INDEX(Database_WQ!$A:$N, MATCH($O348, Database_WQ!$A:$A, 0), 3), "Not Found")</f>
        <v>31.2</v>
      </c>
      <c r="G348" s="1">
        <f>IFERROR(INDEX(Database_WQ!$A:$N, MATCH($O348, Database_WQ!$A:$A, 0), 4), "Not Found")</f>
        <v>17.899999999999999</v>
      </c>
      <c r="H348" s="1">
        <f>IFERROR(INDEX(Database_WQ!$A:$N, MATCH($O348, Database_WQ!$A:$A, 0), 6), "Not Found")</f>
        <v>7.85</v>
      </c>
      <c r="I348" s="1">
        <f>IFERROR(INDEX(Database_WQ!$A:$N, MATCH($O348, Database_WQ!$A:$A, 0), 5), "Not Found")</f>
        <v>5.37</v>
      </c>
      <c r="J348" s="1" t="str">
        <f>IFERROR(INDEX(Database_WQ!$A:$N, MATCH($O348, Database_WQ!$A:$A, 0), 22), "Not Found")</f>
        <v>Not Found</v>
      </c>
      <c r="K348" s="1">
        <f>IFERROR(INDEX(Database_WQ!$A:$N, MATCH($O348, Database_WQ!$A:$A, 0), 9), "Not Found")</f>
        <v>0.7</v>
      </c>
      <c r="L348" s="19" t="s">
        <v>16</v>
      </c>
      <c r="M348" s="1">
        <f>IFERROR(INDEX(Database_WQ!$A:$N, MATCH($O348, Database_WQ!$A:$A, 0), 10), "Not Found")</f>
        <v>80.3</v>
      </c>
      <c r="N348" s="1">
        <f>IFERROR(INDEX(Database_WQ!$A:$N, MATCH($O348, Database_WQ!$A:$A, 0), 11), "Not Found")</f>
        <v>1628</v>
      </c>
      <c r="O348" t="s">
        <v>427</v>
      </c>
    </row>
    <row r="349" spans="1:15" x14ac:dyDescent="0.2">
      <c r="A349" s="16">
        <v>45567</v>
      </c>
      <c r="B349" t="str">
        <f>VLOOKUP(MID(O349,20,3),Notes!A$1:C$9, 3)</f>
        <v>LX-S</v>
      </c>
      <c r="C349">
        <f>VLOOKUP(MID(O349,20,3),Notes!A$1:C$9,2)</f>
        <v>2</v>
      </c>
      <c r="D349" s="1" t="str">
        <f>IFERROR(INDEX(Database_WQ!$A:$N, MATCH($O349, Database_WQ!$A:$A, 0), 21), "Not Found")</f>
        <v>Not Found</v>
      </c>
      <c r="E349" s="1">
        <f>IFERROR(INDEX(Database_WQ!$A:$N, MATCH($O349, Database_WQ!$A:$A, 0), 7), "Not Found")</f>
        <v>0.65</v>
      </c>
      <c r="F349" s="1">
        <f>IFERROR(INDEX(Database_WQ!$A:$N, MATCH($O349, Database_WQ!$A:$A, 0), 3), "Not Found")</f>
        <v>31.5</v>
      </c>
      <c r="G349" s="1">
        <f>IFERROR(INDEX(Database_WQ!$A:$N, MATCH($O349, Database_WQ!$A:$A, 0), 4), "Not Found")</f>
        <v>15.41</v>
      </c>
      <c r="H349" s="1">
        <f>IFERROR(INDEX(Database_WQ!$A:$N, MATCH($O349, Database_WQ!$A:$A, 0), 6), "Not Found")</f>
        <v>7.84</v>
      </c>
      <c r="I349" s="1">
        <f>IFERROR(INDEX(Database_WQ!$A:$N, MATCH($O349, Database_WQ!$A:$A, 0), 5), "Not Found")</f>
        <v>5.75</v>
      </c>
      <c r="J349" s="1" t="str">
        <f>IFERROR(INDEX(Database_WQ!$A:$N, MATCH($O349, Database_WQ!$A:$A, 0), 22), "Not Found")</f>
        <v>Not Found</v>
      </c>
      <c r="K349" s="1">
        <f>IFERROR(INDEX(Database_WQ!$A:$N, MATCH($O349, Database_WQ!$A:$A, 0), 9), "Not Found")</f>
        <v>0.65</v>
      </c>
      <c r="L349" s="19" t="s">
        <v>16</v>
      </c>
      <c r="M349" s="1">
        <f>IFERROR(INDEX(Database_WQ!$A:$N, MATCH($O349, Database_WQ!$A:$A, 0), 10), "Not Found")</f>
        <v>84.7</v>
      </c>
      <c r="N349" s="1">
        <f>IFERROR(INDEX(Database_WQ!$A:$N, MATCH($O349, Database_WQ!$A:$A, 0), 11), "Not Found")</f>
        <v>1616</v>
      </c>
      <c r="O349" t="s">
        <v>428</v>
      </c>
    </row>
    <row r="350" spans="1:15" x14ac:dyDescent="0.2">
      <c r="A350" s="16">
        <v>45567</v>
      </c>
      <c r="B350" t="str">
        <f>VLOOKUP(MID(O350,20,3),Notes!A$1:C$9, 3)</f>
        <v>LX-S</v>
      </c>
      <c r="C350">
        <f>VLOOKUP(MID(O350,20,3),Notes!A$1:C$9,2)</f>
        <v>3</v>
      </c>
      <c r="D350" s="1" t="str">
        <f>IFERROR(INDEX(Database_WQ!$A:$N, MATCH($O350, Database_WQ!$A:$A, 0), 21), "Not Found")</f>
        <v>Not Found</v>
      </c>
      <c r="E350" s="1">
        <f>IFERROR(INDEX(Database_WQ!$A:$N, MATCH($O350, Database_WQ!$A:$A, 0), 7), "Not Found")</f>
        <v>0.6</v>
      </c>
      <c r="F350" s="1">
        <f>IFERROR(INDEX(Database_WQ!$A:$N, MATCH($O350, Database_WQ!$A:$A, 0), 3), "Not Found")</f>
        <v>31.8</v>
      </c>
      <c r="G350" s="1">
        <f>IFERROR(INDEX(Database_WQ!$A:$N, MATCH($O350, Database_WQ!$A:$A, 0), 4), "Not Found")</f>
        <v>13.66</v>
      </c>
      <c r="H350" s="1">
        <f>IFERROR(INDEX(Database_WQ!$A:$N, MATCH($O350, Database_WQ!$A:$A, 0), 6), "Not Found")</f>
        <v>7.87</v>
      </c>
      <c r="I350" s="1">
        <f>IFERROR(INDEX(Database_WQ!$A:$N, MATCH($O350, Database_WQ!$A:$A, 0), 5), "Not Found")</f>
        <v>6.44</v>
      </c>
      <c r="J350" s="1" t="str">
        <f>IFERROR(INDEX(Database_WQ!$A:$N, MATCH($O350, Database_WQ!$A:$A, 0), 22), "Not Found")</f>
        <v>Not Found</v>
      </c>
      <c r="K350" s="1">
        <f>IFERROR(INDEX(Database_WQ!$A:$N, MATCH($O350, Database_WQ!$A:$A, 0), 9), "Not Found")</f>
        <v>0.6</v>
      </c>
      <c r="L350" s="19" t="s">
        <v>16</v>
      </c>
      <c r="M350" s="1">
        <f>IFERROR(INDEX(Database_WQ!$A:$N, MATCH($O350, Database_WQ!$A:$A, 0), 10), "Not Found")</f>
        <v>94.7</v>
      </c>
      <c r="N350" s="1">
        <f>IFERROR(INDEX(Database_WQ!$A:$N, MATCH($O350, Database_WQ!$A:$A, 0), 11), "Not Found")</f>
        <v>1621</v>
      </c>
      <c r="O350" t="s">
        <v>429</v>
      </c>
    </row>
    <row r="351" spans="1:15" x14ac:dyDescent="0.2">
      <c r="A351" s="16">
        <v>45601</v>
      </c>
      <c r="B351" t="str">
        <f>VLOOKUP(MID(O351,20,3),Notes!A$1:C$9, 3)</f>
        <v>LX-N</v>
      </c>
      <c r="C351">
        <f>VLOOKUP(MID(O351,20,3),Notes!A$1:C$9,2)</f>
        <v>1</v>
      </c>
      <c r="D351" s="1" t="str">
        <f>IFERROR(INDEX(Database_WQ!$A:$N, MATCH($O351, Database_WQ!$A:$A, 0), 21), "Not Found")</f>
        <v>Not Found</v>
      </c>
      <c r="E351" s="1">
        <f>IFERROR(INDEX(Database_WQ!$A:$N, MATCH($O351, Database_WQ!$A:$A, 0), 7), "Not Found")</f>
        <v>0.85</v>
      </c>
      <c r="F351" s="1">
        <f>IFERROR(INDEX(Database_WQ!$A:$N, MATCH($O351, Database_WQ!$A:$A, 0), 3), "Not Found")</f>
        <v>25.5</v>
      </c>
      <c r="G351" s="1">
        <f>IFERROR(INDEX(Database_WQ!$A:$N, MATCH($O351, Database_WQ!$A:$A, 0), 4), "Not Found")</f>
        <v>7.94</v>
      </c>
      <c r="H351" s="1">
        <f>IFERROR(INDEX(Database_WQ!$A:$N, MATCH($O351, Database_WQ!$A:$A, 0), 6), "Not Found")</f>
        <v>7.91</v>
      </c>
      <c r="I351" s="1">
        <f>IFERROR(INDEX(Database_WQ!$A:$N, MATCH($O351, Database_WQ!$A:$A, 0), 5), "Not Found")</f>
        <v>6.6</v>
      </c>
      <c r="J351" s="1" t="str">
        <f>IFERROR(INDEX(Database_WQ!$A:$N, MATCH($O351, Database_WQ!$A:$A, 0), 22), "Not Found")</f>
        <v>Not Found</v>
      </c>
      <c r="K351" s="1">
        <f>IFERROR(INDEX(Database_WQ!$A:$N, MATCH($O351, Database_WQ!$A:$A, 0), 9), "Not Found")</f>
        <v>0.85</v>
      </c>
      <c r="L351" s="19" t="s">
        <v>16</v>
      </c>
      <c r="M351" s="1">
        <f>IFERROR(INDEX(Database_WQ!$A:$N, MATCH($O351, Database_WQ!$A:$A, 0), 10), "Not Found")</f>
        <v>84</v>
      </c>
      <c r="N351" s="1">
        <f>IFERROR(INDEX(Database_WQ!$A:$N, MATCH($O351, Database_WQ!$A:$A, 0), 11), "Not Found")</f>
        <v>1644</v>
      </c>
      <c r="O351" t="s">
        <v>430</v>
      </c>
    </row>
    <row r="352" spans="1:15" x14ac:dyDescent="0.2">
      <c r="A352" s="16">
        <v>45601</v>
      </c>
      <c r="B352" t="str">
        <f>VLOOKUP(MID(O352,20,3),Notes!A$1:C$9, 3)</f>
        <v>LX-N</v>
      </c>
      <c r="C352">
        <f>VLOOKUP(MID(O352,20,3),Notes!A$1:C$9,2)</f>
        <v>2</v>
      </c>
      <c r="D352" s="1" t="str">
        <f>IFERROR(INDEX(Database_WQ!$A:$N, MATCH($O352, Database_WQ!$A:$A, 0), 21), "Not Found")</f>
        <v>Not Found</v>
      </c>
      <c r="E352" s="1">
        <f>IFERROR(INDEX(Database_WQ!$A:$N, MATCH($O352, Database_WQ!$A:$A, 0), 7), "Not Found")</f>
        <v>0.75</v>
      </c>
      <c r="F352" s="1">
        <f>IFERROR(INDEX(Database_WQ!$A:$N, MATCH($O352, Database_WQ!$A:$A, 0), 3), "Not Found")</f>
        <v>25.5</v>
      </c>
      <c r="G352" s="1">
        <f>IFERROR(INDEX(Database_WQ!$A:$N, MATCH($O352, Database_WQ!$A:$A, 0), 4), "Not Found")</f>
        <v>8.57</v>
      </c>
      <c r="H352" s="1">
        <f>IFERROR(INDEX(Database_WQ!$A:$N, MATCH($O352, Database_WQ!$A:$A, 0), 6), "Not Found")</f>
        <v>7.77</v>
      </c>
      <c r="I352" s="1">
        <f>IFERROR(INDEX(Database_WQ!$A:$N, MATCH($O352, Database_WQ!$A:$A, 0), 5), "Not Found")</f>
        <v>6.26</v>
      </c>
      <c r="J352" s="1" t="str">
        <f>IFERROR(INDEX(Database_WQ!$A:$N, MATCH($O352, Database_WQ!$A:$A, 0), 22), "Not Found")</f>
        <v>Not Found</v>
      </c>
      <c r="K352" s="1">
        <f>IFERROR(INDEX(Database_WQ!$A:$N, MATCH($O352, Database_WQ!$A:$A, 0), 9), "Not Found")</f>
        <v>0.75</v>
      </c>
      <c r="L352" s="19" t="s">
        <v>16</v>
      </c>
      <c r="M352" s="1">
        <f>IFERROR(INDEX(Database_WQ!$A:$N, MATCH($O352, Database_WQ!$A:$A, 0), 10), "Not Found")</f>
        <v>79.8</v>
      </c>
      <c r="N352" s="1">
        <f>IFERROR(INDEX(Database_WQ!$A:$N, MATCH($O352, Database_WQ!$A:$A, 0), 11), "Not Found")</f>
        <v>1656</v>
      </c>
      <c r="O352" t="s">
        <v>431</v>
      </c>
    </row>
    <row r="353" spans="1:15" x14ac:dyDescent="0.2">
      <c r="A353" s="16">
        <v>45601</v>
      </c>
      <c r="B353" t="str">
        <f>VLOOKUP(MID(O353,20,3),Notes!A$1:C$9, 3)</f>
        <v>LX-N</v>
      </c>
      <c r="C353">
        <f>VLOOKUP(MID(O353,20,3),Notes!A$1:C$9,2)</f>
        <v>3</v>
      </c>
      <c r="D353" s="1" t="str">
        <f>IFERROR(INDEX(Database_WQ!$A:$N, MATCH($O353, Database_WQ!$A:$A, 0), 21), "Not Found")</f>
        <v>Not Found</v>
      </c>
      <c r="E353" s="1">
        <f>IFERROR(INDEX(Database_WQ!$A:$N, MATCH($O353, Database_WQ!$A:$A, 0), 7), "Not Found")</f>
        <v>0.9</v>
      </c>
      <c r="F353" s="1">
        <f>IFERROR(INDEX(Database_WQ!$A:$N, MATCH($O353, Database_WQ!$A:$A, 0), 3), "Not Found")</f>
        <v>25.4</v>
      </c>
      <c r="G353" s="1">
        <f>IFERROR(INDEX(Database_WQ!$A:$N, MATCH($O353, Database_WQ!$A:$A, 0), 4), "Not Found")</f>
        <v>5.8</v>
      </c>
      <c r="H353" s="1">
        <f>IFERROR(INDEX(Database_WQ!$A:$N, MATCH($O353, Database_WQ!$A:$A, 0), 6), "Not Found")</f>
        <v>7.96</v>
      </c>
      <c r="I353" s="1">
        <f>IFERROR(INDEX(Database_WQ!$A:$N, MATCH($O353, Database_WQ!$A:$A, 0), 5), "Not Found")</f>
        <v>6.14</v>
      </c>
      <c r="J353" s="1" t="str">
        <f>IFERROR(INDEX(Database_WQ!$A:$N, MATCH($O353, Database_WQ!$A:$A, 0), 22), "Not Found")</f>
        <v>Not Found</v>
      </c>
      <c r="K353" s="1">
        <f>IFERROR(INDEX(Database_WQ!$A:$N, MATCH($O353, Database_WQ!$A:$A, 0), 9), "Not Found")</f>
        <v>0.9</v>
      </c>
      <c r="L353" s="19" t="s">
        <v>16</v>
      </c>
      <c r="M353" s="1">
        <f>IFERROR(INDEX(Database_WQ!$A:$N, MATCH($O353, Database_WQ!$A:$A, 0), 10), "Not Found")</f>
        <v>76.8</v>
      </c>
      <c r="N353" s="1">
        <f>IFERROR(INDEX(Database_WQ!$A:$N, MATCH($O353, Database_WQ!$A:$A, 0), 11), "Not Found")</f>
        <v>1633</v>
      </c>
      <c r="O353" t="s">
        <v>432</v>
      </c>
    </row>
    <row r="354" spans="1:15" x14ac:dyDescent="0.2">
      <c r="A354" s="16">
        <v>45601</v>
      </c>
      <c r="B354" t="str">
        <f>VLOOKUP(MID(O354,20,3),Notes!A$1:C$9, 3)</f>
        <v>LX-S</v>
      </c>
      <c r="C354">
        <f>VLOOKUP(MID(O354,20,3),Notes!A$1:C$9,2)</f>
        <v>1</v>
      </c>
      <c r="D354" s="1" t="str">
        <f>IFERROR(INDEX(Database_WQ!$A:$N, MATCH($O354, Database_WQ!$A:$A, 0), 21), "Not Found")</f>
        <v>Not Found</v>
      </c>
      <c r="E354" s="1">
        <f>IFERROR(INDEX(Database_WQ!$A:$N, MATCH($O354, Database_WQ!$A:$A, 0), 7), "Not Found")</f>
        <v>0.75</v>
      </c>
      <c r="F354" s="1">
        <f>IFERROR(INDEX(Database_WQ!$A:$N, MATCH($O354, Database_WQ!$A:$A, 0), 3), "Not Found")</f>
        <v>25.3</v>
      </c>
      <c r="G354" s="1">
        <f>IFERROR(INDEX(Database_WQ!$A:$N, MATCH($O354, Database_WQ!$A:$A, 0), 4), "Not Found")</f>
        <v>14.39</v>
      </c>
      <c r="H354" s="1">
        <f>IFERROR(INDEX(Database_WQ!$A:$N, MATCH($O354, Database_WQ!$A:$A, 0), 6), "Not Found")</f>
        <v>7.67</v>
      </c>
      <c r="I354" s="1">
        <f>IFERROR(INDEX(Database_WQ!$A:$N, MATCH($O354, Database_WQ!$A:$A, 0), 5), "Not Found")</f>
        <v>5.72</v>
      </c>
      <c r="J354" s="1" t="str">
        <f>IFERROR(INDEX(Database_WQ!$A:$N, MATCH($O354, Database_WQ!$A:$A, 0), 22), "Not Found")</f>
        <v>Not Found</v>
      </c>
      <c r="K354" s="1">
        <f>IFERROR(INDEX(Database_WQ!$A:$N, MATCH($O354, Database_WQ!$A:$A, 0), 9), "Not Found")</f>
        <v>0.75</v>
      </c>
      <c r="L354" s="19" t="s">
        <v>16</v>
      </c>
      <c r="M354" s="1">
        <f>IFERROR(INDEX(Database_WQ!$A:$N, MATCH($O354, Database_WQ!$A:$A, 0), 10), "Not Found")</f>
        <v>75.7</v>
      </c>
      <c r="N354" s="1">
        <f>IFERROR(INDEX(Database_WQ!$A:$N, MATCH($O354, Database_WQ!$A:$A, 0), 11), "Not Found")</f>
        <v>1759</v>
      </c>
      <c r="O354" t="s">
        <v>433</v>
      </c>
    </row>
    <row r="355" spans="1:15" x14ac:dyDescent="0.2">
      <c r="A355" s="16">
        <v>45601</v>
      </c>
      <c r="B355" t="str">
        <f>VLOOKUP(MID(O355,20,3),Notes!A$1:C$9, 3)</f>
        <v>LX-S</v>
      </c>
      <c r="C355">
        <f>VLOOKUP(MID(O355,20,3),Notes!A$1:C$9,2)</f>
        <v>2</v>
      </c>
      <c r="D355" s="1" t="str">
        <f>IFERROR(INDEX(Database_WQ!$A:$N, MATCH($O355, Database_WQ!$A:$A, 0), 21), "Not Found")</f>
        <v>Not Found</v>
      </c>
      <c r="E355" s="1">
        <f>IFERROR(INDEX(Database_WQ!$A:$N, MATCH($O355, Database_WQ!$A:$A, 0), 7), "Not Found")</f>
        <v>0.8</v>
      </c>
      <c r="F355" s="1">
        <f>IFERROR(INDEX(Database_WQ!$A:$N, MATCH($O355, Database_WQ!$A:$A, 0), 3), "Not Found")</f>
        <v>25.4</v>
      </c>
      <c r="G355" s="1">
        <f>IFERROR(INDEX(Database_WQ!$A:$N, MATCH($O355, Database_WQ!$A:$A, 0), 4), "Not Found")</f>
        <v>11.24</v>
      </c>
      <c r="H355" s="1">
        <f>IFERROR(INDEX(Database_WQ!$A:$N, MATCH($O355, Database_WQ!$A:$A, 0), 6), "Not Found")</f>
        <v>7.84</v>
      </c>
      <c r="I355" s="1">
        <f>IFERROR(INDEX(Database_WQ!$A:$N, MATCH($O355, Database_WQ!$A:$A, 0), 5), "Not Found")</f>
        <v>6.99</v>
      </c>
      <c r="J355" s="1" t="str">
        <f>IFERROR(INDEX(Database_WQ!$A:$N, MATCH($O355, Database_WQ!$A:$A, 0), 22), "Not Found")</f>
        <v>Not Found</v>
      </c>
      <c r="K355" s="1">
        <f>IFERROR(INDEX(Database_WQ!$A:$N, MATCH($O355, Database_WQ!$A:$A, 0), 9), "Not Found")</f>
        <v>0.8</v>
      </c>
      <c r="L355" s="19" t="s">
        <v>16</v>
      </c>
      <c r="M355" s="1">
        <f>IFERROR(INDEX(Database_WQ!$A:$N, MATCH($O355, Database_WQ!$A:$A, 0), 10), "Not Found")</f>
        <v>90.7</v>
      </c>
      <c r="N355" s="1">
        <f>IFERROR(INDEX(Database_WQ!$A:$N, MATCH($O355, Database_WQ!$A:$A, 0), 11), "Not Found")</f>
        <v>1740</v>
      </c>
      <c r="O355" t="s">
        <v>434</v>
      </c>
    </row>
    <row r="356" spans="1:15" x14ac:dyDescent="0.2">
      <c r="A356" s="16">
        <v>45601</v>
      </c>
      <c r="B356" t="str">
        <f>VLOOKUP(MID(O356,20,3),Notes!A$1:C$9, 3)</f>
        <v>LX-S</v>
      </c>
      <c r="C356">
        <f>VLOOKUP(MID(O356,20,3),Notes!A$1:C$9,2)</f>
        <v>3</v>
      </c>
      <c r="D356" s="1" t="str">
        <f>IFERROR(INDEX(Database_WQ!$A:$N, MATCH($O356, Database_WQ!$A:$A, 0), 21), "Not Found")</f>
        <v>Not Found</v>
      </c>
      <c r="E356" s="1">
        <f>IFERROR(INDEX(Database_WQ!$A:$N, MATCH($O356, Database_WQ!$A:$A, 0), 7), "Not Found")</f>
        <v>0.7</v>
      </c>
      <c r="F356" s="1">
        <f>IFERROR(INDEX(Database_WQ!$A:$N, MATCH($O356, Database_WQ!$A:$A, 0), 3), "Not Found")</f>
        <v>25.3</v>
      </c>
      <c r="G356" s="1">
        <f>IFERROR(INDEX(Database_WQ!$A:$N, MATCH($O356, Database_WQ!$A:$A, 0), 4), "Not Found")</f>
        <v>12.27</v>
      </c>
      <c r="H356" s="1">
        <f>IFERROR(INDEX(Database_WQ!$A:$N, MATCH($O356, Database_WQ!$A:$A, 0), 6), "Not Found")</f>
        <v>7.86</v>
      </c>
      <c r="I356" s="1">
        <f>IFERROR(INDEX(Database_WQ!$A:$N, MATCH($O356, Database_WQ!$A:$A, 0), 5), "Not Found")</f>
        <v>6.74</v>
      </c>
      <c r="J356" s="1" t="str">
        <f>IFERROR(INDEX(Database_WQ!$A:$N, MATCH($O356, Database_WQ!$A:$A, 0), 22), "Not Found")</f>
        <v>Not Found</v>
      </c>
      <c r="K356" s="1">
        <f>IFERROR(INDEX(Database_WQ!$A:$N, MATCH($O356, Database_WQ!$A:$A, 0), 9), "Not Found")</f>
        <v>0.7</v>
      </c>
      <c r="L356" s="19" t="s">
        <v>16</v>
      </c>
      <c r="M356" s="1">
        <f>IFERROR(INDEX(Database_WQ!$A:$N, MATCH($O356, Database_WQ!$A:$A, 0), 10), "Not Found")</f>
        <v>87.2</v>
      </c>
      <c r="N356" s="1">
        <f>IFERROR(INDEX(Database_WQ!$A:$N, MATCH($O356, Database_WQ!$A:$A, 0), 11), "Not Found")</f>
        <v>1749</v>
      </c>
      <c r="O356" t="s">
        <v>435</v>
      </c>
    </row>
    <row r="357" spans="1:15" x14ac:dyDescent="0.2">
      <c r="A357" s="16">
        <v>45630</v>
      </c>
      <c r="B357" t="str">
        <f>VLOOKUP(MID(O357,20,3),Notes!A$1:C$9, 3)</f>
        <v>LX-N</v>
      </c>
      <c r="C357">
        <f>VLOOKUP(MID(O357,20,3),Notes!A$1:C$9,2)</f>
        <v>1</v>
      </c>
      <c r="D357" s="1" t="str">
        <f>IFERROR(INDEX(Database_WQ!$A:$N, MATCH($O357, Database_WQ!$A:$A, 0), 21), "Not Found")</f>
        <v>Not Found</v>
      </c>
      <c r="E357" s="1">
        <f>IFERROR(INDEX(Database_WQ!$A:$N, MATCH($O357, Database_WQ!$A:$A, 0), 7), "Not Found")</f>
        <v>0.7</v>
      </c>
      <c r="F357" s="1">
        <f>IFERROR(INDEX(Database_WQ!$A:$N, MATCH($O357, Database_WQ!$A:$A, 0), 3), "Not Found")</f>
        <v>19.600000000000001</v>
      </c>
      <c r="G357" s="1">
        <f>IFERROR(INDEX(Database_WQ!$A:$N, MATCH($O357, Database_WQ!$A:$A, 0), 4), "Not Found")</f>
        <v>27.77</v>
      </c>
      <c r="H357" s="1">
        <f>IFERROR(INDEX(Database_WQ!$A:$N, MATCH($O357, Database_WQ!$A:$A, 0), 6), "Not Found")</f>
        <v>8.0299999999999994</v>
      </c>
      <c r="I357" s="1">
        <f>IFERROR(INDEX(Database_WQ!$A:$N, MATCH($O357, Database_WQ!$A:$A, 0), 5), "Not Found")</f>
        <v>7.96</v>
      </c>
      <c r="J357" s="1" t="str">
        <f>IFERROR(INDEX(Database_WQ!$A:$N, MATCH($O357, Database_WQ!$A:$A, 0), 22), "Not Found")</f>
        <v>Not Found</v>
      </c>
      <c r="K357" s="1">
        <f>IFERROR(INDEX(Database_WQ!$A:$N, MATCH($O357, Database_WQ!$A:$A, 0), 9), "Not Found")</f>
        <v>0.7</v>
      </c>
      <c r="L357" s="19" t="s">
        <v>16</v>
      </c>
      <c r="M357" s="1">
        <f>IFERROR(INDEX(Database_WQ!$A:$N, MATCH($O357, Database_WQ!$A:$A, 0), 10), "Not Found")</f>
        <v>102.7</v>
      </c>
      <c r="N357" s="1">
        <f>IFERROR(INDEX(Database_WQ!$A:$N, MATCH($O357, Database_WQ!$A:$A, 0), 11), "Not Found")</f>
        <v>1610</v>
      </c>
      <c r="O357" t="s">
        <v>436</v>
      </c>
    </row>
    <row r="358" spans="1:15" x14ac:dyDescent="0.2">
      <c r="A358" s="16">
        <v>45630</v>
      </c>
      <c r="B358" t="str">
        <f>VLOOKUP(MID(O358,20,3),Notes!A$1:C$9, 3)</f>
        <v>LX-N</v>
      </c>
      <c r="C358">
        <f>VLOOKUP(MID(O358,20,3),Notes!A$1:C$9,2)</f>
        <v>2</v>
      </c>
      <c r="D358" s="1" t="str">
        <f>IFERROR(INDEX(Database_WQ!$A:$N, MATCH($O358, Database_WQ!$A:$A, 0), 21), "Not Found")</f>
        <v>Not Found</v>
      </c>
      <c r="E358" s="1">
        <f>IFERROR(INDEX(Database_WQ!$A:$N, MATCH($O358, Database_WQ!$A:$A, 0), 7), "Not Found")</f>
        <v>0.7</v>
      </c>
      <c r="F358" s="1">
        <f>IFERROR(INDEX(Database_WQ!$A:$N, MATCH($O358, Database_WQ!$A:$A, 0), 3), "Not Found")</f>
        <v>19.7</v>
      </c>
      <c r="G358" s="1">
        <f>IFERROR(INDEX(Database_WQ!$A:$N, MATCH($O358, Database_WQ!$A:$A, 0), 4), "Not Found")</f>
        <v>27.75</v>
      </c>
      <c r="H358" s="1">
        <f>IFERROR(INDEX(Database_WQ!$A:$N, MATCH($O358, Database_WQ!$A:$A, 0), 6), "Not Found")</f>
        <v>8.01</v>
      </c>
      <c r="I358" s="1">
        <f>IFERROR(INDEX(Database_WQ!$A:$N, MATCH($O358, Database_WQ!$A:$A, 0), 5), "Not Found")</f>
        <v>7.9</v>
      </c>
      <c r="J358" s="1" t="str">
        <f>IFERROR(INDEX(Database_WQ!$A:$N, MATCH($O358, Database_WQ!$A:$A, 0), 22), "Not Found")</f>
        <v>Not Found</v>
      </c>
      <c r="K358" s="1">
        <f>IFERROR(INDEX(Database_WQ!$A:$N, MATCH($O358, Database_WQ!$A:$A, 0), 9), "Not Found")</f>
        <v>0.7</v>
      </c>
      <c r="L358" s="19" t="s">
        <v>16</v>
      </c>
      <c r="M358" s="1">
        <f>IFERROR(INDEX(Database_WQ!$A:$N, MATCH($O358, Database_WQ!$A:$A, 0), 10), "Not Found")</f>
        <v>101.8</v>
      </c>
      <c r="N358" s="1">
        <f>IFERROR(INDEX(Database_WQ!$A:$N, MATCH($O358, Database_WQ!$A:$A, 0), 11), "Not Found")</f>
        <v>1619</v>
      </c>
      <c r="O358" t="s">
        <v>437</v>
      </c>
    </row>
    <row r="359" spans="1:15" x14ac:dyDescent="0.2">
      <c r="A359" s="16">
        <v>45630</v>
      </c>
      <c r="B359" t="str">
        <f>VLOOKUP(MID(O359,20,3),Notes!A$1:C$9, 3)</f>
        <v>LX-N</v>
      </c>
      <c r="C359">
        <f>VLOOKUP(MID(O359,20,3),Notes!A$1:C$9,2)</f>
        <v>3</v>
      </c>
      <c r="D359" s="1" t="str">
        <f>IFERROR(INDEX(Database_WQ!$A:$N, MATCH($O359, Database_WQ!$A:$A, 0), 21), "Not Found")</f>
        <v>Not Found</v>
      </c>
      <c r="E359" s="1">
        <f>IFERROR(INDEX(Database_WQ!$A:$N, MATCH($O359, Database_WQ!$A:$A, 0), 7), "Not Found")</f>
        <v>0.6</v>
      </c>
      <c r="F359" s="1">
        <f>IFERROR(INDEX(Database_WQ!$A:$N, MATCH($O359, Database_WQ!$A:$A, 0), 3), "Not Found")</f>
        <v>19.5</v>
      </c>
      <c r="G359" s="1">
        <f>IFERROR(INDEX(Database_WQ!$A:$N, MATCH($O359, Database_WQ!$A:$A, 0), 4), "Not Found")</f>
        <v>23.56</v>
      </c>
      <c r="H359" s="1">
        <f>IFERROR(INDEX(Database_WQ!$A:$N, MATCH($O359, Database_WQ!$A:$A, 0), 6), "Not Found")</f>
        <v>7.94</v>
      </c>
      <c r="I359" s="1">
        <f>IFERROR(INDEX(Database_WQ!$A:$N, MATCH($O359, Database_WQ!$A:$A, 0), 5), "Not Found")</f>
        <v>7.62</v>
      </c>
      <c r="J359" s="1" t="str">
        <f>IFERROR(INDEX(Database_WQ!$A:$N, MATCH($O359, Database_WQ!$A:$A, 0), 22), "Not Found")</f>
        <v>Not Found</v>
      </c>
      <c r="K359" s="1">
        <f>IFERROR(INDEX(Database_WQ!$A:$N, MATCH($O359, Database_WQ!$A:$A, 0), 9), "Not Found")</f>
        <v>0.6</v>
      </c>
      <c r="L359" s="19" t="s">
        <v>16</v>
      </c>
      <c r="M359" s="1">
        <f>IFERROR(INDEX(Database_WQ!$A:$N, MATCH($O359, Database_WQ!$A:$A, 0), 10), "Not Found")</f>
        <v>95.3</v>
      </c>
      <c r="N359" s="1">
        <f>IFERROR(INDEX(Database_WQ!$A:$N, MATCH($O359, Database_WQ!$A:$A, 0), 11), "Not Found")</f>
        <v>1559</v>
      </c>
      <c r="O359" t="s">
        <v>438</v>
      </c>
    </row>
    <row r="360" spans="1:15" x14ac:dyDescent="0.2">
      <c r="A360" s="16">
        <v>45630</v>
      </c>
      <c r="B360" t="str">
        <f>VLOOKUP(MID(O360,20,3),Notes!A$1:C$9, 3)</f>
        <v>LX-S</v>
      </c>
      <c r="C360">
        <f>VLOOKUP(MID(O360,20,3),Notes!A$1:C$9,2)</f>
        <v>1</v>
      </c>
      <c r="D360" s="1" t="str">
        <f>IFERROR(INDEX(Database_WQ!$A:$N, MATCH($O360, Database_WQ!$A:$A, 0), 21), "Not Found")</f>
        <v>Not Found</v>
      </c>
      <c r="E360" s="1">
        <f>IFERROR(INDEX(Database_WQ!$A:$N, MATCH($O360, Database_WQ!$A:$A, 0), 7), "Not Found")</f>
        <v>0.5</v>
      </c>
      <c r="F360" s="1">
        <f>IFERROR(INDEX(Database_WQ!$A:$N, MATCH($O360, Database_WQ!$A:$A, 0), 3), "Not Found")</f>
        <v>19.2</v>
      </c>
      <c r="G360" s="1">
        <f>IFERROR(INDEX(Database_WQ!$A:$N, MATCH($O360, Database_WQ!$A:$A, 0), 4), "Not Found")</f>
        <v>29.67</v>
      </c>
      <c r="H360" s="1">
        <f>IFERROR(INDEX(Database_WQ!$A:$N, MATCH($O360, Database_WQ!$A:$A, 0), 6), "Not Found")</f>
        <v>7.99</v>
      </c>
      <c r="I360" s="1">
        <f>IFERROR(INDEX(Database_WQ!$A:$N, MATCH($O360, Database_WQ!$A:$A, 0), 5), "Not Found")</f>
        <v>7.91</v>
      </c>
      <c r="J360" s="1" t="str">
        <f>IFERROR(INDEX(Database_WQ!$A:$N, MATCH($O360, Database_WQ!$A:$A, 0), 22), "Not Found")</f>
        <v>Not Found</v>
      </c>
      <c r="K360" s="1">
        <f>IFERROR(INDEX(Database_WQ!$A:$N, MATCH($O360, Database_WQ!$A:$A, 0), 9), "Not Found")</f>
        <v>0.5</v>
      </c>
      <c r="L360" s="19" t="s">
        <v>16</v>
      </c>
      <c r="M360" s="1">
        <f>IFERROR(INDEX(Database_WQ!$A:$N, MATCH($O360, Database_WQ!$A:$A, 0), 10), "Not Found")</f>
        <v>102.1</v>
      </c>
      <c r="N360" s="1">
        <f>IFERROR(INDEX(Database_WQ!$A:$N, MATCH($O360, Database_WQ!$A:$A, 0), 11), "Not Found")</f>
        <v>1718</v>
      </c>
      <c r="O360" t="s">
        <v>439</v>
      </c>
    </row>
    <row r="361" spans="1:15" x14ac:dyDescent="0.2">
      <c r="A361" s="16">
        <v>45630</v>
      </c>
      <c r="B361" t="str">
        <f>VLOOKUP(MID(O361,20,3),Notes!A$1:C$9, 3)</f>
        <v>LX-S</v>
      </c>
      <c r="C361">
        <f>VLOOKUP(MID(O361,20,3),Notes!A$1:C$9,2)</f>
        <v>2</v>
      </c>
      <c r="D361" s="1" t="str">
        <f>IFERROR(INDEX(Database_WQ!$A:$N, MATCH($O361, Database_WQ!$A:$A, 0), 21), "Not Found")</f>
        <v>Not Found</v>
      </c>
      <c r="E361" s="1">
        <f>IFERROR(INDEX(Database_WQ!$A:$N, MATCH($O361, Database_WQ!$A:$A, 0), 7), "Not Found")</f>
        <v>0.7</v>
      </c>
      <c r="F361" s="1">
        <f>IFERROR(INDEX(Database_WQ!$A:$N, MATCH($O361, Database_WQ!$A:$A, 0), 3), "Not Found")</f>
        <v>20.2</v>
      </c>
      <c r="G361" s="1">
        <f>IFERROR(INDEX(Database_WQ!$A:$N, MATCH($O361, Database_WQ!$A:$A, 0), 4), "Not Found")</f>
        <v>30.36</v>
      </c>
      <c r="H361" s="1">
        <f>IFERROR(INDEX(Database_WQ!$A:$N, MATCH($O361, Database_WQ!$A:$A, 0), 6), "Not Found")</f>
        <v>7.93</v>
      </c>
      <c r="I361" s="1">
        <f>IFERROR(INDEX(Database_WQ!$A:$N, MATCH($O361, Database_WQ!$A:$A, 0), 5), "Not Found")</f>
        <v>7.88</v>
      </c>
      <c r="J361" s="1" t="str">
        <f>IFERROR(INDEX(Database_WQ!$A:$N, MATCH($O361, Database_WQ!$A:$A, 0), 22), "Not Found")</f>
        <v>Not Found</v>
      </c>
      <c r="K361" s="1">
        <f>IFERROR(INDEX(Database_WQ!$A:$N, MATCH($O361, Database_WQ!$A:$A, 0), 9), "Not Found")</f>
        <v>0.7</v>
      </c>
      <c r="L361" s="19" t="s">
        <v>16</v>
      </c>
      <c r="M361" s="1">
        <f>IFERROR(INDEX(Database_WQ!$A:$N, MATCH($O361, Database_WQ!$A:$A, 0), 10), "Not Found")</f>
        <v>104.2</v>
      </c>
      <c r="N361" s="1">
        <f>IFERROR(INDEX(Database_WQ!$A:$N, MATCH($O361, Database_WQ!$A:$A, 0), 11), "Not Found")</f>
        <v>1709</v>
      </c>
      <c r="O361" t="s">
        <v>440</v>
      </c>
    </row>
    <row r="362" spans="1:15" x14ac:dyDescent="0.2">
      <c r="A362" s="16">
        <v>45630</v>
      </c>
      <c r="B362" t="str">
        <f>VLOOKUP(MID(O362,20,3),Notes!A$1:C$9, 3)</f>
        <v>LX-S</v>
      </c>
      <c r="C362">
        <f>VLOOKUP(MID(O362,20,3),Notes!A$1:C$9,2)</f>
        <v>3</v>
      </c>
      <c r="D362" s="1" t="str">
        <f>IFERROR(INDEX(Database_WQ!$A:$N, MATCH($O362, Database_WQ!$A:$A, 0), 21), "Not Found")</f>
        <v>Not Found</v>
      </c>
      <c r="E362" s="1">
        <f>IFERROR(INDEX(Database_WQ!$A:$N, MATCH($O362, Database_WQ!$A:$A, 0), 7), "Not Found")</f>
        <v>0.7</v>
      </c>
      <c r="F362" s="1">
        <f>IFERROR(INDEX(Database_WQ!$A:$N, MATCH($O362, Database_WQ!$A:$A, 0), 3), "Not Found")</f>
        <v>19.2</v>
      </c>
      <c r="G362" s="1">
        <f>IFERROR(INDEX(Database_WQ!$A:$N, MATCH($O362, Database_WQ!$A:$A, 0), 4), "Not Found")</f>
        <v>30.05</v>
      </c>
      <c r="H362" s="1">
        <f>IFERROR(INDEX(Database_WQ!$A:$N, MATCH($O362, Database_WQ!$A:$A, 0), 6), "Not Found")</f>
        <v>7.95</v>
      </c>
      <c r="I362" s="1">
        <f>IFERROR(INDEX(Database_WQ!$A:$N, MATCH($O362, Database_WQ!$A:$A, 0), 5), "Not Found")</f>
        <v>7.58</v>
      </c>
      <c r="J362" s="1" t="str">
        <f>IFERROR(INDEX(Database_WQ!$A:$N, MATCH($O362, Database_WQ!$A:$A, 0), 22), "Not Found")</f>
        <v>Not Found</v>
      </c>
      <c r="K362" s="1">
        <f>IFERROR(INDEX(Database_WQ!$A:$N, MATCH($O362, Database_WQ!$A:$A, 0), 9), "Not Found")</f>
        <v>0.7</v>
      </c>
      <c r="L362" s="19" t="s">
        <v>16</v>
      </c>
      <c r="M362" s="1">
        <f>IFERROR(INDEX(Database_WQ!$A:$N, MATCH($O362, Database_WQ!$A:$A, 0), 10), "Not Found")</f>
        <v>97.9</v>
      </c>
      <c r="N362" s="1">
        <f>IFERROR(INDEX(Database_WQ!$A:$N, MATCH($O362, Database_WQ!$A:$A, 0), 11), "Not Found")</f>
        <v>1729</v>
      </c>
      <c r="O362" t="s">
        <v>441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8EBE3-635E-4AD0-A6A8-D80F1AF2A4AB}">
  <sheetPr codeName="Sheet3">
    <pageSetUpPr fitToPage="1"/>
  </sheetPr>
  <dimension ref="A1:W2509"/>
  <sheetViews>
    <sheetView zoomScaleNormal="100" workbookViewId="0">
      <pane ySplit="4" topLeftCell="A1817" activePane="bottomLeft" state="frozen"/>
      <selection activeCell="E1011" activeCellId="1" sqref="A1011:C1025 E1011:E1025"/>
      <selection pane="bottomLeft" activeCell="A4" sqref="A4"/>
    </sheetView>
  </sheetViews>
  <sheetFormatPr defaultRowHeight="12.75" x14ac:dyDescent="0.2"/>
  <cols>
    <col min="1" max="1" width="10.7109375" style="12" bestFit="1" customWidth="1"/>
    <col min="2" max="3" width="12.42578125" style="1" bestFit="1" customWidth="1"/>
    <col min="4" max="4" width="26.28515625" style="1" bestFit="1" customWidth="1"/>
    <col min="5" max="5" width="9.5703125" style="5" bestFit="1" customWidth="1"/>
    <col min="6" max="10" width="9.5703125" style="1" customWidth="1"/>
    <col min="11" max="11" width="15.5703125" style="1" bestFit="1" customWidth="1"/>
    <col min="12" max="12" width="10.42578125" style="1" customWidth="1"/>
    <col min="13" max="13" width="9.28515625" style="1" customWidth="1"/>
    <col min="14" max="14" width="14.7109375" style="25" bestFit="1" customWidth="1"/>
    <col min="15" max="15" width="12.42578125" bestFit="1" customWidth="1"/>
  </cols>
  <sheetData>
    <row r="1" spans="1:15" x14ac:dyDescent="0.2">
      <c r="A1" s="11" t="s">
        <v>5</v>
      </c>
      <c r="F1" s="10"/>
      <c r="G1" s="10"/>
      <c r="H1" s="3"/>
    </row>
    <row r="2" spans="1:15" x14ac:dyDescent="0.2">
      <c r="A2" s="11" t="s">
        <v>14</v>
      </c>
      <c r="C2" s="2"/>
      <c r="E2" s="13"/>
      <c r="F2" s="10"/>
      <c r="G2" s="10"/>
      <c r="H2" s="3"/>
    </row>
    <row r="3" spans="1:15" x14ac:dyDescent="0.2">
      <c r="C3" s="2"/>
      <c r="F3" s="3"/>
      <c r="G3" s="3"/>
      <c r="H3" s="3"/>
    </row>
    <row r="4" spans="1:15" s="1" customFormat="1" ht="51" x14ac:dyDescent="0.2">
      <c r="A4" s="12" t="s">
        <v>4</v>
      </c>
      <c r="B4" s="7" t="s">
        <v>2</v>
      </c>
      <c r="C4" s="6" t="s">
        <v>0</v>
      </c>
      <c r="D4" s="6" t="s">
        <v>3</v>
      </c>
      <c r="E4" s="8" t="s">
        <v>1</v>
      </c>
      <c r="F4" s="6" t="s">
        <v>6</v>
      </c>
      <c r="G4" s="6" t="s">
        <v>12</v>
      </c>
      <c r="H4" s="6" t="s">
        <v>13</v>
      </c>
      <c r="I4" s="6" t="s">
        <v>7</v>
      </c>
      <c r="J4" s="6" t="s">
        <v>8</v>
      </c>
      <c r="K4" s="6" t="s">
        <v>10</v>
      </c>
      <c r="L4" s="6" t="s">
        <v>11</v>
      </c>
      <c r="M4" s="6" t="s">
        <v>9</v>
      </c>
      <c r="N4" s="26" t="s">
        <v>49</v>
      </c>
      <c r="O4" s="2" t="s">
        <v>442</v>
      </c>
    </row>
    <row r="5" spans="1:15" x14ac:dyDescent="0.2">
      <c r="A5" s="9">
        <v>43837</v>
      </c>
      <c r="B5" s="1" t="s">
        <v>15</v>
      </c>
      <c r="C5" s="1">
        <v>1</v>
      </c>
      <c r="D5" s="1">
        <v>1</v>
      </c>
      <c r="E5" s="14">
        <v>67.02</v>
      </c>
      <c r="F5" s="1" t="s">
        <v>16</v>
      </c>
      <c r="G5" s="1">
        <v>4</v>
      </c>
      <c r="H5" s="1" t="s">
        <v>16</v>
      </c>
      <c r="I5" s="1" t="s">
        <v>16</v>
      </c>
      <c r="J5" s="1" t="s">
        <v>16</v>
      </c>
      <c r="K5" s="1" t="s">
        <v>17</v>
      </c>
      <c r="L5" s="1" t="s">
        <v>17</v>
      </c>
      <c r="M5" s="1" t="s">
        <v>17</v>
      </c>
      <c r="N5" s="27" t="s">
        <v>605</v>
      </c>
      <c r="O5" s="1" t="s">
        <v>16</v>
      </c>
    </row>
    <row r="6" spans="1:15" x14ac:dyDescent="0.2">
      <c r="A6" s="9">
        <v>43837</v>
      </c>
      <c r="B6" s="1" t="s">
        <v>15</v>
      </c>
      <c r="C6" s="1">
        <v>2</v>
      </c>
      <c r="D6" s="1">
        <v>1</v>
      </c>
      <c r="E6" s="14">
        <v>55.19</v>
      </c>
      <c r="F6" s="1" t="s">
        <v>16</v>
      </c>
      <c r="G6" s="1">
        <v>4</v>
      </c>
      <c r="H6" s="1" t="s">
        <v>16</v>
      </c>
      <c r="I6" s="1" t="s">
        <v>16</v>
      </c>
      <c r="J6" s="1" t="s">
        <v>16</v>
      </c>
      <c r="K6" s="1" t="s">
        <v>17</v>
      </c>
      <c r="L6" s="1" t="s">
        <v>17</v>
      </c>
      <c r="M6" s="1" t="s">
        <v>17</v>
      </c>
      <c r="N6" s="27" t="s">
        <v>605</v>
      </c>
      <c r="O6" s="1" t="s">
        <v>16</v>
      </c>
    </row>
    <row r="7" spans="1:15" x14ac:dyDescent="0.2">
      <c r="A7" s="9">
        <v>43837</v>
      </c>
      <c r="B7" s="1" t="s">
        <v>15</v>
      </c>
      <c r="C7" s="1">
        <v>3</v>
      </c>
      <c r="D7" s="1">
        <v>1</v>
      </c>
      <c r="E7" s="14">
        <v>47.73</v>
      </c>
      <c r="F7" s="1" t="s">
        <v>16</v>
      </c>
      <c r="G7" s="1">
        <v>4</v>
      </c>
      <c r="H7" s="1" t="s">
        <v>16</v>
      </c>
      <c r="I7" s="1" t="s">
        <v>16</v>
      </c>
      <c r="J7" s="1" t="s">
        <v>16</v>
      </c>
      <c r="K7" s="1" t="s">
        <v>17</v>
      </c>
      <c r="L7" s="1" t="s">
        <v>17</v>
      </c>
      <c r="M7" s="1" t="s">
        <v>17</v>
      </c>
      <c r="N7" s="27" t="s">
        <v>605</v>
      </c>
      <c r="O7" s="1" t="s">
        <v>16</v>
      </c>
    </row>
    <row r="8" spans="1:15" x14ac:dyDescent="0.2">
      <c r="A8" s="9">
        <v>43837</v>
      </c>
      <c r="B8" s="1" t="s">
        <v>15</v>
      </c>
      <c r="C8" s="1">
        <v>4</v>
      </c>
      <c r="D8" s="1">
        <v>1</v>
      </c>
      <c r="E8" s="14">
        <v>55.5</v>
      </c>
      <c r="F8" s="1" t="s">
        <v>18</v>
      </c>
      <c r="G8" s="1">
        <v>1</v>
      </c>
      <c r="H8" s="1" t="s">
        <v>16</v>
      </c>
      <c r="I8" s="1" t="s">
        <v>16</v>
      </c>
      <c r="J8" s="1" t="s">
        <v>16</v>
      </c>
      <c r="K8" s="1" t="s">
        <v>17</v>
      </c>
      <c r="L8" s="1" t="s">
        <v>17</v>
      </c>
      <c r="M8" s="1" t="s">
        <v>17</v>
      </c>
      <c r="N8" s="27" t="s">
        <v>605</v>
      </c>
      <c r="O8" s="1" t="s">
        <v>16</v>
      </c>
    </row>
    <row r="9" spans="1:15" x14ac:dyDescent="0.2">
      <c r="A9" s="9">
        <v>43837</v>
      </c>
      <c r="B9" s="1" t="s">
        <v>15</v>
      </c>
      <c r="C9" s="1">
        <v>5</v>
      </c>
      <c r="D9" s="1">
        <v>1</v>
      </c>
      <c r="E9" s="14">
        <v>50.82</v>
      </c>
      <c r="F9" s="1" t="s">
        <v>16</v>
      </c>
      <c r="G9" s="1">
        <v>4</v>
      </c>
      <c r="H9" s="1" t="s">
        <v>16</v>
      </c>
      <c r="I9" s="1" t="s">
        <v>16</v>
      </c>
      <c r="J9" s="1" t="s">
        <v>16</v>
      </c>
      <c r="K9" s="1" t="s">
        <v>17</v>
      </c>
      <c r="L9" s="1" t="s">
        <v>17</v>
      </c>
      <c r="M9" s="1" t="s">
        <v>17</v>
      </c>
      <c r="N9" s="27" t="s">
        <v>605</v>
      </c>
      <c r="O9" s="1" t="s">
        <v>16</v>
      </c>
    </row>
    <row r="10" spans="1:15" x14ac:dyDescent="0.2">
      <c r="A10" s="9">
        <v>43837</v>
      </c>
      <c r="B10" s="1" t="s">
        <v>15</v>
      </c>
      <c r="C10" s="1">
        <v>6</v>
      </c>
      <c r="D10" s="1">
        <v>2</v>
      </c>
      <c r="E10" s="14">
        <v>56.67</v>
      </c>
      <c r="F10" s="1" t="s">
        <v>19</v>
      </c>
      <c r="G10" s="1">
        <v>3</v>
      </c>
      <c r="H10" s="1" t="s">
        <v>16</v>
      </c>
      <c r="I10" s="1" t="s">
        <v>16</v>
      </c>
      <c r="J10" s="1" t="s">
        <v>16</v>
      </c>
      <c r="K10" s="1" t="s">
        <v>17</v>
      </c>
      <c r="L10" s="1" t="s">
        <v>17</v>
      </c>
      <c r="M10" s="1" t="s">
        <v>17</v>
      </c>
      <c r="N10" s="27" t="s">
        <v>605</v>
      </c>
      <c r="O10" s="1" t="s">
        <v>16</v>
      </c>
    </row>
    <row r="11" spans="1:15" x14ac:dyDescent="0.2">
      <c r="A11" s="9">
        <v>43837</v>
      </c>
      <c r="B11" s="1" t="s">
        <v>15</v>
      </c>
      <c r="C11" s="1">
        <v>7</v>
      </c>
      <c r="D11" s="1">
        <v>2</v>
      </c>
      <c r="E11" s="14">
        <v>47.87</v>
      </c>
      <c r="F11" s="1" t="s">
        <v>16</v>
      </c>
      <c r="G11" s="1">
        <v>4</v>
      </c>
      <c r="H11" s="1" t="s">
        <v>16</v>
      </c>
      <c r="I11" s="1" t="s">
        <v>16</v>
      </c>
      <c r="J11" s="1" t="s">
        <v>16</v>
      </c>
      <c r="K11" s="1" t="s">
        <v>17</v>
      </c>
      <c r="L11" s="1" t="s">
        <v>17</v>
      </c>
      <c r="M11" s="1" t="s">
        <v>17</v>
      </c>
      <c r="N11" s="27" t="s">
        <v>605</v>
      </c>
      <c r="O11" s="1" t="s">
        <v>16</v>
      </c>
    </row>
    <row r="12" spans="1:15" x14ac:dyDescent="0.2">
      <c r="A12" s="9">
        <v>43837</v>
      </c>
      <c r="B12" s="1" t="s">
        <v>15</v>
      </c>
      <c r="C12" s="1">
        <v>8</v>
      </c>
      <c r="D12" s="1">
        <v>2</v>
      </c>
      <c r="E12" s="14">
        <v>45.61</v>
      </c>
      <c r="F12" s="1" t="s">
        <v>18</v>
      </c>
      <c r="G12" s="1">
        <v>2</v>
      </c>
      <c r="H12" s="1" t="s">
        <v>16</v>
      </c>
      <c r="I12" s="1" t="s">
        <v>16</v>
      </c>
      <c r="J12" s="1" t="s">
        <v>16</v>
      </c>
      <c r="K12" s="1" t="s">
        <v>17</v>
      </c>
      <c r="L12" s="1" t="s">
        <v>17</v>
      </c>
      <c r="M12" s="1" t="s">
        <v>17</v>
      </c>
      <c r="N12" s="27" t="s">
        <v>605</v>
      </c>
      <c r="O12" s="1" t="s">
        <v>16</v>
      </c>
    </row>
    <row r="13" spans="1:15" x14ac:dyDescent="0.2">
      <c r="A13" s="9">
        <v>43837</v>
      </c>
      <c r="B13" s="1" t="s">
        <v>15</v>
      </c>
      <c r="C13" s="1">
        <v>9</v>
      </c>
      <c r="D13" s="1">
        <v>2</v>
      </c>
      <c r="E13" s="14">
        <v>55.84</v>
      </c>
      <c r="F13" s="1" t="s">
        <v>18</v>
      </c>
      <c r="G13" s="1">
        <v>1</v>
      </c>
      <c r="H13" s="1" t="s">
        <v>16</v>
      </c>
      <c r="I13" s="1" t="s">
        <v>16</v>
      </c>
      <c r="J13" s="1" t="s">
        <v>16</v>
      </c>
      <c r="K13" s="1" t="s">
        <v>17</v>
      </c>
      <c r="L13" s="1" t="s">
        <v>17</v>
      </c>
      <c r="M13" s="1" t="s">
        <v>17</v>
      </c>
      <c r="N13" s="27" t="s">
        <v>605</v>
      </c>
      <c r="O13" s="1" t="s">
        <v>16</v>
      </c>
    </row>
    <row r="14" spans="1:15" x14ac:dyDescent="0.2">
      <c r="A14" s="9">
        <v>43837</v>
      </c>
      <c r="B14" s="1" t="s">
        <v>15</v>
      </c>
      <c r="C14" s="1">
        <v>10</v>
      </c>
      <c r="D14" s="1">
        <v>2</v>
      </c>
      <c r="E14" s="14">
        <v>54.87</v>
      </c>
      <c r="F14" s="1" t="s">
        <v>16</v>
      </c>
      <c r="G14" s="1">
        <v>4</v>
      </c>
      <c r="H14" s="1" t="s">
        <v>16</v>
      </c>
      <c r="I14" s="1" t="s">
        <v>16</v>
      </c>
      <c r="J14" s="1" t="s">
        <v>16</v>
      </c>
      <c r="K14" s="1" t="s">
        <v>17</v>
      </c>
      <c r="L14" s="1" t="s">
        <v>17</v>
      </c>
      <c r="M14" s="1" t="s">
        <v>17</v>
      </c>
      <c r="N14" s="27" t="s">
        <v>605</v>
      </c>
      <c r="O14" s="1" t="s">
        <v>16</v>
      </c>
    </row>
    <row r="15" spans="1:15" x14ac:dyDescent="0.2">
      <c r="A15" s="9">
        <v>43837</v>
      </c>
      <c r="B15" s="1" t="s">
        <v>15</v>
      </c>
      <c r="C15" s="1">
        <v>11</v>
      </c>
      <c r="D15" s="1">
        <v>3</v>
      </c>
      <c r="E15" s="14">
        <v>54.74</v>
      </c>
      <c r="F15" s="1" t="s">
        <v>18</v>
      </c>
      <c r="G15" s="1">
        <v>3</v>
      </c>
      <c r="H15" s="1" t="s">
        <v>16</v>
      </c>
      <c r="I15" s="1" t="s">
        <v>16</v>
      </c>
      <c r="J15" s="1" t="s">
        <v>16</v>
      </c>
      <c r="K15" s="1" t="s">
        <v>17</v>
      </c>
      <c r="L15" s="1" t="s">
        <v>17</v>
      </c>
      <c r="M15" s="1" t="s">
        <v>17</v>
      </c>
      <c r="N15" s="27" t="s">
        <v>605</v>
      </c>
      <c r="O15" s="1" t="s">
        <v>16</v>
      </c>
    </row>
    <row r="16" spans="1:15" x14ac:dyDescent="0.2">
      <c r="A16" s="9">
        <v>43837</v>
      </c>
      <c r="B16" s="1" t="s">
        <v>15</v>
      </c>
      <c r="C16" s="1">
        <v>12</v>
      </c>
      <c r="D16" s="1">
        <v>3</v>
      </c>
      <c r="E16" s="14">
        <v>52.98</v>
      </c>
      <c r="F16" s="1" t="s">
        <v>16</v>
      </c>
      <c r="G16" s="1">
        <v>4</v>
      </c>
      <c r="H16" s="1" t="s">
        <v>16</v>
      </c>
      <c r="I16" s="1" t="s">
        <v>16</v>
      </c>
      <c r="J16" s="1" t="s">
        <v>16</v>
      </c>
      <c r="K16" s="1" t="s">
        <v>17</v>
      </c>
      <c r="L16" s="1" t="s">
        <v>17</v>
      </c>
      <c r="M16" s="1" t="s">
        <v>17</v>
      </c>
      <c r="N16" s="27" t="s">
        <v>605</v>
      </c>
      <c r="O16" s="1" t="s">
        <v>16</v>
      </c>
    </row>
    <row r="17" spans="1:15" x14ac:dyDescent="0.2">
      <c r="A17" s="9">
        <v>43837</v>
      </c>
      <c r="B17" s="1" t="s">
        <v>15</v>
      </c>
      <c r="C17" s="1">
        <v>13</v>
      </c>
      <c r="D17" s="1">
        <v>3</v>
      </c>
      <c r="E17" s="14">
        <v>55.89</v>
      </c>
      <c r="F17" s="1" t="s">
        <v>16</v>
      </c>
      <c r="G17" s="1">
        <v>4</v>
      </c>
      <c r="H17" s="1" t="s">
        <v>16</v>
      </c>
      <c r="I17" s="1" t="s">
        <v>16</v>
      </c>
      <c r="J17" s="1" t="s">
        <v>16</v>
      </c>
      <c r="K17" s="1" t="s">
        <v>17</v>
      </c>
      <c r="L17" s="1" t="s">
        <v>17</v>
      </c>
      <c r="M17" s="1" t="s">
        <v>17</v>
      </c>
      <c r="N17" s="27" t="s">
        <v>605</v>
      </c>
      <c r="O17" s="1" t="s">
        <v>16</v>
      </c>
    </row>
    <row r="18" spans="1:15" x14ac:dyDescent="0.2">
      <c r="A18" s="9">
        <v>43837</v>
      </c>
      <c r="B18" s="1" t="s">
        <v>15</v>
      </c>
      <c r="C18" s="1">
        <v>14</v>
      </c>
      <c r="D18" s="1">
        <v>3</v>
      </c>
      <c r="E18" s="14">
        <v>47.27</v>
      </c>
      <c r="F18" s="1" t="s">
        <v>16</v>
      </c>
      <c r="G18" s="1">
        <v>4</v>
      </c>
      <c r="H18" s="1" t="s">
        <v>16</v>
      </c>
      <c r="I18" s="1" t="s">
        <v>16</v>
      </c>
      <c r="J18" s="1" t="s">
        <v>16</v>
      </c>
      <c r="K18" s="1" t="s">
        <v>17</v>
      </c>
      <c r="L18" s="1" t="s">
        <v>17</v>
      </c>
      <c r="M18" s="1" t="s">
        <v>17</v>
      </c>
      <c r="N18" s="27" t="s">
        <v>605</v>
      </c>
      <c r="O18" s="1" t="s">
        <v>16</v>
      </c>
    </row>
    <row r="19" spans="1:15" x14ac:dyDescent="0.2">
      <c r="A19" s="9">
        <v>43837</v>
      </c>
      <c r="B19" s="1" t="s">
        <v>15</v>
      </c>
      <c r="C19" s="1">
        <v>15</v>
      </c>
      <c r="D19" s="1">
        <v>3</v>
      </c>
      <c r="E19" s="14">
        <v>66.540000000000006</v>
      </c>
      <c r="F19" s="1" t="s">
        <v>16</v>
      </c>
      <c r="G19" s="1">
        <v>4</v>
      </c>
      <c r="H19" s="1" t="s">
        <v>16</v>
      </c>
      <c r="I19" s="1" t="s">
        <v>16</v>
      </c>
      <c r="J19" s="1" t="s">
        <v>16</v>
      </c>
      <c r="K19" s="1" t="s">
        <v>17</v>
      </c>
      <c r="L19" s="1" t="s">
        <v>17</v>
      </c>
      <c r="M19" s="1" t="s">
        <v>17</v>
      </c>
      <c r="N19" s="27" t="s">
        <v>605</v>
      </c>
      <c r="O19" s="1" t="s">
        <v>16</v>
      </c>
    </row>
    <row r="20" spans="1:15" x14ac:dyDescent="0.2">
      <c r="A20" s="9">
        <v>43865</v>
      </c>
      <c r="B20" s="1" t="s">
        <v>15</v>
      </c>
      <c r="C20" s="1">
        <v>1</v>
      </c>
      <c r="D20" s="1">
        <v>1</v>
      </c>
      <c r="E20" s="14">
        <v>53.86</v>
      </c>
      <c r="F20" s="1" t="s">
        <v>18</v>
      </c>
      <c r="G20" s="1">
        <v>1</v>
      </c>
      <c r="H20" s="1" t="s">
        <v>16</v>
      </c>
      <c r="I20" s="1" t="s">
        <v>16</v>
      </c>
      <c r="J20" s="1" t="s">
        <v>16</v>
      </c>
      <c r="K20" s="1" t="s">
        <v>17</v>
      </c>
      <c r="L20" s="1" t="s">
        <v>17</v>
      </c>
      <c r="M20" s="1" t="s">
        <v>17</v>
      </c>
      <c r="N20" s="27" t="s">
        <v>605</v>
      </c>
      <c r="O20" s="1" t="s">
        <v>16</v>
      </c>
    </row>
    <row r="21" spans="1:15" x14ac:dyDescent="0.2">
      <c r="A21" s="9">
        <v>43865</v>
      </c>
      <c r="B21" s="1" t="s">
        <v>15</v>
      </c>
      <c r="C21" s="1">
        <v>2</v>
      </c>
      <c r="D21" s="1">
        <v>1</v>
      </c>
      <c r="E21" s="14">
        <v>43.39</v>
      </c>
      <c r="F21" s="1" t="s">
        <v>16</v>
      </c>
      <c r="G21" s="1">
        <v>4</v>
      </c>
      <c r="H21" s="1" t="s">
        <v>16</v>
      </c>
      <c r="I21" s="1" t="s">
        <v>16</v>
      </c>
      <c r="J21" s="1" t="s">
        <v>16</v>
      </c>
      <c r="K21" s="1" t="s">
        <v>17</v>
      </c>
      <c r="L21" s="1" t="s">
        <v>17</v>
      </c>
      <c r="M21" s="1" t="s">
        <v>17</v>
      </c>
      <c r="N21" s="27" t="s">
        <v>605</v>
      </c>
      <c r="O21" s="1" t="s">
        <v>16</v>
      </c>
    </row>
    <row r="22" spans="1:15" x14ac:dyDescent="0.2">
      <c r="A22" s="9">
        <v>43865</v>
      </c>
      <c r="B22" s="1" t="s">
        <v>15</v>
      </c>
      <c r="C22" s="1">
        <v>3</v>
      </c>
      <c r="D22" s="1">
        <v>1</v>
      </c>
      <c r="E22" s="14">
        <v>46.68</v>
      </c>
      <c r="F22" s="1" t="s">
        <v>16</v>
      </c>
      <c r="G22" s="1">
        <v>4</v>
      </c>
      <c r="H22" s="1" t="s">
        <v>16</v>
      </c>
      <c r="I22" s="1" t="s">
        <v>16</v>
      </c>
      <c r="J22" s="1" t="s">
        <v>16</v>
      </c>
      <c r="K22" s="1" t="s">
        <v>17</v>
      </c>
      <c r="L22" s="1" t="s">
        <v>17</v>
      </c>
      <c r="M22" s="1" t="s">
        <v>17</v>
      </c>
      <c r="N22" s="27" t="s">
        <v>605</v>
      </c>
      <c r="O22" s="1" t="s">
        <v>16</v>
      </c>
    </row>
    <row r="23" spans="1:15" x14ac:dyDescent="0.2">
      <c r="A23" s="9">
        <v>43865</v>
      </c>
      <c r="B23" s="1" t="s">
        <v>15</v>
      </c>
      <c r="C23" s="1">
        <v>4</v>
      </c>
      <c r="D23" s="1">
        <v>1</v>
      </c>
      <c r="E23" s="14">
        <v>46.34</v>
      </c>
      <c r="F23" s="1" t="s">
        <v>16</v>
      </c>
      <c r="G23" s="1">
        <v>4</v>
      </c>
      <c r="H23" s="1" t="s">
        <v>16</v>
      </c>
      <c r="I23" s="1" t="s">
        <v>16</v>
      </c>
      <c r="J23" s="1" t="s">
        <v>16</v>
      </c>
      <c r="K23" s="1" t="s">
        <v>17</v>
      </c>
      <c r="L23" s="1" t="s">
        <v>17</v>
      </c>
      <c r="M23" s="1" t="s">
        <v>17</v>
      </c>
      <c r="N23" s="27" t="s">
        <v>605</v>
      </c>
      <c r="O23" s="1" t="s">
        <v>16</v>
      </c>
    </row>
    <row r="24" spans="1:15" x14ac:dyDescent="0.2">
      <c r="A24" s="9">
        <v>43865</v>
      </c>
      <c r="B24" s="1" t="s">
        <v>15</v>
      </c>
      <c r="C24" s="1">
        <v>5</v>
      </c>
      <c r="D24" s="1">
        <v>1</v>
      </c>
      <c r="E24" s="14">
        <v>54.37</v>
      </c>
      <c r="F24" s="1" t="s">
        <v>18</v>
      </c>
      <c r="G24" s="1">
        <v>2</v>
      </c>
      <c r="H24" s="1" t="s">
        <v>16</v>
      </c>
      <c r="I24" s="1" t="s">
        <v>16</v>
      </c>
      <c r="J24" s="1" t="s">
        <v>16</v>
      </c>
      <c r="K24" s="1" t="s">
        <v>17</v>
      </c>
      <c r="L24" s="1" t="s">
        <v>17</v>
      </c>
      <c r="M24" s="1" t="s">
        <v>17</v>
      </c>
      <c r="N24" s="27" t="s">
        <v>605</v>
      </c>
      <c r="O24" s="1" t="s">
        <v>16</v>
      </c>
    </row>
    <row r="25" spans="1:15" x14ac:dyDescent="0.2">
      <c r="A25" s="9">
        <v>43865</v>
      </c>
      <c r="B25" s="1" t="s">
        <v>15</v>
      </c>
      <c r="C25" s="1">
        <v>6</v>
      </c>
      <c r="D25" s="1">
        <v>2</v>
      </c>
      <c r="E25" s="14">
        <v>45.46</v>
      </c>
      <c r="F25" s="1" t="s">
        <v>18</v>
      </c>
      <c r="G25" s="1">
        <v>1</v>
      </c>
      <c r="H25" s="1" t="s">
        <v>16</v>
      </c>
      <c r="I25" s="1" t="s">
        <v>16</v>
      </c>
      <c r="J25" s="1" t="s">
        <v>16</v>
      </c>
      <c r="K25" s="1" t="s">
        <v>17</v>
      </c>
      <c r="L25" s="1" t="s">
        <v>17</v>
      </c>
      <c r="M25" s="1" t="s">
        <v>17</v>
      </c>
      <c r="N25" s="27" t="s">
        <v>605</v>
      </c>
      <c r="O25" s="1" t="s">
        <v>16</v>
      </c>
    </row>
    <row r="26" spans="1:15" x14ac:dyDescent="0.2">
      <c r="A26" s="9">
        <v>43865</v>
      </c>
      <c r="B26" s="1" t="s">
        <v>15</v>
      </c>
      <c r="C26" s="1">
        <v>7</v>
      </c>
      <c r="D26" s="1">
        <v>2</v>
      </c>
      <c r="E26" s="14">
        <v>53.23</v>
      </c>
      <c r="F26" s="1" t="s">
        <v>16</v>
      </c>
      <c r="G26" s="1">
        <v>4</v>
      </c>
      <c r="H26" s="1" t="s">
        <v>16</v>
      </c>
      <c r="I26" s="1" t="s">
        <v>16</v>
      </c>
      <c r="J26" s="1" t="s">
        <v>16</v>
      </c>
      <c r="K26" s="1" t="s">
        <v>17</v>
      </c>
      <c r="L26" s="1" t="s">
        <v>17</v>
      </c>
      <c r="M26" s="1" t="s">
        <v>17</v>
      </c>
      <c r="N26" s="27" t="s">
        <v>605</v>
      </c>
      <c r="O26" s="1" t="s">
        <v>16</v>
      </c>
    </row>
    <row r="27" spans="1:15" x14ac:dyDescent="0.2">
      <c r="A27" s="9">
        <v>43865</v>
      </c>
      <c r="B27" s="1" t="s">
        <v>15</v>
      </c>
      <c r="C27" s="1">
        <v>8</v>
      </c>
      <c r="D27" s="1">
        <v>2</v>
      </c>
      <c r="E27" s="14">
        <v>54.03</v>
      </c>
      <c r="F27" s="1" t="s">
        <v>16</v>
      </c>
      <c r="G27" s="1" t="s">
        <v>16</v>
      </c>
      <c r="H27" s="1" t="s">
        <v>16</v>
      </c>
      <c r="I27" s="1" t="s">
        <v>16</v>
      </c>
      <c r="J27" s="1" t="s">
        <v>16</v>
      </c>
      <c r="K27" s="1" t="s">
        <v>20</v>
      </c>
      <c r="L27" s="1" t="s">
        <v>17</v>
      </c>
      <c r="M27" s="1" t="s">
        <v>17</v>
      </c>
      <c r="N27" s="27" t="s">
        <v>605</v>
      </c>
      <c r="O27" s="1" t="s">
        <v>16</v>
      </c>
    </row>
    <row r="28" spans="1:15" x14ac:dyDescent="0.2">
      <c r="A28" s="9">
        <v>43865</v>
      </c>
      <c r="B28" s="1" t="s">
        <v>15</v>
      </c>
      <c r="C28" s="1">
        <v>9</v>
      </c>
      <c r="D28" s="1">
        <v>2</v>
      </c>
      <c r="E28" s="14">
        <v>54.99</v>
      </c>
      <c r="F28" s="1" t="s">
        <v>18</v>
      </c>
      <c r="G28" s="1">
        <v>1</v>
      </c>
      <c r="H28" s="1" t="s">
        <v>16</v>
      </c>
      <c r="I28" s="1" t="s">
        <v>16</v>
      </c>
      <c r="J28" s="1" t="s">
        <v>16</v>
      </c>
      <c r="K28" s="1" t="s">
        <v>17</v>
      </c>
      <c r="L28" s="1" t="s">
        <v>17</v>
      </c>
      <c r="M28" s="1" t="s">
        <v>17</v>
      </c>
      <c r="N28" s="27" t="s">
        <v>605</v>
      </c>
      <c r="O28" s="1" t="s">
        <v>16</v>
      </c>
    </row>
    <row r="29" spans="1:15" x14ac:dyDescent="0.2">
      <c r="A29" s="9">
        <v>43865</v>
      </c>
      <c r="B29" s="1" t="s">
        <v>15</v>
      </c>
      <c r="C29" s="1">
        <v>10</v>
      </c>
      <c r="D29" s="1">
        <v>2</v>
      </c>
      <c r="E29" s="14">
        <v>53.04</v>
      </c>
      <c r="F29" s="1" t="s">
        <v>18</v>
      </c>
      <c r="G29" s="1">
        <v>1</v>
      </c>
      <c r="H29" s="1" t="s">
        <v>16</v>
      </c>
      <c r="I29" s="1" t="s">
        <v>16</v>
      </c>
      <c r="J29" s="1" t="s">
        <v>16</v>
      </c>
      <c r="K29" s="1" t="s">
        <v>17</v>
      </c>
      <c r="L29" s="1" t="s">
        <v>17</v>
      </c>
      <c r="M29" s="1" t="s">
        <v>17</v>
      </c>
      <c r="N29" s="27" t="s">
        <v>605</v>
      </c>
      <c r="O29" s="1" t="s">
        <v>16</v>
      </c>
    </row>
    <row r="30" spans="1:15" x14ac:dyDescent="0.2">
      <c r="A30" s="9">
        <v>43865</v>
      </c>
      <c r="B30" s="1" t="s">
        <v>15</v>
      </c>
      <c r="C30" s="1">
        <v>11</v>
      </c>
      <c r="D30" s="1">
        <v>3</v>
      </c>
      <c r="E30" s="14">
        <v>70</v>
      </c>
      <c r="F30" s="1" t="s">
        <v>16</v>
      </c>
      <c r="G30" s="1">
        <v>4</v>
      </c>
      <c r="H30" s="1" t="s">
        <v>16</v>
      </c>
      <c r="I30" s="1" t="s">
        <v>16</v>
      </c>
      <c r="J30" s="1" t="s">
        <v>16</v>
      </c>
      <c r="K30" s="1" t="s">
        <v>17</v>
      </c>
      <c r="L30" s="1" t="s">
        <v>17</v>
      </c>
      <c r="M30" s="1" t="s">
        <v>17</v>
      </c>
      <c r="N30" s="27" t="s">
        <v>605</v>
      </c>
      <c r="O30" s="1" t="s">
        <v>16</v>
      </c>
    </row>
    <row r="31" spans="1:15" x14ac:dyDescent="0.2">
      <c r="A31" s="9">
        <v>43865</v>
      </c>
      <c r="B31" s="1" t="s">
        <v>15</v>
      </c>
      <c r="C31" s="1">
        <v>12</v>
      </c>
      <c r="D31" s="1">
        <v>3</v>
      </c>
      <c r="E31" s="14">
        <v>47.97</v>
      </c>
      <c r="F31" s="1" t="s">
        <v>18</v>
      </c>
      <c r="G31" s="1">
        <v>1</v>
      </c>
      <c r="H31" s="1" t="s">
        <v>16</v>
      </c>
      <c r="I31" s="1" t="s">
        <v>16</v>
      </c>
      <c r="J31" s="1" t="s">
        <v>16</v>
      </c>
      <c r="K31" s="1" t="s">
        <v>17</v>
      </c>
      <c r="L31" s="1" t="s">
        <v>17</v>
      </c>
      <c r="M31" s="1" t="s">
        <v>17</v>
      </c>
      <c r="N31" s="27" t="s">
        <v>605</v>
      </c>
      <c r="O31" s="1" t="s">
        <v>16</v>
      </c>
    </row>
    <row r="32" spans="1:15" x14ac:dyDescent="0.2">
      <c r="A32" s="9">
        <v>43865</v>
      </c>
      <c r="B32" s="1" t="s">
        <v>15</v>
      </c>
      <c r="C32" s="1">
        <v>13</v>
      </c>
      <c r="D32" s="1">
        <v>3</v>
      </c>
      <c r="E32" s="14">
        <v>53.69</v>
      </c>
      <c r="F32" s="1" t="s">
        <v>18</v>
      </c>
      <c r="G32" s="1">
        <v>1</v>
      </c>
      <c r="H32" s="1" t="s">
        <v>16</v>
      </c>
      <c r="I32" s="1" t="s">
        <v>16</v>
      </c>
      <c r="J32" s="1" t="s">
        <v>16</v>
      </c>
      <c r="K32" s="1" t="s">
        <v>17</v>
      </c>
      <c r="L32" s="1" t="s">
        <v>17</v>
      </c>
      <c r="M32" s="1" t="s">
        <v>17</v>
      </c>
      <c r="N32" s="27" t="s">
        <v>605</v>
      </c>
      <c r="O32" s="1" t="s">
        <v>16</v>
      </c>
    </row>
    <row r="33" spans="1:15" x14ac:dyDescent="0.2">
      <c r="A33" s="9">
        <v>43865</v>
      </c>
      <c r="B33" s="1" t="s">
        <v>15</v>
      </c>
      <c r="C33" s="1">
        <v>14</v>
      </c>
      <c r="D33" s="1">
        <v>3</v>
      </c>
      <c r="E33" s="14">
        <v>56.09</v>
      </c>
      <c r="F33" s="1" t="s">
        <v>16</v>
      </c>
      <c r="G33" s="1">
        <v>4</v>
      </c>
      <c r="H33" s="1" t="s">
        <v>16</v>
      </c>
      <c r="I33" s="1" t="s">
        <v>16</v>
      </c>
      <c r="J33" s="1" t="s">
        <v>16</v>
      </c>
      <c r="K33" s="1" t="s">
        <v>17</v>
      </c>
      <c r="L33" s="1" t="s">
        <v>17</v>
      </c>
      <c r="M33" s="1" t="s">
        <v>17</v>
      </c>
      <c r="N33" s="27" t="s">
        <v>605</v>
      </c>
      <c r="O33" s="1" t="s">
        <v>16</v>
      </c>
    </row>
    <row r="34" spans="1:15" x14ac:dyDescent="0.2">
      <c r="A34" s="9">
        <v>43865</v>
      </c>
      <c r="B34" s="1" t="s">
        <v>15</v>
      </c>
      <c r="C34" s="1">
        <v>15</v>
      </c>
      <c r="D34" s="1">
        <v>3</v>
      </c>
      <c r="E34" s="14">
        <v>47.6</v>
      </c>
      <c r="F34" s="1" t="s">
        <v>16</v>
      </c>
      <c r="G34" s="1">
        <v>4</v>
      </c>
      <c r="H34" s="1" t="s">
        <v>16</v>
      </c>
      <c r="I34" s="1" t="s">
        <v>16</v>
      </c>
      <c r="J34" s="1" t="s">
        <v>16</v>
      </c>
      <c r="K34" s="1" t="s">
        <v>17</v>
      </c>
      <c r="L34" s="1" t="s">
        <v>17</v>
      </c>
      <c r="M34" s="1" t="s">
        <v>17</v>
      </c>
      <c r="N34" s="27" t="s">
        <v>605</v>
      </c>
      <c r="O34" s="1" t="s">
        <v>16</v>
      </c>
    </row>
    <row r="35" spans="1:15" x14ac:dyDescent="0.2">
      <c r="A35" s="9">
        <v>43894</v>
      </c>
      <c r="B35" s="1" t="s">
        <v>15</v>
      </c>
      <c r="C35" s="1">
        <v>1</v>
      </c>
      <c r="D35" s="1">
        <v>1</v>
      </c>
      <c r="E35" s="14">
        <v>42.53</v>
      </c>
      <c r="F35" s="1" t="s">
        <v>19</v>
      </c>
      <c r="G35" s="1">
        <v>2</v>
      </c>
      <c r="H35" s="1" t="s">
        <v>16</v>
      </c>
      <c r="I35" s="1" t="s">
        <v>16</v>
      </c>
      <c r="J35" s="1" t="s">
        <v>16</v>
      </c>
      <c r="K35" s="1" t="s">
        <v>17</v>
      </c>
      <c r="L35" s="1" t="s">
        <v>17</v>
      </c>
      <c r="M35" s="1" t="s">
        <v>17</v>
      </c>
      <c r="N35" s="27" t="s">
        <v>605</v>
      </c>
      <c r="O35" s="1" t="s">
        <v>16</v>
      </c>
    </row>
    <row r="36" spans="1:15" x14ac:dyDescent="0.2">
      <c r="A36" s="9">
        <v>43894</v>
      </c>
      <c r="B36" s="1" t="s">
        <v>15</v>
      </c>
      <c r="C36" s="1">
        <v>2</v>
      </c>
      <c r="D36" s="1">
        <v>1</v>
      </c>
      <c r="E36" s="14">
        <v>55.33</v>
      </c>
      <c r="F36" s="1" t="s">
        <v>16</v>
      </c>
      <c r="G36" s="1">
        <v>4</v>
      </c>
      <c r="H36" s="1" t="s">
        <v>16</v>
      </c>
      <c r="I36" s="1" t="s">
        <v>16</v>
      </c>
      <c r="J36" s="1" t="s">
        <v>16</v>
      </c>
      <c r="K36" s="1" t="s">
        <v>17</v>
      </c>
      <c r="L36" s="1" t="s">
        <v>17</v>
      </c>
      <c r="M36" s="1" t="s">
        <v>17</v>
      </c>
      <c r="N36" s="27" t="s">
        <v>605</v>
      </c>
      <c r="O36" s="1" t="s">
        <v>16</v>
      </c>
    </row>
    <row r="37" spans="1:15" x14ac:dyDescent="0.2">
      <c r="A37" s="9">
        <v>43894</v>
      </c>
      <c r="B37" s="1" t="s">
        <v>15</v>
      </c>
      <c r="C37" s="1">
        <v>3</v>
      </c>
      <c r="D37" s="1">
        <v>1</v>
      </c>
      <c r="E37" s="14">
        <v>52.87</v>
      </c>
      <c r="F37" s="1" t="s">
        <v>19</v>
      </c>
      <c r="G37" s="1">
        <v>2</v>
      </c>
      <c r="H37" s="1" t="s">
        <v>16</v>
      </c>
      <c r="I37" s="1" t="s">
        <v>16</v>
      </c>
      <c r="J37" s="1" t="s">
        <v>16</v>
      </c>
      <c r="K37" s="1" t="s">
        <v>17</v>
      </c>
      <c r="L37" s="1" t="s">
        <v>17</v>
      </c>
      <c r="M37" s="1" t="s">
        <v>17</v>
      </c>
      <c r="N37" s="27" t="s">
        <v>605</v>
      </c>
      <c r="O37" s="1" t="s">
        <v>16</v>
      </c>
    </row>
    <row r="38" spans="1:15" x14ac:dyDescent="0.2">
      <c r="A38" s="9">
        <v>43894</v>
      </c>
      <c r="B38" s="1" t="s">
        <v>15</v>
      </c>
      <c r="C38" s="1">
        <v>4</v>
      </c>
      <c r="D38" s="1">
        <v>1</v>
      </c>
      <c r="E38" s="14">
        <v>50.17</v>
      </c>
      <c r="F38" s="1" t="s">
        <v>19</v>
      </c>
      <c r="G38" s="1">
        <v>2</v>
      </c>
      <c r="H38" s="1" t="s">
        <v>16</v>
      </c>
      <c r="I38" s="1" t="s">
        <v>16</v>
      </c>
      <c r="J38" s="1" t="s">
        <v>16</v>
      </c>
      <c r="K38" s="1" t="s">
        <v>17</v>
      </c>
      <c r="L38" s="1" t="s">
        <v>17</v>
      </c>
      <c r="M38" s="1" t="s">
        <v>17</v>
      </c>
      <c r="N38" s="27" t="s">
        <v>605</v>
      </c>
      <c r="O38" s="1" t="s">
        <v>16</v>
      </c>
    </row>
    <row r="39" spans="1:15" x14ac:dyDescent="0.2">
      <c r="A39" s="9">
        <v>43894</v>
      </c>
      <c r="B39" s="1" t="s">
        <v>15</v>
      </c>
      <c r="C39" s="1">
        <v>5</v>
      </c>
      <c r="D39" s="1">
        <v>1</v>
      </c>
      <c r="E39" s="14">
        <v>61.96</v>
      </c>
      <c r="F39" s="1" t="s">
        <v>16</v>
      </c>
      <c r="G39" s="1">
        <v>4</v>
      </c>
      <c r="H39" s="1" t="s">
        <v>16</v>
      </c>
      <c r="I39" s="1" t="s">
        <v>16</v>
      </c>
      <c r="J39" s="1" t="s">
        <v>16</v>
      </c>
      <c r="K39" s="1" t="s">
        <v>17</v>
      </c>
      <c r="L39" s="1" t="s">
        <v>17</v>
      </c>
      <c r="M39" s="1" t="s">
        <v>17</v>
      </c>
      <c r="N39" s="27" t="s">
        <v>605</v>
      </c>
      <c r="O39" s="1" t="s">
        <v>16</v>
      </c>
    </row>
    <row r="40" spans="1:15" x14ac:dyDescent="0.2">
      <c r="A40" s="9">
        <v>43894</v>
      </c>
      <c r="B40" s="1" t="s">
        <v>15</v>
      </c>
      <c r="C40" s="1">
        <v>6</v>
      </c>
      <c r="D40" s="1">
        <v>2</v>
      </c>
      <c r="E40" s="14">
        <v>51.95</v>
      </c>
      <c r="F40" s="1" t="s">
        <v>18</v>
      </c>
      <c r="G40" s="1">
        <v>3</v>
      </c>
      <c r="H40" s="1" t="s">
        <v>16</v>
      </c>
      <c r="I40" s="1" t="s">
        <v>16</v>
      </c>
      <c r="J40" s="1" t="s">
        <v>16</v>
      </c>
      <c r="K40" s="1" t="s">
        <v>21</v>
      </c>
      <c r="L40" s="1" t="s">
        <v>17</v>
      </c>
      <c r="M40" s="1" t="s">
        <v>17</v>
      </c>
      <c r="N40" s="27" t="s">
        <v>605</v>
      </c>
      <c r="O40" s="1" t="s">
        <v>16</v>
      </c>
    </row>
    <row r="41" spans="1:15" x14ac:dyDescent="0.2">
      <c r="A41" s="9">
        <v>43894</v>
      </c>
      <c r="B41" s="1" t="s">
        <v>15</v>
      </c>
      <c r="C41" s="1">
        <v>7</v>
      </c>
      <c r="D41" s="1">
        <v>2</v>
      </c>
      <c r="E41" s="14">
        <v>80</v>
      </c>
      <c r="F41" s="1" t="s">
        <v>18</v>
      </c>
      <c r="G41" s="1">
        <v>1</v>
      </c>
      <c r="H41" s="1" t="s">
        <v>16</v>
      </c>
      <c r="I41" s="1" t="s">
        <v>16</v>
      </c>
      <c r="J41" s="1" t="s">
        <v>16</v>
      </c>
      <c r="K41" s="1" t="s">
        <v>21</v>
      </c>
      <c r="L41" s="1" t="s">
        <v>17</v>
      </c>
      <c r="M41" s="1" t="s">
        <v>17</v>
      </c>
      <c r="N41" s="27" t="s">
        <v>605</v>
      </c>
      <c r="O41" s="1" t="s">
        <v>16</v>
      </c>
    </row>
    <row r="42" spans="1:15" x14ac:dyDescent="0.2">
      <c r="A42" s="9">
        <v>43894</v>
      </c>
      <c r="B42" s="1" t="s">
        <v>15</v>
      </c>
      <c r="C42" s="1">
        <v>8</v>
      </c>
      <c r="D42" s="1">
        <v>2</v>
      </c>
      <c r="E42" s="14">
        <v>43.49</v>
      </c>
      <c r="F42" s="1" t="s">
        <v>19</v>
      </c>
      <c r="G42" s="1">
        <v>3</v>
      </c>
      <c r="H42" s="1" t="s">
        <v>16</v>
      </c>
      <c r="I42" s="1" t="s">
        <v>16</v>
      </c>
      <c r="J42" s="1" t="s">
        <v>16</v>
      </c>
      <c r="K42" s="1" t="s">
        <v>17</v>
      </c>
      <c r="L42" s="1" t="s">
        <v>17</v>
      </c>
      <c r="M42" s="1" t="s">
        <v>17</v>
      </c>
      <c r="N42" s="27" t="s">
        <v>605</v>
      </c>
      <c r="O42" s="1" t="s">
        <v>16</v>
      </c>
    </row>
    <row r="43" spans="1:15" x14ac:dyDescent="0.2">
      <c r="A43" s="9">
        <v>43894</v>
      </c>
      <c r="B43" s="1" t="s">
        <v>15</v>
      </c>
      <c r="C43" s="1">
        <v>9</v>
      </c>
      <c r="D43" s="1">
        <v>2</v>
      </c>
      <c r="E43" s="14">
        <v>54.78</v>
      </c>
      <c r="F43" s="1" t="s">
        <v>18</v>
      </c>
      <c r="G43" s="1">
        <v>3</v>
      </c>
      <c r="H43" s="1" t="s">
        <v>16</v>
      </c>
      <c r="I43" s="1" t="s">
        <v>16</v>
      </c>
      <c r="J43" s="1" t="s">
        <v>16</v>
      </c>
      <c r="K43" s="1" t="s">
        <v>17</v>
      </c>
      <c r="L43" s="1" t="s">
        <v>17</v>
      </c>
      <c r="M43" s="1" t="s">
        <v>17</v>
      </c>
      <c r="N43" s="27" t="s">
        <v>605</v>
      </c>
      <c r="O43" s="1" t="s">
        <v>16</v>
      </c>
    </row>
    <row r="44" spans="1:15" x14ac:dyDescent="0.2">
      <c r="A44" s="9">
        <v>43894</v>
      </c>
      <c r="B44" s="1" t="s">
        <v>15</v>
      </c>
      <c r="C44" s="1">
        <v>10</v>
      </c>
      <c r="D44" s="1">
        <v>2</v>
      </c>
      <c r="E44" s="14">
        <v>47.04</v>
      </c>
      <c r="F44" s="1" t="s">
        <v>18</v>
      </c>
      <c r="G44" s="1">
        <v>2</v>
      </c>
      <c r="H44" s="1" t="s">
        <v>16</v>
      </c>
      <c r="I44" s="1" t="s">
        <v>16</v>
      </c>
      <c r="J44" s="1" t="s">
        <v>16</v>
      </c>
      <c r="K44" s="1" t="s">
        <v>21</v>
      </c>
      <c r="L44" s="1" t="s">
        <v>17</v>
      </c>
      <c r="M44" s="1" t="s">
        <v>17</v>
      </c>
      <c r="N44" s="27" t="s">
        <v>605</v>
      </c>
      <c r="O44" s="1" t="s">
        <v>16</v>
      </c>
    </row>
    <row r="45" spans="1:15" x14ac:dyDescent="0.2">
      <c r="A45" s="9">
        <v>43894</v>
      </c>
      <c r="B45" s="1" t="s">
        <v>15</v>
      </c>
      <c r="C45" s="1">
        <v>11</v>
      </c>
      <c r="D45" s="1">
        <v>3</v>
      </c>
      <c r="E45" s="14">
        <v>54.35</v>
      </c>
      <c r="F45" s="1" t="s">
        <v>18</v>
      </c>
      <c r="G45" s="1">
        <v>1</v>
      </c>
      <c r="H45" s="1" t="s">
        <v>16</v>
      </c>
      <c r="I45" s="1" t="s">
        <v>16</v>
      </c>
      <c r="J45" s="1" t="s">
        <v>16</v>
      </c>
      <c r="K45" s="1" t="s">
        <v>17</v>
      </c>
      <c r="L45" s="1" t="s">
        <v>17</v>
      </c>
      <c r="M45" s="1" t="s">
        <v>17</v>
      </c>
      <c r="N45" s="27" t="s">
        <v>605</v>
      </c>
      <c r="O45" s="1" t="s">
        <v>16</v>
      </c>
    </row>
    <row r="46" spans="1:15" x14ac:dyDescent="0.2">
      <c r="A46" s="9">
        <v>43894</v>
      </c>
      <c r="B46" s="1" t="s">
        <v>15</v>
      </c>
      <c r="C46" s="1">
        <v>12</v>
      </c>
      <c r="D46" s="1">
        <v>3</v>
      </c>
      <c r="E46" s="14">
        <v>50.75</v>
      </c>
      <c r="F46" s="1" t="s">
        <v>16</v>
      </c>
      <c r="G46" s="1">
        <v>4</v>
      </c>
      <c r="H46" s="1" t="s">
        <v>16</v>
      </c>
      <c r="I46" s="1" t="s">
        <v>16</v>
      </c>
      <c r="J46" s="1" t="s">
        <v>16</v>
      </c>
      <c r="K46" s="1" t="s">
        <v>17</v>
      </c>
      <c r="L46" s="1" t="s">
        <v>17</v>
      </c>
      <c r="M46" s="1" t="s">
        <v>17</v>
      </c>
      <c r="N46" s="27" t="s">
        <v>605</v>
      </c>
      <c r="O46" s="1" t="s">
        <v>16</v>
      </c>
    </row>
    <row r="47" spans="1:15" x14ac:dyDescent="0.2">
      <c r="A47" s="9">
        <v>43894</v>
      </c>
      <c r="B47" s="1" t="s">
        <v>15</v>
      </c>
      <c r="C47" s="1">
        <v>13</v>
      </c>
      <c r="D47" s="1">
        <v>3</v>
      </c>
      <c r="E47" s="14">
        <v>55.12</v>
      </c>
      <c r="F47" s="1" t="s">
        <v>16</v>
      </c>
      <c r="G47" s="1">
        <v>4</v>
      </c>
      <c r="H47" s="1" t="s">
        <v>16</v>
      </c>
      <c r="I47" s="1" t="s">
        <v>16</v>
      </c>
      <c r="J47" s="1" t="s">
        <v>16</v>
      </c>
      <c r="K47" s="1" t="s">
        <v>17</v>
      </c>
      <c r="L47" s="1" t="s">
        <v>17</v>
      </c>
      <c r="M47" s="1" t="s">
        <v>17</v>
      </c>
      <c r="N47" s="27" t="s">
        <v>605</v>
      </c>
      <c r="O47" s="1" t="s">
        <v>16</v>
      </c>
    </row>
    <row r="48" spans="1:15" x14ac:dyDescent="0.2">
      <c r="A48" s="9">
        <v>43894</v>
      </c>
      <c r="B48" s="1" t="s">
        <v>15</v>
      </c>
      <c r="C48" s="1">
        <v>14</v>
      </c>
      <c r="D48" s="1">
        <v>3</v>
      </c>
      <c r="E48" s="14">
        <v>47.03</v>
      </c>
      <c r="F48" s="1" t="s">
        <v>16</v>
      </c>
      <c r="G48" s="1">
        <v>4</v>
      </c>
      <c r="H48" s="1" t="s">
        <v>16</v>
      </c>
      <c r="I48" s="1" t="s">
        <v>16</v>
      </c>
      <c r="J48" s="1" t="s">
        <v>16</v>
      </c>
      <c r="K48" s="1" t="s">
        <v>17</v>
      </c>
      <c r="L48" s="1" t="s">
        <v>17</v>
      </c>
      <c r="M48" s="1" t="s">
        <v>17</v>
      </c>
      <c r="N48" s="27" t="s">
        <v>605</v>
      </c>
      <c r="O48" s="1" t="s">
        <v>16</v>
      </c>
    </row>
    <row r="49" spans="1:15" x14ac:dyDescent="0.2">
      <c r="A49" s="9">
        <v>43894</v>
      </c>
      <c r="B49" s="1" t="s">
        <v>15</v>
      </c>
      <c r="C49" s="1">
        <v>15</v>
      </c>
      <c r="D49" s="1">
        <v>3</v>
      </c>
      <c r="E49" s="14">
        <v>48</v>
      </c>
      <c r="F49" s="1" t="s">
        <v>19</v>
      </c>
      <c r="G49" s="1">
        <v>2</v>
      </c>
      <c r="H49" s="1" t="s">
        <v>16</v>
      </c>
      <c r="I49" s="1" t="s">
        <v>16</v>
      </c>
      <c r="J49" s="1" t="s">
        <v>16</v>
      </c>
      <c r="K49" s="1" t="s">
        <v>17</v>
      </c>
      <c r="L49" s="1" t="s">
        <v>17</v>
      </c>
      <c r="M49" s="1" t="s">
        <v>17</v>
      </c>
      <c r="N49" s="27" t="s">
        <v>605</v>
      </c>
      <c r="O49" s="1" t="s">
        <v>16</v>
      </c>
    </row>
    <row r="50" spans="1:15" x14ac:dyDescent="0.2">
      <c r="A50" s="9">
        <v>43994</v>
      </c>
      <c r="B50" s="1" t="s">
        <v>15</v>
      </c>
      <c r="C50" s="1">
        <v>1</v>
      </c>
      <c r="D50" s="1">
        <v>1</v>
      </c>
      <c r="E50" s="14">
        <v>52.39</v>
      </c>
      <c r="F50" s="1" t="s">
        <v>18</v>
      </c>
      <c r="G50" s="1">
        <v>2</v>
      </c>
      <c r="H50" s="1" t="s">
        <v>16</v>
      </c>
      <c r="I50" s="1" t="s">
        <v>16</v>
      </c>
      <c r="J50" s="1" t="s">
        <v>16</v>
      </c>
      <c r="K50" s="1" t="s">
        <v>17</v>
      </c>
      <c r="L50" s="1" t="s">
        <v>17</v>
      </c>
      <c r="M50" s="1" t="s">
        <v>17</v>
      </c>
      <c r="N50" s="27" t="s">
        <v>605</v>
      </c>
      <c r="O50" s="1" t="s">
        <v>16</v>
      </c>
    </row>
    <row r="51" spans="1:15" x14ac:dyDescent="0.2">
      <c r="A51" s="9">
        <v>43994</v>
      </c>
      <c r="B51" s="1" t="s">
        <v>15</v>
      </c>
      <c r="C51" s="1">
        <v>2</v>
      </c>
      <c r="D51" s="1">
        <v>1</v>
      </c>
      <c r="E51" s="14">
        <v>49.07</v>
      </c>
      <c r="F51" s="1" t="s">
        <v>18</v>
      </c>
      <c r="G51" s="1">
        <v>2</v>
      </c>
      <c r="H51" s="1" t="s">
        <v>16</v>
      </c>
      <c r="I51" s="1" t="s">
        <v>16</v>
      </c>
      <c r="J51" s="1" t="s">
        <v>16</v>
      </c>
      <c r="K51" s="1" t="s">
        <v>17</v>
      </c>
      <c r="L51" s="1" t="s">
        <v>17</v>
      </c>
      <c r="M51" s="1" t="s">
        <v>17</v>
      </c>
      <c r="N51" s="27" t="s">
        <v>605</v>
      </c>
      <c r="O51" s="1" t="s">
        <v>16</v>
      </c>
    </row>
    <row r="52" spans="1:15" x14ac:dyDescent="0.2">
      <c r="A52" s="9">
        <v>43994</v>
      </c>
      <c r="B52" s="1" t="s">
        <v>15</v>
      </c>
      <c r="C52" s="1">
        <v>3</v>
      </c>
      <c r="D52" s="1">
        <v>1</v>
      </c>
      <c r="E52" s="14">
        <v>43.89</v>
      </c>
      <c r="F52" s="1" t="s">
        <v>18</v>
      </c>
      <c r="G52" s="1">
        <v>2</v>
      </c>
      <c r="H52" s="1" t="s">
        <v>16</v>
      </c>
      <c r="I52" s="1" t="s">
        <v>16</v>
      </c>
      <c r="J52" s="1" t="s">
        <v>16</v>
      </c>
      <c r="K52" s="1" t="s">
        <v>17</v>
      </c>
      <c r="L52" s="1" t="s">
        <v>17</v>
      </c>
      <c r="M52" s="1" t="s">
        <v>17</v>
      </c>
      <c r="N52" s="27" t="s">
        <v>605</v>
      </c>
      <c r="O52" s="1" t="s">
        <v>16</v>
      </c>
    </row>
    <row r="53" spans="1:15" x14ac:dyDescent="0.2">
      <c r="A53" s="9">
        <v>43994</v>
      </c>
      <c r="B53" s="1" t="s">
        <v>15</v>
      </c>
      <c r="C53" s="1">
        <v>4</v>
      </c>
      <c r="D53" s="1">
        <v>1</v>
      </c>
      <c r="E53" s="14">
        <v>50.86</v>
      </c>
      <c r="F53" s="1" t="s">
        <v>18</v>
      </c>
      <c r="G53" s="1">
        <v>2</v>
      </c>
      <c r="H53" s="1" t="s">
        <v>16</v>
      </c>
      <c r="I53" s="1" t="s">
        <v>16</v>
      </c>
      <c r="J53" s="1" t="s">
        <v>16</v>
      </c>
      <c r="K53" s="1" t="s">
        <v>17</v>
      </c>
      <c r="L53" s="1" t="s">
        <v>17</v>
      </c>
      <c r="M53" s="1" t="s">
        <v>17</v>
      </c>
      <c r="N53" s="27" t="s">
        <v>605</v>
      </c>
      <c r="O53" s="1" t="s">
        <v>16</v>
      </c>
    </row>
    <row r="54" spans="1:15" x14ac:dyDescent="0.2">
      <c r="A54" s="9">
        <v>43994</v>
      </c>
      <c r="B54" s="1" t="s">
        <v>15</v>
      </c>
      <c r="C54" s="1">
        <v>5</v>
      </c>
      <c r="D54" s="1">
        <v>1</v>
      </c>
      <c r="E54" s="14">
        <v>44.1</v>
      </c>
      <c r="F54" s="1" t="s">
        <v>16</v>
      </c>
      <c r="G54" s="1" t="s">
        <v>16</v>
      </c>
      <c r="H54" s="1" t="s">
        <v>16</v>
      </c>
      <c r="I54" s="1" t="s">
        <v>16</v>
      </c>
      <c r="J54" s="1" t="s">
        <v>16</v>
      </c>
      <c r="K54" s="1" t="s">
        <v>20</v>
      </c>
      <c r="L54" s="1" t="s">
        <v>17</v>
      </c>
      <c r="M54" s="1" t="s">
        <v>17</v>
      </c>
      <c r="N54" s="27" t="s">
        <v>605</v>
      </c>
      <c r="O54" s="1" t="s">
        <v>16</v>
      </c>
    </row>
    <row r="55" spans="1:15" x14ac:dyDescent="0.2">
      <c r="A55" s="9">
        <v>43994</v>
      </c>
      <c r="B55" s="1" t="s">
        <v>15</v>
      </c>
      <c r="C55" s="1">
        <v>6</v>
      </c>
      <c r="D55" s="1">
        <v>2</v>
      </c>
      <c r="E55" s="14">
        <v>70.66</v>
      </c>
      <c r="F55" s="1" t="s">
        <v>18</v>
      </c>
      <c r="G55" s="1">
        <v>2</v>
      </c>
      <c r="H55" s="1" t="s">
        <v>16</v>
      </c>
      <c r="I55" s="1" t="s">
        <v>16</v>
      </c>
      <c r="J55" s="1" t="s">
        <v>16</v>
      </c>
      <c r="K55" s="1" t="s">
        <v>17</v>
      </c>
      <c r="L55" s="1" t="s">
        <v>17</v>
      </c>
      <c r="M55" s="1" t="s">
        <v>17</v>
      </c>
      <c r="N55" s="27" t="s">
        <v>605</v>
      </c>
      <c r="O55" s="1" t="s">
        <v>16</v>
      </c>
    </row>
    <row r="56" spans="1:15" x14ac:dyDescent="0.2">
      <c r="A56" s="9">
        <v>43994</v>
      </c>
      <c r="B56" s="1" t="s">
        <v>15</v>
      </c>
      <c r="C56" s="1">
        <v>7</v>
      </c>
      <c r="D56" s="1">
        <v>2</v>
      </c>
      <c r="E56" s="14">
        <v>69.97</v>
      </c>
      <c r="F56" s="1" t="s">
        <v>16</v>
      </c>
      <c r="G56" s="1">
        <v>4</v>
      </c>
      <c r="H56" s="1" t="s">
        <v>16</v>
      </c>
      <c r="I56" s="1" t="s">
        <v>16</v>
      </c>
      <c r="J56" s="1" t="s">
        <v>16</v>
      </c>
      <c r="K56" s="1" t="s">
        <v>21</v>
      </c>
      <c r="L56" s="1" t="s">
        <v>17</v>
      </c>
      <c r="M56" s="1" t="s">
        <v>17</v>
      </c>
      <c r="N56" s="27" t="s">
        <v>605</v>
      </c>
      <c r="O56" s="1" t="s">
        <v>16</v>
      </c>
    </row>
    <row r="57" spans="1:15" x14ac:dyDescent="0.2">
      <c r="A57" s="9">
        <v>43994</v>
      </c>
      <c r="B57" s="1" t="s">
        <v>15</v>
      </c>
      <c r="C57" s="1">
        <v>8</v>
      </c>
      <c r="D57" s="1">
        <v>2</v>
      </c>
      <c r="E57" s="14">
        <v>55.4</v>
      </c>
      <c r="F57" s="1" t="s">
        <v>18</v>
      </c>
      <c r="G57" s="1">
        <v>2</v>
      </c>
      <c r="H57" s="1" t="s">
        <v>16</v>
      </c>
      <c r="I57" s="1" t="s">
        <v>16</v>
      </c>
      <c r="J57" s="1" t="s">
        <v>16</v>
      </c>
      <c r="K57" s="1" t="s">
        <v>21</v>
      </c>
      <c r="L57" s="1" t="s">
        <v>17</v>
      </c>
      <c r="M57" s="1" t="s">
        <v>17</v>
      </c>
      <c r="N57" s="27" t="s">
        <v>605</v>
      </c>
      <c r="O57" s="1" t="s">
        <v>16</v>
      </c>
    </row>
    <row r="58" spans="1:15" x14ac:dyDescent="0.2">
      <c r="A58" s="9">
        <v>43994</v>
      </c>
      <c r="B58" s="1" t="s">
        <v>15</v>
      </c>
      <c r="C58" s="1">
        <v>9</v>
      </c>
      <c r="D58" s="1">
        <v>2</v>
      </c>
      <c r="E58" s="14">
        <v>50.26</v>
      </c>
      <c r="F58" s="1" t="s">
        <v>19</v>
      </c>
      <c r="G58" s="1">
        <v>2</v>
      </c>
      <c r="H58" s="1" t="s">
        <v>16</v>
      </c>
      <c r="I58" s="1" t="s">
        <v>16</v>
      </c>
      <c r="J58" s="1" t="s">
        <v>16</v>
      </c>
      <c r="K58" s="1" t="s">
        <v>17</v>
      </c>
      <c r="L58" s="1" t="s">
        <v>17</v>
      </c>
      <c r="M58" s="1" t="s">
        <v>17</v>
      </c>
      <c r="N58" s="27" t="s">
        <v>605</v>
      </c>
      <c r="O58" s="1" t="s">
        <v>16</v>
      </c>
    </row>
    <row r="59" spans="1:15" x14ac:dyDescent="0.2">
      <c r="A59" s="9">
        <v>43994</v>
      </c>
      <c r="B59" s="1" t="s">
        <v>15</v>
      </c>
      <c r="C59" s="1">
        <v>10</v>
      </c>
      <c r="D59" s="1">
        <v>2</v>
      </c>
      <c r="E59" s="14">
        <v>54.5</v>
      </c>
      <c r="F59" s="1" t="s">
        <v>19</v>
      </c>
      <c r="G59" s="1">
        <v>2</v>
      </c>
      <c r="H59" s="1" t="s">
        <v>16</v>
      </c>
      <c r="I59" s="1" t="s">
        <v>16</v>
      </c>
      <c r="J59" s="1" t="s">
        <v>16</v>
      </c>
      <c r="K59" s="1" t="s">
        <v>21</v>
      </c>
      <c r="L59" s="1" t="s">
        <v>17</v>
      </c>
      <c r="M59" s="1" t="s">
        <v>17</v>
      </c>
      <c r="N59" s="27" t="s">
        <v>605</v>
      </c>
      <c r="O59" s="1" t="s">
        <v>16</v>
      </c>
    </row>
    <row r="60" spans="1:15" x14ac:dyDescent="0.2">
      <c r="A60" s="9">
        <v>43994</v>
      </c>
      <c r="B60" s="1" t="s">
        <v>15</v>
      </c>
      <c r="C60" s="1">
        <v>11</v>
      </c>
      <c r="D60" s="1">
        <v>3</v>
      </c>
      <c r="E60" s="14">
        <v>58.47</v>
      </c>
      <c r="F60" s="1" t="s">
        <v>18</v>
      </c>
      <c r="G60" s="1">
        <v>2</v>
      </c>
      <c r="H60" s="1" t="s">
        <v>16</v>
      </c>
      <c r="I60" s="1" t="s">
        <v>16</v>
      </c>
      <c r="J60" s="1" t="s">
        <v>16</v>
      </c>
      <c r="K60" s="1" t="s">
        <v>21</v>
      </c>
      <c r="L60" s="1" t="s">
        <v>17</v>
      </c>
      <c r="M60" s="1" t="s">
        <v>17</v>
      </c>
      <c r="N60" s="27" t="s">
        <v>605</v>
      </c>
      <c r="O60" s="1" t="s">
        <v>16</v>
      </c>
    </row>
    <row r="61" spans="1:15" x14ac:dyDescent="0.2">
      <c r="A61" s="9">
        <v>43994</v>
      </c>
      <c r="B61" s="1" t="s">
        <v>15</v>
      </c>
      <c r="C61" s="1">
        <v>12</v>
      </c>
      <c r="D61" s="1">
        <v>3</v>
      </c>
      <c r="E61" s="14">
        <v>54.88</v>
      </c>
      <c r="F61" s="1" t="s">
        <v>18</v>
      </c>
      <c r="G61" s="1">
        <v>2</v>
      </c>
      <c r="H61" s="1" t="s">
        <v>16</v>
      </c>
      <c r="I61" s="1" t="s">
        <v>16</v>
      </c>
      <c r="J61" s="1" t="s">
        <v>16</v>
      </c>
      <c r="K61" s="1" t="s">
        <v>17</v>
      </c>
      <c r="L61" s="1" t="s">
        <v>17</v>
      </c>
      <c r="M61" s="1" t="s">
        <v>17</v>
      </c>
      <c r="N61" s="27" t="s">
        <v>605</v>
      </c>
      <c r="O61" s="1" t="s">
        <v>16</v>
      </c>
    </row>
    <row r="62" spans="1:15" x14ac:dyDescent="0.2">
      <c r="A62" s="9">
        <v>43994</v>
      </c>
      <c r="B62" s="1" t="s">
        <v>15</v>
      </c>
      <c r="C62" s="1">
        <v>13</v>
      </c>
      <c r="D62" s="1">
        <v>3</v>
      </c>
      <c r="E62" s="14">
        <v>52.2</v>
      </c>
      <c r="F62" s="1" t="s">
        <v>18</v>
      </c>
      <c r="G62" s="1" t="s">
        <v>16</v>
      </c>
      <c r="H62" s="1" t="s">
        <v>16</v>
      </c>
      <c r="I62" s="1" t="s">
        <v>16</v>
      </c>
      <c r="J62" s="1" t="s">
        <v>16</v>
      </c>
      <c r="K62" s="1" t="s">
        <v>20</v>
      </c>
      <c r="L62" s="1" t="s">
        <v>17</v>
      </c>
      <c r="M62" s="1" t="s">
        <v>17</v>
      </c>
      <c r="N62" s="27" t="s">
        <v>605</v>
      </c>
      <c r="O62" s="1" t="s">
        <v>16</v>
      </c>
    </row>
    <row r="63" spans="1:15" x14ac:dyDescent="0.2">
      <c r="A63" s="9">
        <v>43994</v>
      </c>
      <c r="B63" s="1" t="s">
        <v>15</v>
      </c>
      <c r="C63" s="1">
        <v>14</v>
      </c>
      <c r="D63" s="1">
        <v>3</v>
      </c>
      <c r="E63" s="14">
        <v>40.03</v>
      </c>
      <c r="F63" s="1" t="s">
        <v>19</v>
      </c>
      <c r="G63" s="1">
        <v>2</v>
      </c>
      <c r="H63" s="1" t="s">
        <v>16</v>
      </c>
      <c r="I63" s="1" t="s">
        <v>16</v>
      </c>
      <c r="J63" s="1" t="s">
        <v>16</v>
      </c>
      <c r="K63" s="1" t="s">
        <v>17</v>
      </c>
      <c r="L63" s="1" t="s">
        <v>17</v>
      </c>
      <c r="M63" s="1" t="s">
        <v>17</v>
      </c>
      <c r="N63" s="27" t="s">
        <v>605</v>
      </c>
      <c r="O63" s="1" t="s">
        <v>16</v>
      </c>
    </row>
    <row r="64" spans="1:15" x14ac:dyDescent="0.2">
      <c r="A64" s="9">
        <v>43994</v>
      </c>
      <c r="B64" s="1" t="s">
        <v>15</v>
      </c>
      <c r="C64" s="1">
        <v>15</v>
      </c>
      <c r="D64" s="1">
        <v>3</v>
      </c>
      <c r="E64" s="14">
        <v>41.29</v>
      </c>
      <c r="F64" s="1" t="s">
        <v>19</v>
      </c>
      <c r="G64" s="1">
        <v>3</v>
      </c>
      <c r="H64" s="1" t="s">
        <v>16</v>
      </c>
      <c r="I64" s="1" t="s">
        <v>16</v>
      </c>
      <c r="J64" s="1" t="s">
        <v>16</v>
      </c>
      <c r="K64" s="1" t="s">
        <v>17</v>
      </c>
      <c r="L64" s="1" t="s">
        <v>17</v>
      </c>
      <c r="M64" s="1" t="s">
        <v>17</v>
      </c>
      <c r="N64" s="27" t="s">
        <v>605</v>
      </c>
      <c r="O64" s="1" t="s">
        <v>16</v>
      </c>
    </row>
    <row r="65" spans="1:15" x14ac:dyDescent="0.2">
      <c r="A65" s="9">
        <v>44036</v>
      </c>
      <c r="B65" s="1" t="s">
        <v>15</v>
      </c>
      <c r="C65" s="1">
        <v>1</v>
      </c>
      <c r="D65" s="1">
        <v>1</v>
      </c>
      <c r="E65" s="14">
        <v>55.62</v>
      </c>
      <c r="F65" s="1" t="s">
        <v>19</v>
      </c>
      <c r="G65" s="1">
        <v>2</v>
      </c>
      <c r="H65" s="1" t="s">
        <v>16</v>
      </c>
      <c r="I65" s="1" t="s">
        <v>16</v>
      </c>
      <c r="J65" s="1" t="s">
        <v>16</v>
      </c>
      <c r="K65" s="1" t="s">
        <v>17</v>
      </c>
      <c r="L65" s="1" t="s">
        <v>17</v>
      </c>
      <c r="M65" s="1" t="s">
        <v>17</v>
      </c>
      <c r="N65" s="27" t="s">
        <v>605</v>
      </c>
      <c r="O65" s="1" t="s">
        <v>16</v>
      </c>
    </row>
    <row r="66" spans="1:15" x14ac:dyDescent="0.2">
      <c r="A66" s="9">
        <v>44036</v>
      </c>
      <c r="B66" s="1" t="s">
        <v>15</v>
      </c>
      <c r="C66" s="1">
        <v>2</v>
      </c>
      <c r="D66" s="1">
        <v>1</v>
      </c>
      <c r="E66" s="14">
        <v>42.09</v>
      </c>
      <c r="F66" s="1" t="s">
        <v>19</v>
      </c>
      <c r="G66" s="1">
        <v>2</v>
      </c>
      <c r="H66" s="1" t="s">
        <v>16</v>
      </c>
      <c r="I66" s="1" t="s">
        <v>16</v>
      </c>
      <c r="J66" s="1" t="s">
        <v>16</v>
      </c>
      <c r="K66" s="1" t="s">
        <v>17</v>
      </c>
      <c r="L66" s="1" t="s">
        <v>17</v>
      </c>
      <c r="M66" s="1" t="s">
        <v>17</v>
      </c>
      <c r="N66" s="27" t="s">
        <v>605</v>
      </c>
      <c r="O66" s="1" t="s">
        <v>16</v>
      </c>
    </row>
    <row r="67" spans="1:15" x14ac:dyDescent="0.2">
      <c r="A67" s="9">
        <v>44036</v>
      </c>
      <c r="B67" s="1" t="s">
        <v>15</v>
      </c>
      <c r="C67" s="1">
        <v>3</v>
      </c>
      <c r="D67" s="1">
        <v>1</v>
      </c>
      <c r="E67" s="14">
        <v>52.68</v>
      </c>
      <c r="F67" s="1" t="s">
        <v>18</v>
      </c>
      <c r="G67" s="1">
        <v>2</v>
      </c>
      <c r="H67" s="1" t="s">
        <v>16</v>
      </c>
      <c r="I67" s="1" t="s">
        <v>16</v>
      </c>
      <c r="J67" s="1" t="s">
        <v>16</v>
      </c>
      <c r="K67" s="1" t="s">
        <v>17</v>
      </c>
      <c r="L67" s="1" t="s">
        <v>17</v>
      </c>
      <c r="M67" s="1" t="s">
        <v>17</v>
      </c>
      <c r="N67" s="27" t="s">
        <v>605</v>
      </c>
      <c r="O67" s="1" t="s">
        <v>16</v>
      </c>
    </row>
    <row r="68" spans="1:15" x14ac:dyDescent="0.2">
      <c r="A68" s="9">
        <v>44036</v>
      </c>
      <c r="B68" s="1" t="s">
        <v>15</v>
      </c>
      <c r="C68" s="1">
        <v>4</v>
      </c>
      <c r="D68" s="1">
        <v>1</v>
      </c>
      <c r="E68" s="14">
        <v>58.27</v>
      </c>
      <c r="F68" s="1" t="s">
        <v>19</v>
      </c>
      <c r="G68" s="1">
        <v>2</v>
      </c>
      <c r="H68" s="1" t="s">
        <v>16</v>
      </c>
      <c r="I68" s="1" t="s">
        <v>16</v>
      </c>
      <c r="J68" s="1" t="s">
        <v>16</v>
      </c>
      <c r="K68" s="1" t="s">
        <v>17</v>
      </c>
      <c r="L68" s="1" t="s">
        <v>17</v>
      </c>
      <c r="M68" s="1" t="s">
        <v>17</v>
      </c>
      <c r="N68" s="27" t="s">
        <v>605</v>
      </c>
      <c r="O68" s="1" t="s">
        <v>16</v>
      </c>
    </row>
    <row r="69" spans="1:15" x14ac:dyDescent="0.2">
      <c r="A69" s="9">
        <v>44036</v>
      </c>
      <c r="B69" s="1" t="s">
        <v>15</v>
      </c>
      <c r="C69" s="1">
        <v>5</v>
      </c>
      <c r="D69" s="1">
        <v>1</v>
      </c>
      <c r="E69" s="14">
        <v>59.39</v>
      </c>
      <c r="F69" s="1" t="s">
        <v>18</v>
      </c>
      <c r="G69" s="1">
        <v>2</v>
      </c>
      <c r="H69" s="1" t="s">
        <v>16</v>
      </c>
      <c r="I69" s="1" t="s">
        <v>16</v>
      </c>
      <c r="J69" s="1" t="s">
        <v>16</v>
      </c>
      <c r="K69" s="1" t="s">
        <v>17</v>
      </c>
      <c r="L69" s="1" t="s">
        <v>17</v>
      </c>
      <c r="M69" s="1" t="s">
        <v>17</v>
      </c>
      <c r="N69" s="27" t="s">
        <v>605</v>
      </c>
      <c r="O69" s="1" t="s">
        <v>16</v>
      </c>
    </row>
    <row r="70" spans="1:15" x14ac:dyDescent="0.2">
      <c r="A70" s="9">
        <v>44036</v>
      </c>
      <c r="B70" s="1" t="s">
        <v>15</v>
      </c>
      <c r="C70" s="1">
        <v>6</v>
      </c>
      <c r="D70" s="1">
        <v>2</v>
      </c>
      <c r="E70" s="14">
        <v>51.04</v>
      </c>
      <c r="F70" s="1" t="s">
        <v>18</v>
      </c>
      <c r="G70" s="1">
        <v>2</v>
      </c>
      <c r="H70" s="1" t="s">
        <v>16</v>
      </c>
      <c r="I70" s="1" t="s">
        <v>16</v>
      </c>
      <c r="J70" s="1" t="s">
        <v>16</v>
      </c>
      <c r="K70" s="1" t="s">
        <v>17</v>
      </c>
      <c r="L70" s="1" t="s">
        <v>17</v>
      </c>
      <c r="M70" s="1" t="s">
        <v>17</v>
      </c>
      <c r="N70" s="27" t="s">
        <v>605</v>
      </c>
      <c r="O70" s="1" t="s">
        <v>16</v>
      </c>
    </row>
    <row r="71" spans="1:15" x14ac:dyDescent="0.2">
      <c r="A71" s="9">
        <v>44036</v>
      </c>
      <c r="B71" s="1" t="s">
        <v>15</v>
      </c>
      <c r="C71" s="1">
        <v>7</v>
      </c>
      <c r="D71" s="1">
        <v>2</v>
      </c>
      <c r="E71" s="14">
        <v>48.8</v>
      </c>
      <c r="F71" s="1" t="s">
        <v>18</v>
      </c>
      <c r="G71" s="1">
        <v>2</v>
      </c>
      <c r="H71" s="1" t="s">
        <v>16</v>
      </c>
      <c r="I71" s="1" t="s">
        <v>16</v>
      </c>
      <c r="J71" s="1" t="s">
        <v>16</v>
      </c>
      <c r="K71" s="1" t="s">
        <v>17</v>
      </c>
      <c r="L71" s="1" t="s">
        <v>17</v>
      </c>
      <c r="M71" s="1" t="s">
        <v>17</v>
      </c>
      <c r="N71" s="27" t="s">
        <v>605</v>
      </c>
      <c r="O71" s="1" t="s">
        <v>16</v>
      </c>
    </row>
    <row r="72" spans="1:15" x14ac:dyDescent="0.2">
      <c r="A72" s="9">
        <v>44036</v>
      </c>
      <c r="B72" s="1" t="s">
        <v>15</v>
      </c>
      <c r="C72" s="1">
        <v>8</v>
      </c>
      <c r="D72" s="1">
        <v>2</v>
      </c>
      <c r="E72" s="14">
        <v>51.23</v>
      </c>
      <c r="F72" s="1" t="s">
        <v>18</v>
      </c>
      <c r="G72" s="1">
        <v>2</v>
      </c>
      <c r="H72" s="1" t="s">
        <v>16</v>
      </c>
      <c r="I72" s="1" t="s">
        <v>16</v>
      </c>
      <c r="J72" s="1" t="s">
        <v>16</v>
      </c>
      <c r="K72" s="1" t="s">
        <v>17</v>
      </c>
      <c r="L72" s="1" t="s">
        <v>17</v>
      </c>
      <c r="M72" s="1" t="s">
        <v>17</v>
      </c>
      <c r="N72" s="27" t="s">
        <v>605</v>
      </c>
      <c r="O72" s="1" t="s">
        <v>16</v>
      </c>
    </row>
    <row r="73" spans="1:15" x14ac:dyDescent="0.2">
      <c r="A73" s="9">
        <v>44036</v>
      </c>
      <c r="B73" s="1" t="s">
        <v>15</v>
      </c>
      <c r="C73" s="1">
        <v>9</v>
      </c>
      <c r="D73" s="1">
        <v>2</v>
      </c>
      <c r="E73" s="14">
        <v>58.33</v>
      </c>
      <c r="F73" s="1" t="s">
        <v>19</v>
      </c>
      <c r="G73" s="1">
        <v>2</v>
      </c>
      <c r="H73" s="1" t="s">
        <v>16</v>
      </c>
      <c r="I73" s="1" t="s">
        <v>16</v>
      </c>
      <c r="J73" s="1" t="s">
        <v>16</v>
      </c>
      <c r="K73" s="1" t="s">
        <v>17</v>
      </c>
      <c r="L73" s="1" t="s">
        <v>17</v>
      </c>
      <c r="M73" s="1" t="s">
        <v>17</v>
      </c>
      <c r="N73" s="27" t="s">
        <v>605</v>
      </c>
      <c r="O73" s="1" t="s">
        <v>16</v>
      </c>
    </row>
    <row r="74" spans="1:15" x14ac:dyDescent="0.2">
      <c r="A74" s="9">
        <v>44036</v>
      </c>
      <c r="B74" s="1" t="s">
        <v>15</v>
      </c>
      <c r="C74" s="1">
        <v>10</v>
      </c>
      <c r="D74" s="1">
        <v>2</v>
      </c>
      <c r="E74" s="14">
        <v>68.27</v>
      </c>
      <c r="F74" s="1" t="s">
        <v>18</v>
      </c>
      <c r="G74" s="1">
        <v>2</v>
      </c>
      <c r="H74" s="1" t="s">
        <v>16</v>
      </c>
      <c r="I74" s="1" t="s">
        <v>16</v>
      </c>
      <c r="J74" s="1" t="s">
        <v>16</v>
      </c>
      <c r="K74" s="1" t="s">
        <v>17</v>
      </c>
      <c r="L74" s="1" t="s">
        <v>17</v>
      </c>
      <c r="M74" s="1" t="s">
        <v>17</v>
      </c>
      <c r="N74" s="27" t="s">
        <v>605</v>
      </c>
      <c r="O74" s="1" t="s">
        <v>16</v>
      </c>
    </row>
    <row r="75" spans="1:15" x14ac:dyDescent="0.2">
      <c r="A75" s="9">
        <v>44036</v>
      </c>
      <c r="B75" s="1" t="s">
        <v>15</v>
      </c>
      <c r="C75" s="1">
        <v>11</v>
      </c>
      <c r="D75" s="1">
        <v>3</v>
      </c>
      <c r="E75" s="14">
        <v>48.31</v>
      </c>
      <c r="F75" s="1" t="s">
        <v>18</v>
      </c>
      <c r="G75" s="1">
        <v>2</v>
      </c>
      <c r="H75" s="1" t="s">
        <v>16</v>
      </c>
      <c r="I75" s="1" t="s">
        <v>16</v>
      </c>
      <c r="J75" s="1" t="s">
        <v>16</v>
      </c>
      <c r="K75" s="1" t="s">
        <v>17</v>
      </c>
      <c r="L75" s="1" t="s">
        <v>17</v>
      </c>
      <c r="M75" s="1" t="s">
        <v>17</v>
      </c>
      <c r="N75" s="27" t="s">
        <v>605</v>
      </c>
      <c r="O75" s="1" t="s">
        <v>16</v>
      </c>
    </row>
    <row r="76" spans="1:15" x14ac:dyDescent="0.2">
      <c r="A76" s="9">
        <v>44036</v>
      </c>
      <c r="B76" s="1" t="s">
        <v>15</v>
      </c>
      <c r="C76" s="1">
        <v>12</v>
      </c>
      <c r="D76" s="1">
        <v>3</v>
      </c>
      <c r="E76" s="14">
        <v>50.64</v>
      </c>
      <c r="F76" s="1" t="s">
        <v>18</v>
      </c>
      <c r="G76" s="1">
        <v>2</v>
      </c>
      <c r="H76" s="1" t="s">
        <v>16</v>
      </c>
      <c r="I76" s="1" t="s">
        <v>16</v>
      </c>
      <c r="J76" s="1" t="s">
        <v>16</v>
      </c>
      <c r="K76" s="1" t="s">
        <v>17</v>
      </c>
      <c r="L76" s="1" t="s">
        <v>17</v>
      </c>
      <c r="M76" s="1" t="s">
        <v>17</v>
      </c>
      <c r="N76" s="27" t="s">
        <v>605</v>
      </c>
      <c r="O76" s="1" t="s">
        <v>16</v>
      </c>
    </row>
    <row r="77" spans="1:15" x14ac:dyDescent="0.2">
      <c r="A77" s="9">
        <v>44036</v>
      </c>
      <c r="B77" s="1" t="s">
        <v>15</v>
      </c>
      <c r="C77" s="1">
        <v>13</v>
      </c>
      <c r="D77" s="1">
        <v>3</v>
      </c>
      <c r="E77" s="14">
        <v>46.74</v>
      </c>
      <c r="F77" s="1" t="s">
        <v>18</v>
      </c>
      <c r="G77" s="1">
        <v>2</v>
      </c>
      <c r="H77" s="1" t="s">
        <v>16</v>
      </c>
      <c r="I77" s="1" t="s">
        <v>16</v>
      </c>
      <c r="J77" s="1" t="s">
        <v>16</v>
      </c>
      <c r="K77" s="1" t="s">
        <v>17</v>
      </c>
      <c r="L77" s="1" t="s">
        <v>17</v>
      </c>
      <c r="M77" s="1" t="s">
        <v>17</v>
      </c>
      <c r="N77" s="27" t="s">
        <v>605</v>
      </c>
      <c r="O77" s="1" t="s">
        <v>16</v>
      </c>
    </row>
    <row r="78" spans="1:15" x14ac:dyDescent="0.2">
      <c r="A78" s="9">
        <v>44036</v>
      </c>
      <c r="B78" s="1" t="s">
        <v>15</v>
      </c>
      <c r="C78" s="1">
        <v>14</v>
      </c>
      <c r="D78" s="1">
        <v>3</v>
      </c>
      <c r="E78" s="14">
        <v>35.36</v>
      </c>
      <c r="F78" s="1" t="s">
        <v>18</v>
      </c>
      <c r="G78" s="1">
        <v>2</v>
      </c>
      <c r="H78" s="1" t="s">
        <v>16</v>
      </c>
      <c r="I78" s="1" t="s">
        <v>16</v>
      </c>
      <c r="J78" s="1" t="s">
        <v>16</v>
      </c>
      <c r="K78" s="1" t="s">
        <v>17</v>
      </c>
      <c r="L78" s="1" t="s">
        <v>17</v>
      </c>
      <c r="M78" s="1" t="s">
        <v>17</v>
      </c>
      <c r="N78" s="27" t="s">
        <v>605</v>
      </c>
      <c r="O78" s="1" t="s">
        <v>16</v>
      </c>
    </row>
    <row r="79" spans="1:15" x14ac:dyDescent="0.2">
      <c r="A79" s="9">
        <v>44036</v>
      </c>
      <c r="B79" s="1" t="s">
        <v>15</v>
      </c>
      <c r="C79" s="1">
        <v>15</v>
      </c>
      <c r="D79" s="1">
        <v>3</v>
      </c>
      <c r="E79" s="14">
        <v>40.57</v>
      </c>
      <c r="F79" s="1" t="s">
        <v>19</v>
      </c>
      <c r="G79" s="1">
        <v>2</v>
      </c>
      <c r="H79" s="1" t="s">
        <v>16</v>
      </c>
      <c r="I79" s="1" t="s">
        <v>16</v>
      </c>
      <c r="J79" s="1" t="s">
        <v>16</v>
      </c>
      <c r="K79" s="1" t="s">
        <v>17</v>
      </c>
      <c r="L79" s="1" t="s">
        <v>17</v>
      </c>
      <c r="M79" s="1" t="s">
        <v>17</v>
      </c>
      <c r="N79" s="27" t="s">
        <v>605</v>
      </c>
      <c r="O79" s="1" t="s">
        <v>16</v>
      </c>
    </row>
    <row r="80" spans="1:15" x14ac:dyDescent="0.2">
      <c r="A80" s="9">
        <v>44064</v>
      </c>
      <c r="B80" s="1" t="s">
        <v>15</v>
      </c>
      <c r="C80" s="1">
        <v>1</v>
      </c>
      <c r="D80" s="1">
        <v>1</v>
      </c>
      <c r="E80" s="14">
        <v>50.89</v>
      </c>
      <c r="F80" s="1" t="s">
        <v>18</v>
      </c>
      <c r="G80" s="1">
        <v>2</v>
      </c>
      <c r="H80" s="1" t="s">
        <v>16</v>
      </c>
      <c r="I80" s="1" t="s">
        <v>16</v>
      </c>
      <c r="J80" s="1" t="s">
        <v>16</v>
      </c>
      <c r="K80" s="1" t="s">
        <v>17</v>
      </c>
      <c r="L80" s="1" t="s">
        <v>17</v>
      </c>
      <c r="M80" s="1" t="s">
        <v>17</v>
      </c>
      <c r="N80" s="27" t="s">
        <v>605</v>
      </c>
      <c r="O80" s="1" t="s">
        <v>16</v>
      </c>
    </row>
    <row r="81" spans="1:15" x14ac:dyDescent="0.2">
      <c r="A81" s="9">
        <v>44064</v>
      </c>
      <c r="B81" s="1" t="s">
        <v>15</v>
      </c>
      <c r="C81" s="1">
        <v>2</v>
      </c>
      <c r="D81" s="1">
        <v>1</v>
      </c>
      <c r="E81" s="14">
        <v>42.74</v>
      </c>
      <c r="F81" s="1" t="s">
        <v>18</v>
      </c>
      <c r="G81" s="1">
        <v>2</v>
      </c>
      <c r="H81" s="1" t="s">
        <v>16</v>
      </c>
      <c r="I81" s="1" t="s">
        <v>16</v>
      </c>
      <c r="J81" s="1" t="s">
        <v>16</v>
      </c>
      <c r="K81" s="1" t="s">
        <v>17</v>
      </c>
      <c r="L81" s="1" t="s">
        <v>17</v>
      </c>
      <c r="M81" s="1" t="s">
        <v>17</v>
      </c>
      <c r="N81" s="27" t="s">
        <v>605</v>
      </c>
      <c r="O81" s="1" t="s">
        <v>16</v>
      </c>
    </row>
    <row r="82" spans="1:15" x14ac:dyDescent="0.2">
      <c r="A82" s="9">
        <v>44064</v>
      </c>
      <c r="B82" s="1" t="s">
        <v>15</v>
      </c>
      <c r="C82" s="1">
        <v>3</v>
      </c>
      <c r="D82" s="1">
        <v>1</v>
      </c>
      <c r="E82" s="14">
        <v>49.12</v>
      </c>
      <c r="F82" s="1" t="s">
        <v>18</v>
      </c>
      <c r="G82" s="1">
        <v>2</v>
      </c>
      <c r="H82" s="1" t="s">
        <v>16</v>
      </c>
      <c r="I82" s="1" t="s">
        <v>16</v>
      </c>
      <c r="J82" s="1" t="s">
        <v>16</v>
      </c>
      <c r="K82" s="1" t="s">
        <v>17</v>
      </c>
      <c r="L82" s="1" t="s">
        <v>17</v>
      </c>
      <c r="M82" s="1" t="s">
        <v>17</v>
      </c>
      <c r="N82" s="27" t="s">
        <v>605</v>
      </c>
      <c r="O82" s="1" t="s">
        <v>16</v>
      </c>
    </row>
    <row r="83" spans="1:15" x14ac:dyDescent="0.2">
      <c r="A83" s="9">
        <v>44064</v>
      </c>
      <c r="B83" s="1" t="s">
        <v>15</v>
      </c>
      <c r="C83" s="1">
        <v>4</v>
      </c>
      <c r="D83" s="1">
        <v>1</v>
      </c>
      <c r="E83" s="14">
        <v>50.57</v>
      </c>
      <c r="F83" s="1" t="s">
        <v>18</v>
      </c>
      <c r="G83" s="1">
        <v>2</v>
      </c>
      <c r="H83" s="1" t="s">
        <v>16</v>
      </c>
      <c r="I83" s="1" t="s">
        <v>16</v>
      </c>
      <c r="J83" s="1" t="s">
        <v>16</v>
      </c>
      <c r="K83" s="1" t="s">
        <v>17</v>
      </c>
      <c r="L83" s="1" t="s">
        <v>17</v>
      </c>
      <c r="M83" s="1" t="s">
        <v>17</v>
      </c>
      <c r="N83" s="27" t="s">
        <v>605</v>
      </c>
      <c r="O83" s="1" t="s">
        <v>16</v>
      </c>
    </row>
    <row r="84" spans="1:15" x14ac:dyDescent="0.2">
      <c r="A84" s="9">
        <v>44064</v>
      </c>
      <c r="B84" s="1" t="s">
        <v>15</v>
      </c>
      <c r="C84" s="1">
        <v>5</v>
      </c>
      <c r="D84" s="1">
        <v>1</v>
      </c>
      <c r="E84" s="14">
        <v>41.1</v>
      </c>
      <c r="F84" s="1" t="s">
        <v>18</v>
      </c>
      <c r="G84" s="1">
        <v>2</v>
      </c>
      <c r="H84" s="1" t="s">
        <v>16</v>
      </c>
      <c r="I84" s="1" t="s">
        <v>16</v>
      </c>
      <c r="J84" s="1" t="s">
        <v>16</v>
      </c>
      <c r="K84" s="1" t="s">
        <v>17</v>
      </c>
      <c r="L84" s="1" t="s">
        <v>17</v>
      </c>
      <c r="M84" s="1" t="s">
        <v>17</v>
      </c>
      <c r="N84" s="27" t="s">
        <v>605</v>
      </c>
      <c r="O84" s="1" t="s">
        <v>16</v>
      </c>
    </row>
    <row r="85" spans="1:15" x14ac:dyDescent="0.2">
      <c r="A85" s="9">
        <v>44064</v>
      </c>
      <c r="B85" s="1" t="s">
        <v>15</v>
      </c>
      <c r="C85" s="1">
        <v>6</v>
      </c>
      <c r="D85" s="1">
        <v>2</v>
      </c>
      <c r="E85" s="14">
        <v>59.8</v>
      </c>
      <c r="F85" s="1" t="s">
        <v>18</v>
      </c>
      <c r="G85" s="1">
        <v>2</v>
      </c>
      <c r="H85" s="1" t="s">
        <v>16</v>
      </c>
      <c r="I85" s="1" t="s">
        <v>16</v>
      </c>
      <c r="J85" s="1" t="s">
        <v>16</v>
      </c>
      <c r="K85" s="1" t="s">
        <v>17</v>
      </c>
      <c r="L85" s="1" t="s">
        <v>17</v>
      </c>
      <c r="M85" s="1" t="s">
        <v>17</v>
      </c>
      <c r="N85" s="27" t="s">
        <v>605</v>
      </c>
      <c r="O85" s="1" t="s">
        <v>16</v>
      </c>
    </row>
    <row r="86" spans="1:15" x14ac:dyDescent="0.2">
      <c r="A86" s="9">
        <v>44064</v>
      </c>
      <c r="B86" s="1" t="s">
        <v>15</v>
      </c>
      <c r="C86" s="1">
        <v>7</v>
      </c>
      <c r="D86" s="1">
        <v>2</v>
      </c>
      <c r="E86" s="14">
        <v>55.53</v>
      </c>
      <c r="F86" s="1" t="s">
        <v>18</v>
      </c>
      <c r="G86" s="1">
        <v>2</v>
      </c>
      <c r="H86" s="1" t="s">
        <v>16</v>
      </c>
      <c r="I86" s="1" t="s">
        <v>16</v>
      </c>
      <c r="J86" s="1" t="s">
        <v>16</v>
      </c>
      <c r="K86" s="1" t="s">
        <v>17</v>
      </c>
      <c r="L86" s="1" t="s">
        <v>17</v>
      </c>
      <c r="M86" s="1" t="s">
        <v>17</v>
      </c>
      <c r="N86" s="27" t="s">
        <v>605</v>
      </c>
      <c r="O86" s="1" t="s">
        <v>16</v>
      </c>
    </row>
    <row r="87" spans="1:15" x14ac:dyDescent="0.2">
      <c r="A87" s="9">
        <v>44064</v>
      </c>
      <c r="B87" s="1" t="s">
        <v>15</v>
      </c>
      <c r="C87" s="1">
        <v>8</v>
      </c>
      <c r="D87" s="1">
        <v>2</v>
      </c>
      <c r="E87" s="14">
        <v>44.1</v>
      </c>
      <c r="F87" s="1" t="s">
        <v>18</v>
      </c>
      <c r="G87" s="1">
        <v>2</v>
      </c>
      <c r="H87" s="1" t="s">
        <v>16</v>
      </c>
      <c r="I87" s="1" t="s">
        <v>16</v>
      </c>
      <c r="J87" s="1" t="s">
        <v>16</v>
      </c>
      <c r="K87" s="1" t="s">
        <v>17</v>
      </c>
      <c r="L87" s="1" t="s">
        <v>17</v>
      </c>
      <c r="M87" s="1" t="s">
        <v>17</v>
      </c>
      <c r="N87" s="27" t="s">
        <v>605</v>
      </c>
      <c r="O87" s="1" t="s">
        <v>16</v>
      </c>
    </row>
    <row r="88" spans="1:15" x14ac:dyDescent="0.2">
      <c r="A88" s="9">
        <v>44064</v>
      </c>
      <c r="B88" s="1" t="s">
        <v>15</v>
      </c>
      <c r="C88" s="1">
        <v>9</v>
      </c>
      <c r="D88" s="1">
        <v>2</v>
      </c>
      <c r="E88" s="14">
        <v>43.19</v>
      </c>
      <c r="F88" s="1" t="s">
        <v>18</v>
      </c>
      <c r="G88" s="1">
        <v>2</v>
      </c>
      <c r="H88" s="1" t="s">
        <v>16</v>
      </c>
      <c r="I88" s="1" t="s">
        <v>16</v>
      </c>
      <c r="J88" s="1" t="s">
        <v>16</v>
      </c>
      <c r="K88" s="1" t="s">
        <v>17</v>
      </c>
      <c r="L88" s="1" t="s">
        <v>17</v>
      </c>
      <c r="M88" s="1" t="s">
        <v>17</v>
      </c>
      <c r="N88" s="27" t="s">
        <v>605</v>
      </c>
      <c r="O88" s="1" t="s">
        <v>16</v>
      </c>
    </row>
    <row r="89" spans="1:15" x14ac:dyDescent="0.2">
      <c r="A89" s="9">
        <v>44064</v>
      </c>
      <c r="B89" s="1" t="s">
        <v>15</v>
      </c>
      <c r="C89" s="1">
        <v>10</v>
      </c>
      <c r="D89" s="1">
        <v>2</v>
      </c>
      <c r="E89" s="14">
        <v>49.89</v>
      </c>
      <c r="F89" s="1" t="s">
        <v>18</v>
      </c>
      <c r="G89" s="1">
        <v>3</v>
      </c>
      <c r="H89" s="1" t="s">
        <v>16</v>
      </c>
      <c r="I89" s="1" t="s">
        <v>16</v>
      </c>
      <c r="J89" s="1" t="s">
        <v>16</v>
      </c>
      <c r="K89" s="1" t="s">
        <v>17</v>
      </c>
      <c r="L89" s="1" t="s">
        <v>17</v>
      </c>
      <c r="M89" s="1" t="s">
        <v>17</v>
      </c>
      <c r="N89" s="27" t="s">
        <v>605</v>
      </c>
      <c r="O89" s="1" t="s">
        <v>16</v>
      </c>
    </row>
    <row r="90" spans="1:15" x14ac:dyDescent="0.2">
      <c r="A90" s="9">
        <v>44064</v>
      </c>
      <c r="B90" s="1" t="s">
        <v>15</v>
      </c>
      <c r="C90" s="1">
        <v>11</v>
      </c>
      <c r="D90" s="1">
        <v>3</v>
      </c>
      <c r="E90" s="14">
        <v>39.9</v>
      </c>
      <c r="F90" s="1" t="s">
        <v>19</v>
      </c>
      <c r="G90" s="1">
        <v>2</v>
      </c>
      <c r="H90" s="1" t="s">
        <v>16</v>
      </c>
      <c r="I90" s="1" t="s">
        <v>16</v>
      </c>
      <c r="J90" s="1" t="s">
        <v>16</v>
      </c>
      <c r="K90" s="1" t="s">
        <v>17</v>
      </c>
      <c r="L90" s="1" t="s">
        <v>17</v>
      </c>
      <c r="M90" s="1" t="s">
        <v>17</v>
      </c>
      <c r="N90" s="27" t="s">
        <v>605</v>
      </c>
      <c r="O90" s="1" t="s">
        <v>16</v>
      </c>
    </row>
    <row r="91" spans="1:15" x14ac:dyDescent="0.2">
      <c r="A91" s="9">
        <v>44064</v>
      </c>
      <c r="B91" s="1" t="s">
        <v>15</v>
      </c>
      <c r="C91" s="1">
        <v>12</v>
      </c>
      <c r="D91" s="1">
        <v>3</v>
      </c>
      <c r="E91" s="14">
        <v>49.25</v>
      </c>
      <c r="F91" s="1" t="s">
        <v>18</v>
      </c>
      <c r="G91" s="1">
        <v>2</v>
      </c>
      <c r="H91" s="1" t="s">
        <v>16</v>
      </c>
      <c r="I91" s="1" t="s">
        <v>16</v>
      </c>
      <c r="J91" s="1" t="s">
        <v>16</v>
      </c>
      <c r="K91" s="1" t="s">
        <v>17</v>
      </c>
      <c r="L91" s="1" t="s">
        <v>17</v>
      </c>
      <c r="M91" s="1" t="s">
        <v>17</v>
      </c>
      <c r="N91" s="27" t="s">
        <v>605</v>
      </c>
      <c r="O91" s="1" t="s">
        <v>16</v>
      </c>
    </row>
    <row r="92" spans="1:15" x14ac:dyDescent="0.2">
      <c r="A92" s="9">
        <v>44064</v>
      </c>
      <c r="B92" s="1" t="s">
        <v>15</v>
      </c>
      <c r="C92" s="1">
        <v>13</v>
      </c>
      <c r="D92" s="1">
        <v>3</v>
      </c>
      <c r="E92" s="14">
        <v>49.74</v>
      </c>
      <c r="F92" s="1" t="s">
        <v>19</v>
      </c>
      <c r="G92" s="1">
        <v>2</v>
      </c>
      <c r="H92" s="1" t="s">
        <v>16</v>
      </c>
      <c r="I92" s="1" t="s">
        <v>16</v>
      </c>
      <c r="J92" s="1" t="s">
        <v>16</v>
      </c>
      <c r="K92" s="1" t="s">
        <v>17</v>
      </c>
      <c r="L92" s="1" t="s">
        <v>17</v>
      </c>
      <c r="M92" s="1" t="s">
        <v>17</v>
      </c>
      <c r="N92" s="27" t="s">
        <v>605</v>
      </c>
      <c r="O92" s="1" t="s">
        <v>16</v>
      </c>
    </row>
    <row r="93" spans="1:15" x14ac:dyDescent="0.2">
      <c r="A93" s="9">
        <v>44064</v>
      </c>
      <c r="B93" s="1" t="s">
        <v>15</v>
      </c>
      <c r="C93" s="1">
        <v>14</v>
      </c>
      <c r="D93" s="1">
        <v>3</v>
      </c>
      <c r="E93" s="14">
        <v>48.12</v>
      </c>
      <c r="F93" s="1" t="s">
        <v>18</v>
      </c>
      <c r="G93" s="1">
        <v>2</v>
      </c>
      <c r="H93" s="1" t="s">
        <v>16</v>
      </c>
      <c r="I93" s="1" t="s">
        <v>16</v>
      </c>
      <c r="J93" s="1" t="s">
        <v>16</v>
      </c>
      <c r="K93" s="1" t="s">
        <v>17</v>
      </c>
      <c r="L93" s="1" t="s">
        <v>17</v>
      </c>
      <c r="M93" s="1" t="s">
        <v>17</v>
      </c>
      <c r="N93" s="27" t="s">
        <v>605</v>
      </c>
      <c r="O93" s="1" t="s">
        <v>16</v>
      </c>
    </row>
    <row r="94" spans="1:15" x14ac:dyDescent="0.2">
      <c r="A94" s="9">
        <v>44064</v>
      </c>
      <c r="B94" s="1" t="s">
        <v>15</v>
      </c>
      <c r="C94" s="1">
        <v>15</v>
      </c>
      <c r="D94" s="1">
        <v>3</v>
      </c>
      <c r="E94" s="14">
        <v>52.59</v>
      </c>
      <c r="F94" s="1" t="s">
        <v>19</v>
      </c>
      <c r="G94" s="1">
        <v>2</v>
      </c>
      <c r="H94" s="1" t="s">
        <v>16</v>
      </c>
      <c r="I94" s="1" t="s">
        <v>16</v>
      </c>
      <c r="J94" s="1" t="s">
        <v>16</v>
      </c>
      <c r="K94" s="1" t="s">
        <v>17</v>
      </c>
      <c r="L94" s="1" t="s">
        <v>17</v>
      </c>
      <c r="M94" s="1" t="s">
        <v>17</v>
      </c>
      <c r="N94" s="27" t="s">
        <v>605</v>
      </c>
      <c r="O94" s="1" t="s">
        <v>16</v>
      </c>
    </row>
    <row r="95" spans="1:15" x14ac:dyDescent="0.2">
      <c r="A95" s="9">
        <v>44091</v>
      </c>
      <c r="B95" s="1" t="s">
        <v>15</v>
      </c>
      <c r="C95" s="1">
        <v>1</v>
      </c>
      <c r="D95" s="1">
        <v>1</v>
      </c>
      <c r="E95" s="14">
        <v>51.66</v>
      </c>
      <c r="F95" s="1" t="s">
        <v>18</v>
      </c>
      <c r="G95" s="1">
        <v>2</v>
      </c>
      <c r="H95" s="1" t="s">
        <v>16</v>
      </c>
      <c r="I95" s="1" t="s">
        <v>16</v>
      </c>
      <c r="J95" s="1" t="s">
        <v>16</v>
      </c>
      <c r="K95" s="1" t="s">
        <v>17</v>
      </c>
      <c r="L95" s="1" t="s">
        <v>17</v>
      </c>
      <c r="M95" s="1" t="s">
        <v>17</v>
      </c>
      <c r="N95" s="27" t="s">
        <v>605</v>
      </c>
      <c r="O95" s="1" t="s">
        <v>16</v>
      </c>
    </row>
    <row r="96" spans="1:15" x14ac:dyDescent="0.2">
      <c r="A96" s="9">
        <v>44091</v>
      </c>
      <c r="B96" s="1" t="s">
        <v>15</v>
      </c>
      <c r="C96" s="1">
        <v>2</v>
      </c>
      <c r="D96" s="1">
        <v>1</v>
      </c>
      <c r="E96" s="14">
        <v>44.82</v>
      </c>
      <c r="F96" s="1" t="s">
        <v>19</v>
      </c>
      <c r="G96" s="1">
        <v>2</v>
      </c>
      <c r="H96" s="1" t="s">
        <v>16</v>
      </c>
      <c r="I96" s="1" t="s">
        <v>16</v>
      </c>
      <c r="J96" s="1" t="s">
        <v>16</v>
      </c>
      <c r="K96" s="1" t="s">
        <v>17</v>
      </c>
      <c r="L96" s="1" t="s">
        <v>17</v>
      </c>
      <c r="M96" s="1" t="s">
        <v>17</v>
      </c>
      <c r="N96" s="27" t="s">
        <v>605</v>
      </c>
      <c r="O96" s="1" t="s">
        <v>16</v>
      </c>
    </row>
    <row r="97" spans="1:15" x14ac:dyDescent="0.2">
      <c r="A97" s="9">
        <v>44091</v>
      </c>
      <c r="B97" s="1" t="s">
        <v>15</v>
      </c>
      <c r="C97" s="1">
        <v>3</v>
      </c>
      <c r="D97" s="1">
        <v>1</v>
      </c>
      <c r="E97" s="14">
        <v>47.28</v>
      </c>
      <c r="F97" s="1" t="s">
        <v>18</v>
      </c>
      <c r="G97" s="1">
        <v>2</v>
      </c>
      <c r="H97" s="1" t="s">
        <v>16</v>
      </c>
      <c r="I97" s="1" t="s">
        <v>16</v>
      </c>
      <c r="J97" s="1" t="s">
        <v>16</v>
      </c>
      <c r="K97" s="1" t="s">
        <v>17</v>
      </c>
      <c r="L97" s="1" t="s">
        <v>17</v>
      </c>
      <c r="M97" s="1" t="s">
        <v>17</v>
      </c>
      <c r="N97" s="27" t="s">
        <v>605</v>
      </c>
      <c r="O97" s="1" t="s">
        <v>16</v>
      </c>
    </row>
    <row r="98" spans="1:15" x14ac:dyDescent="0.2">
      <c r="A98" s="9">
        <v>44091</v>
      </c>
      <c r="B98" s="1" t="s">
        <v>15</v>
      </c>
      <c r="C98" s="1">
        <v>4</v>
      </c>
      <c r="D98" s="1">
        <v>1</v>
      </c>
      <c r="E98" s="14">
        <v>44.69</v>
      </c>
      <c r="F98" s="1" t="s">
        <v>18</v>
      </c>
      <c r="G98" s="1">
        <v>2</v>
      </c>
      <c r="H98" s="1" t="s">
        <v>16</v>
      </c>
      <c r="I98" s="1" t="s">
        <v>16</v>
      </c>
      <c r="J98" s="1" t="s">
        <v>16</v>
      </c>
      <c r="K98" s="1" t="s">
        <v>17</v>
      </c>
      <c r="L98" s="1" t="s">
        <v>17</v>
      </c>
      <c r="M98" s="1" t="s">
        <v>17</v>
      </c>
      <c r="N98" s="27" t="s">
        <v>605</v>
      </c>
      <c r="O98" s="1" t="s">
        <v>16</v>
      </c>
    </row>
    <row r="99" spans="1:15" x14ac:dyDescent="0.2">
      <c r="A99" s="9">
        <v>44091</v>
      </c>
      <c r="B99" s="1" t="s">
        <v>15</v>
      </c>
      <c r="C99" s="1">
        <v>5</v>
      </c>
      <c r="D99" s="1">
        <v>1</v>
      </c>
      <c r="E99" s="14">
        <v>37.24</v>
      </c>
      <c r="F99" s="1" t="s">
        <v>18</v>
      </c>
      <c r="G99" s="1">
        <v>2</v>
      </c>
      <c r="H99" s="1" t="s">
        <v>16</v>
      </c>
      <c r="I99" s="1" t="s">
        <v>16</v>
      </c>
      <c r="J99" s="1" t="s">
        <v>16</v>
      </c>
      <c r="K99" s="1" t="s">
        <v>17</v>
      </c>
      <c r="L99" s="1" t="s">
        <v>17</v>
      </c>
      <c r="M99" s="1" t="s">
        <v>17</v>
      </c>
      <c r="N99" s="27" t="s">
        <v>605</v>
      </c>
      <c r="O99" s="1" t="s">
        <v>16</v>
      </c>
    </row>
    <row r="100" spans="1:15" x14ac:dyDescent="0.2">
      <c r="A100" s="9">
        <v>44091</v>
      </c>
      <c r="B100" s="1" t="s">
        <v>15</v>
      </c>
      <c r="C100" s="1">
        <v>6</v>
      </c>
      <c r="D100" s="1">
        <v>2</v>
      </c>
      <c r="E100" s="14">
        <v>57.53</v>
      </c>
      <c r="F100" s="1" t="s">
        <v>19</v>
      </c>
      <c r="G100" s="1">
        <v>2</v>
      </c>
      <c r="H100" s="1" t="s">
        <v>16</v>
      </c>
      <c r="I100" s="1" t="s">
        <v>16</v>
      </c>
      <c r="J100" s="1" t="s">
        <v>16</v>
      </c>
      <c r="K100" s="1" t="s">
        <v>17</v>
      </c>
      <c r="L100" s="1" t="s">
        <v>17</v>
      </c>
      <c r="M100" s="1" t="s">
        <v>17</v>
      </c>
      <c r="N100" s="27" t="s">
        <v>605</v>
      </c>
      <c r="O100" s="1" t="s">
        <v>16</v>
      </c>
    </row>
    <row r="101" spans="1:15" x14ac:dyDescent="0.2">
      <c r="A101" s="9">
        <v>44091</v>
      </c>
      <c r="B101" s="1" t="s">
        <v>15</v>
      </c>
      <c r="C101" s="1">
        <v>7</v>
      </c>
      <c r="D101" s="1">
        <v>2</v>
      </c>
      <c r="E101" s="14">
        <v>45.54</v>
      </c>
      <c r="F101" s="1" t="s">
        <v>18</v>
      </c>
      <c r="G101" s="1">
        <v>2</v>
      </c>
      <c r="H101" s="1" t="s">
        <v>16</v>
      </c>
      <c r="I101" s="1" t="s">
        <v>16</v>
      </c>
      <c r="J101" s="1" t="s">
        <v>16</v>
      </c>
      <c r="K101" s="1" t="s">
        <v>21</v>
      </c>
      <c r="L101" s="1" t="s">
        <v>17</v>
      </c>
      <c r="M101" s="1" t="s">
        <v>17</v>
      </c>
      <c r="N101" s="27" t="s">
        <v>605</v>
      </c>
      <c r="O101" s="1" t="s">
        <v>16</v>
      </c>
    </row>
    <row r="102" spans="1:15" x14ac:dyDescent="0.2">
      <c r="A102" s="9">
        <v>44091</v>
      </c>
      <c r="B102" s="1" t="s">
        <v>15</v>
      </c>
      <c r="C102" s="1">
        <v>8</v>
      </c>
      <c r="D102" s="1">
        <v>2</v>
      </c>
      <c r="E102" s="14">
        <v>34.61</v>
      </c>
      <c r="F102" s="1" t="s">
        <v>19</v>
      </c>
      <c r="G102" s="1">
        <v>2</v>
      </c>
      <c r="H102" s="1" t="s">
        <v>16</v>
      </c>
      <c r="I102" s="1" t="s">
        <v>16</v>
      </c>
      <c r="J102" s="1" t="s">
        <v>16</v>
      </c>
      <c r="K102" s="1" t="s">
        <v>21</v>
      </c>
      <c r="L102" s="1" t="s">
        <v>17</v>
      </c>
      <c r="M102" s="1" t="s">
        <v>17</v>
      </c>
      <c r="N102" s="27" t="s">
        <v>605</v>
      </c>
      <c r="O102" s="1" t="s">
        <v>16</v>
      </c>
    </row>
    <row r="103" spans="1:15" x14ac:dyDescent="0.2">
      <c r="A103" s="9">
        <v>44091</v>
      </c>
      <c r="B103" s="1" t="s">
        <v>15</v>
      </c>
      <c r="C103" s="1">
        <v>9</v>
      </c>
      <c r="D103" s="1">
        <v>2</v>
      </c>
      <c r="E103" s="14">
        <v>37.22</v>
      </c>
      <c r="F103" s="1" t="s">
        <v>19</v>
      </c>
      <c r="G103" s="1">
        <v>2</v>
      </c>
      <c r="H103" s="1" t="s">
        <v>16</v>
      </c>
      <c r="I103" s="1" t="s">
        <v>16</v>
      </c>
      <c r="J103" s="1" t="s">
        <v>16</v>
      </c>
      <c r="K103" s="1" t="s">
        <v>17</v>
      </c>
      <c r="L103" s="1" t="s">
        <v>17</v>
      </c>
      <c r="M103" s="1" t="s">
        <v>17</v>
      </c>
      <c r="N103" s="27" t="s">
        <v>605</v>
      </c>
      <c r="O103" s="1" t="s">
        <v>16</v>
      </c>
    </row>
    <row r="104" spans="1:15" x14ac:dyDescent="0.2">
      <c r="A104" s="9">
        <v>44091</v>
      </c>
      <c r="B104" s="1" t="s">
        <v>15</v>
      </c>
      <c r="C104" s="1">
        <v>10</v>
      </c>
      <c r="D104" s="1">
        <v>2</v>
      </c>
      <c r="E104" s="14">
        <v>42.19</v>
      </c>
      <c r="F104" s="1" t="s">
        <v>18</v>
      </c>
      <c r="G104" s="1">
        <v>2</v>
      </c>
      <c r="H104" s="1" t="s">
        <v>16</v>
      </c>
      <c r="I104" s="1" t="s">
        <v>16</v>
      </c>
      <c r="J104" s="1" t="s">
        <v>16</v>
      </c>
      <c r="K104" s="1" t="s">
        <v>17</v>
      </c>
      <c r="L104" s="1" t="s">
        <v>17</v>
      </c>
      <c r="M104" s="1" t="s">
        <v>17</v>
      </c>
      <c r="N104" s="27" t="s">
        <v>605</v>
      </c>
      <c r="O104" s="1" t="s">
        <v>16</v>
      </c>
    </row>
    <row r="105" spans="1:15" x14ac:dyDescent="0.2">
      <c r="A105" s="9">
        <v>44091</v>
      </c>
      <c r="B105" s="1" t="s">
        <v>15</v>
      </c>
      <c r="C105" s="1">
        <v>11</v>
      </c>
      <c r="D105" s="1">
        <v>3</v>
      </c>
      <c r="E105" s="14">
        <v>40.39</v>
      </c>
      <c r="F105" s="1" t="s">
        <v>18</v>
      </c>
      <c r="G105" s="1">
        <v>2</v>
      </c>
      <c r="H105" s="1" t="s">
        <v>16</v>
      </c>
      <c r="I105" s="1" t="s">
        <v>16</v>
      </c>
      <c r="J105" s="1" t="s">
        <v>16</v>
      </c>
      <c r="K105" s="1" t="s">
        <v>17</v>
      </c>
      <c r="L105" s="1" t="s">
        <v>17</v>
      </c>
      <c r="M105" s="1" t="s">
        <v>17</v>
      </c>
      <c r="N105" s="27" t="s">
        <v>605</v>
      </c>
      <c r="O105" s="1" t="s">
        <v>16</v>
      </c>
    </row>
    <row r="106" spans="1:15" x14ac:dyDescent="0.2">
      <c r="A106" s="9">
        <v>44091</v>
      </c>
      <c r="B106" s="1" t="s">
        <v>15</v>
      </c>
      <c r="C106" s="1">
        <v>12</v>
      </c>
      <c r="D106" s="1">
        <v>3</v>
      </c>
      <c r="E106" s="14">
        <v>42.3</v>
      </c>
      <c r="F106" s="1" t="s">
        <v>19</v>
      </c>
      <c r="G106" s="1">
        <v>2</v>
      </c>
      <c r="H106" s="1" t="s">
        <v>16</v>
      </c>
      <c r="I106" s="1" t="s">
        <v>16</v>
      </c>
      <c r="J106" s="1" t="s">
        <v>16</v>
      </c>
      <c r="K106" s="1" t="s">
        <v>17</v>
      </c>
      <c r="L106" s="1" t="s">
        <v>17</v>
      </c>
      <c r="M106" s="1" t="s">
        <v>17</v>
      </c>
      <c r="N106" s="27" t="s">
        <v>605</v>
      </c>
      <c r="O106" s="1" t="s">
        <v>16</v>
      </c>
    </row>
    <row r="107" spans="1:15" x14ac:dyDescent="0.2">
      <c r="A107" s="9">
        <v>44091</v>
      </c>
      <c r="B107" s="1" t="s">
        <v>15</v>
      </c>
      <c r="C107" s="1">
        <v>13</v>
      </c>
      <c r="D107" s="1">
        <v>3</v>
      </c>
      <c r="E107" s="14">
        <v>59.4</v>
      </c>
      <c r="F107" s="1" t="s">
        <v>19</v>
      </c>
      <c r="G107" s="1">
        <v>2</v>
      </c>
      <c r="H107" s="1" t="s">
        <v>16</v>
      </c>
      <c r="I107" s="1" t="s">
        <v>16</v>
      </c>
      <c r="J107" s="1" t="s">
        <v>16</v>
      </c>
      <c r="K107" s="1" t="s">
        <v>17</v>
      </c>
      <c r="L107" s="1" t="s">
        <v>17</v>
      </c>
      <c r="M107" s="1" t="s">
        <v>17</v>
      </c>
      <c r="N107" s="27" t="s">
        <v>605</v>
      </c>
      <c r="O107" s="1" t="s">
        <v>16</v>
      </c>
    </row>
    <row r="108" spans="1:15" x14ac:dyDescent="0.2">
      <c r="A108" s="9">
        <v>44091</v>
      </c>
      <c r="B108" s="1" t="s">
        <v>15</v>
      </c>
      <c r="C108" s="1">
        <v>14</v>
      </c>
      <c r="D108" s="1">
        <v>3</v>
      </c>
      <c r="E108" s="14">
        <v>74.87</v>
      </c>
      <c r="F108" s="1" t="s">
        <v>18</v>
      </c>
      <c r="G108" s="1">
        <v>2</v>
      </c>
      <c r="H108" s="1" t="s">
        <v>16</v>
      </c>
      <c r="I108" s="1" t="s">
        <v>16</v>
      </c>
      <c r="J108" s="1" t="s">
        <v>16</v>
      </c>
      <c r="K108" s="1" t="s">
        <v>17</v>
      </c>
      <c r="L108" s="1" t="s">
        <v>17</v>
      </c>
      <c r="M108" s="1" t="s">
        <v>17</v>
      </c>
      <c r="N108" s="27" t="s">
        <v>605</v>
      </c>
      <c r="O108" s="1" t="s">
        <v>16</v>
      </c>
    </row>
    <row r="109" spans="1:15" x14ac:dyDescent="0.2">
      <c r="A109" s="9">
        <v>44091</v>
      </c>
      <c r="B109" s="1" t="s">
        <v>15</v>
      </c>
      <c r="C109" s="1">
        <v>15</v>
      </c>
      <c r="D109" s="1">
        <v>3</v>
      </c>
      <c r="E109" s="14">
        <v>58.5</v>
      </c>
      <c r="F109" s="1" t="s">
        <v>18</v>
      </c>
      <c r="G109" s="1">
        <v>2</v>
      </c>
      <c r="H109" s="1" t="s">
        <v>16</v>
      </c>
      <c r="I109" s="1" t="s">
        <v>16</v>
      </c>
      <c r="J109" s="1" t="s">
        <v>16</v>
      </c>
      <c r="K109" s="1" t="s">
        <v>17</v>
      </c>
      <c r="L109" s="1" t="s">
        <v>17</v>
      </c>
      <c r="M109" s="1" t="s">
        <v>17</v>
      </c>
      <c r="N109" s="27" t="s">
        <v>605</v>
      </c>
      <c r="O109" s="1" t="s">
        <v>16</v>
      </c>
    </row>
    <row r="110" spans="1:15" x14ac:dyDescent="0.2">
      <c r="A110" s="9">
        <v>44110</v>
      </c>
      <c r="B110" s="1" t="s">
        <v>15</v>
      </c>
      <c r="C110" s="1">
        <v>1</v>
      </c>
      <c r="D110" s="1">
        <v>1</v>
      </c>
      <c r="E110" s="14">
        <v>64.53</v>
      </c>
      <c r="F110" s="1" t="s">
        <v>18</v>
      </c>
      <c r="G110" s="1">
        <v>2</v>
      </c>
      <c r="H110" s="1" t="s">
        <v>16</v>
      </c>
      <c r="I110" s="1" t="s">
        <v>16</v>
      </c>
      <c r="J110" s="1" t="s">
        <v>16</v>
      </c>
      <c r="K110" s="1" t="s">
        <v>17</v>
      </c>
      <c r="L110" s="1" t="s">
        <v>17</v>
      </c>
      <c r="M110" s="1" t="s">
        <v>17</v>
      </c>
      <c r="N110" s="27" t="s">
        <v>605</v>
      </c>
      <c r="O110" s="1" t="s">
        <v>16</v>
      </c>
    </row>
    <row r="111" spans="1:15" x14ac:dyDescent="0.2">
      <c r="A111" s="9">
        <v>44110</v>
      </c>
      <c r="B111" s="1" t="s">
        <v>15</v>
      </c>
      <c r="C111" s="1">
        <v>2</v>
      </c>
      <c r="D111" s="1">
        <v>1</v>
      </c>
      <c r="E111" s="14">
        <v>73.17</v>
      </c>
      <c r="F111" s="1" t="s">
        <v>18</v>
      </c>
      <c r="G111" s="1">
        <v>2</v>
      </c>
      <c r="H111" s="1" t="s">
        <v>16</v>
      </c>
      <c r="I111" s="1" t="s">
        <v>16</v>
      </c>
      <c r="J111" s="1" t="s">
        <v>16</v>
      </c>
      <c r="K111" s="1" t="s">
        <v>17</v>
      </c>
      <c r="L111" s="1" t="s">
        <v>17</v>
      </c>
      <c r="M111" s="1" t="s">
        <v>17</v>
      </c>
      <c r="N111" s="27" t="s">
        <v>605</v>
      </c>
      <c r="O111" s="1" t="s">
        <v>16</v>
      </c>
    </row>
    <row r="112" spans="1:15" x14ac:dyDescent="0.2">
      <c r="A112" s="9">
        <v>44110</v>
      </c>
      <c r="B112" s="1" t="s">
        <v>15</v>
      </c>
      <c r="C112" s="1">
        <v>3</v>
      </c>
      <c r="D112" s="1">
        <v>1</v>
      </c>
      <c r="E112" s="14">
        <v>57.08</v>
      </c>
      <c r="F112" s="1" t="s">
        <v>18</v>
      </c>
      <c r="G112" s="1">
        <v>2</v>
      </c>
      <c r="H112" s="1" t="s">
        <v>16</v>
      </c>
      <c r="I112" s="1" t="s">
        <v>16</v>
      </c>
      <c r="J112" s="1" t="s">
        <v>16</v>
      </c>
      <c r="K112" s="1" t="s">
        <v>17</v>
      </c>
      <c r="L112" s="1" t="s">
        <v>17</v>
      </c>
      <c r="M112" s="1" t="s">
        <v>17</v>
      </c>
      <c r="N112" s="27" t="s">
        <v>605</v>
      </c>
      <c r="O112" s="1" t="s">
        <v>16</v>
      </c>
    </row>
    <row r="113" spans="1:15" x14ac:dyDescent="0.2">
      <c r="A113" s="9">
        <v>44110</v>
      </c>
      <c r="B113" s="1" t="s">
        <v>15</v>
      </c>
      <c r="C113" s="1">
        <v>4</v>
      </c>
      <c r="D113" s="1">
        <v>1</v>
      </c>
      <c r="E113" s="14">
        <v>44.35</v>
      </c>
      <c r="F113" s="1" t="s">
        <v>18</v>
      </c>
      <c r="G113" s="1">
        <v>2</v>
      </c>
      <c r="H113" s="1" t="s">
        <v>16</v>
      </c>
      <c r="I113" s="1" t="s">
        <v>16</v>
      </c>
      <c r="J113" s="1" t="s">
        <v>16</v>
      </c>
      <c r="K113" s="1" t="s">
        <v>17</v>
      </c>
      <c r="L113" s="1" t="s">
        <v>17</v>
      </c>
      <c r="M113" s="1" t="s">
        <v>17</v>
      </c>
      <c r="N113" s="27" t="s">
        <v>605</v>
      </c>
      <c r="O113" s="1" t="s">
        <v>16</v>
      </c>
    </row>
    <row r="114" spans="1:15" x14ac:dyDescent="0.2">
      <c r="A114" s="9">
        <v>44110</v>
      </c>
      <c r="B114" s="1" t="s">
        <v>15</v>
      </c>
      <c r="C114" s="1">
        <v>5</v>
      </c>
      <c r="D114" s="1">
        <v>1</v>
      </c>
      <c r="E114" s="14">
        <v>49.45</v>
      </c>
      <c r="F114" s="1" t="s">
        <v>19</v>
      </c>
      <c r="G114" s="1">
        <v>2</v>
      </c>
      <c r="H114" s="1" t="s">
        <v>16</v>
      </c>
      <c r="I114" s="1" t="s">
        <v>16</v>
      </c>
      <c r="J114" s="1" t="s">
        <v>16</v>
      </c>
      <c r="K114" s="1" t="s">
        <v>17</v>
      </c>
      <c r="L114" s="1" t="s">
        <v>17</v>
      </c>
      <c r="M114" s="1" t="s">
        <v>17</v>
      </c>
      <c r="N114" s="27" t="s">
        <v>605</v>
      </c>
      <c r="O114" s="1" t="s">
        <v>16</v>
      </c>
    </row>
    <row r="115" spans="1:15" x14ac:dyDescent="0.2">
      <c r="A115" s="9">
        <v>44110</v>
      </c>
      <c r="B115" s="1" t="s">
        <v>15</v>
      </c>
      <c r="C115" s="1">
        <v>6</v>
      </c>
      <c r="D115" s="1">
        <v>2</v>
      </c>
      <c r="E115" s="14">
        <v>65.41</v>
      </c>
      <c r="F115" s="1" t="s">
        <v>18</v>
      </c>
      <c r="G115" s="1">
        <v>2</v>
      </c>
      <c r="H115" s="1" t="s">
        <v>16</v>
      </c>
      <c r="I115" s="1" t="s">
        <v>16</v>
      </c>
      <c r="J115" s="1" t="s">
        <v>16</v>
      </c>
      <c r="K115" s="1" t="s">
        <v>21</v>
      </c>
      <c r="L115" s="1" t="s">
        <v>17</v>
      </c>
      <c r="M115" s="1" t="s">
        <v>17</v>
      </c>
      <c r="N115" s="27" t="s">
        <v>605</v>
      </c>
      <c r="O115" s="1" t="s">
        <v>16</v>
      </c>
    </row>
    <row r="116" spans="1:15" x14ac:dyDescent="0.2">
      <c r="A116" s="9">
        <v>44110</v>
      </c>
      <c r="B116" s="1" t="s">
        <v>15</v>
      </c>
      <c r="C116" s="1">
        <v>7</v>
      </c>
      <c r="D116" s="1">
        <v>2</v>
      </c>
      <c r="E116" s="14">
        <v>53.37</v>
      </c>
      <c r="F116" s="1" t="s">
        <v>19</v>
      </c>
      <c r="G116" s="1">
        <v>2</v>
      </c>
      <c r="H116" s="1" t="s">
        <v>16</v>
      </c>
      <c r="I116" s="1" t="s">
        <v>16</v>
      </c>
      <c r="J116" s="1" t="s">
        <v>16</v>
      </c>
      <c r="K116" s="1" t="s">
        <v>17</v>
      </c>
      <c r="L116" s="1" t="s">
        <v>17</v>
      </c>
      <c r="M116" s="1" t="s">
        <v>17</v>
      </c>
      <c r="N116" s="27" t="s">
        <v>605</v>
      </c>
      <c r="O116" s="1" t="s">
        <v>16</v>
      </c>
    </row>
    <row r="117" spans="1:15" x14ac:dyDescent="0.2">
      <c r="A117" s="9">
        <v>44110</v>
      </c>
      <c r="B117" s="1" t="s">
        <v>15</v>
      </c>
      <c r="C117" s="1">
        <v>8</v>
      </c>
      <c r="D117" s="1">
        <v>2</v>
      </c>
      <c r="E117" s="14">
        <v>64.55</v>
      </c>
      <c r="F117" s="1" t="s">
        <v>18</v>
      </c>
      <c r="G117" s="1">
        <v>2</v>
      </c>
      <c r="H117" s="1" t="s">
        <v>16</v>
      </c>
      <c r="I117" s="1" t="s">
        <v>16</v>
      </c>
      <c r="J117" s="1" t="s">
        <v>16</v>
      </c>
      <c r="K117" s="1" t="s">
        <v>17</v>
      </c>
      <c r="L117" s="1" t="s">
        <v>17</v>
      </c>
      <c r="M117" s="1" t="s">
        <v>17</v>
      </c>
      <c r="N117" s="27" t="s">
        <v>605</v>
      </c>
      <c r="O117" s="1" t="s">
        <v>16</v>
      </c>
    </row>
    <row r="118" spans="1:15" x14ac:dyDescent="0.2">
      <c r="A118" s="9">
        <v>44110</v>
      </c>
      <c r="B118" s="1" t="s">
        <v>15</v>
      </c>
      <c r="C118" s="1">
        <v>9</v>
      </c>
      <c r="D118" s="1">
        <v>2</v>
      </c>
      <c r="E118" s="14">
        <v>53.28</v>
      </c>
      <c r="F118" s="1" t="s">
        <v>18</v>
      </c>
      <c r="G118" s="1">
        <v>2</v>
      </c>
      <c r="H118" s="1" t="s">
        <v>16</v>
      </c>
      <c r="I118" s="1" t="s">
        <v>16</v>
      </c>
      <c r="J118" s="1" t="s">
        <v>16</v>
      </c>
      <c r="K118" s="1" t="s">
        <v>17</v>
      </c>
      <c r="L118" s="1" t="s">
        <v>17</v>
      </c>
      <c r="M118" s="1" t="s">
        <v>17</v>
      </c>
      <c r="N118" s="27" t="s">
        <v>605</v>
      </c>
      <c r="O118" s="1" t="s">
        <v>16</v>
      </c>
    </row>
    <row r="119" spans="1:15" x14ac:dyDescent="0.2">
      <c r="A119" s="9">
        <v>44110</v>
      </c>
      <c r="B119" s="1" t="s">
        <v>15</v>
      </c>
      <c r="C119" s="1">
        <v>10</v>
      </c>
      <c r="D119" s="1">
        <v>2</v>
      </c>
      <c r="E119" s="14">
        <v>47.46</v>
      </c>
      <c r="F119" s="1" t="s">
        <v>18</v>
      </c>
      <c r="G119" s="1">
        <v>2</v>
      </c>
      <c r="H119" s="1" t="s">
        <v>16</v>
      </c>
      <c r="I119" s="1" t="s">
        <v>16</v>
      </c>
      <c r="J119" s="1" t="s">
        <v>16</v>
      </c>
      <c r="K119" s="1" t="s">
        <v>17</v>
      </c>
      <c r="L119" s="1" t="s">
        <v>17</v>
      </c>
      <c r="M119" s="1" t="s">
        <v>17</v>
      </c>
      <c r="N119" s="27" t="s">
        <v>605</v>
      </c>
      <c r="O119" s="1" t="s">
        <v>16</v>
      </c>
    </row>
    <row r="120" spans="1:15" x14ac:dyDescent="0.2">
      <c r="A120" s="9">
        <v>44110</v>
      </c>
      <c r="B120" s="1" t="s">
        <v>15</v>
      </c>
      <c r="C120" s="1">
        <v>11</v>
      </c>
      <c r="D120" s="1">
        <v>3</v>
      </c>
      <c r="E120" s="14">
        <v>51.75</v>
      </c>
      <c r="F120" s="1" t="s">
        <v>18</v>
      </c>
      <c r="G120" s="1">
        <v>2</v>
      </c>
      <c r="H120" s="1" t="s">
        <v>16</v>
      </c>
      <c r="I120" s="1" t="s">
        <v>16</v>
      </c>
      <c r="J120" s="1" t="s">
        <v>16</v>
      </c>
      <c r="K120" s="1" t="s">
        <v>17</v>
      </c>
      <c r="L120" s="1" t="s">
        <v>17</v>
      </c>
      <c r="M120" s="1" t="s">
        <v>17</v>
      </c>
      <c r="N120" s="27" t="s">
        <v>605</v>
      </c>
      <c r="O120" s="1" t="s">
        <v>16</v>
      </c>
    </row>
    <row r="121" spans="1:15" x14ac:dyDescent="0.2">
      <c r="A121" s="9">
        <v>44110</v>
      </c>
      <c r="B121" s="1" t="s">
        <v>15</v>
      </c>
      <c r="C121" s="1">
        <v>12</v>
      </c>
      <c r="D121" s="1">
        <v>3</v>
      </c>
      <c r="E121" s="14">
        <v>45.41</v>
      </c>
      <c r="F121" s="1" t="s">
        <v>18</v>
      </c>
      <c r="G121" s="1">
        <v>2</v>
      </c>
      <c r="H121" s="1" t="s">
        <v>16</v>
      </c>
      <c r="I121" s="1" t="s">
        <v>16</v>
      </c>
      <c r="J121" s="1" t="s">
        <v>16</v>
      </c>
      <c r="K121" s="1" t="s">
        <v>17</v>
      </c>
      <c r="L121" s="1" t="s">
        <v>17</v>
      </c>
      <c r="M121" s="1" t="s">
        <v>17</v>
      </c>
      <c r="N121" s="27" t="s">
        <v>605</v>
      </c>
      <c r="O121" s="1" t="s">
        <v>16</v>
      </c>
    </row>
    <row r="122" spans="1:15" x14ac:dyDescent="0.2">
      <c r="A122" s="9">
        <v>44110</v>
      </c>
      <c r="B122" s="1" t="s">
        <v>15</v>
      </c>
      <c r="C122" s="1">
        <v>13</v>
      </c>
      <c r="D122" s="1">
        <v>3</v>
      </c>
      <c r="E122" s="14">
        <v>49.5</v>
      </c>
      <c r="F122" s="1" t="s">
        <v>18</v>
      </c>
      <c r="G122" s="1">
        <v>2</v>
      </c>
      <c r="H122" s="1" t="s">
        <v>16</v>
      </c>
      <c r="I122" s="1" t="s">
        <v>16</v>
      </c>
      <c r="J122" s="1" t="s">
        <v>16</v>
      </c>
      <c r="K122" s="1" t="s">
        <v>17</v>
      </c>
      <c r="L122" s="1" t="s">
        <v>17</v>
      </c>
      <c r="M122" s="1" t="s">
        <v>17</v>
      </c>
      <c r="N122" s="27" t="s">
        <v>605</v>
      </c>
      <c r="O122" s="1" t="s">
        <v>16</v>
      </c>
    </row>
    <row r="123" spans="1:15" x14ac:dyDescent="0.2">
      <c r="A123" s="9">
        <v>44110</v>
      </c>
      <c r="B123" s="1" t="s">
        <v>15</v>
      </c>
      <c r="C123" s="1">
        <v>14</v>
      </c>
      <c r="D123" s="1">
        <v>3</v>
      </c>
      <c r="E123" s="14">
        <v>46.07</v>
      </c>
      <c r="F123" s="1" t="s">
        <v>18</v>
      </c>
      <c r="G123" s="1">
        <v>2</v>
      </c>
      <c r="H123" s="1" t="s">
        <v>16</v>
      </c>
      <c r="I123" s="1" t="s">
        <v>16</v>
      </c>
      <c r="J123" s="1" t="s">
        <v>16</v>
      </c>
      <c r="K123" s="1" t="s">
        <v>17</v>
      </c>
      <c r="L123" s="1" t="s">
        <v>17</v>
      </c>
      <c r="M123" s="1" t="s">
        <v>17</v>
      </c>
      <c r="N123" s="27" t="s">
        <v>605</v>
      </c>
      <c r="O123" s="1" t="s">
        <v>16</v>
      </c>
    </row>
    <row r="124" spans="1:15" x14ac:dyDescent="0.2">
      <c r="A124" s="9">
        <v>44110</v>
      </c>
      <c r="B124" s="1" t="s">
        <v>15</v>
      </c>
      <c r="C124" s="1">
        <v>15</v>
      </c>
      <c r="D124" s="1">
        <v>3</v>
      </c>
      <c r="E124" s="14">
        <v>34.53</v>
      </c>
      <c r="F124" s="1" t="s">
        <v>19</v>
      </c>
      <c r="G124" s="1">
        <v>3</v>
      </c>
      <c r="H124" s="1" t="s">
        <v>16</v>
      </c>
      <c r="I124" s="1" t="s">
        <v>16</v>
      </c>
      <c r="J124" s="1" t="s">
        <v>16</v>
      </c>
      <c r="K124" s="1" t="s">
        <v>17</v>
      </c>
      <c r="L124" s="1" t="s">
        <v>17</v>
      </c>
      <c r="M124" s="1" t="s">
        <v>17</v>
      </c>
      <c r="N124" s="27" t="s">
        <v>605</v>
      </c>
      <c r="O124" s="1" t="s">
        <v>16</v>
      </c>
    </row>
    <row r="125" spans="1:15" x14ac:dyDescent="0.2">
      <c r="A125" s="9">
        <v>44137</v>
      </c>
      <c r="B125" s="1" t="s">
        <v>15</v>
      </c>
      <c r="C125" s="1">
        <v>1</v>
      </c>
      <c r="D125" s="1">
        <v>1</v>
      </c>
      <c r="E125" s="14">
        <v>70.45</v>
      </c>
      <c r="F125" s="1" t="s">
        <v>18</v>
      </c>
      <c r="G125" s="1">
        <v>2</v>
      </c>
      <c r="H125" s="1" t="s">
        <v>16</v>
      </c>
      <c r="I125" s="1" t="s">
        <v>16</v>
      </c>
      <c r="J125" s="1" t="s">
        <v>16</v>
      </c>
      <c r="K125" s="1" t="s">
        <v>17</v>
      </c>
      <c r="L125" s="1" t="s">
        <v>17</v>
      </c>
      <c r="M125" s="1" t="s">
        <v>17</v>
      </c>
      <c r="N125" s="27" t="s">
        <v>605</v>
      </c>
      <c r="O125" s="1" t="s">
        <v>16</v>
      </c>
    </row>
    <row r="126" spans="1:15" x14ac:dyDescent="0.2">
      <c r="A126" s="9">
        <v>44137</v>
      </c>
      <c r="B126" s="1" t="s">
        <v>15</v>
      </c>
      <c r="C126" s="1">
        <v>2</v>
      </c>
      <c r="D126" s="1">
        <v>1</v>
      </c>
      <c r="E126" s="14">
        <v>46.36</v>
      </c>
      <c r="F126" s="1" t="s">
        <v>18</v>
      </c>
      <c r="G126" s="1">
        <v>3</v>
      </c>
      <c r="H126" s="1" t="s">
        <v>16</v>
      </c>
      <c r="I126" s="1" t="s">
        <v>16</v>
      </c>
      <c r="J126" s="1" t="s">
        <v>16</v>
      </c>
      <c r="K126" s="1" t="s">
        <v>17</v>
      </c>
      <c r="L126" s="1" t="s">
        <v>17</v>
      </c>
      <c r="M126" s="1" t="s">
        <v>17</v>
      </c>
      <c r="N126" s="27" t="s">
        <v>605</v>
      </c>
      <c r="O126" s="1" t="s">
        <v>16</v>
      </c>
    </row>
    <row r="127" spans="1:15" x14ac:dyDescent="0.2">
      <c r="A127" s="9">
        <v>44137</v>
      </c>
      <c r="B127" s="1" t="s">
        <v>15</v>
      </c>
      <c r="C127" s="1">
        <v>3</v>
      </c>
      <c r="D127" s="1">
        <v>1</v>
      </c>
      <c r="E127" s="14">
        <v>46.88</v>
      </c>
      <c r="F127" s="1" t="s">
        <v>18</v>
      </c>
      <c r="G127" s="1">
        <v>3</v>
      </c>
      <c r="H127" s="1" t="s">
        <v>16</v>
      </c>
      <c r="I127" s="1" t="s">
        <v>16</v>
      </c>
      <c r="J127" s="1" t="s">
        <v>16</v>
      </c>
      <c r="K127" s="1" t="s">
        <v>17</v>
      </c>
      <c r="L127" s="1" t="s">
        <v>17</v>
      </c>
      <c r="M127" s="1" t="s">
        <v>17</v>
      </c>
      <c r="N127" s="27" t="s">
        <v>605</v>
      </c>
      <c r="O127" s="1" t="s">
        <v>16</v>
      </c>
    </row>
    <row r="128" spans="1:15" x14ac:dyDescent="0.2">
      <c r="A128" s="9">
        <v>44137</v>
      </c>
      <c r="B128" s="1" t="s">
        <v>15</v>
      </c>
      <c r="C128" s="1">
        <v>4</v>
      </c>
      <c r="D128" s="1">
        <v>1</v>
      </c>
      <c r="E128" s="14">
        <v>58.86</v>
      </c>
      <c r="F128" s="1" t="s">
        <v>18</v>
      </c>
      <c r="G128" s="1">
        <v>3</v>
      </c>
      <c r="H128" s="1" t="s">
        <v>16</v>
      </c>
      <c r="I128" s="1" t="s">
        <v>16</v>
      </c>
      <c r="J128" s="1" t="s">
        <v>16</v>
      </c>
      <c r="K128" s="1" t="s">
        <v>17</v>
      </c>
      <c r="L128" s="1" t="s">
        <v>17</v>
      </c>
      <c r="M128" s="1" t="s">
        <v>17</v>
      </c>
      <c r="N128" s="27" t="s">
        <v>605</v>
      </c>
      <c r="O128" s="1" t="s">
        <v>16</v>
      </c>
    </row>
    <row r="129" spans="1:15" x14ac:dyDescent="0.2">
      <c r="A129" s="9">
        <v>44137</v>
      </c>
      <c r="B129" s="1" t="s">
        <v>15</v>
      </c>
      <c r="C129" s="1">
        <v>5</v>
      </c>
      <c r="D129" s="1">
        <v>1</v>
      </c>
      <c r="E129" s="14">
        <v>44.08</v>
      </c>
      <c r="F129" s="1" t="s">
        <v>18</v>
      </c>
      <c r="G129" s="1">
        <v>2</v>
      </c>
      <c r="H129" s="1" t="s">
        <v>16</v>
      </c>
      <c r="I129" s="1" t="s">
        <v>16</v>
      </c>
      <c r="J129" s="1" t="s">
        <v>16</v>
      </c>
      <c r="K129" s="1" t="s">
        <v>17</v>
      </c>
      <c r="L129" s="1" t="s">
        <v>17</v>
      </c>
      <c r="M129" s="1" t="s">
        <v>17</v>
      </c>
      <c r="N129" s="27" t="s">
        <v>605</v>
      </c>
      <c r="O129" s="1" t="s">
        <v>16</v>
      </c>
    </row>
    <row r="130" spans="1:15" x14ac:dyDescent="0.2">
      <c r="A130" s="9">
        <v>44137</v>
      </c>
      <c r="B130" s="1" t="s">
        <v>15</v>
      </c>
      <c r="C130" s="1">
        <v>6</v>
      </c>
      <c r="D130" s="1">
        <v>2</v>
      </c>
      <c r="E130" s="14">
        <v>57.75</v>
      </c>
      <c r="F130" s="1" t="s">
        <v>18</v>
      </c>
      <c r="G130" s="1">
        <v>2</v>
      </c>
      <c r="H130" s="1" t="s">
        <v>16</v>
      </c>
      <c r="I130" s="1" t="s">
        <v>16</v>
      </c>
      <c r="J130" s="1" t="s">
        <v>16</v>
      </c>
      <c r="K130" s="1" t="s">
        <v>17</v>
      </c>
      <c r="L130" s="1" t="s">
        <v>17</v>
      </c>
      <c r="M130" s="1" t="s">
        <v>17</v>
      </c>
      <c r="N130" s="27" t="s">
        <v>605</v>
      </c>
      <c r="O130" s="1" t="s">
        <v>16</v>
      </c>
    </row>
    <row r="131" spans="1:15" x14ac:dyDescent="0.2">
      <c r="A131" s="9">
        <v>44137</v>
      </c>
      <c r="B131" s="1" t="s">
        <v>15</v>
      </c>
      <c r="C131" s="1">
        <v>7</v>
      </c>
      <c r="D131" s="1">
        <v>2</v>
      </c>
      <c r="E131" s="14">
        <v>60.05</v>
      </c>
      <c r="F131" s="1" t="s">
        <v>18</v>
      </c>
      <c r="G131" s="1">
        <v>3</v>
      </c>
      <c r="H131" s="1" t="s">
        <v>16</v>
      </c>
      <c r="I131" s="1" t="s">
        <v>16</v>
      </c>
      <c r="J131" s="1" t="s">
        <v>16</v>
      </c>
      <c r="K131" s="1" t="s">
        <v>17</v>
      </c>
      <c r="L131" s="1" t="s">
        <v>17</v>
      </c>
      <c r="M131" s="1" t="s">
        <v>17</v>
      </c>
      <c r="N131" s="27" t="s">
        <v>605</v>
      </c>
      <c r="O131" s="1" t="s">
        <v>16</v>
      </c>
    </row>
    <row r="132" spans="1:15" x14ac:dyDescent="0.2">
      <c r="A132" s="9">
        <v>44137</v>
      </c>
      <c r="B132" s="1" t="s">
        <v>15</v>
      </c>
      <c r="C132" s="1">
        <v>8</v>
      </c>
      <c r="D132" s="1">
        <v>2</v>
      </c>
      <c r="E132" s="14">
        <v>47.04</v>
      </c>
      <c r="F132" s="1" t="s">
        <v>18</v>
      </c>
      <c r="G132" s="1">
        <v>2</v>
      </c>
      <c r="H132" s="1" t="s">
        <v>16</v>
      </c>
      <c r="I132" s="1" t="s">
        <v>16</v>
      </c>
      <c r="J132" s="1" t="s">
        <v>16</v>
      </c>
      <c r="K132" s="1" t="s">
        <v>17</v>
      </c>
      <c r="L132" s="1" t="s">
        <v>17</v>
      </c>
      <c r="M132" s="1" t="s">
        <v>17</v>
      </c>
      <c r="N132" s="27" t="s">
        <v>605</v>
      </c>
      <c r="O132" s="1" t="s">
        <v>16</v>
      </c>
    </row>
    <row r="133" spans="1:15" x14ac:dyDescent="0.2">
      <c r="A133" s="9">
        <v>44137</v>
      </c>
      <c r="B133" s="1" t="s">
        <v>15</v>
      </c>
      <c r="C133" s="1">
        <v>9</v>
      </c>
      <c r="D133" s="1">
        <v>2</v>
      </c>
      <c r="E133" s="14">
        <v>54.07</v>
      </c>
      <c r="F133" s="1" t="s">
        <v>18</v>
      </c>
      <c r="G133" s="1">
        <v>2</v>
      </c>
      <c r="H133" s="1" t="s">
        <v>16</v>
      </c>
      <c r="I133" s="1" t="s">
        <v>16</v>
      </c>
      <c r="J133" s="1" t="s">
        <v>16</v>
      </c>
      <c r="K133" s="1" t="s">
        <v>17</v>
      </c>
      <c r="L133" s="1" t="s">
        <v>17</v>
      </c>
      <c r="M133" s="1" t="s">
        <v>17</v>
      </c>
      <c r="N133" s="27" t="s">
        <v>605</v>
      </c>
      <c r="O133" s="1" t="s">
        <v>16</v>
      </c>
    </row>
    <row r="134" spans="1:15" x14ac:dyDescent="0.2">
      <c r="A134" s="9">
        <v>44137</v>
      </c>
      <c r="B134" s="1" t="s">
        <v>15</v>
      </c>
      <c r="C134" s="1">
        <v>10</v>
      </c>
      <c r="D134" s="1">
        <v>2</v>
      </c>
      <c r="E134" s="14">
        <v>56.01</v>
      </c>
      <c r="F134" s="1" t="s">
        <v>19</v>
      </c>
      <c r="G134" s="1">
        <v>2</v>
      </c>
      <c r="H134" s="1" t="s">
        <v>16</v>
      </c>
      <c r="I134" s="1" t="s">
        <v>16</v>
      </c>
      <c r="J134" s="1" t="s">
        <v>16</v>
      </c>
      <c r="K134" s="1" t="s">
        <v>17</v>
      </c>
      <c r="L134" s="1" t="s">
        <v>17</v>
      </c>
      <c r="M134" s="1" t="s">
        <v>17</v>
      </c>
      <c r="N134" s="27" t="s">
        <v>605</v>
      </c>
      <c r="O134" s="1" t="s">
        <v>16</v>
      </c>
    </row>
    <row r="135" spans="1:15" x14ac:dyDescent="0.2">
      <c r="A135" s="9">
        <v>44137</v>
      </c>
      <c r="B135" s="1" t="s">
        <v>15</v>
      </c>
      <c r="C135" s="1">
        <v>11</v>
      </c>
      <c r="D135" s="1">
        <v>3</v>
      </c>
      <c r="E135" s="14">
        <v>56.32</v>
      </c>
      <c r="F135" s="1" t="s">
        <v>18</v>
      </c>
      <c r="G135" s="1">
        <v>2</v>
      </c>
      <c r="H135" s="1" t="s">
        <v>16</v>
      </c>
      <c r="I135" s="1" t="s">
        <v>16</v>
      </c>
      <c r="J135" s="1" t="s">
        <v>16</v>
      </c>
      <c r="K135" s="1" t="s">
        <v>17</v>
      </c>
      <c r="L135" s="1" t="s">
        <v>17</v>
      </c>
      <c r="M135" s="1" t="s">
        <v>17</v>
      </c>
      <c r="N135" s="27" t="s">
        <v>605</v>
      </c>
      <c r="O135" s="1" t="s">
        <v>16</v>
      </c>
    </row>
    <row r="136" spans="1:15" x14ac:dyDescent="0.2">
      <c r="A136" s="9">
        <v>44137</v>
      </c>
      <c r="B136" s="1" t="s">
        <v>15</v>
      </c>
      <c r="C136" s="1">
        <v>12</v>
      </c>
      <c r="D136" s="1">
        <v>3</v>
      </c>
      <c r="E136" s="14">
        <v>56.6</v>
      </c>
      <c r="F136" s="1" t="s">
        <v>18</v>
      </c>
      <c r="G136" s="1">
        <v>2</v>
      </c>
      <c r="H136" s="1" t="s">
        <v>16</v>
      </c>
      <c r="I136" s="1" t="s">
        <v>16</v>
      </c>
      <c r="J136" s="1" t="s">
        <v>16</v>
      </c>
      <c r="K136" s="1" t="s">
        <v>17</v>
      </c>
      <c r="L136" s="1" t="s">
        <v>17</v>
      </c>
      <c r="M136" s="1" t="s">
        <v>17</v>
      </c>
      <c r="N136" s="27" t="s">
        <v>605</v>
      </c>
      <c r="O136" s="1" t="s">
        <v>16</v>
      </c>
    </row>
    <row r="137" spans="1:15" x14ac:dyDescent="0.2">
      <c r="A137" s="9">
        <v>44137</v>
      </c>
      <c r="B137" s="1" t="s">
        <v>15</v>
      </c>
      <c r="C137" s="1">
        <v>13</v>
      </c>
      <c r="D137" s="1">
        <v>3</v>
      </c>
      <c r="E137" s="14">
        <v>42.37</v>
      </c>
      <c r="F137" s="1" t="s">
        <v>18</v>
      </c>
      <c r="G137" s="1">
        <v>2</v>
      </c>
      <c r="H137" s="1" t="s">
        <v>16</v>
      </c>
      <c r="I137" s="1" t="s">
        <v>16</v>
      </c>
      <c r="J137" s="1" t="s">
        <v>16</v>
      </c>
      <c r="K137" s="1" t="s">
        <v>17</v>
      </c>
      <c r="L137" s="1" t="s">
        <v>17</v>
      </c>
      <c r="M137" s="1" t="s">
        <v>17</v>
      </c>
      <c r="N137" s="27" t="s">
        <v>605</v>
      </c>
      <c r="O137" s="1" t="s">
        <v>16</v>
      </c>
    </row>
    <row r="138" spans="1:15" x14ac:dyDescent="0.2">
      <c r="A138" s="9">
        <v>44137</v>
      </c>
      <c r="B138" s="1" t="s">
        <v>15</v>
      </c>
      <c r="C138" s="1">
        <v>14</v>
      </c>
      <c r="D138" s="1">
        <v>3</v>
      </c>
      <c r="E138" s="14">
        <v>48.04</v>
      </c>
      <c r="F138" s="1" t="s">
        <v>18</v>
      </c>
      <c r="G138" s="1">
        <v>3</v>
      </c>
      <c r="H138" s="1" t="s">
        <v>16</v>
      </c>
      <c r="I138" s="1" t="s">
        <v>16</v>
      </c>
      <c r="J138" s="1" t="s">
        <v>16</v>
      </c>
      <c r="K138" s="1" t="s">
        <v>17</v>
      </c>
      <c r="L138" s="1" t="s">
        <v>17</v>
      </c>
      <c r="M138" s="1" t="s">
        <v>17</v>
      </c>
      <c r="N138" s="27" t="s">
        <v>605</v>
      </c>
      <c r="O138" s="1" t="s">
        <v>16</v>
      </c>
    </row>
    <row r="139" spans="1:15" x14ac:dyDescent="0.2">
      <c r="A139" s="9">
        <v>44137</v>
      </c>
      <c r="B139" s="1" t="s">
        <v>15</v>
      </c>
      <c r="C139" s="1">
        <v>15</v>
      </c>
      <c r="D139" s="1">
        <v>3</v>
      </c>
      <c r="E139" s="14">
        <v>54.09</v>
      </c>
      <c r="F139" s="1" t="s">
        <v>19</v>
      </c>
      <c r="G139" s="1">
        <v>2</v>
      </c>
      <c r="H139" s="1" t="s">
        <v>16</v>
      </c>
      <c r="I139" s="1" t="s">
        <v>16</v>
      </c>
      <c r="J139" s="1" t="s">
        <v>16</v>
      </c>
      <c r="K139" s="1" t="s">
        <v>17</v>
      </c>
      <c r="L139" s="1" t="s">
        <v>17</v>
      </c>
      <c r="M139" s="1" t="s">
        <v>17</v>
      </c>
      <c r="N139" s="27" t="s">
        <v>605</v>
      </c>
      <c r="O139" s="1" t="s">
        <v>16</v>
      </c>
    </row>
    <row r="140" spans="1:15" x14ac:dyDescent="0.2">
      <c r="A140" s="9">
        <v>44167</v>
      </c>
      <c r="B140" s="1" t="s">
        <v>15</v>
      </c>
      <c r="C140" s="1">
        <v>1</v>
      </c>
      <c r="D140" s="1">
        <v>1</v>
      </c>
      <c r="E140" s="14">
        <v>60.6</v>
      </c>
      <c r="F140" s="1" t="s">
        <v>16</v>
      </c>
      <c r="G140" s="1">
        <v>4</v>
      </c>
      <c r="H140" s="1" t="s">
        <v>16</v>
      </c>
      <c r="I140" s="1" t="s">
        <v>16</v>
      </c>
      <c r="J140" s="1" t="s">
        <v>16</v>
      </c>
      <c r="K140" s="1" t="s">
        <v>17</v>
      </c>
      <c r="L140" s="1" t="s">
        <v>17</v>
      </c>
      <c r="M140" s="1" t="s">
        <v>17</v>
      </c>
      <c r="N140" s="27" t="s">
        <v>605</v>
      </c>
      <c r="O140" s="1" t="s">
        <v>16</v>
      </c>
    </row>
    <row r="141" spans="1:15" x14ac:dyDescent="0.2">
      <c r="A141" s="9">
        <v>44167</v>
      </c>
      <c r="B141" s="1" t="s">
        <v>15</v>
      </c>
      <c r="C141" s="1">
        <v>2</v>
      </c>
      <c r="D141" s="1">
        <v>1</v>
      </c>
      <c r="E141" s="14">
        <v>63.14</v>
      </c>
      <c r="F141" s="1" t="s">
        <v>18</v>
      </c>
      <c r="G141" s="1">
        <v>3</v>
      </c>
      <c r="H141" s="1" t="s">
        <v>16</v>
      </c>
      <c r="I141" s="1" t="s">
        <v>16</v>
      </c>
      <c r="J141" s="1" t="s">
        <v>16</v>
      </c>
      <c r="K141" s="1" t="s">
        <v>17</v>
      </c>
      <c r="L141" s="1" t="s">
        <v>17</v>
      </c>
      <c r="M141" s="1" t="s">
        <v>17</v>
      </c>
      <c r="N141" s="27" t="s">
        <v>605</v>
      </c>
      <c r="O141" s="1" t="s">
        <v>16</v>
      </c>
    </row>
    <row r="142" spans="1:15" x14ac:dyDescent="0.2">
      <c r="A142" s="9">
        <v>44167</v>
      </c>
      <c r="B142" s="1" t="s">
        <v>15</v>
      </c>
      <c r="C142" s="1">
        <v>3</v>
      </c>
      <c r="D142" s="1">
        <v>1</v>
      </c>
      <c r="E142" s="14">
        <v>45.24</v>
      </c>
      <c r="F142" s="1" t="s">
        <v>18</v>
      </c>
      <c r="G142" s="1">
        <v>3</v>
      </c>
      <c r="H142" s="1" t="s">
        <v>16</v>
      </c>
      <c r="I142" s="1" t="s">
        <v>16</v>
      </c>
      <c r="J142" s="1" t="s">
        <v>16</v>
      </c>
      <c r="K142" s="1" t="s">
        <v>17</v>
      </c>
      <c r="L142" s="1" t="s">
        <v>17</v>
      </c>
      <c r="M142" s="1" t="s">
        <v>17</v>
      </c>
      <c r="N142" s="27" t="s">
        <v>605</v>
      </c>
      <c r="O142" s="1" t="s">
        <v>16</v>
      </c>
    </row>
    <row r="143" spans="1:15" x14ac:dyDescent="0.2">
      <c r="A143" s="9">
        <v>44167</v>
      </c>
      <c r="B143" s="1" t="s">
        <v>15</v>
      </c>
      <c r="C143" s="1">
        <v>4</v>
      </c>
      <c r="D143" s="1">
        <v>1</v>
      </c>
      <c r="E143" s="14">
        <v>48</v>
      </c>
      <c r="F143" s="1" t="s">
        <v>19</v>
      </c>
      <c r="G143" s="1">
        <v>3</v>
      </c>
      <c r="H143" s="1" t="s">
        <v>16</v>
      </c>
      <c r="I143" s="1" t="s">
        <v>16</v>
      </c>
      <c r="J143" s="1" t="s">
        <v>16</v>
      </c>
      <c r="K143" s="1" t="s">
        <v>17</v>
      </c>
      <c r="L143" s="1" t="s">
        <v>17</v>
      </c>
      <c r="M143" s="1" t="s">
        <v>17</v>
      </c>
      <c r="N143" s="27" t="s">
        <v>605</v>
      </c>
      <c r="O143" s="1" t="s">
        <v>16</v>
      </c>
    </row>
    <row r="144" spans="1:15" x14ac:dyDescent="0.2">
      <c r="A144" s="9">
        <v>44167</v>
      </c>
      <c r="B144" s="1" t="s">
        <v>15</v>
      </c>
      <c r="C144" s="1">
        <v>5</v>
      </c>
      <c r="D144" s="1">
        <v>1</v>
      </c>
      <c r="E144" s="14">
        <v>67.64</v>
      </c>
      <c r="F144" s="1" t="s">
        <v>16</v>
      </c>
      <c r="G144" s="1">
        <v>4</v>
      </c>
      <c r="H144" s="1" t="s">
        <v>16</v>
      </c>
      <c r="I144" s="1" t="s">
        <v>16</v>
      </c>
      <c r="J144" s="1" t="s">
        <v>16</v>
      </c>
      <c r="K144" s="1" t="s">
        <v>17</v>
      </c>
      <c r="L144" s="1" t="s">
        <v>17</v>
      </c>
      <c r="M144" s="1" t="s">
        <v>17</v>
      </c>
      <c r="N144" s="27" t="s">
        <v>605</v>
      </c>
      <c r="O144" s="1" t="s">
        <v>16</v>
      </c>
    </row>
    <row r="145" spans="1:15" x14ac:dyDescent="0.2">
      <c r="A145" s="9">
        <v>44167</v>
      </c>
      <c r="B145" s="1" t="s">
        <v>15</v>
      </c>
      <c r="C145" s="1">
        <v>6</v>
      </c>
      <c r="D145" s="1">
        <v>2</v>
      </c>
      <c r="E145" s="14">
        <v>55.93</v>
      </c>
      <c r="F145" s="1" t="s">
        <v>16</v>
      </c>
      <c r="G145" s="1">
        <v>4</v>
      </c>
      <c r="H145" s="1" t="s">
        <v>16</v>
      </c>
      <c r="I145" s="1" t="s">
        <v>16</v>
      </c>
      <c r="J145" s="1" t="s">
        <v>16</v>
      </c>
      <c r="K145" s="1" t="s">
        <v>17</v>
      </c>
      <c r="L145" s="1" t="s">
        <v>17</v>
      </c>
      <c r="M145" s="1" t="s">
        <v>17</v>
      </c>
      <c r="N145" s="27" t="s">
        <v>605</v>
      </c>
      <c r="O145" s="1" t="s">
        <v>16</v>
      </c>
    </row>
    <row r="146" spans="1:15" x14ac:dyDescent="0.2">
      <c r="A146" s="9">
        <v>44167</v>
      </c>
      <c r="B146" s="1" t="s">
        <v>15</v>
      </c>
      <c r="C146" s="1">
        <v>7</v>
      </c>
      <c r="D146" s="1">
        <v>2</v>
      </c>
      <c r="E146" s="14">
        <v>65.89</v>
      </c>
      <c r="F146" s="1" t="s">
        <v>16</v>
      </c>
      <c r="G146" s="1">
        <v>4</v>
      </c>
      <c r="H146" s="1" t="s">
        <v>16</v>
      </c>
      <c r="I146" s="1" t="s">
        <v>16</v>
      </c>
      <c r="J146" s="1" t="s">
        <v>16</v>
      </c>
      <c r="K146" s="1" t="s">
        <v>17</v>
      </c>
      <c r="L146" s="1" t="s">
        <v>17</v>
      </c>
      <c r="M146" s="1" t="s">
        <v>17</v>
      </c>
      <c r="N146" s="27" t="s">
        <v>605</v>
      </c>
      <c r="O146" s="1" t="s">
        <v>16</v>
      </c>
    </row>
    <row r="147" spans="1:15" x14ac:dyDescent="0.2">
      <c r="A147" s="9">
        <v>44167</v>
      </c>
      <c r="B147" s="1" t="s">
        <v>15</v>
      </c>
      <c r="C147" s="1">
        <v>8</v>
      </c>
      <c r="D147" s="1">
        <v>2</v>
      </c>
      <c r="E147" s="14">
        <v>74.27</v>
      </c>
      <c r="F147" s="1" t="s">
        <v>16</v>
      </c>
      <c r="G147" s="1">
        <v>4</v>
      </c>
      <c r="H147" s="1" t="s">
        <v>16</v>
      </c>
      <c r="I147" s="1" t="s">
        <v>16</v>
      </c>
      <c r="J147" s="1" t="s">
        <v>16</v>
      </c>
      <c r="K147" s="1" t="s">
        <v>17</v>
      </c>
      <c r="L147" s="1" t="s">
        <v>17</v>
      </c>
      <c r="M147" s="1" t="s">
        <v>17</v>
      </c>
      <c r="N147" s="27" t="s">
        <v>605</v>
      </c>
      <c r="O147" s="1" t="s">
        <v>16</v>
      </c>
    </row>
    <row r="148" spans="1:15" x14ac:dyDescent="0.2">
      <c r="A148" s="9">
        <v>44167</v>
      </c>
      <c r="B148" s="1" t="s">
        <v>15</v>
      </c>
      <c r="C148" s="1">
        <v>9</v>
      </c>
      <c r="D148" s="1">
        <v>2</v>
      </c>
      <c r="E148" s="14">
        <v>59.7</v>
      </c>
      <c r="F148" s="1" t="s">
        <v>18</v>
      </c>
      <c r="G148" s="1">
        <v>3</v>
      </c>
      <c r="H148" s="1" t="s">
        <v>16</v>
      </c>
      <c r="I148" s="1" t="s">
        <v>16</v>
      </c>
      <c r="J148" s="1" t="s">
        <v>16</v>
      </c>
      <c r="K148" s="1" t="s">
        <v>17</v>
      </c>
      <c r="L148" s="1" t="s">
        <v>17</v>
      </c>
      <c r="M148" s="1" t="s">
        <v>17</v>
      </c>
      <c r="N148" s="27" t="s">
        <v>605</v>
      </c>
      <c r="O148" s="1" t="s">
        <v>16</v>
      </c>
    </row>
    <row r="149" spans="1:15" x14ac:dyDescent="0.2">
      <c r="A149" s="9">
        <v>44167</v>
      </c>
      <c r="B149" s="1" t="s">
        <v>15</v>
      </c>
      <c r="C149" s="1">
        <v>10</v>
      </c>
      <c r="D149" s="1">
        <v>2</v>
      </c>
      <c r="E149" s="14">
        <v>46.88</v>
      </c>
      <c r="F149" s="1" t="s">
        <v>18</v>
      </c>
      <c r="G149" s="1">
        <v>3</v>
      </c>
      <c r="H149" s="1" t="s">
        <v>16</v>
      </c>
      <c r="I149" s="1" t="s">
        <v>16</v>
      </c>
      <c r="J149" s="1" t="s">
        <v>16</v>
      </c>
      <c r="K149" s="1" t="s">
        <v>17</v>
      </c>
      <c r="L149" s="1" t="s">
        <v>17</v>
      </c>
      <c r="M149" s="1" t="s">
        <v>17</v>
      </c>
      <c r="N149" s="27" t="s">
        <v>605</v>
      </c>
      <c r="O149" s="1" t="s">
        <v>16</v>
      </c>
    </row>
    <row r="150" spans="1:15" x14ac:dyDescent="0.2">
      <c r="A150" s="9">
        <v>44167</v>
      </c>
      <c r="B150" s="1" t="s">
        <v>15</v>
      </c>
      <c r="C150" s="1">
        <v>11</v>
      </c>
      <c r="D150" s="1">
        <v>3</v>
      </c>
      <c r="E150" s="14">
        <v>66.28</v>
      </c>
      <c r="F150" s="1" t="s">
        <v>18</v>
      </c>
      <c r="G150" s="1">
        <v>3</v>
      </c>
      <c r="H150" s="1" t="s">
        <v>16</v>
      </c>
      <c r="I150" s="1" t="s">
        <v>16</v>
      </c>
      <c r="J150" s="1" t="s">
        <v>16</v>
      </c>
      <c r="K150" s="1" t="s">
        <v>17</v>
      </c>
      <c r="L150" s="1" t="s">
        <v>17</v>
      </c>
      <c r="M150" s="1" t="s">
        <v>17</v>
      </c>
      <c r="N150" s="27" t="s">
        <v>605</v>
      </c>
      <c r="O150" s="1" t="s">
        <v>16</v>
      </c>
    </row>
    <row r="151" spans="1:15" x14ac:dyDescent="0.2">
      <c r="A151" s="9">
        <v>44167</v>
      </c>
      <c r="B151" s="1" t="s">
        <v>15</v>
      </c>
      <c r="C151" s="1">
        <v>12</v>
      </c>
      <c r="D151" s="1">
        <v>3</v>
      </c>
      <c r="E151" s="14">
        <v>56.53</v>
      </c>
      <c r="F151" s="1" t="s">
        <v>18</v>
      </c>
      <c r="G151" s="1">
        <v>3</v>
      </c>
      <c r="H151" s="1" t="s">
        <v>16</v>
      </c>
      <c r="I151" s="1" t="s">
        <v>16</v>
      </c>
      <c r="J151" s="1" t="s">
        <v>16</v>
      </c>
      <c r="K151" s="1" t="s">
        <v>17</v>
      </c>
      <c r="L151" s="1" t="s">
        <v>17</v>
      </c>
      <c r="M151" s="1" t="s">
        <v>17</v>
      </c>
      <c r="N151" s="27" t="s">
        <v>605</v>
      </c>
      <c r="O151" s="1" t="s">
        <v>16</v>
      </c>
    </row>
    <row r="152" spans="1:15" x14ac:dyDescent="0.2">
      <c r="A152" s="9">
        <v>44167</v>
      </c>
      <c r="B152" s="1" t="s">
        <v>15</v>
      </c>
      <c r="C152" s="1">
        <v>13</v>
      </c>
      <c r="D152" s="1">
        <v>3</v>
      </c>
      <c r="E152" s="14">
        <v>47.27</v>
      </c>
      <c r="F152" s="1" t="s">
        <v>16</v>
      </c>
      <c r="G152" s="1">
        <v>4</v>
      </c>
      <c r="H152" s="1" t="s">
        <v>16</v>
      </c>
      <c r="I152" s="1" t="s">
        <v>16</v>
      </c>
      <c r="J152" s="1" t="s">
        <v>16</v>
      </c>
      <c r="K152" s="1" t="s">
        <v>17</v>
      </c>
      <c r="L152" s="1" t="s">
        <v>17</v>
      </c>
      <c r="M152" s="1" t="s">
        <v>17</v>
      </c>
      <c r="N152" s="27" t="s">
        <v>605</v>
      </c>
      <c r="O152" s="1" t="s">
        <v>16</v>
      </c>
    </row>
    <row r="153" spans="1:15" x14ac:dyDescent="0.2">
      <c r="A153" s="9">
        <v>44167</v>
      </c>
      <c r="B153" s="1" t="s">
        <v>15</v>
      </c>
      <c r="C153" s="1">
        <v>14</v>
      </c>
      <c r="D153" s="1">
        <v>3</v>
      </c>
      <c r="E153" s="14">
        <v>48</v>
      </c>
      <c r="F153" s="1" t="s">
        <v>19</v>
      </c>
      <c r="G153" s="1">
        <v>3</v>
      </c>
      <c r="H153" s="1" t="s">
        <v>16</v>
      </c>
      <c r="I153" s="1" t="s">
        <v>16</v>
      </c>
      <c r="J153" s="1" t="s">
        <v>16</v>
      </c>
      <c r="K153" s="1" t="s">
        <v>17</v>
      </c>
      <c r="L153" s="1" t="s">
        <v>17</v>
      </c>
      <c r="M153" s="1" t="s">
        <v>17</v>
      </c>
      <c r="N153" s="27" t="s">
        <v>605</v>
      </c>
      <c r="O153" s="1" t="s">
        <v>16</v>
      </c>
    </row>
    <row r="154" spans="1:15" x14ac:dyDescent="0.2">
      <c r="A154" s="9">
        <v>44167</v>
      </c>
      <c r="B154" s="1" t="s">
        <v>15</v>
      </c>
      <c r="C154" s="1">
        <v>15</v>
      </c>
      <c r="D154" s="1">
        <v>3</v>
      </c>
      <c r="E154" s="14">
        <v>52.78</v>
      </c>
      <c r="F154" s="1" t="s">
        <v>18</v>
      </c>
      <c r="G154" s="1">
        <v>3</v>
      </c>
      <c r="H154" s="1" t="s">
        <v>16</v>
      </c>
      <c r="I154" s="1" t="s">
        <v>16</v>
      </c>
      <c r="J154" s="1" t="s">
        <v>16</v>
      </c>
      <c r="K154" s="1" t="s">
        <v>17</v>
      </c>
      <c r="L154" s="1" t="s">
        <v>17</v>
      </c>
      <c r="M154" s="1" t="s">
        <v>17</v>
      </c>
      <c r="N154" s="27" t="s">
        <v>605</v>
      </c>
      <c r="O154" s="1" t="s">
        <v>16</v>
      </c>
    </row>
    <row r="155" spans="1:15" x14ac:dyDescent="0.2">
      <c r="A155" s="9">
        <v>44201</v>
      </c>
      <c r="B155" s="1" t="s">
        <v>15</v>
      </c>
      <c r="C155" s="1">
        <v>1</v>
      </c>
      <c r="D155" s="1">
        <v>1</v>
      </c>
      <c r="E155" s="14">
        <v>45.66</v>
      </c>
      <c r="F155" s="1" t="s">
        <v>16</v>
      </c>
      <c r="G155" s="1">
        <v>4</v>
      </c>
      <c r="H155" s="1" t="s">
        <v>16</v>
      </c>
      <c r="I155" s="1" t="s">
        <v>16</v>
      </c>
      <c r="J155" s="1" t="s">
        <v>16</v>
      </c>
      <c r="K155" s="1" t="s">
        <v>17</v>
      </c>
      <c r="L155" s="1" t="s">
        <v>17</v>
      </c>
      <c r="M155" s="1" t="s">
        <v>21</v>
      </c>
      <c r="N155" s="27" t="s">
        <v>605</v>
      </c>
      <c r="O155" s="1" t="s">
        <v>16</v>
      </c>
    </row>
    <row r="156" spans="1:15" x14ac:dyDescent="0.2">
      <c r="A156" s="9">
        <v>44201</v>
      </c>
      <c r="B156" s="1" t="s">
        <v>15</v>
      </c>
      <c r="C156" s="1">
        <v>2</v>
      </c>
      <c r="D156" s="1">
        <v>1</v>
      </c>
      <c r="E156" s="14">
        <v>59.39</v>
      </c>
      <c r="F156" s="1" t="s">
        <v>16</v>
      </c>
      <c r="G156" s="1">
        <v>4</v>
      </c>
      <c r="H156" s="1" t="s">
        <v>16</v>
      </c>
      <c r="I156" s="1" t="s">
        <v>16</v>
      </c>
      <c r="J156" s="1" t="s">
        <v>16</v>
      </c>
      <c r="K156" s="1" t="s">
        <v>17</v>
      </c>
      <c r="L156" s="1" t="s">
        <v>17</v>
      </c>
      <c r="M156" s="1" t="s">
        <v>17</v>
      </c>
      <c r="N156" s="27" t="s">
        <v>605</v>
      </c>
      <c r="O156" s="1" t="s">
        <v>16</v>
      </c>
    </row>
    <row r="157" spans="1:15" x14ac:dyDescent="0.2">
      <c r="A157" s="9">
        <v>44201</v>
      </c>
      <c r="B157" s="1" t="s">
        <v>15</v>
      </c>
      <c r="C157" s="1">
        <v>3</v>
      </c>
      <c r="D157" s="1">
        <v>1</v>
      </c>
      <c r="E157" s="14">
        <v>49.61</v>
      </c>
      <c r="F157" s="1" t="s">
        <v>16</v>
      </c>
      <c r="G157" s="1">
        <v>4</v>
      </c>
      <c r="H157" s="1" t="s">
        <v>16</v>
      </c>
      <c r="I157" s="1" t="s">
        <v>16</v>
      </c>
      <c r="J157" s="1" t="s">
        <v>16</v>
      </c>
      <c r="K157" s="1" t="s">
        <v>17</v>
      </c>
      <c r="L157" s="1" t="s">
        <v>17</v>
      </c>
      <c r="M157" s="1" t="s">
        <v>17</v>
      </c>
      <c r="N157" s="27" t="s">
        <v>605</v>
      </c>
      <c r="O157" s="1" t="s">
        <v>16</v>
      </c>
    </row>
    <row r="158" spans="1:15" x14ac:dyDescent="0.2">
      <c r="A158" s="9">
        <v>44201</v>
      </c>
      <c r="B158" s="1" t="s">
        <v>15</v>
      </c>
      <c r="C158" s="1">
        <v>4</v>
      </c>
      <c r="D158" s="1">
        <v>1</v>
      </c>
      <c r="E158" s="14">
        <v>67.83</v>
      </c>
      <c r="F158" s="1" t="s">
        <v>16</v>
      </c>
      <c r="G158" s="1">
        <v>4</v>
      </c>
      <c r="H158" s="1" t="s">
        <v>16</v>
      </c>
      <c r="I158" s="1" t="s">
        <v>16</v>
      </c>
      <c r="J158" s="1" t="s">
        <v>16</v>
      </c>
      <c r="K158" s="1" t="s">
        <v>17</v>
      </c>
      <c r="L158" s="1" t="s">
        <v>17</v>
      </c>
      <c r="M158" s="1" t="s">
        <v>17</v>
      </c>
      <c r="N158" s="27" t="s">
        <v>605</v>
      </c>
      <c r="O158" s="1" t="s">
        <v>16</v>
      </c>
    </row>
    <row r="159" spans="1:15" x14ac:dyDescent="0.2">
      <c r="A159" s="9">
        <v>44201</v>
      </c>
      <c r="B159" s="1" t="s">
        <v>15</v>
      </c>
      <c r="C159" s="1">
        <v>5</v>
      </c>
      <c r="D159" s="1">
        <v>1</v>
      </c>
      <c r="E159" s="14">
        <v>43.07</v>
      </c>
      <c r="F159" s="1" t="s">
        <v>16</v>
      </c>
      <c r="G159" s="1">
        <v>4</v>
      </c>
      <c r="H159" s="1" t="s">
        <v>16</v>
      </c>
      <c r="I159" s="1" t="s">
        <v>16</v>
      </c>
      <c r="J159" s="1" t="s">
        <v>16</v>
      </c>
      <c r="K159" s="1" t="s">
        <v>17</v>
      </c>
      <c r="L159" s="1" t="s">
        <v>17</v>
      </c>
      <c r="M159" s="1" t="s">
        <v>17</v>
      </c>
      <c r="N159" s="27" t="s">
        <v>605</v>
      </c>
      <c r="O159" s="1" t="s">
        <v>16</v>
      </c>
    </row>
    <row r="160" spans="1:15" x14ac:dyDescent="0.2">
      <c r="A160" s="9">
        <v>44201</v>
      </c>
      <c r="B160" s="1" t="s">
        <v>15</v>
      </c>
      <c r="C160" s="1">
        <v>6</v>
      </c>
      <c r="D160" s="1">
        <v>2</v>
      </c>
      <c r="E160" s="14">
        <v>68.89</v>
      </c>
      <c r="F160" s="1" t="s">
        <v>16</v>
      </c>
      <c r="G160" s="1">
        <v>4</v>
      </c>
      <c r="H160" s="1" t="s">
        <v>16</v>
      </c>
      <c r="I160" s="1" t="s">
        <v>16</v>
      </c>
      <c r="J160" s="1" t="s">
        <v>16</v>
      </c>
      <c r="K160" s="1" t="s">
        <v>17</v>
      </c>
      <c r="L160" s="1" t="s">
        <v>17</v>
      </c>
      <c r="M160" s="1" t="s">
        <v>21</v>
      </c>
      <c r="N160" s="27" t="s">
        <v>605</v>
      </c>
      <c r="O160" s="1" t="s">
        <v>16</v>
      </c>
    </row>
    <row r="161" spans="1:15" x14ac:dyDescent="0.2">
      <c r="A161" s="9">
        <v>44201</v>
      </c>
      <c r="B161" s="1" t="s">
        <v>15</v>
      </c>
      <c r="C161" s="1">
        <v>7</v>
      </c>
      <c r="D161" s="1">
        <v>2</v>
      </c>
      <c r="E161" s="14">
        <v>66.08</v>
      </c>
      <c r="F161" s="1" t="s">
        <v>16</v>
      </c>
      <c r="G161" s="1">
        <v>4</v>
      </c>
      <c r="H161" s="1" t="s">
        <v>16</v>
      </c>
      <c r="I161" s="1" t="s">
        <v>16</v>
      </c>
      <c r="J161" s="1" t="s">
        <v>16</v>
      </c>
      <c r="K161" s="1" t="s">
        <v>17</v>
      </c>
      <c r="L161" s="1" t="s">
        <v>17</v>
      </c>
      <c r="M161" s="1" t="s">
        <v>17</v>
      </c>
      <c r="N161" s="27" t="s">
        <v>605</v>
      </c>
      <c r="O161" s="1" t="s">
        <v>16</v>
      </c>
    </row>
    <row r="162" spans="1:15" x14ac:dyDescent="0.2">
      <c r="A162" s="9">
        <v>44201</v>
      </c>
      <c r="B162" s="1" t="s">
        <v>15</v>
      </c>
      <c r="C162" s="1">
        <v>8</v>
      </c>
      <c r="D162" s="1">
        <v>2</v>
      </c>
      <c r="E162" s="14">
        <v>53.11</v>
      </c>
      <c r="F162" s="1" t="s">
        <v>16</v>
      </c>
      <c r="G162" s="1">
        <v>4</v>
      </c>
      <c r="H162" s="1" t="s">
        <v>16</v>
      </c>
      <c r="I162" s="1" t="s">
        <v>16</v>
      </c>
      <c r="J162" s="1" t="s">
        <v>16</v>
      </c>
      <c r="K162" s="1" t="s">
        <v>17</v>
      </c>
      <c r="L162" s="1" t="s">
        <v>17</v>
      </c>
      <c r="M162" s="1" t="s">
        <v>21</v>
      </c>
      <c r="N162" s="27" t="s">
        <v>605</v>
      </c>
      <c r="O162" s="1" t="s">
        <v>16</v>
      </c>
    </row>
    <row r="163" spans="1:15" x14ac:dyDescent="0.2">
      <c r="A163" s="9">
        <v>44201</v>
      </c>
      <c r="B163" s="1" t="s">
        <v>15</v>
      </c>
      <c r="C163" s="1">
        <v>9</v>
      </c>
      <c r="D163" s="1">
        <v>2</v>
      </c>
      <c r="E163" s="14">
        <v>70.58</v>
      </c>
      <c r="F163" s="1" t="s">
        <v>18</v>
      </c>
      <c r="G163" s="1">
        <v>1</v>
      </c>
      <c r="H163" s="1" t="s">
        <v>16</v>
      </c>
      <c r="I163" s="1" t="s">
        <v>16</v>
      </c>
      <c r="J163" s="1" t="s">
        <v>16</v>
      </c>
      <c r="K163" s="1" t="s">
        <v>17</v>
      </c>
      <c r="L163" s="1" t="s">
        <v>17</v>
      </c>
      <c r="M163" s="1" t="s">
        <v>17</v>
      </c>
      <c r="N163" s="27" t="s">
        <v>605</v>
      </c>
      <c r="O163" s="1" t="s">
        <v>16</v>
      </c>
    </row>
    <row r="164" spans="1:15" x14ac:dyDescent="0.2">
      <c r="A164" s="9">
        <v>44201</v>
      </c>
      <c r="B164" s="1" t="s">
        <v>15</v>
      </c>
      <c r="C164" s="1">
        <v>10</v>
      </c>
      <c r="D164" s="1">
        <v>2</v>
      </c>
      <c r="E164" s="14">
        <v>58.43</v>
      </c>
      <c r="F164" s="1" t="s">
        <v>16</v>
      </c>
      <c r="G164" s="1" t="s">
        <v>16</v>
      </c>
      <c r="H164" s="1" t="s">
        <v>16</v>
      </c>
      <c r="I164" s="1" t="s">
        <v>16</v>
      </c>
      <c r="J164" s="1" t="s">
        <v>16</v>
      </c>
      <c r="K164" s="1" t="s">
        <v>17</v>
      </c>
      <c r="L164" s="1" t="s">
        <v>17</v>
      </c>
      <c r="M164" s="1" t="s">
        <v>21</v>
      </c>
      <c r="N164" s="27" t="s">
        <v>605</v>
      </c>
      <c r="O164" s="1" t="s">
        <v>16</v>
      </c>
    </row>
    <row r="165" spans="1:15" x14ac:dyDescent="0.2">
      <c r="A165" s="9">
        <v>44201</v>
      </c>
      <c r="B165" s="1" t="s">
        <v>15</v>
      </c>
      <c r="C165" s="1">
        <v>11</v>
      </c>
      <c r="D165" s="1">
        <v>3</v>
      </c>
      <c r="E165" s="14">
        <v>56.22</v>
      </c>
      <c r="F165" s="1" t="s">
        <v>18</v>
      </c>
      <c r="G165" s="1">
        <v>1</v>
      </c>
      <c r="H165" s="1" t="s">
        <v>16</v>
      </c>
      <c r="I165" s="1" t="s">
        <v>16</v>
      </c>
      <c r="J165" s="1" t="s">
        <v>16</v>
      </c>
      <c r="K165" s="1" t="s">
        <v>17</v>
      </c>
      <c r="L165" s="1" t="s">
        <v>17</v>
      </c>
      <c r="M165" s="1" t="s">
        <v>17</v>
      </c>
      <c r="N165" s="27" t="s">
        <v>605</v>
      </c>
      <c r="O165" s="1" t="s">
        <v>16</v>
      </c>
    </row>
    <row r="166" spans="1:15" x14ac:dyDescent="0.2">
      <c r="A166" s="9">
        <v>44201</v>
      </c>
      <c r="B166" s="1" t="s">
        <v>15</v>
      </c>
      <c r="C166" s="1">
        <v>12</v>
      </c>
      <c r="D166" s="1">
        <v>3</v>
      </c>
      <c r="E166" s="14">
        <v>72.06</v>
      </c>
      <c r="F166" s="1" t="s">
        <v>16</v>
      </c>
      <c r="G166" s="1" t="s">
        <v>16</v>
      </c>
      <c r="H166" s="1" t="s">
        <v>16</v>
      </c>
      <c r="I166" s="1" t="s">
        <v>16</v>
      </c>
      <c r="J166" s="1" t="s">
        <v>16</v>
      </c>
      <c r="K166" s="1" t="s">
        <v>17</v>
      </c>
      <c r="L166" s="1" t="s">
        <v>17</v>
      </c>
      <c r="M166" s="1" t="s">
        <v>21</v>
      </c>
      <c r="N166" s="27" t="s">
        <v>605</v>
      </c>
      <c r="O166" s="1" t="s">
        <v>16</v>
      </c>
    </row>
    <row r="167" spans="1:15" x14ac:dyDescent="0.2">
      <c r="A167" s="9">
        <v>44201</v>
      </c>
      <c r="B167" s="1" t="s">
        <v>15</v>
      </c>
      <c r="C167" s="1">
        <v>13</v>
      </c>
      <c r="D167" s="1">
        <v>3</v>
      </c>
      <c r="E167" s="14">
        <v>61.98</v>
      </c>
      <c r="F167" s="1" t="s">
        <v>16</v>
      </c>
      <c r="G167" s="1" t="s">
        <v>16</v>
      </c>
      <c r="H167" s="1" t="s">
        <v>16</v>
      </c>
      <c r="I167" s="1" t="s">
        <v>16</v>
      </c>
      <c r="J167" s="1" t="s">
        <v>16</v>
      </c>
      <c r="K167" s="1" t="s">
        <v>17</v>
      </c>
      <c r="L167" s="1" t="s">
        <v>17</v>
      </c>
      <c r="M167" s="1" t="s">
        <v>21</v>
      </c>
      <c r="N167" s="27" t="s">
        <v>605</v>
      </c>
      <c r="O167" s="1" t="s">
        <v>16</v>
      </c>
    </row>
    <row r="168" spans="1:15" x14ac:dyDescent="0.2">
      <c r="A168" s="9">
        <v>44201</v>
      </c>
      <c r="B168" s="1" t="s">
        <v>15</v>
      </c>
      <c r="C168" s="1">
        <v>14</v>
      </c>
      <c r="D168" s="1">
        <v>3</v>
      </c>
      <c r="E168" s="14">
        <v>49.82</v>
      </c>
      <c r="F168" s="1" t="s">
        <v>16</v>
      </c>
      <c r="G168" s="1">
        <v>4</v>
      </c>
      <c r="H168" s="1" t="s">
        <v>16</v>
      </c>
      <c r="I168" s="1" t="s">
        <v>16</v>
      </c>
      <c r="J168" s="1" t="s">
        <v>16</v>
      </c>
      <c r="K168" s="1" t="s">
        <v>17</v>
      </c>
      <c r="L168" s="1" t="s">
        <v>17</v>
      </c>
      <c r="M168" s="1" t="s">
        <v>17</v>
      </c>
      <c r="N168" s="27" t="s">
        <v>605</v>
      </c>
      <c r="O168" s="1" t="s">
        <v>16</v>
      </c>
    </row>
    <row r="169" spans="1:15" x14ac:dyDescent="0.2">
      <c r="A169" s="9">
        <v>44201</v>
      </c>
      <c r="B169" s="1" t="s">
        <v>15</v>
      </c>
      <c r="C169" s="1">
        <v>15</v>
      </c>
      <c r="D169" s="1">
        <v>3</v>
      </c>
      <c r="E169" s="14">
        <v>51.18</v>
      </c>
      <c r="F169" s="1" t="s">
        <v>16</v>
      </c>
      <c r="G169" s="1">
        <v>4</v>
      </c>
      <c r="H169" s="1" t="s">
        <v>16</v>
      </c>
      <c r="I169" s="1" t="s">
        <v>16</v>
      </c>
      <c r="J169" s="1" t="s">
        <v>16</v>
      </c>
      <c r="K169" s="1" t="s">
        <v>17</v>
      </c>
      <c r="L169" s="1" t="s">
        <v>17</v>
      </c>
      <c r="M169" s="1" t="s">
        <v>17</v>
      </c>
      <c r="N169" s="27" t="s">
        <v>605</v>
      </c>
      <c r="O169" s="1" t="s">
        <v>16</v>
      </c>
    </row>
    <row r="170" spans="1:15" x14ac:dyDescent="0.2">
      <c r="A170" s="9">
        <v>44230</v>
      </c>
      <c r="B170" s="1" t="s">
        <v>15</v>
      </c>
      <c r="C170" s="1">
        <v>1</v>
      </c>
      <c r="D170" s="1">
        <v>1</v>
      </c>
      <c r="E170" s="14">
        <v>53.13</v>
      </c>
      <c r="F170" s="1" t="s">
        <v>16</v>
      </c>
      <c r="G170" s="1">
        <v>4</v>
      </c>
      <c r="H170" s="1" t="s">
        <v>16</v>
      </c>
      <c r="I170" s="1" t="s">
        <v>16</v>
      </c>
      <c r="J170" s="1" t="s">
        <v>16</v>
      </c>
      <c r="K170" s="1" t="s">
        <v>17</v>
      </c>
      <c r="L170" s="1" t="s">
        <v>17</v>
      </c>
      <c r="M170" s="1" t="s">
        <v>17</v>
      </c>
      <c r="N170" s="27" t="s">
        <v>605</v>
      </c>
      <c r="O170" s="1" t="s">
        <v>16</v>
      </c>
    </row>
    <row r="171" spans="1:15" x14ac:dyDescent="0.2">
      <c r="A171" s="9">
        <v>44230</v>
      </c>
      <c r="B171" s="1" t="s">
        <v>15</v>
      </c>
      <c r="C171" s="1">
        <v>2</v>
      </c>
      <c r="D171" s="1">
        <v>1</v>
      </c>
      <c r="E171" s="14">
        <v>58.34</v>
      </c>
      <c r="F171" s="1" t="s">
        <v>18</v>
      </c>
      <c r="G171" s="1">
        <v>1</v>
      </c>
      <c r="H171" s="1" t="s">
        <v>16</v>
      </c>
      <c r="I171" s="1" t="s">
        <v>16</v>
      </c>
      <c r="J171" s="1" t="s">
        <v>16</v>
      </c>
      <c r="K171" s="1" t="s">
        <v>17</v>
      </c>
      <c r="L171" s="1" t="s">
        <v>17</v>
      </c>
      <c r="M171" s="1" t="s">
        <v>17</v>
      </c>
      <c r="N171" s="27" t="s">
        <v>605</v>
      </c>
      <c r="O171" s="1" t="s">
        <v>16</v>
      </c>
    </row>
    <row r="172" spans="1:15" x14ac:dyDescent="0.2">
      <c r="A172" s="9">
        <v>44230</v>
      </c>
      <c r="B172" s="1" t="s">
        <v>15</v>
      </c>
      <c r="C172" s="1">
        <v>3</v>
      </c>
      <c r="D172" s="1">
        <v>1</v>
      </c>
      <c r="E172" s="14">
        <v>43.85</v>
      </c>
      <c r="F172" s="1" t="s">
        <v>16</v>
      </c>
      <c r="G172" s="1">
        <v>4</v>
      </c>
      <c r="H172" s="1" t="s">
        <v>16</v>
      </c>
      <c r="I172" s="1" t="s">
        <v>16</v>
      </c>
      <c r="J172" s="1" t="s">
        <v>16</v>
      </c>
      <c r="K172" s="1" t="s">
        <v>17</v>
      </c>
      <c r="L172" s="1" t="s">
        <v>17</v>
      </c>
      <c r="M172" s="1" t="s">
        <v>17</v>
      </c>
      <c r="N172" s="27" t="s">
        <v>605</v>
      </c>
      <c r="O172" s="1" t="s">
        <v>16</v>
      </c>
    </row>
    <row r="173" spans="1:15" x14ac:dyDescent="0.2">
      <c r="A173" s="9">
        <v>44230</v>
      </c>
      <c r="B173" s="1" t="s">
        <v>15</v>
      </c>
      <c r="C173" s="1">
        <v>4</v>
      </c>
      <c r="D173" s="1">
        <v>1</v>
      </c>
      <c r="E173" s="14">
        <v>44.34</v>
      </c>
      <c r="F173" s="1" t="s">
        <v>18</v>
      </c>
      <c r="G173" s="1">
        <v>1</v>
      </c>
      <c r="H173" s="1" t="s">
        <v>16</v>
      </c>
      <c r="I173" s="1" t="s">
        <v>16</v>
      </c>
      <c r="J173" s="1" t="s">
        <v>16</v>
      </c>
      <c r="K173" s="1" t="s">
        <v>17</v>
      </c>
      <c r="L173" s="1" t="s">
        <v>17</v>
      </c>
      <c r="M173" s="1" t="s">
        <v>17</v>
      </c>
      <c r="N173" s="27" t="s">
        <v>605</v>
      </c>
      <c r="O173" s="1" t="s">
        <v>16</v>
      </c>
    </row>
    <row r="174" spans="1:15" x14ac:dyDescent="0.2">
      <c r="A174" s="9">
        <v>44230</v>
      </c>
      <c r="B174" s="1" t="s">
        <v>15</v>
      </c>
      <c r="C174" s="1">
        <v>5</v>
      </c>
      <c r="D174" s="1">
        <v>1</v>
      </c>
      <c r="E174" s="14">
        <v>52.43</v>
      </c>
      <c r="F174" s="1" t="s">
        <v>18</v>
      </c>
      <c r="G174" s="1">
        <v>1</v>
      </c>
      <c r="H174" s="1" t="s">
        <v>16</v>
      </c>
      <c r="I174" s="1" t="s">
        <v>16</v>
      </c>
      <c r="J174" s="1" t="s">
        <v>16</v>
      </c>
      <c r="K174" s="1" t="s">
        <v>17</v>
      </c>
      <c r="L174" s="1" t="s">
        <v>17</v>
      </c>
      <c r="M174" s="1" t="s">
        <v>17</v>
      </c>
      <c r="N174" s="27" t="s">
        <v>605</v>
      </c>
      <c r="O174" s="1" t="s">
        <v>16</v>
      </c>
    </row>
    <row r="175" spans="1:15" x14ac:dyDescent="0.2">
      <c r="A175" s="9">
        <v>44230</v>
      </c>
      <c r="B175" s="1" t="s">
        <v>15</v>
      </c>
      <c r="C175" s="1">
        <v>6</v>
      </c>
      <c r="D175" s="1">
        <v>2</v>
      </c>
      <c r="E175" s="14">
        <v>51.24</v>
      </c>
      <c r="F175" s="1" t="s">
        <v>16</v>
      </c>
      <c r="G175" s="1">
        <v>4</v>
      </c>
      <c r="H175" s="1" t="s">
        <v>16</v>
      </c>
      <c r="I175" s="1" t="s">
        <v>16</v>
      </c>
      <c r="J175" s="1" t="s">
        <v>16</v>
      </c>
      <c r="K175" s="1" t="s">
        <v>17</v>
      </c>
      <c r="L175" s="1" t="s">
        <v>17</v>
      </c>
      <c r="M175" s="1" t="s">
        <v>17</v>
      </c>
      <c r="N175" s="27" t="s">
        <v>605</v>
      </c>
      <c r="O175" s="1" t="s">
        <v>16</v>
      </c>
    </row>
    <row r="176" spans="1:15" x14ac:dyDescent="0.2">
      <c r="A176" s="9">
        <v>44230</v>
      </c>
      <c r="B176" s="1" t="s">
        <v>15</v>
      </c>
      <c r="C176" s="1">
        <v>7</v>
      </c>
      <c r="D176" s="1">
        <v>2</v>
      </c>
      <c r="E176" s="14">
        <v>73.959999999999994</v>
      </c>
      <c r="F176" s="1" t="s">
        <v>18</v>
      </c>
      <c r="G176" s="1">
        <v>1</v>
      </c>
      <c r="H176" s="1" t="s">
        <v>16</v>
      </c>
      <c r="I176" s="1" t="s">
        <v>16</v>
      </c>
      <c r="J176" s="1" t="s">
        <v>16</v>
      </c>
      <c r="K176" s="1" t="s">
        <v>21</v>
      </c>
      <c r="L176" s="1" t="s">
        <v>17</v>
      </c>
      <c r="M176" s="1" t="s">
        <v>17</v>
      </c>
      <c r="N176" s="27" t="s">
        <v>605</v>
      </c>
      <c r="O176" s="1" t="s">
        <v>16</v>
      </c>
    </row>
    <row r="177" spans="1:15" x14ac:dyDescent="0.2">
      <c r="A177" s="9">
        <v>44230</v>
      </c>
      <c r="B177" s="1" t="s">
        <v>15</v>
      </c>
      <c r="C177" s="1">
        <v>8</v>
      </c>
      <c r="D177" s="1">
        <v>2</v>
      </c>
      <c r="E177" s="14">
        <v>73.650000000000006</v>
      </c>
      <c r="F177" s="1" t="s">
        <v>16</v>
      </c>
      <c r="G177" s="1">
        <v>4</v>
      </c>
      <c r="H177" s="1" t="s">
        <v>16</v>
      </c>
      <c r="I177" s="1" t="s">
        <v>16</v>
      </c>
      <c r="J177" s="1" t="s">
        <v>16</v>
      </c>
      <c r="K177" s="1" t="s">
        <v>17</v>
      </c>
      <c r="L177" s="1" t="s">
        <v>17</v>
      </c>
      <c r="M177" s="1" t="s">
        <v>17</v>
      </c>
      <c r="N177" s="27" t="s">
        <v>605</v>
      </c>
      <c r="O177" s="1" t="s">
        <v>16</v>
      </c>
    </row>
    <row r="178" spans="1:15" x14ac:dyDescent="0.2">
      <c r="A178" s="9">
        <v>44230</v>
      </c>
      <c r="B178" s="1" t="s">
        <v>15</v>
      </c>
      <c r="C178" s="1">
        <v>9</v>
      </c>
      <c r="D178" s="1">
        <v>2</v>
      </c>
      <c r="E178" s="14">
        <v>56.76</v>
      </c>
      <c r="F178" s="1" t="s">
        <v>16</v>
      </c>
      <c r="G178" s="1">
        <v>4</v>
      </c>
      <c r="H178" s="1" t="s">
        <v>16</v>
      </c>
      <c r="I178" s="1" t="s">
        <v>16</v>
      </c>
      <c r="J178" s="1" t="s">
        <v>16</v>
      </c>
      <c r="K178" s="1" t="s">
        <v>17</v>
      </c>
      <c r="L178" s="1" t="s">
        <v>17</v>
      </c>
      <c r="M178" s="1" t="s">
        <v>17</v>
      </c>
      <c r="N178" s="27" t="s">
        <v>605</v>
      </c>
      <c r="O178" s="1" t="s">
        <v>16</v>
      </c>
    </row>
    <row r="179" spans="1:15" x14ac:dyDescent="0.2">
      <c r="A179" s="9">
        <v>44230</v>
      </c>
      <c r="B179" s="1" t="s">
        <v>15</v>
      </c>
      <c r="C179" s="1">
        <v>10</v>
      </c>
      <c r="D179" s="1">
        <v>2</v>
      </c>
      <c r="E179" s="14">
        <v>44.35</v>
      </c>
      <c r="F179" s="1" t="s">
        <v>18</v>
      </c>
      <c r="G179" s="1">
        <v>1</v>
      </c>
      <c r="H179" s="1" t="s">
        <v>16</v>
      </c>
      <c r="I179" s="1" t="s">
        <v>16</v>
      </c>
      <c r="J179" s="1" t="s">
        <v>16</v>
      </c>
      <c r="K179" s="1" t="s">
        <v>17</v>
      </c>
      <c r="L179" s="1" t="s">
        <v>17</v>
      </c>
      <c r="M179" s="1" t="s">
        <v>17</v>
      </c>
      <c r="N179" s="27" t="s">
        <v>605</v>
      </c>
      <c r="O179" s="1" t="s">
        <v>16</v>
      </c>
    </row>
    <row r="180" spans="1:15" x14ac:dyDescent="0.2">
      <c r="A180" s="9">
        <v>44230</v>
      </c>
      <c r="B180" s="1" t="s">
        <v>15</v>
      </c>
      <c r="C180" s="1">
        <v>11</v>
      </c>
      <c r="D180" s="1">
        <v>3</v>
      </c>
      <c r="E180" s="14">
        <v>38.909999999999997</v>
      </c>
      <c r="F180" s="1" t="s">
        <v>18</v>
      </c>
      <c r="G180" s="1">
        <v>1</v>
      </c>
      <c r="H180" s="1" t="s">
        <v>16</v>
      </c>
      <c r="I180" s="1" t="s">
        <v>16</v>
      </c>
      <c r="J180" s="1" t="s">
        <v>16</v>
      </c>
      <c r="K180" s="1" t="s">
        <v>17</v>
      </c>
      <c r="L180" s="1" t="s">
        <v>17</v>
      </c>
      <c r="M180" s="1" t="s">
        <v>17</v>
      </c>
      <c r="N180" s="27" t="s">
        <v>605</v>
      </c>
      <c r="O180" s="1" t="s">
        <v>16</v>
      </c>
    </row>
    <row r="181" spans="1:15" x14ac:dyDescent="0.2">
      <c r="A181" s="9">
        <v>44230</v>
      </c>
      <c r="B181" s="1" t="s">
        <v>15</v>
      </c>
      <c r="C181" s="1">
        <v>12</v>
      </c>
      <c r="D181" s="1">
        <v>3</v>
      </c>
      <c r="E181" s="14">
        <v>61.28</v>
      </c>
      <c r="F181" s="1" t="s">
        <v>16</v>
      </c>
      <c r="G181" s="1">
        <v>4</v>
      </c>
      <c r="H181" s="1" t="s">
        <v>16</v>
      </c>
      <c r="I181" s="1" t="s">
        <v>16</v>
      </c>
      <c r="J181" s="1" t="s">
        <v>16</v>
      </c>
      <c r="K181" s="1" t="s">
        <v>17</v>
      </c>
      <c r="L181" s="1" t="s">
        <v>17</v>
      </c>
      <c r="M181" s="1" t="s">
        <v>17</v>
      </c>
      <c r="N181" s="27" t="s">
        <v>605</v>
      </c>
      <c r="O181" s="1" t="s">
        <v>16</v>
      </c>
    </row>
    <row r="182" spans="1:15" x14ac:dyDescent="0.2">
      <c r="A182" s="9">
        <v>44230</v>
      </c>
      <c r="B182" s="1" t="s">
        <v>15</v>
      </c>
      <c r="C182" s="1">
        <v>13</v>
      </c>
      <c r="D182" s="1">
        <v>3</v>
      </c>
      <c r="E182" s="14">
        <v>40.9</v>
      </c>
      <c r="F182" s="1" t="s">
        <v>18</v>
      </c>
      <c r="G182" s="1">
        <v>2</v>
      </c>
      <c r="H182" s="1" t="s">
        <v>16</v>
      </c>
      <c r="I182" s="1" t="s">
        <v>16</v>
      </c>
      <c r="J182" s="1" t="s">
        <v>16</v>
      </c>
      <c r="K182" s="1" t="s">
        <v>17</v>
      </c>
      <c r="L182" s="1" t="s">
        <v>17</v>
      </c>
      <c r="M182" s="1" t="s">
        <v>17</v>
      </c>
      <c r="N182" s="27" t="s">
        <v>605</v>
      </c>
      <c r="O182" s="1" t="s">
        <v>16</v>
      </c>
    </row>
    <row r="183" spans="1:15" x14ac:dyDescent="0.2">
      <c r="A183" s="9">
        <v>44230</v>
      </c>
      <c r="B183" s="1" t="s">
        <v>15</v>
      </c>
      <c r="C183" s="1">
        <v>14</v>
      </c>
      <c r="D183" s="1">
        <v>3</v>
      </c>
      <c r="E183" s="14">
        <v>60.9</v>
      </c>
      <c r="F183" s="1" t="s">
        <v>18</v>
      </c>
      <c r="G183" s="1">
        <v>1</v>
      </c>
      <c r="H183" s="1" t="s">
        <v>16</v>
      </c>
      <c r="I183" s="1" t="s">
        <v>16</v>
      </c>
      <c r="J183" s="1" t="s">
        <v>16</v>
      </c>
      <c r="K183" s="1" t="s">
        <v>17</v>
      </c>
      <c r="L183" s="1" t="s">
        <v>17</v>
      </c>
      <c r="M183" s="1" t="s">
        <v>17</v>
      </c>
      <c r="N183" s="27" t="s">
        <v>605</v>
      </c>
      <c r="O183" s="1" t="s">
        <v>16</v>
      </c>
    </row>
    <row r="184" spans="1:15" x14ac:dyDescent="0.2">
      <c r="A184" s="9">
        <v>44230</v>
      </c>
      <c r="B184" s="1" t="s">
        <v>15</v>
      </c>
      <c r="C184" s="1">
        <v>15</v>
      </c>
      <c r="D184" s="1">
        <v>3</v>
      </c>
      <c r="E184" s="14">
        <v>51.37</v>
      </c>
      <c r="F184" s="1" t="s">
        <v>18</v>
      </c>
      <c r="G184" s="1">
        <v>1</v>
      </c>
      <c r="H184" s="1" t="s">
        <v>16</v>
      </c>
      <c r="I184" s="1" t="s">
        <v>16</v>
      </c>
      <c r="J184" s="1" t="s">
        <v>16</v>
      </c>
      <c r="K184" s="1" t="s">
        <v>17</v>
      </c>
      <c r="L184" s="1" t="s">
        <v>17</v>
      </c>
      <c r="M184" s="1" t="s">
        <v>17</v>
      </c>
      <c r="N184" s="27" t="s">
        <v>605</v>
      </c>
      <c r="O184" s="1" t="s">
        <v>16</v>
      </c>
    </row>
    <row r="185" spans="1:15" x14ac:dyDescent="0.2">
      <c r="A185" s="9">
        <v>44258</v>
      </c>
      <c r="B185" s="1" t="s">
        <v>15</v>
      </c>
      <c r="C185" s="1">
        <v>1</v>
      </c>
      <c r="D185" s="1">
        <v>1</v>
      </c>
      <c r="E185" s="14">
        <v>52.34</v>
      </c>
      <c r="F185" s="1" t="s">
        <v>18</v>
      </c>
      <c r="G185" s="1">
        <v>2</v>
      </c>
      <c r="H185" s="1" t="s">
        <v>16</v>
      </c>
      <c r="I185" s="1" t="s">
        <v>16</v>
      </c>
      <c r="J185" s="1" t="s">
        <v>16</v>
      </c>
      <c r="K185" s="1" t="s">
        <v>17</v>
      </c>
      <c r="L185" s="1" t="s">
        <v>17</v>
      </c>
      <c r="M185" s="1" t="s">
        <v>17</v>
      </c>
      <c r="N185" s="27" t="s">
        <v>605</v>
      </c>
      <c r="O185" s="1" t="s">
        <v>16</v>
      </c>
    </row>
    <row r="186" spans="1:15" x14ac:dyDescent="0.2">
      <c r="A186" s="9">
        <v>44258</v>
      </c>
      <c r="B186" s="1" t="s">
        <v>15</v>
      </c>
      <c r="C186" s="1">
        <v>2</v>
      </c>
      <c r="D186" s="1">
        <v>1</v>
      </c>
      <c r="E186" s="14">
        <v>44.37</v>
      </c>
      <c r="F186" s="1" t="s">
        <v>19</v>
      </c>
      <c r="G186" s="1">
        <v>2</v>
      </c>
      <c r="H186" s="1" t="s">
        <v>16</v>
      </c>
      <c r="I186" s="1" t="s">
        <v>16</v>
      </c>
      <c r="J186" s="1" t="s">
        <v>16</v>
      </c>
      <c r="K186" s="1" t="s">
        <v>17</v>
      </c>
      <c r="L186" s="1" t="s">
        <v>17</v>
      </c>
      <c r="M186" s="1" t="s">
        <v>17</v>
      </c>
      <c r="N186" s="27" t="s">
        <v>605</v>
      </c>
      <c r="O186" s="1" t="s">
        <v>16</v>
      </c>
    </row>
    <row r="187" spans="1:15" x14ac:dyDescent="0.2">
      <c r="A187" s="9">
        <v>44258</v>
      </c>
      <c r="B187" s="1" t="s">
        <v>15</v>
      </c>
      <c r="C187" s="1">
        <v>3</v>
      </c>
      <c r="D187" s="1">
        <v>1</v>
      </c>
      <c r="E187" s="14">
        <v>49.53</v>
      </c>
      <c r="F187" s="1" t="s">
        <v>19</v>
      </c>
      <c r="G187" s="1">
        <v>2</v>
      </c>
      <c r="H187" s="1" t="s">
        <v>16</v>
      </c>
      <c r="I187" s="1" t="s">
        <v>16</v>
      </c>
      <c r="J187" s="1" t="s">
        <v>16</v>
      </c>
      <c r="K187" s="1" t="s">
        <v>17</v>
      </c>
      <c r="L187" s="1" t="s">
        <v>17</v>
      </c>
      <c r="M187" s="1" t="s">
        <v>17</v>
      </c>
      <c r="N187" s="27" t="s">
        <v>605</v>
      </c>
      <c r="O187" s="1" t="s">
        <v>16</v>
      </c>
    </row>
    <row r="188" spans="1:15" x14ac:dyDescent="0.2">
      <c r="A188" s="9">
        <v>44258</v>
      </c>
      <c r="B188" s="1" t="s">
        <v>15</v>
      </c>
      <c r="C188" s="1">
        <v>4</v>
      </c>
      <c r="D188" s="1">
        <v>1</v>
      </c>
      <c r="E188" s="14">
        <v>60.78</v>
      </c>
      <c r="F188" s="1" t="s">
        <v>18</v>
      </c>
      <c r="G188" s="1">
        <v>2</v>
      </c>
      <c r="H188" s="1" t="s">
        <v>16</v>
      </c>
      <c r="I188" s="1" t="s">
        <v>16</v>
      </c>
      <c r="J188" s="1" t="s">
        <v>16</v>
      </c>
      <c r="K188" s="1" t="s">
        <v>17</v>
      </c>
      <c r="L188" s="1" t="s">
        <v>17</v>
      </c>
      <c r="M188" s="1" t="s">
        <v>17</v>
      </c>
      <c r="N188" s="27" t="s">
        <v>605</v>
      </c>
      <c r="O188" s="1" t="s">
        <v>16</v>
      </c>
    </row>
    <row r="189" spans="1:15" x14ac:dyDescent="0.2">
      <c r="A189" s="9">
        <v>44258</v>
      </c>
      <c r="B189" s="1" t="s">
        <v>15</v>
      </c>
      <c r="C189" s="1">
        <v>5</v>
      </c>
      <c r="D189" s="1">
        <v>1</v>
      </c>
      <c r="E189" s="14">
        <v>48.65</v>
      </c>
      <c r="F189" s="1" t="s">
        <v>19</v>
      </c>
      <c r="G189" s="1">
        <v>2</v>
      </c>
      <c r="H189" s="1" t="s">
        <v>16</v>
      </c>
      <c r="I189" s="1" t="s">
        <v>16</v>
      </c>
      <c r="J189" s="1" t="s">
        <v>16</v>
      </c>
      <c r="K189" s="1" t="s">
        <v>21</v>
      </c>
      <c r="L189" s="1" t="s">
        <v>17</v>
      </c>
      <c r="M189" s="1" t="s">
        <v>17</v>
      </c>
      <c r="N189" s="27" t="s">
        <v>605</v>
      </c>
      <c r="O189" s="1" t="s">
        <v>16</v>
      </c>
    </row>
    <row r="190" spans="1:15" x14ac:dyDescent="0.2">
      <c r="A190" s="9">
        <v>44258</v>
      </c>
      <c r="B190" s="1" t="s">
        <v>15</v>
      </c>
      <c r="C190" s="1">
        <v>6</v>
      </c>
      <c r="D190" s="1">
        <v>2</v>
      </c>
      <c r="E190" s="14">
        <v>52.22</v>
      </c>
      <c r="F190" s="1" t="s">
        <v>18</v>
      </c>
      <c r="G190" s="1">
        <v>2</v>
      </c>
      <c r="H190" s="1" t="s">
        <v>16</v>
      </c>
      <c r="I190" s="1" t="s">
        <v>16</v>
      </c>
      <c r="J190" s="1" t="s">
        <v>16</v>
      </c>
      <c r="K190" s="1" t="s">
        <v>17</v>
      </c>
      <c r="L190" s="1" t="s">
        <v>17</v>
      </c>
      <c r="M190" s="1" t="s">
        <v>17</v>
      </c>
      <c r="N190" s="27" t="s">
        <v>605</v>
      </c>
      <c r="O190" s="1" t="s">
        <v>16</v>
      </c>
    </row>
    <row r="191" spans="1:15" x14ac:dyDescent="0.2">
      <c r="A191" s="9">
        <v>44258</v>
      </c>
      <c r="B191" s="1" t="s">
        <v>15</v>
      </c>
      <c r="C191" s="1">
        <v>7</v>
      </c>
      <c r="D191" s="1">
        <v>2</v>
      </c>
      <c r="E191" s="14">
        <v>57.61</v>
      </c>
      <c r="F191" s="1" t="s">
        <v>18</v>
      </c>
      <c r="G191" s="1">
        <v>2</v>
      </c>
      <c r="H191" s="1" t="s">
        <v>16</v>
      </c>
      <c r="I191" s="1" t="s">
        <v>16</v>
      </c>
      <c r="J191" s="1" t="s">
        <v>16</v>
      </c>
      <c r="K191" s="1" t="s">
        <v>17</v>
      </c>
      <c r="L191" s="1" t="s">
        <v>17</v>
      </c>
      <c r="M191" s="1" t="s">
        <v>17</v>
      </c>
      <c r="N191" s="27" t="s">
        <v>605</v>
      </c>
      <c r="O191" s="1" t="s">
        <v>16</v>
      </c>
    </row>
    <row r="192" spans="1:15" x14ac:dyDescent="0.2">
      <c r="A192" s="9">
        <v>44258</v>
      </c>
      <c r="B192" s="1" t="s">
        <v>15</v>
      </c>
      <c r="C192" s="1">
        <v>8</v>
      </c>
      <c r="D192" s="1">
        <v>2</v>
      </c>
      <c r="E192" s="14">
        <v>53.54</v>
      </c>
      <c r="F192" s="1" t="s">
        <v>19</v>
      </c>
      <c r="G192" s="1">
        <v>2</v>
      </c>
      <c r="H192" s="1" t="s">
        <v>16</v>
      </c>
      <c r="I192" s="1" t="s">
        <v>16</v>
      </c>
      <c r="J192" s="1" t="s">
        <v>16</v>
      </c>
      <c r="K192" s="1" t="s">
        <v>17</v>
      </c>
      <c r="L192" s="1" t="s">
        <v>17</v>
      </c>
      <c r="M192" s="1" t="s">
        <v>17</v>
      </c>
      <c r="N192" s="27" t="s">
        <v>605</v>
      </c>
      <c r="O192" s="1" t="s">
        <v>16</v>
      </c>
    </row>
    <row r="193" spans="1:15" x14ac:dyDescent="0.2">
      <c r="A193" s="9">
        <v>44258</v>
      </c>
      <c r="B193" s="1" t="s">
        <v>15</v>
      </c>
      <c r="C193" s="1">
        <v>9</v>
      </c>
      <c r="D193" s="1">
        <v>2</v>
      </c>
      <c r="E193" s="14">
        <v>56</v>
      </c>
      <c r="F193" s="1" t="s">
        <v>18</v>
      </c>
      <c r="G193" s="1">
        <v>2</v>
      </c>
      <c r="H193" s="1" t="s">
        <v>16</v>
      </c>
      <c r="I193" s="1" t="s">
        <v>16</v>
      </c>
      <c r="J193" s="1" t="s">
        <v>16</v>
      </c>
      <c r="K193" s="1" t="s">
        <v>17</v>
      </c>
      <c r="L193" s="1" t="s">
        <v>17</v>
      </c>
      <c r="M193" s="1" t="s">
        <v>17</v>
      </c>
      <c r="N193" s="27" t="s">
        <v>605</v>
      </c>
      <c r="O193" s="1" t="s">
        <v>16</v>
      </c>
    </row>
    <row r="194" spans="1:15" x14ac:dyDescent="0.2">
      <c r="A194" s="9">
        <v>44258</v>
      </c>
      <c r="B194" s="1" t="s">
        <v>15</v>
      </c>
      <c r="C194" s="1">
        <v>10</v>
      </c>
      <c r="D194" s="1">
        <v>2</v>
      </c>
      <c r="E194" s="14">
        <v>43.91</v>
      </c>
      <c r="F194" s="1" t="s">
        <v>18</v>
      </c>
      <c r="G194" s="1">
        <v>2</v>
      </c>
      <c r="H194" s="1" t="s">
        <v>16</v>
      </c>
      <c r="I194" s="1" t="s">
        <v>16</v>
      </c>
      <c r="J194" s="1" t="s">
        <v>16</v>
      </c>
      <c r="K194" s="1" t="s">
        <v>17</v>
      </c>
      <c r="L194" s="1" t="s">
        <v>17</v>
      </c>
      <c r="M194" s="1" t="s">
        <v>17</v>
      </c>
      <c r="N194" s="27" t="s">
        <v>605</v>
      </c>
      <c r="O194" s="1" t="s">
        <v>16</v>
      </c>
    </row>
    <row r="195" spans="1:15" x14ac:dyDescent="0.2">
      <c r="A195" s="9">
        <v>44258</v>
      </c>
      <c r="B195" s="1" t="s">
        <v>15</v>
      </c>
      <c r="C195" s="1">
        <v>11</v>
      </c>
      <c r="D195" s="1">
        <v>3</v>
      </c>
      <c r="E195" s="14">
        <v>45.87</v>
      </c>
      <c r="F195" s="1" t="s">
        <v>19</v>
      </c>
      <c r="G195" s="1">
        <v>2</v>
      </c>
      <c r="H195" s="1" t="s">
        <v>16</v>
      </c>
      <c r="I195" s="1" t="s">
        <v>16</v>
      </c>
      <c r="J195" s="1" t="s">
        <v>16</v>
      </c>
      <c r="K195" s="1" t="s">
        <v>17</v>
      </c>
      <c r="L195" s="1" t="s">
        <v>17</v>
      </c>
      <c r="M195" s="1" t="s">
        <v>17</v>
      </c>
      <c r="N195" s="27" t="s">
        <v>605</v>
      </c>
      <c r="O195" s="1" t="s">
        <v>16</v>
      </c>
    </row>
    <row r="196" spans="1:15" x14ac:dyDescent="0.2">
      <c r="A196" s="9">
        <v>44258</v>
      </c>
      <c r="B196" s="1" t="s">
        <v>15</v>
      </c>
      <c r="C196" s="1">
        <v>12</v>
      </c>
      <c r="D196" s="1">
        <v>3</v>
      </c>
      <c r="E196" s="14">
        <v>46.87</v>
      </c>
      <c r="F196" s="1" t="s">
        <v>18</v>
      </c>
      <c r="G196" s="1">
        <v>2</v>
      </c>
      <c r="H196" s="1" t="s">
        <v>16</v>
      </c>
      <c r="I196" s="1" t="s">
        <v>16</v>
      </c>
      <c r="J196" s="1" t="s">
        <v>16</v>
      </c>
      <c r="K196" s="1" t="s">
        <v>17</v>
      </c>
      <c r="L196" s="1" t="s">
        <v>17</v>
      </c>
      <c r="M196" s="1" t="s">
        <v>17</v>
      </c>
      <c r="N196" s="27" t="s">
        <v>605</v>
      </c>
      <c r="O196" s="1" t="s">
        <v>16</v>
      </c>
    </row>
    <row r="197" spans="1:15" x14ac:dyDescent="0.2">
      <c r="A197" s="9">
        <v>44258</v>
      </c>
      <c r="B197" s="1" t="s">
        <v>15</v>
      </c>
      <c r="C197" s="1">
        <v>13</v>
      </c>
      <c r="D197" s="1">
        <v>3</v>
      </c>
      <c r="E197" s="14">
        <v>55.01</v>
      </c>
      <c r="F197" s="1" t="s">
        <v>18</v>
      </c>
      <c r="G197" s="1">
        <v>2</v>
      </c>
      <c r="H197" s="1" t="s">
        <v>16</v>
      </c>
      <c r="I197" s="1" t="s">
        <v>16</v>
      </c>
      <c r="J197" s="1" t="s">
        <v>16</v>
      </c>
      <c r="K197" s="1" t="s">
        <v>17</v>
      </c>
      <c r="L197" s="1" t="s">
        <v>17</v>
      </c>
      <c r="M197" s="1" t="s">
        <v>17</v>
      </c>
      <c r="N197" s="27" t="s">
        <v>605</v>
      </c>
      <c r="O197" s="1" t="s">
        <v>16</v>
      </c>
    </row>
    <row r="198" spans="1:15" x14ac:dyDescent="0.2">
      <c r="A198" s="9">
        <v>44258</v>
      </c>
      <c r="B198" s="1" t="s">
        <v>15</v>
      </c>
      <c r="C198" s="1">
        <v>14</v>
      </c>
      <c r="D198" s="1">
        <v>3</v>
      </c>
      <c r="E198" s="14">
        <v>53.67</v>
      </c>
      <c r="F198" s="1" t="s">
        <v>18</v>
      </c>
      <c r="G198" s="1">
        <v>2</v>
      </c>
      <c r="H198" s="1" t="s">
        <v>16</v>
      </c>
      <c r="I198" s="1" t="s">
        <v>16</v>
      </c>
      <c r="J198" s="1" t="s">
        <v>16</v>
      </c>
      <c r="K198" s="1" t="s">
        <v>17</v>
      </c>
      <c r="L198" s="1" t="s">
        <v>17</v>
      </c>
      <c r="M198" s="1" t="s">
        <v>17</v>
      </c>
      <c r="N198" s="27" t="s">
        <v>605</v>
      </c>
      <c r="O198" s="1" t="s">
        <v>16</v>
      </c>
    </row>
    <row r="199" spans="1:15" x14ac:dyDescent="0.2">
      <c r="A199" s="9">
        <v>44258</v>
      </c>
      <c r="B199" s="1" t="s">
        <v>15</v>
      </c>
      <c r="C199" s="1">
        <v>15</v>
      </c>
      <c r="D199" s="1">
        <v>3</v>
      </c>
      <c r="E199" s="14">
        <v>60.96</v>
      </c>
      <c r="F199" s="1" t="s">
        <v>18</v>
      </c>
      <c r="G199" s="1">
        <v>2</v>
      </c>
      <c r="H199" s="1" t="s">
        <v>16</v>
      </c>
      <c r="I199" s="1" t="s">
        <v>16</v>
      </c>
      <c r="J199" s="1" t="s">
        <v>16</v>
      </c>
      <c r="K199" s="1" t="s">
        <v>17</v>
      </c>
      <c r="L199" s="1" t="s">
        <v>17</v>
      </c>
      <c r="M199" s="1" t="s">
        <v>17</v>
      </c>
      <c r="N199" s="27" t="s">
        <v>605</v>
      </c>
      <c r="O199" s="1" t="s">
        <v>16</v>
      </c>
    </row>
    <row r="200" spans="1:15" x14ac:dyDescent="0.2">
      <c r="A200" s="9">
        <v>44292</v>
      </c>
      <c r="B200" s="1" t="s">
        <v>15</v>
      </c>
      <c r="C200" s="1">
        <v>1</v>
      </c>
      <c r="D200" s="1">
        <v>1</v>
      </c>
      <c r="E200" s="14">
        <v>79.209999999999994</v>
      </c>
      <c r="F200" s="1" t="s">
        <v>18</v>
      </c>
      <c r="G200" s="1">
        <v>2</v>
      </c>
      <c r="H200" s="1" t="s">
        <v>16</v>
      </c>
      <c r="I200" s="1" t="s">
        <v>16</v>
      </c>
      <c r="J200" s="1" t="s">
        <v>16</v>
      </c>
      <c r="K200" s="1" t="s">
        <v>17</v>
      </c>
      <c r="L200" s="1" t="s">
        <v>17</v>
      </c>
      <c r="M200" s="1" t="s">
        <v>17</v>
      </c>
      <c r="N200" s="27" t="s">
        <v>605</v>
      </c>
      <c r="O200" s="1" t="s">
        <v>16</v>
      </c>
    </row>
    <row r="201" spans="1:15" x14ac:dyDescent="0.2">
      <c r="A201" s="9">
        <v>44292</v>
      </c>
      <c r="B201" s="1" t="s">
        <v>15</v>
      </c>
      <c r="C201" s="1">
        <v>2</v>
      </c>
      <c r="D201" s="1">
        <v>1</v>
      </c>
      <c r="E201" s="14">
        <v>42.53</v>
      </c>
      <c r="F201" s="1" t="s">
        <v>19</v>
      </c>
      <c r="G201" s="1">
        <v>2</v>
      </c>
      <c r="H201" s="1" t="s">
        <v>16</v>
      </c>
      <c r="I201" s="1" t="s">
        <v>16</v>
      </c>
      <c r="J201" s="1" t="s">
        <v>16</v>
      </c>
      <c r="K201" s="1" t="s">
        <v>17</v>
      </c>
      <c r="L201" s="1" t="s">
        <v>17</v>
      </c>
      <c r="M201" s="1" t="s">
        <v>17</v>
      </c>
      <c r="N201" s="27" t="s">
        <v>605</v>
      </c>
      <c r="O201" s="1" t="s">
        <v>16</v>
      </c>
    </row>
    <row r="202" spans="1:15" x14ac:dyDescent="0.2">
      <c r="A202" s="9">
        <v>44292</v>
      </c>
      <c r="B202" s="1" t="s">
        <v>15</v>
      </c>
      <c r="C202" s="1">
        <v>3</v>
      </c>
      <c r="D202" s="1">
        <v>1</v>
      </c>
      <c r="E202" s="14">
        <v>55.49</v>
      </c>
      <c r="F202" s="1" t="s">
        <v>18</v>
      </c>
      <c r="G202" s="1">
        <v>2</v>
      </c>
      <c r="H202" s="1" t="s">
        <v>16</v>
      </c>
      <c r="I202" s="1" t="s">
        <v>16</v>
      </c>
      <c r="J202" s="1" t="s">
        <v>16</v>
      </c>
      <c r="K202" s="1" t="s">
        <v>17</v>
      </c>
      <c r="L202" s="1" t="s">
        <v>17</v>
      </c>
      <c r="M202" s="1" t="s">
        <v>17</v>
      </c>
      <c r="N202" s="27" t="s">
        <v>605</v>
      </c>
      <c r="O202" s="1" t="s">
        <v>16</v>
      </c>
    </row>
    <row r="203" spans="1:15" x14ac:dyDescent="0.2">
      <c r="A203" s="9">
        <v>44292</v>
      </c>
      <c r="B203" s="1" t="s">
        <v>15</v>
      </c>
      <c r="C203" s="1">
        <v>4</v>
      </c>
      <c r="D203" s="1">
        <v>1</v>
      </c>
      <c r="E203" s="14">
        <v>84.5</v>
      </c>
      <c r="F203" s="1" t="s">
        <v>18</v>
      </c>
      <c r="G203" s="1">
        <v>2</v>
      </c>
      <c r="H203" s="1" t="s">
        <v>16</v>
      </c>
      <c r="I203" s="1" t="s">
        <v>16</v>
      </c>
      <c r="J203" s="1" t="s">
        <v>16</v>
      </c>
      <c r="K203" s="1" t="s">
        <v>17</v>
      </c>
      <c r="L203" s="1" t="s">
        <v>17</v>
      </c>
      <c r="M203" s="1" t="s">
        <v>17</v>
      </c>
      <c r="N203" s="27" t="s">
        <v>605</v>
      </c>
      <c r="O203" s="1" t="s">
        <v>16</v>
      </c>
    </row>
    <row r="204" spans="1:15" x14ac:dyDescent="0.2">
      <c r="A204" s="9">
        <v>44292</v>
      </c>
      <c r="B204" s="1" t="s">
        <v>15</v>
      </c>
      <c r="C204" s="1">
        <v>5</v>
      </c>
      <c r="D204" s="1">
        <v>1</v>
      </c>
      <c r="E204" s="14">
        <v>44.68</v>
      </c>
      <c r="F204" s="1" t="s">
        <v>18</v>
      </c>
      <c r="G204" s="1">
        <v>2</v>
      </c>
      <c r="H204" s="1" t="s">
        <v>16</v>
      </c>
      <c r="I204" s="1" t="s">
        <v>16</v>
      </c>
      <c r="J204" s="1" t="s">
        <v>16</v>
      </c>
      <c r="K204" s="1" t="s">
        <v>17</v>
      </c>
      <c r="L204" s="1" t="s">
        <v>17</v>
      </c>
      <c r="M204" s="1" t="s">
        <v>17</v>
      </c>
      <c r="N204" s="27" t="s">
        <v>605</v>
      </c>
      <c r="O204" s="1" t="s">
        <v>16</v>
      </c>
    </row>
    <row r="205" spans="1:15" x14ac:dyDescent="0.2">
      <c r="A205" s="9">
        <v>44292</v>
      </c>
      <c r="B205" s="1" t="s">
        <v>15</v>
      </c>
      <c r="C205" s="1">
        <v>6</v>
      </c>
      <c r="D205" s="1">
        <v>2</v>
      </c>
      <c r="E205" s="14">
        <v>34.42</v>
      </c>
      <c r="F205" s="1" t="s">
        <v>19</v>
      </c>
      <c r="G205" s="1">
        <v>2</v>
      </c>
      <c r="H205" s="1" t="s">
        <v>16</v>
      </c>
      <c r="I205" s="1" t="s">
        <v>16</v>
      </c>
      <c r="J205" s="1" t="s">
        <v>16</v>
      </c>
      <c r="K205" s="1" t="s">
        <v>17</v>
      </c>
      <c r="L205" s="1" t="s">
        <v>17</v>
      </c>
      <c r="M205" s="1" t="s">
        <v>17</v>
      </c>
      <c r="N205" s="27" t="s">
        <v>605</v>
      </c>
      <c r="O205" s="1" t="s">
        <v>16</v>
      </c>
    </row>
    <row r="206" spans="1:15" x14ac:dyDescent="0.2">
      <c r="A206" s="9">
        <v>44292</v>
      </c>
      <c r="B206" s="1" t="s">
        <v>15</v>
      </c>
      <c r="C206" s="1">
        <v>7</v>
      </c>
      <c r="D206" s="1">
        <v>2</v>
      </c>
      <c r="E206" s="14">
        <v>48.03</v>
      </c>
      <c r="F206" s="1" t="s">
        <v>18</v>
      </c>
      <c r="G206" s="1">
        <v>2</v>
      </c>
      <c r="H206" s="1" t="s">
        <v>16</v>
      </c>
      <c r="I206" s="1" t="s">
        <v>16</v>
      </c>
      <c r="J206" s="1" t="s">
        <v>16</v>
      </c>
      <c r="K206" s="1" t="s">
        <v>17</v>
      </c>
      <c r="L206" s="1" t="s">
        <v>17</v>
      </c>
      <c r="M206" s="1" t="s">
        <v>17</v>
      </c>
      <c r="N206" s="27" t="s">
        <v>605</v>
      </c>
      <c r="O206" s="1" t="s">
        <v>16</v>
      </c>
    </row>
    <row r="207" spans="1:15" x14ac:dyDescent="0.2">
      <c r="A207" s="9">
        <v>44292</v>
      </c>
      <c r="B207" s="1" t="s">
        <v>15</v>
      </c>
      <c r="C207" s="1">
        <v>8</v>
      </c>
      <c r="D207" s="1">
        <v>2</v>
      </c>
      <c r="E207" s="14">
        <v>46.24</v>
      </c>
      <c r="F207" s="1" t="s">
        <v>19</v>
      </c>
      <c r="G207" s="1">
        <v>2</v>
      </c>
      <c r="H207" s="1" t="s">
        <v>16</v>
      </c>
      <c r="I207" s="1" t="s">
        <v>16</v>
      </c>
      <c r="J207" s="1" t="s">
        <v>16</v>
      </c>
      <c r="K207" s="1" t="s">
        <v>17</v>
      </c>
      <c r="L207" s="1" t="s">
        <v>17</v>
      </c>
      <c r="M207" s="1" t="s">
        <v>17</v>
      </c>
      <c r="N207" s="27" t="s">
        <v>605</v>
      </c>
      <c r="O207" s="1" t="s">
        <v>16</v>
      </c>
    </row>
    <row r="208" spans="1:15" x14ac:dyDescent="0.2">
      <c r="A208" s="9">
        <v>44292</v>
      </c>
      <c r="B208" s="1" t="s">
        <v>15</v>
      </c>
      <c r="C208" s="1">
        <v>9</v>
      </c>
      <c r="D208" s="1">
        <v>2</v>
      </c>
      <c r="E208" s="14">
        <v>38.549999999999997</v>
      </c>
      <c r="F208" s="1" t="s">
        <v>18</v>
      </c>
      <c r="G208" s="1">
        <v>2</v>
      </c>
      <c r="H208" s="1" t="s">
        <v>16</v>
      </c>
      <c r="I208" s="1" t="s">
        <v>16</v>
      </c>
      <c r="J208" s="1" t="s">
        <v>16</v>
      </c>
      <c r="K208" s="1" t="s">
        <v>17</v>
      </c>
      <c r="L208" s="1" t="s">
        <v>17</v>
      </c>
      <c r="M208" s="1" t="s">
        <v>17</v>
      </c>
      <c r="N208" s="27" t="s">
        <v>605</v>
      </c>
      <c r="O208" s="1" t="s">
        <v>16</v>
      </c>
    </row>
    <row r="209" spans="1:15" x14ac:dyDescent="0.2">
      <c r="A209" s="9">
        <v>44292</v>
      </c>
      <c r="B209" s="1" t="s">
        <v>15</v>
      </c>
      <c r="C209" s="1">
        <v>10</v>
      </c>
      <c r="D209" s="1">
        <v>2</v>
      </c>
      <c r="E209" s="14">
        <v>60.17</v>
      </c>
      <c r="F209" s="1" t="s">
        <v>19</v>
      </c>
      <c r="G209" s="1">
        <v>2</v>
      </c>
      <c r="H209" s="1" t="s">
        <v>16</v>
      </c>
      <c r="I209" s="1" t="s">
        <v>16</v>
      </c>
      <c r="J209" s="1" t="s">
        <v>16</v>
      </c>
      <c r="K209" s="1" t="s">
        <v>17</v>
      </c>
      <c r="L209" s="1" t="s">
        <v>17</v>
      </c>
      <c r="M209" s="1" t="s">
        <v>17</v>
      </c>
      <c r="N209" s="27" t="s">
        <v>605</v>
      </c>
      <c r="O209" s="1" t="s">
        <v>16</v>
      </c>
    </row>
    <row r="210" spans="1:15" x14ac:dyDescent="0.2">
      <c r="A210" s="9">
        <v>44292</v>
      </c>
      <c r="B210" s="1" t="s">
        <v>15</v>
      </c>
      <c r="C210" s="1">
        <v>11</v>
      </c>
      <c r="D210" s="1">
        <v>3</v>
      </c>
      <c r="E210" s="14">
        <v>56.95</v>
      </c>
      <c r="F210" s="1" t="s">
        <v>18</v>
      </c>
      <c r="G210" s="1">
        <v>2</v>
      </c>
      <c r="H210" s="1" t="s">
        <v>16</v>
      </c>
      <c r="I210" s="1" t="s">
        <v>16</v>
      </c>
      <c r="J210" s="1" t="s">
        <v>16</v>
      </c>
      <c r="K210" s="1" t="s">
        <v>17</v>
      </c>
      <c r="L210" s="1" t="s">
        <v>17</v>
      </c>
      <c r="M210" s="1" t="s">
        <v>17</v>
      </c>
      <c r="N210" s="27" t="s">
        <v>605</v>
      </c>
      <c r="O210" s="1" t="s">
        <v>16</v>
      </c>
    </row>
    <row r="211" spans="1:15" x14ac:dyDescent="0.2">
      <c r="A211" s="9">
        <v>44292</v>
      </c>
      <c r="B211" s="1" t="s">
        <v>15</v>
      </c>
      <c r="C211" s="1">
        <v>12</v>
      </c>
      <c r="D211" s="1">
        <v>3</v>
      </c>
      <c r="E211" s="14">
        <v>51.39</v>
      </c>
      <c r="F211" s="1" t="s">
        <v>18</v>
      </c>
      <c r="G211" s="1">
        <v>2</v>
      </c>
      <c r="H211" s="1" t="s">
        <v>16</v>
      </c>
      <c r="I211" s="1" t="s">
        <v>16</v>
      </c>
      <c r="J211" s="1" t="s">
        <v>16</v>
      </c>
      <c r="K211" s="1" t="s">
        <v>17</v>
      </c>
      <c r="L211" s="1" t="s">
        <v>17</v>
      </c>
      <c r="M211" s="1" t="s">
        <v>17</v>
      </c>
      <c r="N211" s="27" t="s">
        <v>605</v>
      </c>
      <c r="O211" s="1" t="s">
        <v>16</v>
      </c>
    </row>
    <row r="212" spans="1:15" x14ac:dyDescent="0.2">
      <c r="A212" s="9">
        <v>44292</v>
      </c>
      <c r="B212" s="1" t="s">
        <v>15</v>
      </c>
      <c r="C212" s="1">
        <v>13</v>
      </c>
      <c r="D212" s="1">
        <v>3</v>
      </c>
      <c r="E212" s="14">
        <v>54.03</v>
      </c>
      <c r="F212" s="1" t="s">
        <v>19</v>
      </c>
      <c r="G212" s="1">
        <v>2</v>
      </c>
      <c r="H212" s="1" t="s">
        <v>16</v>
      </c>
      <c r="I212" s="1" t="s">
        <v>16</v>
      </c>
      <c r="J212" s="1" t="s">
        <v>16</v>
      </c>
      <c r="K212" s="1" t="s">
        <v>17</v>
      </c>
      <c r="L212" s="1" t="s">
        <v>17</v>
      </c>
      <c r="M212" s="1" t="s">
        <v>17</v>
      </c>
      <c r="N212" s="27" t="s">
        <v>605</v>
      </c>
      <c r="O212" s="1" t="s">
        <v>16</v>
      </c>
    </row>
    <row r="213" spans="1:15" x14ac:dyDescent="0.2">
      <c r="A213" s="9">
        <v>44292</v>
      </c>
      <c r="B213" s="1" t="s">
        <v>15</v>
      </c>
      <c r="C213" s="1">
        <v>14</v>
      </c>
      <c r="D213" s="1">
        <v>3</v>
      </c>
      <c r="E213" s="14">
        <v>46.63</v>
      </c>
      <c r="F213" s="1" t="s">
        <v>18</v>
      </c>
      <c r="G213" s="1">
        <v>2</v>
      </c>
      <c r="H213" s="1" t="s">
        <v>16</v>
      </c>
      <c r="I213" s="1" t="s">
        <v>16</v>
      </c>
      <c r="J213" s="1" t="s">
        <v>16</v>
      </c>
      <c r="K213" s="1" t="s">
        <v>17</v>
      </c>
      <c r="L213" s="1" t="s">
        <v>17</v>
      </c>
      <c r="M213" s="1" t="s">
        <v>17</v>
      </c>
      <c r="N213" s="27" t="s">
        <v>605</v>
      </c>
      <c r="O213" s="1" t="s">
        <v>16</v>
      </c>
    </row>
    <row r="214" spans="1:15" x14ac:dyDescent="0.2">
      <c r="A214" s="9">
        <v>44292</v>
      </c>
      <c r="B214" s="1" t="s">
        <v>15</v>
      </c>
      <c r="C214" s="1">
        <v>15</v>
      </c>
      <c r="D214" s="1">
        <v>3</v>
      </c>
      <c r="E214" s="14">
        <v>42.01</v>
      </c>
      <c r="F214" s="1" t="s">
        <v>18</v>
      </c>
      <c r="G214" s="1">
        <v>1</v>
      </c>
      <c r="H214" s="1" t="s">
        <v>16</v>
      </c>
      <c r="I214" s="1" t="s">
        <v>16</v>
      </c>
      <c r="J214" s="1" t="s">
        <v>16</v>
      </c>
      <c r="K214" s="1" t="s">
        <v>17</v>
      </c>
      <c r="L214" s="1" t="s">
        <v>17</v>
      </c>
      <c r="M214" s="1" t="s">
        <v>17</v>
      </c>
      <c r="N214" s="27" t="s">
        <v>605</v>
      </c>
      <c r="O214" s="1" t="s">
        <v>16</v>
      </c>
    </row>
    <row r="215" spans="1:15" x14ac:dyDescent="0.2">
      <c r="A215" s="9">
        <v>44320</v>
      </c>
      <c r="B215" s="1" t="s">
        <v>15</v>
      </c>
      <c r="C215" s="1">
        <v>1</v>
      </c>
      <c r="D215" s="1">
        <v>1</v>
      </c>
      <c r="E215" s="14">
        <v>55.85</v>
      </c>
      <c r="F215" s="1" t="s">
        <v>18</v>
      </c>
      <c r="G215" s="1">
        <v>2</v>
      </c>
      <c r="H215" s="1" t="s">
        <v>16</v>
      </c>
      <c r="I215" s="1" t="s">
        <v>16</v>
      </c>
      <c r="J215" s="1" t="s">
        <v>16</v>
      </c>
      <c r="K215" s="1" t="s">
        <v>17</v>
      </c>
      <c r="L215" s="1" t="s">
        <v>17</v>
      </c>
      <c r="M215" s="1" t="s">
        <v>17</v>
      </c>
      <c r="N215" s="27" t="s">
        <v>605</v>
      </c>
      <c r="O215" s="1" t="s">
        <v>16</v>
      </c>
    </row>
    <row r="216" spans="1:15" x14ac:dyDescent="0.2">
      <c r="A216" s="9">
        <v>44320</v>
      </c>
      <c r="B216" s="1" t="s">
        <v>15</v>
      </c>
      <c r="C216" s="1">
        <v>2</v>
      </c>
      <c r="D216" s="1">
        <v>1</v>
      </c>
      <c r="E216" s="14">
        <v>50.61</v>
      </c>
      <c r="F216" s="1" t="s">
        <v>19</v>
      </c>
      <c r="G216" s="1">
        <v>2</v>
      </c>
      <c r="H216" s="1" t="s">
        <v>16</v>
      </c>
      <c r="I216" s="1" t="s">
        <v>16</v>
      </c>
      <c r="J216" s="1" t="s">
        <v>16</v>
      </c>
      <c r="K216" s="1" t="s">
        <v>17</v>
      </c>
      <c r="L216" s="1" t="s">
        <v>17</v>
      </c>
      <c r="M216" s="1" t="s">
        <v>17</v>
      </c>
      <c r="N216" s="27" t="s">
        <v>605</v>
      </c>
      <c r="O216" s="1" t="s">
        <v>16</v>
      </c>
    </row>
    <row r="217" spans="1:15" x14ac:dyDescent="0.2">
      <c r="A217" s="9">
        <v>44320</v>
      </c>
      <c r="B217" s="1" t="s">
        <v>15</v>
      </c>
      <c r="C217" s="1">
        <v>3</v>
      </c>
      <c r="D217" s="1">
        <v>1</v>
      </c>
      <c r="E217" s="14">
        <v>54.08</v>
      </c>
      <c r="F217" s="1" t="s">
        <v>18</v>
      </c>
      <c r="G217" s="1">
        <v>2</v>
      </c>
      <c r="H217" s="1" t="s">
        <v>16</v>
      </c>
      <c r="I217" s="1" t="s">
        <v>16</v>
      </c>
      <c r="J217" s="1" t="s">
        <v>16</v>
      </c>
      <c r="K217" s="1" t="s">
        <v>17</v>
      </c>
      <c r="L217" s="1" t="s">
        <v>17</v>
      </c>
      <c r="M217" s="1" t="s">
        <v>17</v>
      </c>
      <c r="N217" s="27" t="s">
        <v>605</v>
      </c>
      <c r="O217" s="1" t="s">
        <v>16</v>
      </c>
    </row>
    <row r="218" spans="1:15" x14ac:dyDescent="0.2">
      <c r="A218" s="9">
        <v>44320</v>
      </c>
      <c r="B218" s="1" t="s">
        <v>15</v>
      </c>
      <c r="C218" s="1">
        <v>4</v>
      </c>
      <c r="D218" s="1">
        <v>1</v>
      </c>
      <c r="E218" s="14">
        <v>46.04</v>
      </c>
      <c r="F218" s="1" t="s">
        <v>18</v>
      </c>
      <c r="G218" s="1">
        <v>2</v>
      </c>
      <c r="H218" s="1" t="s">
        <v>16</v>
      </c>
      <c r="I218" s="1" t="s">
        <v>16</v>
      </c>
      <c r="J218" s="1" t="s">
        <v>16</v>
      </c>
      <c r="K218" s="1" t="s">
        <v>17</v>
      </c>
      <c r="L218" s="1" t="s">
        <v>17</v>
      </c>
      <c r="M218" s="1" t="s">
        <v>17</v>
      </c>
      <c r="N218" s="27" t="s">
        <v>605</v>
      </c>
      <c r="O218" s="1" t="s">
        <v>16</v>
      </c>
    </row>
    <row r="219" spans="1:15" x14ac:dyDescent="0.2">
      <c r="A219" s="9">
        <v>44320</v>
      </c>
      <c r="B219" s="1" t="s">
        <v>15</v>
      </c>
      <c r="C219" s="1">
        <v>5</v>
      </c>
      <c r="D219" s="1">
        <v>1</v>
      </c>
      <c r="E219" s="14">
        <v>68.510000000000005</v>
      </c>
      <c r="F219" s="1" t="s">
        <v>18</v>
      </c>
      <c r="G219" s="1" t="s">
        <v>16</v>
      </c>
      <c r="H219" s="1" t="s">
        <v>16</v>
      </c>
      <c r="I219" s="1" t="s">
        <v>16</v>
      </c>
      <c r="J219" s="1" t="s">
        <v>16</v>
      </c>
      <c r="K219" s="1" t="s">
        <v>20</v>
      </c>
      <c r="L219" s="1" t="s">
        <v>17</v>
      </c>
      <c r="M219" s="1" t="s">
        <v>17</v>
      </c>
      <c r="N219" s="27" t="s">
        <v>605</v>
      </c>
      <c r="O219" s="1" t="s">
        <v>16</v>
      </c>
    </row>
    <row r="220" spans="1:15" x14ac:dyDescent="0.2">
      <c r="A220" s="9">
        <v>44320</v>
      </c>
      <c r="B220" s="1" t="s">
        <v>15</v>
      </c>
      <c r="C220" s="1">
        <v>6</v>
      </c>
      <c r="D220" s="1">
        <v>2</v>
      </c>
      <c r="E220" s="14">
        <v>62.56</v>
      </c>
      <c r="F220" s="1" t="s">
        <v>19</v>
      </c>
      <c r="G220" s="1">
        <v>2</v>
      </c>
      <c r="H220" s="1" t="s">
        <v>16</v>
      </c>
      <c r="I220" s="1" t="s">
        <v>16</v>
      </c>
      <c r="J220" s="1" t="s">
        <v>16</v>
      </c>
      <c r="K220" s="1" t="s">
        <v>17</v>
      </c>
      <c r="L220" s="1" t="s">
        <v>17</v>
      </c>
      <c r="M220" s="1" t="s">
        <v>17</v>
      </c>
      <c r="N220" s="27" t="s">
        <v>605</v>
      </c>
      <c r="O220" s="1" t="s">
        <v>16</v>
      </c>
    </row>
    <row r="221" spans="1:15" x14ac:dyDescent="0.2">
      <c r="A221" s="9">
        <v>44320</v>
      </c>
      <c r="B221" s="1" t="s">
        <v>15</v>
      </c>
      <c r="C221" s="1">
        <v>7</v>
      </c>
      <c r="D221" s="1">
        <v>2</v>
      </c>
      <c r="E221" s="14">
        <v>60.18</v>
      </c>
      <c r="F221" s="1" t="s">
        <v>18</v>
      </c>
      <c r="G221" s="1">
        <v>2</v>
      </c>
      <c r="H221" s="1" t="s">
        <v>16</v>
      </c>
      <c r="I221" s="1" t="s">
        <v>16</v>
      </c>
      <c r="J221" s="1" t="s">
        <v>16</v>
      </c>
      <c r="K221" s="1" t="s">
        <v>17</v>
      </c>
      <c r="L221" s="1" t="s">
        <v>17</v>
      </c>
      <c r="M221" s="1" t="s">
        <v>17</v>
      </c>
      <c r="N221" s="27" t="s">
        <v>605</v>
      </c>
      <c r="O221" s="1" t="s">
        <v>16</v>
      </c>
    </row>
    <row r="222" spans="1:15" x14ac:dyDescent="0.2">
      <c r="A222" s="9">
        <v>44320</v>
      </c>
      <c r="B222" s="1" t="s">
        <v>15</v>
      </c>
      <c r="C222" s="1">
        <v>8</v>
      </c>
      <c r="D222" s="1">
        <v>2</v>
      </c>
      <c r="E222" s="14">
        <v>50.68</v>
      </c>
      <c r="F222" s="1" t="s">
        <v>18</v>
      </c>
      <c r="G222" s="1">
        <v>2</v>
      </c>
      <c r="H222" s="1" t="s">
        <v>16</v>
      </c>
      <c r="I222" s="1" t="s">
        <v>16</v>
      </c>
      <c r="J222" s="1" t="s">
        <v>16</v>
      </c>
      <c r="K222" s="1" t="s">
        <v>17</v>
      </c>
      <c r="L222" s="1" t="s">
        <v>17</v>
      </c>
      <c r="M222" s="1" t="s">
        <v>17</v>
      </c>
      <c r="N222" s="27" t="s">
        <v>605</v>
      </c>
      <c r="O222" s="1" t="s">
        <v>16</v>
      </c>
    </row>
    <row r="223" spans="1:15" x14ac:dyDescent="0.2">
      <c r="A223" s="9">
        <v>44320</v>
      </c>
      <c r="B223" s="1" t="s">
        <v>15</v>
      </c>
      <c r="C223" s="1">
        <v>9</v>
      </c>
      <c r="D223" s="1">
        <v>2</v>
      </c>
      <c r="E223" s="14">
        <v>49.43</v>
      </c>
      <c r="F223" s="1" t="s">
        <v>18</v>
      </c>
      <c r="G223" s="1">
        <v>2</v>
      </c>
      <c r="H223" s="1" t="s">
        <v>16</v>
      </c>
      <c r="I223" s="1" t="s">
        <v>16</v>
      </c>
      <c r="J223" s="1" t="s">
        <v>16</v>
      </c>
      <c r="K223" s="1" t="s">
        <v>17</v>
      </c>
      <c r="L223" s="1" t="s">
        <v>17</v>
      </c>
      <c r="M223" s="1" t="s">
        <v>17</v>
      </c>
      <c r="N223" s="27" t="s">
        <v>605</v>
      </c>
      <c r="O223" s="1" t="s">
        <v>16</v>
      </c>
    </row>
    <row r="224" spans="1:15" x14ac:dyDescent="0.2">
      <c r="A224" s="9">
        <v>44320</v>
      </c>
      <c r="B224" s="1" t="s">
        <v>15</v>
      </c>
      <c r="C224" s="1">
        <v>10</v>
      </c>
      <c r="D224" s="1">
        <v>2</v>
      </c>
      <c r="E224" s="14">
        <v>49.57</v>
      </c>
      <c r="F224" s="1" t="s">
        <v>19</v>
      </c>
      <c r="G224" s="1">
        <v>2</v>
      </c>
      <c r="H224" s="1" t="s">
        <v>16</v>
      </c>
      <c r="I224" s="1" t="s">
        <v>16</v>
      </c>
      <c r="J224" s="1" t="s">
        <v>16</v>
      </c>
      <c r="K224" s="1" t="s">
        <v>17</v>
      </c>
      <c r="L224" s="1" t="s">
        <v>17</v>
      </c>
      <c r="M224" s="1" t="s">
        <v>17</v>
      </c>
      <c r="N224" s="27" t="s">
        <v>605</v>
      </c>
      <c r="O224" s="1" t="s">
        <v>16</v>
      </c>
    </row>
    <row r="225" spans="1:15" x14ac:dyDescent="0.2">
      <c r="A225" s="9">
        <v>44320</v>
      </c>
      <c r="B225" s="1" t="s">
        <v>15</v>
      </c>
      <c r="C225" s="1">
        <v>11</v>
      </c>
      <c r="D225" s="1">
        <v>3</v>
      </c>
      <c r="E225" s="14">
        <v>68.069999999999993</v>
      </c>
      <c r="F225" s="1" t="s">
        <v>19</v>
      </c>
      <c r="G225" s="1">
        <v>2</v>
      </c>
      <c r="H225" s="1" t="s">
        <v>16</v>
      </c>
      <c r="I225" s="1" t="s">
        <v>16</v>
      </c>
      <c r="J225" s="1" t="s">
        <v>16</v>
      </c>
      <c r="K225" s="1" t="s">
        <v>17</v>
      </c>
      <c r="L225" s="1" t="s">
        <v>17</v>
      </c>
      <c r="M225" s="1" t="s">
        <v>17</v>
      </c>
      <c r="N225" s="27" t="s">
        <v>605</v>
      </c>
      <c r="O225" s="1" t="s">
        <v>16</v>
      </c>
    </row>
    <row r="226" spans="1:15" x14ac:dyDescent="0.2">
      <c r="A226" s="9">
        <v>44320</v>
      </c>
      <c r="B226" s="1" t="s">
        <v>15</v>
      </c>
      <c r="C226" s="1">
        <v>12</v>
      </c>
      <c r="D226" s="1">
        <v>3</v>
      </c>
      <c r="E226" s="14">
        <v>42.68</v>
      </c>
      <c r="F226" s="1" t="s">
        <v>18</v>
      </c>
      <c r="G226" s="1">
        <v>1</v>
      </c>
      <c r="H226" s="1" t="s">
        <v>16</v>
      </c>
      <c r="I226" s="1" t="s">
        <v>16</v>
      </c>
      <c r="J226" s="1" t="s">
        <v>16</v>
      </c>
      <c r="K226" s="1" t="s">
        <v>17</v>
      </c>
      <c r="L226" s="1" t="s">
        <v>17</v>
      </c>
      <c r="M226" s="1" t="s">
        <v>17</v>
      </c>
      <c r="N226" s="27" t="s">
        <v>605</v>
      </c>
      <c r="O226" s="1" t="s">
        <v>16</v>
      </c>
    </row>
    <row r="227" spans="1:15" x14ac:dyDescent="0.2">
      <c r="A227" s="9">
        <v>44320</v>
      </c>
      <c r="B227" s="1" t="s">
        <v>15</v>
      </c>
      <c r="C227" s="1">
        <v>13</v>
      </c>
      <c r="D227" s="1">
        <v>3</v>
      </c>
      <c r="E227" s="14">
        <v>45.62</v>
      </c>
      <c r="F227" s="1" t="s">
        <v>18</v>
      </c>
      <c r="G227" s="1">
        <v>1</v>
      </c>
      <c r="H227" s="1" t="s">
        <v>16</v>
      </c>
      <c r="I227" s="1" t="s">
        <v>16</v>
      </c>
      <c r="J227" s="1" t="s">
        <v>16</v>
      </c>
      <c r="K227" s="1" t="s">
        <v>17</v>
      </c>
      <c r="L227" s="1" t="s">
        <v>17</v>
      </c>
      <c r="M227" s="1" t="s">
        <v>17</v>
      </c>
      <c r="N227" s="27" t="s">
        <v>605</v>
      </c>
      <c r="O227" s="1" t="s">
        <v>16</v>
      </c>
    </row>
    <row r="228" spans="1:15" x14ac:dyDescent="0.2">
      <c r="A228" s="9">
        <v>44320</v>
      </c>
      <c r="B228" s="1" t="s">
        <v>15</v>
      </c>
      <c r="C228" s="1">
        <v>14</v>
      </c>
      <c r="D228" s="1">
        <v>3</v>
      </c>
      <c r="E228" s="14">
        <v>56.59</v>
      </c>
      <c r="F228" s="1" t="s">
        <v>18</v>
      </c>
      <c r="G228" s="1">
        <v>2</v>
      </c>
      <c r="H228" s="1" t="s">
        <v>16</v>
      </c>
      <c r="I228" s="1" t="s">
        <v>16</v>
      </c>
      <c r="J228" s="1" t="s">
        <v>16</v>
      </c>
      <c r="K228" s="1" t="s">
        <v>17</v>
      </c>
      <c r="L228" s="1" t="s">
        <v>17</v>
      </c>
      <c r="M228" s="1" t="s">
        <v>17</v>
      </c>
      <c r="N228" s="27" t="s">
        <v>605</v>
      </c>
      <c r="O228" s="1" t="s">
        <v>16</v>
      </c>
    </row>
    <row r="229" spans="1:15" x14ac:dyDescent="0.2">
      <c r="A229" s="9">
        <v>44320</v>
      </c>
      <c r="B229" s="1" t="s">
        <v>15</v>
      </c>
      <c r="C229" s="1">
        <v>15</v>
      </c>
      <c r="D229" s="1">
        <v>3</v>
      </c>
      <c r="E229" s="14">
        <v>41.31</v>
      </c>
      <c r="F229" s="1" t="s">
        <v>19</v>
      </c>
      <c r="G229" s="1">
        <v>2</v>
      </c>
      <c r="H229" s="1" t="s">
        <v>16</v>
      </c>
      <c r="I229" s="1" t="s">
        <v>16</v>
      </c>
      <c r="J229" s="1" t="s">
        <v>16</v>
      </c>
      <c r="K229" s="1" t="s">
        <v>17</v>
      </c>
      <c r="L229" s="1" t="s">
        <v>17</v>
      </c>
      <c r="M229" s="1" t="s">
        <v>17</v>
      </c>
      <c r="N229" s="27" t="s">
        <v>605</v>
      </c>
      <c r="O229" s="1" t="s">
        <v>16</v>
      </c>
    </row>
    <row r="230" spans="1:15" x14ac:dyDescent="0.2">
      <c r="A230" s="9">
        <v>44354</v>
      </c>
      <c r="B230" s="1" t="s">
        <v>15</v>
      </c>
      <c r="C230" s="1">
        <v>1</v>
      </c>
      <c r="D230" s="1">
        <v>1</v>
      </c>
      <c r="E230" s="14">
        <v>60.2</v>
      </c>
      <c r="F230" s="1" t="s">
        <v>18</v>
      </c>
      <c r="G230" s="1">
        <v>2</v>
      </c>
      <c r="H230" s="1" t="s">
        <v>16</v>
      </c>
      <c r="I230" s="1" t="s">
        <v>16</v>
      </c>
      <c r="J230" s="1" t="s">
        <v>16</v>
      </c>
      <c r="K230" s="1" t="s">
        <v>21</v>
      </c>
      <c r="L230" s="1" t="s">
        <v>17</v>
      </c>
      <c r="M230" s="1" t="s">
        <v>17</v>
      </c>
      <c r="N230" s="27" t="s">
        <v>605</v>
      </c>
      <c r="O230" s="1" t="s">
        <v>16</v>
      </c>
    </row>
    <row r="231" spans="1:15" x14ac:dyDescent="0.2">
      <c r="A231" s="9">
        <v>44354</v>
      </c>
      <c r="B231" s="1" t="s">
        <v>15</v>
      </c>
      <c r="C231" s="1">
        <v>2</v>
      </c>
      <c r="D231" s="1">
        <v>1</v>
      </c>
      <c r="E231" s="14">
        <v>57.22</v>
      </c>
      <c r="F231" s="1" t="s">
        <v>18</v>
      </c>
      <c r="G231" s="1">
        <v>2</v>
      </c>
      <c r="H231" s="1" t="s">
        <v>16</v>
      </c>
      <c r="I231" s="1" t="s">
        <v>16</v>
      </c>
      <c r="J231" s="1" t="s">
        <v>16</v>
      </c>
      <c r="K231" s="1" t="s">
        <v>17</v>
      </c>
      <c r="L231" s="1" t="s">
        <v>17</v>
      </c>
      <c r="M231" s="1" t="s">
        <v>17</v>
      </c>
      <c r="N231" s="27" t="s">
        <v>605</v>
      </c>
      <c r="O231" s="1" t="s">
        <v>16</v>
      </c>
    </row>
    <row r="232" spans="1:15" x14ac:dyDescent="0.2">
      <c r="A232" s="9">
        <v>44354</v>
      </c>
      <c r="B232" s="1" t="s">
        <v>15</v>
      </c>
      <c r="C232" s="1">
        <v>3</v>
      </c>
      <c r="D232" s="1">
        <v>1</v>
      </c>
      <c r="E232" s="14">
        <v>55.84</v>
      </c>
      <c r="F232" s="1" t="s">
        <v>18</v>
      </c>
      <c r="G232" s="1">
        <v>2</v>
      </c>
      <c r="H232" s="1" t="s">
        <v>16</v>
      </c>
      <c r="I232" s="1" t="s">
        <v>16</v>
      </c>
      <c r="J232" s="1" t="s">
        <v>16</v>
      </c>
      <c r="K232" s="1" t="s">
        <v>17</v>
      </c>
      <c r="L232" s="1" t="s">
        <v>17</v>
      </c>
      <c r="M232" s="1" t="s">
        <v>17</v>
      </c>
      <c r="N232" s="27" t="s">
        <v>605</v>
      </c>
      <c r="O232" s="1" t="s">
        <v>16</v>
      </c>
    </row>
    <row r="233" spans="1:15" x14ac:dyDescent="0.2">
      <c r="A233" s="9">
        <v>44354</v>
      </c>
      <c r="B233" s="1" t="s">
        <v>15</v>
      </c>
      <c r="C233" s="1">
        <v>4</v>
      </c>
      <c r="D233" s="1">
        <v>1</v>
      </c>
      <c r="E233" s="14">
        <v>54</v>
      </c>
      <c r="F233" s="1" t="s">
        <v>18</v>
      </c>
      <c r="G233" s="1">
        <v>2</v>
      </c>
      <c r="H233" s="1" t="s">
        <v>16</v>
      </c>
      <c r="I233" s="1" t="s">
        <v>16</v>
      </c>
      <c r="J233" s="1" t="s">
        <v>16</v>
      </c>
      <c r="K233" s="1" t="s">
        <v>17</v>
      </c>
      <c r="L233" s="1" t="s">
        <v>17</v>
      </c>
      <c r="M233" s="1" t="s">
        <v>17</v>
      </c>
      <c r="N233" s="27" t="s">
        <v>605</v>
      </c>
      <c r="O233" s="1" t="s">
        <v>16</v>
      </c>
    </row>
    <row r="234" spans="1:15" x14ac:dyDescent="0.2">
      <c r="A234" s="9">
        <v>44354</v>
      </c>
      <c r="B234" s="1" t="s">
        <v>15</v>
      </c>
      <c r="C234" s="1">
        <v>5</v>
      </c>
      <c r="D234" s="1">
        <v>1</v>
      </c>
      <c r="E234" s="14">
        <v>48.09</v>
      </c>
      <c r="F234" s="1" t="s">
        <v>18</v>
      </c>
      <c r="G234" s="1">
        <v>2</v>
      </c>
      <c r="H234" s="1" t="s">
        <v>16</v>
      </c>
      <c r="I234" s="1" t="s">
        <v>16</v>
      </c>
      <c r="J234" s="1" t="s">
        <v>16</v>
      </c>
      <c r="K234" s="1" t="s">
        <v>17</v>
      </c>
      <c r="L234" s="1" t="s">
        <v>17</v>
      </c>
      <c r="M234" s="1" t="s">
        <v>17</v>
      </c>
      <c r="N234" s="27" t="s">
        <v>605</v>
      </c>
      <c r="O234" s="1" t="s">
        <v>16</v>
      </c>
    </row>
    <row r="235" spans="1:15" x14ac:dyDescent="0.2">
      <c r="A235" s="9">
        <v>44354</v>
      </c>
      <c r="B235" s="1" t="s">
        <v>15</v>
      </c>
      <c r="C235" s="1">
        <v>6</v>
      </c>
      <c r="D235" s="1">
        <v>2</v>
      </c>
      <c r="E235" s="14">
        <v>53.73</v>
      </c>
      <c r="F235" s="1" t="s">
        <v>18</v>
      </c>
      <c r="G235" s="1">
        <v>2</v>
      </c>
      <c r="H235" s="1" t="s">
        <v>16</v>
      </c>
      <c r="I235" s="1" t="s">
        <v>16</v>
      </c>
      <c r="J235" s="1" t="s">
        <v>16</v>
      </c>
      <c r="K235" s="1" t="s">
        <v>17</v>
      </c>
      <c r="L235" s="1" t="s">
        <v>17</v>
      </c>
      <c r="M235" s="1" t="s">
        <v>17</v>
      </c>
      <c r="N235" s="27" t="s">
        <v>605</v>
      </c>
      <c r="O235" s="1" t="s">
        <v>16</v>
      </c>
    </row>
    <row r="236" spans="1:15" x14ac:dyDescent="0.2">
      <c r="A236" s="9">
        <v>44354</v>
      </c>
      <c r="B236" s="1" t="s">
        <v>15</v>
      </c>
      <c r="C236" s="1">
        <v>7</v>
      </c>
      <c r="D236" s="1">
        <v>2</v>
      </c>
      <c r="E236" s="14">
        <v>63.75</v>
      </c>
      <c r="F236" s="1" t="s">
        <v>19</v>
      </c>
      <c r="G236" s="1">
        <v>2</v>
      </c>
      <c r="H236" s="1" t="s">
        <v>16</v>
      </c>
      <c r="I236" s="1" t="s">
        <v>16</v>
      </c>
      <c r="J236" s="1" t="s">
        <v>16</v>
      </c>
      <c r="K236" s="1" t="s">
        <v>17</v>
      </c>
      <c r="L236" s="1" t="s">
        <v>17</v>
      </c>
      <c r="M236" s="1" t="s">
        <v>17</v>
      </c>
      <c r="N236" s="27" t="s">
        <v>605</v>
      </c>
      <c r="O236" s="1" t="s">
        <v>16</v>
      </c>
    </row>
    <row r="237" spans="1:15" x14ac:dyDescent="0.2">
      <c r="A237" s="9">
        <v>44354</v>
      </c>
      <c r="B237" s="1" t="s">
        <v>15</v>
      </c>
      <c r="C237" s="1">
        <v>8</v>
      </c>
      <c r="D237" s="1">
        <v>2</v>
      </c>
      <c r="E237" s="14">
        <v>60.97</v>
      </c>
      <c r="F237" s="1" t="s">
        <v>18</v>
      </c>
      <c r="G237" s="1">
        <v>1</v>
      </c>
      <c r="H237" s="1" t="s">
        <v>16</v>
      </c>
      <c r="I237" s="1" t="s">
        <v>16</v>
      </c>
      <c r="J237" s="1" t="s">
        <v>16</v>
      </c>
      <c r="K237" s="1" t="s">
        <v>17</v>
      </c>
      <c r="L237" s="1" t="s">
        <v>17</v>
      </c>
      <c r="M237" s="1" t="s">
        <v>17</v>
      </c>
      <c r="N237" s="27" t="s">
        <v>605</v>
      </c>
      <c r="O237" s="1" t="s">
        <v>16</v>
      </c>
    </row>
    <row r="238" spans="1:15" x14ac:dyDescent="0.2">
      <c r="A238" s="9">
        <v>44354</v>
      </c>
      <c r="B238" s="1" t="s">
        <v>15</v>
      </c>
      <c r="C238" s="1">
        <v>9</v>
      </c>
      <c r="D238" s="1">
        <v>2</v>
      </c>
      <c r="E238" s="14">
        <v>47.04</v>
      </c>
      <c r="F238" s="1" t="s">
        <v>16</v>
      </c>
      <c r="G238" s="1">
        <v>4</v>
      </c>
      <c r="H238" s="1" t="s">
        <v>16</v>
      </c>
      <c r="I238" s="1" t="s">
        <v>16</v>
      </c>
      <c r="J238" s="1" t="s">
        <v>16</v>
      </c>
      <c r="K238" s="1" t="s">
        <v>17</v>
      </c>
      <c r="L238" s="1" t="s">
        <v>17</v>
      </c>
      <c r="M238" s="1" t="s">
        <v>17</v>
      </c>
      <c r="N238" s="27" t="s">
        <v>605</v>
      </c>
      <c r="O238" s="1" t="s">
        <v>16</v>
      </c>
    </row>
    <row r="239" spans="1:15" x14ac:dyDescent="0.2">
      <c r="A239" s="9">
        <v>44354</v>
      </c>
      <c r="B239" s="1" t="s">
        <v>15</v>
      </c>
      <c r="C239" s="1">
        <v>10</v>
      </c>
      <c r="D239" s="1">
        <v>2</v>
      </c>
      <c r="E239" s="14">
        <v>51.16</v>
      </c>
      <c r="F239" s="1" t="s">
        <v>16</v>
      </c>
      <c r="G239" s="1" t="s">
        <v>16</v>
      </c>
      <c r="H239" s="1" t="s">
        <v>16</v>
      </c>
      <c r="I239" s="1" t="s">
        <v>16</v>
      </c>
      <c r="J239" s="1" t="s">
        <v>16</v>
      </c>
      <c r="K239" s="1" t="s">
        <v>20</v>
      </c>
      <c r="L239" s="1" t="s">
        <v>17</v>
      </c>
      <c r="M239" s="1" t="s">
        <v>17</v>
      </c>
      <c r="N239" s="27" t="s">
        <v>605</v>
      </c>
      <c r="O239" s="1" t="s">
        <v>16</v>
      </c>
    </row>
    <row r="240" spans="1:15" x14ac:dyDescent="0.2">
      <c r="A240" s="9">
        <v>44354</v>
      </c>
      <c r="B240" s="1" t="s">
        <v>15</v>
      </c>
      <c r="C240" s="1">
        <v>11</v>
      </c>
      <c r="D240" s="1">
        <v>3</v>
      </c>
      <c r="E240" s="14">
        <v>66.31</v>
      </c>
      <c r="F240" s="1" t="s">
        <v>18</v>
      </c>
      <c r="G240" s="1">
        <v>2</v>
      </c>
      <c r="H240" s="1" t="s">
        <v>16</v>
      </c>
      <c r="I240" s="1" t="s">
        <v>16</v>
      </c>
      <c r="J240" s="1" t="s">
        <v>16</v>
      </c>
      <c r="K240" s="1" t="s">
        <v>21</v>
      </c>
      <c r="L240" s="1" t="s">
        <v>17</v>
      </c>
      <c r="M240" s="1" t="s">
        <v>17</v>
      </c>
      <c r="N240" s="27" t="s">
        <v>605</v>
      </c>
      <c r="O240" s="1" t="s">
        <v>16</v>
      </c>
    </row>
    <row r="241" spans="1:15" x14ac:dyDescent="0.2">
      <c r="A241" s="9">
        <v>44354</v>
      </c>
      <c r="B241" s="1" t="s">
        <v>15</v>
      </c>
      <c r="C241" s="1">
        <v>12</v>
      </c>
      <c r="D241" s="1">
        <v>3</v>
      </c>
      <c r="E241" s="14">
        <v>54.23</v>
      </c>
      <c r="F241" s="1" t="s">
        <v>18</v>
      </c>
      <c r="G241" s="1">
        <v>3</v>
      </c>
      <c r="H241" s="1" t="s">
        <v>16</v>
      </c>
      <c r="I241" s="1" t="s">
        <v>16</v>
      </c>
      <c r="J241" s="1" t="s">
        <v>16</v>
      </c>
      <c r="K241" s="1" t="s">
        <v>17</v>
      </c>
      <c r="L241" s="1" t="s">
        <v>17</v>
      </c>
      <c r="M241" s="1" t="s">
        <v>17</v>
      </c>
      <c r="N241" s="27" t="s">
        <v>605</v>
      </c>
      <c r="O241" s="1" t="s">
        <v>16</v>
      </c>
    </row>
    <row r="242" spans="1:15" x14ac:dyDescent="0.2">
      <c r="A242" s="9">
        <v>44354</v>
      </c>
      <c r="B242" s="1" t="s">
        <v>15</v>
      </c>
      <c r="C242" s="1">
        <v>13</v>
      </c>
      <c r="D242" s="1">
        <v>3</v>
      </c>
      <c r="E242" s="14">
        <v>57.89</v>
      </c>
      <c r="F242" s="1" t="s">
        <v>18</v>
      </c>
      <c r="G242" s="1">
        <v>2</v>
      </c>
      <c r="H242" s="1" t="s">
        <v>16</v>
      </c>
      <c r="I242" s="1" t="s">
        <v>16</v>
      </c>
      <c r="J242" s="1" t="s">
        <v>16</v>
      </c>
      <c r="K242" s="1" t="s">
        <v>17</v>
      </c>
      <c r="L242" s="1" t="s">
        <v>17</v>
      </c>
      <c r="M242" s="1" t="s">
        <v>17</v>
      </c>
      <c r="N242" s="27" t="s">
        <v>605</v>
      </c>
      <c r="O242" s="1" t="s">
        <v>16</v>
      </c>
    </row>
    <row r="243" spans="1:15" x14ac:dyDescent="0.2">
      <c r="A243" s="9">
        <v>44354</v>
      </c>
      <c r="B243" s="1" t="s">
        <v>15</v>
      </c>
      <c r="C243" s="1">
        <v>14</v>
      </c>
      <c r="D243" s="1">
        <v>3</v>
      </c>
      <c r="E243" s="14">
        <v>48.02</v>
      </c>
      <c r="F243" s="1" t="s">
        <v>18</v>
      </c>
      <c r="G243" s="1">
        <v>1</v>
      </c>
      <c r="H243" s="1" t="s">
        <v>16</v>
      </c>
      <c r="I243" s="1" t="s">
        <v>16</v>
      </c>
      <c r="J243" s="1" t="s">
        <v>16</v>
      </c>
      <c r="K243" s="1" t="s">
        <v>21</v>
      </c>
      <c r="L243" s="1" t="s">
        <v>17</v>
      </c>
      <c r="M243" s="1" t="s">
        <v>17</v>
      </c>
      <c r="N243" s="27" t="s">
        <v>605</v>
      </c>
      <c r="O243" s="1" t="s">
        <v>16</v>
      </c>
    </row>
    <row r="244" spans="1:15" x14ac:dyDescent="0.2">
      <c r="A244" s="9">
        <v>44354</v>
      </c>
      <c r="B244" s="1" t="s">
        <v>15</v>
      </c>
      <c r="C244" s="1">
        <v>15</v>
      </c>
      <c r="D244" s="1">
        <v>3</v>
      </c>
      <c r="E244" s="14">
        <v>54.05</v>
      </c>
      <c r="F244" s="1" t="s">
        <v>19</v>
      </c>
      <c r="G244" s="1">
        <v>2</v>
      </c>
      <c r="H244" s="1" t="s">
        <v>16</v>
      </c>
      <c r="I244" s="1" t="s">
        <v>16</v>
      </c>
      <c r="J244" s="1" t="s">
        <v>16</v>
      </c>
      <c r="K244" s="1" t="s">
        <v>17</v>
      </c>
      <c r="L244" s="1" t="s">
        <v>17</v>
      </c>
      <c r="M244" s="1" t="s">
        <v>17</v>
      </c>
      <c r="N244" s="27" t="s">
        <v>605</v>
      </c>
      <c r="O244" s="1" t="s">
        <v>16</v>
      </c>
    </row>
    <row r="245" spans="1:15" x14ac:dyDescent="0.2">
      <c r="A245" s="9">
        <v>44389</v>
      </c>
      <c r="B245" s="15" t="s">
        <v>15</v>
      </c>
      <c r="C245" s="15">
        <v>1</v>
      </c>
      <c r="D245" s="15">
        <v>1</v>
      </c>
      <c r="E245" s="14">
        <v>68.48</v>
      </c>
      <c r="F245" s="15" t="s">
        <v>18</v>
      </c>
      <c r="G245" s="15">
        <v>1</v>
      </c>
      <c r="H245" s="1" t="s">
        <v>16</v>
      </c>
      <c r="I245" s="1" t="s">
        <v>16</v>
      </c>
      <c r="J245" s="1" t="s">
        <v>16</v>
      </c>
      <c r="K245" s="1" t="s">
        <v>17</v>
      </c>
      <c r="L245" s="1" t="s">
        <v>17</v>
      </c>
      <c r="M245" s="1" t="s">
        <v>17</v>
      </c>
      <c r="N245" s="27" t="s">
        <v>605</v>
      </c>
      <c r="O245" s="1" t="s">
        <v>16</v>
      </c>
    </row>
    <row r="246" spans="1:15" x14ac:dyDescent="0.2">
      <c r="A246" s="9">
        <v>44389</v>
      </c>
      <c r="B246" s="15" t="s">
        <v>15</v>
      </c>
      <c r="C246" s="15">
        <v>2</v>
      </c>
      <c r="D246" s="15">
        <v>1</v>
      </c>
      <c r="E246" s="14">
        <v>51.19</v>
      </c>
      <c r="F246" s="15" t="s">
        <v>19</v>
      </c>
      <c r="G246" s="15">
        <v>2</v>
      </c>
      <c r="H246" s="1" t="s">
        <v>16</v>
      </c>
      <c r="I246" s="1" t="s">
        <v>16</v>
      </c>
      <c r="J246" s="1" t="s">
        <v>16</v>
      </c>
      <c r="K246" s="1" t="s">
        <v>17</v>
      </c>
      <c r="L246" s="1" t="s">
        <v>17</v>
      </c>
      <c r="M246" s="1" t="s">
        <v>17</v>
      </c>
      <c r="N246" s="27" t="s">
        <v>605</v>
      </c>
      <c r="O246" s="1" t="s">
        <v>16</v>
      </c>
    </row>
    <row r="247" spans="1:15" x14ac:dyDescent="0.2">
      <c r="A247" s="9">
        <v>44389</v>
      </c>
      <c r="B247" s="15" t="s">
        <v>15</v>
      </c>
      <c r="C247" s="15">
        <v>3</v>
      </c>
      <c r="D247" s="15">
        <v>1</v>
      </c>
      <c r="E247" s="14">
        <v>48.77</v>
      </c>
      <c r="F247" s="15" t="s">
        <v>18</v>
      </c>
      <c r="G247" s="15">
        <v>2</v>
      </c>
      <c r="H247" s="1" t="s">
        <v>16</v>
      </c>
      <c r="I247" s="1" t="s">
        <v>16</v>
      </c>
      <c r="J247" s="1" t="s">
        <v>16</v>
      </c>
      <c r="K247" s="1" t="s">
        <v>17</v>
      </c>
      <c r="L247" s="1" t="s">
        <v>17</v>
      </c>
      <c r="M247" s="1" t="s">
        <v>17</v>
      </c>
      <c r="N247" s="27" t="s">
        <v>605</v>
      </c>
      <c r="O247" s="1" t="s">
        <v>16</v>
      </c>
    </row>
    <row r="248" spans="1:15" x14ac:dyDescent="0.2">
      <c r="A248" s="9">
        <v>44389</v>
      </c>
      <c r="B248" s="15" t="s">
        <v>15</v>
      </c>
      <c r="C248" s="15">
        <v>4</v>
      </c>
      <c r="D248" s="15">
        <v>1</v>
      </c>
      <c r="E248" s="14">
        <v>53.29</v>
      </c>
      <c r="F248" s="15" t="s">
        <v>18</v>
      </c>
      <c r="G248" s="15">
        <v>3</v>
      </c>
      <c r="H248" s="1" t="s">
        <v>16</v>
      </c>
      <c r="I248" s="1" t="s">
        <v>16</v>
      </c>
      <c r="J248" s="1" t="s">
        <v>16</v>
      </c>
      <c r="K248" s="1" t="s">
        <v>17</v>
      </c>
      <c r="L248" s="1" t="s">
        <v>17</v>
      </c>
      <c r="M248" s="1" t="s">
        <v>17</v>
      </c>
      <c r="N248" s="27" t="s">
        <v>605</v>
      </c>
      <c r="O248" s="1" t="s">
        <v>16</v>
      </c>
    </row>
    <row r="249" spans="1:15" x14ac:dyDescent="0.2">
      <c r="A249" s="9">
        <v>44389</v>
      </c>
      <c r="B249" s="15" t="s">
        <v>15</v>
      </c>
      <c r="C249" s="15">
        <v>5</v>
      </c>
      <c r="D249" s="15">
        <v>1</v>
      </c>
      <c r="E249" s="14">
        <v>68.25</v>
      </c>
      <c r="F249" s="15" t="s">
        <v>18</v>
      </c>
      <c r="G249" s="15">
        <v>3</v>
      </c>
      <c r="H249" s="1" t="s">
        <v>16</v>
      </c>
      <c r="I249" s="1" t="s">
        <v>16</v>
      </c>
      <c r="J249" s="1" t="s">
        <v>16</v>
      </c>
      <c r="K249" s="1" t="s">
        <v>17</v>
      </c>
      <c r="L249" s="1" t="s">
        <v>17</v>
      </c>
      <c r="M249" s="1" t="s">
        <v>17</v>
      </c>
      <c r="N249" s="27" t="s">
        <v>605</v>
      </c>
      <c r="O249" s="1" t="s">
        <v>16</v>
      </c>
    </row>
    <row r="250" spans="1:15" x14ac:dyDescent="0.2">
      <c r="A250" s="9">
        <v>44389</v>
      </c>
      <c r="B250" s="15" t="s">
        <v>15</v>
      </c>
      <c r="C250" s="15">
        <v>6</v>
      </c>
      <c r="D250" s="15">
        <v>2</v>
      </c>
      <c r="E250" s="14">
        <v>56.74</v>
      </c>
      <c r="F250" s="15" t="s">
        <v>19</v>
      </c>
      <c r="G250" s="15">
        <v>2</v>
      </c>
      <c r="H250" s="1" t="s">
        <v>16</v>
      </c>
      <c r="I250" s="1" t="s">
        <v>16</v>
      </c>
      <c r="J250" s="1" t="s">
        <v>16</v>
      </c>
      <c r="K250" s="1" t="s">
        <v>17</v>
      </c>
      <c r="L250" s="1" t="s">
        <v>17</v>
      </c>
      <c r="M250" s="1" t="s">
        <v>17</v>
      </c>
      <c r="N250" s="27" t="s">
        <v>605</v>
      </c>
      <c r="O250" s="1" t="s">
        <v>16</v>
      </c>
    </row>
    <row r="251" spans="1:15" x14ac:dyDescent="0.2">
      <c r="A251" s="9">
        <v>44389</v>
      </c>
      <c r="B251" s="15" t="s">
        <v>15</v>
      </c>
      <c r="C251" s="15">
        <v>7</v>
      </c>
      <c r="D251" s="15">
        <v>2</v>
      </c>
      <c r="E251" s="14">
        <v>55.36</v>
      </c>
      <c r="F251" s="15" t="s">
        <v>18</v>
      </c>
      <c r="G251" s="15">
        <v>2</v>
      </c>
      <c r="H251" s="1" t="s">
        <v>16</v>
      </c>
      <c r="I251" s="1" t="s">
        <v>16</v>
      </c>
      <c r="J251" s="1" t="s">
        <v>16</v>
      </c>
      <c r="K251" s="1" t="s">
        <v>17</v>
      </c>
      <c r="L251" s="1" t="s">
        <v>17</v>
      </c>
      <c r="M251" s="1" t="s">
        <v>17</v>
      </c>
      <c r="N251" s="27" t="s">
        <v>605</v>
      </c>
      <c r="O251" s="1" t="s">
        <v>16</v>
      </c>
    </row>
    <row r="252" spans="1:15" x14ac:dyDescent="0.2">
      <c r="A252" s="9">
        <v>44389</v>
      </c>
      <c r="B252" s="15" t="s">
        <v>15</v>
      </c>
      <c r="C252" s="15">
        <v>8</v>
      </c>
      <c r="D252" s="15">
        <v>2</v>
      </c>
      <c r="E252" s="14">
        <v>51.38</v>
      </c>
      <c r="F252" s="15" t="s">
        <v>18</v>
      </c>
      <c r="G252" s="15">
        <v>2</v>
      </c>
      <c r="H252" s="1" t="s">
        <v>16</v>
      </c>
      <c r="I252" s="1" t="s">
        <v>16</v>
      </c>
      <c r="J252" s="1" t="s">
        <v>16</v>
      </c>
      <c r="K252" s="1" t="s">
        <v>17</v>
      </c>
      <c r="L252" s="1" t="s">
        <v>17</v>
      </c>
      <c r="M252" s="1" t="s">
        <v>17</v>
      </c>
      <c r="N252" s="27" t="s">
        <v>605</v>
      </c>
      <c r="O252" s="1" t="s">
        <v>16</v>
      </c>
    </row>
    <row r="253" spans="1:15" x14ac:dyDescent="0.2">
      <c r="A253" s="9">
        <v>44389</v>
      </c>
      <c r="B253" s="15" t="s">
        <v>15</v>
      </c>
      <c r="C253" s="15">
        <v>9</v>
      </c>
      <c r="D253" s="15">
        <v>2</v>
      </c>
      <c r="E253" s="14">
        <v>50.4</v>
      </c>
      <c r="F253" s="15" t="s">
        <v>18</v>
      </c>
      <c r="G253" s="15">
        <v>2</v>
      </c>
      <c r="H253" s="1" t="s">
        <v>16</v>
      </c>
      <c r="I253" s="1" t="s">
        <v>16</v>
      </c>
      <c r="J253" s="1" t="s">
        <v>16</v>
      </c>
      <c r="K253" s="1" t="s">
        <v>17</v>
      </c>
      <c r="L253" s="1" t="s">
        <v>17</v>
      </c>
      <c r="M253" s="1" t="s">
        <v>17</v>
      </c>
      <c r="N253" s="27" t="s">
        <v>605</v>
      </c>
      <c r="O253" s="1" t="s">
        <v>16</v>
      </c>
    </row>
    <row r="254" spans="1:15" x14ac:dyDescent="0.2">
      <c r="A254" s="9">
        <v>44389</v>
      </c>
      <c r="B254" s="15" t="s">
        <v>15</v>
      </c>
      <c r="C254" s="15">
        <v>10</v>
      </c>
      <c r="D254" s="15">
        <v>2</v>
      </c>
      <c r="E254" s="14">
        <v>80.83</v>
      </c>
      <c r="F254" s="15" t="s">
        <v>18</v>
      </c>
      <c r="G254" s="15">
        <v>2</v>
      </c>
      <c r="H254" s="1" t="s">
        <v>16</v>
      </c>
      <c r="I254" s="1" t="s">
        <v>16</v>
      </c>
      <c r="J254" s="1" t="s">
        <v>16</v>
      </c>
      <c r="K254" s="1" t="s">
        <v>17</v>
      </c>
      <c r="L254" s="1" t="s">
        <v>17</v>
      </c>
      <c r="M254" s="1" t="s">
        <v>17</v>
      </c>
      <c r="N254" s="27" t="s">
        <v>605</v>
      </c>
      <c r="O254" s="1" t="s">
        <v>16</v>
      </c>
    </row>
    <row r="255" spans="1:15" x14ac:dyDescent="0.2">
      <c r="A255" s="9">
        <v>44389</v>
      </c>
      <c r="B255" s="15" t="s">
        <v>15</v>
      </c>
      <c r="C255" s="15">
        <v>11</v>
      </c>
      <c r="D255" s="15">
        <v>3</v>
      </c>
      <c r="E255" s="14">
        <v>49.84</v>
      </c>
      <c r="F255" s="15" t="s">
        <v>19</v>
      </c>
      <c r="G255" s="15">
        <v>2</v>
      </c>
      <c r="H255" s="1" t="s">
        <v>16</v>
      </c>
      <c r="I255" s="1" t="s">
        <v>16</v>
      </c>
      <c r="J255" s="1" t="s">
        <v>16</v>
      </c>
      <c r="K255" s="1" t="s">
        <v>17</v>
      </c>
      <c r="L255" s="1" t="s">
        <v>17</v>
      </c>
      <c r="M255" s="1" t="s">
        <v>17</v>
      </c>
      <c r="N255" s="27" t="s">
        <v>605</v>
      </c>
      <c r="O255" s="1" t="s">
        <v>16</v>
      </c>
    </row>
    <row r="256" spans="1:15" x14ac:dyDescent="0.2">
      <c r="A256" s="9">
        <v>44389</v>
      </c>
      <c r="B256" s="15" t="s">
        <v>15</v>
      </c>
      <c r="C256" s="15">
        <v>12</v>
      </c>
      <c r="D256" s="15">
        <v>3</v>
      </c>
      <c r="E256" s="14">
        <v>52.02</v>
      </c>
      <c r="F256" s="15" t="s">
        <v>19</v>
      </c>
      <c r="G256" s="15">
        <v>2</v>
      </c>
      <c r="H256" s="1" t="s">
        <v>16</v>
      </c>
      <c r="I256" s="1" t="s">
        <v>16</v>
      </c>
      <c r="J256" s="1" t="s">
        <v>16</v>
      </c>
      <c r="K256" s="1" t="s">
        <v>17</v>
      </c>
      <c r="L256" s="1" t="s">
        <v>17</v>
      </c>
      <c r="M256" s="1" t="s">
        <v>17</v>
      </c>
      <c r="N256" s="27" t="s">
        <v>605</v>
      </c>
      <c r="O256" s="1" t="s">
        <v>16</v>
      </c>
    </row>
    <row r="257" spans="1:15" x14ac:dyDescent="0.2">
      <c r="A257" s="9">
        <v>44389</v>
      </c>
      <c r="B257" s="15" t="s">
        <v>15</v>
      </c>
      <c r="C257" s="15">
        <v>13</v>
      </c>
      <c r="D257" s="15">
        <v>3</v>
      </c>
      <c r="E257" s="14">
        <v>57.85</v>
      </c>
      <c r="F257" s="15" t="s">
        <v>18</v>
      </c>
      <c r="G257" s="15">
        <v>2</v>
      </c>
      <c r="H257" s="1" t="s">
        <v>16</v>
      </c>
      <c r="I257" s="1" t="s">
        <v>16</v>
      </c>
      <c r="J257" s="1" t="s">
        <v>16</v>
      </c>
      <c r="K257" s="1" t="s">
        <v>17</v>
      </c>
      <c r="L257" s="1" t="s">
        <v>17</v>
      </c>
      <c r="M257" s="1" t="s">
        <v>17</v>
      </c>
      <c r="N257" s="27" t="s">
        <v>605</v>
      </c>
      <c r="O257" s="1" t="s">
        <v>16</v>
      </c>
    </row>
    <row r="258" spans="1:15" x14ac:dyDescent="0.2">
      <c r="A258" s="9">
        <v>44389</v>
      </c>
      <c r="B258" s="15" t="s">
        <v>15</v>
      </c>
      <c r="C258" s="15">
        <v>14</v>
      </c>
      <c r="D258" s="15">
        <v>3</v>
      </c>
      <c r="E258" s="14">
        <v>47.04</v>
      </c>
      <c r="F258" s="15" t="s">
        <v>16</v>
      </c>
      <c r="G258" s="15">
        <v>4</v>
      </c>
      <c r="H258" s="1" t="s">
        <v>16</v>
      </c>
      <c r="I258" s="1" t="s">
        <v>16</v>
      </c>
      <c r="J258" s="1" t="s">
        <v>16</v>
      </c>
      <c r="K258" s="1" t="s">
        <v>17</v>
      </c>
      <c r="L258" s="1" t="s">
        <v>17</v>
      </c>
      <c r="M258" s="1" t="s">
        <v>17</v>
      </c>
      <c r="N258" s="27" t="s">
        <v>605</v>
      </c>
      <c r="O258" s="1" t="s">
        <v>16</v>
      </c>
    </row>
    <row r="259" spans="1:15" x14ac:dyDescent="0.2">
      <c r="A259" s="9">
        <v>44389</v>
      </c>
      <c r="B259" s="15" t="s">
        <v>15</v>
      </c>
      <c r="C259" s="15">
        <v>15</v>
      </c>
      <c r="D259" s="15">
        <v>3</v>
      </c>
      <c r="E259" s="14">
        <v>63.35</v>
      </c>
      <c r="F259" s="15" t="s">
        <v>18</v>
      </c>
      <c r="G259" s="15">
        <v>2</v>
      </c>
      <c r="H259" s="1" t="s">
        <v>16</v>
      </c>
      <c r="I259" s="1" t="s">
        <v>16</v>
      </c>
      <c r="J259" s="1" t="s">
        <v>16</v>
      </c>
      <c r="K259" s="1" t="s">
        <v>17</v>
      </c>
      <c r="L259" s="1" t="s">
        <v>17</v>
      </c>
      <c r="M259" s="1" t="s">
        <v>17</v>
      </c>
      <c r="N259" s="27" t="s">
        <v>605</v>
      </c>
      <c r="O259" s="1" t="s">
        <v>16</v>
      </c>
    </row>
    <row r="260" spans="1:15" x14ac:dyDescent="0.2">
      <c r="A260" s="9">
        <v>44411</v>
      </c>
      <c r="B260" s="1" t="s">
        <v>15</v>
      </c>
      <c r="C260" s="1">
        <v>1</v>
      </c>
      <c r="D260" s="1">
        <v>1</v>
      </c>
      <c r="E260" s="14">
        <v>51.16</v>
      </c>
      <c r="F260" s="1" t="s">
        <v>18</v>
      </c>
      <c r="G260" s="1">
        <v>2</v>
      </c>
      <c r="H260" s="1" t="s">
        <v>16</v>
      </c>
      <c r="I260" s="1" t="s">
        <v>16</v>
      </c>
      <c r="J260" s="1" t="s">
        <v>16</v>
      </c>
      <c r="K260" s="1" t="s">
        <v>17</v>
      </c>
      <c r="L260" s="1" t="s">
        <v>17</v>
      </c>
      <c r="M260" s="1" t="s">
        <v>17</v>
      </c>
      <c r="N260" s="27" t="s">
        <v>605</v>
      </c>
      <c r="O260" s="1" t="s">
        <v>16</v>
      </c>
    </row>
    <row r="261" spans="1:15" x14ac:dyDescent="0.2">
      <c r="A261" s="9">
        <v>44411</v>
      </c>
      <c r="B261" s="1" t="s">
        <v>15</v>
      </c>
      <c r="C261" s="1">
        <v>2</v>
      </c>
      <c r="D261" s="1">
        <v>1</v>
      </c>
      <c r="E261" s="14">
        <v>57.73</v>
      </c>
      <c r="F261" s="1" t="s">
        <v>18</v>
      </c>
      <c r="G261" s="1">
        <v>2</v>
      </c>
      <c r="H261" s="1" t="s">
        <v>16</v>
      </c>
      <c r="I261" s="1" t="s">
        <v>16</v>
      </c>
      <c r="J261" s="1" t="s">
        <v>16</v>
      </c>
      <c r="K261" s="1" t="s">
        <v>17</v>
      </c>
      <c r="L261" s="1" t="s">
        <v>17</v>
      </c>
      <c r="M261" s="1" t="s">
        <v>17</v>
      </c>
      <c r="N261" s="27" t="s">
        <v>605</v>
      </c>
      <c r="O261" s="1" t="s">
        <v>16</v>
      </c>
    </row>
    <row r="262" spans="1:15" x14ac:dyDescent="0.2">
      <c r="A262" s="9">
        <v>44411</v>
      </c>
      <c r="B262" s="1" t="s">
        <v>15</v>
      </c>
      <c r="C262" s="1">
        <v>3</v>
      </c>
      <c r="D262" s="1">
        <v>1</v>
      </c>
      <c r="E262" s="14">
        <v>53.75</v>
      </c>
      <c r="F262" s="1" t="s">
        <v>18</v>
      </c>
      <c r="G262" s="1">
        <v>2</v>
      </c>
      <c r="H262" s="1" t="s">
        <v>16</v>
      </c>
      <c r="I262" s="1" t="s">
        <v>16</v>
      </c>
      <c r="J262" s="1" t="s">
        <v>16</v>
      </c>
      <c r="K262" s="1" t="s">
        <v>17</v>
      </c>
      <c r="L262" s="1" t="s">
        <v>17</v>
      </c>
      <c r="M262" s="1" t="s">
        <v>17</v>
      </c>
      <c r="N262" s="27" t="s">
        <v>605</v>
      </c>
      <c r="O262" s="1" t="s">
        <v>16</v>
      </c>
    </row>
    <row r="263" spans="1:15" x14ac:dyDescent="0.2">
      <c r="A263" s="9">
        <v>44411</v>
      </c>
      <c r="B263" s="1" t="s">
        <v>15</v>
      </c>
      <c r="C263" s="1">
        <v>4</v>
      </c>
      <c r="D263" s="1">
        <v>1</v>
      </c>
      <c r="E263" s="14">
        <v>59.54</v>
      </c>
      <c r="F263" s="1" t="s">
        <v>19</v>
      </c>
      <c r="G263" s="1">
        <v>2</v>
      </c>
      <c r="H263" s="1" t="s">
        <v>16</v>
      </c>
      <c r="I263" s="1" t="s">
        <v>16</v>
      </c>
      <c r="J263" s="1" t="s">
        <v>16</v>
      </c>
      <c r="K263" s="1" t="s">
        <v>17</v>
      </c>
      <c r="L263" s="1" t="s">
        <v>17</v>
      </c>
      <c r="M263" s="1" t="s">
        <v>17</v>
      </c>
      <c r="N263" s="27" t="s">
        <v>605</v>
      </c>
      <c r="O263" s="1" t="s">
        <v>16</v>
      </c>
    </row>
    <row r="264" spans="1:15" x14ac:dyDescent="0.2">
      <c r="A264" s="9">
        <v>44411</v>
      </c>
      <c r="B264" s="1" t="s">
        <v>15</v>
      </c>
      <c r="C264" s="1">
        <v>5</v>
      </c>
      <c r="D264" s="1">
        <v>1</v>
      </c>
      <c r="E264" s="14">
        <v>69.150000000000006</v>
      </c>
      <c r="F264" s="1" t="s">
        <v>16</v>
      </c>
      <c r="G264" s="1">
        <v>4</v>
      </c>
      <c r="H264" s="1" t="s">
        <v>16</v>
      </c>
      <c r="I264" s="1" t="s">
        <v>16</v>
      </c>
      <c r="J264" s="1" t="s">
        <v>16</v>
      </c>
      <c r="K264" s="1" t="s">
        <v>17</v>
      </c>
      <c r="L264" s="1" t="s">
        <v>17</v>
      </c>
      <c r="M264" s="1" t="s">
        <v>17</v>
      </c>
      <c r="N264" s="27" t="s">
        <v>605</v>
      </c>
      <c r="O264" s="1" t="s">
        <v>16</v>
      </c>
    </row>
    <row r="265" spans="1:15" x14ac:dyDescent="0.2">
      <c r="A265" s="9">
        <v>44411</v>
      </c>
      <c r="B265" s="1" t="s">
        <v>15</v>
      </c>
      <c r="C265" s="1">
        <v>6</v>
      </c>
      <c r="D265" s="1">
        <v>2</v>
      </c>
      <c r="E265" s="14">
        <v>64.42</v>
      </c>
      <c r="F265" s="1" t="s">
        <v>18</v>
      </c>
      <c r="G265" s="1">
        <v>2</v>
      </c>
      <c r="H265" s="1" t="s">
        <v>16</v>
      </c>
      <c r="I265" s="1" t="s">
        <v>16</v>
      </c>
      <c r="J265" s="1" t="s">
        <v>16</v>
      </c>
      <c r="K265" s="1" t="s">
        <v>17</v>
      </c>
      <c r="L265" s="1" t="s">
        <v>17</v>
      </c>
      <c r="M265" s="1" t="s">
        <v>17</v>
      </c>
      <c r="N265" s="27" t="s">
        <v>605</v>
      </c>
      <c r="O265" s="1" t="s">
        <v>16</v>
      </c>
    </row>
    <row r="266" spans="1:15" x14ac:dyDescent="0.2">
      <c r="A266" s="9">
        <v>44411</v>
      </c>
      <c r="B266" s="1" t="s">
        <v>15</v>
      </c>
      <c r="C266" s="1">
        <v>7</v>
      </c>
      <c r="D266" s="1">
        <v>2</v>
      </c>
      <c r="E266" s="14">
        <v>52.01</v>
      </c>
      <c r="F266" s="1" t="s">
        <v>18</v>
      </c>
      <c r="G266" s="1">
        <v>2</v>
      </c>
      <c r="H266" s="1" t="s">
        <v>16</v>
      </c>
      <c r="I266" s="1" t="s">
        <v>16</v>
      </c>
      <c r="J266" s="1" t="s">
        <v>16</v>
      </c>
      <c r="K266" s="1" t="s">
        <v>17</v>
      </c>
      <c r="L266" s="1" t="s">
        <v>17</v>
      </c>
      <c r="M266" s="1" t="s">
        <v>17</v>
      </c>
      <c r="N266" s="27" t="s">
        <v>605</v>
      </c>
      <c r="O266" s="1" t="s">
        <v>16</v>
      </c>
    </row>
    <row r="267" spans="1:15" x14ac:dyDescent="0.2">
      <c r="A267" s="9">
        <v>44411</v>
      </c>
      <c r="B267" s="1" t="s">
        <v>15</v>
      </c>
      <c r="C267" s="1">
        <v>8</v>
      </c>
      <c r="D267" s="1">
        <v>2</v>
      </c>
      <c r="E267" s="14">
        <v>58.82</v>
      </c>
      <c r="F267" s="1" t="s">
        <v>18</v>
      </c>
      <c r="G267" s="1">
        <v>2</v>
      </c>
      <c r="H267" s="1" t="s">
        <v>16</v>
      </c>
      <c r="I267" s="1" t="s">
        <v>16</v>
      </c>
      <c r="J267" s="1" t="s">
        <v>16</v>
      </c>
      <c r="K267" s="1" t="s">
        <v>17</v>
      </c>
      <c r="L267" s="1" t="s">
        <v>17</v>
      </c>
      <c r="M267" s="1" t="s">
        <v>17</v>
      </c>
      <c r="N267" s="27" t="s">
        <v>605</v>
      </c>
      <c r="O267" s="1" t="s">
        <v>16</v>
      </c>
    </row>
    <row r="268" spans="1:15" x14ac:dyDescent="0.2">
      <c r="A268" s="9">
        <v>44411</v>
      </c>
      <c r="B268" s="1" t="s">
        <v>15</v>
      </c>
      <c r="C268" s="1">
        <v>9</v>
      </c>
      <c r="D268" s="1">
        <v>2</v>
      </c>
      <c r="E268" s="14">
        <v>72.31</v>
      </c>
      <c r="F268" s="1" t="s">
        <v>18</v>
      </c>
      <c r="G268" s="1">
        <v>2</v>
      </c>
      <c r="H268" s="1" t="s">
        <v>16</v>
      </c>
      <c r="I268" s="1" t="s">
        <v>16</v>
      </c>
      <c r="J268" s="1" t="s">
        <v>16</v>
      </c>
      <c r="K268" s="1" t="s">
        <v>17</v>
      </c>
      <c r="L268" s="1" t="s">
        <v>17</v>
      </c>
      <c r="M268" s="1" t="s">
        <v>17</v>
      </c>
      <c r="N268" s="27" t="s">
        <v>605</v>
      </c>
      <c r="O268" s="1" t="s">
        <v>16</v>
      </c>
    </row>
    <row r="269" spans="1:15" x14ac:dyDescent="0.2">
      <c r="A269" s="9">
        <v>44411</v>
      </c>
      <c r="B269" s="1" t="s">
        <v>15</v>
      </c>
      <c r="C269" s="1">
        <v>10</v>
      </c>
      <c r="D269" s="1">
        <v>2</v>
      </c>
      <c r="E269" s="14">
        <v>57.35</v>
      </c>
      <c r="F269" s="1" t="s">
        <v>18</v>
      </c>
      <c r="G269" s="1">
        <v>2</v>
      </c>
      <c r="H269" s="1" t="s">
        <v>16</v>
      </c>
      <c r="I269" s="1" t="s">
        <v>16</v>
      </c>
      <c r="J269" s="1" t="s">
        <v>16</v>
      </c>
      <c r="K269" s="1" t="s">
        <v>17</v>
      </c>
      <c r="L269" s="1" t="s">
        <v>17</v>
      </c>
      <c r="M269" s="1" t="s">
        <v>17</v>
      </c>
      <c r="N269" s="27" t="s">
        <v>605</v>
      </c>
      <c r="O269" s="1" t="s">
        <v>16</v>
      </c>
    </row>
    <row r="270" spans="1:15" x14ac:dyDescent="0.2">
      <c r="A270" s="9">
        <v>44411</v>
      </c>
      <c r="B270" s="1" t="s">
        <v>15</v>
      </c>
      <c r="C270" s="1">
        <v>11</v>
      </c>
      <c r="D270" s="1">
        <v>3</v>
      </c>
      <c r="E270" s="14">
        <v>60.7</v>
      </c>
      <c r="F270" s="1" t="s">
        <v>18</v>
      </c>
      <c r="G270" s="1">
        <v>2</v>
      </c>
      <c r="H270" s="1" t="s">
        <v>16</v>
      </c>
      <c r="I270" s="1" t="s">
        <v>16</v>
      </c>
      <c r="J270" s="1" t="s">
        <v>16</v>
      </c>
      <c r="K270" s="1" t="s">
        <v>17</v>
      </c>
      <c r="L270" s="1" t="s">
        <v>17</v>
      </c>
      <c r="M270" s="1" t="s">
        <v>17</v>
      </c>
      <c r="N270" s="27" t="s">
        <v>605</v>
      </c>
      <c r="O270" s="1" t="s">
        <v>16</v>
      </c>
    </row>
    <row r="271" spans="1:15" x14ac:dyDescent="0.2">
      <c r="A271" s="9">
        <v>44411</v>
      </c>
      <c r="B271" s="1" t="s">
        <v>15</v>
      </c>
      <c r="C271" s="1">
        <v>12</v>
      </c>
      <c r="D271" s="1">
        <v>3</v>
      </c>
      <c r="E271" s="14">
        <v>54.48</v>
      </c>
      <c r="F271" s="1" t="s">
        <v>18</v>
      </c>
      <c r="G271" s="1">
        <v>2</v>
      </c>
      <c r="H271" s="1" t="s">
        <v>16</v>
      </c>
      <c r="I271" s="1" t="s">
        <v>16</v>
      </c>
      <c r="J271" s="1" t="s">
        <v>16</v>
      </c>
      <c r="K271" s="1" t="s">
        <v>17</v>
      </c>
      <c r="L271" s="1" t="s">
        <v>17</v>
      </c>
      <c r="M271" s="1" t="s">
        <v>17</v>
      </c>
      <c r="N271" s="27" t="s">
        <v>605</v>
      </c>
      <c r="O271" s="1" t="s">
        <v>16</v>
      </c>
    </row>
    <row r="272" spans="1:15" x14ac:dyDescent="0.2">
      <c r="A272" s="9">
        <v>44411</v>
      </c>
      <c r="B272" s="1" t="s">
        <v>15</v>
      </c>
      <c r="C272" s="1">
        <v>13</v>
      </c>
      <c r="D272" s="1">
        <v>3</v>
      </c>
      <c r="E272" s="14">
        <v>53.16</v>
      </c>
      <c r="F272" s="1" t="s">
        <v>18</v>
      </c>
      <c r="G272" s="1">
        <v>2</v>
      </c>
      <c r="H272" s="1" t="s">
        <v>16</v>
      </c>
      <c r="I272" s="1" t="s">
        <v>16</v>
      </c>
      <c r="J272" s="1" t="s">
        <v>16</v>
      </c>
      <c r="K272" s="1" t="s">
        <v>17</v>
      </c>
      <c r="L272" s="1" t="s">
        <v>17</v>
      </c>
      <c r="M272" s="1" t="s">
        <v>17</v>
      </c>
      <c r="N272" s="27" t="s">
        <v>605</v>
      </c>
      <c r="O272" s="1" t="s">
        <v>16</v>
      </c>
    </row>
    <row r="273" spans="1:15" x14ac:dyDescent="0.2">
      <c r="A273" s="9">
        <v>44411</v>
      </c>
      <c r="B273" s="1" t="s">
        <v>15</v>
      </c>
      <c r="C273" s="1">
        <v>14</v>
      </c>
      <c r="D273" s="1">
        <v>3</v>
      </c>
      <c r="E273" s="14">
        <v>53.85</v>
      </c>
      <c r="F273" s="1" t="s">
        <v>18</v>
      </c>
      <c r="G273" s="1">
        <v>2</v>
      </c>
      <c r="H273" s="1" t="s">
        <v>16</v>
      </c>
      <c r="I273" s="1" t="s">
        <v>16</v>
      </c>
      <c r="J273" s="1" t="s">
        <v>16</v>
      </c>
      <c r="K273" s="1" t="s">
        <v>17</v>
      </c>
      <c r="L273" s="1" t="s">
        <v>17</v>
      </c>
      <c r="M273" s="1" t="s">
        <v>17</v>
      </c>
      <c r="N273" s="27" t="s">
        <v>605</v>
      </c>
      <c r="O273" s="1" t="s">
        <v>16</v>
      </c>
    </row>
    <row r="274" spans="1:15" x14ac:dyDescent="0.2">
      <c r="A274" s="9">
        <v>44411</v>
      </c>
      <c r="B274" s="1" t="s">
        <v>15</v>
      </c>
      <c r="C274" s="1">
        <v>15</v>
      </c>
      <c r="D274" s="1">
        <v>3</v>
      </c>
      <c r="E274" s="14">
        <v>52.8</v>
      </c>
      <c r="F274" s="1" t="s">
        <v>18</v>
      </c>
      <c r="G274" s="1">
        <v>2</v>
      </c>
      <c r="H274" s="1" t="s">
        <v>16</v>
      </c>
      <c r="I274" s="1" t="s">
        <v>16</v>
      </c>
      <c r="J274" s="1" t="s">
        <v>16</v>
      </c>
      <c r="K274" s="1" t="s">
        <v>17</v>
      </c>
      <c r="L274" s="1" t="s">
        <v>17</v>
      </c>
      <c r="M274" s="1" t="s">
        <v>17</v>
      </c>
      <c r="N274" s="27" t="s">
        <v>605</v>
      </c>
      <c r="O274" s="1" t="s">
        <v>16</v>
      </c>
    </row>
    <row r="275" spans="1:15" x14ac:dyDescent="0.2">
      <c r="A275" s="9">
        <v>44448</v>
      </c>
      <c r="B275" s="1" t="s">
        <v>15</v>
      </c>
      <c r="C275" s="1">
        <v>1</v>
      </c>
      <c r="D275" s="1">
        <v>1</v>
      </c>
      <c r="E275" s="14">
        <v>53.5</v>
      </c>
      <c r="F275" s="1" t="s">
        <v>18</v>
      </c>
      <c r="G275" s="1">
        <v>2</v>
      </c>
      <c r="H275" s="1" t="s">
        <v>16</v>
      </c>
      <c r="I275" s="1" t="s">
        <v>16</v>
      </c>
      <c r="J275" s="1" t="s">
        <v>16</v>
      </c>
      <c r="K275" s="1" t="s">
        <v>17</v>
      </c>
      <c r="L275" s="1" t="s">
        <v>17</v>
      </c>
      <c r="M275" s="1" t="s">
        <v>17</v>
      </c>
      <c r="N275" s="27" t="s">
        <v>605</v>
      </c>
      <c r="O275" s="1" t="s">
        <v>16</v>
      </c>
    </row>
    <row r="276" spans="1:15" x14ac:dyDescent="0.2">
      <c r="A276" s="9">
        <v>44448</v>
      </c>
      <c r="B276" s="1" t="s">
        <v>15</v>
      </c>
      <c r="C276" s="1">
        <v>2</v>
      </c>
      <c r="D276" s="1">
        <v>1</v>
      </c>
      <c r="E276" s="14">
        <v>40.69</v>
      </c>
      <c r="F276" s="1" t="s">
        <v>18</v>
      </c>
      <c r="G276" s="1">
        <v>2</v>
      </c>
      <c r="H276" s="1" t="s">
        <v>16</v>
      </c>
      <c r="I276" s="1" t="s">
        <v>16</v>
      </c>
      <c r="J276" s="1" t="s">
        <v>16</v>
      </c>
      <c r="K276" s="1" t="s">
        <v>17</v>
      </c>
      <c r="L276" s="1" t="s">
        <v>17</v>
      </c>
      <c r="M276" s="1" t="s">
        <v>17</v>
      </c>
      <c r="N276" s="27" t="s">
        <v>605</v>
      </c>
      <c r="O276" s="1" t="s">
        <v>16</v>
      </c>
    </row>
    <row r="277" spans="1:15" x14ac:dyDescent="0.2">
      <c r="A277" s="9">
        <v>44448</v>
      </c>
      <c r="B277" s="1" t="s">
        <v>15</v>
      </c>
      <c r="C277" s="1">
        <v>3</v>
      </c>
      <c r="D277" s="1">
        <v>1</v>
      </c>
      <c r="E277" s="14">
        <v>41.06</v>
      </c>
      <c r="F277" s="1" t="s">
        <v>18</v>
      </c>
      <c r="G277" s="1">
        <v>2</v>
      </c>
      <c r="H277" s="1" t="s">
        <v>16</v>
      </c>
      <c r="I277" s="1" t="s">
        <v>16</v>
      </c>
      <c r="J277" s="1" t="s">
        <v>16</v>
      </c>
      <c r="K277" s="1" t="s">
        <v>17</v>
      </c>
      <c r="L277" s="1" t="s">
        <v>17</v>
      </c>
      <c r="M277" s="1" t="s">
        <v>17</v>
      </c>
      <c r="N277" s="27" t="s">
        <v>605</v>
      </c>
      <c r="O277" s="1" t="s">
        <v>16</v>
      </c>
    </row>
    <row r="278" spans="1:15" x14ac:dyDescent="0.2">
      <c r="A278" s="9">
        <v>44448</v>
      </c>
      <c r="B278" s="1" t="s">
        <v>15</v>
      </c>
      <c r="C278" s="1">
        <v>4</v>
      </c>
      <c r="D278" s="1">
        <v>1</v>
      </c>
      <c r="E278" s="14">
        <v>43.81</v>
      </c>
      <c r="F278" s="1" t="s">
        <v>19</v>
      </c>
      <c r="G278" s="1">
        <v>2</v>
      </c>
      <c r="H278" s="1" t="s">
        <v>16</v>
      </c>
      <c r="I278" s="1" t="s">
        <v>16</v>
      </c>
      <c r="J278" s="1" t="s">
        <v>16</v>
      </c>
      <c r="K278" s="1" t="s">
        <v>17</v>
      </c>
      <c r="L278" s="1" t="s">
        <v>17</v>
      </c>
      <c r="M278" s="1" t="s">
        <v>17</v>
      </c>
      <c r="N278" s="27" t="s">
        <v>605</v>
      </c>
      <c r="O278" s="1" t="s">
        <v>16</v>
      </c>
    </row>
    <row r="279" spans="1:15" x14ac:dyDescent="0.2">
      <c r="A279" s="9">
        <v>44448</v>
      </c>
      <c r="B279" s="1" t="s">
        <v>15</v>
      </c>
      <c r="C279" s="1">
        <v>5</v>
      </c>
      <c r="D279" s="1">
        <v>1</v>
      </c>
      <c r="E279" s="14">
        <v>46.91</v>
      </c>
      <c r="F279" s="1" t="s">
        <v>19</v>
      </c>
      <c r="G279" s="1">
        <v>2</v>
      </c>
      <c r="H279" s="1" t="s">
        <v>16</v>
      </c>
      <c r="I279" s="1" t="s">
        <v>16</v>
      </c>
      <c r="J279" s="1" t="s">
        <v>16</v>
      </c>
      <c r="K279" s="1" t="s">
        <v>17</v>
      </c>
      <c r="L279" s="1" t="s">
        <v>17</v>
      </c>
      <c r="M279" s="1" t="s">
        <v>17</v>
      </c>
      <c r="N279" s="27" t="s">
        <v>605</v>
      </c>
      <c r="O279" s="1" t="s">
        <v>16</v>
      </c>
    </row>
    <row r="280" spans="1:15" x14ac:dyDescent="0.2">
      <c r="A280" s="9">
        <v>44448</v>
      </c>
      <c r="B280" s="1" t="s">
        <v>15</v>
      </c>
      <c r="C280" s="1">
        <v>6</v>
      </c>
      <c r="D280" s="1">
        <v>2</v>
      </c>
      <c r="E280" s="14">
        <v>57.02</v>
      </c>
      <c r="F280" s="1" t="s">
        <v>18</v>
      </c>
      <c r="G280" s="1">
        <v>2</v>
      </c>
      <c r="H280" s="1" t="s">
        <v>16</v>
      </c>
      <c r="I280" s="1" t="s">
        <v>16</v>
      </c>
      <c r="J280" s="1" t="s">
        <v>16</v>
      </c>
      <c r="K280" s="1" t="s">
        <v>17</v>
      </c>
      <c r="L280" s="1" t="s">
        <v>17</v>
      </c>
      <c r="M280" s="1" t="s">
        <v>17</v>
      </c>
      <c r="N280" s="27" t="s">
        <v>605</v>
      </c>
      <c r="O280" s="1" t="s">
        <v>16</v>
      </c>
    </row>
    <row r="281" spans="1:15" x14ac:dyDescent="0.2">
      <c r="A281" s="9">
        <v>44448</v>
      </c>
      <c r="B281" s="1" t="s">
        <v>15</v>
      </c>
      <c r="C281" s="1">
        <v>7</v>
      </c>
      <c r="D281" s="1">
        <v>2</v>
      </c>
      <c r="E281" s="14">
        <v>66</v>
      </c>
      <c r="F281" s="1" t="s">
        <v>18</v>
      </c>
      <c r="G281" s="1">
        <v>2</v>
      </c>
      <c r="H281" s="1" t="s">
        <v>16</v>
      </c>
      <c r="I281" s="1" t="s">
        <v>16</v>
      </c>
      <c r="J281" s="1" t="s">
        <v>16</v>
      </c>
      <c r="K281" s="1" t="s">
        <v>17</v>
      </c>
      <c r="L281" s="1" t="s">
        <v>17</v>
      </c>
      <c r="M281" s="1" t="s">
        <v>17</v>
      </c>
      <c r="N281" s="27" t="s">
        <v>605</v>
      </c>
      <c r="O281" s="1" t="s">
        <v>16</v>
      </c>
    </row>
    <row r="282" spans="1:15" x14ac:dyDescent="0.2">
      <c r="A282" s="9">
        <v>44448</v>
      </c>
      <c r="B282" s="1" t="s">
        <v>15</v>
      </c>
      <c r="C282" s="1">
        <v>8</v>
      </c>
      <c r="D282" s="1">
        <v>2</v>
      </c>
      <c r="E282" s="14">
        <v>59.48</v>
      </c>
      <c r="F282" s="1" t="s">
        <v>18</v>
      </c>
      <c r="G282" s="1">
        <v>2</v>
      </c>
      <c r="H282" s="1" t="s">
        <v>16</v>
      </c>
      <c r="I282" s="1" t="s">
        <v>16</v>
      </c>
      <c r="J282" s="1" t="s">
        <v>16</v>
      </c>
      <c r="K282" s="1" t="s">
        <v>17</v>
      </c>
      <c r="L282" s="1" t="s">
        <v>17</v>
      </c>
      <c r="M282" s="1" t="s">
        <v>17</v>
      </c>
      <c r="N282" s="27" t="s">
        <v>605</v>
      </c>
      <c r="O282" s="1" t="s">
        <v>16</v>
      </c>
    </row>
    <row r="283" spans="1:15" x14ac:dyDescent="0.2">
      <c r="A283" s="9">
        <v>44448</v>
      </c>
      <c r="B283" s="1" t="s">
        <v>15</v>
      </c>
      <c r="C283" s="1">
        <v>9</v>
      </c>
      <c r="D283" s="1">
        <v>2</v>
      </c>
      <c r="E283" s="14">
        <v>45.45</v>
      </c>
      <c r="F283" s="1" t="s">
        <v>19</v>
      </c>
      <c r="G283" s="1">
        <v>2</v>
      </c>
      <c r="H283" s="1" t="s">
        <v>16</v>
      </c>
      <c r="I283" s="1" t="s">
        <v>16</v>
      </c>
      <c r="J283" s="1" t="s">
        <v>16</v>
      </c>
      <c r="K283" s="1" t="s">
        <v>17</v>
      </c>
      <c r="L283" s="1" t="s">
        <v>17</v>
      </c>
      <c r="M283" s="1" t="s">
        <v>17</v>
      </c>
      <c r="N283" s="27" t="s">
        <v>605</v>
      </c>
      <c r="O283" s="1" t="s">
        <v>16</v>
      </c>
    </row>
    <row r="284" spans="1:15" x14ac:dyDescent="0.2">
      <c r="A284" s="9">
        <v>44448</v>
      </c>
      <c r="B284" s="1" t="s">
        <v>15</v>
      </c>
      <c r="C284" s="1">
        <v>10</v>
      </c>
      <c r="D284" s="1">
        <v>2</v>
      </c>
      <c r="E284" s="14">
        <v>52.41</v>
      </c>
      <c r="F284" s="1" t="s">
        <v>18</v>
      </c>
      <c r="G284" s="1">
        <v>2</v>
      </c>
      <c r="H284" s="1" t="s">
        <v>16</v>
      </c>
      <c r="I284" s="1" t="s">
        <v>16</v>
      </c>
      <c r="J284" s="1" t="s">
        <v>16</v>
      </c>
      <c r="K284" s="1" t="s">
        <v>17</v>
      </c>
      <c r="L284" s="1" t="s">
        <v>17</v>
      </c>
      <c r="M284" s="1" t="s">
        <v>17</v>
      </c>
      <c r="N284" s="27" t="s">
        <v>605</v>
      </c>
      <c r="O284" s="1" t="s">
        <v>16</v>
      </c>
    </row>
    <row r="285" spans="1:15" x14ac:dyDescent="0.2">
      <c r="A285" s="9">
        <v>44448</v>
      </c>
      <c r="B285" s="1" t="s">
        <v>15</v>
      </c>
      <c r="C285" s="1">
        <v>11</v>
      </c>
      <c r="D285" s="1">
        <v>3</v>
      </c>
      <c r="E285" s="14">
        <v>52.39</v>
      </c>
      <c r="F285" s="1" t="s">
        <v>18</v>
      </c>
      <c r="G285" s="1">
        <v>2</v>
      </c>
      <c r="H285" s="1" t="s">
        <v>16</v>
      </c>
      <c r="I285" s="1" t="s">
        <v>16</v>
      </c>
      <c r="J285" s="1" t="s">
        <v>16</v>
      </c>
      <c r="K285" s="1" t="s">
        <v>17</v>
      </c>
      <c r="L285" s="1" t="s">
        <v>17</v>
      </c>
      <c r="M285" s="1" t="s">
        <v>17</v>
      </c>
      <c r="N285" s="27" t="s">
        <v>605</v>
      </c>
      <c r="O285" s="1" t="s">
        <v>16</v>
      </c>
    </row>
    <row r="286" spans="1:15" x14ac:dyDescent="0.2">
      <c r="A286" s="9">
        <v>44448</v>
      </c>
      <c r="B286" s="1" t="s">
        <v>15</v>
      </c>
      <c r="C286" s="1">
        <v>12</v>
      </c>
      <c r="D286" s="1">
        <v>3</v>
      </c>
      <c r="E286" s="14">
        <v>71.099999999999994</v>
      </c>
      <c r="F286" s="1" t="s">
        <v>18</v>
      </c>
      <c r="G286" s="1">
        <v>2</v>
      </c>
      <c r="H286" s="1" t="s">
        <v>16</v>
      </c>
      <c r="I286" s="1" t="s">
        <v>16</v>
      </c>
      <c r="J286" s="1" t="s">
        <v>16</v>
      </c>
      <c r="K286" s="1" t="s">
        <v>17</v>
      </c>
      <c r="L286" s="1" t="s">
        <v>17</v>
      </c>
      <c r="M286" s="1" t="s">
        <v>17</v>
      </c>
      <c r="N286" s="27" t="s">
        <v>605</v>
      </c>
      <c r="O286" s="1" t="s">
        <v>16</v>
      </c>
    </row>
    <row r="287" spans="1:15" x14ac:dyDescent="0.2">
      <c r="A287" s="9">
        <v>44448</v>
      </c>
      <c r="B287" s="1" t="s">
        <v>15</v>
      </c>
      <c r="C287" s="1">
        <v>13</v>
      </c>
      <c r="D287" s="1">
        <v>3</v>
      </c>
      <c r="E287" s="14">
        <v>49.36</v>
      </c>
      <c r="F287" s="1" t="s">
        <v>18</v>
      </c>
      <c r="G287" s="1">
        <v>2</v>
      </c>
      <c r="H287" s="1" t="s">
        <v>16</v>
      </c>
      <c r="I287" s="1" t="s">
        <v>16</v>
      </c>
      <c r="J287" s="1" t="s">
        <v>16</v>
      </c>
      <c r="K287" s="1" t="s">
        <v>17</v>
      </c>
      <c r="L287" s="1" t="s">
        <v>17</v>
      </c>
      <c r="M287" s="1" t="s">
        <v>17</v>
      </c>
      <c r="N287" s="27" t="s">
        <v>605</v>
      </c>
      <c r="O287" s="1" t="s">
        <v>16</v>
      </c>
    </row>
    <row r="288" spans="1:15" x14ac:dyDescent="0.2">
      <c r="A288" s="9">
        <v>44448</v>
      </c>
      <c r="B288" s="1" t="s">
        <v>15</v>
      </c>
      <c r="C288" s="1">
        <v>14</v>
      </c>
      <c r="D288" s="1">
        <v>3</v>
      </c>
      <c r="E288" s="14">
        <v>51.18</v>
      </c>
      <c r="F288" s="1" t="s">
        <v>18</v>
      </c>
      <c r="G288" s="1">
        <v>2</v>
      </c>
      <c r="H288" s="1" t="s">
        <v>16</v>
      </c>
      <c r="I288" s="1" t="s">
        <v>16</v>
      </c>
      <c r="J288" s="1" t="s">
        <v>16</v>
      </c>
      <c r="K288" s="1" t="s">
        <v>17</v>
      </c>
      <c r="L288" s="1" t="s">
        <v>17</v>
      </c>
      <c r="M288" s="1" t="s">
        <v>17</v>
      </c>
      <c r="N288" s="27" t="s">
        <v>605</v>
      </c>
      <c r="O288" s="1" t="s">
        <v>16</v>
      </c>
    </row>
    <row r="289" spans="1:15" x14ac:dyDescent="0.2">
      <c r="A289" s="9">
        <v>44448</v>
      </c>
      <c r="B289" s="1" t="s">
        <v>15</v>
      </c>
      <c r="C289" s="1">
        <v>15</v>
      </c>
      <c r="D289" s="1">
        <v>3</v>
      </c>
      <c r="E289" s="14">
        <v>67.7</v>
      </c>
      <c r="F289" s="1" t="s">
        <v>18</v>
      </c>
      <c r="G289" s="1">
        <v>2</v>
      </c>
      <c r="H289" s="1" t="s">
        <v>16</v>
      </c>
      <c r="I289" s="1" t="s">
        <v>16</v>
      </c>
      <c r="J289" s="1" t="s">
        <v>16</v>
      </c>
      <c r="K289" s="1" t="s">
        <v>17</v>
      </c>
      <c r="L289" s="1" t="s">
        <v>17</v>
      </c>
      <c r="M289" s="1" t="s">
        <v>17</v>
      </c>
      <c r="N289" s="27" t="s">
        <v>605</v>
      </c>
      <c r="O289" s="1" t="s">
        <v>16</v>
      </c>
    </row>
    <row r="290" spans="1:15" x14ac:dyDescent="0.2">
      <c r="A290" s="9">
        <v>44474</v>
      </c>
      <c r="B290" s="1" t="s">
        <v>15</v>
      </c>
      <c r="C290" s="1">
        <v>1</v>
      </c>
      <c r="D290" s="1">
        <v>1</v>
      </c>
      <c r="E290" s="14">
        <v>58.66</v>
      </c>
      <c r="F290" s="1" t="s">
        <v>18</v>
      </c>
      <c r="G290" s="1">
        <v>2</v>
      </c>
      <c r="H290" s="1" t="s">
        <v>16</v>
      </c>
      <c r="I290" s="1" t="s">
        <v>16</v>
      </c>
      <c r="J290" s="1" t="s">
        <v>16</v>
      </c>
      <c r="K290" s="1" t="s">
        <v>17</v>
      </c>
      <c r="L290" s="1" t="s">
        <v>17</v>
      </c>
      <c r="M290" s="1" t="s">
        <v>17</v>
      </c>
      <c r="N290" s="27" t="s">
        <v>605</v>
      </c>
      <c r="O290" s="1" t="s">
        <v>16</v>
      </c>
    </row>
    <row r="291" spans="1:15" x14ac:dyDescent="0.2">
      <c r="A291" s="9">
        <v>44474</v>
      </c>
      <c r="B291" s="1" t="s">
        <v>15</v>
      </c>
      <c r="C291" s="1">
        <v>2</v>
      </c>
      <c r="D291" s="1">
        <v>1</v>
      </c>
      <c r="E291" s="14">
        <v>57.29</v>
      </c>
      <c r="F291" s="1" t="s">
        <v>18</v>
      </c>
      <c r="G291" s="1">
        <v>2</v>
      </c>
      <c r="H291" s="1" t="s">
        <v>16</v>
      </c>
      <c r="I291" s="1" t="s">
        <v>16</v>
      </c>
      <c r="J291" s="1" t="s">
        <v>16</v>
      </c>
      <c r="K291" s="1" t="s">
        <v>17</v>
      </c>
      <c r="L291" s="1" t="s">
        <v>17</v>
      </c>
      <c r="M291" s="1" t="s">
        <v>17</v>
      </c>
      <c r="N291" s="27" t="s">
        <v>605</v>
      </c>
      <c r="O291" s="1" t="s">
        <v>16</v>
      </c>
    </row>
    <row r="292" spans="1:15" x14ac:dyDescent="0.2">
      <c r="A292" s="9">
        <v>44474</v>
      </c>
      <c r="B292" s="1" t="s">
        <v>15</v>
      </c>
      <c r="C292" s="1">
        <v>3</v>
      </c>
      <c r="D292" s="1">
        <v>1</v>
      </c>
      <c r="E292" s="14">
        <v>50.26</v>
      </c>
      <c r="F292" s="1" t="s">
        <v>19</v>
      </c>
      <c r="G292" s="1">
        <v>2</v>
      </c>
      <c r="H292" s="1" t="s">
        <v>16</v>
      </c>
      <c r="I292" s="1" t="s">
        <v>16</v>
      </c>
      <c r="J292" s="1" t="s">
        <v>16</v>
      </c>
      <c r="K292" s="1" t="s">
        <v>17</v>
      </c>
      <c r="L292" s="1" t="s">
        <v>17</v>
      </c>
      <c r="M292" s="1" t="s">
        <v>17</v>
      </c>
      <c r="N292" s="27" t="s">
        <v>605</v>
      </c>
      <c r="O292" s="1" t="s">
        <v>16</v>
      </c>
    </row>
    <row r="293" spans="1:15" x14ac:dyDescent="0.2">
      <c r="A293" s="9">
        <v>44474</v>
      </c>
      <c r="B293" s="1" t="s">
        <v>15</v>
      </c>
      <c r="C293" s="1">
        <v>4</v>
      </c>
      <c r="D293" s="1">
        <v>1</v>
      </c>
      <c r="E293" s="14">
        <v>54.1</v>
      </c>
      <c r="F293" s="1" t="s">
        <v>18</v>
      </c>
      <c r="G293" s="1">
        <v>2</v>
      </c>
      <c r="H293" s="1" t="s">
        <v>16</v>
      </c>
      <c r="I293" s="1" t="s">
        <v>16</v>
      </c>
      <c r="J293" s="1" t="s">
        <v>16</v>
      </c>
      <c r="K293" s="1" t="s">
        <v>17</v>
      </c>
      <c r="L293" s="1" t="s">
        <v>17</v>
      </c>
      <c r="M293" s="1" t="s">
        <v>17</v>
      </c>
      <c r="N293" s="27" t="s">
        <v>605</v>
      </c>
      <c r="O293" s="1" t="s">
        <v>16</v>
      </c>
    </row>
    <row r="294" spans="1:15" x14ac:dyDescent="0.2">
      <c r="A294" s="9">
        <v>44474</v>
      </c>
      <c r="B294" s="1" t="s">
        <v>15</v>
      </c>
      <c r="C294" s="1">
        <v>5</v>
      </c>
      <c r="D294" s="1">
        <v>1</v>
      </c>
      <c r="E294" s="14">
        <v>42.21</v>
      </c>
      <c r="F294" s="1" t="s">
        <v>19</v>
      </c>
      <c r="G294" s="1">
        <v>2</v>
      </c>
      <c r="H294" s="1" t="s">
        <v>16</v>
      </c>
      <c r="I294" s="1" t="s">
        <v>16</v>
      </c>
      <c r="J294" s="1" t="s">
        <v>16</v>
      </c>
      <c r="K294" s="1" t="s">
        <v>17</v>
      </c>
      <c r="L294" s="1" t="s">
        <v>17</v>
      </c>
      <c r="M294" s="1" t="s">
        <v>17</v>
      </c>
      <c r="N294" s="27" t="s">
        <v>605</v>
      </c>
      <c r="O294" s="1" t="s">
        <v>16</v>
      </c>
    </row>
    <row r="295" spans="1:15" x14ac:dyDescent="0.2">
      <c r="A295" s="9">
        <v>44474</v>
      </c>
      <c r="B295" s="1" t="s">
        <v>15</v>
      </c>
      <c r="C295" s="1">
        <v>6</v>
      </c>
      <c r="D295" s="1">
        <v>2</v>
      </c>
      <c r="E295" s="14">
        <v>66.98</v>
      </c>
      <c r="F295" s="1" t="s">
        <v>18</v>
      </c>
      <c r="G295" s="1">
        <v>2</v>
      </c>
      <c r="H295" s="1" t="s">
        <v>16</v>
      </c>
      <c r="I295" s="1" t="s">
        <v>16</v>
      </c>
      <c r="J295" s="1" t="s">
        <v>16</v>
      </c>
      <c r="K295" s="1" t="s">
        <v>17</v>
      </c>
      <c r="L295" s="1" t="s">
        <v>17</v>
      </c>
      <c r="M295" s="1" t="s">
        <v>17</v>
      </c>
      <c r="N295" s="27" t="s">
        <v>605</v>
      </c>
      <c r="O295" s="1" t="s">
        <v>16</v>
      </c>
    </row>
    <row r="296" spans="1:15" x14ac:dyDescent="0.2">
      <c r="A296" s="9">
        <v>44474</v>
      </c>
      <c r="B296" s="1" t="s">
        <v>15</v>
      </c>
      <c r="C296" s="1">
        <v>7</v>
      </c>
      <c r="D296" s="1">
        <v>2</v>
      </c>
      <c r="E296" s="14">
        <v>61.37</v>
      </c>
      <c r="F296" s="1" t="s">
        <v>19</v>
      </c>
      <c r="G296" s="1">
        <v>2</v>
      </c>
      <c r="H296" s="1" t="s">
        <v>16</v>
      </c>
      <c r="I296" s="1" t="s">
        <v>16</v>
      </c>
      <c r="J296" s="1" t="s">
        <v>16</v>
      </c>
      <c r="K296" s="1" t="s">
        <v>17</v>
      </c>
      <c r="L296" s="1" t="s">
        <v>17</v>
      </c>
      <c r="M296" s="1" t="s">
        <v>17</v>
      </c>
      <c r="N296" s="27" t="s">
        <v>605</v>
      </c>
      <c r="O296" s="1" t="s">
        <v>16</v>
      </c>
    </row>
    <row r="297" spans="1:15" x14ac:dyDescent="0.2">
      <c r="A297" s="9">
        <v>44474</v>
      </c>
      <c r="B297" s="1" t="s">
        <v>15</v>
      </c>
      <c r="C297" s="1">
        <v>8</v>
      </c>
      <c r="D297" s="1">
        <v>2</v>
      </c>
      <c r="E297" s="14">
        <v>51.55</v>
      </c>
      <c r="F297" s="1" t="s">
        <v>19</v>
      </c>
      <c r="G297" s="1">
        <v>2</v>
      </c>
      <c r="H297" s="1" t="s">
        <v>16</v>
      </c>
      <c r="I297" s="1" t="s">
        <v>16</v>
      </c>
      <c r="J297" s="1" t="s">
        <v>16</v>
      </c>
      <c r="K297" s="1" t="s">
        <v>17</v>
      </c>
      <c r="L297" s="1" t="s">
        <v>17</v>
      </c>
      <c r="M297" s="1" t="s">
        <v>17</v>
      </c>
      <c r="N297" s="27" t="s">
        <v>605</v>
      </c>
      <c r="O297" s="1" t="s">
        <v>16</v>
      </c>
    </row>
    <row r="298" spans="1:15" x14ac:dyDescent="0.2">
      <c r="A298" s="9">
        <v>44474</v>
      </c>
      <c r="B298" s="1" t="s">
        <v>15</v>
      </c>
      <c r="C298" s="1">
        <v>9</v>
      </c>
      <c r="D298" s="1">
        <v>2</v>
      </c>
      <c r="E298" s="14">
        <v>64.77</v>
      </c>
      <c r="F298" s="1" t="s">
        <v>19</v>
      </c>
      <c r="G298" s="1">
        <v>2</v>
      </c>
      <c r="H298" s="1" t="s">
        <v>16</v>
      </c>
      <c r="I298" s="1" t="s">
        <v>16</v>
      </c>
      <c r="J298" s="1" t="s">
        <v>16</v>
      </c>
      <c r="K298" s="1" t="s">
        <v>17</v>
      </c>
      <c r="L298" s="1" t="s">
        <v>17</v>
      </c>
      <c r="M298" s="1" t="s">
        <v>17</v>
      </c>
      <c r="N298" s="27" t="s">
        <v>605</v>
      </c>
      <c r="O298" s="1" t="s">
        <v>16</v>
      </c>
    </row>
    <row r="299" spans="1:15" x14ac:dyDescent="0.2">
      <c r="A299" s="9">
        <v>44474</v>
      </c>
      <c r="B299" s="1" t="s">
        <v>15</v>
      </c>
      <c r="C299" s="1">
        <v>10</v>
      </c>
      <c r="D299" s="1">
        <v>2</v>
      </c>
      <c r="E299" s="14">
        <v>63.05</v>
      </c>
      <c r="F299" s="1" t="s">
        <v>18</v>
      </c>
      <c r="G299" s="1">
        <v>2</v>
      </c>
      <c r="H299" s="1" t="s">
        <v>16</v>
      </c>
      <c r="I299" s="1" t="s">
        <v>16</v>
      </c>
      <c r="J299" s="1" t="s">
        <v>16</v>
      </c>
      <c r="K299" s="1" t="s">
        <v>17</v>
      </c>
      <c r="L299" s="1" t="s">
        <v>17</v>
      </c>
      <c r="M299" s="1" t="s">
        <v>17</v>
      </c>
      <c r="N299" s="27" t="s">
        <v>605</v>
      </c>
      <c r="O299" s="1" t="s">
        <v>16</v>
      </c>
    </row>
    <row r="300" spans="1:15" x14ac:dyDescent="0.2">
      <c r="A300" s="9">
        <v>44474</v>
      </c>
      <c r="B300" s="1" t="s">
        <v>15</v>
      </c>
      <c r="C300" s="1">
        <v>11</v>
      </c>
      <c r="D300" s="1">
        <v>3</v>
      </c>
      <c r="E300" s="14">
        <v>47.83</v>
      </c>
      <c r="F300" s="1" t="s">
        <v>18</v>
      </c>
      <c r="G300" s="1">
        <v>2</v>
      </c>
      <c r="H300" s="1" t="s">
        <v>16</v>
      </c>
      <c r="I300" s="1" t="s">
        <v>16</v>
      </c>
      <c r="J300" s="1" t="s">
        <v>16</v>
      </c>
      <c r="K300" s="1" t="s">
        <v>17</v>
      </c>
      <c r="L300" s="1" t="s">
        <v>17</v>
      </c>
      <c r="M300" s="1" t="s">
        <v>17</v>
      </c>
      <c r="N300" s="27" t="s">
        <v>605</v>
      </c>
      <c r="O300" s="1" t="s">
        <v>16</v>
      </c>
    </row>
    <row r="301" spans="1:15" x14ac:dyDescent="0.2">
      <c r="A301" s="9">
        <v>44474</v>
      </c>
      <c r="B301" s="1" t="s">
        <v>15</v>
      </c>
      <c r="C301" s="1">
        <v>12</v>
      </c>
      <c r="D301" s="1">
        <v>3</v>
      </c>
      <c r="E301" s="14">
        <v>50.4</v>
      </c>
      <c r="F301" s="1" t="s">
        <v>18</v>
      </c>
      <c r="G301" s="1">
        <v>2</v>
      </c>
      <c r="H301" s="1" t="s">
        <v>16</v>
      </c>
      <c r="I301" s="1" t="s">
        <v>16</v>
      </c>
      <c r="J301" s="1" t="s">
        <v>16</v>
      </c>
      <c r="K301" s="1" t="s">
        <v>17</v>
      </c>
      <c r="L301" s="1" t="s">
        <v>17</v>
      </c>
      <c r="M301" s="1" t="s">
        <v>17</v>
      </c>
      <c r="N301" s="27" t="s">
        <v>605</v>
      </c>
      <c r="O301" s="1" t="s">
        <v>16</v>
      </c>
    </row>
    <row r="302" spans="1:15" x14ac:dyDescent="0.2">
      <c r="A302" s="9">
        <v>44474</v>
      </c>
      <c r="B302" s="1" t="s">
        <v>15</v>
      </c>
      <c r="C302" s="1">
        <v>13</v>
      </c>
      <c r="D302" s="1">
        <v>3</v>
      </c>
      <c r="E302" s="14">
        <v>57.82</v>
      </c>
      <c r="F302" s="1" t="s">
        <v>18</v>
      </c>
      <c r="G302" s="1">
        <v>2</v>
      </c>
      <c r="H302" s="1" t="s">
        <v>16</v>
      </c>
      <c r="I302" s="1" t="s">
        <v>16</v>
      </c>
      <c r="J302" s="1" t="s">
        <v>16</v>
      </c>
      <c r="K302" s="1" t="s">
        <v>17</v>
      </c>
      <c r="L302" s="1" t="s">
        <v>17</v>
      </c>
      <c r="M302" s="1" t="s">
        <v>17</v>
      </c>
      <c r="N302" s="27" t="s">
        <v>605</v>
      </c>
      <c r="O302" s="1" t="s">
        <v>16</v>
      </c>
    </row>
    <row r="303" spans="1:15" x14ac:dyDescent="0.2">
      <c r="A303" s="9">
        <v>44474</v>
      </c>
      <c r="B303" s="1" t="s">
        <v>15</v>
      </c>
      <c r="C303" s="1">
        <v>14</v>
      </c>
      <c r="D303" s="1">
        <v>3</v>
      </c>
      <c r="E303" s="14">
        <v>57.02</v>
      </c>
      <c r="F303" s="1" t="s">
        <v>18</v>
      </c>
      <c r="G303" s="1">
        <v>2</v>
      </c>
      <c r="H303" s="1" t="s">
        <v>16</v>
      </c>
      <c r="I303" s="1" t="s">
        <v>16</v>
      </c>
      <c r="J303" s="1" t="s">
        <v>16</v>
      </c>
      <c r="K303" s="1" t="s">
        <v>17</v>
      </c>
      <c r="L303" s="1" t="s">
        <v>17</v>
      </c>
      <c r="M303" s="1" t="s">
        <v>17</v>
      </c>
      <c r="N303" s="27" t="s">
        <v>605</v>
      </c>
      <c r="O303" s="1" t="s">
        <v>16</v>
      </c>
    </row>
    <row r="304" spans="1:15" x14ac:dyDescent="0.2">
      <c r="A304" s="9">
        <v>44474</v>
      </c>
      <c r="B304" s="1" t="s">
        <v>15</v>
      </c>
      <c r="C304" s="1">
        <v>15</v>
      </c>
      <c r="D304" s="1">
        <v>3</v>
      </c>
      <c r="E304" s="14">
        <v>55.25</v>
      </c>
      <c r="F304" s="1" t="s">
        <v>18</v>
      </c>
      <c r="G304" s="1">
        <v>2</v>
      </c>
      <c r="H304" s="1" t="s">
        <v>16</v>
      </c>
      <c r="I304" s="1" t="s">
        <v>16</v>
      </c>
      <c r="J304" s="1" t="s">
        <v>16</v>
      </c>
      <c r="K304" s="1" t="s">
        <v>17</v>
      </c>
      <c r="L304" s="1" t="s">
        <v>17</v>
      </c>
      <c r="M304" s="1" t="s">
        <v>17</v>
      </c>
      <c r="N304" s="27" t="s">
        <v>605</v>
      </c>
      <c r="O304" s="1" t="s">
        <v>16</v>
      </c>
    </row>
    <row r="305" spans="1:15" x14ac:dyDescent="0.2">
      <c r="A305" s="9">
        <v>44503</v>
      </c>
      <c r="B305" s="1" t="s">
        <v>15</v>
      </c>
      <c r="C305" s="1">
        <v>1</v>
      </c>
      <c r="D305" s="1">
        <v>1</v>
      </c>
      <c r="E305" s="14">
        <v>55.36</v>
      </c>
      <c r="F305" s="1" t="s">
        <v>18</v>
      </c>
      <c r="G305" s="1">
        <v>3</v>
      </c>
      <c r="H305" s="1" t="s">
        <v>16</v>
      </c>
      <c r="I305" s="1" t="s">
        <v>16</v>
      </c>
      <c r="J305" s="1" t="s">
        <v>16</v>
      </c>
      <c r="K305" s="1" t="s">
        <v>17</v>
      </c>
      <c r="L305" s="1" t="s">
        <v>17</v>
      </c>
      <c r="M305" s="1" t="s">
        <v>17</v>
      </c>
      <c r="N305" s="27" t="s">
        <v>605</v>
      </c>
      <c r="O305" s="1" t="s">
        <v>16</v>
      </c>
    </row>
    <row r="306" spans="1:15" x14ac:dyDescent="0.2">
      <c r="A306" s="9">
        <v>44503</v>
      </c>
      <c r="B306" s="1" t="s">
        <v>15</v>
      </c>
      <c r="C306" s="1">
        <v>2</v>
      </c>
      <c r="D306" s="1">
        <v>1</v>
      </c>
      <c r="E306" s="14">
        <v>62.04</v>
      </c>
      <c r="F306" s="1" t="s">
        <v>18</v>
      </c>
      <c r="G306" s="1">
        <v>3</v>
      </c>
      <c r="H306" s="1" t="s">
        <v>16</v>
      </c>
      <c r="I306" s="1" t="s">
        <v>16</v>
      </c>
      <c r="J306" s="1" t="s">
        <v>16</v>
      </c>
      <c r="K306" s="1" t="s">
        <v>17</v>
      </c>
      <c r="L306" s="1" t="s">
        <v>17</v>
      </c>
      <c r="M306" s="1" t="s">
        <v>17</v>
      </c>
      <c r="N306" s="27" t="s">
        <v>605</v>
      </c>
      <c r="O306" s="1" t="s">
        <v>16</v>
      </c>
    </row>
    <row r="307" spans="1:15" x14ac:dyDescent="0.2">
      <c r="A307" s="9">
        <v>44503</v>
      </c>
      <c r="B307" s="1" t="s">
        <v>15</v>
      </c>
      <c r="C307" s="1">
        <v>3</v>
      </c>
      <c r="D307" s="1">
        <v>1</v>
      </c>
      <c r="E307" s="14">
        <v>53.66</v>
      </c>
      <c r="F307" s="1" t="s">
        <v>16</v>
      </c>
      <c r="G307" s="1">
        <v>4</v>
      </c>
      <c r="H307" s="1" t="s">
        <v>16</v>
      </c>
      <c r="I307" s="1" t="s">
        <v>16</v>
      </c>
      <c r="J307" s="1" t="s">
        <v>16</v>
      </c>
      <c r="K307" s="1" t="s">
        <v>17</v>
      </c>
      <c r="L307" s="1" t="s">
        <v>17</v>
      </c>
      <c r="M307" s="1" t="s">
        <v>17</v>
      </c>
      <c r="N307" s="27" t="s">
        <v>605</v>
      </c>
      <c r="O307" s="1" t="s">
        <v>16</v>
      </c>
    </row>
    <row r="308" spans="1:15" x14ac:dyDescent="0.2">
      <c r="A308" s="9">
        <v>44503</v>
      </c>
      <c r="B308" s="1" t="s">
        <v>15</v>
      </c>
      <c r="C308" s="1">
        <v>4</v>
      </c>
      <c r="D308" s="1">
        <v>1</v>
      </c>
      <c r="E308" s="14">
        <v>51.45</v>
      </c>
      <c r="F308" s="1" t="s">
        <v>18</v>
      </c>
      <c r="G308" s="1">
        <v>2</v>
      </c>
      <c r="H308" s="1" t="s">
        <v>16</v>
      </c>
      <c r="I308" s="1" t="s">
        <v>16</v>
      </c>
      <c r="J308" s="1" t="s">
        <v>16</v>
      </c>
      <c r="K308" s="1" t="s">
        <v>17</v>
      </c>
      <c r="L308" s="1" t="s">
        <v>17</v>
      </c>
      <c r="M308" s="1" t="s">
        <v>17</v>
      </c>
      <c r="N308" s="27" t="s">
        <v>605</v>
      </c>
      <c r="O308" s="1" t="s">
        <v>16</v>
      </c>
    </row>
    <row r="309" spans="1:15" x14ac:dyDescent="0.2">
      <c r="A309" s="9">
        <v>44503</v>
      </c>
      <c r="B309" s="1" t="s">
        <v>15</v>
      </c>
      <c r="C309" s="1">
        <v>5</v>
      </c>
      <c r="D309" s="1">
        <v>1</v>
      </c>
      <c r="E309" s="14">
        <v>42.62</v>
      </c>
      <c r="F309" s="1" t="s">
        <v>18</v>
      </c>
      <c r="G309" s="1">
        <v>3</v>
      </c>
      <c r="H309" s="1" t="s">
        <v>16</v>
      </c>
      <c r="I309" s="1" t="s">
        <v>16</v>
      </c>
      <c r="J309" s="1" t="s">
        <v>16</v>
      </c>
      <c r="K309" s="1" t="s">
        <v>17</v>
      </c>
      <c r="L309" s="1" t="s">
        <v>17</v>
      </c>
      <c r="M309" s="1" t="s">
        <v>17</v>
      </c>
      <c r="N309" s="27" t="s">
        <v>605</v>
      </c>
      <c r="O309" s="1" t="s">
        <v>16</v>
      </c>
    </row>
    <row r="310" spans="1:15" x14ac:dyDescent="0.2">
      <c r="A310" s="9">
        <v>44503</v>
      </c>
      <c r="B310" s="1" t="s">
        <v>15</v>
      </c>
      <c r="C310" s="1">
        <v>6</v>
      </c>
      <c r="D310" s="1">
        <v>2</v>
      </c>
      <c r="E310" s="14">
        <v>55.23</v>
      </c>
      <c r="F310" s="1" t="s">
        <v>18</v>
      </c>
      <c r="G310" s="1">
        <v>3</v>
      </c>
      <c r="H310" s="1" t="s">
        <v>16</v>
      </c>
      <c r="I310" s="1" t="s">
        <v>16</v>
      </c>
      <c r="J310" s="1" t="s">
        <v>16</v>
      </c>
      <c r="K310" s="1" t="s">
        <v>17</v>
      </c>
      <c r="L310" s="1" t="s">
        <v>17</v>
      </c>
      <c r="M310" s="1" t="s">
        <v>17</v>
      </c>
      <c r="N310" s="27" t="s">
        <v>605</v>
      </c>
      <c r="O310" s="1" t="s">
        <v>16</v>
      </c>
    </row>
    <row r="311" spans="1:15" x14ac:dyDescent="0.2">
      <c r="A311" s="9">
        <v>44503</v>
      </c>
      <c r="B311" s="1" t="s">
        <v>15</v>
      </c>
      <c r="C311" s="1">
        <v>7</v>
      </c>
      <c r="D311" s="1">
        <v>2</v>
      </c>
      <c r="E311" s="14">
        <v>64.239999999999995</v>
      </c>
      <c r="F311" s="1" t="s">
        <v>18</v>
      </c>
      <c r="G311" s="1">
        <v>2</v>
      </c>
      <c r="H311" s="1" t="s">
        <v>16</v>
      </c>
      <c r="I311" s="1" t="s">
        <v>16</v>
      </c>
      <c r="J311" s="1" t="s">
        <v>16</v>
      </c>
      <c r="K311" s="1" t="s">
        <v>17</v>
      </c>
      <c r="L311" s="1" t="s">
        <v>17</v>
      </c>
      <c r="M311" s="1" t="s">
        <v>17</v>
      </c>
      <c r="N311" s="27" t="s">
        <v>605</v>
      </c>
      <c r="O311" s="1" t="s">
        <v>16</v>
      </c>
    </row>
    <row r="312" spans="1:15" x14ac:dyDescent="0.2">
      <c r="A312" s="9">
        <v>44503</v>
      </c>
      <c r="B312" s="1" t="s">
        <v>15</v>
      </c>
      <c r="C312" s="1">
        <v>8</v>
      </c>
      <c r="D312" s="1">
        <v>2</v>
      </c>
      <c r="E312" s="14">
        <v>47.91</v>
      </c>
      <c r="F312" s="1" t="s">
        <v>16</v>
      </c>
      <c r="G312" s="1">
        <v>4</v>
      </c>
      <c r="H312" s="1" t="s">
        <v>16</v>
      </c>
      <c r="I312" s="1" t="s">
        <v>16</v>
      </c>
      <c r="J312" s="1" t="s">
        <v>16</v>
      </c>
      <c r="K312" s="1" t="s">
        <v>17</v>
      </c>
      <c r="L312" s="1" t="s">
        <v>17</v>
      </c>
      <c r="M312" s="1" t="s">
        <v>21</v>
      </c>
      <c r="N312" s="27" t="s">
        <v>605</v>
      </c>
      <c r="O312" s="1" t="s">
        <v>16</v>
      </c>
    </row>
    <row r="313" spans="1:15" x14ac:dyDescent="0.2">
      <c r="A313" s="9">
        <v>44503</v>
      </c>
      <c r="B313" s="1" t="s">
        <v>15</v>
      </c>
      <c r="C313" s="1">
        <v>9</v>
      </c>
      <c r="D313" s="1">
        <v>2</v>
      </c>
      <c r="E313" s="14">
        <v>58.49</v>
      </c>
      <c r="F313" s="1" t="s">
        <v>19</v>
      </c>
      <c r="G313" s="1">
        <v>2</v>
      </c>
      <c r="H313" s="1" t="s">
        <v>16</v>
      </c>
      <c r="I313" s="1" t="s">
        <v>16</v>
      </c>
      <c r="J313" s="1" t="s">
        <v>16</v>
      </c>
      <c r="K313" s="1" t="s">
        <v>17</v>
      </c>
      <c r="L313" s="1" t="s">
        <v>17</v>
      </c>
      <c r="M313" s="1" t="s">
        <v>17</v>
      </c>
      <c r="N313" s="27" t="s">
        <v>605</v>
      </c>
      <c r="O313" s="1" t="s">
        <v>16</v>
      </c>
    </row>
    <row r="314" spans="1:15" x14ac:dyDescent="0.2">
      <c r="A314" s="9">
        <v>44503</v>
      </c>
      <c r="B314" s="1" t="s">
        <v>15</v>
      </c>
      <c r="C314" s="1">
        <v>10</v>
      </c>
      <c r="D314" s="1">
        <v>2</v>
      </c>
      <c r="E314" s="14">
        <v>49.22</v>
      </c>
      <c r="F314" s="1" t="s">
        <v>19</v>
      </c>
      <c r="G314" s="1">
        <v>2</v>
      </c>
      <c r="H314" s="1" t="s">
        <v>16</v>
      </c>
      <c r="I314" s="1" t="s">
        <v>16</v>
      </c>
      <c r="J314" s="1" t="s">
        <v>16</v>
      </c>
      <c r="K314" s="1" t="s">
        <v>21</v>
      </c>
      <c r="L314" s="1" t="s">
        <v>17</v>
      </c>
      <c r="M314" s="1" t="s">
        <v>17</v>
      </c>
      <c r="N314" s="27" t="s">
        <v>605</v>
      </c>
      <c r="O314" s="1" t="s">
        <v>16</v>
      </c>
    </row>
    <row r="315" spans="1:15" x14ac:dyDescent="0.2">
      <c r="A315" s="9">
        <v>44503</v>
      </c>
      <c r="B315" s="1" t="s">
        <v>15</v>
      </c>
      <c r="C315" s="1">
        <v>11</v>
      </c>
      <c r="D315" s="1">
        <v>3</v>
      </c>
      <c r="E315" s="14">
        <v>59.19</v>
      </c>
      <c r="F315" s="1" t="s">
        <v>18</v>
      </c>
      <c r="G315" s="1">
        <v>2</v>
      </c>
      <c r="H315" s="1" t="s">
        <v>16</v>
      </c>
      <c r="I315" s="1" t="s">
        <v>16</v>
      </c>
      <c r="J315" s="1" t="s">
        <v>16</v>
      </c>
      <c r="K315" s="1" t="s">
        <v>17</v>
      </c>
      <c r="L315" s="1" t="s">
        <v>17</v>
      </c>
      <c r="M315" s="1" t="s">
        <v>17</v>
      </c>
      <c r="N315" s="27" t="s">
        <v>605</v>
      </c>
      <c r="O315" s="1" t="s">
        <v>16</v>
      </c>
    </row>
    <row r="316" spans="1:15" x14ac:dyDescent="0.2">
      <c r="A316" s="9">
        <v>44503</v>
      </c>
      <c r="B316" s="1" t="s">
        <v>15</v>
      </c>
      <c r="C316" s="1">
        <v>12</v>
      </c>
      <c r="D316" s="1">
        <v>3</v>
      </c>
      <c r="E316" s="14">
        <v>57.24</v>
      </c>
      <c r="F316" s="1" t="s">
        <v>18</v>
      </c>
      <c r="G316" s="1">
        <v>2</v>
      </c>
      <c r="H316" s="1" t="s">
        <v>16</v>
      </c>
      <c r="I316" s="1" t="s">
        <v>16</v>
      </c>
      <c r="J316" s="1" t="s">
        <v>16</v>
      </c>
      <c r="K316" s="1" t="s">
        <v>21</v>
      </c>
      <c r="L316" s="1" t="s">
        <v>17</v>
      </c>
      <c r="M316" s="1" t="s">
        <v>17</v>
      </c>
      <c r="N316" s="27" t="s">
        <v>605</v>
      </c>
      <c r="O316" s="1" t="s">
        <v>16</v>
      </c>
    </row>
    <row r="317" spans="1:15" x14ac:dyDescent="0.2">
      <c r="A317" s="9">
        <v>44503</v>
      </c>
      <c r="B317" s="1" t="s">
        <v>15</v>
      </c>
      <c r="C317" s="1">
        <v>13</v>
      </c>
      <c r="D317" s="1">
        <v>3</v>
      </c>
      <c r="E317" s="14">
        <v>66.83</v>
      </c>
      <c r="F317" s="1" t="s">
        <v>18</v>
      </c>
      <c r="G317" s="1">
        <v>2</v>
      </c>
      <c r="H317" s="1" t="s">
        <v>16</v>
      </c>
      <c r="I317" s="1" t="s">
        <v>16</v>
      </c>
      <c r="J317" s="1" t="s">
        <v>16</v>
      </c>
      <c r="K317" s="1" t="s">
        <v>17</v>
      </c>
      <c r="L317" s="1" t="s">
        <v>17</v>
      </c>
      <c r="M317" s="1" t="s">
        <v>17</v>
      </c>
      <c r="N317" s="27" t="s">
        <v>605</v>
      </c>
      <c r="O317" s="1" t="s">
        <v>16</v>
      </c>
    </row>
    <row r="318" spans="1:15" x14ac:dyDescent="0.2">
      <c r="A318" s="9">
        <v>44503</v>
      </c>
      <c r="B318" s="1" t="s">
        <v>15</v>
      </c>
      <c r="C318" s="1">
        <v>14</v>
      </c>
      <c r="D318" s="1">
        <v>3</v>
      </c>
      <c r="E318" s="14">
        <v>57.8</v>
      </c>
      <c r="F318" s="1" t="s">
        <v>18</v>
      </c>
      <c r="G318" s="1">
        <v>2</v>
      </c>
      <c r="H318" s="1" t="s">
        <v>16</v>
      </c>
      <c r="I318" s="1" t="s">
        <v>16</v>
      </c>
      <c r="J318" s="1" t="s">
        <v>16</v>
      </c>
      <c r="K318" s="1" t="s">
        <v>17</v>
      </c>
      <c r="L318" s="1" t="s">
        <v>17</v>
      </c>
      <c r="M318" s="1" t="s">
        <v>17</v>
      </c>
      <c r="N318" s="27" t="s">
        <v>605</v>
      </c>
      <c r="O318" s="1" t="s">
        <v>16</v>
      </c>
    </row>
    <row r="319" spans="1:15" x14ac:dyDescent="0.2">
      <c r="A319" s="9">
        <v>44503</v>
      </c>
      <c r="B319" s="1" t="s">
        <v>15</v>
      </c>
      <c r="C319" s="1">
        <v>15</v>
      </c>
      <c r="D319" s="1">
        <v>3</v>
      </c>
      <c r="E319" s="14">
        <v>51.25</v>
      </c>
      <c r="F319" s="1" t="s">
        <v>18</v>
      </c>
      <c r="G319" s="1">
        <v>2</v>
      </c>
      <c r="H319" s="1" t="s">
        <v>16</v>
      </c>
      <c r="I319" s="1" t="s">
        <v>16</v>
      </c>
      <c r="J319" s="1" t="s">
        <v>16</v>
      </c>
      <c r="K319" s="1" t="s">
        <v>17</v>
      </c>
      <c r="L319" s="1" t="s">
        <v>17</v>
      </c>
      <c r="M319" s="1" t="s">
        <v>17</v>
      </c>
      <c r="N319" s="27" t="s">
        <v>605</v>
      </c>
      <c r="O319" s="1" t="s">
        <v>16</v>
      </c>
    </row>
    <row r="320" spans="1:15" x14ac:dyDescent="0.2">
      <c r="A320" s="9">
        <v>44537</v>
      </c>
      <c r="B320" s="1" t="s">
        <v>15</v>
      </c>
      <c r="C320" s="1">
        <v>1</v>
      </c>
      <c r="D320" s="1">
        <v>1</v>
      </c>
      <c r="E320" s="14">
        <v>43.13</v>
      </c>
      <c r="F320" s="1" t="s">
        <v>18</v>
      </c>
      <c r="G320" s="1">
        <v>3</v>
      </c>
      <c r="H320" s="1" t="s">
        <v>16</v>
      </c>
      <c r="I320" s="1" t="s">
        <v>16</v>
      </c>
      <c r="J320" s="1" t="s">
        <v>16</v>
      </c>
      <c r="K320" s="1" t="s">
        <v>17</v>
      </c>
      <c r="L320" s="1" t="s">
        <v>17</v>
      </c>
      <c r="M320" s="1" t="s">
        <v>17</v>
      </c>
      <c r="N320" s="27" t="s">
        <v>605</v>
      </c>
      <c r="O320" s="1" t="s">
        <v>16</v>
      </c>
    </row>
    <row r="321" spans="1:15" x14ac:dyDescent="0.2">
      <c r="A321" s="9">
        <v>44537</v>
      </c>
      <c r="B321" s="1" t="s">
        <v>15</v>
      </c>
      <c r="C321" s="1">
        <v>2</v>
      </c>
      <c r="D321" s="1">
        <v>1</v>
      </c>
      <c r="E321" s="14">
        <v>46.94</v>
      </c>
      <c r="F321" s="1" t="s">
        <v>18</v>
      </c>
      <c r="G321" s="1">
        <v>3</v>
      </c>
      <c r="H321" s="1" t="s">
        <v>16</v>
      </c>
      <c r="I321" s="1" t="s">
        <v>16</v>
      </c>
      <c r="J321" s="1" t="s">
        <v>16</v>
      </c>
      <c r="K321" s="1" t="s">
        <v>17</v>
      </c>
      <c r="L321" s="1" t="s">
        <v>17</v>
      </c>
      <c r="M321" s="1" t="s">
        <v>17</v>
      </c>
      <c r="N321" s="27" t="s">
        <v>605</v>
      </c>
      <c r="O321" s="1" t="s">
        <v>16</v>
      </c>
    </row>
    <row r="322" spans="1:15" x14ac:dyDescent="0.2">
      <c r="A322" s="9">
        <v>44537</v>
      </c>
      <c r="B322" s="1" t="s">
        <v>15</v>
      </c>
      <c r="C322" s="1">
        <v>3</v>
      </c>
      <c r="D322" s="1">
        <v>1</v>
      </c>
      <c r="E322" s="14">
        <v>57.81</v>
      </c>
      <c r="F322" s="1" t="s">
        <v>16</v>
      </c>
      <c r="G322" s="1">
        <v>4</v>
      </c>
      <c r="H322" s="1" t="s">
        <v>16</v>
      </c>
      <c r="I322" s="1" t="s">
        <v>16</v>
      </c>
      <c r="J322" s="1" t="s">
        <v>16</v>
      </c>
      <c r="K322" s="1" t="s">
        <v>17</v>
      </c>
      <c r="L322" s="1" t="s">
        <v>17</v>
      </c>
      <c r="M322" s="1" t="s">
        <v>17</v>
      </c>
      <c r="N322" s="27" t="s">
        <v>605</v>
      </c>
      <c r="O322" s="1" t="s">
        <v>16</v>
      </c>
    </row>
    <row r="323" spans="1:15" x14ac:dyDescent="0.2">
      <c r="A323" s="9">
        <v>44537</v>
      </c>
      <c r="B323" s="1" t="s">
        <v>15</v>
      </c>
      <c r="C323" s="1">
        <v>4</v>
      </c>
      <c r="D323" s="1">
        <v>1</v>
      </c>
      <c r="E323" s="14">
        <v>41.82</v>
      </c>
      <c r="F323" s="1" t="s">
        <v>18</v>
      </c>
      <c r="G323" s="1">
        <v>1</v>
      </c>
      <c r="H323" s="1" t="s">
        <v>16</v>
      </c>
      <c r="I323" s="1" t="s">
        <v>16</v>
      </c>
      <c r="J323" s="1" t="s">
        <v>16</v>
      </c>
      <c r="K323" s="1" t="s">
        <v>17</v>
      </c>
      <c r="L323" s="1" t="s">
        <v>17</v>
      </c>
      <c r="M323" s="1" t="s">
        <v>17</v>
      </c>
      <c r="N323" s="27" t="s">
        <v>605</v>
      </c>
      <c r="O323" s="1" t="s">
        <v>16</v>
      </c>
    </row>
    <row r="324" spans="1:15" x14ac:dyDescent="0.2">
      <c r="A324" s="9">
        <v>44537</v>
      </c>
      <c r="B324" s="1" t="s">
        <v>15</v>
      </c>
      <c r="C324" s="1">
        <v>5</v>
      </c>
      <c r="D324" s="1">
        <v>1</v>
      </c>
      <c r="E324" s="14">
        <v>54.23</v>
      </c>
      <c r="F324" s="1" t="s">
        <v>16</v>
      </c>
      <c r="G324" s="1">
        <v>4</v>
      </c>
      <c r="H324" s="1" t="s">
        <v>16</v>
      </c>
      <c r="I324" s="1" t="s">
        <v>16</v>
      </c>
      <c r="J324" s="1" t="s">
        <v>16</v>
      </c>
      <c r="K324" s="1" t="s">
        <v>17</v>
      </c>
      <c r="L324" s="1" t="s">
        <v>17</v>
      </c>
      <c r="M324" s="1" t="s">
        <v>17</v>
      </c>
      <c r="N324" s="27" t="s">
        <v>605</v>
      </c>
      <c r="O324" s="1" t="s">
        <v>16</v>
      </c>
    </row>
    <row r="325" spans="1:15" x14ac:dyDescent="0.2">
      <c r="A325" s="9">
        <v>44537</v>
      </c>
      <c r="B325" s="1" t="s">
        <v>15</v>
      </c>
      <c r="C325" s="1">
        <v>6</v>
      </c>
      <c r="D325" s="1">
        <v>2</v>
      </c>
      <c r="E325" s="14">
        <v>45.49</v>
      </c>
      <c r="F325" s="1" t="s">
        <v>16</v>
      </c>
      <c r="G325" s="1">
        <v>4</v>
      </c>
      <c r="H325" s="1" t="s">
        <v>16</v>
      </c>
      <c r="I325" s="1" t="s">
        <v>16</v>
      </c>
      <c r="J325" s="1" t="s">
        <v>16</v>
      </c>
      <c r="K325" s="1" t="s">
        <v>17</v>
      </c>
      <c r="L325" s="1" t="s">
        <v>17</v>
      </c>
      <c r="M325" s="1" t="s">
        <v>17</v>
      </c>
      <c r="N325" s="27" t="s">
        <v>605</v>
      </c>
      <c r="O325" s="1" t="s">
        <v>16</v>
      </c>
    </row>
    <row r="326" spans="1:15" x14ac:dyDescent="0.2">
      <c r="A326" s="9">
        <v>44537</v>
      </c>
      <c r="B326" s="1" t="s">
        <v>15</v>
      </c>
      <c r="C326" s="1">
        <v>7</v>
      </c>
      <c r="D326" s="1">
        <v>2</v>
      </c>
      <c r="E326" s="14">
        <v>50.78</v>
      </c>
      <c r="F326" s="1" t="s">
        <v>16</v>
      </c>
      <c r="G326" s="1">
        <v>4</v>
      </c>
      <c r="H326" s="1" t="s">
        <v>16</v>
      </c>
      <c r="I326" s="1" t="s">
        <v>16</v>
      </c>
      <c r="J326" s="1" t="s">
        <v>16</v>
      </c>
      <c r="K326" s="1" t="s">
        <v>17</v>
      </c>
      <c r="L326" s="1" t="s">
        <v>17</v>
      </c>
      <c r="M326" s="1" t="s">
        <v>17</v>
      </c>
      <c r="N326" s="27" t="s">
        <v>605</v>
      </c>
      <c r="O326" s="1" t="s">
        <v>16</v>
      </c>
    </row>
    <row r="327" spans="1:15" x14ac:dyDescent="0.2">
      <c r="A327" s="9">
        <v>44537</v>
      </c>
      <c r="B327" s="1" t="s">
        <v>15</v>
      </c>
      <c r="C327" s="1">
        <v>8</v>
      </c>
      <c r="D327" s="1">
        <v>2</v>
      </c>
      <c r="E327" s="14">
        <v>53.99</v>
      </c>
      <c r="F327" s="1" t="s">
        <v>16</v>
      </c>
      <c r="G327" s="1" t="s">
        <v>16</v>
      </c>
      <c r="H327" s="1" t="s">
        <v>16</v>
      </c>
      <c r="I327" s="1" t="s">
        <v>16</v>
      </c>
      <c r="J327" s="1" t="s">
        <v>16</v>
      </c>
      <c r="K327" s="1" t="s">
        <v>17</v>
      </c>
      <c r="L327" s="1" t="s">
        <v>17</v>
      </c>
      <c r="M327" s="1" t="s">
        <v>21</v>
      </c>
      <c r="N327" s="27" t="s">
        <v>605</v>
      </c>
      <c r="O327" s="1" t="s">
        <v>16</v>
      </c>
    </row>
    <row r="328" spans="1:15" x14ac:dyDescent="0.2">
      <c r="A328" s="9">
        <v>44537</v>
      </c>
      <c r="B328" s="1" t="s">
        <v>15</v>
      </c>
      <c r="C328" s="1">
        <v>9</v>
      </c>
      <c r="D328" s="1">
        <v>2</v>
      </c>
      <c r="E328" s="14">
        <v>62.94</v>
      </c>
      <c r="F328" s="1" t="s">
        <v>16</v>
      </c>
      <c r="G328" s="1">
        <v>4</v>
      </c>
      <c r="H328" s="1" t="s">
        <v>16</v>
      </c>
      <c r="I328" s="1" t="s">
        <v>16</v>
      </c>
      <c r="J328" s="1" t="s">
        <v>16</v>
      </c>
      <c r="K328" s="1" t="s">
        <v>17</v>
      </c>
      <c r="L328" s="1" t="s">
        <v>17</v>
      </c>
      <c r="M328" s="1" t="s">
        <v>17</v>
      </c>
      <c r="N328" s="27" t="s">
        <v>605</v>
      </c>
      <c r="O328" s="1" t="s">
        <v>16</v>
      </c>
    </row>
    <row r="329" spans="1:15" x14ac:dyDescent="0.2">
      <c r="A329" s="9">
        <v>44537</v>
      </c>
      <c r="B329" s="1" t="s">
        <v>15</v>
      </c>
      <c r="C329" s="1">
        <v>10</v>
      </c>
      <c r="D329" s="1">
        <v>2</v>
      </c>
      <c r="E329" s="14">
        <v>63.24</v>
      </c>
      <c r="F329" s="1" t="s">
        <v>16</v>
      </c>
      <c r="G329" s="1">
        <v>4</v>
      </c>
      <c r="H329" s="1" t="s">
        <v>16</v>
      </c>
      <c r="I329" s="1" t="s">
        <v>16</v>
      </c>
      <c r="J329" s="1" t="s">
        <v>16</v>
      </c>
      <c r="K329" s="1" t="s">
        <v>17</v>
      </c>
      <c r="L329" s="1" t="s">
        <v>17</v>
      </c>
      <c r="M329" s="1" t="s">
        <v>17</v>
      </c>
      <c r="N329" s="27" t="s">
        <v>605</v>
      </c>
      <c r="O329" s="1" t="s">
        <v>16</v>
      </c>
    </row>
    <row r="330" spans="1:15" x14ac:dyDescent="0.2">
      <c r="A330" s="9">
        <v>44537</v>
      </c>
      <c r="B330" s="1" t="s">
        <v>15</v>
      </c>
      <c r="C330" s="1">
        <v>11</v>
      </c>
      <c r="D330" s="1">
        <v>3</v>
      </c>
      <c r="E330" s="14">
        <v>43.43</v>
      </c>
      <c r="F330" s="1" t="s">
        <v>16</v>
      </c>
      <c r="G330" s="1">
        <v>4</v>
      </c>
      <c r="H330" s="1" t="s">
        <v>16</v>
      </c>
      <c r="I330" s="1" t="s">
        <v>16</v>
      </c>
      <c r="J330" s="1" t="s">
        <v>16</v>
      </c>
      <c r="K330" s="1" t="s">
        <v>17</v>
      </c>
      <c r="L330" s="1" t="s">
        <v>17</v>
      </c>
      <c r="M330" s="1" t="s">
        <v>17</v>
      </c>
      <c r="N330" s="27" t="s">
        <v>605</v>
      </c>
      <c r="O330" s="1" t="s">
        <v>16</v>
      </c>
    </row>
    <row r="331" spans="1:15" x14ac:dyDescent="0.2">
      <c r="A331" s="9">
        <v>44537</v>
      </c>
      <c r="B331" s="1" t="s">
        <v>15</v>
      </c>
      <c r="C331" s="1">
        <v>12</v>
      </c>
      <c r="D331" s="1">
        <v>3</v>
      </c>
      <c r="E331" s="14">
        <v>52.65</v>
      </c>
      <c r="F331" s="1" t="s">
        <v>18</v>
      </c>
      <c r="G331" s="1">
        <v>3</v>
      </c>
      <c r="H331" s="1" t="s">
        <v>16</v>
      </c>
      <c r="I331" s="1" t="s">
        <v>16</v>
      </c>
      <c r="J331" s="1" t="s">
        <v>16</v>
      </c>
      <c r="K331" s="1" t="s">
        <v>17</v>
      </c>
      <c r="L331" s="1" t="s">
        <v>17</v>
      </c>
      <c r="M331" s="1" t="s">
        <v>17</v>
      </c>
      <c r="N331" s="27" t="s">
        <v>605</v>
      </c>
      <c r="O331" s="1" t="s">
        <v>16</v>
      </c>
    </row>
    <row r="332" spans="1:15" x14ac:dyDescent="0.2">
      <c r="A332" s="9">
        <v>44537</v>
      </c>
      <c r="B332" s="1" t="s">
        <v>15</v>
      </c>
      <c r="C332" s="1">
        <v>13</v>
      </c>
      <c r="D332" s="1">
        <v>3</v>
      </c>
      <c r="E332" s="14">
        <v>50.22</v>
      </c>
      <c r="F332" s="1" t="s">
        <v>18</v>
      </c>
      <c r="G332" s="1">
        <v>3</v>
      </c>
      <c r="H332" s="1" t="s">
        <v>16</v>
      </c>
      <c r="I332" s="1" t="s">
        <v>16</v>
      </c>
      <c r="J332" s="1" t="s">
        <v>16</v>
      </c>
      <c r="K332" s="1" t="s">
        <v>17</v>
      </c>
      <c r="L332" s="1" t="s">
        <v>17</v>
      </c>
      <c r="M332" s="1" t="s">
        <v>17</v>
      </c>
      <c r="N332" s="27" t="s">
        <v>605</v>
      </c>
      <c r="O332" s="1" t="s">
        <v>16</v>
      </c>
    </row>
    <row r="333" spans="1:15" x14ac:dyDescent="0.2">
      <c r="A333" s="9">
        <v>44537</v>
      </c>
      <c r="B333" s="1" t="s">
        <v>15</v>
      </c>
      <c r="C333" s="1">
        <v>14</v>
      </c>
      <c r="D333" s="1">
        <v>3</v>
      </c>
      <c r="E333" s="14">
        <v>51.12</v>
      </c>
      <c r="F333" s="1" t="s">
        <v>16</v>
      </c>
      <c r="G333" s="1">
        <v>4</v>
      </c>
      <c r="H333" s="1" t="s">
        <v>16</v>
      </c>
      <c r="I333" s="1" t="s">
        <v>16</v>
      </c>
      <c r="J333" s="1" t="s">
        <v>16</v>
      </c>
      <c r="K333" s="1" t="s">
        <v>17</v>
      </c>
      <c r="L333" s="1" t="s">
        <v>17</v>
      </c>
      <c r="M333" s="1" t="s">
        <v>17</v>
      </c>
      <c r="N333" s="27" t="s">
        <v>605</v>
      </c>
      <c r="O333" s="1" t="s">
        <v>16</v>
      </c>
    </row>
    <row r="334" spans="1:15" x14ac:dyDescent="0.2">
      <c r="A334" s="9">
        <v>44537</v>
      </c>
      <c r="B334" s="1" t="s">
        <v>15</v>
      </c>
      <c r="C334" s="1">
        <v>15</v>
      </c>
      <c r="D334" s="1">
        <v>3</v>
      </c>
      <c r="E334" s="14">
        <v>56.65</v>
      </c>
      <c r="F334" s="1" t="s">
        <v>16</v>
      </c>
      <c r="G334" s="1">
        <v>4</v>
      </c>
      <c r="H334" s="1" t="s">
        <v>16</v>
      </c>
      <c r="I334" s="1" t="s">
        <v>16</v>
      </c>
      <c r="J334" s="1" t="s">
        <v>16</v>
      </c>
      <c r="K334" s="1" t="s">
        <v>21</v>
      </c>
      <c r="L334" s="1" t="s">
        <v>17</v>
      </c>
      <c r="M334" s="1" t="s">
        <v>17</v>
      </c>
      <c r="N334" s="27" t="s">
        <v>605</v>
      </c>
      <c r="O334" s="1" t="s">
        <v>16</v>
      </c>
    </row>
    <row r="335" spans="1:15" x14ac:dyDescent="0.2">
      <c r="A335" s="9">
        <v>44572</v>
      </c>
      <c r="B335" s="1" t="s">
        <v>15</v>
      </c>
      <c r="C335" s="1">
        <v>1</v>
      </c>
      <c r="D335" s="1">
        <v>1</v>
      </c>
      <c r="E335" s="14">
        <v>55.24</v>
      </c>
      <c r="F335" s="1" t="s">
        <v>16</v>
      </c>
      <c r="G335" s="1">
        <v>4</v>
      </c>
      <c r="H335" s="1" t="s">
        <v>16</v>
      </c>
      <c r="I335" s="1" t="s">
        <v>16</v>
      </c>
      <c r="J335" s="1" t="s">
        <v>16</v>
      </c>
      <c r="K335" s="1" t="s">
        <v>17</v>
      </c>
      <c r="L335" s="1" t="s">
        <v>17</v>
      </c>
      <c r="M335" s="1" t="s">
        <v>17</v>
      </c>
      <c r="N335" s="27" t="s">
        <v>605</v>
      </c>
      <c r="O335" s="1" t="s">
        <v>16</v>
      </c>
    </row>
    <row r="336" spans="1:15" x14ac:dyDescent="0.2">
      <c r="A336" s="9">
        <v>44572</v>
      </c>
      <c r="B336" s="1" t="s">
        <v>15</v>
      </c>
      <c r="C336" s="1">
        <v>2</v>
      </c>
      <c r="D336" s="1">
        <v>1</v>
      </c>
      <c r="E336" s="14">
        <v>58.18</v>
      </c>
      <c r="F336" s="1" t="s">
        <v>16</v>
      </c>
      <c r="G336" s="1">
        <v>4</v>
      </c>
      <c r="H336" s="1" t="s">
        <v>16</v>
      </c>
      <c r="I336" s="1" t="s">
        <v>16</v>
      </c>
      <c r="J336" s="1" t="s">
        <v>16</v>
      </c>
      <c r="K336" s="1" t="s">
        <v>17</v>
      </c>
      <c r="L336" s="1" t="s">
        <v>17</v>
      </c>
      <c r="M336" s="1" t="s">
        <v>17</v>
      </c>
      <c r="N336" s="27" t="s">
        <v>605</v>
      </c>
      <c r="O336" s="1" t="s">
        <v>16</v>
      </c>
    </row>
    <row r="337" spans="1:15" x14ac:dyDescent="0.2">
      <c r="A337" s="9">
        <v>44572</v>
      </c>
      <c r="B337" s="1" t="s">
        <v>15</v>
      </c>
      <c r="C337" s="1">
        <v>3</v>
      </c>
      <c r="D337" s="1">
        <v>1</v>
      </c>
      <c r="E337" s="14">
        <v>46.39</v>
      </c>
      <c r="F337" s="1" t="s">
        <v>18</v>
      </c>
      <c r="G337" s="1">
        <v>1</v>
      </c>
      <c r="H337" s="1" t="s">
        <v>16</v>
      </c>
      <c r="I337" s="1" t="s">
        <v>16</v>
      </c>
      <c r="J337" s="1" t="s">
        <v>16</v>
      </c>
      <c r="K337" s="1" t="s">
        <v>17</v>
      </c>
      <c r="L337" s="1" t="s">
        <v>17</v>
      </c>
      <c r="M337" s="1" t="s">
        <v>17</v>
      </c>
      <c r="N337" s="27" t="s">
        <v>605</v>
      </c>
      <c r="O337" s="1" t="s">
        <v>16</v>
      </c>
    </row>
    <row r="338" spans="1:15" x14ac:dyDescent="0.2">
      <c r="A338" s="9">
        <v>44572</v>
      </c>
      <c r="B338" s="1" t="s">
        <v>15</v>
      </c>
      <c r="C338" s="1">
        <v>4</v>
      </c>
      <c r="D338" s="1">
        <v>1</v>
      </c>
      <c r="E338" s="14">
        <v>45.82</v>
      </c>
      <c r="F338" s="1" t="s">
        <v>16</v>
      </c>
      <c r="G338" s="1">
        <v>4</v>
      </c>
      <c r="H338" s="1" t="s">
        <v>16</v>
      </c>
      <c r="I338" s="1" t="s">
        <v>16</v>
      </c>
      <c r="J338" s="1" t="s">
        <v>16</v>
      </c>
      <c r="K338" s="1" t="s">
        <v>17</v>
      </c>
      <c r="L338" s="1" t="s">
        <v>17</v>
      </c>
      <c r="M338" s="1" t="s">
        <v>17</v>
      </c>
      <c r="N338" s="27" t="s">
        <v>605</v>
      </c>
      <c r="O338" s="1" t="s">
        <v>16</v>
      </c>
    </row>
    <row r="339" spans="1:15" x14ac:dyDescent="0.2">
      <c r="A339" s="9">
        <v>44572</v>
      </c>
      <c r="B339" s="1" t="s">
        <v>15</v>
      </c>
      <c r="C339" s="1">
        <v>5</v>
      </c>
      <c r="D339" s="1">
        <v>1</v>
      </c>
      <c r="E339" s="14">
        <v>42.38</v>
      </c>
      <c r="F339" s="1" t="s">
        <v>16</v>
      </c>
      <c r="G339" s="1">
        <v>4</v>
      </c>
      <c r="H339" s="1" t="s">
        <v>16</v>
      </c>
      <c r="I339" s="1" t="s">
        <v>16</v>
      </c>
      <c r="J339" s="1" t="s">
        <v>16</v>
      </c>
      <c r="K339" s="1" t="s">
        <v>17</v>
      </c>
      <c r="L339" s="1" t="s">
        <v>17</v>
      </c>
      <c r="M339" s="1" t="s">
        <v>17</v>
      </c>
      <c r="N339" s="27" t="s">
        <v>605</v>
      </c>
      <c r="O339" s="1" t="s">
        <v>16</v>
      </c>
    </row>
    <row r="340" spans="1:15" x14ac:dyDescent="0.2">
      <c r="A340" s="9">
        <v>44572</v>
      </c>
      <c r="B340" s="1" t="s">
        <v>15</v>
      </c>
      <c r="C340" s="1">
        <v>6</v>
      </c>
      <c r="D340" s="1">
        <v>2</v>
      </c>
      <c r="E340" s="14">
        <v>55.13</v>
      </c>
      <c r="F340" s="1" t="s">
        <v>16</v>
      </c>
      <c r="G340" s="1">
        <v>4</v>
      </c>
      <c r="H340" s="1" t="s">
        <v>16</v>
      </c>
      <c r="I340" s="1" t="s">
        <v>16</v>
      </c>
      <c r="J340" s="1" t="s">
        <v>16</v>
      </c>
      <c r="K340" s="1" t="s">
        <v>17</v>
      </c>
      <c r="L340" s="1" t="s">
        <v>17</v>
      </c>
      <c r="M340" s="1" t="s">
        <v>17</v>
      </c>
      <c r="N340" s="27" t="s">
        <v>605</v>
      </c>
      <c r="O340" s="1" t="s">
        <v>16</v>
      </c>
    </row>
    <row r="341" spans="1:15" x14ac:dyDescent="0.2">
      <c r="A341" s="9">
        <v>44572</v>
      </c>
      <c r="B341" s="1" t="s">
        <v>15</v>
      </c>
      <c r="C341" s="1">
        <v>7</v>
      </c>
      <c r="D341" s="1">
        <v>2</v>
      </c>
      <c r="E341" s="14">
        <v>53.36</v>
      </c>
      <c r="F341" s="1" t="s">
        <v>16</v>
      </c>
      <c r="G341" s="1">
        <v>4</v>
      </c>
      <c r="H341" s="1" t="s">
        <v>16</v>
      </c>
      <c r="I341" s="1" t="s">
        <v>16</v>
      </c>
      <c r="J341" s="1" t="s">
        <v>16</v>
      </c>
      <c r="K341" s="1" t="s">
        <v>17</v>
      </c>
      <c r="L341" s="1" t="s">
        <v>17</v>
      </c>
      <c r="M341" s="1" t="s">
        <v>17</v>
      </c>
      <c r="N341" s="27" t="s">
        <v>605</v>
      </c>
      <c r="O341" s="1" t="s">
        <v>16</v>
      </c>
    </row>
    <row r="342" spans="1:15" x14ac:dyDescent="0.2">
      <c r="A342" s="9">
        <v>44572</v>
      </c>
      <c r="B342" s="1" t="s">
        <v>15</v>
      </c>
      <c r="C342" s="1">
        <v>8</v>
      </c>
      <c r="D342" s="1">
        <v>2</v>
      </c>
      <c r="E342" s="14">
        <v>45.98</v>
      </c>
      <c r="F342" s="1" t="s">
        <v>16</v>
      </c>
      <c r="G342" s="1">
        <v>4</v>
      </c>
      <c r="H342" s="1" t="s">
        <v>16</v>
      </c>
      <c r="I342" s="1" t="s">
        <v>16</v>
      </c>
      <c r="J342" s="1" t="s">
        <v>16</v>
      </c>
      <c r="K342" s="1" t="s">
        <v>17</v>
      </c>
      <c r="L342" s="1" t="s">
        <v>17</v>
      </c>
      <c r="M342" s="1" t="s">
        <v>17</v>
      </c>
      <c r="N342" s="27" t="s">
        <v>605</v>
      </c>
      <c r="O342" s="1" t="s">
        <v>16</v>
      </c>
    </row>
    <row r="343" spans="1:15" x14ac:dyDescent="0.2">
      <c r="A343" s="9">
        <v>44572</v>
      </c>
      <c r="B343" s="1" t="s">
        <v>15</v>
      </c>
      <c r="C343" s="1">
        <v>9</v>
      </c>
      <c r="D343" s="1">
        <v>2</v>
      </c>
      <c r="E343" s="14">
        <v>49.77</v>
      </c>
      <c r="F343" s="1" t="s">
        <v>16</v>
      </c>
      <c r="G343" s="1">
        <v>4</v>
      </c>
      <c r="H343" s="1" t="s">
        <v>16</v>
      </c>
      <c r="I343" s="1" t="s">
        <v>16</v>
      </c>
      <c r="J343" s="1" t="s">
        <v>16</v>
      </c>
      <c r="K343" s="1" t="s">
        <v>17</v>
      </c>
      <c r="L343" s="1" t="s">
        <v>17</v>
      </c>
      <c r="M343" s="1" t="s">
        <v>17</v>
      </c>
      <c r="N343" s="27" t="s">
        <v>605</v>
      </c>
      <c r="O343" s="1" t="s">
        <v>16</v>
      </c>
    </row>
    <row r="344" spans="1:15" x14ac:dyDescent="0.2">
      <c r="A344" s="9">
        <v>44572</v>
      </c>
      <c r="B344" s="1" t="s">
        <v>15</v>
      </c>
      <c r="C344" s="1">
        <v>10</v>
      </c>
      <c r="D344" s="1">
        <v>2</v>
      </c>
      <c r="E344" s="14">
        <v>46.47</v>
      </c>
      <c r="F344" s="1" t="s">
        <v>18</v>
      </c>
      <c r="G344" s="1">
        <v>1</v>
      </c>
      <c r="H344" s="1" t="s">
        <v>16</v>
      </c>
      <c r="I344" s="1" t="s">
        <v>16</v>
      </c>
      <c r="J344" s="1" t="s">
        <v>16</v>
      </c>
      <c r="K344" s="1" t="s">
        <v>17</v>
      </c>
      <c r="L344" s="1" t="s">
        <v>17</v>
      </c>
      <c r="M344" s="1" t="s">
        <v>17</v>
      </c>
      <c r="N344" s="27" t="s">
        <v>605</v>
      </c>
      <c r="O344" s="1" t="s">
        <v>16</v>
      </c>
    </row>
    <row r="345" spans="1:15" x14ac:dyDescent="0.2">
      <c r="A345" s="9">
        <v>44572</v>
      </c>
      <c r="B345" s="1" t="s">
        <v>15</v>
      </c>
      <c r="C345" s="1">
        <v>11</v>
      </c>
      <c r="D345" s="1">
        <v>3</v>
      </c>
      <c r="E345" s="14">
        <v>45.39</v>
      </c>
      <c r="F345" s="1" t="s">
        <v>16</v>
      </c>
      <c r="G345" s="1">
        <v>4</v>
      </c>
      <c r="H345" s="1" t="s">
        <v>16</v>
      </c>
      <c r="I345" s="1" t="s">
        <v>16</v>
      </c>
      <c r="J345" s="1" t="s">
        <v>16</v>
      </c>
      <c r="K345" s="1" t="s">
        <v>17</v>
      </c>
      <c r="L345" s="1" t="s">
        <v>17</v>
      </c>
      <c r="M345" s="1" t="s">
        <v>17</v>
      </c>
      <c r="N345" s="27" t="s">
        <v>605</v>
      </c>
      <c r="O345" s="1" t="s">
        <v>16</v>
      </c>
    </row>
    <row r="346" spans="1:15" x14ac:dyDescent="0.2">
      <c r="A346" s="9">
        <v>44572</v>
      </c>
      <c r="B346" s="1" t="s">
        <v>15</v>
      </c>
      <c r="C346" s="1">
        <v>12</v>
      </c>
      <c r="D346" s="1">
        <v>3</v>
      </c>
      <c r="E346" s="14">
        <v>55.95</v>
      </c>
      <c r="F346" s="1" t="s">
        <v>16</v>
      </c>
      <c r="G346" s="1">
        <v>4</v>
      </c>
      <c r="H346" s="1" t="s">
        <v>16</v>
      </c>
      <c r="I346" s="1" t="s">
        <v>16</v>
      </c>
      <c r="J346" s="1" t="s">
        <v>16</v>
      </c>
      <c r="K346" s="1" t="s">
        <v>17</v>
      </c>
      <c r="L346" s="1" t="s">
        <v>17</v>
      </c>
      <c r="M346" s="1" t="s">
        <v>17</v>
      </c>
      <c r="N346" s="27" t="s">
        <v>605</v>
      </c>
      <c r="O346" s="1" t="s">
        <v>16</v>
      </c>
    </row>
    <row r="347" spans="1:15" x14ac:dyDescent="0.2">
      <c r="A347" s="9">
        <v>44572</v>
      </c>
      <c r="B347" s="1" t="s">
        <v>15</v>
      </c>
      <c r="C347" s="1">
        <v>13</v>
      </c>
      <c r="D347" s="1">
        <v>3</v>
      </c>
      <c r="E347" s="14">
        <v>52.25</v>
      </c>
      <c r="F347" s="1" t="s">
        <v>16</v>
      </c>
      <c r="G347" s="1">
        <v>4</v>
      </c>
      <c r="H347" s="1" t="s">
        <v>16</v>
      </c>
      <c r="I347" s="1" t="s">
        <v>16</v>
      </c>
      <c r="J347" s="1" t="s">
        <v>16</v>
      </c>
      <c r="K347" s="1" t="s">
        <v>17</v>
      </c>
      <c r="L347" s="1" t="s">
        <v>17</v>
      </c>
      <c r="M347" s="1" t="s">
        <v>17</v>
      </c>
      <c r="N347" s="27" t="s">
        <v>605</v>
      </c>
      <c r="O347" s="1" t="s">
        <v>16</v>
      </c>
    </row>
    <row r="348" spans="1:15" x14ac:dyDescent="0.2">
      <c r="A348" s="9">
        <v>44572</v>
      </c>
      <c r="B348" s="1" t="s">
        <v>15</v>
      </c>
      <c r="C348" s="1">
        <v>14</v>
      </c>
      <c r="D348" s="1">
        <v>3</v>
      </c>
      <c r="E348" s="14">
        <v>52.52</v>
      </c>
      <c r="F348" s="1" t="s">
        <v>18</v>
      </c>
      <c r="G348" s="1">
        <v>1</v>
      </c>
      <c r="H348" s="1" t="s">
        <v>16</v>
      </c>
      <c r="I348" s="1" t="s">
        <v>16</v>
      </c>
      <c r="J348" s="1" t="s">
        <v>16</v>
      </c>
      <c r="K348" s="1" t="s">
        <v>17</v>
      </c>
      <c r="L348" s="1" t="s">
        <v>17</v>
      </c>
      <c r="M348" s="1" t="s">
        <v>17</v>
      </c>
      <c r="N348" s="27" t="s">
        <v>605</v>
      </c>
      <c r="O348" s="1" t="s">
        <v>16</v>
      </c>
    </row>
    <row r="349" spans="1:15" x14ac:dyDescent="0.2">
      <c r="A349" s="9">
        <v>44572</v>
      </c>
      <c r="B349" s="1" t="s">
        <v>15</v>
      </c>
      <c r="C349" s="1">
        <v>15</v>
      </c>
      <c r="D349" s="1">
        <v>3</v>
      </c>
      <c r="E349" s="14">
        <v>40.29</v>
      </c>
      <c r="F349" s="1" t="s">
        <v>18</v>
      </c>
      <c r="G349" s="1">
        <v>1</v>
      </c>
      <c r="H349" s="1" t="s">
        <v>16</v>
      </c>
      <c r="I349" s="1" t="s">
        <v>16</v>
      </c>
      <c r="J349" s="1" t="s">
        <v>16</v>
      </c>
      <c r="K349" s="1" t="s">
        <v>21</v>
      </c>
      <c r="L349" s="1" t="s">
        <v>17</v>
      </c>
      <c r="M349" s="1" t="s">
        <v>17</v>
      </c>
      <c r="N349" s="27" t="s">
        <v>605</v>
      </c>
      <c r="O349" s="1" t="s">
        <v>16</v>
      </c>
    </row>
    <row r="350" spans="1:15" x14ac:dyDescent="0.2">
      <c r="A350" s="9">
        <v>44601</v>
      </c>
      <c r="B350" s="1" t="s">
        <v>15</v>
      </c>
      <c r="C350" s="1">
        <v>1</v>
      </c>
      <c r="D350" s="1">
        <v>1</v>
      </c>
      <c r="E350" s="14">
        <v>57.49</v>
      </c>
      <c r="F350" s="1" t="s">
        <v>18</v>
      </c>
      <c r="G350" s="1">
        <v>1</v>
      </c>
      <c r="H350" s="1" t="s">
        <v>16</v>
      </c>
      <c r="I350" s="1" t="s">
        <v>16</v>
      </c>
      <c r="J350" s="1" t="s">
        <v>16</v>
      </c>
      <c r="K350" s="1" t="s">
        <v>17</v>
      </c>
      <c r="L350" s="1" t="s">
        <v>17</v>
      </c>
      <c r="M350" s="1" t="s">
        <v>17</v>
      </c>
      <c r="N350" s="27" t="s">
        <v>605</v>
      </c>
      <c r="O350" s="1" t="s">
        <v>16</v>
      </c>
    </row>
    <row r="351" spans="1:15" x14ac:dyDescent="0.2">
      <c r="A351" s="9">
        <v>44601</v>
      </c>
      <c r="B351" s="1" t="s">
        <v>15</v>
      </c>
      <c r="C351" s="1">
        <v>2</v>
      </c>
      <c r="D351" s="1">
        <v>1</v>
      </c>
      <c r="E351" s="14">
        <v>66.040000000000006</v>
      </c>
      <c r="F351" s="1" t="s">
        <v>18</v>
      </c>
      <c r="G351" s="1">
        <v>1</v>
      </c>
      <c r="H351" s="1" t="s">
        <v>16</v>
      </c>
      <c r="I351" s="1" t="s">
        <v>16</v>
      </c>
      <c r="J351" s="1" t="s">
        <v>16</v>
      </c>
      <c r="K351" s="1" t="s">
        <v>17</v>
      </c>
      <c r="L351" s="1" t="s">
        <v>17</v>
      </c>
      <c r="M351" s="1" t="s">
        <v>17</v>
      </c>
      <c r="N351" s="27" t="s">
        <v>605</v>
      </c>
      <c r="O351" s="1" t="s">
        <v>16</v>
      </c>
    </row>
    <row r="352" spans="1:15" x14ac:dyDescent="0.2">
      <c r="A352" s="9">
        <v>44601</v>
      </c>
      <c r="B352" s="1" t="s">
        <v>15</v>
      </c>
      <c r="C352" s="1">
        <v>3</v>
      </c>
      <c r="D352" s="1">
        <v>1</v>
      </c>
      <c r="E352" s="14">
        <v>44</v>
      </c>
      <c r="F352" s="1" t="s">
        <v>16</v>
      </c>
      <c r="G352" s="1">
        <v>4</v>
      </c>
      <c r="H352" s="1" t="s">
        <v>16</v>
      </c>
      <c r="I352" s="1" t="s">
        <v>16</v>
      </c>
      <c r="J352" s="1" t="s">
        <v>16</v>
      </c>
      <c r="K352" s="1" t="s">
        <v>17</v>
      </c>
      <c r="L352" s="1" t="s">
        <v>17</v>
      </c>
      <c r="M352" s="1" t="s">
        <v>17</v>
      </c>
      <c r="N352" s="27" t="s">
        <v>605</v>
      </c>
      <c r="O352" s="1" t="s">
        <v>16</v>
      </c>
    </row>
    <row r="353" spans="1:15" x14ac:dyDescent="0.2">
      <c r="A353" s="9">
        <v>44601</v>
      </c>
      <c r="B353" s="1" t="s">
        <v>15</v>
      </c>
      <c r="C353" s="1">
        <v>4</v>
      </c>
      <c r="D353" s="1">
        <v>1</v>
      </c>
      <c r="E353" s="14">
        <v>48.19</v>
      </c>
      <c r="F353" s="1" t="s">
        <v>16</v>
      </c>
      <c r="G353" s="1">
        <v>4</v>
      </c>
      <c r="H353" s="1" t="s">
        <v>16</v>
      </c>
      <c r="I353" s="1" t="s">
        <v>16</v>
      </c>
      <c r="J353" s="1" t="s">
        <v>16</v>
      </c>
      <c r="K353" s="1" t="s">
        <v>17</v>
      </c>
      <c r="L353" s="1" t="s">
        <v>17</v>
      </c>
      <c r="M353" s="1" t="s">
        <v>17</v>
      </c>
      <c r="N353" s="27" t="s">
        <v>605</v>
      </c>
      <c r="O353" s="1" t="s">
        <v>16</v>
      </c>
    </row>
    <row r="354" spans="1:15" x14ac:dyDescent="0.2">
      <c r="A354" s="9">
        <v>44601</v>
      </c>
      <c r="B354" s="1" t="s">
        <v>15</v>
      </c>
      <c r="C354" s="1">
        <v>5</v>
      </c>
      <c r="D354" s="1">
        <v>1</v>
      </c>
      <c r="E354" s="14">
        <v>53.62</v>
      </c>
      <c r="F354" s="1" t="s">
        <v>16</v>
      </c>
      <c r="G354" s="1">
        <v>4</v>
      </c>
      <c r="H354" s="1" t="s">
        <v>16</v>
      </c>
      <c r="I354" s="1" t="s">
        <v>16</v>
      </c>
      <c r="J354" s="1" t="s">
        <v>16</v>
      </c>
      <c r="K354" s="1" t="s">
        <v>17</v>
      </c>
      <c r="L354" s="1" t="s">
        <v>17</v>
      </c>
      <c r="M354" s="1" t="s">
        <v>17</v>
      </c>
      <c r="N354" s="27" t="s">
        <v>605</v>
      </c>
      <c r="O354" s="1" t="s">
        <v>16</v>
      </c>
    </row>
    <row r="355" spans="1:15" x14ac:dyDescent="0.2">
      <c r="A355" s="9">
        <v>44601</v>
      </c>
      <c r="B355" s="1" t="s">
        <v>15</v>
      </c>
      <c r="C355" s="1">
        <v>6</v>
      </c>
      <c r="D355" s="1">
        <v>2</v>
      </c>
      <c r="E355" s="14">
        <v>60.36</v>
      </c>
      <c r="F355" s="1" t="s">
        <v>16</v>
      </c>
      <c r="G355" s="1">
        <v>4</v>
      </c>
      <c r="H355" s="1" t="s">
        <v>16</v>
      </c>
      <c r="I355" s="1" t="s">
        <v>16</v>
      </c>
      <c r="J355" s="1" t="s">
        <v>16</v>
      </c>
      <c r="K355" s="1" t="s">
        <v>17</v>
      </c>
      <c r="L355" s="1" t="s">
        <v>17</v>
      </c>
      <c r="M355" s="1" t="s">
        <v>17</v>
      </c>
      <c r="N355" s="27" t="s">
        <v>605</v>
      </c>
      <c r="O355" s="1" t="s">
        <v>16</v>
      </c>
    </row>
    <row r="356" spans="1:15" x14ac:dyDescent="0.2">
      <c r="A356" s="9">
        <v>44601</v>
      </c>
      <c r="B356" s="1" t="s">
        <v>15</v>
      </c>
      <c r="C356" s="1">
        <v>7</v>
      </c>
      <c r="D356" s="1">
        <v>2</v>
      </c>
      <c r="E356" s="14">
        <v>68.5</v>
      </c>
      <c r="F356" s="1" t="s">
        <v>16</v>
      </c>
      <c r="G356" s="1">
        <v>4</v>
      </c>
      <c r="H356" s="1" t="s">
        <v>16</v>
      </c>
      <c r="I356" s="1" t="s">
        <v>16</v>
      </c>
      <c r="J356" s="1" t="s">
        <v>16</v>
      </c>
      <c r="K356" s="1" t="s">
        <v>17</v>
      </c>
      <c r="L356" s="1" t="s">
        <v>17</v>
      </c>
      <c r="M356" s="1" t="s">
        <v>17</v>
      </c>
      <c r="N356" s="27" t="s">
        <v>605</v>
      </c>
      <c r="O356" s="1" t="s">
        <v>16</v>
      </c>
    </row>
    <row r="357" spans="1:15" x14ac:dyDescent="0.2">
      <c r="A357" s="9">
        <v>44601</v>
      </c>
      <c r="B357" s="1" t="s">
        <v>15</v>
      </c>
      <c r="C357" s="1">
        <v>8</v>
      </c>
      <c r="D357" s="1">
        <v>2</v>
      </c>
      <c r="E357" s="14">
        <v>54.65</v>
      </c>
      <c r="F357" s="1" t="s">
        <v>18</v>
      </c>
      <c r="G357" s="1">
        <v>1</v>
      </c>
      <c r="H357" s="1" t="s">
        <v>16</v>
      </c>
      <c r="I357" s="1" t="s">
        <v>16</v>
      </c>
      <c r="J357" s="1" t="s">
        <v>16</v>
      </c>
      <c r="K357" s="1" t="s">
        <v>21</v>
      </c>
      <c r="L357" s="1" t="s">
        <v>17</v>
      </c>
      <c r="M357" s="1" t="s">
        <v>17</v>
      </c>
      <c r="N357" s="27" t="s">
        <v>605</v>
      </c>
      <c r="O357" s="1" t="s">
        <v>16</v>
      </c>
    </row>
    <row r="358" spans="1:15" x14ac:dyDescent="0.2">
      <c r="A358" s="9">
        <v>44601</v>
      </c>
      <c r="B358" s="1" t="s">
        <v>15</v>
      </c>
      <c r="C358" s="1">
        <v>9</v>
      </c>
      <c r="D358" s="1">
        <v>2</v>
      </c>
      <c r="E358" s="14">
        <v>53.76</v>
      </c>
      <c r="F358" s="1" t="s">
        <v>18</v>
      </c>
      <c r="G358" s="1">
        <v>1</v>
      </c>
      <c r="H358" s="1" t="s">
        <v>16</v>
      </c>
      <c r="I358" s="1" t="s">
        <v>16</v>
      </c>
      <c r="J358" s="1" t="s">
        <v>16</v>
      </c>
      <c r="K358" s="1" t="s">
        <v>17</v>
      </c>
      <c r="L358" s="1" t="s">
        <v>17</v>
      </c>
      <c r="M358" s="1" t="s">
        <v>17</v>
      </c>
      <c r="N358" s="27" t="s">
        <v>605</v>
      </c>
      <c r="O358" s="1" t="s">
        <v>16</v>
      </c>
    </row>
    <row r="359" spans="1:15" x14ac:dyDescent="0.2">
      <c r="A359" s="9">
        <v>44601</v>
      </c>
      <c r="B359" s="1" t="s">
        <v>15</v>
      </c>
      <c r="C359" s="1">
        <v>10</v>
      </c>
      <c r="D359" s="1">
        <v>2</v>
      </c>
      <c r="E359" s="14">
        <v>54.8</v>
      </c>
      <c r="F359" s="1" t="s">
        <v>19</v>
      </c>
      <c r="G359" s="1">
        <v>3</v>
      </c>
      <c r="H359" s="1" t="s">
        <v>16</v>
      </c>
      <c r="I359" s="1" t="s">
        <v>16</v>
      </c>
      <c r="J359" s="1" t="s">
        <v>16</v>
      </c>
      <c r="K359" s="1" t="s">
        <v>17</v>
      </c>
      <c r="L359" s="1" t="s">
        <v>17</v>
      </c>
      <c r="M359" s="1" t="s">
        <v>17</v>
      </c>
      <c r="N359" s="27" t="s">
        <v>605</v>
      </c>
      <c r="O359" s="1" t="s">
        <v>16</v>
      </c>
    </row>
    <row r="360" spans="1:15" x14ac:dyDescent="0.2">
      <c r="A360" s="9">
        <v>44601</v>
      </c>
      <c r="B360" s="1" t="s">
        <v>15</v>
      </c>
      <c r="C360" s="1">
        <v>11</v>
      </c>
      <c r="D360" s="1">
        <v>3</v>
      </c>
      <c r="E360" s="14">
        <v>70.150000000000006</v>
      </c>
      <c r="F360" s="1" t="s">
        <v>18</v>
      </c>
      <c r="G360" s="1">
        <v>1</v>
      </c>
      <c r="H360" s="1" t="s">
        <v>16</v>
      </c>
      <c r="I360" s="1" t="s">
        <v>16</v>
      </c>
      <c r="J360" s="1" t="s">
        <v>16</v>
      </c>
      <c r="K360" s="1" t="s">
        <v>17</v>
      </c>
      <c r="L360" s="1" t="s">
        <v>17</v>
      </c>
      <c r="M360" s="1" t="s">
        <v>17</v>
      </c>
      <c r="N360" s="27" t="s">
        <v>605</v>
      </c>
      <c r="O360" s="1" t="s">
        <v>16</v>
      </c>
    </row>
    <row r="361" spans="1:15" x14ac:dyDescent="0.2">
      <c r="A361" s="9">
        <v>44601</v>
      </c>
      <c r="B361" s="1" t="s">
        <v>15</v>
      </c>
      <c r="C361" s="1">
        <v>12</v>
      </c>
      <c r="D361" s="1">
        <v>3</v>
      </c>
      <c r="E361" s="14">
        <v>54.52</v>
      </c>
      <c r="F361" s="1" t="s">
        <v>16</v>
      </c>
      <c r="G361" s="1">
        <v>4</v>
      </c>
      <c r="H361" s="1" t="s">
        <v>16</v>
      </c>
      <c r="I361" s="1" t="s">
        <v>16</v>
      </c>
      <c r="J361" s="1" t="s">
        <v>16</v>
      </c>
      <c r="K361" s="1" t="s">
        <v>21</v>
      </c>
      <c r="L361" s="1" t="s">
        <v>17</v>
      </c>
      <c r="M361" s="1" t="s">
        <v>17</v>
      </c>
      <c r="N361" s="27" t="s">
        <v>605</v>
      </c>
      <c r="O361" s="1" t="s">
        <v>16</v>
      </c>
    </row>
    <row r="362" spans="1:15" x14ac:dyDescent="0.2">
      <c r="A362" s="9">
        <v>44601</v>
      </c>
      <c r="B362" s="1" t="s">
        <v>15</v>
      </c>
      <c r="C362" s="1">
        <v>13</v>
      </c>
      <c r="D362" s="1">
        <v>3</v>
      </c>
      <c r="E362" s="14">
        <v>47.43</v>
      </c>
      <c r="F362" s="1" t="s">
        <v>16</v>
      </c>
      <c r="G362" s="1">
        <v>4</v>
      </c>
      <c r="H362" s="1" t="s">
        <v>16</v>
      </c>
      <c r="I362" s="1" t="s">
        <v>16</v>
      </c>
      <c r="J362" s="1" t="s">
        <v>16</v>
      </c>
      <c r="K362" s="1" t="s">
        <v>17</v>
      </c>
      <c r="L362" s="1" t="s">
        <v>17</v>
      </c>
      <c r="M362" s="1" t="s">
        <v>17</v>
      </c>
      <c r="N362" s="27" t="s">
        <v>605</v>
      </c>
      <c r="O362" s="1" t="s">
        <v>16</v>
      </c>
    </row>
    <row r="363" spans="1:15" x14ac:dyDescent="0.2">
      <c r="A363" s="9">
        <v>44601</v>
      </c>
      <c r="B363" s="1" t="s">
        <v>15</v>
      </c>
      <c r="C363" s="1">
        <v>14</v>
      </c>
      <c r="D363" s="1">
        <v>3</v>
      </c>
      <c r="E363" s="14">
        <v>42.17</v>
      </c>
      <c r="F363" s="1" t="s">
        <v>18</v>
      </c>
      <c r="G363" s="1">
        <v>1</v>
      </c>
      <c r="H363" s="1" t="s">
        <v>16</v>
      </c>
      <c r="I363" s="1" t="s">
        <v>16</v>
      </c>
      <c r="J363" s="1" t="s">
        <v>16</v>
      </c>
      <c r="K363" s="1" t="s">
        <v>17</v>
      </c>
      <c r="L363" s="1" t="s">
        <v>17</v>
      </c>
      <c r="M363" s="1" t="s">
        <v>17</v>
      </c>
      <c r="N363" s="27" t="s">
        <v>605</v>
      </c>
      <c r="O363" s="1" t="s">
        <v>16</v>
      </c>
    </row>
    <row r="364" spans="1:15" x14ac:dyDescent="0.2">
      <c r="A364" s="9">
        <v>44601</v>
      </c>
      <c r="B364" s="1" t="s">
        <v>15</v>
      </c>
      <c r="C364" s="1">
        <v>15</v>
      </c>
      <c r="D364" s="1">
        <v>3</v>
      </c>
      <c r="E364" s="14">
        <v>38.76</v>
      </c>
      <c r="F364" s="1" t="s">
        <v>16</v>
      </c>
      <c r="G364" s="1">
        <v>4</v>
      </c>
      <c r="H364" s="1" t="s">
        <v>16</v>
      </c>
      <c r="I364" s="1" t="s">
        <v>16</v>
      </c>
      <c r="J364" s="1" t="s">
        <v>16</v>
      </c>
      <c r="K364" s="1" t="s">
        <v>17</v>
      </c>
      <c r="L364" s="1" t="s">
        <v>17</v>
      </c>
      <c r="M364" s="1" t="s">
        <v>17</v>
      </c>
      <c r="N364" s="27" t="s">
        <v>605</v>
      </c>
      <c r="O364" s="1" t="s">
        <v>16</v>
      </c>
    </row>
    <row r="365" spans="1:15" x14ac:dyDescent="0.2">
      <c r="A365" s="9">
        <v>44629</v>
      </c>
      <c r="B365" s="1" t="s">
        <v>15</v>
      </c>
      <c r="C365" s="1">
        <v>1</v>
      </c>
      <c r="D365" s="1">
        <v>1</v>
      </c>
      <c r="E365" s="14">
        <v>45.75</v>
      </c>
      <c r="F365" s="1" t="s">
        <v>19</v>
      </c>
      <c r="G365" s="1" t="s">
        <v>16</v>
      </c>
      <c r="H365" s="1" t="s">
        <v>16</v>
      </c>
      <c r="I365" s="1" t="s">
        <v>16</v>
      </c>
      <c r="J365" s="1" t="s">
        <v>16</v>
      </c>
      <c r="K365" s="1" t="s">
        <v>21</v>
      </c>
      <c r="L365" s="1" t="s">
        <v>17</v>
      </c>
      <c r="M365" s="1" t="s">
        <v>21</v>
      </c>
      <c r="N365" s="27" t="s">
        <v>605</v>
      </c>
      <c r="O365" s="1" t="s">
        <v>16</v>
      </c>
    </row>
    <row r="366" spans="1:15" x14ac:dyDescent="0.2">
      <c r="A366" s="9">
        <v>44629</v>
      </c>
      <c r="B366" s="1" t="s">
        <v>15</v>
      </c>
      <c r="C366" s="1">
        <v>2</v>
      </c>
      <c r="D366" s="1">
        <v>1</v>
      </c>
      <c r="E366" s="14">
        <v>52.46</v>
      </c>
      <c r="F366" s="1" t="s">
        <v>16</v>
      </c>
      <c r="G366" s="1" t="s">
        <v>16</v>
      </c>
      <c r="H366" s="1" t="s">
        <v>16</v>
      </c>
      <c r="I366" s="1" t="s">
        <v>16</v>
      </c>
      <c r="J366" s="1" t="s">
        <v>16</v>
      </c>
      <c r="K366" s="1" t="s">
        <v>17</v>
      </c>
      <c r="L366" s="1" t="s">
        <v>17</v>
      </c>
      <c r="M366" s="1" t="s">
        <v>21</v>
      </c>
      <c r="N366" s="27" t="s">
        <v>605</v>
      </c>
      <c r="O366" s="1" t="s">
        <v>16</v>
      </c>
    </row>
    <row r="367" spans="1:15" x14ac:dyDescent="0.2">
      <c r="A367" s="9">
        <v>44629</v>
      </c>
      <c r="B367" s="1" t="s">
        <v>15</v>
      </c>
      <c r="C367" s="1">
        <v>3</v>
      </c>
      <c r="D367" s="1">
        <v>1</v>
      </c>
      <c r="E367" s="14">
        <v>48.47</v>
      </c>
      <c r="F367" s="1" t="s">
        <v>16</v>
      </c>
      <c r="G367" s="1">
        <v>4</v>
      </c>
      <c r="H367" s="1" t="s">
        <v>16</v>
      </c>
      <c r="I367" s="1" t="s">
        <v>16</v>
      </c>
      <c r="J367" s="1" t="s">
        <v>16</v>
      </c>
      <c r="K367" s="1" t="s">
        <v>17</v>
      </c>
      <c r="L367" s="1" t="s">
        <v>17</v>
      </c>
      <c r="M367" s="1" t="s">
        <v>17</v>
      </c>
      <c r="N367" s="27" t="s">
        <v>605</v>
      </c>
      <c r="O367" s="1" t="s">
        <v>16</v>
      </c>
    </row>
    <row r="368" spans="1:15" x14ac:dyDescent="0.2">
      <c r="A368" s="9">
        <v>44629</v>
      </c>
      <c r="B368" s="1" t="s">
        <v>15</v>
      </c>
      <c r="C368" s="1">
        <v>4</v>
      </c>
      <c r="D368" s="1">
        <v>1</v>
      </c>
      <c r="E368" s="14">
        <v>42.27</v>
      </c>
      <c r="F368" s="1" t="s">
        <v>18</v>
      </c>
      <c r="G368" s="1">
        <v>1</v>
      </c>
      <c r="H368" s="1" t="s">
        <v>16</v>
      </c>
      <c r="I368" s="1" t="s">
        <v>16</v>
      </c>
      <c r="J368" s="1" t="s">
        <v>16</v>
      </c>
      <c r="K368" s="1" t="s">
        <v>17</v>
      </c>
      <c r="L368" s="1" t="s">
        <v>17</v>
      </c>
      <c r="M368" s="1" t="s">
        <v>17</v>
      </c>
      <c r="N368" s="27" t="s">
        <v>605</v>
      </c>
      <c r="O368" s="1" t="s">
        <v>16</v>
      </c>
    </row>
    <row r="369" spans="1:15" x14ac:dyDescent="0.2">
      <c r="A369" s="9">
        <v>44629</v>
      </c>
      <c r="B369" s="1" t="s">
        <v>15</v>
      </c>
      <c r="C369" s="1">
        <v>5</v>
      </c>
      <c r="D369" s="1">
        <v>1</v>
      </c>
      <c r="E369" s="14">
        <v>48.72</v>
      </c>
      <c r="F369" s="1" t="s">
        <v>19</v>
      </c>
      <c r="G369" s="1">
        <v>2</v>
      </c>
      <c r="H369" s="1" t="s">
        <v>16</v>
      </c>
      <c r="I369" s="1" t="s">
        <v>16</v>
      </c>
      <c r="J369" s="1" t="s">
        <v>16</v>
      </c>
      <c r="K369" s="1" t="s">
        <v>17</v>
      </c>
      <c r="L369" s="1" t="s">
        <v>17</v>
      </c>
      <c r="M369" s="1" t="s">
        <v>17</v>
      </c>
      <c r="N369" s="27" t="s">
        <v>605</v>
      </c>
      <c r="O369" s="1" t="s">
        <v>16</v>
      </c>
    </row>
    <row r="370" spans="1:15" x14ac:dyDescent="0.2">
      <c r="A370" s="9">
        <v>44629</v>
      </c>
      <c r="B370" s="1" t="s">
        <v>15</v>
      </c>
      <c r="C370" s="1">
        <v>6</v>
      </c>
      <c r="D370" s="1">
        <v>2</v>
      </c>
      <c r="E370" s="14">
        <v>50.83</v>
      </c>
      <c r="F370" s="1" t="s">
        <v>16</v>
      </c>
      <c r="G370" s="1">
        <v>4</v>
      </c>
      <c r="H370" s="1" t="s">
        <v>16</v>
      </c>
      <c r="I370" s="1" t="s">
        <v>16</v>
      </c>
      <c r="J370" s="1" t="s">
        <v>16</v>
      </c>
      <c r="K370" s="1" t="s">
        <v>17</v>
      </c>
      <c r="L370" s="1" t="s">
        <v>17</v>
      </c>
      <c r="M370" s="1" t="s">
        <v>17</v>
      </c>
      <c r="N370" s="27" t="s">
        <v>605</v>
      </c>
      <c r="O370" s="1" t="s">
        <v>16</v>
      </c>
    </row>
    <row r="371" spans="1:15" x14ac:dyDescent="0.2">
      <c r="A371" s="9">
        <v>44629</v>
      </c>
      <c r="B371" s="1" t="s">
        <v>15</v>
      </c>
      <c r="C371" s="1">
        <v>7</v>
      </c>
      <c r="D371" s="1">
        <v>2</v>
      </c>
      <c r="E371" s="14">
        <v>55.23</v>
      </c>
      <c r="F371" s="1" t="s">
        <v>18</v>
      </c>
      <c r="G371" s="1">
        <v>1</v>
      </c>
      <c r="H371" s="1" t="s">
        <v>16</v>
      </c>
      <c r="I371" s="1" t="s">
        <v>16</v>
      </c>
      <c r="J371" s="1" t="s">
        <v>16</v>
      </c>
      <c r="K371" s="1" t="s">
        <v>17</v>
      </c>
      <c r="L371" s="1" t="s">
        <v>17</v>
      </c>
      <c r="M371" s="1" t="s">
        <v>17</v>
      </c>
      <c r="N371" s="27" t="s">
        <v>605</v>
      </c>
      <c r="O371" s="1" t="s">
        <v>16</v>
      </c>
    </row>
    <row r="372" spans="1:15" x14ac:dyDescent="0.2">
      <c r="A372" s="9">
        <v>44629</v>
      </c>
      <c r="B372" s="1" t="s">
        <v>15</v>
      </c>
      <c r="C372" s="1">
        <v>8</v>
      </c>
      <c r="D372" s="1">
        <v>2</v>
      </c>
      <c r="E372" s="14">
        <v>55.83</v>
      </c>
      <c r="F372" s="1" t="s">
        <v>16</v>
      </c>
      <c r="G372" s="1" t="s">
        <v>16</v>
      </c>
      <c r="H372" s="1" t="s">
        <v>16</v>
      </c>
      <c r="I372" s="1" t="s">
        <v>16</v>
      </c>
      <c r="J372" s="1" t="s">
        <v>16</v>
      </c>
      <c r="K372" s="1" t="s">
        <v>17</v>
      </c>
      <c r="L372" s="1" t="s">
        <v>17</v>
      </c>
      <c r="M372" s="1" t="s">
        <v>21</v>
      </c>
      <c r="N372" s="27" t="s">
        <v>605</v>
      </c>
      <c r="O372" s="1" t="s">
        <v>16</v>
      </c>
    </row>
    <row r="373" spans="1:15" x14ac:dyDescent="0.2">
      <c r="A373" s="9">
        <v>44629</v>
      </c>
      <c r="B373" s="1" t="s">
        <v>15</v>
      </c>
      <c r="C373" s="1">
        <v>9</v>
      </c>
      <c r="D373" s="1">
        <v>2</v>
      </c>
      <c r="E373" s="14">
        <v>49.02</v>
      </c>
      <c r="F373" s="1" t="s">
        <v>16</v>
      </c>
      <c r="G373" s="1" t="s">
        <v>16</v>
      </c>
      <c r="H373" s="1" t="s">
        <v>16</v>
      </c>
      <c r="I373" s="1" t="s">
        <v>16</v>
      </c>
      <c r="J373" s="1" t="s">
        <v>16</v>
      </c>
      <c r="K373" s="1" t="s">
        <v>17</v>
      </c>
      <c r="L373" s="1" t="s">
        <v>17</v>
      </c>
      <c r="M373" s="1" t="s">
        <v>21</v>
      </c>
      <c r="N373" s="27" t="s">
        <v>605</v>
      </c>
      <c r="O373" s="1" t="s">
        <v>16</v>
      </c>
    </row>
    <row r="374" spans="1:15" x14ac:dyDescent="0.2">
      <c r="A374" s="9">
        <v>44629</v>
      </c>
      <c r="B374" s="1" t="s">
        <v>15</v>
      </c>
      <c r="C374" s="1">
        <v>10</v>
      </c>
      <c r="D374" s="1">
        <v>2</v>
      </c>
      <c r="E374" s="14">
        <v>55.7</v>
      </c>
      <c r="F374" s="1" t="s">
        <v>16</v>
      </c>
      <c r="G374" s="1" t="s">
        <v>16</v>
      </c>
      <c r="H374" s="1" t="s">
        <v>16</v>
      </c>
      <c r="I374" s="1" t="s">
        <v>16</v>
      </c>
      <c r="J374" s="1" t="s">
        <v>16</v>
      </c>
      <c r="K374" s="1" t="s">
        <v>17</v>
      </c>
      <c r="L374" s="1" t="s">
        <v>17</v>
      </c>
      <c r="M374" s="1" t="s">
        <v>21</v>
      </c>
      <c r="N374" s="27" t="s">
        <v>605</v>
      </c>
      <c r="O374" s="1" t="s">
        <v>16</v>
      </c>
    </row>
    <row r="375" spans="1:15" x14ac:dyDescent="0.2">
      <c r="A375" s="9">
        <v>44629</v>
      </c>
      <c r="B375" s="1" t="s">
        <v>15</v>
      </c>
      <c r="C375" s="1">
        <v>11</v>
      </c>
      <c r="D375" s="1">
        <v>3</v>
      </c>
      <c r="E375" s="14">
        <v>53.32</v>
      </c>
      <c r="F375" s="1" t="s">
        <v>18</v>
      </c>
      <c r="G375" s="1">
        <v>2</v>
      </c>
      <c r="H375" s="1" t="s">
        <v>16</v>
      </c>
      <c r="I375" s="1" t="s">
        <v>16</v>
      </c>
      <c r="J375" s="1" t="s">
        <v>16</v>
      </c>
      <c r="K375" s="1" t="s">
        <v>17</v>
      </c>
      <c r="L375" s="1" t="s">
        <v>17</v>
      </c>
      <c r="M375" s="1" t="s">
        <v>17</v>
      </c>
      <c r="N375" s="27" t="s">
        <v>605</v>
      </c>
      <c r="O375" s="1" t="s">
        <v>16</v>
      </c>
    </row>
    <row r="376" spans="1:15" x14ac:dyDescent="0.2">
      <c r="A376" s="9">
        <v>44629</v>
      </c>
      <c r="B376" s="1" t="s">
        <v>15</v>
      </c>
      <c r="C376" s="1">
        <v>12</v>
      </c>
      <c r="D376" s="1">
        <v>3</v>
      </c>
      <c r="E376" s="14">
        <v>67.44</v>
      </c>
      <c r="F376" s="1" t="s">
        <v>16</v>
      </c>
      <c r="G376" s="1">
        <v>4</v>
      </c>
      <c r="H376" s="1" t="s">
        <v>16</v>
      </c>
      <c r="I376" s="1" t="s">
        <v>16</v>
      </c>
      <c r="J376" s="1" t="s">
        <v>16</v>
      </c>
      <c r="K376" s="1" t="s">
        <v>17</v>
      </c>
      <c r="L376" s="1" t="s">
        <v>17</v>
      </c>
      <c r="M376" s="1" t="s">
        <v>17</v>
      </c>
      <c r="N376" s="27" t="s">
        <v>605</v>
      </c>
      <c r="O376" s="1" t="s">
        <v>16</v>
      </c>
    </row>
    <row r="377" spans="1:15" x14ac:dyDescent="0.2">
      <c r="A377" s="9">
        <v>44629</v>
      </c>
      <c r="B377" s="1" t="s">
        <v>15</v>
      </c>
      <c r="C377" s="1">
        <v>13</v>
      </c>
      <c r="D377" s="1">
        <v>3</v>
      </c>
      <c r="E377" s="14">
        <v>50.66</v>
      </c>
      <c r="F377" s="1" t="s">
        <v>19</v>
      </c>
      <c r="G377" s="1">
        <v>2</v>
      </c>
      <c r="H377" s="1" t="s">
        <v>16</v>
      </c>
      <c r="I377" s="1" t="s">
        <v>16</v>
      </c>
      <c r="J377" s="1" t="s">
        <v>16</v>
      </c>
      <c r="K377" s="1" t="s">
        <v>17</v>
      </c>
      <c r="L377" s="1" t="s">
        <v>17</v>
      </c>
      <c r="M377" s="1" t="s">
        <v>17</v>
      </c>
      <c r="N377" s="27" t="s">
        <v>605</v>
      </c>
      <c r="O377" s="1" t="s">
        <v>16</v>
      </c>
    </row>
    <row r="378" spans="1:15" x14ac:dyDescent="0.2">
      <c r="A378" s="9">
        <v>44629</v>
      </c>
      <c r="B378" s="1" t="s">
        <v>15</v>
      </c>
      <c r="C378" s="1">
        <v>14</v>
      </c>
      <c r="D378" s="1">
        <v>3</v>
      </c>
      <c r="E378" s="14">
        <v>53.91</v>
      </c>
      <c r="F378" s="1" t="s">
        <v>18</v>
      </c>
      <c r="G378" s="1">
        <v>2</v>
      </c>
      <c r="H378" s="1" t="s">
        <v>16</v>
      </c>
      <c r="I378" s="1" t="s">
        <v>16</v>
      </c>
      <c r="J378" s="1" t="s">
        <v>16</v>
      </c>
      <c r="K378" s="1" t="s">
        <v>17</v>
      </c>
      <c r="L378" s="1" t="s">
        <v>17</v>
      </c>
      <c r="M378" s="1" t="s">
        <v>17</v>
      </c>
      <c r="N378" s="27" t="s">
        <v>605</v>
      </c>
      <c r="O378" s="1" t="s">
        <v>16</v>
      </c>
    </row>
    <row r="379" spans="1:15" x14ac:dyDescent="0.2">
      <c r="A379" s="9">
        <v>44629</v>
      </c>
      <c r="B379" s="1" t="s">
        <v>15</v>
      </c>
      <c r="C379" s="1">
        <v>15</v>
      </c>
      <c r="D379" s="1">
        <v>3</v>
      </c>
      <c r="E379" s="14">
        <v>62.06</v>
      </c>
      <c r="F379" s="1" t="s">
        <v>16</v>
      </c>
      <c r="G379" s="1" t="s">
        <v>16</v>
      </c>
      <c r="H379" s="1" t="s">
        <v>16</v>
      </c>
      <c r="I379" s="1" t="s">
        <v>16</v>
      </c>
      <c r="J379" s="1" t="s">
        <v>16</v>
      </c>
      <c r="K379" s="1" t="s">
        <v>17</v>
      </c>
      <c r="L379" s="1" t="s">
        <v>17</v>
      </c>
      <c r="M379" s="1" t="s">
        <v>21</v>
      </c>
      <c r="N379" s="27" t="s">
        <v>605</v>
      </c>
      <c r="O379" s="1" t="s">
        <v>16</v>
      </c>
    </row>
    <row r="380" spans="1:15" x14ac:dyDescent="0.2">
      <c r="A380" s="9">
        <v>44656</v>
      </c>
      <c r="B380" s="1" t="s">
        <v>15</v>
      </c>
      <c r="C380" s="1">
        <v>1</v>
      </c>
      <c r="D380" s="1">
        <v>1</v>
      </c>
      <c r="E380" s="14">
        <v>55.81</v>
      </c>
      <c r="F380" s="1" t="s">
        <v>18</v>
      </c>
      <c r="G380" s="1">
        <v>3</v>
      </c>
      <c r="H380" s="1" t="s">
        <v>16</v>
      </c>
      <c r="I380" s="1" t="s">
        <v>16</v>
      </c>
      <c r="J380" s="1" t="s">
        <v>16</v>
      </c>
      <c r="K380" s="1" t="s">
        <v>21</v>
      </c>
      <c r="L380" s="1" t="s">
        <v>17</v>
      </c>
      <c r="M380" s="1" t="s">
        <v>17</v>
      </c>
      <c r="N380" s="27" t="s">
        <v>605</v>
      </c>
      <c r="O380" s="1" t="s">
        <v>16</v>
      </c>
    </row>
    <row r="381" spans="1:15" x14ac:dyDescent="0.2">
      <c r="A381" s="9">
        <v>44656</v>
      </c>
      <c r="B381" s="1" t="s">
        <v>15</v>
      </c>
      <c r="C381" s="1">
        <v>2</v>
      </c>
      <c r="D381" s="1">
        <v>1</v>
      </c>
      <c r="E381" s="14">
        <v>44.43</v>
      </c>
      <c r="F381" s="1" t="s">
        <v>16</v>
      </c>
      <c r="G381" s="1" t="s">
        <v>16</v>
      </c>
      <c r="H381" s="1" t="s">
        <v>16</v>
      </c>
      <c r="I381" s="1" t="s">
        <v>16</v>
      </c>
      <c r="J381" s="1" t="s">
        <v>16</v>
      </c>
      <c r="K381" s="1" t="s">
        <v>20</v>
      </c>
      <c r="L381" s="1" t="s">
        <v>17</v>
      </c>
      <c r="M381" s="1" t="s">
        <v>17</v>
      </c>
      <c r="N381" s="27" t="s">
        <v>605</v>
      </c>
      <c r="O381" s="1" t="s">
        <v>16</v>
      </c>
    </row>
    <row r="382" spans="1:15" x14ac:dyDescent="0.2">
      <c r="A382" s="9">
        <v>44656</v>
      </c>
      <c r="B382" s="1" t="s">
        <v>15</v>
      </c>
      <c r="C382" s="1">
        <v>3</v>
      </c>
      <c r="D382" s="1">
        <v>1</v>
      </c>
      <c r="E382" s="14">
        <v>43.89</v>
      </c>
      <c r="F382" s="1" t="s">
        <v>18</v>
      </c>
      <c r="G382" s="1">
        <v>2</v>
      </c>
      <c r="H382" s="1" t="s">
        <v>16</v>
      </c>
      <c r="I382" s="1" t="s">
        <v>16</v>
      </c>
      <c r="J382" s="1" t="s">
        <v>16</v>
      </c>
      <c r="K382" s="1" t="s">
        <v>17</v>
      </c>
      <c r="L382" s="1" t="s">
        <v>17</v>
      </c>
      <c r="M382" s="1" t="s">
        <v>17</v>
      </c>
      <c r="N382" s="27" t="s">
        <v>605</v>
      </c>
      <c r="O382" s="1" t="s">
        <v>16</v>
      </c>
    </row>
    <row r="383" spans="1:15" x14ac:dyDescent="0.2">
      <c r="A383" s="9">
        <v>44656</v>
      </c>
      <c r="B383" s="1" t="s">
        <v>15</v>
      </c>
      <c r="C383" s="1">
        <v>4</v>
      </c>
      <c r="D383" s="1">
        <v>1</v>
      </c>
      <c r="E383" s="14">
        <v>63.26</v>
      </c>
      <c r="F383" s="1" t="s">
        <v>16</v>
      </c>
      <c r="G383" s="1">
        <v>4</v>
      </c>
      <c r="H383" s="1" t="s">
        <v>16</v>
      </c>
      <c r="I383" s="1" t="s">
        <v>16</v>
      </c>
      <c r="J383" s="1" t="s">
        <v>16</v>
      </c>
      <c r="K383" s="1" t="s">
        <v>21</v>
      </c>
      <c r="L383" s="1" t="s">
        <v>17</v>
      </c>
      <c r="M383" s="1" t="s">
        <v>17</v>
      </c>
      <c r="N383" s="27" t="s">
        <v>605</v>
      </c>
      <c r="O383" s="1" t="s">
        <v>16</v>
      </c>
    </row>
    <row r="384" spans="1:15" x14ac:dyDescent="0.2">
      <c r="A384" s="9">
        <v>44656</v>
      </c>
      <c r="B384" s="1" t="s">
        <v>15</v>
      </c>
      <c r="C384" s="1">
        <v>5</v>
      </c>
      <c r="D384" s="1">
        <v>1</v>
      </c>
      <c r="E384" s="14">
        <v>47.63</v>
      </c>
      <c r="F384" s="1" t="s">
        <v>19</v>
      </c>
      <c r="G384" s="1">
        <v>2</v>
      </c>
      <c r="H384" s="1" t="s">
        <v>16</v>
      </c>
      <c r="I384" s="1" t="s">
        <v>16</v>
      </c>
      <c r="J384" s="1" t="s">
        <v>16</v>
      </c>
      <c r="K384" s="1" t="s">
        <v>17</v>
      </c>
      <c r="L384" s="1" t="s">
        <v>17</v>
      </c>
      <c r="M384" s="1" t="s">
        <v>17</v>
      </c>
      <c r="N384" s="27" t="s">
        <v>605</v>
      </c>
      <c r="O384" s="1" t="s">
        <v>16</v>
      </c>
    </row>
    <row r="385" spans="1:15" x14ac:dyDescent="0.2">
      <c r="A385" s="9">
        <v>44656</v>
      </c>
      <c r="B385" s="1" t="s">
        <v>15</v>
      </c>
      <c r="C385" s="1">
        <v>6</v>
      </c>
      <c r="D385" s="1">
        <v>2</v>
      </c>
      <c r="E385" s="14">
        <v>46.06</v>
      </c>
      <c r="F385" s="1" t="s">
        <v>19</v>
      </c>
      <c r="G385" s="1">
        <v>2</v>
      </c>
      <c r="H385" s="1" t="s">
        <v>16</v>
      </c>
      <c r="I385" s="1" t="s">
        <v>16</v>
      </c>
      <c r="J385" s="1" t="s">
        <v>16</v>
      </c>
      <c r="K385" s="1" t="s">
        <v>17</v>
      </c>
      <c r="L385" s="1" t="s">
        <v>17</v>
      </c>
      <c r="M385" s="1" t="s">
        <v>17</v>
      </c>
      <c r="N385" s="27" t="s">
        <v>605</v>
      </c>
      <c r="O385" s="1" t="s">
        <v>16</v>
      </c>
    </row>
    <row r="386" spans="1:15" x14ac:dyDescent="0.2">
      <c r="A386" s="9">
        <v>44656</v>
      </c>
      <c r="B386" s="1" t="s">
        <v>15</v>
      </c>
      <c r="C386" s="1">
        <v>7</v>
      </c>
      <c r="D386" s="1">
        <v>2</v>
      </c>
      <c r="E386" s="14">
        <v>60.45</v>
      </c>
      <c r="F386" s="1" t="s">
        <v>18</v>
      </c>
      <c r="G386" s="1">
        <v>2</v>
      </c>
      <c r="H386" s="1" t="s">
        <v>16</v>
      </c>
      <c r="I386" s="1" t="s">
        <v>16</v>
      </c>
      <c r="J386" s="1" t="s">
        <v>16</v>
      </c>
      <c r="K386" s="1" t="s">
        <v>17</v>
      </c>
      <c r="L386" s="1" t="s">
        <v>17</v>
      </c>
      <c r="M386" s="1" t="s">
        <v>17</v>
      </c>
      <c r="N386" s="27" t="s">
        <v>605</v>
      </c>
      <c r="O386" s="1" t="s">
        <v>16</v>
      </c>
    </row>
    <row r="387" spans="1:15" x14ac:dyDescent="0.2">
      <c r="A387" s="9">
        <v>44656</v>
      </c>
      <c r="B387" s="1" t="s">
        <v>15</v>
      </c>
      <c r="C387" s="1">
        <v>8</v>
      </c>
      <c r="D387" s="1">
        <v>2</v>
      </c>
      <c r="E387" s="14">
        <v>56.18</v>
      </c>
      <c r="F387" s="1" t="s">
        <v>18</v>
      </c>
      <c r="G387" s="1">
        <v>2</v>
      </c>
      <c r="H387" s="1" t="s">
        <v>16</v>
      </c>
      <c r="I387" s="1" t="s">
        <v>16</v>
      </c>
      <c r="J387" s="1" t="s">
        <v>16</v>
      </c>
      <c r="K387" s="1" t="s">
        <v>17</v>
      </c>
      <c r="L387" s="1" t="s">
        <v>17</v>
      </c>
      <c r="M387" s="1" t="s">
        <v>17</v>
      </c>
      <c r="N387" s="27" t="s">
        <v>605</v>
      </c>
      <c r="O387" s="1" t="s">
        <v>16</v>
      </c>
    </row>
    <row r="388" spans="1:15" x14ac:dyDescent="0.2">
      <c r="A388" s="9">
        <v>44656</v>
      </c>
      <c r="B388" s="1" t="s">
        <v>15</v>
      </c>
      <c r="C388" s="1">
        <v>9</v>
      </c>
      <c r="D388" s="1">
        <v>2</v>
      </c>
      <c r="E388" s="14">
        <v>61.8</v>
      </c>
      <c r="F388" s="1" t="s">
        <v>18</v>
      </c>
      <c r="G388" s="1">
        <v>1</v>
      </c>
      <c r="H388" s="1" t="s">
        <v>16</v>
      </c>
      <c r="I388" s="1" t="s">
        <v>16</v>
      </c>
      <c r="J388" s="1" t="s">
        <v>16</v>
      </c>
      <c r="K388" s="1" t="s">
        <v>21</v>
      </c>
      <c r="L388" s="1" t="s">
        <v>17</v>
      </c>
      <c r="M388" s="1" t="s">
        <v>17</v>
      </c>
      <c r="N388" s="27" t="s">
        <v>605</v>
      </c>
      <c r="O388" s="1" t="s">
        <v>16</v>
      </c>
    </row>
    <row r="389" spans="1:15" x14ac:dyDescent="0.2">
      <c r="A389" s="9">
        <v>44656</v>
      </c>
      <c r="B389" s="1" t="s">
        <v>15</v>
      </c>
      <c r="C389" s="1">
        <v>10</v>
      </c>
      <c r="D389" s="1">
        <v>2</v>
      </c>
      <c r="E389" s="14">
        <v>56.18</v>
      </c>
      <c r="F389" s="1" t="s">
        <v>19</v>
      </c>
      <c r="G389" s="1">
        <v>1</v>
      </c>
      <c r="H389" s="1" t="s">
        <v>16</v>
      </c>
      <c r="I389" s="1" t="s">
        <v>16</v>
      </c>
      <c r="J389" s="1" t="s">
        <v>16</v>
      </c>
      <c r="K389" s="1" t="s">
        <v>17</v>
      </c>
      <c r="L389" s="1" t="s">
        <v>17</v>
      </c>
      <c r="M389" s="1" t="s">
        <v>21</v>
      </c>
      <c r="N389" s="27" t="s">
        <v>605</v>
      </c>
      <c r="O389" s="1" t="s">
        <v>16</v>
      </c>
    </row>
    <row r="390" spans="1:15" x14ac:dyDescent="0.2">
      <c r="A390" s="9">
        <v>44656</v>
      </c>
      <c r="B390" s="1" t="s">
        <v>15</v>
      </c>
      <c r="C390" s="1">
        <v>11</v>
      </c>
      <c r="D390" s="1">
        <v>3</v>
      </c>
      <c r="E390" s="14">
        <v>60.47</v>
      </c>
      <c r="F390" s="1" t="s">
        <v>18</v>
      </c>
      <c r="G390" s="1">
        <v>2</v>
      </c>
      <c r="H390" s="1" t="s">
        <v>16</v>
      </c>
      <c r="I390" s="1" t="s">
        <v>16</v>
      </c>
      <c r="J390" s="1" t="s">
        <v>16</v>
      </c>
      <c r="K390" s="1" t="s">
        <v>17</v>
      </c>
      <c r="L390" s="1" t="s">
        <v>17</v>
      </c>
      <c r="M390" s="1" t="s">
        <v>17</v>
      </c>
      <c r="N390" s="27" t="s">
        <v>605</v>
      </c>
      <c r="O390" s="1" t="s">
        <v>16</v>
      </c>
    </row>
    <row r="391" spans="1:15" x14ac:dyDescent="0.2">
      <c r="A391" s="9">
        <v>44656</v>
      </c>
      <c r="B391" s="1" t="s">
        <v>15</v>
      </c>
      <c r="C391" s="1">
        <v>12</v>
      </c>
      <c r="D391" s="1">
        <v>3</v>
      </c>
      <c r="E391" s="14">
        <v>60.11</v>
      </c>
      <c r="F391" s="1" t="s">
        <v>18</v>
      </c>
      <c r="G391" s="1">
        <v>2</v>
      </c>
      <c r="H391" s="1" t="s">
        <v>16</v>
      </c>
      <c r="I391" s="1" t="s">
        <v>16</v>
      </c>
      <c r="J391" s="1" t="s">
        <v>16</v>
      </c>
      <c r="K391" s="1" t="s">
        <v>17</v>
      </c>
      <c r="L391" s="1" t="s">
        <v>17</v>
      </c>
      <c r="M391" s="1" t="s">
        <v>17</v>
      </c>
      <c r="N391" s="27" t="s">
        <v>605</v>
      </c>
      <c r="O391" s="1" t="s">
        <v>16</v>
      </c>
    </row>
    <row r="392" spans="1:15" x14ac:dyDescent="0.2">
      <c r="A392" s="9">
        <v>44656</v>
      </c>
      <c r="B392" s="1" t="s">
        <v>15</v>
      </c>
      <c r="C392" s="1">
        <v>13</v>
      </c>
      <c r="D392" s="1">
        <v>3</v>
      </c>
      <c r="E392" s="14">
        <v>60.41</v>
      </c>
      <c r="F392" s="1" t="s">
        <v>19</v>
      </c>
      <c r="G392" s="1">
        <v>2</v>
      </c>
      <c r="H392" s="1" t="s">
        <v>16</v>
      </c>
      <c r="I392" s="1" t="s">
        <v>16</v>
      </c>
      <c r="J392" s="1" t="s">
        <v>16</v>
      </c>
      <c r="K392" s="1" t="s">
        <v>17</v>
      </c>
      <c r="L392" s="1" t="s">
        <v>17</v>
      </c>
      <c r="M392" s="1" t="s">
        <v>17</v>
      </c>
      <c r="N392" s="27" t="s">
        <v>605</v>
      </c>
      <c r="O392" s="1" t="s">
        <v>16</v>
      </c>
    </row>
    <row r="393" spans="1:15" x14ac:dyDescent="0.2">
      <c r="A393" s="9">
        <v>44656</v>
      </c>
      <c r="B393" s="1" t="s">
        <v>15</v>
      </c>
      <c r="C393" s="1">
        <v>14</v>
      </c>
      <c r="D393" s="1">
        <v>3</v>
      </c>
      <c r="E393" s="14">
        <v>79.459999999999994</v>
      </c>
      <c r="F393" s="1" t="s">
        <v>18</v>
      </c>
      <c r="G393" s="1">
        <v>3</v>
      </c>
      <c r="H393" s="1" t="s">
        <v>16</v>
      </c>
      <c r="I393" s="1" t="s">
        <v>16</v>
      </c>
      <c r="J393" s="1" t="s">
        <v>16</v>
      </c>
      <c r="K393" s="1" t="s">
        <v>21</v>
      </c>
      <c r="L393" s="1" t="s">
        <v>17</v>
      </c>
      <c r="M393" s="1" t="s">
        <v>17</v>
      </c>
      <c r="N393" s="27" t="s">
        <v>605</v>
      </c>
      <c r="O393" s="1" t="s">
        <v>16</v>
      </c>
    </row>
    <row r="394" spans="1:15" x14ac:dyDescent="0.2">
      <c r="A394" s="9">
        <v>44656</v>
      </c>
      <c r="B394" s="1" t="s">
        <v>15</v>
      </c>
      <c r="C394" s="1">
        <v>15</v>
      </c>
      <c r="D394" s="1">
        <v>3</v>
      </c>
      <c r="E394" s="14">
        <v>42.95</v>
      </c>
      <c r="F394" s="1" t="s">
        <v>19</v>
      </c>
      <c r="G394" s="1">
        <v>2</v>
      </c>
      <c r="H394" s="1" t="s">
        <v>16</v>
      </c>
      <c r="I394" s="1" t="s">
        <v>16</v>
      </c>
      <c r="J394" s="1" t="s">
        <v>16</v>
      </c>
      <c r="K394" s="1" t="s">
        <v>21</v>
      </c>
      <c r="L394" s="1" t="s">
        <v>17</v>
      </c>
      <c r="M394" s="1" t="s">
        <v>17</v>
      </c>
      <c r="N394" s="27" t="s">
        <v>605</v>
      </c>
      <c r="O394" s="1" t="s">
        <v>16</v>
      </c>
    </row>
    <row r="395" spans="1:15" x14ac:dyDescent="0.2">
      <c r="A395" s="9">
        <v>44684</v>
      </c>
      <c r="B395" s="1" t="s">
        <v>15</v>
      </c>
      <c r="C395" s="1">
        <v>1</v>
      </c>
      <c r="D395" s="1">
        <v>1</v>
      </c>
      <c r="E395" s="14">
        <v>53.06</v>
      </c>
      <c r="F395" s="1" t="s">
        <v>19</v>
      </c>
      <c r="G395" s="1">
        <v>2</v>
      </c>
      <c r="H395" s="1" t="s">
        <v>16</v>
      </c>
      <c r="I395" s="1" t="s">
        <v>16</v>
      </c>
      <c r="J395" s="1" t="s">
        <v>16</v>
      </c>
      <c r="K395" s="1" t="s">
        <v>17</v>
      </c>
      <c r="L395" s="1" t="s">
        <v>17</v>
      </c>
      <c r="M395" s="1" t="s">
        <v>17</v>
      </c>
      <c r="N395" s="27" t="s">
        <v>605</v>
      </c>
      <c r="O395" s="1" t="s">
        <v>16</v>
      </c>
    </row>
    <row r="396" spans="1:15" x14ac:dyDescent="0.2">
      <c r="A396" s="9">
        <v>44684</v>
      </c>
      <c r="B396" s="1" t="s">
        <v>15</v>
      </c>
      <c r="C396" s="1">
        <v>2</v>
      </c>
      <c r="D396" s="1">
        <v>1</v>
      </c>
      <c r="E396" s="14">
        <v>51.1</v>
      </c>
      <c r="F396" s="1" t="s">
        <v>18</v>
      </c>
      <c r="G396" s="1">
        <v>2</v>
      </c>
      <c r="H396" s="1" t="s">
        <v>16</v>
      </c>
      <c r="I396" s="1" t="s">
        <v>16</v>
      </c>
      <c r="J396" s="1" t="s">
        <v>16</v>
      </c>
      <c r="K396" s="1" t="s">
        <v>17</v>
      </c>
      <c r="L396" s="1" t="s">
        <v>17</v>
      </c>
      <c r="M396" s="1" t="s">
        <v>17</v>
      </c>
      <c r="N396" s="27" t="s">
        <v>605</v>
      </c>
      <c r="O396" s="1" t="s">
        <v>16</v>
      </c>
    </row>
    <row r="397" spans="1:15" x14ac:dyDescent="0.2">
      <c r="A397" s="9">
        <v>44684</v>
      </c>
      <c r="B397" s="1" t="s">
        <v>15</v>
      </c>
      <c r="C397" s="1">
        <v>3</v>
      </c>
      <c r="D397" s="1">
        <v>1</v>
      </c>
      <c r="E397" s="14">
        <v>47.49</v>
      </c>
      <c r="F397" s="1" t="s">
        <v>18</v>
      </c>
      <c r="G397" s="1">
        <v>2</v>
      </c>
      <c r="H397" s="1" t="s">
        <v>16</v>
      </c>
      <c r="I397" s="1" t="s">
        <v>16</v>
      </c>
      <c r="J397" s="1" t="s">
        <v>16</v>
      </c>
      <c r="K397" s="1" t="s">
        <v>17</v>
      </c>
      <c r="L397" s="1" t="s">
        <v>17</v>
      </c>
      <c r="M397" s="1" t="s">
        <v>17</v>
      </c>
      <c r="N397" s="27" t="s">
        <v>605</v>
      </c>
      <c r="O397" s="1" t="s">
        <v>16</v>
      </c>
    </row>
    <row r="398" spans="1:15" x14ac:dyDescent="0.2">
      <c r="A398" s="9">
        <v>44684</v>
      </c>
      <c r="B398" s="1" t="s">
        <v>15</v>
      </c>
      <c r="C398" s="1">
        <v>4</v>
      </c>
      <c r="D398" s="1">
        <v>1</v>
      </c>
      <c r="E398" s="14">
        <v>57.21</v>
      </c>
      <c r="F398" s="1" t="s">
        <v>18</v>
      </c>
      <c r="G398" s="1">
        <v>2</v>
      </c>
      <c r="H398" s="1" t="s">
        <v>16</v>
      </c>
      <c r="I398" s="1" t="s">
        <v>16</v>
      </c>
      <c r="J398" s="1" t="s">
        <v>16</v>
      </c>
      <c r="K398" s="1" t="s">
        <v>17</v>
      </c>
      <c r="L398" s="1" t="s">
        <v>17</v>
      </c>
      <c r="M398" s="1" t="s">
        <v>17</v>
      </c>
      <c r="N398" s="27" t="s">
        <v>605</v>
      </c>
      <c r="O398" s="1" t="s">
        <v>16</v>
      </c>
    </row>
    <row r="399" spans="1:15" x14ac:dyDescent="0.2">
      <c r="A399" s="9">
        <v>44684</v>
      </c>
      <c r="B399" s="1" t="s">
        <v>15</v>
      </c>
      <c r="C399" s="1">
        <v>5</v>
      </c>
      <c r="D399" s="1">
        <v>1</v>
      </c>
      <c r="E399" s="14">
        <v>43.5</v>
      </c>
      <c r="F399" s="1" t="s">
        <v>18</v>
      </c>
      <c r="G399" s="1">
        <v>2</v>
      </c>
      <c r="H399" s="1" t="s">
        <v>16</v>
      </c>
      <c r="I399" s="1" t="s">
        <v>16</v>
      </c>
      <c r="J399" s="1" t="s">
        <v>16</v>
      </c>
      <c r="K399" s="1" t="s">
        <v>21</v>
      </c>
      <c r="L399" s="1" t="s">
        <v>17</v>
      </c>
      <c r="M399" s="1" t="s">
        <v>17</v>
      </c>
      <c r="N399" s="27" t="s">
        <v>605</v>
      </c>
      <c r="O399" s="1" t="s">
        <v>16</v>
      </c>
    </row>
    <row r="400" spans="1:15" x14ac:dyDescent="0.2">
      <c r="A400" s="9">
        <v>44684</v>
      </c>
      <c r="B400" s="1" t="s">
        <v>15</v>
      </c>
      <c r="C400" s="1">
        <v>6</v>
      </c>
      <c r="D400" s="1">
        <v>2</v>
      </c>
      <c r="E400" s="14">
        <v>54.53</v>
      </c>
      <c r="F400" s="1" t="s">
        <v>18</v>
      </c>
      <c r="G400" s="1">
        <v>3</v>
      </c>
      <c r="H400" s="1" t="s">
        <v>16</v>
      </c>
      <c r="I400" s="1" t="s">
        <v>16</v>
      </c>
      <c r="J400" s="1" t="s">
        <v>16</v>
      </c>
      <c r="K400" s="1" t="s">
        <v>17</v>
      </c>
      <c r="L400" s="1" t="s">
        <v>17</v>
      </c>
      <c r="M400" s="1" t="s">
        <v>17</v>
      </c>
      <c r="N400" s="27" t="s">
        <v>605</v>
      </c>
      <c r="O400" s="1" t="s">
        <v>16</v>
      </c>
    </row>
    <row r="401" spans="1:15" x14ac:dyDescent="0.2">
      <c r="A401" s="9">
        <v>44684</v>
      </c>
      <c r="B401" s="1" t="s">
        <v>15</v>
      </c>
      <c r="C401" s="1">
        <v>7</v>
      </c>
      <c r="D401" s="1">
        <v>2</v>
      </c>
      <c r="E401" s="14">
        <v>78.31</v>
      </c>
      <c r="F401" s="1" t="s">
        <v>18</v>
      </c>
      <c r="G401" s="1">
        <v>2</v>
      </c>
      <c r="H401" s="1" t="s">
        <v>16</v>
      </c>
      <c r="I401" s="1" t="s">
        <v>16</v>
      </c>
      <c r="J401" s="1" t="s">
        <v>16</v>
      </c>
      <c r="K401" s="1" t="s">
        <v>17</v>
      </c>
      <c r="L401" s="1" t="s">
        <v>17</v>
      </c>
      <c r="M401" s="1" t="s">
        <v>17</v>
      </c>
      <c r="N401" s="27" t="s">
        <v>605</v>
      </c>
      <c r="O401" s="1" t="s">
        <v>16</v>
      </c>
    </row>
    <row r="402" spans="1:15" x14ac:dyDescent="0.2">
      <c r="A402" s="9">
        <v>44684</v>
      </c>
      <c r="B402" s="1" t="s">
        <v>15</v>
      </c>
      <c r="C402" s="1">
        <v>8</v>
      </c>
      <c r="D402" s="1">
        <v>2</v>
      </c>
      <c r="E402" s="14">
        <v>63.81</v>
      </c>
      <c r="F402" s="1" t="s">
        <v>16</v>
      </c>
      <c r="G402" s="1">
        <v>4</v>
      </c>
      <c r="H402" s="1" t="s">
        <v>16</v>
      </c>
      <c r="I402" s="1" t="s">
        <v>16</v>
      </c>
      <c r="J402" s="1" t="s">
        <v>16</v>
      </c>
      <c r="K402" s="1" t="s">
        <v>21</v>
      </c>
      <c r="L402" s="1" t="s">
        <v>17</v>
      </c>
      <c r="M402" s="1" t="s">
        <v>17</v>
      </c>
      <c r="N402" s="27" t="s">
        <v>605</v>
      </c>
      <c r="O402" s="1" t="s">
        <v>16</v>
      </c>
    </row>
    <row r="403" spans="1:15" x14ac:dyDescent="0.2">
      <c r="A403" s="9">
        <v>44684</v>
      </c>
      <c r="B403" s="1" t="s">
        <v>15</v>
      </c>
      <c r="C403" s="1">
        <v>9</v>
      </c>
      <c r="D403" s="1">
        <v>2</v>
      </c>
      <c r="E403" s="14">
        <v>56.3</v>
      </c>
      <c r="F403" s="1" t="s">
        <v>19</v>
      </c>
      <c r="G403" s="1">
        <v>2</v>
      </c>
      <c r="H403" s="1" t="s">
        <v>16</v>
      </c>
      <c r="I403" s="1" t="s">
        <v>16</v>
      </c>
      <c r="J403" s="1" t="s">
        <v>16</v>
      </c>
      <c r="K403" s="1" t="s">
        <v>17</v>
      </c>
      <c r="L403" s="1" t="s">
        <v>17</v>
      </c>
      <c r="M403" s="1" t="s">
        <v>17</v>
      </c>
      <c r="N403" s="27" t="s">
        <v>605</v>
      </c>
      <c r="O403" s="1" t="s">
        <v>16</v>
      </c>
    </row>
    <row r="404" spans="1:15" x14ac:dyDescent="0.2">
      <c r="A404" s="9">
        <v>44684</v>
      </c>
      <c r="B404" s="1" t="s">
        <v>15</v>
      </c>
      <c r="C404" s="1">
        <v>10</v>
      </c>
      <c r="D404" s="1">
        <v>2</v>
      </c>
      <c r="E404" s="14">
        <v>56.24</v>
      </c>
      <c r="F404" s="1" t="s">
        <v>16</v>
      </c>
      <c r="G404" s="1">
        <v>4</v>
      </c>
      <c r="H404" s="1" t="s">
        <v>16</v>
      </c>
      <c r="I404" s="1" t="s">
        <v>16</v>
      </c>
      <c r="J404" s="1" t="s">
        <v>16</v>
      </c>
      <c r="K404" s="1" t="s">
        <v>17</v>
      </c>
      <c r="L404" s="1" t="s">
        <v>17</v>
      </c>
      <c r="M404" s="1" t="s">
        <v>17</v>
      </c>
      <c r="N404" s="27" t="s">
        <v>605</v>
      </c>
      <c r="O404" s="1" t="s">
        <v>16</v>
      </c>
    </row>
    <row r="405" spans="1:15" x14ac:dyDescent="0.2">
      <c r="A405" s="9">
        <v>44684</v>
      </c>
      <c r="B405" s="1" t="s">
        <v>15</v>
      </c>
      <c r="C405" s="1">
        <v>11</v>
      </c>
      <c r="D405" s="1">
        <v>3</v>
      </c>
      <c r="E405" s="14">
        <v>49.65</v>
      </c>
      <c r="F405" s="1" t="s">
        <v>18</v>
      </c>
      <c r="G405" s="1">
        <v>2</v>
      </c>
      <c r="H405" s="1" t="s">
        <v>16</v>
      </c>
      <c r="I405" s="1" t="s">
        <v>16</v>
      </c>
      <c r="J405" s="1" t="s">
        <v>16</v>
      </c>
      <c r="K405" s="1" t="s">
        <v>17</v>
      </c>
      <c r="L405" s="1" t="s">
        <v>17</v>
      </c>
      <c r="M405" s="1" t="s">
        <v>17</v>
      </c>
      <c r="N405" s="27" t="s">
        <v>605</v>
      </c>
      <c r="O405" s="1" t="s">
        <v>16</v>
      </c>
    </row>
    <row r="406" spans="1:15" x14ac:dyDescent="0.2">
      <c r="A406" s="9">
        <v>44684</v>
      </c>
      <c r="B406" s="1" t="s">
        <v>15</v>
      </c>
      <c r="C406" s="1">
        <v>12</v>
      </c>
      <c r="D406" s="1">
        <v>3</v>
      </c>
      <c r="E406" s="14">
        <v>56.07</v>
      </c>
      <c r="F406" s="1" t="s">
        <v>16</v>
      </c>
      <c r="G406" s="1">
        <v>4</v>
      </c>
      <c r="H406" s="1" t="s">
        <v>16</v>
      </c>
      <c r="I406" s="1" t="s">
        <v>16</v>
      </c>
      <c r="J406" s="1" t="s">
        <v>16</v>
      </c>
      <c r="K406" s="1" t="s">
        <v>21</v>
      </c>
      <c r="L406" s="1" t="s">
        <v>17</v>
      </c>
      <c r="M406" s="1" t="s">
        <v>17</v>
      </c>
      <c r="N406" s="27" t="s">
        <v>605</v>
      </c>
      <c r="O406" s="1" t="s">
        <v>16</v>
      </c>
    </row>
    <row r="407" spans="1:15" x14ac:dyDescent="0.2">
      <c r="A407" s="9">
        <v>44684</v>
      </c>
      <c r="B407" s="1" t="s">
        <v>15</v>
      </c>
      <c r="C407" s="1">
        <v>13</v>
      </c>
      <c r="D407" s="1">
        <v>3</v>
      </c>
      <c r="E407" s="14">
        <v>52.16</v>
      </c>
      <c r="F407" s="1" t="s">
        <v>16</v>
      </c>
      <c r="G407" s="1">
        <v>4</v>
      </c>
      <c r="H407" s="1" t="s">
        <v>16</v>
      </c>
      <c r="I407" s="1" t="s">
        <v>16</v>
      </c>
      <c r="J407" s="1" t="s">
        <v>16</v>
      </c>
      <c r="K407" s="1" t="s">
        <v>17</v>
      </c>
      <c r="L407" s="1" t="s">
        <v>17</v>
      </c>
      <c r="M407" s="1" t="s">
        <v>17</v>
      </c>
      <c r="N407" s="27" t="s">
        <v>605</v>
      </c>
      <c r="O407" s="1" t="s">
        <v>16</v>
      </c>
    </row>
    <row r="408" spans="1:15" x14ac:dyDescent="0.2">
      <c r="A408" s="9">
        <v>44684</v>
      </c>
      <c r="B408" s="1" t="s">
        <v>15</v>
      </c>
      <c r="C408" s="1">
        <v>14</v>
      </c>
      <c r="D408" s="1">
        <v>3</v>
      </c>
      <c r="E408" s="14">
        <v>57.69</v>
      </c>
      <c r="F408" s="1" t="s">
        <v>16</v>
      </c>
      <c r="G408" s="1">
        <v>4</v>
      </c>
      <c r="H408" s="1" t="s">
        <v>16</v>
      </c>
      <c r="I408" s="1" t="s">
        <v>16</v>
      </c>
      <c r="J408" s="1" t="s">
        <v>16</v>
      </c>
      <c r="K408" s="1" t="s">
        <v>21</v>
      </c>
      <c r="L408" s="1" t="s">
        <v>17</v>
      </c>
      <c r="M408" s="1" t="s">
        <v>17</v>
      </c>
      <c r="N408" s="27" t="s">
        <v>605</v>
      </c>
      <c r="O408" s="1" t="s">
        <v>16</v>
      </c>
    </row>
    <row r="409" spans="1:15" x14ac:dyDescent="0.2">
      <c r="A409" s="9">
        <v>44684</v>
      </c>
      <c r="B409" s="1" t="s">
        <v>15</v>
      </c>
      <c r="C409" s="1">
        <v>15</v>
      </c>
      <c r="D409" s="1">
        <v>3</v>
      </c>
      <c r="E409" s="14">
        <v>52.19</v>
      </c>
      <c r="F409" s="1" t="s">
        <v>18</v>
      </c>
      <c r="G409" s="1">
        <v>2</v>
      </c>
      <c r="H409" s="1" t="s">
        <v>16</v>
      </c>
      <c r="I409" s="1" t="s">
        <v>16</v>
      </c>
      <c r="J409" s="1" t="s">
        <v>16</v>
      </c>
      <c r="K409" s="1" t="s">
        <v>17</v>
      </c>
      <c r="L409" s="1" t="s">
        <v>17</v>
      </c>
      <c r="M409" s="1" t="s">
        <v>17</v>
      </c>
      <c r="N409" s="27" t="s">
        <v>605</v>
      </c>
      <c r="O409" s="1" t="s">
        <v>16</v>
      </c>
    </row>
    <row r="410" spans="1:15" x14ac:dyDescent="0.2">
      <c r="A410" s="9">
        <v>44720</v>
      </c>
      <c r="B410" s="1" t="s">
        <v>15</v>
      </c>
      <c r="C410" s="1">
        <v>1</v>
      </c>
      <c r="D410" s="1">
        <v>1</v>
      </c>
      <c r="E410" s="14">
        <v>48.66</v>
      </c>
      <c r="F410" s="1" t="s">
        <v>19</v>
      </c>
      <c r="G410" s="1">
        <v>2</v>
      </c>
      <c r="H410" s="1" t="s">
        <v>16</v>
      </c>
      <c r="I410" s="1" t="s">
        <v>16</v>
      </c>
      <c r="J410" s="1" t="s">
        <v>16</v>
      </c>
      <c r="K410" s="1" t="s">
        <v>17</v>
      </c>
      <c r="L410" s="1" t="s">
        <v>17</v>
      </c>
      <c r="M410" s="1" t="s">
        <v>17</v>
      </c>
      <c r="N410" s="27" t="s">
        <v>605</v>
      </c>
      <c r="O410" s="1" t="s">
        <v>16</v>
      </c>
    </row>
    <row r="411" spans="1:15" x14ac:dyDescent="0.2">
      <c r="A411" s="9">
        <v>44720</v>
      </c>
      <c r="B411" s="1" t="s">
        <v>15</v>
      </c>
      <c r="C411" s="1">
        <v>2</v>
      </c>
      <c r="D411" s="1">
        <v>1</v>
      </c>
      <c r="E411" s="14">
        <v>44.5</v>
      </c>
      <c r="F411" s="1" t="s">
        <v>16</v>
      </c>
      <c r="G411" s="1">
        <v>4</v>
      </c>
      <c r="H411" s="1" t="s">
        <v>16</v>
      </c>
      <c r="I411" s="1" t="s">
        <v>16</v>
      </c>
      <c r="J411" s="1" t="s">
        <v>16</v>
      </c>
      <c r="K411" s="1" t="s">
        <v>17</v>
      </c>
      <c r="L411" s="1" t="s">
        <v>17</v>
      </c>
      <c r="M411" s="1" t="s">
        <v>17</v>
      </c>
      <c r="N411" s="27" t="s">
        <v>605</v>
      </c>
      <c r="O411" s="1" t="s">
        <v>16</v>
      </c>
    </row>
    <row r="412" spans="1:15" x14ac:dyDescent="0.2">
      <c r="A412" s="9">
        <v>44720</v>
      </c>
      <c r="B412" s="1" t="s">
        <v>15</v>
      </c>
      <c r="C412" s="1">
        <v>3</v>
      </c>
      <c r="D412" s="1">
        <v>1</v>
      </c>
      <c r="E412" s="14">
        <v>47.81</v>
      </c>
      <c r="F412" s="1" t="s">
        <v>18</v>
      </c>
      <c r="G412" s="1">
        <v>2</v>
      </c>
      <c r="H412" s="1" t="s">
        <v>16</v>
      </c>
      <c r="I412" s="1" t="s">
        <v>16</v>
      </c>
      <c r="J412" s="1" t="s">
        <v>16</v>
      </c>
      <c r="K412" s="1" t="s">
        <v>17</v>
      </c>
      <c r="L412" s="1" t="s">
        <v>17</v>
      </c>
      <c r="M412" s="1" t="s">
        <v>17</v>
      </c>
      <c r="N412" s="27" t="s">
        <v>605</v>
      </c>
      <c r="O412" s="1" t="s">
        <v>16</v>
      </c>
    </row>
    <row r="413" spans="1:15" x14ac:dyDescent="0.2">
      <c r="A413" s="9">
        <v>44720</v>
      </c>
      <c r="B413" s="1" t="s">
        <v>15</v>
      </c>
      <c r="C413" s="1">
        <v>4</v>
      </c>
      <c r="D413" s="1">
        <v>1</v>
      </c>
      <c r="E413" s="14">
        <v>50.25</v>
      </c>
      <c r="F413" s="1" t="s">
        <v>19</v>
      </c>
      <c r="G413" s="1">
        <v>2</v>
      </c>
      <c r="H413" s="1" t="s">
        <v>16</v>
      </c>
      <c r="I413" s="1" t="s">
        <v>16</v>
      </c>
      <c r="J413" s="1" t="s">
        <v>16</v>
      </c>
      <c r="K413" s="1" t="s">
        <v>17</v>
      </c>
      <c r="L413" s="1" t="s">
        <v>17</v>
      </c>
      <c r="M413" s="1" t="s">
        <v>17</v>
      </c>
      <c r="N413" s="27" t="s">
        <v>605</v>
      </c>
      <c r="O413" s="1" t="s">
        <v>16</v>
      </c>
    </row>
    <row r="414" spans="1:15" x14ac:dyDescent="0.2">
      <c r="A414" s="9">
        <v>44720</v>
      </c>
      <c r="B414" s="1" t="s">
        <v>15</v>
      </c>
      <c r="C414" s="1">
        <v>5</v>
      </c>
      <c r="D414" s="1">
        <v>1</v>
      </c>
      <c r="E414" s="14">
        <v>49.85</v>
      </c>
      <c r="F414" s="1" t="s">
        <v>18</v>
      </c>
      <c r="G414" s="1">
        <v>2</v>
      </c>
      <c r="H414" s="1" t="s">
        <v>16</v>
      </c>
      <c r="I414" s="1" t="s">
        <v>16</v>
      </c>
      <c r="J414" s="1" t="s">
        <v>16</v>
      </c>
      <c r="K414" s="1" t="s">
        <v>17</v>
      </c>
      <c r="L414" s="1" t="s">
        <v>17</v>
      </c>
      <c r="M414" s="1" t="s">
        <v>17</v>
      </c>
      <c r="N414" s="27" t="s">
        <v>605</v>
      </c>
      <c r="O414" s="1" t="s">
        <v>16</v>
      </c>
    </row>
    <row r="415" spans="1:15" x14ac:dyDescent="0.2">
      <c r="A415" s="9">
        <v>44720</v>
      </c>
      <c r="B415" s="1" t="s">
        <v>15</v>
      </c>
      <c r="C415" s="1">
        <v>6</v>
      </c>
      <c r="D415" s="1">
        <v>2</v>
      </c>
      <c r="E415" s="14">
        <v>68.260000000000005</v>
      </c>
      <c r="F415" s="1" t="s">
        <v>18</v>
      </c>
      <c r="G415" s="1">
        <v>2</v>
      </c>
      <c r="H415" s="1" t="s">
        <v>16</v>
      </c>
      <c r="I415" s="1" t="s">
        <v>16</v>
      </c>
      <c r="J415" s="1" t="s">
        <v>16</v>
      </c>
      <c r="K415" s="1" t="s">
        <v>17</v>
      </c>
      <c r="L415" s="1" t="s">
        <v>17</v>
      </c>
      <c r="M415" s="1" t="s">
        <v>17</v>
      </c>
      <c r="N415" s="27" t="s">
        <v>605</v>
      </c>
      <c r="O415" s="1" t="s">
        <v>16</v>
      </c>
    </row>
    <row r="416" spans="1:15" x14ac:dyDescent="0.2">
      <c r="A416" s="9">
        <v>44720</v>
      </c>
      <c r="B416" s="1" t="s">
        <v>15</v>
      </c>
      <c r="C416" s="1">
        <v>7</v>
      </c>
      <c r="D416" s="1">
        <v>2</v>
      </c>
      <c r="E416" s="14">
        <v>52.14</v>
      </c>
      <c r="F416" s="1" t="s">
        <v>19</v>
      </c>
      <c r="G416" s="1">
        <v>2</v>
      </c>
      <c r="H416" s="1" t="s">
        <v>16</v>
      </c>
      <c r="I416" s="1" t="s">
        <v>16</v>
      </c>
      <c r="J416" s="1" t="s">
        <v>16</v>
      </c>
      <c r="K416" s="1" t="s">
        <v>17</v>
      </c>
      <c r="L416" s="1" t="s">
        <v>17</v>
      </c>
      <c r="M416" s="1" t="s">
        <v>17</v>
      </c>
      <c r="N416" s="27" t="s">
        <v>605</v>
      </c>
      <c r="O416" s="1" t="s">
        <v>16</v>
      </c>
    </row>
    <row r="417" spans="1:15" x14ac:dyDescent="0.2">
      <c r="A417" s="9">
        <v>44720</v>
      </c>
      <c r="B417" s="1" t="s">
        <v>15</v>
      </c>
      <c r="C417" s="1">
        <v>8</v>
      </c>
      <c r="D417" s="1">
        <v>2</v>
      </c>
      <c r="E417" s="14">
        <v>50.88</v>
      </c>
      <c r="F417" s="1" t="s">
        <v>19</v>
      </c>
      <c r="G417" s="1">
        <v>2</v>
      </c>
      <c r="H417" s="1" t="s">
        <v>16</v>
      </c>
      <c r="I417" s="1" t="s">
        <v>16</v>
      </c>
      <c r="J417" s="1" t="s">
        <v>16</v>
      </c>
      <c r="K417" s="1" t="s">
        <v>17</v>
      </c>
      <c r="L417" s="1" t="s">
        <v>17</v>
      </c>
      <c r="M417" s="1" t="s">
        <v>17</v>
      </c>
      <c r="N417" s="27" t="s">
        <v>605</v>
      </c>
      <c r="O417" s="1" t="s">
        <v>16</v>
      </c>
    </row>
    <row r="418" spans="1:15" x14ac:dyDescent="0.2">
      <c r="A418" s="9">
        <v>44720</v>
      </c>
      <c r="B418" s="1" t="s">
        <v>15</v>
      </c>
      <c r="C418" s="1">
        <v>9</v>
      </c>
      <c r="D418" s="1">
        <v>2</v>
      </c>
      <c r="E418" s="14">
        <v>56.13</v>
      </c>
      <c r="F418" s="1" t="s">
        <v>18</v>
      </c>
      <c r="G418" s="1">
        <v>2</v>
      </c>
      <c r="H418" s="1" t="s">
        <v>16</v>
      </c>
      <c r="I418" s="1" t="s">
        <v>16</v>
      </c>
      <c r="J418" s="1" t="s">
        <v>16</v>
      </c>
      <c r="K418" s="1" t="s">
        <v>17</v>
      </c>
      <c r="L418" s="1" t="s">
        <v>17</v>
      </c>
      <c r="M418" s="1" t="s">
        <v>17</v>
      </c>
      <c r="N418" s="27" t="s">
        <v>605</v>
      </c>
      <c r="O418" s="1" t="s">
        <v>16</v>
      </c>
    </row>
    <row r="419" spans="1:15" x14ac:dyDescent="0.2">
      <c r="A419" s="9">
        <v>44720</v>
      </c>
      <c r="B419" s="1" t="s">
        <v>15</v>
      </c>
      <c r="C419" s="1">
        <v>10</v>
      </c>
      <c r="D419" s="1">
        <v>2</v>
      </c>
      <c r="E419" s="14">
        <v>48.03</v>
      </c>
      <c r="F419" s="1" t="s">
        <v>18</v>
      </c>
      <c r="G419" s="1">
        <v>2</v>
      </c>
      <c r="H419" s="1" t="s">
        <v>16</v>
      </c>
      <c r="I419" s="1" t="s">
        <v>16</v>
      </c>
      <c r="J419" s="1" t="s">
        <v>16</v>
      </c>
      <c r="K419" s="1" t="s">
        <v>17</v>
      </c>
      <c r="L419" s="1" t="s">
        <v>17</v>
      </c>
      <c r="M419" s="1" t="s">
        <v>17</v>
      </c>
      <c r="N419" s="27" t="s">
        <v>605</v>
      </c>
      <c r="O419" s="1" t="s">
        <v>16</v>
      </c>
    </row>
    <row r="420" spans="1:15" x14ac:dyDescent="0.2">
      <c r="A420" s="9">
        <v>44720</v>
      </c>
      <c r="B420" s="1" t="s">
        <v>15</v>
      </c>
      <c r="C420" s="1">
        <v>11</v>
      </c>
      <c r="D420" s="1">
        <v>3</v>
      </c>
      <c r="E420" s="14">
        <v>61.55</v>
      </c>
      <c r="F420" s="1" t="s">
        <v>18</v>
      </c>
      <c r="G420" s="1">
        <v>2</v>
      </c>
      <c r="H420" s="1" t="s">
        <v>16</v>
      </c>
      <c r="I420" s="1" t="s">
        <v>16</v>
      </c>
      <c r="J420" s="1" t="s">
        <v>16</v>
      </c>
      <c r="K420" s="1" t="s">
        <v>17</v>
      </c>
      <c r="L420" s="1" t="s">
        <v>17</v>
      </c>
      <c r="M420" s="1" t="s">
        <v>17</v>
      </c>
      <c r="N420" s="27" t="s">
        <v>605</v>
      </c>
      <c r="O420" s="1" t="s">
        <v>16</v>
      </c>
    </row>
    <row r="421" spans="1:15" x14ac:dyDescent="0.2">
      <c r="A421" s="9">
        <v>44720</v>
      </c>
      <c r="B421" s="1" t="s">
        <v>15</v>
      </c>
      <c r="C421" s="1">
        <v>12</v>
      </c>
      <c r="D421" s="1">
        <v>3</v>
      </c>
      <c r="E421" s="14">
        <v>42.89</v>
      </c>
      <c r="F421" s="1" t="s">
        <v>18</v>
      </c>
      <c r="G421" s="1">
        <v>2</v>
      </c>
      <c r="H421" s="1" t="s">
        <v>16</v>
      </c>
      <c r="I421" s="1" t="s">
        <v>16</v>
      </c>
      <c r="J421" s="1" t="s">
        <v>16</v>
      </c>
      <c r="K421" s="1" t="s">
        <v>17</v>
      </c>
      <c r="L421" s="1" t="s">
        <v>17</v>
      </c>
      <c r="M421" s="1" t="s">
        <v>17</v>
      </c>
      <c r="N421" s="27" t="s">
        <v>605</v>
      </c>
      <c r="O421" s="1" t="s">
        <v>16</v>
      </c>
    </row>
    <row r="422" spans="1:15" x14ac:dyDescent="0.2">
      <c r="A422" s="9">
        <v>44720</v>
      </c>
      <c r="B422" s="1" t="s">
        <v>15</v>
      </c>
      <c r="C422" s="1">
        <v>13</v>
      </c>
      <c r="D422" s="1">
        <v>3</v>
      </c>
      <c r="E422" s="14">
        <v>38.409999999999997</v>
      </c>
      <c r="F422" s="1" t="s">
        <v>18</v>
      </c>
      <c r="G422" s="1">
        <v>2</v>
      </c>
      <c r="H422" s="1" t="s">
        <v>16</v>
      </c>
      <c r="I422" s="1" t="s">
        <v>16</v>
      </c>
      <c r="J422" s="1" t="s">
        <v>16</v>
      </c>
      <c r="K422" s="1" t="s">
        <v>17</v>
      </c>
      <c r="L422" s="1" t="s">
        <v>17</v>
      </c>
      <c r="M422" s="1" t="s">
        <v>17</v>
      </c>
      <c r="N422" s="27" t="s">
        <v>605</v>
      </c>
      <c r="O422" s="1" t="s">
        <v>16</v>
      </c>
    </row>
    <row r="423" spans="1:15" x14ac:dyDescent="0.2">
      <c r="A423" s="9">
        <v>44720</v>
      </c>
      <c r="B423" s="1" t="s">
        <v>15</v>
      </c>
      <c r="C423" s="1">
        <v>14</v>
      </c>
      <c r="D423" s="1">
        <v>3</v>
      </c>
      <c r="E423" s="14">
        <v>45.84</v>
      </c>
      <c r="F423" s="1" t="s">
        <v>19</v>
      </c>
      <c r="G423" s="1">
        <v>2</v>
      </c>
      <c r="H423" s="1" t="s">
        <v>16</v>
      </c>
      <c r="I423" s="1" t="s">
        <v>16</v>
      </c>
      <c r="J423" s="1" t="s">
        <v>16</v>
      </c>
      <c r="K423" s="1" t="s">
        <v>17</v>
      </c>
      <c r="L423" s="1" t="s">
        <v>17</v>
      </c>
      <c r="M423" s="1" t="s">
        <v>17</v>
      </c>
      <c r="N423" s="27" t="s">
        <v>605</v>
      </c>
      <c r="O423" s="1" t="s">
        <v>16</v>
      </c>
    </row>
    <row r="424" spans="1:15" x14ac:dyDescent="0.2">
      <c r="A424" s="9">
        <v>44720</v>
      </c>
      <c r="B424" s="1" t="s">
        <v>15</v>
      </c>
      <c r="C424" s="1">
        <v>15</v>
      </c>
      <c r="D424" s="1">
        <v>3</v>
      </c>
      <c r="E424" s="14">
        <v>35.590000000000003</v>
      </c>
      <c r="F424" s="1" t="s">
        <v>19</v>
      </c>
      <c r="G424" s="1">
        <v>2</v>
      </c>
      <c r="H424" s="1" t="s">
        <v>16</v>
      </c>
      <c r="I424" s="1" t="s">
        <v>16</v>
      </c>
      <c r="J424" s="1" t="s">
        <v>16</v>
      </c>
      <c r="K424" s="1" t="s">
        <v>17</v>
      </c>
      <c r="L424" s="1" t="s">
        <v>17</v>
      </c>
      <c r="M424" s="1" t="s">
        <v>17</v>
      </c>
      <c r="N424" s="27" t="s">
        <v>605</v>
      </c>
      <c r="O424" s="1" t="s">
        <v>16</v>
      </c>
    </row>
    <row r="425" spans="1:15" x14ac:dyDescent="0.2">
      <c r="A425" s="9">
        <v>44747</v>
      </c>
      <c r="B425" s="1" t="s">
        <v>15</v>
      </c>
      <c r="C425" s="1">
        <v>1</v>
      </c>
      <c r="D425" s="1">
        <v>1</v>
      </c>
      <c r="E425" s="14">
        <v>49.78</v>
      </c>
      <c r="F425" s="1" t="s">
        <v>18</v>
      </c>
      <c r="G425" s="1">
        <v>2</v>
      </c>
      <c r="H425" s="1" t="s">
        <v>16</v>
      </c>
      <c r="I425" s="1" t="s">
        <v>16</v>
      </c>
      <c r="J425" s="1" t="s">
        <v>16</v>
      </c>
      <c r="K425" s="1" t="s">
        <v>17</v>
      </c>
      <c r="L425" s="1" t="s">
        <v>17</v>
      </c>
      <c r="M425" s="1" t="s">
        <v>17</v>
      </c>
      <c r="N425" s="27" t="s">
        <v>605</v>
      </c>
      <c r="O425" s="1" t="s">
        <v>16</v>
      </c>
    </row>
    <row r="426" spans="1:15" x14ac:dyDescent="0.2">
      <c r="A426" s="9">
        <v>44747</v>
      </c>
      <c r="B426" s="1" t="s">
        <v>15</v>
      </c>
      <c r="C426" s="1">
        <v>2</v>
      </c>
      <c r="D426" s="1">
        <v>1</v>
      </c>
      <c r="E426" s="14">
        <v>48.7</v>
      </c>
      <c r="F426" s="1" t="s">
        <v>19</v>
      </c>
      <c r="G426" s="1">
        <v>2</v>
      </c>
      <c r="H426" s="1" t="s">
        <v>16</v>
      </c>
      <c r="I426" s="1" t="s">
        <v>16</v>
      </c>
      <c r="J426" s="1" t="s">
        <v>16</v>
      </c>
      <c r="K426" s="1" t="s">
        <v>17</v>
      </c>
      <c r="L426" s="1" t="s">
        <v>17</v>
      </c>
      <c r="M426" s="1" t="s">
        <v>17</v>
      </c>
      <c r="N426" s="27" t="s">
        <v>605</v>
      </c>
      <c r="O426" s="1" t="s">
        <v>16</v>
      </c>
    </row>
    <row r="427" spans="1:15" x14ac:dyDescent="0.2">
      <c r="A427" s="9">
        <v>44747</v>
      </c>
      <c r="B427" s="1" t="s">
        <v>15</v>
      </c>
      <c r="C427" s="1">
        <v>3</v>
      </c>
      <c r="D427" s="1">
        <v>1</v>
      </c>
      <c r="E427" s="14">
        <v>52.16</v>
      </c>
      <c r="F427" s="1" t="s">
        <v>18</v>
      </c>
      <c r="G427" s="1">
        <v>2</v>
      </c>
      <c r="H427" s="1" t="s">
        <v>16</v>
      </c>
      <c r="I427" s="1" t="s">
        <v>16</v>
      </c>
      <c r="J427" s="1" t="s">
        <v>16</v>
      </c>
      <c r="K427" s="1" t="s">
        <v>17</v>
      </c>
      <c r="L427" s="1" t="s">
        <v>17</v>
      </c>
      <c r="M427" s="1" t="s">
        <v>17</v>
      </c>
      <c r="N427" s="27" t="s">
        <v>605</v>
      </c>
      <c r="O427" s="1" t="s">
        <v>16</v>
      </c>
    </row>
    <row r="428" spans="1:15" x14ac:dyDescent="0.2">
      <c r="A428" s="9">
        <v>44747</v>
      </c>
      <c r="B428" s="1" t="s">
        <v>15</v>
      </c>
      <c r="C428" s="1">
        <v>4</v>
      </c>
      <c r="D428" s="1">
        <v>1</v>
      </c>
      <c r="E428" s="14">
        <v>42.75</v>
      </c>
      <c r="F428" s="1" t="s">
        <v>18</v>
      </c>
      <c r="G428" s="1">
        <v>2</v>
      </c>
      <c r="H428" s="1" t="s">
        <v>16</v>
      </c>
      <c r="I428" s="1" t="s">
        <v>16</v>
      </c>
      <c r="J428" s="1" t="s">
        <v>16</v>
      </c>
      <c r="K428" s="1" t="s">
        <v>17</v>
      </c>
      <c r="L428" s="1" t="s">
        <v>17</v>
      </c>
      <c r="M428" s="1" t="s">
        <v>17</v>
      </c>
      <c r="N428" s="27" t="s">
        <v>605</v>
      </c>
      <c r="O428" s="1" t="s">
        <v>16</v>
      </c>
    </row>
    <row r="429" spans="1:15" x14ac:dyDescent="0.2">
      <c r="A429" s="9">
        <v>44747</v>
      </c>
      <c r="B429" s="1" t="s">
        <v>15</v>
      </c>
      <c r="C429" s="1">
        <v>5</v>
      </c>
      <c r="D429" s="1">
        <v>1</v>
      </c>
      <c r="E429" s="14">
        <v>49.77</v>
      </c>
      <c r="F429" s="1" t="s">
        <v>18</v>
      </c>
      <c r="G429" s="1">
        <v>2</v>
      </c>
      <c r="H429" s="1" t="s">
        <v>16</v>
      </c>
      <c r="I429" s="1" t="s">
        <v>16</v>
      </c>
      <c r="J429" s="1" t="s">
        <v>16</v>
      </c>
      <c r="K429" s="1" t="s">
        <v>17</v>
      </c>
      <c r="L429" s="1" t="s">
        <v>17</v>
      </c>
      <c r="M429" s="1" t="s">
        <v>17</v>
      </c>
      <c r="N429" s="27" t="s">
        <v>605</v>
      </c>
      <c r="O429" s="1" t="s">
        <v>16</v>
      </c>
    </row>
    <row r="430" spans="1:15" x14ac:dyDescent="0.2">
      <c r="A430" s="9">
        <v>44747</v>
      </c>
      <c r="B430" s="1" t="s">
        <v>15</v>
      </c>
      <c r="C430" s="1">
        <v>6</v>
      </c>
      <c r="D430" s="1">
        <v>2</v>
      </c>
      <c r="E430" s="14">
        <v>67.27</v>
      </c>
      <c r="F430" s="1" t="s">
        <v>18</v>
      </c>
      <c r="G430" s="1">
        <v>2</v>
      </c>
      <c r="H430" s="1" t="s">
        <v>16</v>
      </c>
      <c r="I430" s="1" t="s">
        <v>16</v>
      </c>
      <c r="J430" s="1" t="s">
        <v>16</v>
      </c>
      <c r="K430" s="1" t="s">
        <v>21</v>
      </c>
      <c r="L430" s="1" t="s">
        <v>17</v>
      </c>
      <c r="M430" s="1" t="s">
        <v>17</v>
      </c>
      <c r="N430" s="27" t="s">
        <v>605</v>
      </c>
      <c r="O430" s="1" t="s">
        <v>16</v>
      </c>
    </row>
    <row r="431" spans="1:15" x14ac:dyDescent="0.2">
      <c r="A431" s="9">
        <v>44747</v>
      </c>
      <c r="B431" s="1" t="s">
        <v>15</v>
      </c>
      <c r="C431" s="1">
        <v>7</v>
      </c>
      <c r="D431" s="1">
        <v>2</v>
      </c>
      <c r="E431" s="14">
        <v>59.72</v>
      </c>
      <c r="F431" s="1" t="s">
        <v>18</v>
      </c>
      <c r="G431" s="1">
        <v>2</v>
      </c>
      <c r="H431" s="1" t="s">
        <v>16</v>
      </c>
      <c r="I431" s="1" t="s">
        <v>16</v>
      </c>
      <c r="J431" s="1" t="s">
        <v>16</v>
      </c>
      <c r="K431" s="1" t="s">
        <v>17</v>
      </c>
      <c r="L431" s="1" t="s">
        <v>17</v>
      </c>
      <c r="M431" s="1" t="s">
        <v>17</v>
      </c>
      <c r="N431" s="27" t="s">
        <v>605</v>
      </c>
      <c r="O431" s="1" t="s">
        <v>16</v>
      </c>
    </row>
    <row r="432" spans="1:15" x14ac:dyDescent="0.2">
      <c r="A432" s="9">
        <v>44747</v>
      </c>
      <c r="B432" s="1" t="s">
        <v>15</v>
      </c>
      <c r="C432" s="1">
        <v>8</v>
      </c>
      <c r="D432" s="1">
        <v>2</v>
      </c>
      <c r="E432" s="14">
        <v>62.49</v>
      </c>
      <c r="F432" s="1" t="s">
        <v>18</v>
      </c>
      <c r="G432" s="1">
        <v>2</v>
      </c>
      <c r="H432" s="1" t="s">
        <v>16</v>
      </c>
      <c r="I432" s="1" t="s">
        <v>16</v>
      </c>
      <c r="J432" s="1" t="s">
        <v>16</v>
      </c>
      <c r="K432" s="1" t="s">
        <v>17</v>
      </c>
      <c r="L432" s="1" t="s">
        <v>17</v>
      </c>
      <c r="M432" s="1" t="s">
        <v>17</v>
      </c>
      <c r="N432" s="27" t="s">
        <v>605</v>
      </c>
      <c r="O432" s="1" t="s">
        <v>16</v>
      </c>
    </row>
    <row r="433" spans="1:15" x14ac:dyDescent="0.2">
      <c r="A433" s="9">
        <v>44747</v>
      </c>
      <c r="B433" s="1" t="s">
        <v>15</v>
      </c>
      <c r="C433" s="1">
        <v>9</v>
      </c>
      <c r="D433" s="1">
        <v>2</v>
      </c>
      <c r="E433" s="14">
        <v>49.38</v>
      </c>
      <c r="F433" s="1" t="s">
        <v>19</v>
      </c>
      <c r="G433" s="1">
        <v>2</v>
      </c>
      <c r="H433" s="1" t="s">
        <v>16</v>
      </c>
      <c r="I433" s="1" t="s">
        <v>16</v>
      </c>
      <c r="J433" s="1" t="s">
        <v>16</v>
      </c>
      <c r="K433" s="1" t="s">
        <v>17</v>
      </c>
      <c r="L433" s="1" t="s">
        <v>17</v>
      </c>
      <c r="M433" s="1" t="s">
        <v>17</v>
      </c>
      <c r="N433" s="27" t="s">
        <v>605</v>
      </c>
      <c r="O433" s="1" t="s">
        <v>16</v>
      </c>
    </row>
    <row r="434" spans="1:15" x14ac:dyDescent="0.2">
      <c r="A434" s="9">
        <v>44747</v>
      </c>
      <c r="B434" s="1" t="s">
        <v>15</v>
      </c>
      <c r="C434" s="1">
        <v>10</v>
      </c>
      <c r="D434" s="1">
        <v>2</v>
      </c>
      <c r="E434" s="14">
        <v>46.26</v>
      </c>
      <c r="F434" s="1" t="s">
        <v>19</v>
      </c>
      <c r="G434" s="1">
        <v>2</v>
      </c>
      <c r="H434" s="1" t="s">
        <v>16</v>
      </c>
      <c r="I434" s="1" t="s">
        <v>16</v>
      </c>
      <c r="J434" s="1" t="s">
        <v>16</v>
      </c>
      <c r="K434" s="1" t="s">
        <v>17</v>
      </c>
      <c r="L434" s="1" t="s">
        <v>17</v>
      </c>
      <c r="M434" s="1" t="s">
        <v>17</v>
      </c>
      <c r="N434" s="27" t="s">
        <v>605</v>
      </c>
      <c r="O434" s="1" t="s">
        <v>16</v>
      </c>
    </row>
    <row r="435" spans="1:15" x14ac:dyDescent="0.2">
      <c r="A435" s="9">
        <v>44747</v>
      </c>
      <c r="B435" s="1" t="s">
        <v>15</v>
      </c>
      <c r="C435" s="1">
        <v>11</v>
      </c>
      <c r="D435" s="1">
        <v>3</v>
      </c>
      <c r="E435" s="14">
        <v>59.96</v>
      </c>
      <c r="F435" s="1" t="s">
        <v>18</v>
      </c>
      <c r="G435" s="1">
        <v>2</v>
      </c>
      <c r="H435" s="1" t="s">
        <v>16</v>
      </c>
      <c r="I435" s="1" t="s">
        <v>16</v>
      </c>
      <c r="J435" s="1" t="s">
        <v>16</v>
      </c>
      <c r="K435" s="1" t="s">
        <v>17</v>
      </c>
      <c r="L435" s="1" t="s">
        <v>17</v>
      </c>
      <c r="M435" s="1" t="s">
        <v>21</v>
      </c>
      <c r="N435" s="27" t="s">
        <v>605</v>
      </c>
      <c r="O435" s="1" t="s">
        <v>16</v>
      </c>
    </row>
    <row r="436" spans="1:15" x14ac:dyDescent="0.2">
      <c r="A436" s="9">
        <v>44747</v>
      </c>
      <c r="B436" s="1" t="s">
        <v>15</v>
      </c>
      <c r="C436" s="1">
        <v>12</v>
      </c>
      <c r="D436" s="1">
        <v>3</v>
      </c>
      <c r="E436" s="14">
        <v>54.43</v>
      </c>
      <c r="F436" s="1" t="s">
        <v>18</v>
      </c>
      <c r="G436" s="1">
        <v>2</v>
      </c>
      <c r="H436" s="1" t="s">
        <v>16</v>
      </c>
      <c r="I436" s="1" t="s">
        <v>16</v>
      </c>
      <c r="J436" s="1" t="s">
        <v>16</v>
      </c>
      <c r="K436" s="1" t="s">
        <v>17</v>
      </c>
      <c r="L436" s="1" t="s">
        <v>17</v>
      </c>
      <c r="M436" s="1" t="s">
        <v>17</v>
      </c>
      <c r="N436" s="27" t="s">
        <v>605</v>
      </c>
      <c r="O436" s="1" t="s">
        <v>16</v>
      </c>
    </row>
    <row r="437" spans="1:15" x14ac:dyDescent="0.2">
      <c r="A437" s="9">
        <v>44747</v>
      </c>
      <c r="B437" s="1" t="s">
        <v>15</v>
      </c>
      <c r="C437" s="1">
        <v>13</v>
      </c>
      <c r="D437" s="1">
        <v>3</v>
      </c>
      <c r="E437" s="14">
        <v>49.59</v>
      </c>
      <c r="F437" s="1" t="s">
        <v>18</v>
      </c>
      <c r="G437" s="1">
        <v>2</v>
      </c>
      <c r="H437" s="1" t="s">
        <v>16</v>
      </c>
      <c r="I437" s="1" t="s">
        <v>16</v>
      </c>
      <c r="J437" s="1" t="s">
        <v>16</v>
      </c>
      <c r="K437" s="1" t="s">
        <v>17</v>
      </c>
      <c r="L437" s="1" t="s">
        <v>17</v>
      </c>
      <c r="M437" s="1" t="s">
        <v>17</v>
      </c>
      <c r="N437" s="27" t="s">
        <v>605</v>
      </c>
      <c r="O437" s="1" t="s">
        <v>16</v>
      </c>
    </row>
    <row r="438" spans="1:15" x14ac:dyDescent="0.2">
      <c r="A438" s="9">
        <v>44747</v>
      </c>
      <c r="B438" s="1" t="s">
        <v>15</v>
      </c>
      <c r="C438" s="1">
        <v>14</v>
      </c>
      <c r="D438" s="1">
        <v>3</v>
      </c>
      <c r="E438" s="14">
        <v>52.5</v>
      </c>
      <c r="F438" s="1" t="s">
        <v>18</v>
      </c>
      <c r="G438" s="1">
        <v>2</v>
      </c>
      <c r="H438" s="1" t="s">
        <v>16</v>
      </c>
      <c r="I438" s="1" t="s">
        <v>16</v>
      </c>
      <c r="J438" s="1" t="s">
        <v>16</v>
      </c>
      <c r="K438" s="1" t="s">
        <v>17</v>
      </c>
      <c r="L438" s="1" t="s">
        <v>17</v>
      </c>
      <c r="M438" s="1" t="s">
        <v>17</v>
      </c>
      <c r="N438" s="27" t="s">
        <v>605</v>
      </c>
      <c r="O438" s="1" t="s">
        <v>16</v>
      </c>
    </row>
    <row r="439" spans="1:15" x14ac:dyDescent="0.2">
      <c r="A439" s="9">
        <v>44747</v>
      </c>
      <c r="B439" s="1" t="s">
        <v>15</v>
      </c>
      <c r="C439" s="1">
        <v>15</v>
      </c>
      <c r="D439" s="1">
        <v>3</v>
      </c>
      <c r="E439" s="14">
        <v>46.7</v>
      </c>
      <c r="F439" s="1" t="s">
        <v>18</v>
      </c>
      <c r="G439" s="1">
        <v>2</v>
      </c>
      <c r="H439" s="1" t="s">
        <v>16</v>
      </c>
      <c r="I439" s="1" t="s">
        <v>16</v>
      </c>
      <c r="J439" s="1" t="s">
        <v>16</v>
      </c>
      <c r="K439" s="1" t="s">
        <v>17</v>
      </c>
      <c r="L439" s="1" t="s">
        <v>17</v>
      </c>
      <c r="M439" s="1" t="s">
        <v>17</v>
      </c>
      <c r="N439" s="27" t="s">
        <v>605</v>
      </c>
      <c r="O439" s="1" t="s">
        <v>16</v>
      </c>
    </row>
    <row r="440" spans="1:15" x14ac:dyDescent="0.2">
      <c r="A440" s="9">
        <v>44775</v>
      </c>
      <c r="B440" s="1" t="s">
        <v>15</v>
      </c>
      <c r="C440" s="1">
        <v>1</v>
      </c>
      <c r="D440" s="1">
        <v>1</v>
      </c>
      <c r="E440" s="14">
        <v>56.77</v>
      </c>
      <c r="F440" s="1" t="s">
        <v>19</v>
      </c>
      <c r="G440" s="1">
        <v>2</v>
      </c>
      <c r="H440" s="1" t="s">
        <v>16</v>
      </c>
      <c r="I440" s="1" t="s">
        <v>16</v>
      </c>
      <c r="J440" s="1" t="s">
        <v>16</v>
      </c>
      <c r="K440" s="1" t="s">
        <v>17</v>
      </c>
      <c r="L440" s="1" t="s">
        <v>17</v>
      </c>
      <c r="M440" s="1" t="s">
        <v>17</v>
      </c>
      <c r="N440" s="27" t="s">
        <v>605</v>
      </c>
      <c r="O440" s="1" t="s">
        <v>16</v>
      </c>
    </row>
    <row r="441" spans="1:15" x14ac:dyDescent="0.2">
      <c r="A441" s="9">
        <v>44775</v>
      </c>
      <c r="B441" s="1" t="s">
        <v>15</v>
      </c>
      <c r="C441" s="1">
        <v>2</v>
      </c>
      <c r="D441" s="1">
        <v>1</v>
      </c>
      <c r="E441" s="14">
        <v>55.35</v>
      </c>
      <c r="F441" s="1" t="s">
        <v>18</v>
      </c>
      <c r="G441" s="1">
        <v>2</v>
      </c>
      <c r="H441" s="1" t="s">
        <v>16</v>
      </c>
      <c r="I441" s="1" t="s">
        <v>16</v>
      </c>
      <c r="J441" s="1" t="s">
        <v>16</v>
      </c>
      <c r="K441" s="1" t="s">
        <v>17</v>
      </c>
      <c r="L441" s="1" t="s">
        <v>17</v>
      </c>
      <c r="M441" s="1" t="s">
        <v>17</v>
      </c>
      <c r="N441" s="27" t="s">
        <v>605</v>
      </c>
      <c r="O441" s="1" t="s">
        <v>16</v>
      </c>
    </row>
    <row r="442" spans="1:15" x14ac:dyDescent="0.2">
      <c r="A442" s="9">
        <v>44775</v>
      </c>
      <c r="B442" s="1" t="s">
        <v>15</v>
      </c>
      <c r="C442" s="1">
        <v>3</v>
      </c>
      <c r="D442" s="1">
        <v>1</v>
      </c>
      <c r="E442" s="14">
        <v>49.22</v>
      </c>
      <c r="F442" s="1" t="s">
        <v>18</v>
      </c>
      <c r="G442" s="1">
        <v>2</v>
      </c>
      <c r="H442" s="1" t="s">
        <v>16</v>
      </c>
      <c r="I442" s="1" t="s">
        <v>16</v>
      </c>
      <c r="J442" s="1" t="s">
        <v>16</v>
      </c>
      <c r="K442" s="1" t="s">
        <v>17</v>
      </c>
      <c r="L442" s="1" t="s">
        <v>17</v>
      </c>
      <c r="M442" s="1" t="s">
        <v>17</v>
      </c>
      <c r="N442" s="27" t="s">
        <v>605</v>
      </c>
      <c r="O442" s="1" t="s">
        <v>16</v>
      </c>
    </row>
    <row r="443" spans="1:15" x14ac:dyDescent="0.2">
      <c r="A443" s="9">
        <v>44775</v>
      </c>
      <c r="B443" s="1" t="s">
        <v>15</v>
      </c>
      <c r="C443" s="1">
        <v>4</v>
      </c>
      <c r="D443" s="1">
        <v>1</v>
      </c>
      <c r="E443" s="14">
        <v>48.57</v>
      </c>
      <c r="F443" s="1" t="s">
        <v>18</v>
      </c>
      <c r="G443" s="1">
        <v>2</v>
      </c>
      <c r="H443" s="1" t="s">
        <v>16</v>
      </c>
      <c r="I443" s="1" t="s">
        <v>16</v>
      </c>
      <c r="J443" s="1" t="s">
        <v>16</v>
      </c>
      <c r="K443" s="1" t="s">
        <v>17</v>
      </c>
      <c r="L443" s="1" t="s">
        <v>17</v>
      </c>
      <c r="M443" s="1" t="s">
        <v>17</v>
      </c>
      <c r="N443" s="27" t="s">
        <v>605</v>
      </c>
      <c r="O443" s="1" t="s">
        <v>16</v>
      </c>
    </row>
    <row r="444" spans="1:15" x14ac:dyDescent="0.2">
      <c r="A444" s="9">
        <v>44775</v>
      </c>
      <c r="B444" s="1" t="s">
        <v>15</v>
      </c>
      <c r="C444" s="1">
        <v>5</v>
      </c>
      <c r="D444" s="1">
        <v>1</v>
      </c>
      <c r="E444" s="14">
        <v>50.89</v>
      </c>
      <c r="F444" s="1" t="s">
        <v>18</v>
      </c>
      <c r="G444" s="1">
        <v>2</v>
      </c>
      <c r="H444" s="1" t="s">
        <v>16</v>
      </c>
      <c r="I444" s="1" t="s">
        <v>16</v>
      </c>
      <c r="J444" s="1" t="s">
        <v>16</v>
      </c>
      <c r="K444" s="1" t="s">
        <v>17</v>
      </c>
      <c r="L444" s="1" t="s">
        <v>17</v>
      </c>
      <c r="M444" s="1" t="s">
        <v>17</v>
      </c>
      <c r="N444" s="27" t="s">
        <v>605</v>
      </c>
      <c r="O444" s="1" t="s">
        <v>16</v>
      </c>
    </row>
    <row r="445" spans="1:15" x14ac:dyDescent="0.2">
      <c r="A445" s="9">
        <v>44775</v>
      </c>
      <c r="B445" s="1" t="s">
        <v>15</v>
      </c>
      <c r="C445" s="1">
        <v>6</v>
      </c>
      <c r="D445" s="1">
        <v>2</v>
      </c>
      <c r="E445" s="14">
        <v>61.27</v>
      </c>
      <c r="F445" s="1" t="s">
        <v>18</v>
      </c>
      <c r="G445" s="1">
        <v>2</v>
      </c>
      <c r="H445" s="1" t="s">
        <v>16</v>
      </c>
      <c r="I445" s="1" t="s">
        <v>16</v>
      </c>
      <c r="J445" s="1" t="s">
        <v>16</v>
      </c>
      <c r="K445" s="1" t="s">
        <v>17</v>
      </c>
      <c r="L445" s="1" t="s">
        <v>17</v>
      </c>
      <c r="M445" s="1" t="s">
        <v>17</v>
      </c>
      <c r="N445" s="27" t="s">
        <v>605</v>
      </c>
      <c r="O445" s="1" t="s">
        <v>16</v>
      </c>
    </row>
    <row r="446" spans="1:15" x14ac:dyDescent="0.2">
      <c r="A446" s="9">
        <v>44775</v>
      </c>
      <c r="B446" s="1" t="s">
        <v>15</v>
      </c>
      <c r="C446" s="1">
        <v>7</v>
      </c>
      <c r="D446" s="1">
        <v>2</v>
      </c>
      <c r="E446" s="14">
        <v>65.33</v>
      </c>
      <c r="F446" s="1" t="s">
        <v>18</v>
      </c>
      <c r="G446" s="1">
        <v>2</v>
      </c>
      <c r="H446" s="1" t="s">
        <v>16</v>
      </c>
      <c r="I446" s="1" t="s">
        <v>16</v>
      </c>
      <c r="J446" s="1" t="s">
        <v>16</v>
      </c>
      <c r="K446" s="1" t="s">
        <v>17</v>
      </c>
      <c r="L446" s="1" t="s">
        <v>17</v>
      </c>
      <c r="M446" s="1" t="s">
        <v>17</v>
      </c>
      <c r="N446" s="27" t="s">
        <v>605</v>
      </c>
      <c r="O446" s="1" t="s">
        <v>16</v>
      </c>
    </row>
    <row r="447" spans="1:15" x14ac:dyDescent="0.2">
      <c r="A447" s="9">
        <v>44775</v>
      </c>
      <c r="B447" s="1" t="s">
        <v>15</v>
      </c>
      <c r="C447" s="1">
        <v>8</v>
      </c>
      <c r="D447" s="1">
        <v>2</v>
      </c>
      <c r="E447" s="14">
        <v>77.45</v>
      </c>
      <c r="F447" s="1" t="s">
        <v>18</v>
      </c>
      <c r="G447" s="1">
        <v>2</v>
      </c>
      <c r="H447" s="1" t="s">
        <v>16</v>
      </c>
      <c r="I447" s="1" t="s">
        <v>16</v>
      </c>
      <c r="J447" s="1" t="s">
        <v>16</v>
      </c>
      <c r="K447" s="1" t="s">
        <v>17</v>
      </c>
      <c r="L447" s="1" t="s">
        <v>17</v>
      </c>
      <c r="M447" s="1" t="s">
        <v>17</v>
      </c>
      <c r="N447" s="27" t="s">
        <v>605</v>
      </c>
      <c r="O447" s="1" t="s">
        <v>16</v>
      </c>
    </row>
    <row r="448" spans="1:15" x14ac:dyDescent="0.2">
      <c r="A448" s="9">
        <v>44775</v>
      </c>
      <c r="B448" s="1" t="s">
        <v>15</v>
      </c>
      <c r="C448" s="1">
        <v>9</v>
      </c>
      <c r="D448" s="1">
        <v>2</v>
      </c>
      <c r="E448" s="14">
        <v>51.19</v>
      </c>
      <c r="F448" s="1" t="s">
        <v>18</v>
      </c>
      <c r="G448" s="1">
        <v>2</v>
      </c>
      <c r="H448" s="1" t="s">
        <v>16</v>
      </c>
      <c r="I448" s="1" t="s">
        <v>16</v>
      </c>
      <c r="J448" s="1" t="s">
        <v>16</v>
      </c>
      <c r="K448" s="1" t="s">
        <v>17</v>
      </c>
      <c r="L448" s="1" t="s">
        <v>17</v>
      </c>
      <c r="M448" s="1" t="s">
        <v>17</v>
      </c>
      <c r="N448" s="27" t="s">
        <v>605</v>
      </c>
      <c r="O448" s="1" t="s">
        <v>16</v>
      </c>
    </row>
    <row r="449" spans="1:15" x14ac:dyDescent="0.2">
      <c r="A449" s="9">
        <v>44775</v>
      </c>
      <c r="B449" s="1" t="s">
        <v>15</v>
      </c>
      <c r="C449" s="1">
        <v>10</v>
      </c>
      <c r="D449" s="1">
        <v>2</v>
      </c>
      <c r="E449" s="14">
        <v>58.03</v>
      </c>
      <c r="F449" s="1" t="s">
        <v>18</v>
      </c>
      <c r="G449" s="1">
        <v>2</v>
      </c>
      <c r="H449" s="1" t="s">
        <v>16</v>
      </c>
      <c r="I449" s="1" t="s">
        <v>16</v>
      </c>
      <c r="J449" s="1" t="s">
        <v>16</v>
      </c>
      <c r="K449" s="1" t="s">
        <v>21</v>
      </c>
      <c r="L449" s="1" t="s">
        <v>17</v>
      </c>
      <c r="M449" s="1" t="s">
        <v>17</v>
      </c>
      <c r="N449" s="27" t="s">
        <v>605</v>
      </c>
      <c r="O449" s="1" t="s">
        <v>16</v>
      </c>
    </row>
    <row r="450" spans="1:15" x14ac:dyDescent="0.2">
      <c r="A450" s="9">
        <v>44775</v>
      </c>
      <c r="B450" s="1" t="s">
        <v>15</v>
      </c>
      <c r="C450" s="1">
        <v>11</v>
      </c>
      <c r="D450" s="1">
        <v>3</v>
      </c>
      <c r="E450" s="14">
        <v>44.69</v>
      </c>
      <c r="F450" s="1" t="s">
        <v>16</v>
      </c>
      <c r="G450" s="1">
        <v>4</v>
      </c>
      <c r="H450" s="1" t="s">
        <v>16</v>
      </c>
      <c r="I450" s="1" t="s">
        <v>16</v>
      </c>
      <c r="J450" s="1" t="s">
        <v>16</v>
      </c>
      <c r="K450" s="1" t="s">
        <v>17</v>
      </c>
      <c r="L450" s="1" t="s">
        <v>17</v>
      </c>
      <c r="M450" s="1" t="s">
        <v>17</v>
      </c>
      <c r="N450" s="27" t="s">
        <v>605</v>
      </c>
      <c r="O450" s="1" t="s">
        <v>16</v>
      </c>
    </row>
    <row r="451" spans="1:15" x14ac:dyDescent="0.2">
      <c r="A451" s="9">
        <v>44775</v>
      </c>
      <c r="B451" s="1" t="s">
        <v>15</v>
      </c>
      <c r="C451" s="1">
        <v>12</v>
      </c>
      <c r="D451" s="1">
        <v>3</v>
      </c>
      <c r="E451" s="14">
        <v>44.41</v>
      </c>
      <c r="F451" s="1" t="s">
        <v>19</v>
      </c>
      <c r="G451" s="1">
        <v>2</v>
      </c>
      <c r="H451" s="1" t="s">
        <v>16</v>
      </c>
      <c r="I451" s="1" t="s">
        <v>16</v>
      </c>
      <c r="J451" s="1" t="s">
        <v>16</v>
      </c>
      <c r="K451" s="1" t="s">
        <v>17</v>
      </c>
      <c r="L451" s="1" t="s">
        <v>17</v>
      </c>
      <c r="M451" s="1" t="s">
        <v>17</v>
      </c>
      <c r="N451" s="27" t="s">
        <v>605</v>
      </c>
      <c r="O451" s="1" t="s">
        <v>16</v>
      </c>
    </row>
    <row r="452" spans="1:15" x14ac:dyDescent="0.2">
      <c r="A452" s="9">
        <v>44775</v>
      </c>
      <c r="B452" s="1" t="s">
        <v>15</v>
      </c>
      <c r="C452" s="1">
        <v>13</v>
      </c>
      <c r="D452" s="1">
        <v>3</v>
      </c>
      <c r="E452" s="14">
        <v>56.71</v>
      </c>
      <c r="F452" s="1" t="s">
        <v>18</v>
      </c>
      <c r="G452" s="1">
        <v>2</v>
      </c>
      <c r="H452" s="1" t="s">
        <v>16</v>
      </c>
      <c r="I452" s="1" t="s">
        <v>16</v>
      </c>
      <c r="J452" s="1" t="s">
        <v>16</v>
      </c>
      <c r="K452" s="1" t="s">
        <v>17</v>
      </c>
      <c r="L452" s="1" t="s">
        <v>17</v>
      </c>
      <c r="M452" s="1" t="s">
        <v>17</v>
      </c>
      <c r="N452" s="27" t="s">
        <v>605</v>
      </c>
      <c r="O452" s="1" t="s">
        <v>16</v>
      </c>
    </row>
    <row r="453" spans="1:15" x14ac:dyDescent="0.2">
      <c r="A453" s="9">
        <v>44775</v>
      </c>
      <c r="B453" s="1" t="s">
        <v>15</v>
      </c>
      <c r="C453" s="1">
        <v>14</v>
      </c>
      <c r="D453" s="1">
        <v>3</v>
      </c>
      <c r="E453" s="14">
        <v>57.06</v>
      </c>
      <c r="F453" s="1" t="s">
        <v>18</v>
      </c>
      <c r="G453" s="1">
        <v>2</v>
      </c>
      <c r="H453" s="1" t="s">
        <v>16</v>
      </c>
      <c r="I453" s="1" t="s">
        <v>16</v>
      </c>
      <c r="J453" s="1" t="s">
        <v>16</v>
      </c>
      <c r="K453" s="1" t="s">
        <v>17</v>
      </c>
      <c r="L453" s="1" t="s">
        <v>17</v>
      </c>
      <c r="M453" s="1" t="s">
        <v>17</v>
      </c>
      <c r="N453" s="27" t="s">
        <v>605</v>
      </c>
      <c r="O453" s="1" t="s">
        <v>16</v>
      </c>
    </row>
    <row r="454" spans="1:15" x14ac:dyDescent="0.2">
      <c r="A454" s="9">
        <v>44775</v>
      </c>
      <c r="B454" s="1" t="s">
        <v>15</v>
      </c>
      <c r="C454" s="1">
        <v>15</v>
      </c>
      <c r="D454" s="1">
        <v>3</v>
      </c>
      <c r="E454" s="14">
        <v>47.51</v>
      </c>
      <c r="F454" s="1" t="s">
        <v>18</v>
      </c>
      <c r="G454" s="1">
        <v>2</v>
      </c>
      <c r="H454" s="1" t="s">
        <v>16</v>
      </c>
      <c r="I454" s="1" t="s">
        <v>16</v>
      </c>
      <c r="J454" s="1" t="s">
        <v>16</v>
      </c>
      <c r="K454" s="1" t="s">
        <v>17</v>
      </c>
      <c r="L454" s="1" t="s">
        <v>17</v>
      </c>
      <c r="M454" s="1" t="s">
        <v>17</v>
      </c>
      <c r="N454" s="27" t="s">
        <v>605</v>
      </c>
      <c r="O454" s="1" t="s">
        <v>16</v>
      </c>
    </row>
    <row r="455" spans="1:15" x14ac:dyDescent="0.2">
      <c r="A455" s="9">
        <v>44811</v>
      </c>
      <c r="B455" s="1" t="s">
        <v>15</v>
      </c>
      <c r="C455" s="1">
        <v>1</v>
      </c>
      <c r="D455" s="1">
        <v>1</v>
      </c>
      <c r="E455" s="14">
        <v>41.69</v>
      </c>
      <c r="F455" s="1" t="s">
        <v>18</v>
      </c>
      <c r="G455" s="1">
        <v>2</v>
      </c>
      <c r="H455" s="1" t="s">
        <v>16</v>
      </c>
      <c r="I455" s="1" t="s">
        <v>16</v>
      </c>
      <c r="J455" s="1" t="s">
        <v>16</v>
      </c>
      <c r="K455" s="1" t="s">
        <v>17</v>
      </c>
      <c r="L455" s="1" t="s">
        <v>17</v>
      </c>
      <c r="M455" s="1" t="s">
        <v>17</v>
      </c>
      <c r="N455" s="27" t="s">
        <v>605</v>
      </c>
      <c r="O455" s="1" t="s">
        <v>16</v>
      </c>
    </row>
    <row r="456" spans="1:15" x14ac:dyDescent="0.2">
      <c r="A456" s="9">
        <v>44811</v>
      </c>
      <c r="B456" s="1" t="s">
        <v>15</v>
      </c>
      <c r="C456" s="1">
        <v>2</v>
      </c>
      <c r="D456" s="1">
        <v>1</v>
      </c>
      <c r="E456" s="14">
        <v>65.900000000000006</v>
      </c>
      <c r="F456" s="1" t="s">
        <v>18</v>
      </c>
      <c r="G456" s="1">
        <v>2</v>
      </c>
      <c r="H456" s="1" t="s">
        <v>16</v>
      </c>
      <c r="I456" s="1" t="s">
        <v>16</v>
      </c>
      <c r="J456" s="1" t="s">
        <v>16</v>
      </c>
      <c r="K456" s="1" t="s">
        <v>17</v>
      </c>
      <c r="L456" s="1" t="s">
        <v>17</v>
      </c>
      <c r="M456" s="1" t="s">
        <v>17</v>
      </c>
      <c r="N456" s="27" t="s">
        <v>605</v>
      </c>
      <c r="O456" s="1" t="s">
        <v>16</v>
      </c>
    </row>
    <row r="457" spans="1:15" x14ac:dyDescent="0.2">
      <c r="A457" s="9">
        <v>44811</v>
      </c>
      <c r="B457" s="1" t="s">
        <v>15</v>
      </c>
      <c r="C457" s="1">
        <v>3</v>
      </c>
      <c r="D457" s="1">
        <v>1</v>
      </c>
      <c r="E457" s="14">
        <v>62.03</v>
      </c>
      <c r="F457" s="1" t="s">
        <v>18</v>
      </c>
      <c r="G457" s="1">
        <v>2</v>
      </c>
      <c r="H457" s="1" t="s">
        <v>16</v>
      </c>
      <c r="I457" s="1" t="s">
        <v>16</v>
      </c>
      <c r="J457" s="1" t="s">
        <v>16</v>
      </c>
      <c r="K457" s="1" t="s">
        <v>17</v>
      </c>
      <c r="L457" s="1" t="s">
        <v>17</v>
      </c>
      <c r="M457" s="1" t="s">
        <v>17</v>
      </c>
      <c r="N457" s="27" t="s">
        <v>605</v>
      </c>
      <c r="O457" s="1" t="s">
        <v>16</v>
      </c>
    </row>
    <row r="458" spans="1:15" x14ac:dyDescent="0.2">
      <c r="A458" s="9">
        <v>44811</v>
      </c>
      <c r="B458" s="1" t="s">
        <v>15</v>
      </c>
      <c r="C458" s="1">
        <v>4</v>
      </c>
      <c r="D458" s="1">
        <v>1</v>
      </c>
      <c r="E458" s="14">
        <v>31.37</v>
      </c>
      <c r="F458" s="1" t="s">
        <v>19</v>
      </c>
      <c r="G458" s="1">
        <v>2</v>
      </c>
      <c r="H458" s="1" t="s">
        <v>16</v>
      </c>
      <c r="I458" s="1" t="s">
        <v>16</v>
      </c>
      <c r="J458" s="1" t="s">
        <v>16</v>
      </c>
      <c r="K458" s="1" t="s">
        <v>17</v>
      </c>
      <c r="L458" s="1" t="s">
        <v>17</v>
      </c>
      <c r="M458" s="1" t="s">
        <v>17</v>
      </c>
      <c r="N458" s="27" t="s">
        <v>605</v>
      </c>
      <c r="O458" s="1" t="s">
        <v>16</v>
      </c>
    </row>
    <row r="459" spans="1:15" x14ac:dyDescent="0.2">
      <c r="A459" s="9">
        <v>44811</v>
      </c>
      <c r="B459" s="1" t="s">
        <v>15</v>
      </c>
      <c r="C459" s="1">
        <v>5</v>
      </c>
      <c r="D459" s="1">
        <v>1</v>
      </c>
      <c r="E459" s="14">
        <v>56.53</v>
      </c>
      <c r="F459" s="1" t="s">
        <v>18</v>
      </c>
      <c r="G459" s="1">
        <v>2</v>
      </c>
      <c r="H459" s="1" t="s">
        <v>16</v>
      </c>
      <c r="I459" s="1" t="s">
        <v>16</v>
      </c>
      <c r="J459" s="1" t="s">
        <v>16</v>
      </c>
      <c r="K459" s="1" t="s">
        <v>21</v>
      </c>
      <c r="L459" s="1" t="s">
        <v>17</v>
      </c>
      <c r="M459" s="1" t="s">
        <v>17</v>
      </c>
      <c r="N459" s="27" t="s">
        <v>605</v>
      </c>
      <c r="O459" s="1" t="s">
        <v>16</v>
      </c>
    </row>
    <row r="460" spans="1:15" x14ac:dyDescent="0.2">
      <c r="A460" s="9">
        <v>44811</v>
      </c>
      <c r="B460" s="1" t="s">
        <v>15</v>
      </c>
      <c r="C460" s="1">
        <v>6</v>
      </c>
      <c r="D460" s="1">
        <v>2</v>
      </c>
      <c r="E460" s="14">
        <v>55.58</v>
      </c>
      <c r="F460" s="1" t="s">
        <v>18</v>
      </c>
      <c r="G460" s="1">
        <v>2</v>
      </c>
      <c r="H460" s="1" t="s">
        <v>16</v>
      </c>
      <c r="I460" s="1" t="s">
        <v>16</v>
      </c>
      <c r="J460" s="1" t="s">
        <v>16</v>
      </c>
      <c r="K460" s="1" t="s">
        <v>17</v>
      </c>
      <c r="L460" s="1" t="s">
        <v>17</v>
      </c>
      <c r="M460" s="1" t="s">
        <v>17</v>
      </c>
      <c r="N460" s="27" t="s">
        <v>605</v>
      </c>
      <c r="O460" s="1" t="s">
        <v>16</v>
      </c>
    </row>
    <row r="461" spans="1:15" x14ac:dyDescent="0.2">
      <c r="A461" s="9">
        <v>44811</v>
      </c>
      <c r="B461" s="1" t="s">
        <v>15</v>
      </c>
      <c r="C461" s="1">
        <v>7</v>
      </c>
      <c r="D461" s="1">
        <v>2</v>
      </c>
      <c r="E461" s="14">
        <v>40.65</v>
      </c>
      <c r="F461" s="1" t="s">
        <v>18</v>
      </c>
      <c r="G461" s="1">
        <v>2</v>
      </c>
      <c r="H461" s="1" t="s">
        <v>16</v>
      </c>
      <c r="I461" s="1" t="s">
        <v>16</v>
      </c>
      <c r="J461" s="1" t="s">
        <v>16</v>
      </c>
      <c r="K461" s="1" t="s">
        <v>17</v>
      </c>
      <c r="L461" s="1" t="s">
        <v>17</v>
      </c>
      <c r="M461" s="1" t="s">
        <v>17</v>
      </c>
      <c r="N461" s="27" t="s">
        <v>605</v>
      </c>
      <c r="O461" s="1" t="s">
        <v>16</v>
      </c>
    </row>
    <row r="462" spans="1:15" x14ac:dyDescent="0.2">
      <c r="A462" s="9">
        <v>44811</v>
      </c>
      <c r="B462" s="1" t="s">
        <v>15</v>
      </c>
      <c r="C462" s="1">
        <v>8</v>
      </c>
      <c r="D462" s="1">
        <v>2</v>
      </c>
      <c r="E462" s="14">
        <v>32.44</v>
      </c>
      <c r="F462" s="1" t="s">
        <v>18</v>
      </c>
      <c r="G462" s="1">
        <v>2</v>
      </c>
      <c r="H462" s="1" t="s">
        <v>16</v>
      </c>
      <c r="I462" s="1" t="s">
        <v>16</v>
      </c>
      <c r="J462" s="1" t="s">
        <v>16</v>
      </c>
      <c r="K462" s="1" t="s">
        <v>17</v>
      </c>
      <c r="L462" s="1" t="s">
        <v>17</v>
      </c>
      <c r="M462" s="1" t="s">
        <v>17</v>
      </c>
      <c r="N462" s="27" t="s">
        <v>605</v>
      </c>
      <c r="O462" s="1" t="s">
        <v>16</v>
      </c>
    </row>
    <row r="463" spans="1:15" x14ac:dyDescent="0.2">
      <c r="A463" s="9">
        <v>44811</v>
      </c>
      <c r="B463" s="1" t="s">
        <v>15</v>
      </c>
      <c r="C463" s="1">
        <v>9</v>
      </c>
      <c r="D463" s="1">
        <v>2</v>
      </c>
      <c r="E463" s="14">
        <v>50.84</v>
      </c>
      <c r="F463" s="1" t="s">
        <v>19</v>
      </c>
      <c r="G463" s="1">
        <v>3</v>
      </c>
      <c r="H463" s="1" t="s">
        <v>16</v>
      </c>
      <c r="I463" s="1" t="s">
        <v>16</v>
      </c>
      <c r="J463" s="1" t="s">
        <v>16</v>
      </c>
      <c r="K463" s="1" t="s">
        <v>17</v>
      </c>
      <c r="L463" s="1" t="s">
        <v>17</v>
      </c>
      <c r="M463" s="1" t="s">
        <v>21</v>
      </c>
      <c r="N463" s="27" t="s">
        <v>605</v>
      </c>
      <c r="O463" s="1" t="s">
        <v>16</v>
      </c>
    </row>
    <row r="464" spans="1:15" x14ac:dyDescent="0.2">
      <c r="A464" s="9">
        <v>44811</v>
      </c>
      <c r="B464" s="1" t="s">
        <v>15</v>
      </c>
      <c r="C464" s="1">
        <v>10</v>
      </c>
      <c r="D464" s="1">
        <v>2</v>
      </c>
      <c r="E464" s="14">
        <v>51.08</v>
      </c>
      <c r="F464" s="1" t="s">
        <v>18</v>
      </c>
      <c r="G464" s="1">
        <v>2</v>
      </c>
      <c r="H464" s="1" t="s">
        <v>16</v>
      </c>
      <c r="I464" s="1" t="s">
        <v>16</v>
      </c>
      <c r="J464" s="1" t="s">
        <v>16</v>
      </c>
      <c r="K464" s="1" t="s">
        <v>17</v>
      </c>
      <c r="L464" s="1" t="s">
        <v>17</v>
      </c>
      <c r="M464" s="1" t="s">
        <v>17</v>
      </c>
      <c r="N464" s="27" t="s">
        <v>605</v>
      </c>
      <c r="O464" s="1" t="s">
        <v>16</v>
      </c>
    </row>
    <row r="465" spans="1:15" x14ac:dyDescent="0.2">
      <c r="A465" s="9">
        <v>44811</v>
      </c>
      <c r="B465" s="1" t="s">
        <v>15</v>
      </c>
      <c r="C465" s="1">
        <v>11</v>
      </c>
      <c r="D465" s="1">
        <v>3</v>
      </c>
      <c r="E465" s="14">
        <v>44.69</v>
      </c>
      <c r="F465" s="1" t="s">
        <v>18</v>
      </c>
      <c r="G465" s="1">
        <v>2</v>
      </c>
      <c r="H465" s="1" t="s">
        <v>16</v>
      </c>
      <c r="I465" s="1" t="s">
        <v>16</v>
      </c>
      <c r="J465" s="1" t="s">
        <v>16</v>
      </c>
      <c r="K465" s="1" t="s">
        <v>17</v>
      </c>
      <c r="L465" s="1" t="s">
        <v>17</v>
      </c>
      <c r="M465" s="1" t="s">
        <v>17</v>
      </c>
      <c r="N465" s="27" t="s">
        <v>605</v>
      </c>
      <c r="O465" s="1" t="s">
        <v>16</v>
      </c>
    </row>
    <row r="466" spans="1:15" x14ac:dyDescent="0.2">
      <c r="A466" s="9">
        <v>44811</v>
      </c>
      <c r="B466" s="1" t="s">
        <v>15</v>
      </c>
      <c r="C466" s="1">
        <v>12</v>
      </c>
      <c r="D466" s="1">
        <v>3</v>
      </c>
      <c r="E466" s="14">
        <v>40.479999999999997</v>
      </c>
      <c r="F466" s="1" t="s">
        <v>18</v>
      </c>
      <c r="G466" s="1">
        <v>2</v>
      </c>
      <c r="H466" s="1" t="s">
        <v>16</v>
      </c>
      <c r="I466" s="1" t="s">
        <v>16</v>
      </c>
      <c r="J466" s="1" t="s">
        <v>16</v>
      </c>
      <c r="K466" s="1" t="s">
        <v>17</v>
      </c>
      <c r="L466" s="1" t="s">
        <v>17</v>
      </c>
      <c r="M466" s="1" t="s">
        <v>17</v>
      </c>
      <c r="N466" s="27" t="s">
        <v>605</v>
      </c>
      <c r="O466" s="1" t="s">
        <v>16</v>
      </c>
    </row>
    <row r="467" spans="1:15" x14ac:dyDescent="0.2">
      <c r="A467" s="9">
        <v>44811</v>
      </c>
      <c r="B467" s="1" t="s">
        <v>15</v>
      </c>
      <c r="C467" s="1">
        <v>13</v>
      </c>
      <c r="D467" s="1">
        <v>3</v>
      </c>
      <c r="E467" s="14">
        <v>59.02</v>
      </c>
      <c r="F467" s="1" t="s">
        <v>18</v>
      </c>
      <c r="G467" s="1">
        <v>2</v>
      </c>
      <c r="H467" s="1" t="s">
        <v>16</v>
      </c>
      <c r="I467" s="1" t="s">
        <v>16</v>
      </c>
      <c r="J467" s="1" t="s">
        <v>16</v>
      </c>
      <c r="K467" s="1" t="s">
        <v>17</v>
      </c>
      <c r="L467" s="1" t="s">
        <v>17</v>
      </c>
      <c r="M467" s="1" t="s">
        <v>17</v>
      </c>
      <c r="N467" s="27" t="s">
        <v>605</v>
      </c>
      <c r="O467" s="1" t="s">
        <v>16</v>
      </c>
    </row>
    <row r="468" spans="1:15" x14ac:dyDescent="0.2">
      <c r="A468" s="9">
        <v>44811</v>
      </c>
      <c r="B468" s="1" t="s">
        <v>15</v>
      </c>
      <c r="C468" s="1">
        <v>14</v>
      </c>
      <c r="D468" s="1">
        <v>3</v>
      </c>
      <c r="E468" s="14">
        <v>55.46</v>
      </c>
      <c r="F468" s="1" t="s">
        <v>18</v>
      </c>
      <c r="G468" s="1">
        <v>2</v>
      </c>
      <c r="H468" s="1" t="s">
        <v>16</v>
      </c>
      <c r="I468" s="1" t="s">
        <v>16</v>
      </c>
      <c r="J468" s="1" t="s">
        <v>16</v>
      </c>
      <c r="K468" s="1" t="s">
        <v>17</v>
      </c>
      <c r="L468" s="1" t="s">
        <v>17</v>
      </c>
      <c r="M468" s="1" t="s">
        <v>17</v>
      </c>
      <c r="N468" s="27" t="s">
        <v>605</v>
      </c>
      <c r="O468" s="1" t="s">
        <v>16</v>
      </c>
    </row>
    <row r="469" spans="1:15" x14ac:dyDescent="0.2">
      <c r="A469" s="9">
        <v>44811</v>
      </c>
      <c r="B469" s="1" t="s">
        <v>15</v>
      </c>
      <c r="C469" s="1">
        <v>15</v>
      </c>
      <c r="D469" s="1">
        <v>3</v>
      </c>
      <c r="E469" s="14">
        <v>54.24</v>
      </c>
      <c r="F469" s="1" t="s">
        <v>18</v>
      </c>
      <c r="G469" s="1">
        <v>2</v>
      </c>
      <c r="H469" s="1" t="s">
        <v>16</v>
      </c>
      <c r="I469" s="1" t="s">
        <v>16</v>
      </c>
      <c r="J469" s="1" t="s">
        <v>16</v>
      </c>
      <c r="K469" s="1" t="s">
        <v>17</v>
      </c>
      <c r="L469" s="1" t="s">
        <v>17</v>
      </c>
      <c r="M469" s="1" t="s">
        <v>17</v>
      </c>
      <c r="N469" s="27" t="s">
        <v>605</v>
      </c>
      <c r="O469" s="1" t="s">
        <v>16</v>
      </c>
    </row>
    <row r="470" spans="1:15" x14ac:dyDescent="0.2">
      <c r="A470" s="9">
        <v>44844</v>
      </c>
      <c r="B470" s="1" t="s">
        <v>15</v>
      </c>
      <c r="C470" s="1">
        <v>1</v>
      </c>
      <c r="D470" s="1">
        <v>1</v>
      </c>
      <c r="E470" s="14">
        <v>50.16</v>
      </c>
      <c r="F470" s="1" t="s">
        <v>18</v>
      </c>
      <c r="G470" s="1">
        <v>3</v>
      </c>
      <c r="H470" s="1" t="s">
        <v>16</v>
      </c>
      <c r="I470" s="1" t="s">
        <v>16</v>
      </c>
      <c r="J470" s="1" t="s">
        <v>16</v>
      </c>
      <c r="K470" s="1" t="s">
        <v>17</v>
      </c>
      <c r="L470" s="1" t="s">
        <v>17</v>
      </c>
      <c r="M470" s="1" t="s">
        <v>17</v>
      </c>
      <c r="N470" s="27" t="s">
        <v>605</v>
      </c>
      <c r="O470" s="1" t="s">
        <v>16</v>
      </c>
    </row>
    <row r="471" spans="1:15" x14ac:dyDescent="0.2">
      <c r="A471" s="9">
        <v>44844</v>
      </c>
      <c r="B471" s="1" t="s">
        <v>15</v>
      </c>
      <c r="C471" s="1">
        <v>2</v>
      </c>
      <c r="D471" s="1">
        <v>1</v>
      </c>
      <c r="E471" s="14">
        <v>48.7</v>
      </c>
      <c r="F471" s="1" t="s">
        <v>19</v>
      </c>
      <c r="G471" s="1">
        <v>2</v>
      </c>
      <c r="H471" s="1" t="s">
        <v>16</v>
      </c>
      <c r="I471" s="1" t="s">
        <v>16</v>
      </c>
      <c r="J471" s="1" t="s">
        <v>16</v>
      </c>
      <c r="K471" s="1" t="s">
        <v>17</v>
      </c>
      <c r="L471" s="1" t="s">
        <v>17</v>
      </c>
      <c r="M471" s="1" t="s">
        <v>17</v>
      </c>
      <c r="N471" s="27" t="s">
        <v>605</v>
      </c>
      <c r="O471" s="1" t="s">
        <v>16</v>
      </c>
    </row>
    <row r="472" spans="1:15" x14ac:dyDescent="0.2">
      <c r="A472" s="9">
        <v>44844</v>
      </c>
      <c r="B472" s="1" t="s">
        <v>15</v>
      </c>
      <c r="C472" s="1">
        <v>3</v>
      </c>
      <c r="D472" s="1">
        <v>1</v>
      </c>
      <c r="E472" s="14">
        <v>54.91</v>
      </c>
      <c r="F472" s="1" t="s">
        <v>18</v>
      </c>
      <c r="G472" s="1">
        <v>3</v>
      </c>
      <c r="H472" s="1" t="s">
        <v>16</v>
      </c>
      <c r="I472" s="1" t="s">
        <v>16</v>
      </c>
      <c r="J472" s="1" t="s">
        <v>16</v>
      </c>
      <c r="K472" s="1" t="s">
        <v>17</v>
      </c>
      <c r="L472" s="1" t="s">
        <v>17</v>
      </c>
      <c r="M472" s="1" t="s">
        <v>17</v>
      </c>
      <c r="N472" s="27" t="s">
        <v>605</v>
      </c>
      <c r="O472" s="1" t="s">
        <v>16</v>
      </c>
    </row>
    <row r="473" spans="1:15" x14ac:dyDescent="0.2">
      <c r="A473" s="9">
        <v>44844</v>
      </c>
      <c r="B473" s="1" t="s">
        <v>15</v>
      </c>
      <c r="C473" s="1">
        <v>4</v>
      </c>
      <c r="D473" s="1">
        <v>1</v>
      </c>
      <c r="E473" s="14">
        <v>48.25</v>
      </c>
      <c r="F473" s="1" t="s">
        <v>18</v>
      </c>
      <c r="G473" s="1" t="s">
        <v>16</v>
      </c>
      <c r="H473" s="1" t="s">
        <v>16</v>
      </c>
      <c r="I473" s="1" t="s">
        <v>16</v>
      </c>
      <c r="J473" s="1" t="s">
        <v>16</v>
      </c>
      <c r="K473" s="1" t="s">
        <v>21</v>
      </c>
      <c r="L473" s="1" t="s">
        <v>17</v>
      </c>
      <c r="M473" s="1" t="s">
        <v>21</v>
      </c>
      <c r="N473" s="27" t="s">
        <v>605</v>
      </c>
      <c r="O473" s="1" t="s">
        <v>16</v>
      </c>
    </row>
    <row r="474" spans="1:15" x14ac:dyDescent="0.2">
      <c r="A474" s="9">
        <v>44844</v>
      </c>
      <c r="B474" s="1" t="s">
        <v>15</v>
      </c>
      <c r="C474" s="1">
        <v>5</v>
      </c>
      <c r="D474" s="1">
        <v>1</v>
      </c>
      <c r="E474" s="14">
        <v>49.31</v>
      </c>
      <c r="F474" s="1" t="s">
        <v>18</v>
      </c>
      <c r="G474" s="1">
        <v>2</v>
      </c>
      <c r="H474" s="1" t="s">
        <v>16</v>
      </c>
      <c r="I474" s="1" t="s">
        <v>16</v>
      </c>
      <c r="J474" s="1" t="s">
        <v>16</v>
      </c>
      <c r="K474" s="1" t="s">
        <v>17</v>
      </c>
      <c r="L474" s="1" t="s">
        <v>17</v>
      </c>
      <c r="M474" s="1" t="s">
        <v>17</v>
      </c>
      <c r="N474" s="27" t="s">
        <v>605</v>
      </c>
      <c r="O474" s="1" t="s">
        <v>16</v>
      </c>
    </row>
    <row r="475" spans="1:15" x14ac:dyDescent="0.2">
      <c r="A475" s="9">
        <v>44844</v>
      </c>
      <c r="B475" s="1" t="s">
        <v>15</v>
      </c>
      <c r="C475" s="1">
        <v>6</v>
      </c>
      <c r="D475" s="1">
        <v>2</v>
      </c>
      <c r="E475" s="14">
        <v>61.44</v>
      </c>
      <c r="F475" s="1" t="s">
        <v>18</v>
      </c>
      <c r="G475" s="1">
        <v>2</v>
      </c>
      <c r="H475" s="1" t="s">
        <v>16</v>
      </c>
      <c r="I475" s="1" t="s">
        <v>16</v>
      </c>
      <c r="J475" s="1" t="s">
        <v>16</v>
      </c>
      <c r="K475" s="1" t="s">
        <v>17</v>
      </c>
      <c r="L475" s="1" t="s">
        <v>17</v>
      </c>
      <c r="M475" s="1" t="s">
        <v>17</v>
      </c>
      <c r="N475" s="27" t="s">
        <v>605</v>
      </c>
      <c r="O475" s="1" t="s">
        <v>16</v>
      </c>
    </row>
    <row r="476" spans="1:15" x14ac:dyDescent="0.2">
      <c r="A476" s="9">
        <v>44844</v>
      </c>
      <c r="B476" s="1" t="s">
        <v>15</v>
      </c>
      <c r="C476" s="1">
        <v>7</v>
      </c>
      <c r="D476" s="1">
        <v>2</v>
      </c>
      <c r="E476" s="14">
        <v>55.01</v>
      </c>
      <c r="F476" s="1" t="s">
        <v>18</v>
      </c>
      <c r="G476" s="1">
        <v>2</v>
      </c>
      <c r="H476" s="1" t="s">
        <v>16</v>
      </c>
      <c r="I476" s="1" t="s">
        <v>16</v>
      </c>
      <c r="J476" s="1" t="s">
        <v>16</v>
      </c>
      <c r="K476" s="1" t="s">
        <v>17</v>
      </c>
      <c r="L476" s="1" t="s">
        <v>17</v>
      </c>
      <c r="M476" s="1" t="s">
        <v>17</v>
      </c>
      <c r="N476" s="27" t="s">
        <v>605</v>
      </c>
      <c r="O476" s="1" t="s">
        <v>16</v>
      </c>
    </row>
    <row r="477" spans="1:15" x14ac:dyDescent="0.2">
      <c r="A477" s="9">
        <v>44844</v>
      </c>
      <c r="B477" s="1" t="s">
        <v>15</v>
      </c>
      <c r="C477" s="1">
        <v>8</v>
      </c>
      <c r="D477" s="1">
        <v>2</v>
      </c>
      <c r="E477" s="14">
        <v>61.19</v>
      </c>
      <c r="F477" s="1" t="s">
        <v>18</v>
      </c>
      <c r="G477" s="1">
        <v>3</v>
      </c>
      <c r="H477" s="1" t="s">
        <v>16</v>
      </c>
      <c r="I477" s="1" t="s">
        <v>16</v>
      </c>
      <c r="J477" s="1" t="s">
        <v>16</v>
      </c>
      <c r="K477" s="1" t="s">
        <v>17</v>
      </c>
      <c r="L477" s="1" t="s">
        <v>17</v>
      </c>
      <c r="M477" s="1" t="s">
        <v>17</v>
      </c>
      <c r="N477" s="27" t="s">
        <v>605</v>
      </c>
      <c r="O477" s="1" t="s">
        <v>16</v>
      </c>
    </row>
    <row r="478" spans="1:15" x14ac:dyDescent="0.2">
      <c r="A478" s="9">
        <v>44844</v>
      </c>
      <c r="B478" s="1" t="s">
        <v>15</v>
      </c>
      <c r="C478" s="1">
        <v>9</v>
      </c>
      <c r="D478" s="1">
        <v>2</v>
      </c>
      <c r="E478" s="14">
        <v>49.35</v>
      </c>
      <c r="F478" s="1" t="s">
        <v>19</v>
      </c>
      <c r="G478" s="1">
        <v>2</v>
      </c>
      <c r="H478" s="1" t="s">
        <v>16</v>
      </c>
      <c r="I478" s="1" t="s">
        <v>16</v>
      </c>
      <c r="J478" s="1" t="s">
        <v>16</v>
      </c>
      <c r="K478" s="1" t="s">
        <v>21</v>
      </c>
      <c r="L478" s="1" t="s">
        <v>17</v>
      </c>
      <c r="M478" s="1" t="s">
        <v>17</v>
      </c>
      <c r="N478" s="27" t="s">
        <v>605</v>
      </c>
      <c r="O478" s="1" t="s">
        <v>16</v>
      </c>
    </row>
    <row r="479" spans="1:15" x14ac:dyDescent="0.2">
      <c r="A479" s="9">
        <v>44844</v>
      </c>
      <c r="B479" s="1" t="s">
        <v>15</v>
      </c>
      <c r="C479" s="1">
        <v>10</v>
      </c>
      <c r="D479" s="1">
        <v>2</v>
      </c>
      <c r="E479" s="14">
        <v>54.37</v>
      </c>
      <c r="F479" s="1" t="s">
        <v>18</v>
      </c>
      <c r="G479" s="1">
        <v>2</v>
      </c>
      <c r="H479" s="1" t="s">
        <v>16</v>
      </c>
      <c r="I479" s="1" t="s">
        <v>16</v>
      </c>
      <c r="J479" s="1" t="s">
        <v>16</v>
      </c>
      <c r="K479" s="1" t="s">
        <v>21</v>
      </c>
      <c r="L479" s="1" t="s">
        <v>17</v>
      </c>
      <c r="M479" s="1" t="s">
        <v>17</v>
      </c>
      <c r="N479" s="27" t="s">
        <v>605</v>
      </c>
      <c r="O479" s="1" t="s">
        <v>16</v>
      </c>
    </row>
    <row r="480" spans="1:15" x14ac:dyDescent="0.2">
      <c r="A480" s="9">
        <v>44844</v>
      </c>
      <c r="B480" s="1" t="s">
        <v>15</v>
      </c>
      <c r="C480" s="1">
        <v>11</v>
      </c>
      <c r="D480" s="1">
        <v>3</v>
      </c>
      <c r="E480" s="14">
        <v>54.2</v>
      </c>
      <c r="F480" s="1" t="s">
        <v>18</v>
      </c>
      <c r="G480" s="1">
        <v>2</v>
      </c>
      <c r="H480" s="1" t="s">
        <v>16</v>
      </c>
      <c r="I480" s="1" t="s">
        <v>16</v>
      </c>
      <c r="J480" s="1" t="s">
        <v>16</v>
      </c>
      <c r="K480" s="1" t="s">
        <v>17</v>
      </c>
      <c r="L480" s="1" t="s">
        <v>17</v>
      </c>
      <c r="M480" s="1" t="s">
        <v>17</v>
      </c>
      <c r="N480" s="27" t="s">
        <v>605</v>
      </c>
      <c r="O480" s="1" t="s">
        <v>16</v>
      </c>
    </row>
    <row r="481" spans="1:15" x14ac:dyDescent="0.2">
      <c r="A481" s="9">
        <v>44844</v>
      </c>
      <c r="B481" s="1" t="s">
        <v>15</v>
      </c>
      <c r="C481" s="1">
        <v>12</v>
      </c>
      <c r="D481" s="1">
        <v>3</v>
      </c>
      <c r="E481" s="14">
        <v>58.63</v>
      </c>
      <c r="F481" s="1" t="s">
        <v>18</v>
      </c>
      <c r="G481" s="1">
        <v>3</v>
      </c>
      <c r="H481" s="1" t="s">
        <v>16</v>
      </c>
      <c r="I481" s="1" t="s">
        <v>16</v>
      </c>
      <c r="J481" s="1" t="s">
        <v>16</v>
      </c>
      <c r="K481" s="1" t="s">
        <v>17</v>
      </c>
      <c r="L481" s="1" t="s">
        <v>17</v>
      </c>
      <c r="M481" s="1" t="s">
        <v>17</v>
      </c>
      <c r="N481" s="27" t="s">
        <v>605</v>
      </c>
      <c r="O481" s="1" t="s">
        <v>16</v>
      </c>
    </row>
    <row r="482" spans="1:15" x14ac:dyDescent="0.2">
      <c r="A482" s="9">
        <v>44844</v>
      </c>
      <c r="B482" s="1" t="s">
        <v>15</v>
      </c>
      <c r="C482" s="1">
        <v>13</v>
      </c>
      <c r="D482" s="1">
        <v>3</v>
      </c>
      <c r="E482" s="14">
        <v>44.6</v>
      </c>
      <c r="F482" s="1" t="s">
        <v>18</v>
      </c>
      <c r="G482" s="1">
        <v>3</v>
      </c>
      <c r="H482" s="1" t="s">
        <v>16</v>
      </c>
      <c r="I482" s="1" t="s">
        <v>16</v>
      </c>
      <c r="J482" s="1" t="s">
        <v>16</v>
      </c>
      <c r="K482" s="1" t="s">
        <v>17</v>
      </c>
      <c r="L482" s="1" t="s">
        <v>17</v>
      </c>
      <c r="M482" s="1" t="s">
        <v>17</v>
      </c>
      <c r="N482" s="27" t="s">
        <v>605</v>
      </c>
      <c r="O482" s="1" t="s">
        <v>16</v>
      </c>
    </row>
    <row r="483" spans="1:15" x14ac:dyDescent="0.2">
      <c r="A483" s="9">
        <v>44844</v>
      </c>
      <c r="B483" s="1" t="s">
        <v>15</v>
      </c>
      <c r="C483" s="1">
        <v>14</v>
      </c>
      <c r="D483" s="1">
        <v>3</v>
      </c>
      <c r="E483" s="14">
        <v>72.58</v>
      </c>
      <c r="F483" s="1" t="s">
        <v>18</v>
      </c>
      <c r="G483" s="1">
        <v>3</v>
      </c>
      <c r="H483" s="1" t="s">
        <v>16</v>
      </c>
      <c r="I483" s="1" t="s">
        <v>16</v>
      </c>
      <c r="J483" s="1" t="s">
        <v>16</v>
      </c>
      <c r="K483" s="1" t="s">
        <v>17</v>
      </c>
      <c r="L483" s="1" t="s">
        <v>17</v>
      </c>
      <c r="M483" s="1" t="s">
        <v>17</v>
      </c>
      <c r="N483" s="27" t="s">
        <v>605</v>
      </c>
      <c r="O483" s="1" t="s">
        <v>16</v>
      </c>
    </row>
    <row r="484" spans="1:15" x14ac:dyDescent="0.2">
      <c r="A484" s="9">
        <v>44844</v>
      </c>
      <c r="B484" s="1" t="s">
        <v>15</v>
      </c>
      <c r="C484" s="1">
        <v>15</v>
      </c>
      <c r="D484" s="1">
        <v>3</v>
      </c>
      <c r="E484" s="14">
        <v>59.14</v>
      </c>
      <c r="F484" s="1" t="s">
        <v>16</v>
      </c>
      <c r="G484" s="1">
        <v>4</v>
      </c>
      <c r="H484" s="1" t="s">
        <v>16</v>
      </c>
      <c r="I484" s="1" t="s">
        <v>16</v>
      </c>
      <c r="J484" s="1" t="s">
        <v>16</v>
      </c>
      <c r="K484" s="1" t="s">
        <v>17</v>
      </c>
      <c r="L484" s="1" t="s">
        <v>17</v>
      </c>
      <c r="M484" s="1" t="s">
        <v>17</v>
      </c>
      <c r="N484" s="27" t="s">
        <v>605</v>
      </c>
      <c r="O484" s="1" t="s">
        <v>16</v>
      </c>
    </row>
    <row r="485" spans="1:15" x14ac:dyDescent="0.2">
      <c r="A485" s="9">
        <v>44879</v>
      </c>
      <c r="B485" s="1" t="s">
        <v>15</v>
      </c>
      <c r="C485" s="1">
        <v>1</v>
      </c>
      <c r="D485" s="1">
        <v>1</v>
      </c>
      <c r="E485" s="14">
        <v>43.01</v>
      </c>
      <c r="F485" s="1" t="s">
        <v>19</v>
      </c>
      <c r="G485" s="1">
        <v>2</v>
      </c>
      <c r="H485" s="1" t="s">
        <v>16</v>
      </c>
      <c r="I485" s="1" t="s">
        <v>16</v>
      </c>
      <c r="J485" s="1" t="s">
        <v>16</v>
      </c>
      <c r="K485" s="1" t="s">
        <v>17</v>
      </c>
      <c r="L485" s="1" t="s">
        <v>17</v>
      </c>
      <c r="M485" s="1" t="s">
        <v>17</v>
      </c>
      <c r="N485" s="27" t="s">
        <v>605</v>
      </c>
      <c r="O485" s="1" t="s">
        <v>16</v>
      </c>
    </row>
    <row r="486" spans="1:15" x14ac:dyDescent="0.2">
      <c r="A486" s="9">
        <v>44879</v>
      </c>
      <c r="B486" s="1" t="s">
        <v>15</v>
      </c>
      <c r="C486" s="1">
        <v>2</v>
      </c>
      <c r="D486" s="1">
        <v>1</v>
      </c>
      <c r="E486" s="14">
        <v>52.97</v>
      </c>
      <c r="F486" s="1" t="s">
        <v>18</v>
      </c>
      <c r="G486" s="1">
        <v>2</v>
      </c>
      <c r="H486" s="1" t="s">
        <v>16</v>
      </c>
      <c r="I486" s="1" t="s">
        <v>16</v>
      </c>
      <c r="J486" s="1" t="s">
        <v>16</v>
      </c>
      <c r="K486" s="1" t="s">
        <v>17</v>
      </c>
      <c r="L486" s="1" t="s">
        <v>17</v>
      </c>
      <c r="M486" s="1" t="s">
        <v>17</v>
      </c>
      <c r="N486" s="27" t="s">
        <v>605</v>
      </c>
      <c r="O486" s="1" t="s">
        <v>16</v>
      </c>
    </row>
    <row r="487" spans="1:15" x14ac:dyDescent="0.2">
      <c r="A487" s="9">
        <v>44879</v>
      </c>
      <c r="B487" s="1" t="s">
        <v>15</v>
      </c>
      <c r="C487" s="1">
        <v>3</v>
      </c>
      <c r="D487" s="1">
        <v>1</v>
      </c>
      <c r="E487" s="14">
        <v>50.52</v>
      </c>
      <c r="F487" s="1" t="s">
        <v>19</v>
      </c>
      <c r="G487" s="1">
        <v>2</v>
      </c>
      <c r="H487" s="1" t="s">
        <v>16</v>
      </c>
      <c r="I487" s="1" t="s">
        <v>16</v>
      </c>
      <c r="J487" s="1" t="s">
        <v>16</v>
      </c>
      <c r="K487" s="1" t="s">
        <v>17</v>
      </c>
      <c r="L487" s="1" t="s">
        <v>17</v>
      </c>
      <c r="M487" s="1" t="s">
        <v>17</v>
      </c>
      <c r="N487" s="27" t="s">
        <v>605</v>
      </c>
      <c r="O487" s="1" t="s">
        <v>16</v>
      </c>
    </row>
    <row r="488" spans="1:15" x14ac:dyDescent="0.2">
      <c r="A488" s="9">
        <v>44879</v>
      </c>
      <c r="B488" s="1" t="s">
        <v>15</v>
      </c>
      <c r="C488" s="1">
        <v>4</v>
      </c>
      <c r="D488" s="1">
        <v>1</v>
      </c>
      <c r="E488" s="14">
        <v>57.91</v>
      </c>
      <c r="F488" s="1" t="s">
        <v>18</v>
      </c>
      <c r="G488" s="1">
        <v>3</v>
      </c>
      <c r="H488" s="1" t="s">
        <v>16</v>
      </c>
      <c r="I488" s="1" t="s">
        <v>16</v>
      </c>
      <c r="J488" s="1" t="s">
        <v>16</v>
      </c>
      <c r="K488" s="1" t="s">
        <v>21</v>
      </c>
      <c r="L488" s="1" t="s">
        <v>17</v>
      </c>
      <c r="M488" s="1" t="s">
        <v>17</v>
      </c>
      <c r="N488" s="27" t="s">
        <v>605</v>
      </c>
      <c r="O488" s="1" t="s">
        <v>16</v>
      </c>
    </row>
    <row r="489" spans="1:15" x14ac:dyDescent="0.2">
      <c r="A489" s="9">
        <v>44879</v>
      </c>
      <c r="B489" s="1" t="s">
        <v>15</v>
      </c>
      <c r="C489" s="1">
        <v>5</v>
      </c>
      <c r="D489" s="1">
        <v>1</v>
      </c>
      <c r="E489" s="14">
        <v>60.39</v>
      </c>
      <c r="F489" s="1" t="s">
        <v>16</v>
      </c>
      <c r="G489" s="1">
        <v>4</v>
      </c>
      <c r="H489" s="1" t="s">
        <v>16</v>
      </c>
      <c r="I489" s="1" t="s">
        <v>16</v>
      </c>
      <c r="J489" s="1" t="s">
        <v>16</v>
      </c>
      <c r="K489" s="1" t="s">
        <v>21</v>
      </c>
      <c r="L489" s="1" t="s">
        <v>17</v>
      </c>
      <c r="M489" s="1" t="s">
        <v>17</v>
      </c>
      <c r="N489" s="27" t="s">
        <v>605</v>
      </c>
      <c r="O489" s="1" t="s">
        <v>16</v>
      </c>
    </row>
    <row r="490" spans="1:15" x14ac:dyDescent="0.2">
      <c r="A490" s="9">
        <v>44879</v>
      </c>
      <c r="B490" s="1" t="s">
        <v>15</v>
      </c>
      <c r="C490" s="1">
        <v>6</v>
      </c>
      <c r="D490" s="1">
        <v>2</v>
      </c>
      <c r="E490" s="14">
        <v>51.99</v>
      </c>
      <c r="F490" s="1" t="s">
        <v>16</v>
      </c>
      <c r="G490" s="1">
        <v>4</v>
      </c>
      <c r="H490" s="1" t="s">
        <v>16</v>
      </c>
      <c r="I490" s="1" t="s">
        <v>16</v>
      </c>
      <c r="J490" s="1" t="s">
        <v>16</v>
      </c>
      <c r="K490" s="1" t="s">
        <v>21</v>
      </c>
      <c r="L490" s="1" t="s">
        <v>17</v>
      </c>
      <c r="M490" s="1" t="s">
        <v>21</v>
      </c>
      <c r="N490" s="27" t="s">
        <v>605</v>
      </c>
      <c r="O490" s="1" t="s">
        <v>16</v>
      </c>
    </row>
    <row r="491" spans="1:15" x14ac:dyDescent="0.2">
      <c r="A491" s="9">
        <v>44879</v>
      </c>
      <c r="B491" s="1" t="s">
        <v>15</v>
      </c>
      <c r="C491" s="1">
        <v>7</v>
      </c>
      <c r="D491" s="1">
        <v>2</v>
      </c>
      <c r="E491" s="14">
        <v>52.57</v>
      </c>
      <c r="F491" s="1" t="s">
        <v>18</v>
      </c>
      <c r="G491" s="1">
        <v>2</v>
      </c>
      <c r="H491" s="1" t="s">
        <v>16</v>
      </c>
      <c r="I491" s="1" t="s">
        <v>16</v>
      </c>
      <c r="J491" s="1" t="s">
        <v>16</v>
      </c>
      <c r="K491" s="1" t="s">
        <v>17</v>
      </c>
      <c r="L491" s="1" t="s">
        <v>17</v>
      </c>
      <c r="M491" s="1" t="s">
        <v>17</v>
      </c>
      <c r="N491" s="27" t="s">
        <v>605</v>
      </c>
      <c r="O491" s="1" t="s">
        <v>16</v>
      </c>
    </row>
    <row r="492" spans="1:15" x14ac:dyDescent="0.2">
      <c r="A492" s="9">
        <v>44879</v>
      </c>
      <c r="B492" s="1" t="s">
        <v>15</v>
      </c>
      <c r="C492" s="1">
        <v>8</v>
      </c>
      <c r="D492" s="1">
        <v>2</v>
      </c>
      <c r="E492" s="14">
        <v>46.48</v>
      </c>
      <c r="F492" s="1" t="s">
        <v>18</v>
      </c>
      <c r="G492" s="1">
        <v>3</v>
      </c>
      <c r="H492" s="1" t="s">
        <v>16</v>
      </c>
      <c r="I492" s="1" t="s">
        <v>16</v>
      </c>
      <c r="J492" s="1" t="s">
        <v>16</v>
      </c>
      <c r="K492" s="1" t="s">
        <v>17</v>
      </c>
      <c r="L492" s="1" t="s">
        <v>17</v>
      </c>
      <c r="M492" s="1" t="s">
        <v>17</v>
      </c>
      <c r="N492" s="27" t="s">
        <v>605</v>
      </c>
      <c r="O492" s="1" t="s">
        <v>16</v>
      </c>
    </row>
    <row r="493" spans="1:15" x14ac:dyDescent="0.2">
      <c r="A493" s="9">
        <v>44879</v>
      </c>
      <c r="B493" s="1" t="s">
        <v>15</v>
      </c>
      <c r="C493" s="1">
        <v>9</v>
      </c>
      <c r="D493" s="1">
        <v>2</v>
      </c>
      <c r="E493" s="14">
        <v>43.49</v>
      </c>
      <c r="F493" s="1" t="s">
        <v>16</v>
      </c>
      <c r="G493" s="1">
        <v>4</v>
      </c>
      <c r="H493" s="1" t="s">
        <v>16</v>
      </c>
      <c r="I493" s="1" t="s">
        <v>16</v>
      </c>
      <c r="J493" s="1" t="s">
        <v>16</v>
      </c>
      <c r="K493" s="1" t="s">
        <v>21</v>
      </c>
      <c r="L493" s="1" t="s">
        <v>17</v>
      </c>
      <c r="M493" s="1" t="s">
        <v>17</v>
      </c>
      <c r="N493" s="27" t="s">
        <v>605</v>
      </c>
      <c r="O493" s="1" t="s">
        <v>16</v>
      </c>
    </row>
    <row r="494" spans="1:15" x14ac:dyDescent="0.2">
      <c r="A494" s="9">
        <v>44879</v>
      </c>
      <c r="B494" s="1" t="s">
        <v>15</v>
      </c>
      <c r="C494" s="1">
        <v>10</v>
      </c>
      <c r="D494" s="1">
        <v>2</v>
      </c>
      <c r="E494" s="14">
        <v>58.81</v>
      </c>
      <c r="F494" s="1" t="s">
        <v>16</v>
      </c>
      <c r="G494" s="1">
        <v>4</v>
      </c>
      <c r="H494" s="1" t="s">
        <v>16</v>
      </c>
      <c r="I494" s="1" t="s">
        <v>16</v>
      </c>
      <c r="J494" s="1" t="s">
        <v>16</v>
      </c>
      <c r="K494" s="1" t="s">
        <v>17</v>
      </c>
      <c r="L494" s="1" t="s">
        <v>17</v>
      </c>
      <c r="M494" s="1" t="s">
        <v>17</v>
      </c>
      <c r="N494" s="27" t="s">
        <v>605</v>
      </c>
      <c r="O494" s="1" t="s">
        <v>16</v>
      </c>
    </row>
    <row r="495" spans="1:15" x14ac:dyDescent="0.2">
      <c r="A495" s="9">
        <v>44879</v>
      </c>
      <c r="B495" s="1" t="s">
        <v>15</v>
      </c>
      <c r="C495" s="1">
        <v>11</v>
      </c>
      <c r="D495" s="1">
        <v>3</v>
      </c>
      <c r="E495" s="14">
        <v>56.09</v>
      </c>
      <c r="F495" s="1" t="s">
        <v>16</v>
      </c>
      <c r="G495" s="1">
        <v>4</v>
      </c>
      <c r="H495" s="1" t="s">
        <v>16</v>
      </c>
      <c r="I495" s="1" t="s">
        <v>16</v>
      </c>
      <c r="J495" s="1" t="s">
        <v>16</v>
      </c>
      <c r="K495" s="1" t="s">
        <v>17</v>
      </c>
      <c r="L495" s="1" t="s">
        <v>17</v>
      </c>
      <c r="M495" s="1" t="s">
        <v>17</v>
      </c>
      <c r="N495" s="27" t="s">
        <v>605</v>
      </c>
      <c r="O495" s="1" t="s">
        <v>16</v>
      </c>
    </row>
    <row r="496" spans="1:15" x14ac:dyDescent="0.2">
      <c r="A496" s="9">
        <v>44879</v>
      </c>
      <c r="B496" s="1" t="s">
        <v>15</v>
      </c>
      <c r="C496" s="1">
        <v>12</v>
      </c>
      <c r="D496" s="1">
        <v>3</v>
      </c>
      <c r="E496" s="14">
        <v>41.32</v>
      </c>
      <c r="F496" s="1" t="s">
        <v>16</v>
      </c>
      <c r="G496" s="1">
        <v>4</v>
      </c>
      <c r="H496" s="1" t="s">
        <v>16</v>
      </c>
      <c r="I496" s="1" t="s">
        <v>16</v>
      </c>
      <c r="J496" s="1" t="s">
        <v>16</v>
      </c>
      <c r="K496" s="1" t="s">
        <v>17</v>
      </c>
      <c r="L496" s="1" t="s">
        <v>17</v>
      </c>
      <c r="M496" s="1" t="s">
        <v>17</v>
      </c>
      <c r="N496" s="27" t="s">
        <v>605</v>
      </c>
      <c r="O496" s="1" t="s">
        <v>16</v>
      </c>
    </row>
    <row r="497" spans="1:15" x14ac:dyDescent="0.2">
      <c r="A497" s="9">
        <v>44879</v>
      </c>
      <c r="B497" s="1" t="s">
        <v>15</v>
      </c>
      <c r="C497" s="1">
        <v>13</v>
      </c>
      <c r="D497" s="1">
        <v>3</v>
      </c>
      <c r="E497" s="14">
        <v>46.26</v>
      </c>
      <c r="F497" s="1" t="s">
        <v>16</v>
      </c>
      <c r="G497" s="1" t="s">
        <v>16</v>
      </c>
      <c r="H497" s="1" t="s">
        <v>16</v>
      </c>
      <c r="I497" s="1" t="s">
        <v>16</v>
      </c>
      <c r="J497" s="1" t="s">
        <v>16</v>
      </c>
      <c r="K497" s="1" t="s">
        <v>17</v>
      </c>
      <c r="L497" s="1" t="s">
        <v>17</v>
      </c>
      <c r="M497" s="1" t="s">
        <v>21</v>
      </c>
      <c r="N497" s="27" t="s">
        <v>605</v>
      </c>
      <c r="O497" s="1" t="s">
        <v>16</v>
      </c>
    </row>
    <row r="498" spans="1:15" x14ac:dyDescent="0.2">
      <c r="A498" s="9">
        <v>44879</v>
      </c>
      <c r="B498" s="1" t="s">
        <v>15</v>
      </c>
      <c r="C498" s="1">
        <v>14</v>
      </c>
      <c r="D498" s="1">
        <v>3</v>
      </c>
      <c r="E498" s="14">
        <v>41.42</v>
      </c>
      <c r="F498" s="1" t="s">
        <v>16</v>
      </c>
      <c r="G498" s="1">
        <v>4</v>
      </c>
      <c r="H498" s="1" t="s">
        <v>16</v>
      </c>
      <c r="I498" s="1" t="s">
        <v>16</v>
      </c>
      <c r="J498" s="1" t="s">
        <v>16</v>
      </c>
      <c r="K498" s="1" t="s">
        <v>17</v>
      </c>
      <c r="L498" s="1" t="s">
        <v>17</v>
      </c>
      <c r="M498" s="1" t="s">
        <v>21</v>
      </c>
      <c r="N498" s="27" t="s">
        <v>605</v>
      </c>
      <c r="O498" s="1" t="s">
        <v>16</v>
      </c>
    </row>
    <row r="499" spans="1:15" x14ac:dyDescent="0.2">
      <c r="A499" s="9">
        <v>44879</v>
      </c>
      <c r="B499" s="1" t="s">
        <v>15</v>
      </c>
      <c r="C499" s="1">
        <v>15</v>
      </c>
      <c r="D499" s="1">
        <v>3</v>
      </c>
      <c r="E499" s="14">
        <v>59.26</v>
      </c>
      <c r="F499" s="1" t="s">
        <v>18</v>
      </c>
      <c r="G499" s="1">
        <v>3</v>
      </c>
      <c r="H499" s="1" t="s">
        <v>16</v>
      </c>
      <c r="I499" s="1" t="s">
        <v>16</v>
      </c>
      <c r="J499" s="1" t="s">
        <v>16</v>
      </c>
      <c r="K499" s="1" t="s">
        <v>17</v>
      </c>
      <c r="L499" s="1" t="s">
        <v>17</v>
      </c>
      <c r="M499" s="1" t="s">
        <v>21</v>
      </c>
      <c r="N499" s="27" t="s">
        <v>605</v>
      </c>
      <c r="O499" s="1" t="s">
        <v>16</v>
      </c>
    </row>
    <row r="500" spans="1:15" x14ac:dyDescent="0.2">
      <c r="A500" s="9">
        <v>44901</v>
      </c>
      <c r="B500" s="1" t="s">
        <v>15</v>
      </c>
      <c r="C500" s="1">
        <v>1</v>
      </c>
      <c r="D500" s="1">
        <v>1</v>
      </c>
      <c r="E500" s="14">
        <v>48.57</v>
      </c>
      <c r="F500" s="1" t="s">
        <v>18</v>
      </c>
      <c r="G500" s="1">
        <v>3</v>
      </c>
      <c r="H500" s="1" t="s">
        <v>16</v>
      </c>
      <c r="I500" s="1" t="s">
        <v>16</v>
      </c>
      <c r="J500" s="1" t="s">
        <v>16</v>
      </c>
      <c r="K500" s="1" t="s">
        <v>17</v>
      </c>
      <c r="L500" s="1" t="s">
        <v>17</v>
      </c>
      <c r="M500" s="1" t="s">
        <v>17</v>
      </c>
      <c r="N500" s="27" t="s">
        <v>605</v>
      </c>
      <c r="O500" s="1" t="s">
        <v>16</v>
      </c>
    </row>
    <row r="501" spans="1:15" x14ac:dyDescent="0.2">
      <c r="A501" s="9">
        <v>44901</v>
      </c>
      <c r="B501" s="1" t="s">
        <v>15</v>
      </c>
      <c r="C501" s="1">
        <v>2</v>
      </c>
      <c r="D501" s="1">
        <v>1</v>
      </c>
      <c r="E501" s="14">
        <v>50.13</v>
      </c>
      <c r="F501" s="1" t="s">
        <v>16</v>
      </c>
      <c r="G501" s="1">
        <v>4</v>
      </c>
      <c r="H501" s="1" t="s">
        <v>16</v>
      </c>
      <c r="I501" s="1" t="s">
        <v>16</v>
      </c>
      <c r="J501" s="1" t="s">
        <v>16</v>
      </c>
      <c r="K501" s="1" t="s">
        <v>17</v>
      </c>
      <c r="L501" s="1" t="s">
        <v>17</v>
      </c>
      <c r="M501" s="1" t="s">
        <v>17</v>
      </c>
      <c r="N501" s="27" t="s">
        <v>605</v>
      </c>
      <c r="O501" s="1" t="s">
        <v>16</v>
      </c>
    </row>
    <row r="502" spans="1:15" x14ac:dyDescent="0.2">
      <c r="A502" s="9">
        <v>44901</v>
      </c>
      <c r="B502" s="1" t="s">
        <v>15</v>
      </c>
      <c r="C502" s="1">
        <v>3</v>
      </c>
      <c r="D502" s="1">
        <v>1</v>
      </c>
      <c r="E502" s="14">
        <v>44.69</v>
      </c>
      <c r="F502" s="1" t="s">
        <v>16</v>
      </c>
      <c r="G502" s="1">
        <v>4</v>
      </c>
      <c r="H502" s="1" t="s">
        <v>16</v>
      </c>
      <c r="I502" s="1" t="s">
        <v>16</v>
      </c>
      <c r="J502" s="1" t="s">
        <v>16</v>
      </c>
      <c r="K502" s="1" t="s">
        <v>17</v>
      </c>
      <c r="L502" s="1" t="s">
        <v>17</v>
      </c>
      <c r="M502" s="1" t="s">
        <v>17</v>
      </c>
      <c r="N502" s="27" t="s">
        <v>605</v>
      </c>
      <c r="O502" s="1" t="s">
        <v>16</v>
      </c>
    </row>
    <row r="503" spans="1:15" x14ac:dyDescent="0.2">
      <c r="A503" s="9">
        <v>44901</v>
      </c>
      <c r="B503" s="1" t="s">
        <v>15</v>
      </c>
      <c r="C503" s="1">
        <v>4</v>
      </c>
      <c r="D503" s="1">
        <v>1</v>
      </c>
      <c r="E503" s="14">
        <v>34.630000000000003</v>
      </c>
      <c r="F503" s="1" t="s">
        <v>18</v>
      </c>
      <c r="G503" s="1">
        <v>1</v>
      </c>
      <c r="H503" s="1" t="s">
        <v>16</v>
      </c>
      <c r="I503" s="1" t="s">
        <v>16</v>
      </c>
      <c r="J503" s="1" t="s">
        <v>16</v>
      </c>
      <c r="K503" s="1" t="s">
        <v>17</v>
      </c>
      <c r="L503" s="1" t="s">
        <v>17</v>
      </c>
      <c r="M503" s="1" t="s">
        <v>17</v>
      </c>
      <c r="N503" s="27" t="s">
        <v>605</v>
      </c>
      <c r="O503" s="1" t="s">
        <v>16</v>
      </c>
    </row>
    <row r="504" spans="1:15" x14ac:dyDescent="0.2">
      <c r="A504" s="9">
        <v>44901</v>
      </c>
      <c r="B504" s="1" t="s">
        <v>15</v>
      </c>
      <c r="C504" s="1">
        <v>5</v>
      </c>
      <c r="D504" s="1">
        <v>1</v>
      </c>
      <c r="E504" s="14">
        <v>57.18</v>
      </c>
      <c r="F504" s="1" t="s">
        <v>16</v>
      </c>
      <c r="G504" s="1" t="s">
        <v>16</v>
      </c>
      <c r="H504" s="1" t="s">
        <v>16</v>
      </c>
      <c r="I504" s="1" t="s">
        <v>16</v>
      </c>
      <c r="J504" s="1" t="s">
        <v>16</v>
      </c>
      <c r="K504" s="1" t="s">
        <v>17</v>
      </c>
      <c r="L504" s="1" t="s">
        <v>17</v>
      </c>
      <c r="M504" s="1" t="s">
        <v>21</v>
      </c>
      <c r="N504" s="27" t="s">
        <v>605</v>
      </c>
      <c r="O504" s="1" t="s">
        <v>16</v>
      </c>
    </row>
    <row r="505" spans="1:15" x14ac:dyDescent="0.2">
      <c r="A505" s="9">
        <v>44901</v>
      </c>
      <c r="B505" s="1" t="s">
        <v>15</v>
      </c>
      <c r="C505" s="1">
        <v>6</v>
      </c>
      <c r="D505" s="1">
        <v>2</v>
      </c>
      <c r="E505" s="14">
        <v>59.36</v>
      </c>
      <c r="F505" s="1" t="s">
        <v>18</v>
      </c>
      <c r="G505" s="1">
        <v>2</v>
      </c>
      <c r="H505" s="1" t="s">
        <v>16</v>
      </c>
      <c r="I505" s="1" t="s">
        <v>16</v>
      </c>
      <c r="J505" s="1" t="s">
        <v>16</v>
      </c>
      <c r="K505" s="1" t="s">
        <v>17</v>
      </c>
      <c r="L505" s="1" t="s">
        <v>17</v>
      </c>
      <c r="M505" s="1" t="s">
        <v>17</v>
      </c>
      <c r="N505" s="27" t="s">
        <v>605</v>
      </c>
      <c r="O505" s="1" t="s">
        <v>16</v>
      </c>
    </row>
    <row r="506" spans="1:15" x14ac:dyDescent="0.2">
      <c r="A506" s="9">
        <v>44901</v>
      </c>
      <c r="B506" s="1" t="s">
        <v>15</v>
      </c>
      <c r="C506" s="1">
        <v>7</v>
      </c>
      <c r="D506" s="1">
        <v>2</v>
      </c>
      <c r="E506" s="14">
        <v>55.05</v>
      </c>
      <c r="F506" s="1" t="s">
        <v>18</v>
      </c>
      <c r="G506" s="1">
        <v>1</v>
      </c>
      <c r="H506" s="1" t="s">
        <v>16</v>
      </c>
      <c r="I506" s="1" t="s">
        <v>16</v>
      </c>
      <c r="J506" s="1" t="s">
        <v>16</v>
      </c>
      <c r="K506" s="1" t="s">
        <v>21</v>
      </c>
      <c r="L506" s="1" t="s">
        <v>17</v>
      </c>
      <c r="M506" s="1" t="s">
        <v>17</v>
      </c>
      <c r="N506" s="27" t="s">
        <v>605</v>
      </c>
      <c r="O506" s="1" t="s">
        <v>16</v>
      </c>
    </row>
    <row r="507" spans="1:15" x14ac:dyDescent="0.2">
      <c r="A507" s="9">
        <v>44901</v>
      </c>
      <c r="B507" s="1" t="s">
        <v>15</v>
      </c>
      <c r="C507" s="1">
        <v>8</v>
      </c>
      <c r="D507" s="1">
        <v>2</v>
      </c>
      <c r="E507" s="14">
        <v>88.45</v>
      </c>
      <c r="F507" s="1" t="s">
        <v>16</v>
      </c>
      <c r="G507" s="1">
        <v>4</v>
      </c>
      <c r="H507" s="1" t="s">
        <v>16</v>
      </c>
      <c r="I507" s="1" t="s">
        <v>16</v>
      </c>
      <c r="J507" s="1" t="s">
        <v>16</v>
      </c>
      <c r="K507" s="1" t="s">
        <v>21</v>
      </c>
      <c r="L507" s="1" t="s">
        <v>17</v>
      </c>
      <c r="M507" s="1" t="s">
        <v>17</v>
      </c>
      <c r="N507" s="27" t="s">
        <v>605</v>
      </c>
      <c r="O507" s="1" t="s">
        <v>16</v>
      </c>
    </row>
    <row r="508" spans="1:15" x14ac:dyDescent="0.2">
      <c r="A508" s="9">
        <v>44901</v>
      </c>
      <c r="B508" s="1" t="s">
        <v>15</v>
      </c>
      <c r="C508" s="1">
        <v>9</v>
      </c>
      <c r="D508" s="1">
        <v>2</v>
      </c>
      <c r="E508" s="14">
        <v>55.15</v>
      </c>
      <c r="F508" s="1" t="s">
        <v>18</v>
      </c>
      <c r="G508" s="1">
        <v>3</v>
      </c>
      <c r="H508" s="1" t="s">
        <v>16</v>
      </c>
      <c r="I508" s="1" t="s">
        <v>16</v>
      </c>
      <c r="J508" s="1" t="s">
        <v>16</v>
      </c>
      <c r="K508" s="1" t="s">
        <v>17</v>
      </c>
      <c r="L508" s="1" t="s">
        <v>17</v>
      </c>
      <c r="M508" s="1" t="s">
        <v>17</v>
      </c>
      <c r="N508" s="27" t="s">
        <v>605</v>
      </c>
      <c r="O508" s="1" t="s">
        <v>16</v>
      </c>
    </row>
    <row r="509" spans="1:15" x14ac:dyDescent="0.2">
      <c r="A509" s="9">
        <v>44901</v>
      </c>
      <c r="B509" s="1" t="s">
        <v>15</v>
      </c>
      <c r="C509" s="1">
        <v>10</v>
      </c>
      <c r="D509" s="1">
        <v>2</v>
      </c>
      <c r="E509" s="14">
        <v>63.15</v>
      </c>
      <c r="F509" s="1" t="s">
        <v>16</v>
      </c>
      <c r="G509" s="1">
        <v>4</v>
      </c>
      <c r="H509" s="1" t="s">
        <v>16</v>
      </c>
      <c r="I509" s="1" t="s">
        <v>16</v>
      </c>
      <c r="J509" s="1" t="s">
        <v>16</v>
      </c>
      <c r="K509" s="1" t="s">
        <v>17</v>
      </c>
      <c r="L509" s="1" t="s">
        <v>17</v>
      </c>
      <c r="M509" s="1" t="s">
        <v>17</v>
      </c>
      <c r="N509" s="27" t="s">
        <v>605</v>
      </c>
      <c r="O509" s="1" t="s">
        <v>16</v>
      </c>
    </row>
    <row r="510" spans="1:15" x14ac:dyDescent="0.2">
      <c r="A510" s="9">
        <v>44901</v>
      </c>
      <c r="B510" s="1" t="s">
        <v>15</v>
      </c>
      <c r="C510" s="1">
        <v>11</v>
      </c>
      <c r="D510" s="1">
        <v>3</v>
      </c>
      <c r="E510" s="14">
        <v>46.11</v>
      </c>
      <c r="F510" s="1" t="s">
        <v>16</v>
      </c>
      <c r="G510" s="1">
        <v>4</v>
      </c>
      <c r="H510" s="1" t="s">
        <v>16</v>
      </c>
      <c r="I510" s="1" t="s">
        <v>16</v>
      </c>
      <c r="J510" s="1" t="s">
        <v>16</v>
      </c>
      <c r="K510" s="1" t="s">
        <v>17</v>
      </c>
      <c r="L510" s="1" t="s">
        <v>17</v>
      </c>
      <c r="M510" s="1" t="s">
        <v>17</v>
      </c>
      <c r="N510" s="27" t="s">
        <v>605</v>
      </c>
      <c r="O510" s="1" t="s">
        <v>16</v>
      </c>
    </row>
    <row r="511" spans="1:15" x14ac:dyDescent="0.2">
      <c r="A511" s="9">
        <v>44901</v>
      </c>
      <c r="B511" s="1" t="s">
        <v>15</v>
      </c>
      <c r="C511" s="1">
        <v>12</v>
      </c>
      <c r="D511" s="1">
        <v>3</v>
      </c>
      <c r="E511" s="14">
        <v>50.24</v>
      </c>
      <c r="F511" s="1" t="s">
        <v>16</v>
      </c>
      <c r="G511" s="1">
        <v>4</v>
      </c>
      <c r="H511" s="1" t="s">
        <v>16</v>
      </c>
      <c r="I511" s="1" t="s">
        <v>16</v>
      </c>
      <c r="J511" s="1" t="s">
        <v>16</v>
      </c>
      <c r="K511" s="1" t="s">
        <v>17</v>
      </c>
      <c r="L511" s="1" t="s">
        <v>17</v>
      </c>
      <c r="M511" s="1" t="s">
        <v>17</v>
      </c>
      <c r="N511" s="27" t="s">
        <v>605</v>
      </c>
      <c r="O511" s="1" t="s">
        <v>16</v>
      </c>
    </row>
    <row r="512" spans="1:15" x14ac:dyDescent="0.2">
      <c r="A512" s="9">
        <v>44901</v>
      </c>
      <c r="B512" s="1" t="s">
        <v>15</v>
      </c>
      <c r="C512" s="1">
        <v>13</v>
      </c>
      <c r="D512" s="1">
        <v>3</v>
      </c>
      <c r="E512" s="14">
        <v>38.590000000000003</v>
      </c>
      <c r="F512" s="1" t="s">
        <v>19</v>
      </c>
      <c r="G512" s="1">
        <v>3</v>
      </c>
      <c r="H512" s="1" t="s">
        <v>16</v>
      </c>
      <c r="I512" s="1" t="s">
        <v>16</v>
      </c>
      <c r="J512" s="1" t="s">
        <v>16</v>
      </c>
      <c r="K512" s="1" t="s">
        <v>21</v>
      </c>
      <c r="L512" s="1" t="s">
        <v>17</v>
      </c>
      <c r="M512" s="1" t="s">
        <v>17</v>
      </c>
      <c r="N512" s="27" t="s">
        <v>605</v>
      </c>
      <c r="O512" s="1" t="s">
        <v>16</v>
      </c>
    </row>
    <row r="513" spans="1:15" x14ac:dyDescent="0.2">
      <c r="A513" s="9">
        <v>44901</v>
      </c>
      <c r="B513" s="1" t="s">
        <v>15</v>
      </c>
      <c r="C513" s="1">
        <v>14</v>
      </c>
      <c r="D513" s="1">
        <v>3</v>
      </c>
      <c r="E513" s="14">
        <v>46.37</v>
      </c>
      <c r="F513" s="1" t="s">
        <v>16</v>
      </c>
      <c r="G513" s="1">
        <v>4</v>
      </c>
      <c r="H513" s="1" t="s">
        <v>16</v>
      </c>
      <c r="I513" s="1" t="s">
        <v>16</v>
      </c>
      <c r="J513" s="1" t="s">
        <v>16</v>
      </c>
      <c r="K513" s="1" t="s">
        <v>17</v>
      </c>
      <c r="L513" s="1" t="s">
        <v>17</v>
      </c>
      <c r="M513" s="1" t="s">
        <v>17</v>
      </c>
      <c r="N513" s="27" t="s">
        <v>605</v>
      </c>
      <c r="O513" s="1" t="s">
        <v>16</v>
      </c>
    </row>
    <row r="514" spans="1:15" x14ac:dyDescent="0.2">
      <c r="A514" s="9">
        <v>44901</v>
      </c>
      <c r="B514" s="1" t="s">
        <v>15</v>
      </c>
      <c r="C514" s="1">
        <v>15</v>
      </c>
      <c r="D514" s="1">
        <v>3</v>
      </c>
      <c r="E514" s="14">
        <v>54.84</v>
      </c>
      <c r="F514" s="1" t="s">
        <v>16</v>
      </c>
      <c r="G514" s="1">
        <v>4</v>
      </c>
      <c r="H514" s="1" t="s">
        <v>16</v>
      </c>
      <c r="I514" s="1" t="s">
        <v>16</v>
      </c>
      <c r="J514" s="1" t="s">
        <v>16</v>
      </c>
      <c r="K514" s="1" t="s">
        <v>21</v>
      </c>
      <c r="L514" s="1" t="s">
        <v>17</v>
      </c>
      <c r="M514" s="1" t="s">
        <v>17</v>
      </c>
      <c r="N514" s="27" t="s">
        <v>605</v>
      </c>
      <c r="O514" s="1" t="s">
        <v>16</v>
      </c>
    </row>
    <row r="515" spans="1:15" x14ac:dyDescent="0.2">
      <c r="A515" s="9">
        <v>44930</v>
      </c>
      <c r="B515" s="1" t="s">
        <v>15</v>
      </c>
      <c r="C515" s="1">
        <v>1</v>
      </c>
      <c r="D515" s="1">
        <v>1</v>
      </c>
      <c r="E515" s="14">
        <v>45.42</v>
      </c>
      <c r="F515" s="1" t="s">
        <v>16</v>
      </c>
      <c r="G515" s="1">
        <v>4</v>
      </c>
      <c r="H515" s="1" t="s">
        <v>16</v>
      </c>
      <c r="I515" s="1" t="s">
        <v>16</v>
      </c>
      <c r="J515" s="1" t="s">
        <v>16</v>
      </c>
      <c r="K515" s="1" t="s">
        <v>17</v>
      </c>
      <c r="L515" s="1" t="s">
        <v>17</v>
      </c>
      <c r="M515" s="1" t="s">
        <v>17</v>
      </c>
      <c r="N515" s="27" t="s">
        <v>605</v>
      </c>
      <c r="O515" s="1" t="s">
        <v>16</v>
      </c>
    </row>
    <row r="516" spans="1:15" x14ac:dyDescent="0.2">
      <c r="A516" s="9">
        <v>44930</v>
      </c>
      <c r="B516" s="1" t="s">
        <v>15</v>
      </c>
      <c r="C516" s="1">
        <v>2</v>
      </c>
      <c r="D516" s="1">
        <v>1</v>
      </c>
      <c r="E516" s="14">
        <v>33</v>
      </c>
      <c r="F516" s="1" t="s">
        <v>16</v>
      </c>
      <c r="G516" s="1" t="s">
        <v>16</v>
      </c>
      <c r="H516" s="1" t="s">
        <v>16</v>
      </c>
      <c r="I516" s="1" t="s">
        <v>16</v>
      </c>
      <c r="J516" s="1" t="s">
        <v>16</v>
      </c>
      <c r="K516" s="1" t="s">
        <v>17</v>
      </c>
      <c r="L516" s="1" t="s">
        <v>17</v>
      </c>
      <c r="M516" s="1" t="s">
        <v>21</v>
      </c>
      <c r="N516" s="27" t="s">
        <v>605</v>
      </c>
      <c r="O516" s="1" t="s">
        <v>16</v>
      </c>
    </row>
    <row r="517" spans="1:15" x14ac:dyDescent="0.2">
      <c r="A517" s="9">
        <v>44930</v>
      </c>
      <c r="B517" s="1" t="s">
        <v>15</v>
      </c>
      <c r="C517" s="1">
        <v>3</v>
      </c>
      <c r="D517" s="1">
        <v>1</v>
      </c>
      <c r="E517" s="14">
        <v>51.46</v>
      </c>
      <c r="F517" s="1" t="s">
        <v>16</v>
      </c>
      <c r="G517" s="1">
        <v>4</v>
      </c>
      <c r="H517" s="1" t="s">
        <v>16</v>
      </c>
      <c r="I517" s="1" t="s">
        <v>16</v>
      </c>
      <c r="J517" s="1" t="s">
        <v>16</v>
      </c>
      <c r="K517" s="1" t="s">
        <v>17</v>
      </c>
      <c r="L517" s="1" t="s">
        <v>17</v>
      </c>
      <c r="M517" s="1" t="s">
        <v>17</v>
      </c>
      <c r="N517" s="27" t="s">
        <v>605</v>
      </c>
      <c r="O517" s="1" t="s">
        <v>16</v>
      </c>
    </row>
    <row r="518" spans="1:15" x14ac:dyDescent="0.2">
      <c r="A518" s="9">
        <v>44930</v>
      </c>
      <c r="B518" s="1" t="s">
        <v>15</v>
      </c>
      <c r="C518" s="1">
        <v>4</v>
      </c>
      <c r="D518" s="1">
        <v>1</v>
      </c>
      <c r="E518" s="14">
        <v>41.19</v>
      </c>
      <c r="F518" s="1" t="s">
        <v>16</v>
      </c>
      <c r="G518" s="1">
        <v>4</v>
      </c>
      <c r="H518" s="1" t="s">
        <v>16</v>
      </c>
      <c r="I518" s="1" t="s">
        <v>16</v>
      </c>
      <c r="J518" s="1" t="s">
        <v>16</v>
      </c>
      <c r="K518" s="1" t="s">
        <v>17</v>
      </c>
      <c r="L518" s="1" t="s">
        <v>17</v>
      </c>
      <c r="M518" s="1" t="s">
        <v>17</v>
      </c>
      <c r="N518" s="27" t="s">
        <v>605</v>
      </c>
      <c r="O518" s="1" t="s">
        <v>16</v>
      </c>
    </row>
    <row r="519" spans="1:15" x14ac:dyDescent="0.2">
      <c r="A519" s="9">
        <v>44930</v>
      </c>
      <c r="B519" s="1" t="s">
        <v>15</v>
      </c>
      <c r="C519" s="1">
        <v>5</v>
      </c>
      <c r="D519" s="1">
        <v>1</v>
      </c>
      <c r="E519" s="14">
        <v>45.66</v>
      </c>
      <c r="F519" s="1" t="s">
        <v>16</v>
      </c>
      <c r="G519" s="1">
        <v>4</v>
      </c>
      <c r="H519" s="1" t="s">
        <v>16</v>
      </c>
      <c r="I519" s="1" t="s">
        <v>16</v>
      </c>
      <c r="J519" s="1" t="s">
        <v>16</v>
      </c>
      <c r="K519" s="1" t="s">
        <v>17</v>
      </c>
      <c r="L519" s="1" t="s">
        <v>17</v>
      </c>
      <c r="M519" s="1" t="s">
        <v>17</v>
      </c>
      <c r="N519" s="27" t="s">
        <v>605</v>
      </c>
      <c r="O519" s="1" t="s">
        <v>16</v>
      </c>
    </row>
    <row r="520" spans="1:15" x14ac:dyDescent="0.2">
      <c r="A520" s="9">
        <v>44930</v>
      </c>
      <c r="B520" s="1" t="s">
        <v>15</v>
      </c>
      <c r="C520" s="1">
        <v>6</v>
      </c>
      <c r="D520" s="1">
        <v>2</v>
      </c>
      <c r="E520" s="14">
        <v>54.02</v>
      </c>
      <c r="F520" s="1" t="s">
        <v>18</v>
      </c>
      <c r="G520" s="1">
        <v>3</v>
      </c>
      <c r="H520" s="1" t="s">
        <v>16</v>
      </c>
      <c r="I520" s="1" t="s">
        <v>16</v>
      </c>
      <c r="J520" s="1" t="s">
        <v>16</v>
      </c>
      <c r="K520" s="1" t="s">
        <v>17</v>
      </c>
      <c r="L520" s="1" t="s">
        <v>17</v>
      </c>
      <c r="M520" s="1" t="s">
        <v>17</v>
      </c>
      <c r="N520" s="27" t="s">
        <v>605</v>
      </c>
      <c r="O520" s="1" t="s">
        <v>16</v>
      </c>
    </row>
    <row r="521" spans="1:15" x14ac:dyDescent="0.2">
      <c r="A521" s="9">
        <v>44930</v>
      </c>
      <c r="B521" s="1" t="s">
        <v>15</v>
      </c>
      <c r="C521" s="1">
        <v>7</v>
      </c>
      <c r="D521" s="1">
        <v>2</v>
      </c>
      <c r="E521" s="14">
        <v>40.69</v>
      </c>
      <c r="F521" s="1" t="s">
        <v>16</v>
      </c>
      <c r="G521" s="1">
        <v>4</v>
      </c>
      <c r="H521" s="1" t="s">
        <v>16</v>
      </c>
      <c r="I521" s="1" t="s">
        <v>16</v>
      </c>
      <c r="J521" s="1" t="s">
        <v>16</v>
      </c>
      <c r="K521" s="1" t="s">
        <v>17</v>
      </c>
      <c r="L521" s="1" t="s">
        <v>17</v>
      </c>
      <c r="M521" s="1" t="s">
        <v>17</v>
      </c>
      <c r="N521" s="27" t="s">
        <v>605</v>
      </c>
      <c r="O521" s="1" t="s">
        <v>16</v>
      </c>
    </row>
    <row r="522" spans="1:15" x14ac:dyDescent="0.2">
      <c r="A522" s="9">
        <v>44930</v>
      </c>
      <c r="B522" s="1" t="s">
        <v>15</v>
      </c>
      <c r="C522" s="1">
        <v>8</v>
      </c>
      <c r="D522" s="1">
        <v>2</v>
      </c>
      <c r="E522" s="14">
        <v>49.02</v>
      </c>
      <c r="F522" s="1" t="s">
        <v>16</v>
      </c>
      <c r="G522" s="1">
        <v>4</v>
      </c>
      <c r="H522" s="1" t="s">
        <v>16</v>
      </c>
      <c r="I522" s="1" t="s">
        <v>16</v>
      </c>
      <c r="J522" s="1" t="s">
        <v>16</v>
      </c>
      <c r="K522" s="1" t="s">
        <v>17</v>
      </c>
      <c r="L522" s="1" t="s">
        <v>17</v>
      </c>
      <c r="M522" s="1" t="s">
        <v>17</v>
      </c>
      <c r="N522" s="27" t="s">
        <v>605</v>
      </c>
      <c r="O522" s="1" t="s">
        <v>16</v>
      </c>
    </row>
    <row r="523" spans="1:15" x14ac:dyDescent="0.2">
      <c r="A523" s="9">
        <v>44930</v>
      </c>
      <c r="B523" s="1" t="s">
        <v>15</v>
      </c>
      <c r="C523" s="1">
        <v>9</v>
      </c>
      <c r="D523" s="1">
        <v>2</v>
      </c>
      <c r="E523" s="14">
        <v>55.49</v>
      </c>
      <c r="F523" s="1" t="s">
        <v>16</v>
      </c>
      <c r="G523" s="1">
        <v>4</v>
      </c>
      <c r="H523" s="1" t="s">
        <v>16</v>
      </c>
      <c r="I523" s="1" t="s">
        <v>16</v>
      </c>
      <c r="J523" s="1" t="s">
        <v>16</v>
      </c>
      <c r="K523" s="1" t="s">
        <v>17</v>
      </c>
      <c r="L523" s="1" t="s">
        <v>17</v>
      </c>
      <c r="M523" s="1" t="s">
        <v>17</v>
      </c>
      <c r="N523" s="27" t="s">
        <v>605</v>
      </c>
      <c r="O523" s="1" t="s">
        <v>16</v>
      </c>
    </row>
    <row r="524" spans="1:15" x14ac:dyDescent="0.2">
      <c r="A524" s="9">
        <v>44930</v>
      </c>
      <c r="B524" s="1" t="s">
        <v>15</v>
      </c>
      <c r="C524" s="1">
        <v>10</v>
      </c>
      <c r="D524" s="1">
        <v>2</v>
      </c>
      <c r="E524" s="14">
        <v>51.94</v>
      </c>
      <c r="F524" s="1" t="s">
        <v>16</v>
      </c>
      <c r="G524" s="1">
        <v>4</v>
      </c>
      <c r="H524" s="1" t="s">
        <v>16</v>
      </c>
      <c r="I524" s="1" t="s">
        <v>16</v>
      </c>
      <c r="J524" s="1" t="s">
        <v>16</v>
      </c>
      <c r="K524" s="1" t="s">
        <v>17</v>
      </c>
      <c r="L524" s="1" t="s">
        <v>17</v>
      </c>
      <c r="M524" s="1" t="s">
        <v>17</v>
      </c>
      <c r="N524" s="27" t="s">
        <v>605</v>
      </c>
      <c r="O524" s="1" t="s">
        <v>16</v>
      </c>
    </row>
    <row r="525" spans="1:15" x14ac:dyDescent="0.2">
      <c r="A525" s="9">
        <v>44930</v>
      </c>
      <c r="B525" s="1" t="s">
        <v>15</v>
      </c>
      <c r="C525" s="1">
        <v>11</v>
      </c>
      <c r="D525" s="1">
        <v>3</v>
      </c>
      <c r="E525" s="14">
        <v>69.739999999999995</v>
      </c>
      <c r="F525" s="1" t="s">
        <v>19</v>
      </c>
      <c r="G525" s="1">
        <v>3</v>
      </c>
      <c r="H525" s="1" t="s">
        <v>16</v>
      </c>
      <c r="I525" s="1" t="s">
        <v>16</v>
      </c>
      <c r="J525" s="1" t="s">
        <v>16</v>
      </c>
      <c r="K525" s="1" t="s">
        <v>17</v>
      </c>
      <c r="L525" s="1" t="s">
        <v>17</v>
      </c>
      <c r="M525" s="1" t="s">
        <v>17</v>
      </c>
      <c r="N525" s="27" t="s">
        <v>605</v>
      </c>
      <c r="O525" s="1" t="s">
        <v>16</v>
      </c>
    </row>
    <row r="526" spans="1:15" x14ac:dyDescent="0.2">
      <c r="A526" s="9">
        <v>44930</v>
      </c>
      <c r="B526" s="1" t="s">
        <v>15</v>
      </c>
      <c r="C526" s="1">
        <v>12</v>
      </c>
      <c r="D526" s="1">
        <v>3</v>
      </c>
      <c r="E526" s="14">
        <v>58.27</v>
      </c>
      <c r="F526" s="1" t="s">
        <v>16</v>
      </c>
      <c r="G526" s="1">
        <v>4</v>
      </c>
      <c r="H526" s="1" t="s">
        <v>16</v>
      </c>
      <c r="I526" s="1" t="s">
        <v>16</v>
      </c>
      <c r="J526" s="1" t="s">
        <v>16</v>
      </c>
      <c r="K526" s="1" t="s">
        <v>17</v>
      </c>
      <c r="L526" s="1" t="s">
        <v>17</v>
      </c>
      <c r="M526" s="1" t="s">
        <v>17</v>
      </c>
      <c r="N526" s="27" t="s">
        <v>605</v>
      </c>
      <c r="O526" s="1" t="s">
        <v>16</v>
      </c>
    </row>
    <row r="527" spans="1:15" x14ac:dyDescent="0.2">
      <c r="A527" s="9">
        <v>44930</v>
      </c>
      <c r="B527" s="1" t="s">
        <v>15</v>
      </c>
      <c r="C527" s="1">
        <v>13</v>
      </c>
      <c r="D527" s="1">
        <v>3</v>
      </c>
      <c r="E527" s="14">
        <v>43.37</v>
      </c>
      <c r="F527" s="1" t="s">
        <v>16</v>
      </c>
      <c r="G527" s="1">
        <v>4</v>
      </c>
      <c r="H527" s="1" t="s">
        <v>16</v>
      </c>
      <c r="I527" s="1" t="s">
        <v>16</v>
      </c>
      <c r="J527" s="1" t="s">
        <v>16</v>
      </c>
      <c r="K527" s="1" t="s">
        <v>17</v>
      </c>
      <c r="L527" s="1" t="s">
        <v>17</v>
      </c>
      <c r="M527" s="1" t="s">
        <v>17</v>
      </c>
      <c r="N527" s="27" t="s">
        <v>605</v>
      </c>
      <c r="O527" s="1" t="s">
        <v>16</v>
      </c>
    </row>
    <row r="528" spans="1:15" x14ac:dyDescent="0.2">
      <c r="A528" s="9">
        <v>44930</v>
      </c>
      <c r="B528" s="1" t="s">
        <v>15</v>
      </c>
      <c r="C528" s="1">
        <v>14</v>
      </c>
      <c r="D528" s="1">
        <v>3</v>
      </c>
      <c r="E528" s="14">
        <v>57.42</v>
      </c>
      <c r="F528" s="1" t="s">
        <v>16</v>
      </c>
      <c r="G528" s="1">
        <v>4</v>
      </c>
      <c r="H528" s="1" t="s">
        <v>16</v>
      </c>
      <c r="I528" s="1" t="s">
        <v>16</v>
      </c>
      <c r="J528" s="1" t="s">
        <v>16</v>
      </c>
      <c r="K528" s="1" t="s">
        <v>17</v>
      </c>
      <c r="L528" s="1" t="s">
        <v>17</v>
      </c>
      <c r="M528" s="1" t="s">
        <v>17</v>
      </c>
      <c r="N528" s="27" t="s">
        <v>605</v>
      </c>
      <c r="O528" s="1" t="s">
        <v>16</v>
      </c>
    </row>
    <row r="529" spans="1:15" x14ac:dyDescent="0.2">
      <c r="A529" s="9">
        <v>44930</v>
      </c>
      <c r="B529" s="1" t="s">
        <v>15</v>
      </c>
      <c r="C529" s="1">
        <v>15</v>
      </c>
      <c r="D529" s="1">
        <v>3</v>
      </c>
      <c r="E529" s="14">
        <v>55.02</v>
      </c>
      <c r="F529" s="1" t="s">
        <v>18</v>
      </c>
      <c r="G529" s="1">
        <v>3</v>
      </c>
      <c r="H529" s="1" t="s">
        <v>16</v>
      </c>
      <c r="I529" s="1" t="s">
        <v>16</v>
      </c>
      <c r="J529" s="1" t="s">
        <v>16</v>
      </c>
      <c r="K529" s="1" t="s">
        <v>17</v>
      </c>
      <c r="L529" s="1" t="s">
        <v>17</v>
      </c>
      <c r="M529" s="1" t="s">
        <v>17</v>
      </c>
      <c r="N529" s="27" t="s">
        <v>605</v>
      </c>
      <c r="O529" s="1" t="s">
        <v>16</v>
      </c>
    </row>
    <row r="530" spans="1:15" x14ac:dyDescent="0.2">
      <c r="A530" s="9">
        <v>44964</v>
      </c>
      <c r="B530" s="1" t="s">
        <v>15</v>
      </c>
      <c r="C530" s="1">
        <v>1</v>
      </c>
      <c r="D530" s="1">
        <v>1</v>
      </c>
      <c r="E530" s="1">
        <v>42.2</v>
      </c>
      <c r="F530" s="1" t="s">
        <v>16</v>
      </c>
      <c r="G530" s="1" t="s">
        <v>16</v>
      </c>
      <c r="H530" s="1" t="s">
        <v>16</v>
      </c>
      <c r="I530" s="1" t="s">
        <v>16</v>
      </c>
      <c r="J530" s="1" t="s">
        <v>16</v>
      </c>
      <c r="K530" s="1" t="s">
        <v>17</v>
      </c>
      <c r="L530" s="1" t="s">
        <v>17</v>
      </c>
      <c r="M530" s="1" t="s">
        <v>21</v>
      </c>
      <c r="N530" s="27" t="s">
        <v>605</v>
      </c>
      <c r="O530" s="1" t="s">
        <v>16</v>
      </c>
    </row>
    <row r="531" spans="1:15" x14ac:dyDescent="0.2">
      <c r="A531" s="9">
        <v>44964</v>
      </c>
      <c r="B531" s="1" t="s">
        <v>15</v>
      </c>
      <c r="C531" s="1">
        <v>2</v>
      </c>
      <c r="D531" s="1">
        <v>1</v>
      </c>
      <c r="E531" s="1">
        <v>37.340000000000003</v>
      </c>
      <c r="F531" s="1" t="s">
        <v>19</v>
      </c>
      <c r="G531" s="1">
        <v>1</v>
      </c>
      <c r="H531" s="1" t="s">
        <v>16</v>
      </c>
      <c r="I531" s="1" t="s">
        <v>16</v>
      </c>
      <c r="J531" s="1" t="s">
        <v>16</v>
      </c>
      <c r="K531" s="1" t="s">
        <v>17</v>
      </c>
      <c r="L531" s="1" t="s">
        <v>17</v>
      </c>
      <c r="M531" s="1" t="s">
        <v>17</v>
      </c>
      <c r="N531" s="27" t="s">
        <v>605</v>
      </c>
      <c r="O531" s="1" t="s">
        <v>16</v>
      </c>
    </row>
    <row r="532" spans="1:15" x14ac:dyDescent="0.2">
      <c r="A532" s="9">
        <v>44964</v>
      </c>
      <c r="B532" s="1" t="s">
        <v>15</v>
      </c>
      <c r="C532" s="1">
        <v>3</v>
      </c>
      <c r="D532" s="1">
        <v>1</v>
      </c>
      <c r="E532" s="1">
        <v>40.950000000000003</v>
      </c>
      <c r="F532" s="1" t="s">
        <v>16</v>
      </c>
      <c r="G532" s="1" t="s">
        <v>16</v>
      </c>
      <c r="H532" s="1" t="s">
        <v>16</v>
      </c>
      <c r="I532" s="1" t="s">
        <v>16</v>
      </c>
      <c r="J532" s="1" t="s">
        <v>16</v>
      </c>
      <c r="K532" s="1" t="s">
        <v>17</v>
      </c>
      <c r="L532" s="1" t="s">
        <v>17</v>
      </c>
      <c r="M532" s="1" t="s">
        <v>21</v>
      </c>
      <c r="N532" s="27" t="s">
        <v>605</v>
      </c>
      <c r="O532" s="1" t="s">
        <v>16</v>
      </c>
    </row>
    <row r="533" spans="1:15" x14ac:dyDescent="0.2">
      <c r="A533" s="9">
        <v>44964</v>
      </c>
      <c r="B533" s="1" t="s">
        <v>15</v>
      </c>
      <c r="C533" s="1">
        <v>4</v>
      </c>
      <c r="D533" s="1">
        <v>1</v>
      </c>
      <c r="E533" s="1">
        <v>44.39</v>
      </c>
      <c r="F533" s="1" t="s">
        <v>16</v>
      </c>
      <c r="G533" s="1" t="s">
        <v>16</v>
      </c>
      <c r="H533" s="1" t="s">
        <v>16</v>
      </c>
      <c r="I533" s="1" t="s">
        <v>16</v>
      </c>
      <c r="J533" s="1" t="s">
        <v>16</v>
      </c>
      <c r="K533" s="1" t="s">
        <v>17</v>
      </c>
      <c r="L533" s="1" t="s">
        <v>17</v>
      </c>
      <c r="M533" s="1" t="s">
        <v>21</v>
      </c>
      <c r="N533" s="27" t="s">
        <v>605</v>
      </c>
      <c r="O533" s="1" t="s">
        <v>16</v>
      </c>
    </row>
    <row r="534" spans="1:15" x14ac:dyDescent="0.2">
      <c r="A534" s="9">
        <v>44964</v>
      </c>
      <c r="B534" s="1" t="s">
        <v>15</v>
      </c>
      <c r="C534" s="1">
        <v>5</v>
      </c>
      <c r="D534" s="1">
        <v>1</v>
      </c>
      <c r="E534" s="1">
        <v>61.28</v>
      </c>
      <c r="F534" s="1" t="s">
        <v>16</v>
      </c>
      <c r="G534" s="1" t="s">
        <v>16</v>
      </c>
      <c r="H534" s="1" t="s">
        <v>16</v>
      </c>
      <c r="I534" s="1" t="s">
        <v>16</v>
      </c>
      <c r="J534" s="1" t="s">
        <v>16</v>
      </c>
      <c r="K534" s="1" t="s">
        <v>21</v>
      </c>
      <c r="L534" s="1" t="s">
        <v>17</v>
      </c>
      <c r="M534" s="1" t="s">
        <v>21</v>
      </c>
      <c r="N534" s="27" t="s">
        <v>605</v>
      </c>
      <c r="O534" s="1" t="s">
        <v>16</v>
      </c>
    </row>
    <row r="535" spans="1:15" x14ac:dyDescent="0.2">
      <c r="A535" s="9">
        <v>44964</v>
      </c>
      <c r="B535" s="1" t="s">
        <v>15</v>
      </c>
      <c r="C535" s="1">
        <v>6</v>
      </c>
      <c r="D535" s="1">
        <v>2</v>
      </c>
      <c r="E535" s="1">
        <v>67.41</v>
      </c>
      <c r="F535" s="1" t="s">
        <v>16</v>
      </c>
      <c r="G535" s="1" t="s">
        <v>16</v>
      </c>
      <c r="H535" s="1" t="s">
        <v>16</v>
      </c>
      <c r="I535" s="1" t="s">
        <v>16</v>
      </c>
      <c r="J535" s="1" t="s">
        <v>16</v>
      </c>
      <c r="K535" s="1" t="s">
        <v>17</v>
      </c>
      <c r="L535" s="1" t="s">
        <v>17</v>
      </c>
      <c r="M535" s="1" t="s">
        <v>21</v>
      </c>
      <c r="N535" s="27" t="s">
        <v>605</v>
      </c>
      <c r="O535" s="1" t="s">
        <v>16</v>
      </c>
    </row>
    <row r="536" spans="1:15" x14ac:dyDescent="0.2">
      <c r="A536" s="9">
        <v>44964</v>
      </c>
      <c r="B536" s="1" t="s">
        <v>15</v>
      </c>
      <c r="C536" s="1">
        <v>7</v>
      </c>
      <c r="D536" s="1">
        <v>2</v>
      </c>
      <c r="E536" s="1">
        <v>59.07</v>
      </c>
      <c r="F536" s="1" t="s">
        <v>16</v>
      </c>
      <c r="G536" s="1" t="s">
        <v>16</v>
      </c>
      <c r="H536" s="1" t="s">
        <v>16</v>
      </c>
      <c r="I536" s="1" t="s">
        <v>16</v>
      </c>
      <c r="J536" s="1" t="s">
        <v>16</v>
      </c>
      <c r="K536" s="1" t="s">
        <v>17</v>
      </c>
      <c r="L536" s="1" t="s">
        <v>17</v>
      </c>
      <c r="M536" s="1" t="s">
        <v>21</v>
      </c>
      <c r="N536" s="27" t="s">
        <v>605</v>
      </c>
      <c r="O536" s="1" t="s">
        <v>16</v>
      </c>
    </row>
    <row r="537" spans="1:15" x14ac:dyDescent="0.2">
      <c r="A537" s="9">
        <v>44964</v>
      </c>
      <c r="B537" s="1" t="s">
        <v>15</v>
      </c>
      <c r="C537" s="1">
        <v>8</v>
      </c>
      <c r="D537" s="1">
        <v>2</v>
      </c>
      <c r="E537" s="1">
        <v>32.15</v>
      </c>
      <c r="F537" s="1" t="s">
        <v>16</v>
      </c>
      <c r="G537" s="1" t="s">
        <v>16</v>
      </c>
      <c r="H537" s="1" t="s">
        <v>16</v>
      </c>
      <c r="I537" s="1" t="s">
        <v>16</v>
      </c>
      <c r="J537" s="1" t="s">
        <v>16</v>
      </c>
      <c r="K537" s="1" t="s">
        <v>17</v>
      </c>
      <c r="L537" s="1" t="s">
        <v>17</v>
      </c>
      <c r="M537" s="1" t="s">
        <v>21</v>
      </c>
      <c r="N537" s="27" t="s">
        <v>605</v>
      </c>
      <c r="O537" s="1" t="s">
        <v>16</v>
      </c>
    </row>
    <row r="538" spans="1:15" x14ac:dyDescent="0.2">
      <c r="A538" s="9">
        <v>44964</v>
      </c>
      <c r="B538" s="1" t="s">
        <v>15</v>
      </c>
      <c r="C538" s="1">
        <v>9</v>
      </c>
      <c r="D538" s="1">
        <v>2</v>
      </c>
      <c r="E538" s="1">
        <v>33.9</v>
      </c>
      <c r="F538" s="1" t="s">
        <v>19</v>
      </c>
      <c r="G538" s="1">
        <v>2</v>
      </c>
      <c r="H538" s="1" t="s">
        <v>16</v>
      </c>
      <c r="I538" s="1" t="s">
        <v>16</v>
      </c>
      <c r="J538" s="1" t="s">
        <v>16</v>
      </c>
      <c r="K538" s="1" t="s">
        <v>17</v>
      </c>
      <c r="L538" s="1" t="s">
        <v>17</v>
      </c>
      <c r="M538" s="1" t="s">
        <v>17</v>
      </c>
      <c r="N538" s="27" t="s">
        <v>605</v>
      </c>
      <c r="O538" s="1" t="s">
        <v>16</v>
      </c>
    </row>
    <row r="539" spans="1:15" x14ac:dyDescent="0.2">
      <c r="A539" s="9">
        <v>44964</v>
      </c>
      <c r="B539" s="1" t="s">
        <v>15</v>
      </c>
      <c r="C539" s="1">
        <v>10</v>
      </c>
      <c r="D539" s="1">
        <v>2</v>
      </c>
      <c r="E539" s="1">
        <v>56.72</v>
      </c>
      <c r="F539" s="1" t="s">
        <v>16</v>
      </c>
      <c r="G539" s="1" t="s">
        <v>16</v>
      </c>
      <c r="H539" s="1" t="s">
        <v>16</v>
      </c>
      <c r="I539" s="1" t="s">
        <v>16</v>
      </c>
      <c r="J539" s="1" t="s">
        <v>16</v>
      </c>
      <c r="K539" s="1" t="s">
        <v>17</v>
      </c>
      <c r="L539" s="1" t="s">
        <v>17</v>
      </c>
      <c r="M539" s="1" t="s">
        <v>21</v>
      </c>
      <c r="N539" s="27" t="s">
        <v>605</v>
      </c>
      <c r="O539" s="1" t="s">
        <v>16</v>
      </c>
    </row>
    <row r="540" spans="1:15" x14ac:dyDescent="0.2">
      <c r="A540" s="9">
        <v>44964</v>
      </c>
      <c r="B540" s="1" t="s">
        <v>15</v>
      </c>
      <c r="C540" s="1">
        <v>11</v>
      </c>
      <c r="D540" s="1">
        <v>3</v>
      </c>
      <c r="E540" s="1">
        <v>39.39</v>
      </c>
      <c r="F540" s="1" t="s">
        <v>18</v>
      </c>
      <c r="G540" s="1">
        <v>2</v>
      </c>
      <c r="H540" s="1" t="s">
        <v>16</v>
      </c>
      <c r="I540" s="1" t="s">
        <v>16</v>
      </c>
      <c r="J540" s="1" t="s">
        <v>16</v>
      </c>
      <c r="K540" s="1" t="s">
        <v>17</v>
      </c>
      <c r="L540" s="1" t="s">
        <v>17</v>
      </c>
      <c r="M540" s="1" t="s">
        <v>17</v>
      </c>
      <c r="N540" s="27" t="s">
        <v>605</v>
      </c>
      <c r="O540" s="1" t="s">
        <v>16</v>
      </c>
    </row>
    <row r="541" spans="1:15" x14ac:dyDescent="0.2">
      <c r="A541" s="9">
        <v>44964</v>
      </c>
      <c r="B541" s="1" t="s">
        <v>15</v>
      </c>
      <c r="C541" s="1">
        <v>12</v>
      </c>
      <c r="D541" s="1">
        <v>3</v>
      </c>
      <c r="E541" s="1">
        <v>56.05</v>
      </c>
      <c r="F541" s="1" t="s">
        <v>16</v>
      </c>
      <c r="G541" s="1">
        <v>4</v>
      </c>
      <c r="H541" s="1" t="s">
        <v>16</v>
      </c>
      <c r="I541" s="1" t="s">
        <v>16</v>
      </c>
      <c r="J541" s="1" t="s">
        <v>16</v>
      </c>
      <c r="K541" s="1" t="s">
        <v>17</v>
      </c>
      <c r="L541" s="1" t="s">
        <v>17</v>
      </c>
      <c r="M541" s="1" t="s">
        <v>17</v>
      </c>
      <c r="N541" s="27" t="s">
        <v>605</v>
      </c>
      <c r="O541" s="1" t="s">
        <v>16</v>
      </c>
    </row>
    <row r="542" spans="1:15" x14ac:dyDescent="0.2">
      <c r="A542" s="9">
        <v>44964</v>
      </c>
      <c r="B542" s="1" t="s">
        <v>15</v>
      </c>
      <c r="C542" s="1">
        <v>13</v>
      </c>
      <c r="D542" s="1">
        <v>3</v>
      </c>
      <c r="E542" s="1">
        <v>59.88</v>
      </c>
      <c r="F542" s="1" t="s">
        <v>16</v>
      </c>
      <c r="G542" s="1" t="s">
        <v>16</v>
      </c>
      <c r="H542" s="1" t="s">
        <v>16</v>
      </c>
      <c r="I542" s="1" t="s">
        <v>16</v>
      </c>
      <c r="J542" s="1" t="s">
        <v>16</v>
      </c>
      <c r="K542" s="1" t="s">
        <v>21</v>
      </c>
      <c r="L542" s="1" t="s">
        <v>17</v>
      </c>
      <c r="M542" s="1" t="s">
        <v>21</v>
      </c>
      <c r="N542" s="27" t="s">
        <v>605</v>
      </c>
      <c r="O542" s="1" t="s">
        <v>16</v>
      </c>
    </row>
    <row r="543" spans="1:15" x14ac:dyDescent="0.2">
      <c r="A543" s="9">
        <v>44964</v>
      </c>
      <c r="B543" s="1" t="s">
        <v>15</v>
      </c>
      <c r="C543" s="1">
        <v>14</v>
      </c>
      <c r="D543" s="1">
        <v>3</v>
      </c>
      <c r="E543" s="1">
        <v>44.93</v>
      </c>
      <c r="F543" s="1" t="s">
        <v>16</v>
      </c>
      <c r="G543" s="1">
        <v>4</v>
      </c>
      <c r="H543" s="1" t="s">
        <v>16</v>
      </c>
      <c r="I543" s="1" t="s">
        <v>16</v>
      </c>
      <c r="J543" s="1" t="s">
        <v>16</v>
      </c>
      <c r="K543" s="1" t="s">
        <v>17</v>
      </c>
      <c r="L543" s="1" t="s">
        <v>17</v>
      </c>
      <c r="M543" s="1" t="s">
        <v>17</v>
      </c>
      <c r="N543" s="27" t="s">
        <v>605</v>
      </c>
      <c r="O543" s="1" t="s">
        <v>16</v>
      </c>
    </row>
    <row r="544" spans="1:15" x14ac:dyDescent="0.2">
      <c r="A544" s="9">
        <v>44964</v>
      </c>
      <c r="B544" s="1" t="s">
        <v>15</v>
      </c>
      <c r="C544" s="1">
        <v>15</v>
      </c>
      <c r="D544" s="1">
        <v>3</v>
      </c>
      <c r="E544" s="1">
        <v>43.62</v>
      </c>
      <c r="F544" s="1" t="s">
        <v>16</v>
      </c>
      <c r="G544" s="1">
        <v>4</v>
      </c>
      <c r="H544" s="1" t="s">
        <v>16</v>
      </c>
      <c r="I544" s="1" t="s">
        <v>16</v>
      </c>
      <c r="J544" s="1" t="s">
        <v>16</v>
      </c>
      <c r="K544" s="1" t="s">
        <v>17</v>
      </c>
      <c r="L544" s="1" t="s">
        <v>17</v>
      </c>
      <c r="M544" s="1" t="s">
        <v>17</v>
      </c>
      <c r="N544" s="27" t="s">
        <v>605</v>
      </c>
      <c r="O544" s="1" t="s">
        <v>16</v>
      </c>
    </row>
    <row r="545" spans="1:15" x14ac:dyDescent="0.2">
      <c r="A545" s="9">
        <v>44993</v>
      </c>
      <c r="B545" s="1" t="s">
        <v>15</v>
      </c>
      <c r="C545" s="1">
        <v>1</v>
      </c>
      <c r="D545" s="1">
        <v>1</v>
      </c>
      <c r="E545" s="14">
        <v>42.39</v>
      </c>
      <c r="F545" s="1" t="s">
        <v>18</v>
      </c>
      <c r="G545" s="1">
        <v>1</v>
      </c>
      <c r="H545" s="1" t="s">
        <v>16</v>
      </c>
      <c r="I545" s="1" t="s">
        <v>16</v>
      </c>
      <c r="J545" s="1" t="s">
        <v>16</v>
      </c>
      <c r="K545" s="1" t="s">
        <v>21</v>
      </c>
      <c r="L545" s="1" t="s">
        <v>17</v>
      </c>
      <c r="M545" s="1" t="s">
        <v>17</v>
      </c>
      <c r="N545" s="27" t="s">
        <v>605</v>
      </c>
      <c r="O545" s="1" t="s">
        <v>16</v>
      </c>
    </row>
    <row r="546" spans="1:15" x14ac:dyDescent="0.2">
      <c r="A546" s="9">
        <v>44993</v>
      </c>
      <c r="B546" s="1" t="s">
        <v>15</v>
      </c>
      <c r="C546" s="1">
        <v>2</v>
      </c>
      <c r="D546" s="1">
        <v>1</v>
      </c>
      <c r="E546" s="14">
        <v>58.22</v>
      </c>
      <c r="F546" s="1" t="s">
        <v>18</v>
      </c>
      <c r="G546" s="1">
        <v>2</v>
      </c>
      <c r="H546" s="1" t="s">
        <v>16</v>
      </c>
      <c r="I546" s="1" t="s">
        <v>16</v>
      </c>
      <c r="J546" s="1" t="s">
        <v>16</v>
      </c>
      <c r="K546" s="1" t="s">
        <v>21</v>
      </c>
      <c r="L546" s="1" t="s">
        <v>17</v>
      </c>
      <c r="M546" s="1" t="s">
        <v>17</v>
      </c>
      <c r="N546" s="27" t="s">
        <v>605</v>
      </c>
      <c r="O546" s="1" t="s">
        <v>16</v>
      </c>
    </row>
    <row r="547" spans="1:15" x14ac:dyDescent="0.2">
      <c r="A547" s="9">
        <v>44993</v>
      </c>
      <c r="B547" s="1" t="s">
        <v>15</v>
      </c>
      <c r="C547" s="1">
        <v>3</v>
      </c>
      <c r="D547" s="1">
        <v>1</v>
      </c>
      <c r="E547" s="14">
        <v>67.61</v>
      </c>
      <c r="F547" s="1" t="s">
        <v>16</v>
      </c>
      <c r="G547" s="1">
        <v>4</v>
      </c>
      <c r="H547" s="1" t="s">
        <v>16</v>
      </c>
      <c r="I547" s="1" t="s">
        <v>16</v>
      </c>
      <c r="J547" s="1" t="s">
        <v>16</v>
      </c>
      <c r="K547" s="1" t="s">
        <v>17</v>
      </c>
      <c r="L547" s="1" t="s">
        <v>17</v>
      </c>
      <c r="M547" s="1" t="s">
        <v>17</v>
      </c>
      <c r="N547" s="27" t="s">
        <v>605</v>
      </c>
      <c r="O547" s="1" t="s">
        <v>16</v>
      </c>
    </row>
    <row r="548" spans="1:15" x14ac:dyDescent="0.2">
      <c r="A548" s="9">
        <v>44993</v>
      </c>
      <c r="B548" s="1" t="s">
        <v>15</v>
      </c>
      <c r="C548" s="1">
        <v>4</v>
      </c>
      <c r="D548" s="1">
        <v>1</v>
      </c>
      <c r="E548" s="14">
        <v>42.06</v>
      </c>
      <c r="F548" s="1" t="s">
        <v>18</v>
      </c>
      <c r="G548" s="1">
        <v>2</v>
      </c>
      <c r="H548" s="1" t="s">
        <v>16</v>
      </c>
      <c r="I548" s="1" t="s">
        <v>16</v>
      </c>
      <c r="J548" s="1" t="s">
        <v>16</v>
      </c>
      <c r="K548" s="1" t="s">
        <v>17</v>
      </c>
      <c r="L548" s="1" t="s">
        <v>17</v>
      </c>
      <c r="M548" s="1" t="s">
        <v>17</v>
      </c>
      <c r="N548" s="27" t="s">
        <v>605</v>
      </c>
      <c r="O548" s="1" t="s">
        <v>16</v>
      </c>
    </row>
    <row r="549" spans="1:15" x14ac:dyDescent="0.2">
      <c r="A549" s="9">
        <v>44993</v>
      </c>
      <c r="B549" s="1" t="s">
        <v>15</v>
      </c>
      <c r="C549" s="1">
        <v>5</v>
      </c>
      <c r="D549" s="1">
        <v>1</v>
      </c>
      <c r="E549" s="14">
        <v>39.31</v>
      </c>
      <c r="F549" s="1" t="s">
        <v>18</v>
      </c>
      <c r="G549" s="1">
        <v>2</v>
      </c>
      <c r="H549" s="1" t="s">
        <v>16</v>
      </c>
      <c r="I549" s="1" t="s">
        <v>16</v>
      </c>
      <c r="J549" s="1" t="s">
        <v>16</v>
      </c>
      <c r="K549" s="1" t="s">
        <v>21</v>
      </c>
      <c r="L549" s="1" t="s">
        <v>17</v>
      </c>
      <c r="M549" s="1" t="s">
        <v>17</v>
      </c>
      <c r="N549" s="27" t="s">
        <v>605</v>
      </c>
      <c r="O549" s="1" t="s">
        <v>16</v>
      </c>
    </row>
    <row r="550" spans="1:15" x14ac:dyDescent="0.2">
      <c r="A550" s="9">
        <v>44993</v>
      </c>
      <c r="B550" s="1" t="s">
        <v>15</v>
      </c>
      <c r="C550" s="1">
        <v>6</v>
      </c>
      <c r="D550" s="1">
        <v>2</v>
      </c>
      <c r="E550" s="14">
        <v>58.71</v>
      </c>
      <c r="F550" s="1" t="s">
        <v>16</v>
      </c>
      <c r="G550" s="1">
        <v>4</v>
      </c>
      <c r="H550" s="1" t="s">
        <v>16</v>
      </c>
      <c r="I550" s="1" t="s">
        <v>16</v>
      </c>
      <c r="J550" s="1" t="s">
        <v>16</v>
      </c>
      <c r="K550" s="1" t="s">
        <v>17</v>
      </c>
      <c r="L550" s="1" t="s">
        <v>17</v>
      </c>
      <c r="M550" s="1" t="s">
        <v>17</v>
      </c>
      <c r="N550" s="27" t="s">
        <v>605</v>
      </c>
      <c r="O550" s="1" t="s">
        <v>16</v>
      </c>
    </row>
    <row r="551" spans="1:15" x14ac:dyDescent="0.2">
      <c r="A551" s="9">
        <v>44993</v>
      </c>
      <c r="B551" s="1" t="s">
        <v>15</v>
      </c>
      <c r="C551" s="1">
        <v>7</v>
      </c>
      <c r="D551" s="1">
        <v>2</v>
      </c>
      <c r="E551" s="14">
        <v>42.13</v>
      </c>
      <c r="F551" s="1" t="s">
        <v>18</v>
      </c>
      <c r="G551" s="1">
        <v>2</v>
      </c>
      <c r="H551" s="1" t="s">
        <v>16</v>
      </c>
      <c r="I551" s="1" t="s">
        <v>16</v>
      </c>
      <c r="J551" s="1" t="s">
        <v>16</v>
      </c>
      <c r="K551" s="1" t="s">
        <v>17</v>
      </c>
      <c r="L551" s="1" t="s">
        <v>17</v>
      </c>
      <c r="M551" s="1" t="s">
        <v>17</v>
      </c>
      <c r="N551" s="27" t="s">
        <v>605</v>
      </c>
      <c r="O551" s="1" t="s">
        <v>16</v>
      </c>
    </row>
    <row r="552" spans="1:15" x14ac:dyDescent="0.2">
      <c r="A552" s="9">
        <v>44993</v>
      </c>
      <c r="B552" s="1" t="s">
        <v>15</v>
      </c>
      <c r="C552" s="1">
        <v>8</v>
      </c>
      <c r="D552" s="1">
        <v>2</v>
      </c>
      <c r="E552" s="14">
        <v>54.81</v>
      </c>
      <c r="F552" s="1" t="s">
        <v>18</v>
      </c>
      <c r="G552" s="1">
        <v>2</v>
      </c>
      <c r="H552" s="1" t="s">
        <v>16</v>
      </c>
      <c r="I552" s="1" t="s">
        <v>16</v>
      </c>
      <c r="J552" s="1" t="s">
        <v>16</v>
      </c>
      <c r="K552" s="1" t="s">
        <v>17</v>
      </c>
      <c r="L552" s="1" t="s">
        <v>17</v>
      </c>
      <c r="M552" s="1" t="s">
        <v>17</v>
      </c>
      <c r="N552" s="27" t="s">
        <v>605</v>
      </c>
      <c r="O552" s="1" t="s">
        <v>16</v>
      </c>
    </row>
    <row r="553" spans="1:15" x14ac:dyDescent="0.2">
      <c r="A553" s="9">
        <v>44993</v>
      </c>
      <c r="B553" s="1" t="s">
        <v>15</v>
      </c>
      <c r="C553" s="1">
        <v>9</v>
      </c>
      <c r="D553" s="1">
        <v>2</v>
      </c>
      <c r="E553" s="14">
        <v>71.16</v>
      </c>
      <c r="F553" s="1" t="s">
        <v>18</v>
      </c>
      <c r="G553" s="1">
        <v>1</v>
      </c>
      <c r="H553" s="1" t="s">
        <v>16</v>
      </c>
      <c r="I553" s="1" t="s">
        <v>16</v>
      </c>
      <c r="J553" s="1" t="s">
        <v>16</v>
      </c>
      <c r="K553" s="1" t="s">
        <v>21</v>
      </c>
      <c r="L553" s="1" t="s">
        <v>17</v>
      </c>
      <c r="M553" s="1" t="s">
        <v>17</v>
      </c>
      <c r="N553" s="27" t="s">
        <v>605</v>
      </c>
      <c r="O553" s="1" t="s">
        <v>16</v>
      </c>
    </row>
    <row r="554" spans="1:15" x14ac:dyDescent="0.2">
      <c r="A554" s="9">
        <v>44993</v>
      </c>
      <c r="B554" s="1" t="s">
        <v>15</v>
      </c>
      <c r="C554" s="1">
        <v>10</v>
      </c>
      <c r="D554" s="1">
        <v>2</v>
      </c>
      <c r="E554" s="14">
        <v>58.01</v>
      </c>
      <c r="F554" s="1" t="s">
        <v>18</v>
      </c>
      <c r="G554" s="1">
        <v>2</v>
      </c>
      <c r="H554" s="1" t="s">
        <v>16</v>
      </c>
      <c r="I554" s="1" t="s">
        <v>16</v>
      </c>
      <c r="J554" s="1" t="s">
        <v>16</v>
      </c>
      <c r="K554" s="1" t="s">
        <v>17</v>
      </c>
      <c r="L554" s="1" t="s">
        <v>17</v>
      </c>
      <c r="M554" s="1" t="s">
        <v>17</v>
      </c>
      <c r="N554" s="27" t="s">
        <v>605</v>
      </c>
      <c r="O554" s="1" t="s">
        <v>16</v>
      </c>
    </row>
    <row r="555" spans="1:15" x14ac:dyDescent="0.2">
      <c r="A555" s="9">
        <v>44993</v>
      </c>
      <c r="B555" s="1" t="s">
        <v>15</v>
      </c>
      <c r="C555" s="1">
        <v>11</v>
      </c>
      <c r="D555" s="1">
        <v>3</v>
      </c>
      <c r="E555" s="14">
        <v>63.9</v>
      </c>
      <c r="F555" s="1" t="s">
        <v>16</v>
      </c>
      <c r="G555" s="1">
        <v>4</v>
      </c>
      <c r="H555" s="1" t="s">
        <v>16</v>
      </c>
      <c r="I555" s="1" t="s">
        <v>16</v>
      </c>
      <c r="J555" s="1" t="s">
        <v>16</v>
      </c>
      <c r="K555" s="1" t="s">
        <v>17</v>
      </c>
      <c r="L555" s="1" t="s">
        <v>17</v>
      </c>
      <c r="M555" s="1" t="s">
        <v>17</v>
      </c>
      <c r="N555" s="27" t="s">
        <v>605</v>
      </c>
      <c r="O555" s="1" t="s">
        <v>16</v>
      </c>
    </row>
    <row r="556" spans="1:15" x14ac:dyDescent="0.2">
      <c r="A556" s="9">
        <v>44993</v>
      </c>
      <c r="B556" s="1" t="s">
        <v>15</v>
      </c>
      <c r="C556" s="1">
        <v>12</v>
      </c>
      <c r="D556" s="1">
        <v>3</v>
      </c>
      <c r="E556" s="14">
        <v>48.11</v>
      </c>
      <c r="F556" s="1" t="s">
        <v>19</v>
      </c>
      <c r="G556" s="1">
        <v>2</v>
      </c>
      <c r="H556" s="1" t="s">
        <v>16</v>
      </c>
      <c r="I556" s="1" t="s">
        <v>16</v>
      </c>
      <c r="J556" s="1" t="s">
        <v>16</v>
      </c>
      <c r="K556" s="1" t="s">
        <v>17</v>
      </c>
      <c r="L556" s="1" t="s">
        <v>17</v>
      </c>
      <c r="M556" s="1" t="s">
        <v>17</v>
      </c>
      <c r="N556" s="27" t="s">
        <v>605</v>
      </c>
      <c r="O556" s="1" t="s">
        <v>16</v>
      </c>
    </row>
    <row r="557" spans="1:15" x14ac:dyDescent="0.2">
      <c r="A557" s="9">
        <v>44993</v>
      </c>
      <c r="B557" s="1" t="s">
        <v>15</v>
      </c>
      <c r="C557" s="1">
        <v>13</v>
      </c>
      <c r="D557" s="1">
        <v>3</v>
      </c>
      <c r="E557" s="14">
        <v>44.82</v>
      </c>
      <c r="F557" s="1" t="s">
        <v>19</v>
      </c>
      <c r="G557" s="1">
        <v>2</v>
      </c>
      <c r="H557" s="1" t="s">
        <v>16</v>
      </c>
      <c r="I557" s="1" t="s">
        <v>16</v>
      </c>
      <c r="J557" s="1" t="s">
        <v>16</v>
      </c>
      <c r="K557" s="1" t="s">
        <v>21</v>
      </c>
      <c r="L557" s="1" t="s">
        <v>17</v>
      </c>
      <c r="M557" s="1" t="s">
        <v>17</v>
      </c>
      <c r="N557" s="27" t="s">
        <v>605</v>
      </c>
      <c r="O557" s="1" t="s">
        <v>16</v>
      </c>
    </row>
    <row r="558" spans="1:15" x14ac:dyDescent="0.2">
      <c r="A558" s="9">
        <v>44993</v>
      </c>
      <c r="B558" s="1" t="s">
        <v>15</v>
      </c>
      <c r="C558" s="1">
        <v>14</v>
      </c>
      <c r="D558" s="1">
        <v>3</v>
      </c>
      <c r="E558" s="14">
        <v>46.34</v>
      </c>
      <c r="F558" s="1" t="s">
        <v>19</v>
      </c>
      <c r="G558" s="1">
        <v>2</v>
      </c>
      <c r="H558" s="1" t="s">
        <v>16</v>
      </c>
      <c r="I558" s="1" t="s">
        <v>16</v>
      </c>
      <c r="J558" s="1" t="s">
        <v>16</v>
      </c>
      <c r="K558" s="1" t="s">
        <v>17</v>
      </c>
      <c r="L558" s="1" t="s">
        <v>17</v>
      </c>
      <c r="M558" s="1" t="s">
        <v>17</v>
      </c>
      <c r="N558" s="27" t="s">
        <v>605</v>
      </c>
      <c r="O558" s="1" t="s">
        <v>16</v>
      </c>
    </row>
    <row r="559" spans="1:15" x14ac:dyDescent="0.2">
      <c r="A559" s="9">
        <v>44993</v>
      </c>
      <c r="B559" s="1" t="s">
        <v>15</v>
      </c>
      <c r="C559" s="1">
        <v>15</v>
      </c>
      <c r="D559" s="1">
        <v>3</v>
      </c>
      <c r="E559" s="14">
        <v>54.44</v>
      </c>
      <c r="F559" s="1" t="s">
        <v>19</v>
      </c>
      <c r="G559" s="1">
        <v>2</v>
      </c>
      <c r="H559" s="1" t="s">
        <v>16</v>
      </c>
      <c r="I559" s="1" t="s">
        <v>16</v>
      </c>
      <c r="J559" s="1" t="s">
        <v>16</v>
      </c>
      <c r="K559" s="1" t="s">
        <v>17</v>
      </c>
      <c r="L559" s="1" t="s">
        <v>17</v>
      </c>
      <c r="M559" s="1" t="s">
        <v>17</v>
      </c>
      <c r="N559" s="27" t="s">
        <v>605</v>
      </c>
      <c r="O559" s="1" t="s">
        <v>16</v>
      </c>
    </row>
    <row r="560" spans="1:15" x14ac:dyDescent="0.2">
      <c r="A560" s="9">
        <v>45020</v>
      </c>
      <c r="B560" s="1" t="s">
        <v>15</v>
      </c>
      <c r="C560" s="1">
        <v>1</v>
      </c>
      <c r="D560" s="1">
        <v>1</v>
      </c>
      <c r="E560" s="14">
        <v>59.08</v>
      </c>
      <c r="F560" s="1" t="s">
        <v>18</v>
      </c>
      <c r="G560" s="1">
        <v>2</v>
      </c>
      <c r="H560" s="1" t="s">
        <v>16</v>
      </c>
      <c r="I560" s="1" t="s">
        <v>16</v>
      </c>
      <c r="J560" s="1" t="s">
        <v>16</v>
      </c>
      <c r="K560" s="1" t="s">
        <v>17</v>
      </c>
      <c r="L560" s="1" t="s">
        <v>17</v>
      </c>
      <c r="M560" s="1" t="s">
        <v>17</v>
      </c>
      <c r="N560" s="27" t="s">
        <v>605</v>
      </c>
      <c r="O560" s="1" t="s">
        <v>16</v>
      </c>
    </row>
    <row r="561" spans="1:15" x14ac:dyDescent="0.2">
      <c r="A561" s="9">
        <v>45020</v>
      </c>
      <c r="B561" s="1" t="s">
        <v>15</v>
      </c>
      <c r="C561" s="1">
        <v>2</v>
      </c>
      <c r="D561" s="1">
        <v>1</v>
      </c>
      <c r="E561" s="14">
        <v>54.68</v>
      </c>
      <c r="F561" s="1" t="s">
        <v>18</v>
      </c>
      <c r="G561" s="1">
        <v>2</v>
      </c>
      <c r="H561" s="1" t="s">
        <v>16</v>
      </c>
      <c r="I561" s="1" t="s">
        <v>16</v>
      </c>
      <c r="J561" s="1" t="s">
        <v>16</v>
      </c>
      <c r="K561" s="1" t="s">
        <v>17</v>
      </c>
      <c r="L561" s="1" t="s">
        <v>17</v>
      </c>
      <c r="M561" s="1" t="s">
        <v>17</v>
      </c>
      <c r="N561" s="27" t="s">
        <v>605</v>
      </c>
      <c r="O561" s="1" t="s">
        <v>16</v>
      </c>
    </row>
    <row r="562" spans="1:15" x14ac:dyDescent="0.2">
      <c r="A562" s="9">
        <v>45020</v>
      </c>
      <c r="B562" s="1" t="s">
        <v>15</v>
      </c>
      <c r="C562" s="1">
        <v>3</v>
      </c>
      <c r="D562" s="1">
        <v>1</v>
      </c>
      <c r="E562" s="14">
        <v>43.67</v>
      </c>
      <c r="F562" s="1" t="s">
        <v>19</v>
      </c>
      <c r="G562" s="1">
        <v>2</v>
      </c>
      <c r="H562" s="1" t="s">
        <v>16</v>
      </c>
      <c r="I562" s="1" t="s">
        <v>16</v>
      </c>
      <c r="J562" s="1" t="s">
        <v>16</v>
      </c>
      <c r="K562" s="1" t="s">
        <v>17</v>
      </c>
      <c r="L562" s="1" t="s">
        <v>17</v>
      </c>
      <c r="M562" s="1" t="s">
        <v>17</v>
      </c>
      <c r="N562" s="27" t="s">
        <v>605</v>
      </c>
      <c r="O562" s="1" t="s">
        <v>16</v>
      </c>
    </row>
    <row r="563" spans="1:15" x14ac:dyDescent="0.2">
      <c r="A563" s="9">
        <v>45020</v>
      </c>
      <c r="B563" s="1" t="s">
        <v>15</v>
      </c>
      <c r="C563" s="1">
        <v>4</v>
      </c>
      <c r="D563" s="1">
        <v>1</v>
      </c>
      <c r="E563" s="14">
        <v>44.6</v>
      </c>
      <c r="F563" s="1" t="s">
        <v>16</v>
      </c>
      <c r="G563" s="1" t="s">
        <v>16</v>
      </c>
      <c r="H563" s="1" t="s">
        <v>16</v>
      </c>
      <c r="I563" s="1" t="s">
        <v>16</v>
      </c>
      <c r="J563" s="1" t="s">
        <v>16</v>
      </c>
      <c r="K563" s="1" t="s">
        <v>20</v>
      </c>
      <c r="L563" s="1" t="s">
        <v>17</v>
      </c>
      <c r="M563" s="1" t="s">
        <v>17</v>
      </c>
      <c r="N563" s="27" t="s">
        <v>605</v>
      </c>
      <c r="O563" s="1" t="s">
        <v>16</v>
      </c>
    </row>
    <row r="564" spans="1:15" x14ac:dyDescent="0.2">
      <c r="A564" s="9">
        <v>45020</v>
      </c>
      <c r="B564" s="1" t="s">
        <v>15</v>
      </c>
      <c r="C564" s="1">
        <v>5</v>
      </c>
      <c r="D564" s="1">
        <v>1</v>
      </c>
      <c r="E564" s="14">
        <v>41.35</v>
      </c>
      <c r="F564" s="1" t="s">
        <v>18</v>
      </c>
      <c r="G564" s="1">
        <v>2</v>
      </c>
      <c r="H564" s="1" t="s">
        <v>16</v>
      </c>
      <c r="I564" s="1" t="s">
        <v>16</v>
      </c>
      <c r="J564" s="1" t="s">
        <v>16</v>
      </c>
      <c r="K564" s="1" t="s">
        <v>21</v>
      </c>
      <c r="L564" s="1" t="s">
        <v>17</v>
      </c>
      <c r="M564" s="1" t="s">
        <v>17</v>
      </c>
      <c r="N564" s="27" t="s">
        <v>605</v>
      </c>
      <c r="O564" s="1" t="s">
        <v>16</v>
      </c>
    </row>
    <row r="565" spans="1:15" x14ac:dyDescent="0.2">
      <c r="A565" s="9">
        <v>45020</v>
      </c>
      <c r="B565" s="1" t="s">
        <v>15</v>
      </c>
      <c r="C565" s="1">
        <v>6</v>
      </c>
      <c r="D565" s="1">
        <v>2</v>
      </c>
      <c r="E565" s="14">
        <v>51.5</v>
      </c>
      <c r="F565" s="1" t="s">
        <v>18</v>
      </c>
      <c r="G565" s="1">
        <v>2</v>
      </c>
      <c r="H565" s="1" t="s">
        <v>16</v>
      </c>
      <c r="I565" s="1" t="s">
        <v>16</v>
      </c>
      <c r="J565" s="1" t="s">
        <v>16</v>
      </c>
      <c r="K565" s="1" t="s">
        <v>17</v>
      </c>
      <c r="L565" s="1" t="s">
        <v>17</v>
      </c>
      <c r="M565" s="1" t="s">
        <v>17</v>
      </c>
      <c r="N565" s="27" t="s">
        <v>605</v>
      </c>
      <c r="O565" s="1" t="s">
        <v>16</v>
      </c>
    </row>
    <row r="566" spans="1:15" x14ac:dyDescent="0.2">
      <c r="A566" s="9">
        <v>45020</v>
      </c>
      <c r="B566" s="1" t="s">
        <v>15</v>
      </c>
      <c r="C566" s="1">
        <v>7</v>
      </c>
      <c r="D566" s="1">
        <v>2</v>
      </c>
      <c r="E566" s="14">
        <v>44.64</v>
      </c>
      <c r="F566" s="1" t="s">
        <v>18</v>
      </c>
      <c r="G566" s="1">
        <v>2</v>
      </c>
      <c r="H566" s="1" t="s">
        <v>16</v>
      </c>
      <c r="I566" s="1" t="s">
        <v>16</v>
      </c>
      <c r="J566" s="1" t="s">
        <v>16</v>
      </c>
      <c r="K566" s="1" t="s">
        <v>17</v>
      </c>
      <c r="L566" s="1" t="s">
        <v>17</v>
      </c>
      <c r="M566" s="1" t="s">
        <v>17</v>
      </c>
      <c r="N566" s="27" t="s">
        <v>605</v>
      </c>
      <c r="O566" s="1" t="s">
        <v>16</v>
      </c>
    </row>
    <row r="567" spans="1:15" x14ac:dyDescent="0.2">
      <c r="A567" s="9">
        <v>45020</v>
      </c>
      <c r="B567" s="1" t="s">
        <v>15</v>
      </c>
      <c r="C567" s="1">
        <v>8</v>
      </c>
      <c r="D567" s="1">
        <v>2</v>
      </c>
      <c r="E567" s="14">
        <v>55.2</v>
      </c>
      <c r="F567" s="1" t="s">
        <v>18</v>
      </c>
      <c r="G567" s="1">
        <v>2</v>
      </c>
      <c r="H567" s="1" t="s">
        <v>16</v>
      </c>
      <c r="I567" s="1" t="s">
        <v>16</v>
      </c>
      <c r="J567" s="1" t="s">
        <v>16</v>
      </c>
      <c r="K567" s="1" t="s">
        <v>21</v>
      </c>
      <c r="L567" s="1" t="s">
        <v>17</v>
      </c>
      <c r="M567" s="1" t="s">
        <v>17</v>
      </c>
      <c r="N567" s="27" t="s">
        <v>605</v>
      </c>
      <c r="O567" s="1" t="s">
        <v>16</v>
      </c>
    </row>
    <row r="568" spans="1:15" x14ac:dyDescent="0.2">
      <c r="A568" s="9">
        <v>45020</v>
      </c>
      <c r="B568" s="1" t="s">
        <v>15</v>
      </c>
      <c r="C568" s="1">
        <v>9</v>
      </c>
      <c r="D568" s="1">
        <v>2</v>
      </c>
      <c r="E568" s="14">
        <v>33.58</v>
      </c>
      <c r="F568" s="1" t="s">
        <v>19</v>
      </c>
      <c r="G568" s="1">
        <v>2</v>
      </c>
      <c r="H568" s="1" t="s">
        <v>16</v>
      </c>
      <c r="I568" s="1" t="s">
        <v>16</v>
      </c>
      <c r="J568" s="1" t="s">
        <v>16</v>
      </c>
      <c r="K568" s="1" t="s">
        <v>17</v>
      </c>
      <c r="L568" s="1" t="s">
        <v>17</v>
      </c>
      <c r="M568" s="1" t="s">
        <v>17</v>
      </c>
      <c r="N568" s="27" t="s">
        <v>605</v>
      </c>
      <c r="O568" s="1" t="s">
        <v>16</v>
      </c>
    </row>
    <row r="569" spans="1:15" x14ac:dyDescent="0.2">
      <c r="A569" s="9">
        <v>45020</v>
      </c>
      <c r="B569" s="1" t="s">
        <v>15</v>
      </c>
      <c r="C569" s="1">
        <v>10</v>
      </c>
      <c r="D569" s="1">
        <v>2</v>
      </c>
      <c r="E569" s="14">
        <v>64.72</v>
      </c>
      <c r="F569" s="1" t="s">
        <v>18</v>
      </c>
      <c r="G569" s="1">
        <v>2</v>
      </c>
      <c r="H569" s="1" t="s">
        <v>16</v>
      </c>
      <c r="I569" s="1" t="s">
        <v>16</v>
      </c>
      <c r="J569" s="1" t="s">
        <v>16</v>
      </c>
      <c r="K569" s="1" t="s">
        <v>21</v>
      </c>
      <c r="L569" s="1" t="s">
        <v>17</v>
      </c>
      <c r="M569" s="1" t="s">
        <v>17</v>
      </c>
      <c r="N569" s="27" t="s">
        <v>605</v>
      </c>
      <c r="O569" s="1" t="s">
        <v>16</v>
      </c>
    </row>
    <row r="570" spans="1:15" x14ac:dyDescent="0.2">
      <c r="A570" s="9">
        <v>45020</v>
      </c>
      <c r="B570" s="1" t="s">
        <v>15</v>
      </c>
      <c r="C570" s="1">
        <v>11</v>
      </c>
      <c r="D570" s="1">
        <v>3</v>
      </c>
      <c r="E570" s="14">
        <v>65.72</v>
      </c>
      <c r="F570" s="1" t="s">
        <v>18</v>
      </c>
      <c r="G570" s="1">
        <v>2</v>
      </c>
      <c r="H570" s="1" t="s">
        <v>16</v>
      </c>
      <c r="I570" s="1" t="s">
        <v>16</v>
      </c>
      <c r="J570" s="1" t="s">
        <v>16</v>
      </c>
      <c r="K570" s="1" t="s">
        <v>17</v>
      </c>
      <c r="L570" s="1" t="s">
        <v>17</v>
      </c>
      <c r="M570" s="1" t="s">
        <v>17</v>
      </c>
      <c r="N570" s="27" t="s">
        <v>605</v>
      </c>
      <c r="O570" s="1" t="s">
        <v>16</v>
      </c>
    </row>
    <row r="571" spans="1:15" x14ac:dyDescent="0.2">
      <c r="A571" s="9">
        <v>45020</v>
      </c>
      <c r="B571" s="1" t="s">
        <v>15</v>
      </c>
      <c r="C571" s="1">
        <v>12</v>
      </c>
      <c r="D571" s="1">
        <v>3</v>
      </c>
      <c r="E571" s="14">
        <v>41.54</v>
      </c>
      <c r="F571" s="1" t="s">
        <v>18</v>
      </c>
      <c r="G571" s="1">
        <v>2</v>
      </c>
      <c r="H571" s="1" t="s">
        <v>16</v>
      </c>
      <c r="I571" s="1" t="s">
        <v>16</v>
      </c>
      <c r="J571" s="1" t="s">
        <v>16</v>
      </c>
      <c r="K571" s="1" t="s">
        <v>17</v>
      </c>
      <c r="L571" s="1" t="s">
        <v>17</v>
      </c>
      <c r="M571" s="1" t="s">
        <v>17</v>
      </c>
      <c r="N571" s="27" t="s">
        <v>605</v>
      </c>
      <c r="O571" s="1" t="s">
        <v>16</v>
      </c>
    </row>
    <row r="572" spans="1:15" x14ac:dyDescent="0.2">
      <c r="A572" s="9">
        <v>45020</v>
      </c>
      <c r="B572" s="1" t="s">
        <v>15</v>
      </c>
      <c r="C572" s="1">
        <v>13</v>
      </c>
      <c r="D572" s="1">
        <v>3</v>
      </c>
      <c r="E572" s="14">
        <v>49.46</v>
      </c>
      <c r="F572" s="1" t="s">
        <v>18</v>
      </c>
      <c r="G572" s="1">
        <v>2</v>
      </c>
      <c r="H572" s="1" t="s">
        <v>16</v>
      </c>
      <c r="I572" s="1" t="s">
        <v>16</v>
      </c>
      <c r="J572" s="1" t="s">
        <v>16</v>
      </c>
      <c r="K572" s="1" t="s">
        <v>17</v>
      </c>
      <c r="L572" s="1" t="s">
        <v>17</v>
      </c>
      <c r="M572" s="1" t="s">
        <v>17</v>
      </c>
      <c r="N572" s="27" t="s">
        <v>605</v>
      </c>
      <c r="O572" s="1" t="s">
        <v>16</v>
      </c>
    </row>
    <row r="573" spans="1:15" x14ac:dyDescent="0.2">
      <c r="A573" s="9">
        <v>45020</v>
      </c>
      <c r="B573" s="1" t="s">
        <v>15</v>
      </c>
      <c r="C573" s="1">
        <v>14</v>
      </c>
      <c r="D573" s="1">
        <v>3</v>
      </c>
      <c r="E573" s="14">
        <v>35.78</v>
      </c>
      <c r="F573" s="1" t="s">
        <v>19</v>
      </c>
      <c r="G573" s="1">
        <v>2</v>
      </c>
      <c r="H573" s="1" t="s">
        <v>16</v>
      </c>
      <c r="I573" s="1" t="s">
        <v>16</v>
      </c>
      <c r="J573" s="1" t="s">
        <v>16</v>
      </c>
      <c r="K573" s="1" t="s">
        <v>17</v>
      </c>
      <c r="L573" s="1" t="s">
        <v>17</v>
      </c>
      <c r="M573" s="1" t="s">
        <v>17</v>
      </c>
      <c r="N573" s="27" t="s">
        <v>605</v>
      </c>
      <c r="O573" s="1" t="s">
        <v>16</v>
      </c>
    </row>
    <row r="574" spans="1:15" x14ac:dyDescent="0.2">
      <c r="A574" s="9">
        <v>45020</v>
      </c>
      <c r="B574" s="1" t="s">
        <v>15</v>
      </c>
      <c r="C574" s="1">
        <v>15</v>
      </c>
      <c r="D574" s="1">
        <v>3</v>
      </c>
      <c r="E574" s="14">
        <v>43.81</v>
      </c>
      <c r="F574" s="1" t="s">
        <v>19</v>
      </c>
      <c r="G574" s="1">
        <v>2</v>
      </c>
      <c r="H574" s="1" t="s">
        <v>16</v>
      </c>
      <c r="I574" s="1" t="s">
        <v>16</v>
      </c>
      <c r="J574" s="1" t="s">
        <v>16</v>
      </c>
      <c r="K574" s="1" t="s">
        <v>17</v>
      </c>
      <c r="L574" s="1" t="s">
        <v>17</v>
      </c>
      <c r="M574" s="1" t="s">
        <v>17</v>
      </c>
      <c r="N574" s="27" t="s">
        <v>605</v>
      </c>
      <c r="O574" s="1" t="s">
        <v>16</v>
      </c>
    </row>
    <row r="575" spans="1:15" x14ac:dyDescent="0.2">
      <c r="A575" s="9">
        <v>45048</v>
      </c>
      <c r="B575" s="1" t="s">
        <v>15</v>
      </c>
      <c r="C575" s="1">
        <v>1</v>
      </c>
      <c r="D575" s="1">
        <v>1</v>
      </c>
      <c r="E575" s="14">
        <v>57.01</v>
      </c>
      <c r="F575" s="1" t="s">
        <v>18</v>
      </c>
      <c r="G575" s="1">
        <v>2</v>
      </c>
      <c r="H575" s="1" t="s">
        <v>16</v>
      </c>
      <c r="I575" s="1" t="s">
        <v>16</v>
      </c>
      <c r="J575" s="1" t="s">
        <v>16</v>
      </c>
      <c r="K575" s="1" t="s">
        <v>17</v>
      </c>
      <c r="L575" s="1" t="s">
        <v>17</v>
      </c>
      <c r="M575" s="1" t="s">
        <v>17</v>
      </c>
      <c r="N575" s="27" t="s">
        <v>605</v>
      </c>
      <c r="O575" s="1" t="s">
        <v>16</v>
      </c>
    </row>
    <row r="576" spans="1:15" x14ac:dyDescent="0.2">
      <c r="A576" s="9">
        <v>45048</v>
      </c>
      <c r="B576" s="1" t="s">
        <v>15</v>
      </c>
      <c r="C576" s="1">
        <v>2</v>
      </c>
      <c r="D576" s="1">
        <v>1</v>
      </c>
      <c r="E576" s="14">
        <v>46.96</v>
      </c>
      <c r="F576" s="1" t="s">
        <v>18</v>
      </c>
      <c r="G576" s="1">
        <v>2</v>
      </c>
      <c r="H576" s="1" t="s">
        <v>16</v>
      </c>
      <c r="I576" s="1" t="s">
        <v>16</v>
      </c>
      <c r="J576" s="1" t="s">
        <v>16</v>
      </c>
      <c r="K576" s="1" t="s">
        <v>17</v>
      </c>
      <c r="L576" s="1" t="s">
        <v>17</v>
      </c>
      <c r="M576" s="1" t="s">
        <v>17</v>
      </c>
      <c r="N576" s="27" t="s">
        <v>605</v>
      </c>
      <c r="O576" s="1" t="s">
        <v>16</v>
      </c>
    </row>
    <row r="577" spans="1:15" x14ac:dyDescent="0.2">
      <c r="A577" s="9">
        <v>45048</v>
      </c>
      <c r="B577" s="1" t="s">
        <v>15</v>
      </c>
      <c r="C577" s="1">
        <v>3</v>
      </c>
      <c r="D577" s="1">
        <v>1</v>
      </c>
      <c r="E577" s="14">
        <v>44.86</v>
      </c>
      <c r="F577" s="1" t="s">
        <v>19</v>
      </c>
      <c r="G577" s="1">
        <v>2</v>
      </c>
      <c r="H577" s="1" t="s">
        <v>16</v>
      </c>
      <c r="I577" s="1" t="s">
        <v>16</v>
      </c>
      <c r="J577" s="1" t="s">
        <v>16</v>
      </c>
      <c r="K577" s="1" t="s">
        <v>21</v>
      </c>
      <c r="L577" s="1" t="s">
        <v>17</v>
      </c>
      <c r="M577" s="1" t="s">
        <v>17</v>
      </c>
      <c r="N577" s="27" t="s">
        <v>605</v>
      </c>
      <c r="O577" s="1" t="s">
        <v>16</v>
      </c>
    </row>
    <row r="578" spans="1:15" x14ac:dyDescent="0.2">
      <c r="A578" s="9">
        <v>45048</v>
      </c>
      <c r="B578" s="1" t="s">
        <v>15</v>
      </c>
      <c r="C578" s="1">
        <v>4</v>
      </c>
      <c r="D578" s="1">
        <v>1</v>
      </c>
      <c r="E578" s="14">
        <v>51.13</v>
      </c>
      <c r="F578" s="1" t="s">
        <v>18</v>
      </c>
      <c r="G578" s="1">
        <v>2</v>
      </c>
      <c r="H578" s="1" t="s">
        <v>16</v>
      </c>
      <c r="I578" s="1" t="s">
        <v>16</v>
      </c>
      <c r="J578" s="1" t="s">
        <v>16</v>
      </c>
      <c r="K578" s="1" t="s">
        <v>21</v>
      </c>
      <c r="L578" s="1" t="s">
        <v>17</v>
      </c>
      <c r="M578" s="1" t="s">
        <v>17</v>
      </c>
      <c r="N578" s="27" t="s">
        <v>605</v>
      </c>
      <c r="O578" s="1" t="s">
        <v>16</v>
      </c>
    </row>
    <row r="579" spans="1:15" x14ac:dyDescent="0.2">
      <c r="A579" s="9">
        <v>45048</v>
      </c>
      <c r="B579" s="1" t="s">
        <v>15</v>
      </c>
      <c r="C579" s="1">
        <v>5</v>
      </c>
      <c r="D579" s="1">
        <v>1</v>
      </c>
      <c r="E579" s="14">
        <v>40.28</v>
      </c>
      <c r="F579" s="1" t="s">
        <v>18</v>
      </c>
      <c r="G579" s="1">
        <v>2</v>
      </c>
      <c r="H579" s="1" t="s">
        <v>16</v>
      </c>
      <c r="I579" s="1" t="s">
        <v>16</v>
      </c>
      <c r="J579" s="1" t="s">
        <v>16</v>
      </c>
      <c r="K579" s="1" t="s">
        <v>17</v>
      </c>
      <c r="L579" s="1" t="s">
        <v>17</v>
      </c>
      <c r="M579" s="1" t="s">
        <v>17</v>
      </c>
      <c r="N579" s="27" t="s">
        <v>605</v>
      </c>
      <c r="O579" s="1" t="s">
        <v>16</v>
      </c>
    </row>
    <row r="580" spans="1:15" x14ac:dyDescent="0.2">
      <c r="A580" s="9">
        <v>45048</v>
      </c>
      <c r="B580" s="1" t="s">
        <v>15</v>
      </c>
      <c r="C580" s="1">
        <v>6</v>
      </c>
      <c r="D580" s="1">
        <v>2</v>
      </c>
      <c r="E580" s="14">
        <v>52.86</v>
      </c>
      <c r="F580" s="1" t="s">
        <v>18</v>
      </c>
      <c r="G580" s="1">
        <v>2</v>
      </c>
      <c r="H580" s="1" t="s">
        <v>16</v>
      </c>
      <c r="I580" s="1" t="s">
        <v>16</v>
      </c>
      <c r="J580" s="1" t="s">
        <v>16</v>
      </c>
      <c r="K580" s="1" t="s">
        <v>17</v>
      </c>
      <c r="L580" s="1" t="s">
        <v>17</v>
      </c>
      <c r="M580" s="1" t="s">
        <v>17</v>
      </c>
      <c r="N580" s="27" t="s">
        <v>605</v>
      </c>
      <c r="O580" s="1" t="s">
        <v>16</v>
      </c>
    </row>
    <row r="581" spans="1:15" x14ac:dyDescent="0.2">
      <c r="A581" s="9">
        <v>45048</v>
      </c>
      <c r="B581" s="1" t="s">
        <v>15</v>
      </c>
      <c r="C581" s="1">
        <v>7</v>
      </c>
      <c r="D581" s="1">
        <v>2</v>
      </c>
      <c r="E581" s="14">
        <v>54.08</v>
      </c>
      <c r="F581" s="1" t="s">
        <v>19</v>
      </c>
      <c r="G581" s="1">
        <v>2</v>
      </c>
      <c r="H581" s="1" t="s">
        <v>16</v>
      </c>
      <c r="I581" s="1" t="s">
        <v>16</v>
      </c>
      <c r="J581" s="1" t="s">
        <v>16</v>
      </c>
      <c r="K581" s="1" t="s">
        <v>17</v>
      </c>
      <c r="L581" s="1" t="s">
        <v>17</v>
      </c>
      <c r="M581" s="1" t="s">
        <v>17</v>
      </c>
      <c r="N581" s="27" t="s">
        <v>605</v>
      </c>
      <c r="O581" s="1" t="s">
        <v>16</v>
      </c>
    </row>
    <row r="582" spans="1:15" x14ac:dyDescent="0.2">
      <c r="A582" s="9">
        <v>45048</v>
      </c>
      <c r="B582" s="1" t="s">
        <v>15</v>
      </c>
      <c r="C582" s="1">
        <v>8</v>
      </c>
      <c r="D582" s="1">
        <v>2</v>
      </c>
      <c r="E582" s="14">
        <v>36.020000000000003</v>
      </c>
      <c r="F582" s="1" t="s">
        <v>18</v>
      </c>
      <c r="G582" s="1">
        <v>2</v>
      </c>
      <c r="H582" s="1" t="s">
        <v>16</v>
      </c>
      <c r="I582" s="1" t="s">
        <v>16</v>
      </c>
      <c r="J582" s="1" t="s">
        <v>16</v>
      </c>
      <c r="K582" s="1" t="s">
        <v>21</v>
      </c>
      <c r="L582" s="1" t="s">
        <v>17</v>
      </c>
      <c r="M582" s="1" t="s">
        <v>17</v>
      </c>
      <c r="N582" s="27" t="s">
        <v>605</v>
      </c>
      <c r="O582" s="1" t="s">
        <v>16</v>
      </c>
    </row>
    <row r="583" spans="1:15" x14ac:dyDescent="0.2">
      <c r="A583" s="9">
        <v>45048</v>
      </c>
      <c r="B583" s="1" t="s">
        <v>15</v>
      </c>
      <c r="C583" s="1">
        <v>9</v>
      </c>
      <c r="D583" s="1">
        <v>2</v>
      </c>
      <c r="E583" s="14">
        <v>48.19</v>
      </c>
      <c r="F583" s="1" t="s">
        <v>18</v>
      </c>
      <c r="G583" s="1">
        <v>2</v>
      </c>
      <c r="H583" s="1" t="s">
        <v>16</v>
      </c>
      <c r="I583" s="1" t="s">
        <v>16</v>
      </c>
      <c r="J583" s="1" t="s">
        <v>16</v>
      </c>
      <c r="K583" s="1" t="s">
        <v>21</v>
      </c>
      <c r="L583" s="1" t="s">
        <v>17</v>
      </c>
      <c r="M583" s="1" t="s">
        <v>17</v>
      </c>
      <c r="N583" s="27" t="s">
        <v>605</v>
      </c>
      <c r="O583" s="1" t="s">
        <v>16</v>
      </c>
    </row>
    <row r="584" spans="1:15" x14ac:dyDescent="0.2">
      <c r="A584" s="9">
        <v>45048</v>
      </c>
      <c r="B584" s="1" t="s">
        <v>15</v>
      </c>
      <c r="C584" s="1">
        <v>10</v>
      </c>
      <c r="D584" s="1">
        <v>2</v>
      </c>
      <c r="E584" s="14">
        <v>41.66</v>
      </c>
      <c r="F584" s="1" t="s">
        <v>18</v>
      </c>
      <c r="G584" s="1">
        <v>2</v>
      </c>
      <c r="H584" s="1" t="s">
        <v>16</v>
      </c>
      <c r="I584" s="1" t="s">
        <v>16</v>
      </c>
      <c r="J584" s="1" t="s">
        <v>16</v>
      </c>
      <c r="K584" s="1" t="s">
        <v>17</v>
      </c>
      <c r="L584" s="1" t="s">
        <v>17</v>
      </c>
      <c r="M584" s="1" t="s">
        <v>17</v>
      </c>
      <c r="N584" s="27" t="s">
        <v>605</v>
      </c>
      <c r="O584" s="1" t="s">
        <v>16</v>
      </c>
    </row>
    <row r="585" spans="1:15" x14ac:dyDescent="0.2">
      <c r="A585" s="9">
        <v>45048</v>
      </c>
      <c r="B585" s="1" t="s">
        <v>15</v>
      </c>
      <c r="C585" s="1">
        <v>11</v>
      </c>
      <c r="D585" s="1">
        <v>3</v>
      </c>
      <c r="E585" s="14">
        <v>47.29</v>
      </c>
      <c r="F585" s="1" t="s">
        <v>19</v>
      </c>
      <c r="G585" s="1">
        <v>2</v>
      </c>
      <c r="H585" s="1" t="s">
        <v>16</v>
      </c>
      <c r="I585" s="1" t="s">
        <v>16</v>
      </c>
      <c r="J585" s="1" t="s">
        <v>16</v>
      </c>
      <c r="K585" s="1" t="s">
        <v>17</v>
      </c>
      <c r="L585" s="1" t="s">
        <v>17</v>
      </c>
      <c r="M585" s="1" t="s">
        <v>17</v>
      </c>
      <c r="N585" s="27" t="s">
        <v>605</v>
      </c>
      <c r="O585" s="1" t="s">
        <v>16</v>
      </c>
    </row>
    <row r="586" spans="1:15" x14ac:dyDescent="0.2">
      <c r="A586" s="9">
        <v>45048</v>
      </c>
      <c r="B586" s="1" t="s">
        <v>15</v>
      </c>
      <c r="C586" s="1">
        <v>12</v>
      </c>
      <c r="D586" s="1">
        <v>3</v>
      </c>
      <c r="E586" s="14">
        <v>52.97</v>
      </c>
      <c r="F586" s="1" t="s">
        <v>19</v>
      </c>
      <c r="G586" s="1">
        <v>2</v>
      </c>
      <c r="H586" s="1" t="s">
        <v>16</v>
      </c>
      <c r="I586" s="1" t="s">
        <v>16</v>
      </c>
      <c r="J586" s="1" t="s">
        <v>16</v>
      </c>
      <c r="K586" s="1" t="s">
        <v>17</v>
      </c>
      <c r="L586" s="1" t="s">
        <v>17</v>
      </c>
      <c r="M586" s="1" t="s">
        <v>17</v>
      </c>
      <c r="N586" s="27" t="s">
        <v>605</v>
      </c>
      <c r="O586" s="1" t="s">
        <v>16</v>
      </c>
    </row>
    <row r="587" spans="1:15" x14ac:dyDescent="0.2">
      <c r="A587" s="9">
        <v>45048</v>
      </c>
      <c r="B587" s="1" t="s">
        <v>15</v>
      </c>
      <c r="C587" s="1">
        <v>13</v>
      </c>
      <c r="D587" s="1">
        <v>3</v>
      </c>
      <c r="E587" s="14">
        <v>63.79</v>
      </c>
      <c r="F587" s="1" t="s">
        <v>19</v>
      </c>
      <c r="G587" s="1">
        <v>2</v>
      </c>
      <c r="H587" s="1" t="s">
        <v>16</v>
      </c>
      <c r="I587" s="1" t="s">
        <v>16</v>
      </c>
      <c r="J587" s="1" t="s">
        <v>16</v>
      </c>
      <c r="K587" s="1" t="s">
        <v>17</v>
      </c>
      <c r="L587" s="1" t="s">
        <v>17</v>
      </c>
      <c r="M587" s="1" t="s">
        <v>17</v>
      </c>
      <c r="N587" s="27" t="s">
        <v>605</v>
      </c>
      <c r="O587" s="1" t="s">
        <v>16</v>
      </c>
    </row>
    <row r="588" spans="1:15" x14ac:dyDescent="0.2">
      <c r="A588" s="9">
        <v>45048</v>
      </c>
      <c r="B588" s="1" t="s">
        <v>15</v>
      </c>
      <c r="C588" s="1">
        <v>14</v>
      </c>
      <c r="D588" s="1">
        <v>3</v>
      </c>
      <c r="E588" s="14">
        <v>36.950000000000003</v>
      </c>
      <c r="F588" s="1" t="s">
        <v>18</v>
      </c>
      <c r="G588" s="1">
        <v>2</v>
      </c>
      <c r="H588" s="1" t="s">
        <v>16</v>
      </c>
      <c r="I588" s="1" t="s">
        <v>16</v>
      </c>
      <c r="J588" s="1" t="s">
        <v>16</v>
      </c>
      <c r="K588" s="1" t="s">
        <v>17</v>
      </c>
      <c r="L588" s="1" t="s">
        <v>17</v>
      </c>
      <c r="M588" s="1" t="s">
        <v>17</v>
      </c>
      <c r="N588" s="27" t="s">
        <v>605</v>
      </c>
      <c r="O588" s="1" t="s">
        <v>16</v>
      </c>
    </row>
    <row r="589" spans="1:15" x14ac:dyDescent="0.2">
      <c r="A589" s="9">
        <v>45048</v>
      </c>
      <c r="B589" s="1" t="s">
        <v>15</v>
      </c>
      <c r="C589" s="1">
        <v>15</v>
      </c>
      <c r="D589" s="1">
        <v>3</v>
      </c>
      <c r="E589" s="14">
        <v>45.23</v>
      </c>
      <c r="F589" s="1" t="s">
        <v>18</v>
      </c>
      <c r="G589" s="1">
        <v>2</v>
      </c>
      <c r="H589" s="1" t="s">
        <v>16</v>
      </c>
      <c r="I589" s="1" t="s">
        <v>16</v>
      </c>
      <c r="J589" s="1" t="s">
        <v>16</v>
      </c>
      <c r="K589" s="1" t="s">
        <v>21</v>
      </c>
      <c r="L589" s="1" t="s">
        <v>17</v>
      </c>
      <c r="M589" s="1" t="s">
        <v>17</v>
      </c>
      <c r="N589" s="27" t="s">
        <v>605</v>
      </c>
      <c r="O589" s="1" t="s">
        <v>16</v>
      </c>
    </row>
    <row r="590" spans="1:15" x14ac:dyDescent="0.2">
      <c r="A590" s="9">
        <v>45083</v>
      </c>
      <c r="B590" s="1" t="s">
        <v>15</v>
      </c>
      <c r="C590" s="1">
        <v>1</v>
      </c>
      <c r="D590" s="1">
        <v>1</v>
      </c>
      <c r="E590" s="14">
        <v>60.92</v>
      </c>
      <c r="F590" s="1" t="s">
        <v>18</v>
      </c>
      <c r="G590" s="1">
        <v>2</v>
      </c>
      <c r="H590" s="1" t="s">
        <v>16</v>
      </c>
      <c r="I590" s="1" t="s">
        <v>16</v>
      </c>
      <c r="J590" s="1" t="s">
        <v>16</v>
      </c>
      <c r="K590" s="1" t="s">
        <v>17</v>
      </c>
      <c r="L590" s="1" t="s">
        <v>17</v>
      </c>
      <c r="M590" s="1" t="s">
        <v>17</v>
      </c>
      <c r="N590" s="27" t="s">
        <v>605</v>
      </c>
      <c r="O590" s="1" t="s">
        <v>16</v>
      </c>
    </row>
    <row r="591" spans="1:15" x14ac:dyDescent="0.2">
      <c r="A591" s="9">
        <v>45083</v>
      </c>
      <c r="B591" s="1" t="s">
        <v>15</v>
      </c>
      <c r="C591" s="1">
        <v>2</v>
      </c>
      <c r="D591" s="1">
        <v>1</v>
      </c>
      <c r="E591" s="14">
        <v>73.849999999999994</v>
      </c>
      <c r="F591" s="1" t="s">
        <v>18</v>
      </c>
      <c r="G591" s="1">
        <v>2</v>
      </c>
      <c r="H591" s="1" t="s">
        <v>16</v>
      </c>
      <c r="I591" s="1" t="s">
        <v>16</v>
      </c>
      <c r="J591" s="1" t="s">
        <v>16</v>
      </c>
      <c r="K591" s="1" t="s">
        <v>17</v>
      </c>
      <c r="L591" s="1" t="s">
        <v>17</v>
      </c>
      <c r="M591" s="1" t="s">
        <v>17</v>
      </c>
      <c r="N591" s="27" t="s">
        <v>605</v>
      </c>
      <c r="O591" s="1" t="s">
        <v>16</v>
      </c>
    </row>
    <row r="592" spans="1:15" x14ac:dyDescent="0.2">
      <c r="A592" s="9">
        <v>45083</v>
      </c>
      <c r="B592" s="1" t="s">
        <v>15</v>
      </c>
      <c r="C592" s="1">
        <v>3</v>
      </c>
      <c r="D592" s="1">
        <v>1</v>
      </c>
      <c r="E592" s="14">
        <v>45.24</v>
      </c>
      <c r="F592" s="1" t="s">
        <v>16</v>
      </c>
      <c r="G592" s="1">
        <v>4</v>
      </c>
      <c r="H592" s="1" t="s">
        <v>16</v>
      </c>
      <c r="I592" s="1" t="s">
        <v>16</v>
      </c>
      <c r="J592" s="1" t="s">
        <v>16</v>
      </c>
      <c r="K592" s="1" t="s">
        <v>17</v>
      </c>
      <c r="L592" s="1" t="s">
        <v>17</v>
      </c>
      <c r="M592" s="1" t="s">
        <v>17</v>
      </c>
      <c r="N592" s="27" t="s">
        <v>605</v>
      </c>
      <c r="O592" s="1" t="s">
        <v>16</v>
      </c>
    </row>
    <row r="593" spans="1:15" x14ac:dyDescent="0.2">
      <c r="A593" s="9">
        <v>45083</v>
      </c>
      <c r="B593" s="1" t="s">
        <v>15</v>
      </c>
      <c r="C593" s="1">
        <v>4</v>
      </c>
      <c r="D593" s="1">
        <v>1</v>
      </c>
      <c r="E593" s="14">
        <v>39.9</v>
      </c>
      <c r="F593" s="1" t="s">
        <v>19</v>
      </c>
      <c r="G593" s="1">
        <v>2</v>
      </c>
      <c r="H593" s="1" t="s">
        <v>16</v>
      </c>
      <c r="I593" s="1" t="s">
        <v>16</v>
      </c>
      <c r="J593" s="1" t="s">
        <v>16</v>
      </c>
      <c r="K593" s="1" t="s">
        <v>17</v>
      </c>
      <c r="L593" s="1" t="s">
        <v>17</v>
      </c>
      <c r="M593" s="1" t="s">
        <v>17</v>
      </c>
      <c r="N593" s="27" t="s">
        <v>605</v>
      </c>
      <c r="O593" s="1" t="s">
        <v>16</v>
      </c>
    </row>
    <row r="594" spans="1:15" x14ac:dyDescent="0.2">
      <c r="A594" s="9">
        <v>45083</v>
      </c>
      <c r="B594" s="1" t="s">
        <v>15</v>
      </c>
      <c r="C594" s="1">
        <v>5</v>
      </c>
      <c r="D594" s="1">
        <v>1</v>
      </c>
      <c r="E594" s="14">
        <v>61.02</v>
      </c>
      <c r="F594" s="1" t="s">
        <v>18</v>
      </c>
      <c r="G594" s="1">
        <v>2</v>
      </c>
      <c r="H594" s="1" t="s">
        <v>16</v>
      </c>
      <c r="I594" s="1" t="s">
        <v>16</v>
      </c>
      <c r="J594" s="1" t="s">
        <v>16</v>
      </c>
      <c r="K594" s="1" t="s">
        <v>17</v>
      </c>
      <c r="L594" s="1" t="s">
        <v>17</v>
      </c>
      <c r="M594" s="1" t="s">
        <v>21</v>
      </c>
      <c r="N594" s="27" t="s">
        <v>605</v>
      </c>
      <c r="O594" s="1" t="s">
        <v>16</v>
      </c>
    </row>
    <row r="595" spans="1:15" x14ac:dyDescent="0.2">
      <c r="A595" s="9">
        <v>45083</v>
      </c>
      <c r="B595" s="1" t="s">
        <v>15</v>
      </c>
      <c r="C595" s="1">
        <v>6</v>
      </c>
      <c r="D595" s="1">
        <v>2</v>
      </c>
      <c r="E595" s="14">
        <v>49.11</v>
      </c>
      <c r="F595" s="1" t="s">
        <v>16</v>
      </c>
      <c r="G595" s="1" t="s">
        <v>16</v>
      </c>
      <c r="H595" s="1" t="s">
        <v>16</v>
      </c>
      <c r="I595" s="1" t="s">
        <v>16</v>
      </c>
      <c r="J595" s="1" t="s">
        <v>16</v>
      </c>
      <c r="K595" s="1" t="s">
        <v>17</v>
      </c>
      <c r="L595" s="1" t="s">
        <v>17</v>
      </c>
      <c r="M595" s="1" t="s">
        <v>21</v>
      </c>
      <c r="N595" s="27" t="s">
        <v>605</v>
      </c>
      <c r="O595" s="1" t="s">
        <v>16</v>
      </c>
    </row>
    <row r="596" spans="1:15" x14ac:dyDescent="0.2">
      <c r="A596" s="9">
        <v>45083</v>
      </c>
      <c r="B596" s="1" t="s">
        <v>15</v>
      </c>
      <c r="C596" s="1">
        <v>7</v>
      </c>
      <c r="D596" s="1">
        <v>2</v>
      </c>
      <c r="E596" s="14">
        <v>46.64</v>
      </c>
      <c r="F596" s="1" t="s">
        <v>18</v>
      </c>
      <c r="G596" s="1">
        <v>2</v>
      </c>
      <c r="H596" s="1" t="s">
        <v>16</v>
      </c>
      <c r="I596" s="1" t="s">
        <v>16</v>
      </c>
      <c r="J596" s="1" t="s">
        <v>16</v>
      </c>
      <c r="K596" s="1" t="s">
        <v>17</v>
      </c>
      <c r="L596" s="1" t="s">
        <v>17</v>
      </c>
      <c r="M596" s="1" t="s">
        <v>17</v>
      </c>
      <c r="N596" s="27" t="s">
        <v>605</v>
      </c>
      <c r="O596" s="1" t="s">
        <v>16</v>
      </c>
    </row>
    <row r="597" spans="1:15" x14ac:dyDescent="0.2">
      <c r="A597" s="9">
        <v>45083</v>
      </c>
      <c r="B597" s="1" t="s">
        <v>15</v>
      </c>
      <c r="C597" s="1">
        <v>8</v>
      </c>
      <c r="D597" s="1">
        <v>2</v>
      </c>
      <c r="E597" s="14">
        <v>51.44</v>
      </c>
      <c r="F597" s="1" t="s">
        <v>16</v>
      </c>
      <c r="G597" s="1" t="s">
        <v>16</v>
      </c>
      <c r="H597" s="1" t="s">
        <v>16</v>
      </c>
      <c r="I597" s="1" t="s">
        <v>16</v>
      </c>
      <c r="J597" s="1" t="s">
        <v>16</v>
      </c>
      <c r="K597" s="1" t="s">
        <v>17</v>
      </c>
      <c r="L597" s="1" t="s">
        <v>17</v>
      </c>
      <c r="M597" s="1" t="s">
        <v>21</v>
      </c>
      <c r="N597" s="27" t="s">
        <v>605</v>
      </c>
      <c r="O597" s="1" t="s">
        <v>16</v>
      </c>
    </row>
    <row r="598" spans="1:15" x14ac:dyDescent="0.2">
      <c r="A598" s="9">
        <v>45083</v>
      </c>
      <c r="B598" s="1" t="s">
        <v>15</v>
      </c>
      <c r="C598" s="1">
        <v>9</v>
      </c>
      <c r="D598" s="1">
        <v>2</v>
      </c>
      <c r="E598" s="14">
        <v>39.24</v>
      </c>
      <c r="F598" s="1" t="s">
        <v>16</v>
      </c>
      <c r="G598" s="1" t="s">
        <v>16</v>
      </c>
      <c r="H598" s="1" t="s">
        <v>16</v>
      </c>
      <c r="I598" s="1" t="s">
        <v>16</v>
      </c>
      <c r="J598" s="1" t="s">
        <v>16</v>
      </c>
      <c r="K598" s="1" t="s">
        <v>17</v>
      </c>
      <c r="L598" s="1" t="s">
        <v>17</v>
      </c>
      <c r="M598" s="1" t="s">
        <v>21</v>
      </c>
      <c r="N598" s="27" t="s">
        <v>605</v>
      </c>
      <c r="O598" s="1" t="s">
        <v>16</v>
      </c>
    </row>
    <row r="599" spans="1:15" x14ac:dyDescent="0.2">
      <c r="A599" s="9">
        <v>45083</v>
      </c>
      <c r="B599" s="1" t="s">
        <v>15</v>
      </c>
      <c r="C599" s="1">
        <v>10</v>
      </c>
      <c r="D599" s="1">
        <v>2</v>
      </c>
      <c r="E599" s="14">
        <v>40.4</v>
      </c>
      <c r="F599" s="1" t="s">
        <v>18</v>
      </c>
      <c r="G599" s="1">
        <v>2</v>
      </c>
      <c r="H599" s="1" t="s">
        <v>16</v>
      </c>
      <c r="I599" s="1" t="s">
        <v>16</v>
      </c>
      <c r="J599" s="1" t="s">
        <v>16</v>
      </c>
      <c r="K599" s="1" t="s">
        <v>17</v>
      </c>
      <c r="L599" s="1" t="s">
        <v>17</v>
      </c>
      <c r="M599" s="1" t="s">
        <v>17</v>
      </c>
      <c r="N599" s="27" t="s">
        <v>605</v>
      </c>
      <c r="O599" s="1" t="s">
        <v>16</v>
      </c>
    </row>
    <row r="600" spans="1:15" x14ac:dyDescent="0.2">
      <c r="A600" s="9">
        <v>45083</v>
      </c>
      <c r="B600" s="1" t="s">
        <v>15</v>
      </c>
      <c r="C600" s="1">
        <v>11</v>
      </c>
      <c r="D600" s="1">
        <v>3</v>
      </c>
      <c r="E600" s="14">
        <v>50.8</v>
      </c>
      <c r="F600" s="1" t="s">
        <v>18</v>
      </c>
      <c r="G600" s="1">
        <v>2</v>
      </c>
      <c r="H600" s="1" t="s">
        <v>16</v>
      </c>
      <c r="I600" s="1" t="s">
        <v>16</v>
      </c>
      <c r="J600" s="1" t="s">
        <v>16</v>
      </c>
      <c r="K600" s="1" t="s">
        <v>17</v>
      </c>
      <c r="L600" s="1" t="s">
        <v>17</v>
      </c>
      <c r="M600" s="1" t="s">
        <v>17</v>
      </c>
      <c r="N600" s="27" t="s">
        <v>605</v>
      </c>
      <c r="O600" s="1" t="s">
        <v>16</v>
      </c>
    </row>
    <row r="601" spans="1:15" x14ac:dyDescent="0.2">
      <c r="A601" s="9">
        <v>45083</v>
      </c>
      <c r="B601" s="1" t="s">
        <v>15</v>
      </c>
      <c r="C601" s="1">
        <v>12</v>
      </c>
      <c r="D601" s="1">
        <v>3</v>
      </c>
      <c r="E601" s="14">
        <v>39.200000000000003</v>
      </c>
      <c r="F601" s="1" t="s">
        <v>18</v>
      </c>
      <c r="G601" s="1">
        <v>2</v>
      </c>
      <c r="H601" s="1" t="s">
        <v>16</v>
      </c>
      <c r="I601" s="1" t="s">
        <v>16</v>
      </c>
      <c r="J601" s="1" t="s">
        <v>16</v>
      </c>
      <c r="K601" s="1" t="s">
        <v>17</v>
      </c>
      <c r="L601" s="1" t="s">
        <v>17</v>
      </c>
      <c r="M601" s="1" t="s">
        <v>17</v>
      </c>
      <c r="N601" s="27" t="s">
        <v>605</v>
      </c>
      <c r="O601" s="1" t="s">
        <v>16</v>
      </c>
    </row>
    <row r="602" spans="1:15" x14ac:dyDescent="0.2">
      <c r="A602" s="9">
        <v>45083</v>
      </c>
      <c r="B602" s="1" t="s">
        <v>15</v>
      </c>
      <c r="C602" s="1">
        <v>13</v>
      </c>
      <c r="D602" s="1">
        <v>3</v>
      </c>
      <c r="E602" s="14">
        <v>59.84</v>
      </c>
      <c r="F602" s="1" t="s">
        <v>18</v>
      </c>
      <c r="G602" s="1">
        <v>2</v>
      </c>
      <c r="H602" s="1" t="s">
        <v>16</v>
      </c>
      <c r="I602" s="1" t="s">
        <v>16</v>
      </c>
      <c r="J602" s="1" t="s">
        <v>16</v>
      </c>
      <c r="K602" s="1" t="s">
        <v>17</v>
      </c>
      <c r="L602" s="1" t="s">
        <v>17</v>
      </c>
      <c r="M602" s="1" t="s">
        <v>17</v>
      </c>
      <c r="N602" s="27" t="s">
        <v>605</v>
      </c>
      <c r="O602" s="1" t="s">
        <v>16</v>
      </c>
    </row>
    <row r="603" spans="1:15" x14ac:dyDescent="0.2">
      <c r="A603" s="9">
        <v>45083</v>
      </c>
      <c r="B603" s="1" t="s">
        <v>15</v>
      </c>
      <c r="C603" s="1">
        <v>14</v>
      </c>
      <c r="D603" s="1">
        <v>3</v>
      </c>
      <c r="E603" s="14">
        <v>42.43</v>
      </c>
      <c r="F603" s="1" t="s">
        <v>19</v>
      </c>
      <c r="G603" s="1">
        <v>2</v>
      </c>
      <c r="H603" s="1" t="s">
        <v>16</v>
      </c>
      <c r="I603" s="1" t="s">
        <v>16</v>
      </c>
      <c r="J603" s="1" t="s">
        <v>16</v>
      </c>
      <c r="K603" s="1" t="s">
        <v>17</v>
      </c>
      <c r="L603" s="1" t="s">
        <v>17</v>
      </c>
      <c r="M603" s="1" t="s">
        <v>17</v>
      </c>
      <c r="N603" s="27" t="s">
        <v>605</v>
      </c>
      <c r="O603" s="1" t="s">
        <v>16</v>
      </c>
    </row>
    <row r="604" spans="1:15" x14ac:dyDescent="0.2">
      <c r="A604" s="9">
        <v>45083</v>
      </c>
      <c r="B604" s="1" t="s">
        <v>15</v>
      </c>
      <c r="C604" s="1">
        <v>15</v>
      </c>
      <c r="D604" s="1">
        <v>3</v>
      </c>
      <c r="E604" s="14">
        <v>35.24</v>
      </c>
      <c r="F604" s="1" t="s">
        <v>19</v>
      </c>
      <c r="G604" s="1">
        <v>2</v>
      </c>
      <c r="H604" s="1" t="s">
        <v>16</v>
      </c>
      <c r="I604" s="1" t="s">
        <v>16</v>
      </c>
      <c r="J604" s="1" t="s">
        <v>16</v>
      </c>
      <c r="K604" s="1" t="s">
        <v>17</v>
      </c>
      <c r="L604" s="1" t="s">
        <v>17</v>
      </c>
      <c r="M604" s="1" t="s">
        <v>17</v>
      </c>
      <c r="N604" s="27" t="s">
        <v>605</v>
      </c>
      <c r="O604" s="1" t="s">
        <v>16</v>
      </c>
    </row>
    <row r="605" spans="1:15" x14ac:dyDescent="0.2">
      <c r="A605" s="9">
        <v>45112</v>
      </c>
      <c r="B605" s="1" t="s">
        <v>15</v>
      </c>
      <c r="C605" s="1">
        <v>1</v>
      </c>
      <c r="D605" s="1">
        <v>1</v>
      </c>
      <c r="E605" s="14">
        <v>55.99</v>
      </c>
      <c r="F605" s="1" t="s">
        <v>18</v>
      </c>
      <c r="G605" s="1">
        <v>2</v>
      </c>
      <c r="H605" s="1" t="s">
        <v>16</v>
      </c>
      <c r="I605" s="1" t="s">
        <v>16</v>
      </c>
      <c r="J605" s="1" t="s">
        <v>16</v>
      </c>
      <c r="K605" s="1" t="s">
        <v>17</v>
      </c>
      <c r="L605" s="1" t="s">
        <v>17</v>
      </c>
      <c r="M605" s="1" t="s">
        <v>17</v>
      </c>
      <c r="N605" s="27" t="s">
        <v>605</v>
      </c>
      <c r="O605" s="1" t="s">
        <v>16</v>
      </c>
    </row>
    <row r="606" spans="1:15" x14ac:dyDescent="0.2">
      <c r="A606" s="9">
        <v>45112</v>
      </c>
      <c r="B606" s="1" t="s">
        <v>15</v>
      </c>
      <c r="C606" s="1">
        <v>2</v>
      </c>
      <c r="D606" s="1">
        <v>1</v>
      </c>
      <c r="E606" s="14">
        <v>67.72</v>
      </c>
      <c r="F606" s="1" t="s">
        <v>18</v>
      </c>
      <c r="G606" s="1">
        <v>2</v>
      </c>
      <c r="H606" s="1" t="s">
        <v>16</v>
      </c>
      <c r="I606" s="1" t="s">
        <v>16</v>
      </c>
      <c r="J606" s="1" t="s">
        <v>16</v>
      </c>
      <c r="K606" s="1" t="s">
        <v>17</v>
      </c>
      <c r="L606" s="1" t="s">
        <v>17</v>
      </c>
      <c r="M606" s="1" t="s">
        <v>17</v>
      </c>
      <c r="N606" s="27" t="s">
        <v>605</v>
      </c>
      <c r="O606" s="1" t="s">
        <v>16</v>
      </c>
    </row>
    <row r="607" spans="1:15" x14ac:dyDescent="0.2">
      <c r="A607" s="9">
        <v>45112</v>
      </c>
      <c r="B607" s="1" t="s">
        <v>15</v>
      </c>
      <c r="C607" s="1">
        <v>3</v>
      </c>
      <c r="D607" s="1">
        <v>1</v>
      </c>
      <c r="E607" s="14">
        <v>64.319999999999993</v>
      </c>
      <c r="F607" s="1" t="s">
        <v>18</v>
      </c>
      <c r="G607" s="1">
        <v>2</v>
      </c>
      <c r="H607" s="1" t="s">
        <v>16</v>
      </c>
      <c r="I607" s="1" t="s">
        <v>16</v>
      </c>
      <c r="J607" s="1" t="s">
        <v>16</v>
      </c>
      <c r="K607" s="1" t="s">
        <v>17</v>
      </c>
      <c r="L607" s="1" t="s">
        <v>17</v>
      </c>
      <c r="M607" s="1" t="s">
        <v>17</v>
      </c>
      <c r="N607" s="27" t="s">
        <v>605</v>
      </c>
      <c r="O607" s="1" t="s">
        <v>16</v>
      </c>
    </row>
    <row r="608" spans="1:15" x14ac:dyDescent="0.2">
      <c r="A608" s="9">
        <v>45112</v>
      </c>
      <c r="B608" s="1" t="s">
        <v>15</v>
      </c>
      <c r="C608" s="1">
        <v>4</v>
      </c>
      <c r="D608" s="1">
        <v>1</v>
      </c>
      <c r="E608" s="14">
        <v>54.4</v>
      </c>
      <c r="F608" s="1" t="s">
        <v>19</v>
      </c>
      <c r="G608" s="1">
        <v>2</v>
      </c>
      <c r="H608" s="1" t="s">
        <v>16</v>
      </c>
      <c r="I608" s="1" t="s">
        <v>16</v>
      </c>
      <c r="J608" s="1" t="s">
        <v>16</v>
      </c>
      <c r="K608" s="1" t="s">
        <v>17</v>
      </c>
      <c r="L608" s="1" t="s">
        <v>17</v>
      </c>
      <c r="M608" s="1" t="s">
        <v>17</v>
      </c>
      <c r="N608" s="27" t="s">
        <v>605</v>
      </c>
      <c r="O608" s="1" t="s">
        <v>16</v>
      </c>
    </row>
    <row r="609" spans="1:15" x14ac:dyDescent="0.2">
      <c r="A609" s="9">
        <v>45112</v>
      </c>
      <c r="B609" s="1" t="s">
        <v>15</v>
      </c>
      <c r="C609" s="1">
        <v>5</v>
      </c>
      <c r="D609" s="1">
        <v>1</v>
      </c>
      <c r="E609" s="14">
        <v>51.19</v>
      </c>
      <c r="F609" s="1" t="s">
        <v>18</v>
      </c>
      <c r="G609" s="1">
        <v>2</v>
      </c>
      <c r="H609" s="1" t="s">
        <v>16</v>
      </c>
      <c r="I609" s="1" t="s">
        <v>16</v>
      </c>
      <c r="J609" s="1" t="s">
        <v>16</v>
      </c>
      <c r="K609" s="1" t="s">
        <v>17</v>
      </c>
      <c r="L609" s="1" t="s">
        <v>17</v>
      </c>
      <c r="M609" s="1" t="s">
        <v>17</v>
      </c>
      <c r="N609" s="27" t="s">
        <v>605</v>
      </c>
      <c r="O609" s="1" t="s">
        <v>16</v>
      </c>
    </row>
    <row r="610" spans="1:15" x14ac:dyDescent="0.2">
      <c r="A610" s="9">
        <v>45112</v>
      </c>
      <c r="B610" s="1" t="s">
        <v>15</v>
      </c>
      <c r="C610" s="1">
        <v>6</v>
      </c>
      <c r="D610" s="1">
        <v>2</v>
      </c>
      <c r="E610" s="14">
        <v>83.79</v>
      </c>
      <c r="F610" s="1" t="s">
        <v>18</v>
      </c>
      <c r="G610" s="1">
        <v>2</v>
      </c>
      <c r="H610" s="1" t="s">
        <v>16</v>
      </c>
      <c r="I610" s="1" t="s">
        <v>16</v>
      </c>
      <c r="J610" s="1" t="s">
        <v>16</v>
      </c>
      <c r="K610" s="1" t="s">
        <v>17</v>
      </c>
      <c r="L610" s="1" t="s">
        <v>17</v>
      </c>
      <c r="M610" s="1" t="s">
        <v>17</v>
      </c>
      <c r="N610" s="27" t="s">
        <v>605</v>
      </c>
      <c r="O610" s="1" t="s">
        <v>16</v>
      </c>
    </row>
    <row r="611" spans="1:15" x14ac:dyDescent="0.2">
      <c r="A611" s="9">
        <v>45112</v>
      </c>
      <c r="B611" s="1" t="s">
        <v>15</v>
      </c>
      <c r="C611" s="1">
        <v>7</v>
      </c>
      <c r="D611" s="1">
        <v>2</v>
      </c>
      <c r="E611" s="14">
        <v>67.37</v>
      </c>
      <c r="F611" s="1" t="s">
        <v>18</v>
      </c>
      <c r="G611" s="1">
        <v>2</v>
      </c>
      <c r="H611" s="1" t="s">
        <v>16</v>
      </c>
      <c r="I611" s="1" t="s">
        <v>16</v>
      </c>
      <c r="J611" s="1" t="s">
        <v>16</v>
      </c>
      <c r="K611" s="1" t="s">
        <v>17</v>
      </c>
      <c r="L611" s="1" t="s">
        <v>17</v>
      </c>
      <c r="M611" s="1" t="s">
        <v>17</v>
      </c>
      <c r="N611" s="27" t="s">
        <v>605</v>
      </c>
      <c r="O611" s="1" t="s">
        <v>16</v>
      </c>
    </row>
    <row r="612" spans="1:15" x14ac:dyDescent="0.2">
      <c r="A612" s="9">
        <v>45112</v>
      </c>
      <c r="B612" s="1" t="s">
        <v>15</v>
      </c>
      <c r="C612" s="1">
        <v>8</v>
      </c>
      <c r="D612" s="1">
        <v>2</v>
      </c>
      <c r="E612" s="14">
        <v>63.18</v>
      </c>
      <c r="F612" s="1" t="s">
        <v>18</v>
      </c>
      <c r="G612" s="1">
        <v>2</v>
      </c>
      <c r="H612" s="1" t="s">
        <v>16</v>
      </c>
      <c r="I612" s="1" t="s">
        <v>16</v>
      </c>
      <c r="J612" s="1" t="s">
        <v>16</v>
      </c>
      <c r="K612" s="1" t="s">
        <v>21</v>
      </c>
      <c r="L612" s="1" t="s">
        <v>17</v>
      </c>
      <c r="M612" s="1" t="s">
        <v>17</v>
      </c>
      <c r="N612" s="27" t="s">
        <v>605</v>
      </c>
      <c r="O612" s="1" t="s">
        <v>16</v>
      </c>
    </row>
    <row r="613" spans="1:15" x14ac:dyDescent="0.2">
      <c r="A613" s="9">
        <v>45112</v>
      </c>
      <c r="B613" s="1" t="s">
        <v>15</v>
      </c>
      <c r="C613" s="1">
        <v>9</v>
      </c>
      <c r="D613" s="1">
        <v>2</v>
      </c>
      <c r="E613" s="14">
        <v>67.13</v>
      </c>
      <c r="F613" s="1" t="s">
        <v>18</v>
      </c>
      <c r="G613" s="1">
        <v>2</v>
      </c>
      <c r="H613" s="1" t="s">
        <v>16</v>
      </c>
      <c r="I613" s="1" t="s">
        <v>16</v>
      </c>
      <c r="J613" s="1" t="s">
        <v>16</v>
      </c>
      <c r="K613" s="1" t="s">
        <v>17</v>
      </c>
      <c r="L613" s="1" t="s">
        <v>17</v>
      </c>
      <c r="M613" s="1" t="s">
        <v>17</v>
      </c>
      <c r="N613" s="27" t="s">
        <v>605</v>
      </c>
      <c r="O613" s="1" t="s">
        <v>16</v>
      </c>
    </row>
    <row r="614" spans="1:15" x14ac:dyDescent="0.2">
      <c r="A614" s="9">
        <v>45112</v>
      </c>
      <c r="B614" s="1" t="s">
        <v>15</v>
      </c>
      <c r="C614" s="1">
        <v>10</v>
      </c>
      <c r="D614" s="1">
        <v>2</v>
      </c>
      <c r="E614" s="14">
        <v>60.64</v>
      </c>
      <c r="F614" s="1" t="s">
        <v>18</v>
      </c>
      <c r="G614" s="1">
        <v>2</v>
      </c>
      <c r="H614" s="1" t="s">
        <v>16</v>
      </c>
      <c r="I614" s="1" t="s">
        <v>16</v>
      </c>
      <c r="J614" s="1" t="s">
        <v>16</v>
      </c>
      <c r="K614" s="1" t="s">
        <v>17</v>
      </c>
      <c r="L614" s="1" t="s">
        <v>17</v>
      </c>
      <c r="M614" s="1" t="s">
        <v>17</v>
      </c>
      <c r="N614" s="27" t="s">
        <v>605</v>
      </c>
      <c r="O614" s="1" t="s">
        <v>16</v>
      </c>
    </row>
    <row r="615" spans="1:15" x14ac:dyDescent="0.2">
      <c r="A615" s="9">
        <v>45112</v>
      </c>
      <c r="B615" s="1" t="s">
        <v>15</v>
      </c>
      <c r="C615" s="1">
        <v>11</v>
      </c>
      <c r="D615" s="1">
        <v>3</v>
      </c>
      <c r="E615" s="14">
        <v>76.739999999999995</v>
      </c>
      <c r="F615" s="1" t="s">
        <v>18</v>
      </c>
      <c r="G615" s="1">
        <v>2</v>
      </c>
      <c r="H615" s="1" t="s">
        <v>16</v>
      </c>
      <c r="I615" s="1" t="s">
        <v>16</v>
      </c>
      <c r="J615" s="1" t="s">
        <v>16</v>
      </c>
      <c r="K615" s="1" t="s">
        <v>17</v>
      </c>
      <c r="L615" s="1" t="s">
        <v>17</v>
      </c>
      <c r="M615" s="1" t="s">
        <v>17</v>
      </c>
      <c r="N615" s="27" t="s">
        <v>605</v>
      </c>
      <c r="O615" s="1" t="s">
        <v>16</v>
      </c>
    </row>
    <row r="616" spans="1:15" x14ac:dyDescent="0.2">
      <c r="A616" s="9">
        <v>45112</v>
      </c>
      <c r="B616" s="1" t="s">
        <v>15</v>
      </c>
      <c r="C616" s="1">
        <v>12</v>
      </c>
      <c r="D616" s="1">
        <v>3</v>
      </c>
      <c r="E616" s="14">
        <v>64.11</v>
      </c>
      <c r="F616" s="1" t="s">
        <v>18</v>
      </c>
      <c r="G616" s="1">
        <v>2</v>
      </c>
      <c r="H616" s="1" t="s">
        <v>16</v>
      </c>
      <c r="I616" s="1" t="s">
        <v>16</v>
      </c>
      <c r="J616" s="1" t="s">
        <v>16</v>
      </c>
      <c r="K616" s="1" t="s">
        <v>17</v>
      </c>
      <c r="L616" s="1" t="s">
        <v>17</v>
      </c>
      <c r="M616" s="1" t="s">
        <v>17</v>
      </c>
      <c r="N616" s="27" t="s">
        <v>605</v>
      </c>
      <c r="O616" s="1" t="s">
        <v>16</v>
      </c>
    </row>
    <row r="617" spans="1:15" x14ac:dyDescent="0.2">
      <c r="A617" s="9">
        <v>45112</v>
      </c>
      <c r="B617" s="1" t="s">
        <v>15</v>
      </c>
      <c r="C617" s="1">
        <v>13</v>
      </c>
      <c r="D617" s="1">
        <v>3</v>
      </c>
      <c r="E617" s="14">
        <v>67.819999999999993</v>
      </c>
      <c r="F617" s="1" t="s">
        <v>18</v>
      </c>
      <c r="G617" s="1">
        <v>2</v>
      </c>
      <c r="H617" s="1" t="s">
        <v>16</v>
      </c>
      <c r="I617" s="1" t="s">
        <v>16</v>
      </c>
      <c r="J617" s="1" t="s">
        <v>16</v>
      </c>
      <c r="K617" s="1" t="s">
        <v>17</v>
      </c>
      <c r="L617" s="1" t="s">
        <v>17</v>
      </c>
      <c r="M617" s="1" t="s">
        <v>17</v>
      </c>
      <c r="N617" s="27" t="s">
        <v>605</v>
      </c>
      <c r="O617" s="1" t="s">
        <v>16</v>
      </c>
    </row>
    <row r="618" spans="1:15" x14ac:dyDescent="0.2">
      <c r="A618" s="9">
        <v>45112</v>
      </c>
      <c r="B618" s="1" t="s">
        <v>15</v>
      </c>
      <c r="C618" s="1">
        <v>14</v>
      </c>
      <c r="D618" s="1">
        <v>3</v>
      </c>
      <c r="E618" s="14">
        <v>57.14</v>
      </c>
      <c r="F618" s="1" t="s">
        <v>18</v>
      </c>
      <c r="G618" s="1">
        <v>2</v>
      </c>
      <c r="H618" s="1" t="s">
        <v>16</v>
      </c>
      <c r="I618" s="1" t="s">
        <v>16</v>
      </c>
      <c r="J618" s="1" t="s">
        <v>16</v>
      </c>
      <c r="K618" s="1" t="s">
        <v>17</v>
      </c>
      <c r="L618" s="1" t="s">
        <v>17</v>
      </c>
      <c r="M618" s="1" t="s">
        <v>17</v>
      </c>
      <c r="N618" s="27" t="s">
        <v>605</v>
      </c>
      <c r="O618" s="1" t="s">
        <v>16</v>
      </c>
    </row>
    <row r="619" spans="1:15" x14ac:dyDescent="0.2">
      <c r="A619" s="9">
        <v>45112</v>
      </c>
      <c r="B619" s="1" t="s">
        <v>15</v>
      </c>
      <c r="C619" s="1">
        <v>15</v>
      </c>
      <c r="D619" s="1">
        <v>3</v>
      </c>
      <c r="E619" s="14">
        <v>71.540000000000006</v>
      </c>
      <c r="F619" s="1" t="s">
        <v>19</v>
      </c>
      <c r="G619" s="1">
        <v>2</v>
      </c>
      <c r="H619" s="1" t="s">
        <v>16</v>
      </c>
      <c r="I619" s="1" t="s">
        <v>16</v>
      </c>
      <c r="J619" s="1" t="s">
        <v>16</v>
      </c>
      <c r="K619" s="1" t="s">
        <v>17</v>
      </c>
      <c r="L619" s="1" t="s">
        <v>17</v>
      </c>
      <c r="M619" s="1" t="s">
        <v>17</v>
      </c>
      <c r="N619" s="27" t="s">
        <v>605</v>
      </c>
      <c r="O619" s="1" t="s">
        <v>16</v>
      </c>
    </row>
    <row r="620" spans="1:15" x14ac:dyDescent="0.2">
      <c r="A620" s="9">
        <v>45139</v>
      </c>
      <c r="B620" s="1" t="s">
        <v>15</v>
      </c>
      <c r="C620" s="1">
        <v>1</v>
      </c>
      <c r="D620" s="1">
        <v>1</v>
      </c>
      <c r="E620" s="14">
        <v>46.24</v>
      </c>
      <c r="F620" s="1" t="s">
        <v>18</v>
      </c>
      <c r="G620" s="1">
        <v>2</v>
      </c>
      <c r="H620" s="1" t="s">
        <v>16</v>
      </c>
      <c r="I620" s="1" t="s">
        <v>16</v>
      </c>
      <c r="J620" s="1" t="s">
        <v>16</v>
      </c>
      <c r="K620" s="1" t="s">
        <v>21</v>
      </c>
      <c r="L620" s="1" t="s">
        <v>17</v>
      </c>
      <c r="M620" s="1" t="s">
        <v>17</v>
      </c>
      <c r="N620" s="27" t="s">
        <v>605</v>
      </c>
      <c r="O620" s="1" t="s">
        <v>16</v>
      </c>
    </row>
    <row r="621" spans="1:15" x14ac:dyDescent="0.2">
      <c r="A621" s="9">
        <v>45139</v>
      </c>
      <c r="B621" s="1" t="s">
        <v>15</v>
      </c>
      <c r="C621" s="1">
        <v>2</v>
      </c>
      <c r="D621" s="1">
        <v>1</v>
      </c>
      <c r="E621" s="14">
        <v>56.33</v>
      </c>
      <c r="F621" s="1" t="s">
        <v>18</v>
      </c>
      <c r="G621" s="1">
        <v>2</v>
      </c>
      <c r="H621" s="1" t="s">
        <v>16</v>
      </c>
      <c r="I621" s="1" t="s">
        <v>16</v>
      </c>
      <c r="J621" s="1" t="s">
        <v>16</v>
      </c>
      <c r="K621" s="1" t="s">
        <v>17</v>
      </c>
      <c r="L621" s="1" t="s">
        <v>17</v>
      </c>
      <c r="M621" s="1" t="s">
        <v>17</v>
      </c>
      <c r="N621" s="27" t="s">
        <v>605</v>
      </c>
      <c r="O621" s="1" t="s">
        <v>16</v>
      </c>
    </row>
    <row r="622" spans="1:15" x14ac:dyDescent="0.2">
      <c r="A622" s="9">
        <v>45139</v>
      </c>
      <c r="B622" s="1" t="s">
        <v>15</v>
      </c>
      <c r="C622" s="1">
        <v>3</v>
      </c>
      <c r="D622" s="1">
        <v>1</v>
      </c>
      <c r="E622" s="14">
        <v>61.99</v>
      </c>
      <c r="F622" s="1" t="s">
        <v>18</v>
      </c>
      <c r="G622" s="1">
        <v>2</v>
      </c>
      <c r="H622" s="1" t="s">
        <v>16</v>
      </c>
      <c r="I622" s="1" t="s">
        <v>16</v>
      </c>
      <c r="J622" s="1" t="s">
        <v>16</v>
      </c>
      <c r="K622" s="1" t="s">
        <v>21</v>
      </c>
      <c r="L622" s="1" t="s">
        <v>17</v>
      </c>
      <c r="M622" s="1" t="s">
        <v>17</v>
      </c>
      <c r="N622" s="27" t="s">
        <v>605</v>
      </c>
      <c r="O622" s="1" t="s">
        <v>16</v>
      </c>
    </row>
    <row r="623" spans="1:15" x14ac:dyDescent="0.2">
      <c r="A623" s="9">
        <v>45139</v>
      </c>
      <c r="B623" s="1" t="s">
        <v>15</v>
      </c>
      <c r="C623" s="1">
        <v>4</v>
      </c>
      <c r="D623" s="1">
        <v>1</v>
      </c>
      <c r="E623" s="14">
        <v>49.16</v>
      </c>
      <c r="F623" s="1" t="s">
        <v>19</v>
      </c>
      <c r="G623" s="1">
        <v>2</v>
      </c>
      <c r="H623" s="1" t="s">
        <v>16</v>
      </c>
      <c r="I623" s="1" t="s">
        <v>16</v>
      </c>
      <c r="J623" s="1" t="s">
        <v>16</v>
      </c>
      <c r="K623" s="1" t="s">
        <v>17</v>
      </c>
      <c r="L623" s="1" t="s">
        <v>17</v>
      </c>
      <c r="M623" s="1" t="s">
        <v>17</v>
      </c>
      <c r="N623" s="27" t="s">
        <v>605</v>
      </c>
      <c r="O623" s="1" t="s">
        <v>16</v>
      </c>
    </row>
    <row r="624" spans="1:15" x14ac:dyDescent="0.2">
      <c r="A624" s="9">
        <v>45139</v>
      </c>
      <c r="B624" s="1" t="s">
        <v>15</v>
      </c>
      <c r="C624" s="1">
        <v>5</v>
      </c>
      <c r="D624" s="1">
        <v>1</v>
      </c>
      <c r="E624" s="14">
        <v>44.73</v>
      </c>
      <c r="F624" s="1" t="s">
        <v>18</v>
      </c>
      <c r="G624" s="1">
        <v>2</v>
      </c>
      <c r="H624" s="1" t="s">
        <v>16</v>
      </c>
      <c r="I624" s="1" t="s">
        <v>16</v>
      </c>
      <c r="J624" s="1" t="s">
        <v>16</v>
      </c>
      <c r="K624" s="1" t="s">
        <v>21</v>
      </c>
      <c r="L624" s="1" t="s">
        <v>17</v>
      </c>
      <c r="M624" s="1" t="s">
        <v>17</v>
      </c>
      <c r="N624" s="27" t="s">
        <v>605</v>
      </c>
      <c r="O624" s="1" t="s">
        <v>16</v>
      </c>
    </row>
    <row r="625" spans="1:15" x14ac:dyDescent="0.2">
      <c r="A625" s="9">
        <v>45139</v>
      </c>
      <c r="B625" s="1" t="s">
        <v>15</v>
      </c>
      <c r="C625" s="1">
        <v>6</v>
      </c>
      <c r="D625" s="1">
        <v>2</v>
      </c>
      <c r="E625" s="14">
        <v>63.74</v>
      </c>
      <c r="F625" s="1" t="s">
        <v>18</v>
      </c>
      <c r="G625" s="1">
        <v>2</v>
      </c>
      <c r="H625" s="1" t="s">
        <v>16</v>
      </c>
      <c r="I625" s="1" t="s">
        <v>16</v>
      </c>
      <c r="J625" s="1" t="s">
        <v>16</v>
      </c>
      <c r="K625" s="1" t="s">
        <v>21</v>
      </c>
      <c r="L625" s="1" t="s">
        <v>17</v>
      </c>
      <c r="M625" s="1" t="s">
        <v>17</v>
      </c>
      <c r="N625" s="27" t="s">
        <v>605</v>
      </c>
      <c r="O625" s="1" t="s">
        <v>16</v>
      </c>
    </row>
    <row r="626" spans="1:15" x14ac:dyDescent="0.2">
      <c r="A626" s="9">
        <v>45139</v>
      </c>
      <c r="B626" s="1" t="s">
        <v>15</v>
      </c>
      <c r="C626" s="1">
        <v>7</v>
      </c>
      <c r="D626" s="1">
        <v>2</v>
      </c>
      <c r="E626" s="14">
        <v>45.34</v>
      </c>
      <c r="F626" s="1" t="s">
        <v>18</v>
      </c>
      <c r="G626" s="1">
        <v>2</v>
      </c>
      <c r="H626" s="1" t="s">
        <v>16</v>
      </c>
      <c r="I626" s="1" t="s">
        <v>16</v>
      </c>
      <c r="J626" s="1" t="s">
        <v>16</v>
      </c>
      <c r="K626" s="1" t="s">
        <v>17</v>
      </c>
      <c r="L626" s="1" t="s">
        <v>17</v>
      </c>
      <c r="M626" s="1" t="s">
        <v>17</v>
      </c>
      <c r="N626" s="27" t="s">
        <v>605</v>
      </c>
      <c r="O626" s="1" t="s">
        <v>16</v>
      </c>
    </row>
    <row r="627" spans="1:15" x14ac:dyDescent="0.2">
      <c r="A627" s="9">
        <v>45139</v>
      </c>
      <c r="B627" s="1" t="s">
        <v>15</v>
      </c>
      <c r="C627" s="1">
        <v>8</v>
      </c>
      <c r="D627" s="1">
        <v>2</v>
      </c>
      <c r="E627" s="14">
        <v>49.85</v>
      </c>
      <c r="F627" s="1" t="s">
        <v>19</v>
      </c>
      <c r="G627" s="1">
        <v>2</v>
      </c>
      <c r="H627" s="1" t="s">
        <v>16</v>
      </c>
      <c r="I627" s="1" t="s">
        <v>16</v>
      </c>
      <c r="J627" s="1" t="s">
        <v>16</v>
      </c>
      <c r="K627" s="1" t="s">
        <v>17</v>
      </c>
      <c r="L627" s="1" t="s">
        <v>17</v>
      </c>
      <c r="M627" s="1" t="s">
        <v>17</v>
      </c>
      <c r="N627" s="27" t="s">
        <v>605</v>
      </c>
      <c r="O627" s="1" t="s">
        <v>16</v>
      </c>
    </row>
    <row r="628" spans="1:15" x14ac:dyDescent="0.2">
      <c r="A628" s="9">
        <v>45139</v>
      </c>
      <c r="B628" s="1" t="s">
        <v>15</v>
      </c>
      <c r="C628" s="1">
        <v>9</v>
      </c>
      <c r="D628" s="1">
        <v>2</v>
      </c>
      <c r="E628" s="14">
        <v>52.8</v>
      </c>
      <c r="F628" s="1" t="s">
        <v>19</v>
      </c>
      <c r="G628" s="1">
        <v>2</v>
      </c>
      <c r="H628" s="1" t="s">
        <v>16</v>
      </c>
      <c r="I628" s="1" t="s">
        <v>16</v>
      </c>
      <c r="J628" s="1" t="s">
        <v>16</v>
      </c>
      <c r="K628" s="1" t="s">
        <v>17</v>
      </c>
      <c r="L628" s="1" t="s">
        <v>17</v>
      </c>
      <c r="M628" s="1" t="s">
        <v>17</v>
      </c>
      <c r="N628" s="27" t="s">
        <v>605</v>
      </c>
      <c r="O628" s="1" t="s">
        <v>16</v>
      </c>
    </row>
    <row r="629" spans="1:15" x14ac:dyDescent="0.2">
      <c r="A629" s="9">
        <v>45139</v>
      </c>
      <c r="B629" s="1" t="s">
        <v>15</v>
      </c>
      <c r="C629" s="1">
        <v>10</v>
      </c>
      <c r="D629" s="1">
        <v>2</v>
      </c>
      <c r="E629" s="14">
        <v>46.52</v>
      </c>
      <c r="F629" s="1" t="s">
        <v>18</v>
      </c>
      <c r="G629" s="1">
        <v>2</v>
      </c>
      <c r="H629" s="1" t="s">
        <v>16</v>
      </c>
      <c r="I629" s="1" t="s">
        <v>16</v>
      </c>
      <c r="J629" s="1" t="s">
        <v>16</v>
      </c>
      <c r="K629" s="1" t="s">
        <v>17</v>
      </c>
      <c r="L629" s="1" t="s">
        <v>17</v>
      </c>
      <c r="M629" s="1" t="s">
        <v>17</v>
      </c>
      <c r="N629" s="27" t="s">
        <v>605</v>
      </c>
      <c r="O629" s="1" t="s">
        <v>16</v>
      </c>
    </row>
    <row r="630" spans="1:15" x14ac:dyDescent="0.2">
      <c r="A630" s="9">
        <v>45139</v>
      </c>
      <c r="B630" s="1" t="s">
        <v>15</v>
      </c>
      <c r="C630" s="1">
        <v>11</v>
      </c>
      <c r="D630" s="1">
        <v>3</v>
      </c>
      <c r="E630" s="14">
        <v>50.21</v>
      </c>
      <c r="F630" s="1" t="s">
        <v>19</v>
      </c>
      <c r="G630" s="1">
        <v>3</v>
      </c>
      <c r="H630" s="1" t="s">
        <v>16</v>
      </c>
      <c r="I630" s="1" t="s">
        <v>16</v>
      </c>
      <c r="J630" s="1" t="s">
        <v>16</v>
      </c>
      <c r="K630" s="1" t="s">
        <v>17</v>
      </c>
      <c r="L630" s="1" t="s">
        <v>17</v>
      </c>
      <c r="M630" s="1" t="s">
        <v>17</v>
      </c>
      <c r="N630" s="27" t="s">
        <v>605</v>
      </c>
      <c r="O630" s="1" t="s">
        <v>16</v>
      </c>
    </row>
    <row r="631" spans="1:15" x14ac:dyDescent="0.2">
      <c r="A631" s="9">
        <v>45139</v>
      </c>
      <c r="B631" s="1" t="s">
        <v>15</v>
      </c>
      <c r="C631" s="1">
        <v>12</v>
      </c>
      <c r="D631" s="1">
        <v>3</v>
      </c>
      <c r="E631" s="14">
        <v>43.73</v>
      </c>
      <c r="F631" s="1" t="s">
        <v>18</v>
      </c>
      <c r="G631" s="1">
        <v>2</v>
      </c>
      <c r="H631" s="1" t="s">
        <v>16</v>
      </c>
      <c r="I631" s="1" t="s">
        <v>16</v>
      </c>
      <c r="J631" s="1" t="s">
        <v>16</v>
      </c>
      <c r="K631" s="1" t="s">
        <v>17</v>
      </c>
      <c r="L631" s="1" t="s">
        <v>17</v>
      </c>
      <c r="M631" s="1" t="s">
        <v>17</v>
      </c>
      <c r="N631" s="27" t="s">
        <v>605</v>
      </c>
      <c r="O631" s="1" t="s">
        <v>16</v>
      </c>
    </row>
    <row r="632" spans="1:15" x14ac:dyDescent="0.2">
      <c r="A632" s="9">
        <v>45139</v>
      </c>
      <c r="B632" s="1" t="s">
        <v>15</v>
      </c>
      <c r="C632" s="1">
        <v>13</v>
      </c>
      <c r="D632" s="1">
        <v>3</v>
      </c>
      <c r="E632" s="14">
        <v>38.42</v>
      </c>
      <c r="F632" s="1" t="s">
        <v>19</v>
      </c>
      <c r="G632" s="1">
        <v>2</v>
      </c>
      <c r="H632" s="1" t="s">
        <v>16</v>
      </c>
      <c r="I632" s="1" t="s">
        <v>16</v>
      </c>
      <c r="J632" s="1" t="s">
        <v>16</v>
      </c>
      <c r="K632" s="1" t="s">
        <v>17</v>
      </c>
      <c r="L632" s="1" t="s">
        <v>17</v>
      </c>
      <c r="M632" s="1" t="s">
        <v>17</v>
      </c>
      <c r="N632" s="27" t="s">
        <v>605</v>
      </c>
      <c r="O632" s="1" t="s">
        <v>16</v>
      </c>
    </row>
    <row r="633" spans="1:15" x14ac:dyDescent="0.2">
      <c r="A633" s="9">
        <v>45139</v>
      </c>
      <c r="B633" s="1" t="s">
        <v>15</v>
      </c>
      <c r="C633" s="1">
        <v>14</v>
      </c>
      <c r="D633" s="1">
        <v>3</v>
      </c>
      <c r="E633" s="14">
        <v>35.31</v>
      </c>
      <c r="F633" s="1" t="s">
        <v>18</v>
      </c>
      <c r="G633" s="1" t="s">
        <v>16</v>
      </c>
      <c r="H633" s="1" t="s">
        <v>16</v>
      </c>
      <c r="I633" s="1" t="s">
        <v>16</v>
      </c>
      <c r="J633" s="1" t="s">
        <v>16</v>
      </c>
      <c r="K633" s="1" t="s">
        <v>17</v>
      </c>
      <c r="L633" s="1" t="s">
        <v>17</v>
      </c>
      <c r="M633" s="1" t="s">
        <v>21</v>
      </c>
      <c r="N633" s="27" t="s">
        <v>605</v>
      </c>
      <c r="O633" s="1" t="s">
        <v>16</v>
      </c>
    </row>
    <row r="634" spans="1:15" x14ac:dyDescent="0.2">
      <c r="A634" s="9">
        <v>45139</v>
      </c>
      <c r="B634" s="1" t="s">
        <v>15</v>
      </c>
      <c r="C634" s="1">
        <v>15</v>
      </c>
      <c r="D634" s="1">
        <v>3</v>
      </c>
      <c r="E634" s="14">
        <v>40.119999999999997</v>
      </c>
      <c r="F634" s="1" t="s">
        <v>19</v>
      </c>
      <c r="G634" s="1">
        <v>2</v>
      </c>
      <c r="H634" s="1" t="s">
        <v>16</v>
      </c>
      <c r="I634" s="1" t="s">
        <v>16</v>
      </c>
      <c r="J634" s="1" t="s">
        <v>16</v>
      </c>
      <c r="K634" s="1" t="s">
        <v>17</v>
      </c>
      <c r="L634" s="1" t="s">
        <v>17</v>
      </c>
      <c r="M634" s="1" t="s">
        <v>17</v>
      </c>
      <c r="N634" s="27" t="s">
        <v>605</v>
      </c>
      <c r="O634" s="1" t="s">
        <v>16</v>
      </c>
    </row>
    <row r="635" spans="1:15" x14ac:dyDescent="0.2">
      <c r="A635" s="9">
        <v>45175</v>
      </c>
      <c r="B635" s="1" t="s">
        <v>15</v>
      </c>
      <c r="C635" s="1">
        <v>1</v>
      </c>
      <c r="D635" s="1">
        <v>1</v>
      </c>
      <c r="E635" s="14">
        <v>53.91</v>
      </c>
      <c r="F635" s="4" t="s">
        <v>16</v>
      </c>
      <c r="G635" s="4" t="s">
        <v>16</v>
      </c>
      <c r="H635" s="1" t="s">
        <v>16</v>
      </c>
      <c r="I635" s="1" t="s">
        <v>16</v>
      </c>
      <c r="J635" s="1" t="s">
        <v>16</v>
      </c>
      <c r="K635" s="1" t="s">
        <v>17</v>
      </c>
      <c r="L635" s="4" t="s">
        <v>21</v>
      </c>
      <c r="M635" s="1" t="s">
        <v>17</v>
      </c>
      <c r="N635" s="27" t="s">
        <v>605</v>
      </c>
      <c r="O635" s="1" t="s">
        <v>16</v>
      </c>
    </row>
    <row r="636" spans="1:15" x14ac:dyDescent="0.2">
      <c r="A636" s="9">
        <v>45175</v>
      </c>
      <c r="B636" s="1" t="s">
        <v>15</v>
      </c>
      <c r="C636" s="1">
        <v>2</v>
      </c>
      <c r="D636" s="1">
        <v>1</v>
      </c>
      <c r="E636" s="14">
        <v>55.25</v>
      </c>
      <c r="F636" s="4" t="s">
        <v>18</v>
      </c>
      <c r="G636" s="1">
        <v>2</v>
      </c>
      <c r="H636" s="1" t="s">
        <v>16</v>
      </c>
      <c r="I636" s="1" t="s">
        <v>16</v>
      </c>
      <c r="J636" s="1" t="s">
        <v>16</v>
      </c>
      <c r="K636" s="4" t="s">
        <v>21</v>
      </c>
      <c r="L636" s="1" t="s">
        <v>17</v>
      </c>
      <c r="M636" s="1" t="s">
        <v>17</v>
      </c>
      <c r="N636" s="27" t="s">
        <v>605</v>
      </c>
      <c r="O636" s="1" t="s">
        <v>16</v>
      </c>
    </row>
    <row r="637" spans="1:15" x14ac:dyDescent="0.2">
      <c r="A637" s="9">
        <v>45175</v>
      </c>
      <c r="B637" s="1" t="s">
        <v>15</v>
      </c>
      <c r="C637" s="1">
        <v>3</v>
      </c>
      <c r="D637" s="1">
        <v>1</v>
      </c>
      <c r="E637" s="14">
        <v>49.43</v>
      </c>
      <c r="F637" s="4" t="s">
        <v>18</v>
      </c>
      <c r="G637" s="1">
        <v>2</v>
      </c>
      <c r="H637" s="1" t="s">
        <v>16</v>
      </c>
      <c r="I637" s="1" t="s">
        <v>16</v>
      </c>
      <c r="J637" s="1" t="s">
        <v>16</v>
      </c>
      <c r="K637" s="1" t="s">
        <v>17</v>
      </c>
      <c r="L637" s="1" t="s">
        <v>17</v>
      </c>
      <c r="M637" s="1" t="s">
        <v>17</v>
      </c>
      <c r="N637" s="27" t="s">
        <v>605</v>
      </c>
      <c r="O637" s="1" t="s">
        <v>16</v>
      </c>
    </row>
    <row r="638" spans="1:15" x14ac:dyDescent="0.2">
      <c r="A638" s="9">
        <v>45175</v>
      </c>
      <c r="B638" s="1" t="s">
        <v>15</v>
      </c>
      <c r="C638" s="1">
        <v>4</v>
      </c>
      <c r="D638" s="1">
        <v>1</v>
      </c>
      <c r="E638" s="14">
        <v>47.83</v>
      </c>
      <c r="F638" s="4" t="s">
        <v>19</v>
      </c>
      <c r="G638" s="1">
        <v>2</v>
      </c>
      <c r="H638" s="1" t="s">
        <v>16</v>
      </c>
      <c r="I638" s="1" t="s">
        <v>16</v>
      </c>
      <c r="J638" s="1" t="s">
        <v>16</v>
      </c>
      <c r="K638" s="1" t="s">
        <v>17</v>
      </c>
      <c r="L638" s="1" t="s">
        <v>17</v>
      </c>
      <c r="M638" s="1" t="s">
        <v>17</v>
      </c>
      <c r="N638" s="27" t="s">
        <v>605</v>
      </c>
      <c r="O638" s="1" t="s">
        <v>16</v>
      </c>
    </row>
    <row r="639" spans="1:15" x14ac:dyDescent="0.2">
      <c r="A639" s="9">
        <v>45175</v>
      </c>
      <c r="B639" s="1" t="s">
        <v>15</v>
      </c>
      <c r="C639" s="1">
        <v>5</v>
      </c>
      <c r="D639" s="1">
        <v>1</v>
      </c>
      <c r="E639" s="14">
        <v>51.43</v>
      </c>
      <c r="F639" s="4" t="s">
        <v>18</v>
      </c>
      <c r="G639" s="1">
        <v>2</v>
      </c>
      <c r="H639" s="1" t="s">
        <v>16</v>
      </c>
      <c r="I639" s="1" t="s">
        <v>16</v>
      </c>
      <c r="J639" s="1" t="s">
        <v>16</v>
      </c>
      <c r="K639" s="1" t="s">
        <v>17</v>
      </c>
      <c r="L639" s="1" t="s">
        <v>17</v>
      </c>
      <c r="M639" s="1" t="s">
        <v>17</v>
      </c>
      <c r="N639" s="27" t="s">
        <v>605</v>
      </c>
      <c r="O639" s="1" t="s">
        <v>16</v>
      </c>
    </row>
    <row r="640" spans="1:15" x14ac:dyDescent="0.2">
      <c r="A640" s="9">
        <v>45175</v>
      </c>
      <c r="B640" s="1" t="s">
        <v>15</v>
      </c>
      <c r="C640" s="1">
        <v>6</v>
      </c>
      <c r="D640" s="1">
        <v>2</v>
      </c>
      <c r="E640" s="14">
        <v>58.83</v>
      </c>
      <c r="F640" s="4" t="s">
        <v>18</v>
      </c>
      <c r="G640" s="1">
        <v>2</v>
      </c>
      <c r="H640" s="1" t="s">
        <v>16</v>
      </c>
      <c r="I640" s="1" t="s">
        <v>16</v>
      </c>
      <c r="J640" s="1" t="s">
        <v>16</v>
      </c>
      <c r="K640" s="1" t="s">
        <v>17</v>
      </c>
      <c r="L640" s="1" t="s">
        <v>17</v>
      </c>
      <c r="M640" s="1" t="s">
        <v>17</v>
      </c>
      <c r="N640" s="27" t="s">
        <v>605</v>
      </c>
      <c r="O640" s="1" t="s">
        <v>16</v>
      </c>
    </row>
    <row r="641" spans="1:15" x14ac:dyDescent="0.2">
      <c r="A641" s="9">
        <v>45175</v>
      </c>
      <c r="B641" s="1" t="s">
        <v>15</v>
      </c>
      <c r="C641" s="1">
        <v>7</v>
      </c>
      <c r="D641" s="1">
        <v>2</v>
      </c>
      <c r="E641" s="14">
        <v>43.69</v>
      </c>
      <c r="F641" s="4" t="s">
        <v>18</v>
      </c>
      <c r="G641" s="1">
        <v>2</v>
      </c>
      <c r="H641" s="1" t="s">
        <v>16</v>
      </c>
      <c r="I641" s="1" t="s">
        <v>16</v>
      </c>
      <c r="J641" s="1" t="s">
        <v>16</v>
      </c>
      <c r="K641" s="1" t="s">
        <v>17</v>
      </c>
      <c r="L641" s="1" t="s">
        <v>17</v>
      </c>
      <c r="M641" s="1" t="s">
        <v>17</v>
      </c>
      <c r="N641" s="27" t="s">
        <v>605</v>
      </c>
      <c r="O641" s="1" t="s">
        <v>16</v>
      </c>
    </row>
    <row r="642" spans="1:15" x14ac:dyDescent="0.2">
      <c r="A642" s="9">
        <v>45175</v>
      </c>
      <c r="B642" s="1" t="s">
        <v>15</v>
      </c>
      <c r="C642" s="1">
        <v>8</v>
      </c>
      <c r="D642" s="1">
        <v>2</v>
      </c>
      <c r="E642" s="14">
        <v>55.61</v>
      </c>
      <c r="F642" s="4" t="s">
        <v>18</v>
      </c>
      <c r="G642" s="1">
        <v>2</v>
      </c>
      <c r="H642" s="1" t="s">
        <v>16</v>
      </c>
      <c r="I642" s="1" t="s">
        <v>16</v>
      </c>
      <c r="J642" s="1" t="s">
        <v>16</v>
      </c>
      <c r="K642" s="1" t="s">
        <v>17</v>
      </c>
      <c r="L642" s="1" t="s">
        <v>17</v>
      </c>
      <c r="M642" s="1" t="s">
        <v>17</v>
      </c>
      <c r="N642" s="27" t="s">
        <v>605</v>
      </c>
      <c r="O642" s="1" t="s">
        <v>16</v>
      </c>
    </row>
    <row r="643" spans="1:15" x14ac:dyDescent="0.2">
      <c r="A643" s="9">
        <v>45175</v>
      </c>
      <c r="B643" s="1" t="s">
        <v>15</v>
      </c>
      <c r="C643" s="1">
        <v>9</v>
      </c>
      <c r="D643" s="1">
        <v>2</v>
      </c>
      <c r="E643" s="14">
        <v>46.33</v>
      </c>
      <c r="F643" s="4" t="s">
        <v>18</v>
      </c>
      <c r="G643" s="1">
        <v>2</v>
      </c>
      <c r="H643" s="1" t="s">
        <v>16</v>
      </c>
      <c r="I643" s="1" t="s">
        <v>16</v>
      </c>
      <c r="J643" s="1" t="s">
        <v>16</v>
      </c>
      <c r="K643" s="1" t="s">
        <v>17</v>
      </c>
      <c r="L643" s="1" t="s">
        <v>17</v>
      </c>
      <c r="M643" s="1" t="s">
        <v>17</v>
      </c>
      <c r="N643" s="27" t="s">
        <v>605</v>
      </c>
      <c r="O643" s="1" t="s">
        <v>16</v>
      </c>
    </row>
    <row r="644" spans="1:15" x14ac:dyDescent="0.2">
      <c r="A644" s="9">
        <v>45175</v>
      </c>
      <c r="B644" s="1" t="s">
        <v>15</v>
      </c>
      <c r="C644" s="1">
        <v>10</v>
      </c>
      <c r="D644" s="1">
        <v>2</v>
      </c>
      <c r="E644" s="14">
        <v>62.64</v>
      </c>
      <c r="F644" s="4" t="s">
        <v>18</v>
      </c>
      <c r="G644" s="1">
        <v>2</v>
      </c>
      <c r="H644" s="1" t="s">
        <v>16</v>
      </c>
      <c r="I644" s="1" t="s">
        <v>16</v>
      </c>
      <c r="J644" s="1" t="s">
        <v>16</v>
      </c>
      <c r="K644" s="1" t="s">
        <v>17</v>
      </c>
      <c r="L644" s="1" t="s">
        <v>17</v>
      </c>
      <c r="M644" s="1" t="s">
        <v>17</v>
      </c>
      <c r="N644" s="27" t="s">
        <v>605</v>
      </c>
      <c r="O644" s="1" t="s">
        <v>16</v>
      </c>
    </row>
    <row r="645" spans="1:15" x14ac:dyDescent="0.2">
      <c r="A645" s="9">
        <v>45175</v>
      </c>
      <c r="B645" s="1" t="s">
        <v>15</v>
      </c>
      <c r="C645" s="1">
        <v>11</v>
      </c>
      <c r="D645" s="1">
        <v>3</v>
      </c>
      <c r="E645" s="14">
        <v>44.81</v>
      </c>
      <c r="F645" s="4" t="s">
        <v>18</v>
      </c>
      <c r="G645" s="1">
        <v>2</v>
      </c>
      <c r="H645" s="1" t="s">
        <v>16</v>
      </c>
      <c r="I645" s="1" t="s">
        <v>16</v>
      </c>
      <c r="J645" s="1" t="s">
        <v>16</v>
      </c>
      <c r="K645" s="1" t="s">
        <v>17</v>
      </c>
      <c r="L645" s="1" t="s">
        <v>17</v>
      </c>
      <c r="M645" s="1" t="s">
        <v>17</v>
      </c>
      <c r="N645" s="27" t="s">
        <v>605</v>
      </c>
      <c r="O645" s="1" t="s">
        <v>16</v>
      </c>
    </row>
    <row r="646" spans="1:15" x14ac:dyDescent="0.2">
      <c r="A646" s="9">
        <v>45175</v>
      </c>
      <c r="B646" s="1" t="s">
        <v>15</v>
      </c>
      <c r="C646" s="1">
        <v>12</v>
      </c>
      <c r="D646" s="1">
        <v>3</v>
      </c>
      <c r="E646" s="14">
        <v>43.08</v>
      </c>
      <c r="F646" s="4" t="s">
        <v>18</v>
      </c>
      <c r="G646" s="1">
        <v>2</v>
      </c>
      <c r="H646" s="1" t="s">
        <v>16</v>
      </c>
      <c r="I646" s="1" t="s">
        <v>16</v>
      </c>
      <c r="J646" s="1" t="s">
        <v>16</v>
      </c>
      <c r="K646" s="1" t="s">
        <v>17</v>
      </c>
      <c r="L646" s="1" t="s">
        <v>17</v>
      </c>
      <c r="M646" s="1" t="s">
        <v>17</v>
      </c>
      <c r="N646" s="27" t="s">
        <v>605</v>
      </c>
      <c r="O646" s="1" t="s">
        <v>16</v>
      </c>
    </row>
    <row r="647" spans="1:15" x14ac:dyDescent="0.2">
      <c r="A647" s="9">
        <v>45175</v>
      </c>
      <c r="B647" s="1" t="s">
        <v>15</v>
      </c>
      <c r="C647" s="1">
        <v>13</v>
      </c>
      <c r="D647" s="1">
        <v>3</v>
      </c>
      <c r="E647" s="14">
        <v>40.479999999999997</v>
      </c>
      <c r="F647" s="4" t="s">
        <v>18</v>
      </c>
      <c r="G647" s="1">
        <v>2</v>
      </c>
      <c r="H647" s="1" t="s">
        <v>16</v>
      </c>
      <c r="I647" s="1" t="s">
        <v>16</v>
      </c>
      <c r="J647" s="1" t="s">
        <v>16</v>
      </c>
      <c r="K647" s="1" t="s">
        <v>17</v>
      </c>
      <c r="L647" s="1" t="s">
        <v>17</v>
      </c>
      <c r="M647" s="1" t="s">
        <v>17</v>
      </c>
      <c r="N647" s="27" t="s">
        <v>605</v>
      </c>
      <c r="O647" s="1" t="s">
        <v>16</v>
      </c>
    </row>
    <row r="648" spans="1:15" x14ac:dyDescent="0.2">
      <c r="A648" s="9">
        <v>45175</v>
      </c>
      <c r="B648" s="1" t="s">
        <v>15</v>
      </c>
      <c r="C648" s="1">
        <v>14</v>
      </c>
      <c r="D648" s="1">
        <v>3</v>
      </c>
      <c r="E648" s="14">
        <v>45.1</v>
      </c>
      <c r="F648" s="4" t="s">
        <v>18</v>
      </c>
      <c r="G648" s="1">
        <v>2</v>
      </c>
      <c r="H648" s="1" t="s">
        <v>16</v>
      </c>
      <c r="I648" s="1" t="s">
        <v>16</v>
      </c>
      <c r="J648" s="1" t="s">
        <v>16</v>
      </c>
      <c r="K648" s="1" t="s">
        <v>17</v>
      </c>
      <c r="L648" s="1" t="s">
        <v>17</v>
      </c>
      <c r="M648" s="1" t="s">
        <v>17</v>
      </c>
      <c r="N648" s="27" t="s">
        <v>605</v>
      </c>
      <c r="O648" s="1" t="s">
        <v>16</v>
      </c>
    </row>
    <row r="649" spans="1:15" x14ac:dyDescent="0.2">
      <c r="A649" s="9">
        <v>45175</v>
      </c>
      <c r="B649" s="1" t="s">
        <v>15</v>
      </c>
      <c r="C649" s="1">
        <v>15</v>
      </c>
      <c r="D649" s="1">
        <v>3</v>
      </c>
      <c r="E649" s="14">
        <v>43.72</v>
      </c>
      <c r="F649" s="4" t="s">
        <v>18</v>
      </c>
      <c r="G649" s="1">
        <v>2</v>
      </c>
      <c r="H649" s="1" t="s">
        <v>16</v>
      </c>
      <c r="I649" s="1" t="s">
        <v>16</v>
      </c>
      <c r="J649" s="1" t="s">
        <v>16</v>
      </c>
      <c r="K649" s="1" t="s">
        <v>17</v>
      </c>
      <c r="L649" s="1" t="s">
        <v>17</v>
      </c>
      <c r="M649" s="1" t="s">
        <v>17</v>
      </c>
      <c r="N649" s="27" t="s">
        <v>605</v>
      </c>
      <c r="O649" s="1" t="s">
        <v>16</v>
      </c>
    </row>
    <row r="650" spans="1:15" x14ac:dyDescent="0.2">
      <c r="A650" s="9">
        <v>45202</v>
      </c>
      <c r="B650" s="1" t="s">
        <v>15</v>
      </c>
      <c r="C650" s="1">
        <v>1</v>
      </c>
      <c r="D650" s="1">
        <v>1</v>
      </c>
      <c r="E650" s="14">
        <v>57.56</v>
      </c>
      <c r="F650" s="1" t="s">
        <v>18</v>
      </c>
      <c r="G650" s="1">
        <v>2</v>
      </c>
      <c r="H650" s="1" t="s">
        <v>16</v>
      </c>
      <c r="I650" s="1" t="s">
        <v>16</v>
      </c>
      <c r="J650" s="1" t="s">
        <v>16</v>
      </c>
      <c r="K650" s="1" t="s">
        <v>17</v>
      </c>
      <c r="L650" s="1" t="s">
        <v>17</v>
      </c>
      <c r="M650" s="1" t="s">
        <v>17</v>
      </c>
      <c r="N650" s="27" t="s">
        <v>605</v>
      </c>
      <c r="O650" s="1" t="s">
        <v>16</v>
      </c>
    </row>
    <row r="651" spans="1:15" x14ac:dyDescent="0.2">
      <c r="A651" s="9">
        <v>45202</v>
      </c>
      <c r="B651" s="1" t="s">
        <v>15</v>
      </c>
      <c r="C651" s="1">
        <v>2</v>
      </c>
      <c r="D651" s="1">
        <v>1</v>
      </c>
      <c r="E651" s="14">
        <v>39.46</v>
      </c>
      <c r="F651" s="1" t="s">
        <v>18</v>
      </c>
      <c r="G651" s="1">
        <v>2</v>
      </c>
      <c r="H651" s="1" t="s">
        <v>16</v>
      </c>
      <c r="I651" s="1" t="s">
        <v>16</v>
      </c>
      <c r="J651" s="1" t="s">
        <v>16</v>
      </c>
      <c r="K651" s="1" t="s">
        <v>17</v>
      </c>
      <c r="L651" s="1" t="s">
        <v>17</v>
      </c>
      <c r="M651" s="1" t="s">
        <v>17</v>
      </c>
      <c r="N651" s="27" t="s">
        <v>605</v>
      </c>
      <c r="O651" s="1" t="s">
        <v>16</v>
      </c>
    </row>
    <row r="652" spans="1:15" x14ac:dyDescent="0.2">
      <c r="A652" s="9">
        <v>45202</v>
      </c>
      <c r="B652" s="1" t="s">
        <v>15</v>
      </c>
      <c r="C652" s="1">
        <v>3</v>
      </c>
      <c r="D652" s="1">
        <v>1</v>
      </c>
      <c r="E652" s="14">
        <v>35.1</v>
      </c>
      <c r="F652" s="1" t="s">
        <v>18</v>
      </c>
      <c r="G652" s="1">
        <v>2</v>
      </c>
      <c r="H652" s="1" t="s">
        <v>16</v>
      </c>
      <c r="I652" s="1" t="s">
        <v>16</v>
      </c>
      <c r="J652" s="1" t="s">
        <v>16</v>
      </c>
      <c r="K652" s="1" t="s">
        <v>17</v>
      </c>
      <c r="L652" s="1" t="s">
        <v>17</v>
      </c>
      <c r="M652" s="1" t="s">
        <v>17</v>
      </c>
      <c r="N652" s="27" t="s">
        <v>605</v>
      </c>
      <c r="O652" s="1" t="s">
        <v>16</v>
      </c>
    </row>
    <row r="653" spans="1:15" x14ac:dyDescent="0.2">
      <c r="A653" s="9">
        <v>45202</v>
      </c>
      <c r="B653" s="1" t="s">
        <v>15</v>
      </c>
      <c r="C653" s="1">
        <v>4</v>
      </c>
      <c r="D653" s="1">
        <v>1</v>
      </c>
      <c r="E653" s="14">
        <v>57.74</v>
      </c>
      <c r="F653" s="1" t="s">
        <v>18</v>
      </c>
      <c r="G653" s="1">
        <v>2</v>
      </c>
      <c r="H653" s="1" t="s">
        <v>16</v>
      </c>
      <c r="I653" s="1" t="s">
        <v>16</v>
      </c>
      <c r="J653" s="1" t="s">
        <v>16</v>
      </c>
      <c r="K653" s="1" t="s">
        <v>17</v>
      </c>
      <c r="L653" s="1" t="s">
        <v>17</v>
      </c>
      <c r="M653" s="1" t="s">
        <v>17</v>
      </c>
      <c r="N653" s="27" t="s">
        <v>605</v>
      </c>
      <c r="O653" s="1" t="s">
        <v>16</v>
      </c>
    </row>
    <row r="654" spans="1:15" x14ac:dyDescent="0.2">
      <c r="A654" s="9">
        <v>45202</v>
      </c>
      <c r="B654" s="1" t="s">
        <v>15</v>
      </c>
      <c r="C654" s="1">
        <v>5</v>
      </c>
      <c r="D654" s="1">
        <v>1</v>
      </c>
      <c r="E654" s="14">
        <v>32.85</v>
      </c>
      <c r="F654" s="1" t="s">
        <v>18</v>
      </c>
      <c r="G654" s="1">
        <v>2</v>
      </c>
      <c r="H654" s="1" t="s">
        <v>16</v>
      </c>
      <c r="I654" s="1" t="s">
        <v>16</v>
      </c>
      <c r="J654" s="1" t="s">
        <v>16</v>
      </c>
      <c r="K654" s="1" t="s">
        <v>17</v>
      </c>
      <c r="L654" s="1" t="s">
        <v>17</v>
      </c>
      <c r="M654" s="1" t="s">
        <v>17</v>
      </c>
      <c r="N654" s="27" t="s">
        <v>605</v>
      </c>
      <c r="O654" s="1" t="s">
        <v>16</v>
      </c>
    </row>
    <row r="655" spans="1:15" x14ac:dyDescent="0.2">
      <c r="A655" s="9">
        <v>45202</v>
      </c>
      <c r="B655" s="1" t="s">
        <v>15</v>
      </c>
      <c r="C655" s="1">
        <v>6</v>
      </c>
      <c r="D655" s="1">
        <v>2</v>
      </c>
      <c r="E655" s="14">
        <v>49.85</v>
      </c>
      <c r="F655" s="1" t="s">
        <v>19</v>
      </c>
      <c r="G655" s="1">
        <v>2</v>
      </c>
      <c r="H655" s="1" t="s">
        <v>16</v>
      </c>
      <c r="I655" s="1" t="s">
        <v>16</v>
      </c>
      <c r="J655" s="1" t="s">
        <v>16</v>
      </c>
      <c r="K655" s="1" t="s">
        <v>17</v>
      </c>
      <c r="L655" s="1" t="s">
        <v>17</v>
      </c>
      <c r="M655" s="1" t="s">
        <v>17</v>
      </c>
      <c r="N655" s="27" t="s">
        <v>605</v>
      </c>
      <c r="O655" s="1" t="s">
        <v>16</v>
      </c>
    </row>
    <row r="656" spans="1:15" x14ac:dyDescent="0.2">
      <c r="A656" s="9">
        <v>45202</v>
      </c>
      <c r="B656" s="1" t="s">
        <v>15</v>
      </c>
      <c r="C656" s="1">
        <v>7</v>
      </c>
      <c r="D656" s="1">
        <v>2</v>
      </c>
      <c r="E656" s="14">
        <v>63.39</v>
      </c>
      <c r="F656" s="1" t="s">
        <v>18</v>
      </c>
      <c r="G656" s="1">
        <v>2</v>
      </c>
      <c r="H656" s="1" t="s">
        <v>16</v>
      </c>
      <c r="I656" s="1" t="s">
        <v>16</v>
      </c>
      <c r="J656" s="1" t="s">
        <v>16</v>
      </c>
      <c r="K656" s="1" t="s">
        <v>21</v>
      </c>
      <c r="L656" s="1" t="s">
        <v>17</v>
      </c>
      <c r="M656" s="1" t="s">
        <v>17</v>
      </c>
      <c r="N656" s="27" t="s">
        <v>605</v>
      </c>
      <c r="O656" s="1" t="s">
        <v>16</v>
      </c>
    </row>
    <row r="657" spans="1:15" x14ac:dyDescent="0.2">
      <c r="A657" s="9">
        <v>45202</v>
      </c>
      <c r="B657" s="1" t="s">
        <v>15</v>
      </c>
      <c r="C657" s="1">
        <v>8</v>
      </c>
      <c r="D657" s="1">
        <v>2</v>
      </c>
      <c r="E657" s="14">
        <v>51.83</v>
      </c>
      <c r="F657" s="1" t="s">
        <v>19</v>
      </c>
      <c r="G657" s="1">
        <v>2</v>
      </c>
      <c r="H657" s="1" t="s">
        <v>16</v>
      </c>
      <c r="I657" s="1" t="s">
        <v>16</v>
      </c>
      <c r="J657" s="1" t="s">
        <v>16</v>
      </c>
      <c r="K657" s="1" t="s">
        <v>17</v>
      </c>
      <c r="L657" s="1" t="s">
        <v>17</v>
      </c>
      <c r="M657" s="1" t="s">
        <v>17</v>
      </c>
      <c r="N657" s="27" t="s">
        <v>605</v>
      </c>
      <c r="O657" s="1" t="s">
        <v>16</v>
      </c>
    </row>
    <row r="658" spans="1:15" x14ac:dyDescent="0.2">
      <c r="A658" s="9">
        <v>45202</v>
      </c>
      <c r="B658" s="1" t="s">
        <v>15</v>
      </c>
      <c r="C658" s="1">
        <v>9</v>
      </c>
      <c r="D658" s="1">
        <v>2</v>
      </c>
      <c r="E658" s="14">
        <v>40.25</v>
      </c>
      <c r="F658" s="1" t="s">
        <v>19</v>
      </c>
      <c r="G658" s="1">
        <v>2</v>
      </c>
      <c r="H658" s="1" t="s">
        <v>16</v>
      </c>
      <c r="I658" s="1" t="s">
        <v>16</v>
      </c>
      <c r="J658" s="1" t="s">
        <v>16</v>
      </c>
      <c r="K658" s="1" t="s">
        <v>17</v>
      </c>
      <c r="L658" s="1" t="s">
        <v>17</v>
      </c>
      <c r="M658" s="1" t="s">
        <v>17</v>
      </c>
      <c r="N658" s="27" t="s">
        <v>605</v>
      </c>
      <c r="O658" s="1" t="s">
        <v>16</v>
      </c>
    </row>
    <row r="659" spans="1:15" x14ac:dyDescent="0.2">
      <c r="A659" s="9">
        <v>45202</v>
      </c>
      <c r="B659" s="1" t="s">
        <v>15</v>
      </c>
      <c r="C659" s="1">
        <v>10</v>
      </c>
      <c r="D659" s="1">
        <v>2</v>
      </c>
      <c r="E659" s="14">
        <v>62.21</v>
      </c>
      <c r="F659" s="1" t="s">
        <v>18</v>
      </c>
      <c r="G659" s="1">
        <v>2</v>
      </c>
      <c r="H659" s="1" t="s">
        <v>16</v>
      </c>
      <c r="I659" s="1" t="s">
        <v>16</v>
      </c>
      <c r="J659" s="1" t="s">
        <v>16</v>
      </c>
      <c r="K659" s="1" t="s">
        <v>17</v>
      </c>
      <c r="L659" s="1" t="s">
        <v>17</v>
      </c>
      <c r="M659" s="1" t="s">
        <v>17</v>
      </c>
      <c r="N659" s="27" t="s">
        <v>605</v>
      </c>
      <c r="O659" s="1" t="s">
        <v>16</v>
      </c>
    </row>
    <row r="660" spans="1:15" x14ac:dyDescent="0.2">
      <c r="A660" s="9">
        <v>45202</v>
      </c>
      <c r="B660" s="1" t="s">
        <v>15</v>
      </c>
      <c r="C660" s="1">
        <v>11</v>
      </c>
      <c r="D660" s="1">
        <v>3</v>
      </c>
      <c r="E660" s="14">
        <v>46.26</v>
      </c>
      <c r="F660" s="1" t="s">
        <v>18</v>
      </c>
      <c r="G660" s="1">
        <v>2</v>
      </c>
      <c r="H660" s="1" t="s">
        <v>16</v>
      </c>
      <c r="I660" s="1" t="s">
        <v>16</v>
      </c>
      <c r="J660" s="1" t="s">
        <v>16</v>
      </c>
      <c r="K660" s="1" t="s">
        <v>17</v>
      </c>
      <c r="L660" s="1" t="s">
        <v>17</v>
      </c>
      <c r="M660" s="1" t="s">
        <v>17</v>
      </c>
      <c r="N660" s="27" t="s">
        <v>605</v>
      </c>
      <c r="O660" s="1" t="s">
        <v>16</v>
      </c>
    </row>
    <row r="661" spans="1:15" x14ac:dyDescent="0.2">
      <c r="A661" s="9">
        <v>45202</v>
      </c>
      <c r="B661" s="1" t="s">
        <v>15</v>
      </c>
      <c r="C661" s="1">
        <v>12</v>
      </c>
      <c r="D661" s="1">
        <v>3</v>
      </c>
      <c r="E661" s="14">
        <v>41.07</v>
      </c>
      <c r="F661" s="1" t="s">
        <v>19</v>
      </c>
      <c r="G661" s="1">
        <v>3</v>
      </c>
      <c r="H661" s="1" t="s">
        <v>16</v>
      </c>
      <c r="I661" s="1" t="s">
        <v>16</v>
      </c>
      <c r="J661" s="1" t="s">
        <v>16</v>
      </c>
      <c r="K661" s="1" t="s">
        <v>17</v>
      </c>
      <c r="L661" s="1" t="s">
        <v>17</v>
      </c>
      <c r="M661" s="1" t="s">
        <v>17</v>
      </c>
      <c r="N661" s="27" t="s">
        <v>605</v>
      </c>
      <c r="O661" s="1" t="s">
        <v>16</v>
      </c>
    </row>
    <row r="662" spans="1:15" x14ac:dyDescent="0.2">
      <c r="A662" s="9">
        <v>45202</v>
      </c>
      <c r="B662" s="1" t="s">
        <v>15</v>
      </c>
      <c r="C662" s="1">
        <v>13</v>
      </c>
      <c r="D662" s="1">
        <v>3</v>
      </c>
      <c r="E662" s="14">
        <v>51.69</v>
      </c>
      <c r="F662" s="1" t="s">
        <v>18</v>
      </c>
      <c r="G662" s="1">
        <v>2</v>
      </c>
      <c r="H662" s="1" t="s">
        <v>16</v>
      </c>
      <c r="I662" s="1" t="s">
        <v>16</v>
      </c>
      <c r="J662" s="1" t="s">
        <v>16</v>
      </c>
      <c r="K662" s="1" t="s">
        <v>17</v>
      </c>
      <c r="L662" s="1" t="s">
        <v>17</v>
      </c>
      <c r="M662" s="1" t="s">
        <v>17</v>
      </c>
      <c r="N662" s="27" t="s">
        <v>605</v>
      </c>
      <c r="O662" s="1" t="s">
        <v>16</v>
      </c>
    </row>
    <row r="663" spans="1:15" x14ac:dyDescent="0.2">
      <c r="A663" s="9">
        <v>45202</v>
      </c>
      <c r="B663" s="1" t="s">
        <v>15</v>
      </c>
      <c r="C663" s="1">
        <v>14</v>
      </c>
      <c r="D663" s="1">
        <v>3</v>
      </c>
      <c r="E663" s="14">
        <v>54.65</v>
      </c>
      <c r="F663" s="1" t="s">
        <v>18</v>
      </c>
      <c r="G663" s="1">
        <v>2</v>
      </c>
      <c r="H663" s="1" t="s">
        <v>16</v>
      </c>
      <c r="I663" s="1" t="s">
        <v>16</v>
      </c>
      <c r="J663" s="1" t="s">
        <v>16</v>
      </c>
      <c r="K663" s="1" t="s">
        <v>17</v>
      </c>
      <c r="L663" s="1" t="s">
        <v>17</v>
      </c>
      <c r="M663" s="1" t="s">
        <v>17</v>
      </c>
      <c r="N663" s="27" t="s">
        <v>605</v>
      </c>
      <c r="O663" s="1" t="s">
        <v>16</v>
      </c>
    </row>
    <row r="664" spans="1:15" x14ac:dyDescent="0.2">
      <c r="A664" s="9">
        <v>45202</v>
      </c>
      <c r="B664" s="1" t="s">
        <v>15</v>
      </c>
      <c r="C664" s="1">
        <v>15</v>
      </c>
      <c r="D664" s="1">
        <v>3</v>
      </c>
      <c r="E664" s="14">
        <v>54.6</v>
      </c>
      <c r="F664" s="1" t="s">
        <v>18</v>
      </c>
      <c r="G664" s="1">
        <v>2</v>
      </c>
      <c r="H664" s="1" t="s">
        <v>16</v>
      </c>
      <c r="I664" s="1" t="s">
        <v>16</v>
      </c>
      <c r="J664" s="1" t="s">
        <v>16</v>
      </c>
      <c r="K664" s="1" t="s">
        <v>17</v>
      </c>
      <c r="L664" s="1" t="s">
        <v>17</v>
      </c>
      <c r="M664" s="1" t="s">
        <v>17</v>
      </c>
      <c r="N664" s="27" t="s">
        <v>605</v>
      </c>
      <c r="O664" s="1" t="s">
        <v>16</v>
      </c>
    </row>
    <row r="665" spans="1:15" x14ac:dyDescent="0.2">
      <c r="A665" s="9">
        <v>45237</v>
      </c>
      <c r="B665" s="1" t="s">
        <v>15</v>
      </c>
      <c r="C665" s="1">
        <v>1</v>
      </c>
      <c r="D665" s="1">
        <v>1</v>
      </c>
      <c r="E665" s="14">
        <v>43.48</v>
      </c>
      <c r="F665" s="1" t="s">
        <v>19</v>
      </c>
      <c r="G665" s="1">
        <v>2</v>
      </c>
      <c r="H665" s="1" t="s">
        <v>16</v>
      </c>
      <c r="I665" s="1" t="s">
        <v>16</v>
      </c>
      <c r="J665" s="1" t="s">
        <v>16</v>
      </c>
      <c r="K665" s="1" t="s">
        <v>17</v>
      </c>
      <c r="L665" s="1" t="s">
        <v>17</v>
      </c>
      <c r="M665" s="1" t="s">
        <v>17</v>
      </c>
      <c r="N665" s="27" t="s">
        <v>605</v>
      </c>
      <c r="O665" s="1" t="s">
        <v>16</v>
      </c>
    </row>
    <row r="666" spans="1:15" x14ac:dyDescent="0.2">
      <c r="A666" s="9">
        <v>45237</v>
      </c>
      <c r="B666" s="1" t="s">
        <v>15</v>
      </c>
      <c r="C666" s="1">
        <v>2</v>
      </c>
      <c r="D666" s="1">
        <v>1</v>
      </c>
      <c r="E666" s="14">
        <v>43.37</v>
      </c>
      <c r="F666" s="1" t="s">
        <v>18</v>
      </c>
      <c r="G666" s="1">
        <v>2</v>
      </c>
      <c r="H666" s="1" t="s">
        <v>16</v>
      </c>
      <c r="I666" s="1" t="s">
        <v>16</v>
      </c>
      <c r="J666" s="1" t="s">
        <v>16</v>
      </c>
      <c r="K666" s="1" t="s">
        <v>17</v>
      </c>
      <c r="L666" s="1" t="s">
        <v>17</v>
      </c>
      <c r="M666" s="1" t="s">
        <v>17</v>
      </c>
      <c r="N666" s="27" t="s">
        <v>605</v>
      </c>
      <c r="O666" s="1" t="s">
        <v>16</v>
      </c>
    </row>
    <row r="667" spans="1:15" x14ac:dyDescent="0.2">
      <c r="A667" s="9">
        <v>45237</v>
      </c>
      <c r="B667" s="1" t="s">
        <v>15</v>
      </c>
      <c r="C667" s="1">
        <v>3</v>
      </c>
      <c r="D667" s="1">
        <v>1</v>
      </c>
      <c r="E667" s="14">
        <v>46.61</v>
      </c>
      <c r="F667" s="1" t="s">
        <v>16</v>
      </c>
      <c r="G667" s="1">
        <v>4</v>
      </c>
      <c r="H667" s="1" t="s">
        <v>16</v>
      </c>
      <c r="I667" s="1" t="s">
        <v>16</v>
      </c>
      <c r="J667" s="1" t="s">
        <v>16</v>
      </c>
      <c r="K667" s="1" t="s">
        <v>21</v>
      </c>
      <c r="L667" s="1" t="s">
        <v>17</v>
      </c>
      <c r="M667" s="1" t="s">
        <v>17</v>
      </c>
      <c r="N667" s="27" t="s">
        <v>605</v>
      </c>
      <c r="O667" s="1" t="s">
        <v>16</v>
      </c>
    </row>
    <row r="668" spans="1:15" x14ac:dyDescent="0.2">
      <c r="A668" s="9">
        <v>45237</v>
      </c>
      <c r="B668" s="1" t="s">
        <v>15</v>
      </c>
      <c r="C668" s="1">
        <v>4</v>
      </c>
      <c r="D668" s="1">
        <v>1</v>
      </c>
      <c r="E668" s="14">
        <v>41.05</v>
      </c>
      <c r="F668" s="1" t="s">
        <v>18</v>
      </c>
      <c r="G668" s="1">
        <v>2</v>
      </c>
      <c r="H668" s="1" t="s">
        <v>16</v>
      </c>
      <c r="I668" s="1" t="s">
        <v>16</v>
      </c>
      <c r="J668" s="1" t="s">
        <v>16</v>
      </c>
      <c r="K668" s="1" t="s">
        <v>17</v>
      </c>
      <c r="L668" s="1" t="s">
        <v>17</v>
      </c>
      <c r="M668" s="1" t="s">
        <v>17</v>
      </c>
      <c r="N668" s="27" t="s">
        <v>605</v>
      </c>
      <c r="O668" s="1" t="s">
        <v>16</v>
      </c>
    </row>
    <row r="669" spans="1:15" x14ac:dyDescent="0.2">
      <c r="A669" s="9">
        <v>45237</v>
      </c>
      <c r="B669" s="1" t="s">
        <v>15</v>
      </c>
      <c r="C669" s="1">
        <v>5</v>
      </c>
      <c r="D669" s="1">
        <v>1</v>
      </c>
      <c r="E669" s="14">
        <v>36.9</v>
      </c>
      <c r="F669" s="1" t="s">
        <v>19</v>
      </c>
      <c r="G669" s="1">
        <v>2</v>
      </c>
      <c r="H669" s="1" t="s">
        <v>16</v>
      </c>
      <c r="I669" s="1" t="s">
        <v>16</v>
      </c>
      <c r="J669" s="1" t="s">
        <v>16</v>
      </c>
      <c r="K669" s="1" t="s">
        <v>17</v>
      </c>
      <c r="L669" s="1" t="s">
        <v>17</v>
      </c>
      <c r="M669" s="1" t="s">
        <v>17</v>
      </c>
      <c r="N669" s="27" t="s">
        <v>605</v>
      </c>
      <c r="O669" s="1" t="s">
        <v>16</v>
      </c>
    </row>
    <row r="670" spans="1:15" x14ac:dyDescent="0.2">
      <c r="A670" s="9">
        <v>45237</v>
      </c>
      <c r="B670" s="1" t="s">
        <v>15</v>
      </c>
      <c r="C670" s="1">
        <v>6</v>
      </c>
      <c r="D670" s="1">
        <v>2</v>
      </c>
      <c r="E670" s="14">
        <v>57.75</v>
      </c>
      <c r="F670" s="1" t="s">
        <v>18</v>
      </c>
      <c r="G670" s="1">
        <v>2</v>
      </c>
      <c r="H670" s="1" t="s">
        <v>16</v>
      </c>
      <c r="I670" s="1" t="s">
        <v>16</v>
      </c>
      <c r="J670" s="1" t="s">
        <v>16</v>
      </c>
      <c r="K670" s="1" t="s">
        <v>21</v>
      </c>
      <c r="L670" s="1" t="s">
        <v>17</v>
      </c>
      <c r="M670" s="1" t="s">
        <v>17</v>
      </c>
      <c r="N670" s="27" t="s">
        <v>605</v>
      </c>
      <c r="O670" s="1" t="s">
        <v>16</v>
      </c>
    </row>
    <row r="671" spans="1:15" x14ac:dyDescent="0.2">
      <c r="A671" s="9">
        <v>45237</v>
      </c>
      <c r="B671" s="1" t="s">
        <v>15</v>
      </c>
      <c r="C671" s="1">
        <v>7</v>
      </c>
      <c r="D671" s="1">
        <v>2</v>
      </c>
      <c r="E671" s="14">
        <v>47.51</v>
      </c>
      <c r="F671" s="1" t="s">
        <v>18</v>
      </c>
      <c r="G671" s="1">
        <v>2</v>
      </c>
      <c r="H671" s="1" t="s">
        <v>16</v>
      </c>
      <c r="I671" s="1" t="s">
        <v>16</v>
      </c>
      <c r="J671" s="1" t="s">
        <v>16</v>
      </c>
      <c r="K671" s="1" t="s">
        <v>17</v>
      </c>
      <c r="L671" s="1" t="s">
        <v>17</v>
      </c>
      <c r="M671" s="1" t="s">
        <v>17</v>
      </c>
      <c r="N671" s="27" t="s">
        <v>605</v>
      </c>
      <c r="O671" s="1" t="s">
        <v>16</v>
      </c>
    </row>
    <row r="672" spans="1:15" x14ac:dyDescent="0.2">
      <c r="A672" s="9">
        <v>45237</v>
      </c>
      <c r="B672" s="1" t="s">
        <v>15</v>
      </c>
      <c r="C672" s="1">
        <v>8</v>
      </c>
      <c r="D672" s="1">
        <v>2</v>
      </c>
      <c r="E672" s="14">
        <v>65.02</v>
      </c>
      <c r="F672" s="1" t="s">
        <v>18</v>
      </c>
      <c r="G672" s="1">
        <v>2</v>
      </c>
      <c r="H672" s="1" t="s">
        <v>16</v>
      </c>
      <c r="I672" s="1" t="s">
        <v>16</v>
      </c>
      <c r="J672" s="1" t="s">
        <v>16</v>
      </c>
      <c r="K672" s="1" t="s">
        <v>17</v>
      </c>
      <c r="L672" s="1" t="s">
        <v>17</v>
      </c>
      <c r="M672" s="1" t="s">
        <v>17</v>
      </c>
      <c r="N672" s="27" t="s">
        <v>605</v>
      </c>
      <c r="O672" s="1" t="s">
        <v>16</v>
      </c>
    </row>
    <row r="673" spans="1:15" x14ac:dyDescent="0.2">
      <c r="A673" s="9">
        <v>45237</v>
      </c>
      <c r="B673" s="1" t="s">
        <v>15</v>
      </c>
      <c r="C673" s="1">
        <v>9</v>
      </c>
      <c r="D673" s="1">
        <v>2</v>
      </c>
      <c r="E673" s="14">
        <v>59.03</v>
      </c>
      <c r="F673" s="1" t="s">
        <v>18</v>
      </c>
      <c r="G673" s="1">
        <v>2</v>
      </c>
      <c r="H673" s="1" t="s">
        <v>16</v>
      </c>
      <c r="I673" s="1" t="s">
        <v>16</v>
      </c>
      <c r="J673" s="1" t="s">
        <v>16</v>
      </c>
      <c r="K673" s="1" t="s">
        <v>17</v>
      </c>
      <c r="L673" s="1" t="s">
        <v>17</v>
      </c>
      <c r="M673" s="1" t="s">
        <v>17</v>
      </c>
      <c r="N673" s="27" t="s">
        <v>605</v>
      </c>
      <c r="O673" s="1" t="s">
        <v>16</v>
      </c>
    </row>
    <row r="674" spans="1:15" x14ac:dyDescent="0.2">
      <c r="A674" s="9">
        <v>45237</v>
      </c>
      <c r="B674" s="1" t="s">
        <v>15</v>
      </c>
      <c r="C674" s="1">
        <v>10</v>
      </c>
      <c r="D674" s="1">
        <v>2</v>
      </c>
      <c r="E674" s="14">
        <v>59.43</v>
      </c>
      <c r="F674" s="1" t="s">
        <v>16</v>
      </c>
      <c r="G674" s="1">
        <v>4</v>
      </c>
      <c r="H674" s="1" t="s">
        <v>16</v>
      </c>
      <c r="I674" s="1" t="s">
        <v>16</v>
      </c>
      <c r="J674" s="1" t="s">
        <v>16</v>
      </c>
      <c r="K674" s="1" t="s">
        <v>17</v>
      </c>
      <c r="L674" s="1" t="s">
        <v>17</v>
      </c>
      <c r="M674" s="1" t="s">
        <v>17</v>
      </c>
      <c r="N674" s="27" t="s">
        <v>605</v>
      </c>
      <c r="O674" s="1" t="s">
        <v>16</v>
      </c>
    </row>
    <row r="675" spans="1:15" x14ac:dyDescent="0.2">
      <c r="A675" s="9">
        <v>45237</v>
      </c>
      <c r="B675" s="1" t="s">
        <v>15</v>
      </c>
      <c r="C675" s="1">
        <v>11</v>
      </c>
      <c r="D675" s="1">
        <v>3</v>
      </c>
      <c r="E675" s="14">
        <v>41.16</v>
      </c>
      <c r="F675" s="1" t="s">
        <v>18</v>
      </c>
      <c r="G675" s="1">
        <v>3</v>
      </c>
      <c r="H675" s="1" t="s">
        <v>16</v>
      </c>
      <c r="I675" s="1" t="s">
        <v>16</v>
      </c>
      <c r="J675" s="1" t="s">
        <v>16</v>
      </c>
      <c r="K675" s="1" t="s">
        <v>17</v>
      </c>
      <c r="L675" s="1" t="s">
        <v>17</v>
      </c>
      <c r="M675" s="1" t="s">
        <v>17</v>
      </c>
      <c r="N675" s="27" t="s">
        <v>605</v>
      </c>
      <c r="O675" s="1" t="s">
        <v>16</v>
      </c>
    </row>
    <row r="676" spans="1:15" x14ac:dyDescent="0.2">
      <c r="A676" s="9">
        <v>45237</v>
      </c>
      <c r="B676" s="1" t="s">
        <v>15</v>
      </c>
      <c r="C676" s="1">
        <v>12</v>
      </c>
      <c r="D676" s="1">
        <v>3</v>
      </c>
      <c r="E676" s="14">
        <v>49.95</v>
      </c>
      <c r="F676" s="1" t="s">
        <v>16</v>
      </c>
      <c r="G676" s="1">
        <v>4</v>
      </c>
      <c r="H676" s="1" t="s">
        <v>16</v>
      </c>
      <c r="I676" s="1" t="s">
        <v>16</v>
      </c>
      <c r="J676" s="1" t="s">
        <v>16</v>
      </c>
      <c r="K676" s="1" t="s">
        <v>17</v>
      </c>
      <c r="L676" s="1" t="s">
        <v>17</v>
      </c>
      <c r="M676" s="1" t="s">
        <v>17</v>
      </c>
      <c r="N676" s="27" t="s">
        <v>605</v>
      </c>
      <c r="O676" s="1" t="s">
        <v>16</v>
      </c>
    </row>
    <row r="677" spans="1:15" x14ac:dyDescent="0.2">
      <c r="A677" s="9">
        <v>45237</v>
      </c>
      <c r="B677" s="1" t="s">
        <v>15</v>
      </c>
      <c r="C677" s="1">
        <v>13</v>
      </c>
      <c r="D677" s="1">
        <v>3</v>
      </c>
      <c r="E677" s="14">
        <v>53.35</v>
      </c>
      <c r="F677" s="1" t="s">
        <v>18</v>
      </c>
      <c r="G677" s="1">
        <v>2</v>
      </c>
      <c r="H677" s="1" t="s">
        <v>16</v>
      </c>
      <c r="I677" s="1" t="s">
        <v>16</v>
      </c>
      <c r="J677" s="1" t="s">
        <v>16</v>
      </c>
      <c r="K677" s="1" t="s">
        <v>17</v>
      </c>
      <c r="L677" s="1" t="s">
        <v>17</v>
      </c>
      <c r="M677" s="1" t="s">
        <v>17</v>
      </c>
      <c r="N677" s="27" t="s">
        <v>605</v>
      </c>
      <c r="O677" s="1" t="s">
        <v>16</v>
      </c>
    </row>
    <row r="678" spans="1:15" x14ac:dyDescent="0.2">
      <c r="A678" s="9">
        <v>45237</v>
      </c>
      <c r="B678" s="1" t="s">
        <v>15</v>
      </c>
      <c r="C678" s="1">
        <v>14</v>
      </c>
      <c r="D678" s="1">
        <v>3</v>
      </c>
      <c r="E678" s="14">
        <v>55.61</v>
      </c>
      <c r="F678" s="1" t="s">
        <v>18</v>
      </c>
      <c r="G678" s="1">
        <v>2</v>
      </c>
      <c r="H678" s="1" t="s">
        <v>16</v>
      </c>
      <c r="I678" s="1" t="s">
        <v>16</v>
      </c>
      <c r="J678" s="1" t="s">
        <v>16</v>
      </c>
      <c r="K678" s="1" t="s">
        <v>17</v>
      </c>
      <c r="L678" s="1" t="s">
        <v>17</v>
      </c>
      <c r="M678" s="1" t="s">
        <v>17</v>
      </c>
      <c r="N678" s="27" t="s">
        <v>605</v>
      </c>
      <c r="O678" s="1" t="s">
        <v>16</v>
      </c>
    </row>
    <row r="679" spans="1:15" x14ac:dyDescent="0.2">
      <c r="A679" s="9">
        <v>45237</v>
      </c>
      <c r="B679" s="1" t="s">
        <v>15</v>
      </c>
      <c r="C679" s="1">
        <v>15</v>
      </c>
      <c r="D679" s="1">
        <v>3</v>
      </c>
      <c r="E679" s="14">
        <v>33.299999999999997</v>
      </c>
      <c r="F679" s="1" t="s">
        <v>19</v>
      </c>
      <c r="G679" s="1">
        <v>2</v>
      </c>
      <c r="H679" s="1" t="s">
        <v>16</v>
      </c>
      <c r="I679" s="1" t="s">
        <v>16</v>
      </c>
      <c r="J679" s="1" t="s">
        <v>16</v>
      </c>
      <c r="K679" s="1" t="s">
        <v>17</v>
      </c>
      <c r="L679" s="1" t="s">
        <v>17</v>
      </c>
      <c r="M679" s="1" t="s">
        <v>21</v>
      </c>
      <c r="N679" s="27" t="s">
        <v>605</v>
      </c>
      <c r="O679" s="1" t="s">
        <v>16</v>
      </c>
    </row>
    <row r="680" spans="1:15" x14ac:dyDescent="0.2">
      <c r="A680" s="9">
        <v>45265</v>
      </c>
      <c r="B680" s="1" t="s">
        <v>15</v>
      </c>
      <c r="C680" s="1">
        <v>1</v>
      </c>
      <c r="D680" s="1">
        <v>1</v>
      </c>
      <c r="E680" s="14">
        <v>40.590000000000003</v>
      </c>
      <c r="F680" s="1" t="s">
        <v>18</v>
      </c>
      <c r="G680" s="1">
        <v>2</v>
      </c>
      <c r="H680" s="1" t="s">
        <v>16</v>
      </c>
      <c r="I680" s="1" t="s">
        <v>16</v>
      </c>
      <c r="J680" s="1" t="s">
        <v>16</v>
      </c>
      <c r="K680" s="1" t="s">
        <v>17</v>
      </c>
      <c r="L680" s="1" t="s">
        <v>17</v>
      </c>
      <c r="M680" s="1" t="s">
        <v>17</v>
      </c>
      <c r="N680" s="27" t="s">
        <v>605</v>
      </c>
      <c r="O680" s="1" t="s">
        <v>16</v>
      </c>
    </row>
    <row r="681" spans="1:15" x14ac:dyDescent="0.2">
      <c r="A681" s="9">
        <v>45265</v>
      </c>
      <c r="B681" s="1" t="s">
        <v>15</v>
      </c>
      <c r="C681" s="1">
        <v>2</v>
      </c>
      <c r="D681" s="1">
        <v>1</v>
      </c>
      <c r="E681" s="14">
        <v>41.16</v>
      </c>
      <c r="F681" s="1" t="s">
        <v>16</v>
      </c>
      <c r="G681" s="1">
        <v>4</v>
      </c>
      <c r="H681" s="1" t="s">
        <v>16</v>
      </c>
      <c r="I681" s="1" t="s">
        <v>16</v>
      </c>
      <c r="J681" s="1" t="s">
        <v>16</v>
      </c>
      <c r="K681" s="1" t="s">
        <v>17</v>
      </c>
      <c r="L681" s="1" t="s">
        <v>17</v>
      </c>
      <c r="M681" s="1" t="s">
        <v>17</v>
      </c>
      <c r="N681" s="27" t="s">
        <v>605</v>
      </c>
      <c r="O681" s="1" t="s">
        <v>16</v>
      </c>
    </row>
    <row r="682" spans="1:15" x14ac:dyDescent="0.2">
      <c r="A682" s="9">
        <v>45265</v>
      </c>
      <c r="B682" s="1" t="s">
        <v>15</v>
      </c>
      <c r="C682" s="1">
        <v>3</v>
      </c>
      <c r="D682" s="1">
        <v>1</v>
      </c>
      <c r="E682" s="14">
        <v>55.68</v>
      </c>
      <c r="F682" s="1" t="s">
        <v>19</v>
      </c>
      <c r="G682" s="1">
        <v>1</v>
      </c>
      <c r="H682" s="1" t="s">
        <v>16</v>
      </c>
      <c r="I682" s="1" t="s">
        <v>16</v>
      </c>
      <c r="J682" s="1" t="s">
        <v>16</v>
      </c>
      <c r="K682" s="1" t="s">
        <v>17</v>
      </c>
      <c r="L682" s="1" t="s">
        <v>17</v>
      </c>
      <c r="M682" s="1" t="s">
        <v>17</v>
      </c>
      <c r="N682" s="27" t="s">
        <v>605</v>
      </c>
      <c r="O682" s="1" t="s">
        <v>16</v>
      </c>
    </row>
    <row r="683" spans="1:15" x14ac:dyDescent="0.2">
      <c r="A683" s="9">
        <v>45265</v>
      </c>
      <c r="B683" s="1" t="s">
        <v>15</v>
      </c>
      <c r="C683" s="1">
        <v>4</v>
      </c>
      <c r="D683" s="1">
        <v>1</v>
      </c>
      <c r="E683" s="14">
        <v>31.9</v>
      </c>
      <c r="F683" s="1" t="s">
        <v>16</v>
      </c>
      <c r="G683" s="1">
        <v>4</v>
      </c>
      <c r="H683" s="1" t="s">
        <v>16</v>
      </c>
      <c r="I683" s="1" t="s">
        <v>16</v>
      </c>
      <c r="J683" s="1" t="s">
        <v>16</v>
      </c>
      <c r="K683" s="1" t="s">
        <v>17</v>
      </c>
      <c r="L683" s="1" t="s">
        <v>17</v>
      </c>
      <c r="M683" s="1" t="s">
        <v>17</v>
      </c>
      <c r="N683" s="27" t="s">
        <v>605</v>
      </c>
      <c r="O683" s="1" t="s">
        <v>16</v>
      </c>
    </row>
    <row r="684" spans="1:15" x14ac:dyDescent="0.2">
      <c r="A684" s="9">
        <v>45265</v>
      </c>
      <c r="B684" s="1" t="s">
        <v>15</v>
      </c>
      <c r="C684" s="1">
        <v>5</v>
      </c>
      <c r="D684" s="1">
        <v>1</v>
      </c>
      <c r="E684" s="14">
        <v>41.08</v>
      </c>
      <c r="F684" s="1" t="s">
        <v>16</v>
      </c>
      <c r="G684" s="1">
        <v>4</v>
      </c>
      <c r="H684" s="1" t="s">
        <v>16</v>
      </c>
      <c r="I684" s="1" t="s">
        <v>16</v>
      </c>
      <c r="J684" s="1" t="s">
        <v>16</v>
      </c>
      <c r="K684" s="1" t="s">
        <v>21</v>
      </c>
      <c r="L684" s="1" t="s">
        <v>17</v>
      </c>
      <c r="M684" s="1" t="s">
        <v>17</v>
      </c>
      <c r="N684" s="27" t="s">
        <v>605</v>
      </c>
      <c r="O684" s="1" t="s">
        <v>16</v>
      </c>
    </row>
    <row r="685" spans="1:15" x14ac:dyDescent="0.2">
      <c r="A685" s="9">
        <v>45265</v>
      </c>
      <c r="B685" s="1" t="s">
        <v>15</v>
      </c>
      <c r="C685" s="1">
        <v>6</v>
      </c>
      <c r="D685" s="1">
        <v>2</v>
      </c>
      <c r="E685" s="14">
        <v>51.45</v>
      </c>
      <c r="F685" s="1" t="s">
        <v>16</v>
      </c>
      <c r="G685" s="1" t="s">
        <v>16</v>
      </c>
      <c r="H685" s="1" t="s">
        <v>16</v>
      </c>
      <c r="I685" s="1" t="s">
        <v>16</v>
      </c>
      <c r="J685" s="1" t="s">
        <v>16</v>
      </c>
      <c r="K685" s="1" t="s">
        <v>20</v>
      </c>
      <c r="L685" s="1" t="s">
        <v>17</v>
      </c>
      <c r="M685" s="1" t="s">
        <v>17</v>
      </c>
      <c r="N685" s="27" t="s">
        <v>605</v>
      </c>
      <c r="O685" s="1" t="s">
        <v>16</v>
      </c>
    </row>
    <row r="686" spans="1:15" x14ac:dyDescent="0.2">
      <c r="A686" s="9">
        <v>45265</v>
      </c>
      <c r="B686" s="1" t="s">
        <v>15</v>
      </c>
      <c r="C686" s="1">
        <v>7</v>
      </c>
      <c r="D686" s="1">
        <v>2</v>
      </c>
      <c r="E686" s="14">
        <v>44.83</v>
      </c>
      <c r="F686" s="1" t="s">
        <v>18</v>
      </c>
      <c r="G686" s="1">
        <v>2</v>
      </c>
      <c r="H686" s="1" t="s">
        <v>16</v>
      </c>
      <c r="I686" s="1" t="s">
        <v>16</v>
      </c>
      <c r="J686" s="1" t="s">
        <v>16</v>
      </c>
      <c r="K686" s="1" t="s">
        <v>17</v>
      </c>
      <c r="L686" s="1" t="s">
        <v>17</v>
      </c>
      <c r="M686" s="1" t="s">
        <v>17</v>
      </c>
      <c r="N686" s="27" t="s">
        <v>605</v>
      </c>
      <c r="O686" s="1" t="s">
        <v>16</v>
      </c>
    </row>
    <row r="687" spans="1:15" x14ac:dyDescent="0.2">
      <c r="A687" s="9">
        <v>45265</v>
      </c>
      <c r="B687" s="1" t="s">
        <v>15</v>
      </c>
      <c r="C687" s="1">
        <v>8</v>
      </c>
      <c r="D687" s="1">
        <v>2</v>
      </c>
      <c r="E687" s="14">
        <v>58.89</v>
      </c>
      <c r="F687" s="1" t="s">
        <v>18</v>
      </c>
      <c r="G687" s="1">
        <v>1</v>
      </c>
      <c r="H687" s="1" t="s">
        <v>16</v>
      </c>
      <c r="I687" s="1" t="s">
        <v>16</v>
      </c>
      <c r="J687" s="1" t="s">
        <v>16</v>
      </c>
      <c r="K687" s="1" t="s">
        <v>17</v>
      </c>
      <c r="L687" s="1" t="s">
        <v>17</v>
      </c>
      <c r="M687" s="1" t="s">
        <v>17</v>
      </c>
      <c r="N687" s="27" t="s">
        <v>605</v>
      </c>
      <c r="O687" s="1" t="s">
        <v>16</v>
      </c>
    </row>
    <row r="688" spans="1:15" x14ac:dyDescent="0.2">
      <c r="A688" s="9">
        <v>45265</v>
      </c>
      <c r="B688" s="1" t="s">
        <v>15</v>
      </c>
      <c r="C688" s="1">
        <v>9</v>
      </c>
      <c r="D688" s="1">
        <v>2</v>
      </c>
      <c r="E688" s="14">
        <v>55.01</v>
      </c>
      <c r="F688" s="1" t="s">
        <v>18</v>
      </c>
      <c r="G688" s="1">
        <v>3</v>
      </c>
      <c r="H688" s="1" t="s">
        <v>16</v>
      </c>
      <c r="I688" s="1" t="s">
        <v>16</v>
      </c>
      <c r="J688" s="1" t="s">
        <v>16</v>
      </c>
      <c r="K688" s="1" t="s">
        <v>21</v>
      </c>
      <c r="L688" s="1" t="s">
        <v>17</v>
      </c>
      <c r="M688" s="1" t="s">
        <v>17</v>
      </c>
      <c r="N688" s="27" t="s">
        <v>605</v>
      </c>
      <c r="O688" s="1" t="s">
        <v>16</v>
      </c>
    </row>
    <row r="689" spans="1:15" x14ac:dyDescent="0.2">
      <c r="A689" s="9">
        <v>45265</v>
      </c>
      <c r="B689" s="1" t="s">
        <v>15</v>
      </c>
      <c r="C689" s="1">
        <v>10</v>
      </c>
      <c r="D689" s="1">
        <v>2</v>
      </c>
      <c r="E689" s="14">
        <v>57.36</v>
      </c>
      <c r="F689" s="1" t="s">
        <v>18</v>
      </c>
      <c r="G689" s="1">
        <v>2</v>
      </c>
      <c r="H689" s="1" t="s">
        <v>16</v>
      </c>
      <c r="I689" s="1" t="s">
        <v>16</v>
      </c>
      <c r="J689" s="1" t="s">
        <v>16</v>
      </c>
      <c r="K689" s="1" t="s">
        <v>17</v>
      </c>
      <c r="L689" s="1" t="s">
        <v>17</v>
      </c>
      <c r="M689" s="1" t="s">
        <v>17</v>
      </c>
      <c r="N689" s="27" t="s">
        <v>605</v>
      </c>
      <c r="O689" s="1" t="s">
        <v>16</v>
      </c>
    </row>
    <row r="690" spans="1:15" x14ac:dyDescent="0.2">
      <c r="A690" s="9">
        <v>45265</v>
      </c>
      <c r="B690" s="1" t="s">
        <v>15</v>
      </c>
      <c r="C690" s="1">
        <v>11</v>
      </c>
      <c r="D690" s="1">
        <v>3</v>
      </c>
      <c r="E690" s="14">
        <v>33.17</v>
      </c>
      <c r="F690" s="1" t="s">
        <v>16</v>
      </c>
      <c r="G690" s="1">
        <v>4</v>
      </c>
      <c r="H690" s="1" t="s">
        <v>16</v>
      </c>
      <c r="I690" s="1" t="s">
        <v>16</v>
      </c>
      <c r="J690" s="1" t="s">
        <v>16</v>
      </c>
      <c r="K690" s="1" t="s">
        <v>17</v>
      </c>
      <c r="L690" s="1" t="s">
        <v>17</v>
      </c>
      <c r="M690" s="1" t="s">
        <v>17</v>
      </c>
      <c r="N690" s="27" t="s">
        <v>605</v>
      </c>
      <c r="O690" s="1" t="s">
        <v>16</v>
      </c>
    </row>
    <row r="691" spans="1:15" x14ac:dyDescent="0.2">
      <c r="A691" s="9">
        <v>45265</v>
      </c>
      <c r="B691" s="1" t="s">
        <v>15</v>
      </c>
      <c r="C691" s="1">
        <v>12</v>
      </c>
      <c r="D691" s="1">
        <v>3</v>
      </c>
      <c r="E691" s="14">
        <v>42.36</v>
      </c>
      <c r="F691" s="1" t="s">
        <v>16</v>
      </c>
      <c r="G691" s="1">
        <v>4</v>
      </c>
      <c r="H691" s="1" t="s">
        <v>16</v>
      </c>
      <c r="I691" s="1" t="s">
        <v>16</v>
      </c>
      <c r="J691" s="1" t="s">
        <v>16</v>
      </c>
      <c r="K691" s="1" t="s">
        <v>17</v>
      </c>
      <c r="L691" s="1" t="s">
        <v>17</v>
      </c>
      <c r="M691" s="1" t="s">
        <v>17</v>
      </c>
      <c r="N691" s="27" t="s">
        <v>605</v>
      </c>
      <c r="O691" s="1" t="s">
        <v>16</v>
      </c>
    </row>
    <row r="692" spans="1:15" x14ac:dyDescent="0.2">
      <c r="A692" s="9">
        <v>45265</v>
      </c>
      <c r="B692" s="1" t="s">
        <v>15</v>
      </c>
      <c r="C692" s="1">
        <v>13</v>
      </c>
      <c r="D692" s="1">
        <v>3</v>
      </c>
      <c r="E692" s="14">
        <v>32.31</v>
      </c>
      <c r="F692" s="1" t="s">
        <v>16</v>
      </c>
      <c r="G692" s="1">
        <v>4</v>
      </c>
      <c r="H692" s="1" t="s">
        <v>16</v>
      </c>
      <c r="I692" s="1" t="s">
        <v>16</v>
      </c>
      <c r="J692" s="1" t="s">
        <v>16</v>
      </c>
      <c r="K692" s="1" t="s">
        <v>17</v>
      </c>
      <c r="L692" s="1" t="s">
        <v>17</v>
      </c>
      <c r="M692" s="1" t="s">
        <v>17</v>
      </c>
      <c r="N692" s="27" t="s">
        <v>605</v>
      </c>
      <c r="O692" s="1" t="s">
        <v>16</v>
      </c>
    </row>
    <row r="693" spans="1:15" x14ac:dyDescent="0.2">
      <c r="A693" s="9">
        <v>45265</v>
      </c>
      <c r="B693" s="1" t="s">
        <v>15</v>
      </c>
      <c r="C693" s="1">
        <v>14</v>
      </c>
      <c r="D693" s="1">
        <v>3</v>
      </c>
      <c r="E693" s="14">
        <v>40.64</v>
      </c>
      <c r="F693" s="1" t="s">
        <v>16</v>
      </c>
      <c r="G693" s="1">
        <v>4</v>
      </c>
      <c r="H693" s="1" t="s">
        <v>16</v>
      </c>
      <c r="I693" s="1" t="s">
        <v>16</v>
      </c>
      <c r="J693" s="1" t="s">
        <v>16</v>
      </c>
      <c r="K693" s="1" t="s">
        <v>17</v>
      </c>
      <c r="L693" s="1" t="s">
        <v>17</v>
      </c>
      <c r="M693" s="1" t="s">
        <v>17</v>
      </c>
      <c r="N693" s="27" t="s">
        <v>605</v>
      </c>
      <c r="O693" s="1" t="s">
        <v>16</v>
      </c>
    </row>
    <row r="694" spans="1:15" x14ac:dyDescent="0.2">
      <c r="A694" s="9">
        <v>45265</v>
      </c>
      <c r="B694" s="1" t="s">
        <v>15</v>
      </c>
      <c r="C694" s="1">
        <v>15</v>
      </c>
      <c r="D694" s="1">
        <v>3</v>
      </c>
      <c r="E694" s="14">
        <v>31.92</v>
      </c>
      <c r="F694" s="1" t="s">
        <v>16</v>
      </c>
      <c r="G694" s="1">
        <v>4</v>
      </c>
      <c r="H694" s="1" t="s">
        <v>16</v>
      </c>
      <c r="I694" s="1" t="s">
        <v>16</v>
      </c>
      <c r="J694" s="1" t="s">
        <v>16</v>
      </c>
      <c r="K694" s="1" t="s">
        <v>17</v>
      </c>
      <c r="L694" s="1" t="s">
        <v>17</v>
      </c>
      <c r="M694" s="1" t="s">
        <v>17</v>
      </c>
      <c r="N694" s="27" t="s">
        <v>605</v>
      </c>
      <c r="O694" s="1" t="s">
        <v>16</v>
      </c>
    </row>
    <row r="695" spans="1:15" x14ac:dyDescent="0.2">
      <c r="A695" s="9">
        <v>45294</v>
      </c>
      <c r="B695" s="1" t="s">
        <v>15</v>
      </c>
      <c r="C695" s="1">
        <v>1</v>
      </c>
      <c r="D695" s="1">
        <v>1</v>
      </c>
      <c r="E695" s="14">
        <v>34.26</v>
      </c>
      <c r="F695" s="1" t="s">
        <v>19</v>
      </c>
      <c r="G695" s="1">
        <v>2</v>
      </c>
      <c r="H695" s="1" t="s">
        <v>16</v>
      </c>
      <c r="I695" s="1" t="s">
        <v>16</v>
      </c>
      <c r="J695" s="1" t="s">
        <v>16</v>
      </c>
      <c r="K695" s="1" t="s">
        <v>17</v>
      </c>
      <c r="L695" s="1" t="s">
        <v>17</v>
      </c>
      <c r="M695" s="1" t="s">
        <v>17</v>
      </c>
      <c r="N695" s="27" t="s">
        <v>605</v>
      </c>
      <c r="O695" s="1" t="s">
        <v>16</v>
      </c>
    </row>
    <row r="696" spans="1:15" x14ac:dyDescent="0.2">
      <c r="A696" s="9">
        <v>45294</v>
      </c>
      <c r="B696" s="1" t="s">
        <v>15</v>
      </c>
      <c r="C696" s="1">
        <v>2</v>
      </c>
      <c r="D696" s="1">
        <v>1</v>
      </c>
      <c r="E696" s="14">
        <v>54.13</v>
      </c>
      <c r="F696" s="1" t="s">
        <v>16</v>
      </c>
      <c r="G696" s="1">
        <v>4</v>
      </c>
      <c r="H696" s="1" t="s">
        <v>16</v>
      </c>
      <c r="I696" s="1" t="s">
        <v>16</v>
      </c>
      <c r="J696" s="1" t="s">
        <v>16</v>
      </c>
      <c r="K696" s="1" t="s">
        <v>17</v>
      </c>
      <c r="L696" s="1" t="s">
        <v>17</v>
      </c>
      <c r="M696" s="1" t="s">
        <v>17</v>
      </c>
      <c r="N696" s="27" t="s">
        <v>605</v>
      </c>
      <c r="O696" s="1" t="s">
        <v>16</v>
      </c>
    </row>
    <row r="697" spans="1:15" x14ac:dyDescent="0.2">
      <c r="A697" s="9">
        <v>45294</v>
      </c>
      <c r="B697" s="1" t="s">
        <v>15</v>
      </c>
      <c r="C697" s="1">
        <v>3</v>
      </c>
      <c r="D697" s="1">
        <v>1</v>
      </c>
      <c r="E697" s="14">
        <v>52.49</v>
      </c>
      <c r="F697" s="1" t="s">
        <v>16</v>
      </c>
      <c r="G697" s="1">
        <v>4</v>
      </c>
      <c r="H697" s="1" t="s">
        <v>16</v>
      </c>
      <c r="I697" s="1" t="s">
        <v>16</v>
      </c>
      <c r="J697" s="1" t="s">
        <v>16</v>
      </c>
      <c r="K697" s="1" t="s">
        <v>17</v>
      </c>
      <c r="L697" s="1" t="s">
        <v>17</v>
      </c>
      <c r="M697" s="1" t="s">
        <v>17</v>
      </c>
      <c r="N697" s="27" t="s">
        <v>605</v>
      </c>
      <c r="O697" s="1" t="s">
        <v>16</v>
      </c>
    </row>
    <row r="698" spans="1:15" x14ac:dyDescent="0.2">
      <c r="A698" s="9">
        <v>45294</v>
      </c>
      <c r="B698" s="1" t="s">
        <v>15</v>
      </c>
      <c r="C698" s="1">
        <v>4</v>
      </c>
      <c r="D698" s="1">
        <v>1</v>
      </c>
      <c r="E698" s="14">
        <v>41.87</v>
      </c>
      <c r="F698" s="1" t="s">
        <v>18</v>
      </c>
      <c r="G698" s="1">
        <v>2</v>
      </c>
      <c r="H698" s="1" t="s">
        <v>16</v>
      </c>
      <c r="I698" s="1" t="s">
        <v>16</v>
      </c>
      <c r="J698" s="1" t="s">
        <v>16</v>
      </c>
      <c r="K698" s="1" t="s">
        <v>17</v>
      </c>
      <c r="L698" s="1" t="s">
        <v>17</v>
      </c>
      <c r="M698" s="1" t="s">
        <v>17</v>
      </c>
      <c r="N698" s="27" t="s">
        <v>605</v>
      </c>
      <c r="O698" s="1" t="s">
        <v>16</v>
      </c>
    </row>
    <row r="699" spans="1:15" x14ac:dyDescent="0.2">
      <c r="A699" s="9">
        <v>45294</v>
      </c>
      <c r="B699" s="1" t="s">
        <v>15</v>
      </c>
      <c r="C699" s="1">
        <v>5</v>
      </c>
      <c r="D699" s="1">
        <v>1</v>
      </c>
      <c r="E699" s="14">
        <v>46.92</v>
      </c>
      <c r="F699" s="1" t="s">
        <v>18</v>
      </c>
      <c r="G699" s="1">
        <v>3</v>
      </c>
      <c r="H699" s="1" t="s">
        <v>16</v>
      </c>
      <c r="I699" s="1" t="s">
        <v>16</v>
      </c>
      <c r="J699" s="1" t="s">
        <v>16</v>
      </c>
      <c r="K699" s="1" t="s">
        <v>17</v>
      </c>
      <c r="L699" s="1" t="s">
        <v>17</v>
      </c>
      <c r="M699" s="1" t="s">
        <v>17</v>
      </c>
      <c r="N699" s="27" t="s">
        <v>605</v>
      </c>
      <c r="O699" s="1" t="s">
        <v>16</v>
      </c>
    </row>
    <row r="700" spans="1:15" x14ac:dyDescent="0.2">
      <c r="A700" s="9">
        <v>45294</v>
      </c>
      <c r="B700" s="1" t="s">
        <v>15</v>
      </c>
      <c r="C700" s="1">
        <v>6</v>
      </c>
      <c r="D700" s="1">
        <v>2</v>
      </c>
      <c r="E700" s="14">
        <v>60.47</v>
      </c>
      <c r="F700" s="1" t="s">
        <v>18</v>
      </c>
      <c r="G700" s="1">
        <v>1</v>
      </c>
      <c r="H700" s="1" t="s">
        <v>16</v>
      </c>
      <c r="I700" s="1" t="s">
        <v>16</v>
      </c>
      <c r="J700" s="1" t="s">
        <v>16</v>
      </c>
      <c r="K700" s="1" t="s">
        <v>17</v>
      </c>
      <c r="L700" s="1" t="s">
        <v>17</v>
      </c>
      <c r="M700" s="1" t="s">
        <v>17</v>
      </c>
      <c r="N700" s="27" t="s">
        <v>605</v>
      </c>
      <c r="O700" s="1" t="s">
        <v>16</v>
      </c>
    </row>
    <row r="701" spans="1:15" x14ac:dyDescent="0.2">
      <c r="A701" s="9">
        <v>45294</v>
      </c>
      <c r="B701" s="1" t="s">
        <v>15</v>
      </c>
      <c r="C701" s="1">
        <v>7</v>
      </c>
      <c r="D701" s="1">
        <v>2</v>
      </c>
      <c r="E701" s="14">
        <v>56.8</v>
      </c>
      <c r="F701" s="1" t="s">
        <v>16</v>
      </c>
      <c r="G701" s="1">
        <v>4</v>
      </c>
      <c r="H701" s="1" t="s">
        <v>16</v>
      </c>
      <c r="I701" s="1" t="s">
        <v>16</v>
      </c>
      <c r="J701" s="1" t="s">
        <v>16</v>
      </c>
      <c r="K701" s="1" t="s">
        <v>17</v>
      </c>
      <c r="L701" s="1" t="s">
        <v>17</v>
      </c>
      <c r="M701" s="1" t="s">
        <v>17</v>
      </c>
      <c r="N701" s="27" t="s">
        <v>605</v>
      </c>
      <c r="O701" s="1" t="s">
        <v>16</v>
      </c>
    </row>
    <row r="702" spans="1:15" x14ac:dyDescent="0.2">
      <c r="A702" s="9">
        <v>45294</v>
      </c>
      <c r="B702" s="1" t="s">
        <v>15</v>
      </c>
      <c r="C702" s="1">
        <v>8</v>
      </c>
      <c r="D702" s="1">
        <v>2</v>
      </c>
      <c r="E702" s="14">
        <v>45.12</v>
      </c>
      <c r="F702" s="1" t="s">
        <v>16</v>
      </c>
      <c r="G702" s="1">
        <v>4</v>
      </c>
      <c r="H702" s="1" t="s">
        <v>16</v>
      </c>
      <c r="I702" s="1" t="s">
        <v>16</v>
      </c>
      <c r="J702" s="1" t="s">
        <v>16</v>
      </c>
      <c r="K702" s="1" t="s">
        <v>21</v>
      </c>
      <c r="L702" s="1" t="s">
        <v>17</v>
      </c>
      <c r="M702" s="1" t="s">
        <v>21</v>
      </c>
      <c r="N702" s="27" t="s">
        <v>605</v>
      </c>
      <c r="O702" s="1" t="s">
        <v>16</v>
      </c>
    </row>
    <row r="703" spans="1:15" x14ac:dyDescent="0.2">
      <c r="A703" s="9">
        <v>45294</v>
      </c>
      <c r="B703" s="1" t="s">
        <v>15</v>
      </c>
      <c r="C703" s="1">
        <v>9</v>
      </c>
      <c r="D703" s="1">
        <v>2</v>
      </c>
      <c r="E703" s="14">
        <v>69.459999999999994</v>
      </c>
      <c r="F703" s="1" t="s">
        <v>18</v>
      </c>
      <c r="G703" s="1">
        <v>2</v>
      </c>
      <c r="H703" s="1" t="s">
        <v>16</v>
      </c>
      <c r="I703" s="1" t="s">
        <v>16</v>
      </c>
      <c r="J703" s="1" t="s">
        <v>16</v>
      </c>
      <c r="K703" s="1" t="s">
        <v>17</v>
      </c>
      <c r="L703" s="1" t="s">
        <v>17</v>
      </c>
      <c r="M703" s="1" t="s">
        <v>17</v>
      </c>
      <c r="N703" s="27" t="s">
        <v>605</v>
      </c>
      <c r="O703" s="1" t="s">
        <v>16</v>
      </c>
    </row>
    <row r="704" spans="1:15" x14ac:dyDescent="0.2">
      <c r="A704" s="9">
        <v>45294</v>
      </c>
      <c r="B704" s="1" t="s">
        <v>15</v>
      </c>
      <c r="C704" s="1">
        <v>10</v>
      </c>
      <c r="D704" s="1">
        <v>2</v>
      </c>
      <c r="E704" s="14">
        <v>48.44</v>
      </c>
      <c r="F704" s="1" t="s">
        <v>18</v>
      </c>
      <c r="G704" s="1">
        <v>1</v>
      </c>
      <c r="H704" s="1" t="s">
        <v>16</v>
      </c>
      <c r="I704" s="1" t="s">
        <v>16</v>
      </c>
      <c r="J704" s="1" t="s">
        <v>16</v>
      </c>
      <c r="K704" s="1" t="s">
        <v>21</v>
      </c>
      <c r="L704" s="1" t="s">
        <v>17</v>
      </c>
      <c r="M704" s="1" t="s">
        <v>21</v>
      </c>
      <c r="N704" s="27" t="s">
        <v>605</v>
      </c>
      <c r="O704" s="1" t="s">
        <v>16</v>
      </c>
    </row>
    <row r="705" spans="1:15" x14ac:dyDescent="0.2">
      <c r="A705" s="9">
        <v>45294</v>
      </c>
      <c r="B705" s="1" t="s">
        <v>15</v>
      </c>
      <c r="C705" s="1">
        <v>11</v>
      </c>
      <c r="D705" s="1">
        <v>3</v>
      </c>
      <c r="E705" s="14">
        <v>69</v>
      </c>
      <c r="F705" s="1" t="s">
        <v>16</v>
      </c>
      <c r="G705" s="1">
        <v>4</v>
      </c>
      <c r="H705" s="1" t="s">
        <v>16</v>
      </c>
      <c r="I705" s="1" t="s">
        <v>16</v>
      </c>
      <c r="J705" s="1" t="s">
        <v>16</v>
      </c>
      <c r="K705" s="1" t="s">
        <v>17</v>
      </c>
      <c r="L705" s="1" t="s">
        <v>17</v>
      </c>
      <c r="M705" s="1" t="s">
        <v>17</v>
      </c>
      <c r="N705" s="27" t="s">
        <v>605</v>
      </c>
      <c r="O705" s="1" t="s">
        <v>16</v>
      </c>
    </row>
    <row r="706" spans="1:15" x14ac:dyDescent="0.2">
      <c r="A706" s="9">
        <v>45294</v>
      </c>
      <c r="B706" s="1" t="s">
        <v>15</v>
      </c>
      <c r="C706" s="1">
        <v>12</v>
      </c>
      <c r="D706" s="1">
        <v>3</v>
      </c>
      <c r="E706" s="14">
        <v>65.58</v>
      </c>
      <c r="F706" s="1" t="s">
        <v>16</v>
      </c>
      <c r="G706" s="1" t="s">
        <v>16</v>
      </c>
      <c r="H706" s="1" t="s">
        <v>16</v>
      </c>
      <c r="I706" s="1" t="s">
        <v>16</v>
      </c>
      <c r="J706" s="1" t="s">
        <v>16</v>
      </c>
      <c r="K706" s="1" t="s">
        <v>20</v>
      </c>
      <c r="L706" s="1" t="s">
        <v>17</v>
      </c>
      <c r="M706" s="1" t="s">
        <v>17</v>
      </c>
      <c r="N706" s="27" t="s">
        <v>605</v>
      </c>
      <c r="O706" s="1" t="s">
        <v>16</v>
      </c>
    </row>
    <row r="707" spans="1:15" x14ac:dyDescent="0.2">
      <c r="A707" s="9">
        <v>45294</v>
      </c>
      <c r="B707" s="1" t="s">
        <v>15</v>
      </c>
      <c r="C707" s="1">
        <v>13</v>
      </c>
      <c r="D707" s="1">
        <v>3</v>
      </c>
      <c r="E707" s="14">
        <v>43.33</v>
      </c>
      <c r="F707" s="1" t="s">
        <v>16</v>
      </c>
      <c r="G707" s="1" t="s">
        <v>16</v>
      </c>
      <c r="H707" s="1" t="s">
        <v>16</v>
      </c>
      <c r="I707" s="1" t="s">
        <v>16</v>
      </c>
      <c r="J707" s="1" t="s">
        <v>16</v>
      </c>
      <c r="K707" s="1" t="s">
        <v>17</v>
      </c>
      <c r="L707" s="1" t="s">
        <v>17</v>
      </c>
      <c r="M707" s="1" t="s">
        <v>21</v>
      </c>
      <c r="N707" s="27" t="s">
        <v>605</v>
      </c>
      <c r="O707" s="1" t="s">
        <v>16</v>
      </c>
    </row>
    <row r="708" spans="1:15" x14ac:dyDescent="0.2">
      <c r="A708" s="9">
        <v>45294</v>
      </c>
      <c r="B708" s="1" t="s">
        <v>15</v>
      </c>
      <c r="C708" s="1">
        <v>14</v>
      </c>
      <c r="D708" s="1">
        <v>3</v>
      </c>
      <c r="E708" s="14">
        <v>45.49</v>
      </c>
      <c r="F708" s="1" t="s">
        <v>16</v>
      </c>
      <c r="G708" s="1" t="s">
        <v>16</v>
      </c>
      <c r="H708" s="1" t="s">
        <v>16</v>
      </c>
      <c r="I708" s="1" t="s">
        <v>16</v>
      </c>
      <c r="J708" s="1" t="s">
        <v>16</v>
      </c>
      <c r="K708" s="1" t="s">
        <v>17</v>
      </c>
      <c r="L708" s="1" t="s">
        <v>17</v>
      </c>
      <c r="M708" s="1" t="s">
        <v>21</v>
      </c>
      <c r="N708" s="27" t="s">
        <v>605</v>
      </c>
      <c r="O708" s="1" t="s">
        <v>16</v>
      </c>
    </row>
    <row r="709" spans="1:15" x14ac:dyDescent="0.2">
      <c r="A709" s="9">
        <v>45294</v>
      </c>
      <c r="B709" s="1" t="s">
        <v>15</v>
      </c>
      <c r="C709" s="1">
        <v>15</v>
      </c>
      <c r="D709" s="1">
        <v>3</v>
      </c>
      <c r="E709" s="14">
        <v>36.68</v>
      </c>
      <c r="F709" s="1" t="s">
        <v>16</v>
      </c>
      <c r="G709" s="1">
        <v>4</v>
      </c>
      <c r="H709" s="1" t="s">
        <v>16</v>
      </c>
      <c r="I709" s="1" t="s">
        <v>16</v>
      </c>
      <c r="J709" s="1" t="s">
        <v>16</v>
      </c>
      <c r="K709" s="1" t="s">
        <v>17</v>
      </c>
      <c r="L709" s="1" t="s">
        <v>17</v>
      </c>
      <c r="M709" s="1" t="s">
        <v>17</v>
      </c>
      <c r="N709" s="27" t="s">
        <v>605</v>
      </c>
      <c r="O709" s="1" t="s">
        <v>16</v>
      </c>
    </row>
    <row r="710" spans="1:15" x14ac:dyDescent="0.2">
      <c r="A710" s="9">
        <v>45334</v>
      </c>
      <c r="B710" s="1" t="s">
        <v>15</v>
      </c>
      <c r="C710" s="1">
        <v>1</v>
      </c>
      <c r="D710" s="1">
        <v>1</v>
      </c>
      <c r="E710" s="14">
        <v>58.32</v>
      </c>
      <c r="F710" s="1" t="s">
        <v>16</v>
      </c>
      <c r="G710" s="1">
        <v>4</v>
      </c>
      <c r="H710" s="1" t="s">
        <v>16</v>
      </c>
      <c r="I710" s="1" t="s">
        <v>16</v>
      </c>
      <c r="J710" s="1" t="s">
        <v>16</v>
      </c>
      <c r="K710" s="1" t="s">
        <v>17</v>
      </c>
      <c r="L710" s="1" t="s">
        <v>17</v>
      </c>
      <c r="M710" s="1" t="s">
        <v>17</v>
      </c>
      <c r="N710" s="27" t="s">
        <v>605</v>
      </c>
      <c r="O710" s="1" t="s">
        <v>16</v>
      </c>
    </row>
    <row r="711" spans="1:15" x14ac:dyDescent="0.2">
      <c r="A711" s="9">
        <v>45334</v>
      </c>
      <c r="B711" s="1" t="s">
        <v>15</v>
      </c>
      <c r="C711" s="1">
        <v>2</v>
      </c>
      <c r="D711" s="1">
        <v>1</v>
      </c>
      <c r="E711" s="14">
        <v>44.05</v>
      </c>
      <c r="F711" s="1" t="s">
        <v>18</v>
      </c>
      <c r="G711" s="1">
        <v>2</v>
      </c>
      <c r="H711" s="1" t="s">
        <v>16</v>
      </c>
      <c r="I711" s="1" t="s">
        <v>16</v>
      </c>
      <c r="J711" s="1" t="s">
        <v>16</v>
      </c>
      <c r="K711" s="1" t="s">
        <v>17</v>
      </c>
      <c r="L711" s="1" t="s">
        <v>17</v>
      </c>
      <c r="M711" s="1" t="s">
        <v>17</v>
      </c>
      <c r="N711" s="27" t="s">
        <v>605</v>
      </c>
      <c r="O711" s="1" t="s">
        <v>16</v>
      </c>
    </row>
    <row r="712" spans="1:15" x14ac:dyDescent="0.2">
      <c r="A712" s="9">
        <v>45334</v>
      </c>
      <c r="B712" s="1" t="s">
        <v>15</v>
      </c>
      <c r="C712" s="1">
        <v>3</v>
      </c>
      <c r="D712" s="1">
        <v>1</v>
      </c>
      <c r="E712" s="14">
        <v>60.04</v>
      </c>
      <c r="F712" s="1" t="s">
        <v>18</v>
      </c>
      <c r="G712" s="1">
        <v>2</v>
      </c>
      <c r="H712" s="1" t="s">
        <v>16</v>
      </c>
      <c r="I712" s="1" t="s">
        <v>16</v>
      </c>
      <c r="J712" s="1" t="s">
        <v>16</v>
      </c>
      <c r="K712" s="1" t="s">
        <v>17</v>
      </c>
      <c r="L712" s="1" t="s">
        <v>17</v>
      </c>
      <c r="M712" s="1" t="s">
        <v>17</v>
      </c>
      <c r="N712" s="27" t="s">
        <v>605</v>
      </c>
      <c r="O712" s="1" t="s">
        <v>16</v>
      </c>
    </row>
    <row r="713" spans="1:15" x14ac:dyDescent="0.2">
      <c r="A713" s="9">
        <v>45334</v>
      </c>
      <c r="B713" s="1" t="s">
        <v>15</v>
      </c>
      <c r="C713" s="1">
        <v>4</v>
      </c>
      <c r="D713" s="1">
        <v>1</v>
      </c>
      <c r="E713" s="14">
        <v>43.08</v>
      </c>
      <c r="F713" s="1" t="s">
        <v>19</v>
      </c>
      <c r="G713" s="1">
        <v>3</v>
      </c>
      <c r="H713" s="1" t="s">
        <v>16</v>
      </c>
      <c r="I713" s="1" t="s">
        <v>16</v>
      </c>
      <c r="J713" s="1" t="s">
        <v>16</v>
      </c>
      <c r="K713" s="1" t="s">
        <v>17</v>
      </c>
      <c r="L713" s="1" t="s">
        <v>17</v>
      </c>
      <c r="M713" s="1" t="s">
        <v>17</v>
      </c>
      <c r="N713" s="27" t="s">
        <v>605</v>
      </c>
      <c r="O713" s="1" t="s">
        <v>16</v>
      </c>
    </row>
    <row r="714" spans="1:15" x14ac:dyDescent="0.2">
      <c r="A714" s="9">
        <v>45334</v>
      </c>
      <c r="B714" s="1" t="s">
        <v>15</v>
      </c>
      <c r="C714" s="1">
        <v>5</v>
      </c>
      <c r="D714" s="1">
        <v>1</v>
      </c>
      <c r="E714" s="14">
        <v>41.53</v>
      </c>
      <c r="F714" s="1" t="s">
        <v>16</v>
      </c>
      <c r="G714" s="1">
        <v>4</v>
      </c>
      <c r="H714" s="1" t="s">
        <v>16</v>
      </c>
      <c r="I714" s="1" t="s">
        <v>16</v>
      </c>
      <c r="J714" s="1" t="s">
        <v>16</v>
      </c>
      <c r="K714" s="1" t="s">
        <v>17</v>
      </c>
      <c r="L714" s="1" t="s">
        <v>17</v>
      </c>
      <c r="M714" s="1" t="s">
        <v>17</v>
      </c>
      <c r="N714" s="27" t="s">
        <v>605</v>
      </c>
      <c r="O714" s="1" t="s">
        <v>16</v>
      </c>
    </row>
    <row r="715" spans="1:15" x14ac:dyDescent="0.2">
      <c r="A715" s="9">
        <v>45334</v>
      </c>
      <c r="B715" s="1" t="s">
        <v>15</v>
      </c>
      <c r="C715" s="1">
        <v>6</v>
      </c>
      <c r="D715" s="1">
        <v>2</v>
      </c>
      <c r="E715" s="14">
        <v>64.8</v>
      </c>
      <c r="F715" s="1" t="s">
        <v>18</v>
      </c>
      <c r="G715" s="1">
        <v>3</v>
      </c>
      <c r="H715" s="1" t="s">
        <v>16</v>
      </c>
      <c r="I715" s="1" t="s">
        <v>16</v>
      </c>
      <c r="J715" s="1" t="s">
        <v>16</v>
      </c>
      <c r="K715" s="1" t="s">
        <v>17</v>
      </c>
      <c r="L715" s="1" t="s">
        <v>17</v>
      </c>
      <c r="M715" s="1" t="s">
        <v>17</v>
      </c>
      <c r="N715" s="27" t="s">
        <v>605</v>
      </c>
      <c r="O715" s="1" t="s">
        <v>16</v>
      </c>
    </row>
    <row r="716" spans="1:15" x14ac:dyDescent="0.2">
      <c r="A716" s="9">
        <v>45334</v>
      </c>
      <c r="B716" s="1" t="s">
        <v>15</v>
      </c>
      <c r="C716" s="1">
        <v>7</v>
      </c>
      <c r="D716" s="1">
        <v>2</v>
      </c>
      <c r="E716" s="14">
        <v>47.59</v>
      </c>
      <c r="F716" s="1" t="s">
        <v>19</v>
      </c>
      <c r="G716" s="1">
        <v>2</v>
      </c>
      <c r="H716" s="1" t="s">
        <v>16</v>
      </c>
      <c r="I716" s="1" t="s">
        <v>16</v>
      </c>
      <c r="J716" s="1" t="s">
        <v>16</v>
      </c>
      <c r="K716" s="1" t="s">
        <v>17</v>
      </c>
      <c r="L716" s="1" t="s">
        <v>17</v>
      </c>
      <c r="M716" s="1" t="s">
        <v>17</v>
      </c>
      <c r="N716" s="27" t="s">
        <v>605</v>
      </c>
      <c r="O716" s="1" t="s">
        <v>16</v>
      </c>
    </row>
    <row r="717" spans="1:15" x14ac:dyDescent="0.2">
      <c r="A717" s="9">
        <v>45334</v>
      </c>
      <c r="B717" s="1" t="s">
        <v>15</v>
      </c>
      <c r="C717" s="1">
        <v>8</v>
      </c>
      <c r="D717" s="1">
        <v>2</v>
      </c>
      <c r="E717" s="14">
        <v>59.87</v>
      </c>
      <c r="F717" s="1" t="s">
        <v>18</v>
      </c>
      <c r="G717" s="1">
        <v>1</v>
      </c>
      <c r="H717" s="1" t="s">
        <v>16</v>
      </c>
      <c r="I717" s="1" t="s">
        <v>16</v>
      </c>
      <c r="J717" s="1" t="s">
        <v>16</v>
      </c>
      <c r="K717" s="1" t="s">
        <v>17</v>
      </c>
      <c r="L717" s="1" t="s">
        <v>17</v>
      </c>
      <c r="M717" s="1" t="s">
        <v>17</v>
      </c>
      <c r="N717" s="27" t="s">
        <v>605</v>
      </c>
      <c r="O717" s="1" t="s">
        <v>16</v>
      </c>
    </row>
    <row r="718" spans="1:15" x14ac:dyDescent="0.2">
      <c r="A718" s="9">
        <v>45334</v>
      </c>
      <c r="B718" s="1" t="s">
        <v>15</v>
      </c>
      <c r="C718" s="1">
        <v>9</v>
      </c>
      <c r="D718" s="1">
        <v>2</v>
      </c>
      <c r="E718" s="14">
        <v>44.54</v>
      </c>
      <c r="F718" s="1" t="s">
        <v>18</v>
      </c>
      <c r="G718" s="1">
        <v>2</v>
      </c>
      <c r="H718" s="1" t="s">
        <v>16</v>
      </c>
      <c r="I718" s="1" t="s">
        <v>16</v>
      </c>
      <c r="J718" s="1" t="s">
        <v>16</v>
      </c>
      <c r="K718" s="1" t="s">
        <v>17</v>
      </c>
      <c r="L718" s="1" t="s">
        <v>17</v>
      </c>
      <c r="M718" s="1" t="s">
        <v>17</v>
      </c>
      <c r="N718" s="27" t="s">
        <v>605</v>
      </c>
      <c r="O718" s="1" t="s">
        <v>16</v>
      </c>
    </row>
    <row r="719" spans="1:15" x14ac:dyDescent="0.2">
      <c r="A719" s="9">
        <v>45334</v>
      </c>
      <c r="B719" s="1" t="s">
        <v>15</v>
      </c>
      <c r="C719" s="1">
        <v>10</v>
      </c>
      <c r="D719" s="1">
        <v>2</v>
      </c>
      <c r="E719" s="14">
        <v>50.87</v>
      </c>
      <c r="F719" s="1" t="s">
        <v>19</v>
      </c>
      <c r="G719" s="1">
        <v>2</v>
      </c>
      <c r="H719" s="1" t="s">
        <v>16</v>
      </c>
      <c r="I719" s="1" t="s">
        <v>16</v>
      </c>
      <c r="J719" s="1" t="s">
        <v>16</v>
      </c>
      <c r="K719" s="1" t="s">
        <v>17</v>
      </c>
      <c r="L719" s="1" t="s">
        <v>17</v>
      </c>
      <c r="M719" s="1" t="s">
        <v>17</v>
      </c>
      <c r="N719" s="27" t="s">
        <v>605</v>
      </c>
      <c r="O719" s="1" t="s">
        <v>16</v>
      </c>
    </row>
    <row r="720" spans="1:15" x14ac:dyDescent="0.2">
      <c r="A720" s="9">
        <v>45334</v>
      </c>
      <c r="B720" s="1" t="s">
        <v>15</v>
      </c>
      <c r="C720" s="1">
        <v>11</v>
      </c>
      <c r="D720" s="1">
        <v>3</v>
      </c>
      <c r="E720" s="14">
        <v>47.73</v>
      </c>
      <c r="F720" s="1" t="s">
        <v>18</v>
      </c>
      <c r="G720" s="1">
        <v>2</v>
      </c>
      <c r="H720" s="1" t="s">
        <v>16</v>
      </c>
      <c r="I720" s="1" t="s">
        <v>16</v>
      </c>
      <c r="J720" s="1" t="s">
        <v>16</v>
      </c>
      <c r="K720" s="1" t="s">
        <v>17</v>
      </c>
      <c r="L720" s="1" t="s">
        <v>17</v>
      </c>
      <c r="M720" s="1" t="s">
        <v>17</v>
      </c>
      <c r="N720" s="27" t="s">
        <v>605</v>
      </c>
      <c r="O720" s="1" t="s">
        <v>16</v>
      </c>
    </row>
    <row r="721" spans="1:15" x14ac:dyDescent="0.2">
      <c r="A721" s="9">
        <v>45334</v>
      </c>
      <c r="B721" s="1" t="s">
        <v>15</v>
      </c>
      <c r="C721" s="1">
        <v>12</v>
      </c>
      <c r="D721" s="1">
        <v>3</v>
      </c>
      <c r="E721" s="14">
        <v>56.53</v>
      </c>
      <c r="F721" s="1" t="s">
        <v>19</v>
      </c>
      <c r="G721" s="1">
        <v>1</v>
      </c>
      <c r="H721" s="1" t="s">
        <v>16</v>
      </c>
      <c r="I721" s="1" t="s">
        <v>16</v>
      </c>
      <c r="J721" s="1" t="s">
        <v>16</v>
      </c>
      <c r="K721" s="1" t="s">
        <v>17</v>
      </c>
      <c r="L721" s="1" t="s">
        <v>17</v>
      </c>
      <c r="M721" s="1" t="s">
        <v>17</v>
      </c>
      <c r="N721" s="27" t="s">
        <v>605</v>
      </c>
      <c r="O721" s="1" t="s">
        <v>16</v>
      </c>
    </row>
    <row r="722" spans="1:15" x14ac:dyDescent="0.2">
      <c r="A722" s="9">
        <v>45334</v>
      </c>
      <c r="B722" s="1" t="s">
        <v>15</v>
      </c>
      <c r="C722" s="1">
        <v>13</v>
      </c>
      <c r="D722" s="1">
        <v>3</v>
      </c>
      <c r="E722" s="14">
        <v>49.52</v>
      </c>
      <c r="F722" s="1" t="s">
        <v>18</v>
      </c>
      <c r="G722" s="1">
        <v>2</v>
      </c>
      <c r="H722" s="1" t="s">
        <v>16</v>
      </c>
      <c r="I722" s="1" t="s">
        <v>16</v>
      </c>
      <c r="J722" s="1" t="s">
        <v>16</v>
      </c>
      <c r="K722" s="1" t="s">
        <v>17</v>
      </c>
      <c r="L722" s="1" t="s">
        <v>17</v>
      </c>
      <c r="M722" s="1" t="s">
        <v>17</v>
      </c>
      <c r="N722" s="27" t="s">
        <v>605</v>
      </c>
      <c r="O722" s="1" t="s">
        <v>16</v>
      </c>
    </row>
    <row r="723" spans="1:15" x14ac:dyDescent="0.2">
      <c r="A723" s="9">
        <v>45334</v>
      </c>
      <c r="B723" s="1" t="s">
        <v>15</v>
      </c>
      <c r="C723" s="1">
        <v>14</v>
      </c>
      <c r="D723" s="1">
        <v>3</v>
      </c>
      <c r="E723" s="14">
        <v>49.18</v>
      </c>
      <c r="F723" s="1" t="s">
        <v>19</v>
      </c>
      <c r="G723" s="1">
        <v>2</v>
      </c>
      <c r="H723" s="1" t="s">
        <v>16</v>
      </c>
      <c r="I723" s="1" t="s">
        <v>16</v>
      </c>
      <c r="J723" s="1" t="s">
        <v>16</v>
      </c>
      <c r="K723" s="1" t="s">
        <v>17</v>
      </c>
      <c r="L723" s="1" t="s">
        <v>17</v>
      </c>
      <c r="M723" s="1" t="s">
        <v>17</v>
      </c>
      <c r="N723" s="27" t="s">
        <v>605</v>
      </c>
      <c r="O723" s="1" t="s">
        <v>16</v>
      </c>
    </row>
    <row r="724" spans="1:15" x14ac:dyDescent="0.2">
      <c r="A724" s="9">
        <v>45334</v>
      </c>
      <c r="B724" s="1" t="s">
        <v>15</v>
      </c>
      <c r="C724" s="1">
        <v>15</v>
      </c>
      <c r="D724" s="1">
        <v>3</v>
      </c>
      <c r="E724" s="14">
        <v>50.59</v>
      </c>
      <c r="F724" s="1" t="s">
        <v>18</v>
      </c>
      <c r="G724" s="1">
        <v>1</v>
      </c>
      <c r="H724" s="1" t="s">
        <v>16</v>
      </c>
      <c r="I724" s="1" t="s">
        <v>16</v>
      </c>
      <c r="J724" s="1" t="s">
        <v>16</v>
      </c>
      <c r="K724" s="1" t="s">
        <v>17</v>
      </c>
      <c r="L724" s="1" t="s">
        <v>17</v>
      </c>
      <c r="M724" s="1" t="s">
        <v>17</v>
      </c>
      <c r="N724" s="27" t="s">
        <v>605</v>
      </c>
      <c r="O724" s="1" t="s">
        <v>16</v>
      </c>
    </row>
    <row r="725" spans="1:15" x14ac:dyDescent="0.2">
      <c r="A725" s="9">
        <v>45357</v>
      </c>
      <c r="B725" s="1" t="s">
        <v>15</v>
      </c>
      <c r="C725" s="1">
        <v>1</v>
      </c>
      <c r="D725" s="1">
        <v>1</v>
      </c>
      <c r="E725" s="14">
        <v>57.75</v>
      </c>
      <c r="F725" s="1" t="s">
        <v>18</v>
      </c>
      <c r="G725" s="1">
        <v>2</v>
      </c>
      <c r="H725" s="1" t="s">
        <v>16</v>
      </c>
      <c r="I725" s="1" t="s">
        <v>16</v>
      </c>
      <c r="J725" s="1" t="s">
        <v>16</v>
      </c>
      <c r="K725" s="1" t="s">
        <v>17</v>
      </c>
      <c r="L725" s="1" t="s">
        <v>17</v>
      </c>
      <c r="M725" s="1" t="s">
        <v>17</v>
      </c>
      <c r="N725" s="27" t="s">
        <v>605</v>
      </c>
      <c r="O725" s="1" t="s">
        <v>16</v>
      </c>
    </row>
    <row r="726" spans="1:15" x14ac:dyDescent="0.2">
      <c r="A726" s="9">
        <v>45357</v>
      </c>
      <c r="B726" s="1" t="s">
        <v>15</v>
      </c>
      <c r="C726" s="1">
        <v>2</v>
      </c>
      <c r="D726" s="1">
        <v>1</v>
      </c>
      <c r="E726" s="14">
        <v>35.58</v>
      </c>
      <c r="F726" s="1" t="s">
        <v>19</v>
      </c>
      <c r="G726" s="1">
        <v>2</v>
      </c>
      <c r="H726" s="1" t="s">
        <v>16</v>
      </c>
      <c r="I726" s="1" t="s">
        <v>16</v>
      </c>
      <c r="J726" s="1" t="s">
        <v>16</v>
      </c>
      <c r="K726" s="1" t="s">
        <v>17</v>
      </c>
      <c r="L726" s="1" t="s">
        <v>17</v>
      </c>
      <c r="M726" s="1" t="s">
        <v>17</v>
      </c>
      <c r="N726" s="27" t="s">
        <v>605</v>
      </c>
      <c r="O726" s="1" t="s">
        <v>16</v>
      </c>
    </row>
    <row r="727" spans="1:15" x14ac:dyDescent="0.2">
      <c r="A727" s="9">
        <v>45357</v>
      </c>
      <c r="B727" s="1" t="s">
        <v>15</v>
      </c>
      <c r="C727" s="1">
        <v>3</v>
      </c>
      <c r="D727" s="1">
        <v>1</v>
      </c>
      <c r="E727" s="14">
        <v>62.48</v>
      </c>
      <c r="F727" s="1" t="s">
        <v>16</v>
      </c>
      <c r="G727" s="1">
        <v>4</v>
      </c>
      <c r="H727" s="1" t="s">
        <v>16</v>
      </c>
      <c r="I727" s="1" t="s">
        <v>16</v>
      </c>
      <c r="J727" s="1" t="s">
        <v>16</v>
      </c>
      <c r="K727" s="1" t="s">
        <v>17</v>
      </c>
      <c r="L727" s="1" t="s">
        <v>17</v>
      </c>
      <c r="M727" s="1" t="s">
        <v>17</v>
      </c>
      <c r="N727" s="27" t="s">
        <v>605</v>
      </c>
      <c r="O727" s="1" t="s">
        <v>16</v>
      </c>
    </row>
    <row r="728" spans="1:15" x14ac:dyDescent="0.2">
      <c r="A728" s="9">
        <v>45357</v>
      </c>
      <c r="B728" s="1" t="s">
        <v>15</v>
      </c>
      <c r="C728" s="1">
        <v>4</v>
      </c>
      <c r="D728" s="1">
        <v>1</v>
      </c>
      <c r="E728" s="14">
        <v>65.33</v>
      </c>
      <c r="F728" s="1" t="s">
        <v>16</v>
      </c>
      <c r="G728" s="1">
        <v>4</v>
      </c>
      <c r="H728" s="1" t="s">
        <v>16</v>
      </c>
      <c r="I728" s="1" t="s">
        <v>16</v>
      </c>
      <c r="J728" s="1" t="s">
        <v>16</v>
      </c>
      <c r="K728" s="1" t="s">
        <v>21</v>
      </c>
      <c r="L728" s="1" t="s">
        <v>17</v>
      </c>
      <c r="M728" s="1" t="s">
        <v>17</v>
      </c>
      <c r="N728" s="27" t="s">
        <v>605</v>
      </c>
      <c r="O728" s="1" t="s">
        <v>16</v>
      </c>
    </row>
    <row r="729" spans="1:15" x14ac:dyDescent="0.2">
      <c r="A729" s="9">
        <v>45357</v>
      </c>
      <c r="B729" s="1" t="s">
        <v>15</v>
      </c>
      <c r="C729" s="1">
        <v>5</v>
      </c>
      <c r="D729" s="1">
        <v>1</v>
      </c>
      <c r="E729" s="14">
        <v>57.39</v>
      </c>
      <c r="F729" s="1" t="s">
        <v>18</v>
      </c>
      <c r="G729" s="1">
        <v>2</v>
      </c>
      <c r="H729" s="1" t="s">
        <v>16</v>
      </c>
      <c r="I729" s="1" t="s">
        <v>16</v>
      </c>
      <c r="J729" s="1" t="s">
        <v>16</v>
      </c>
      <c r="K729" s="1" t="s">
        <v>17</v>
      </c>
      <c r="L729" s="1" t="s">
        <v>17</v>
      </c>
      <c r="M729" s="1" t="s">
        <v>17</v>
      </c>
      <c r="N729" s="27" t="s">
        <v>605</v>
      </c>
      <c r="O729" s="1" t="s">
        <v>16</v>
      </c>
    </row>
    <row r="730" spans="1:15" x14ac:dyDescent="0.2">
      <c r="A730" s="9">
        <v>45357</v>
      </c>
      <c r="B730" s="1" t="s">
        <v>15</v>
      </c>
      <c r="C730" s="1">
        <v>6</v>
      </c>
      <c r="D730" s="1">
        <v>2</v>
      </c>
      <c r="E730" s="14">
        <v>52.03</v>
      </c>
      <c r="F730" s="1" t="s">
        <v>18</v>
      </c>
      <c r="G730" s="1">
        <v>2</v>
      </c>
      <c r="H730" s="1" t="s">
        <v>16</v>
      </c>
      <c r="I730" s="1" t="s">
        <v>16</v>
      </c>
      <c r="J730" s="1" t="s">
        <v>16</v>
      </c>
      <c r="K730" s="1" t="s">
        <v>17</v>
      </c>
      <c r="L730" s="1" t="s">
        <v>17</v>
      </c>
      <c r="M730" s="1" t="s">
        <v>17</v>
      </c>
      <c r="N730" s="27" t="s">
        <v>605</v>
      </c>
      <c r="O730" s="1" t="s">
        <v>16</v>
      </c>
    </row>
    <row r="731" spans="1:15" x14ac:dyDescent="0.2">
      <c r="A731" s="9">
        <v>45357</v>
      </c>
      <c r="B731" s="1" t="s">
        <v>15</v>
      </c>
      <c r="C731" s="1">
        <v>7</v>
      </c>
      <c r="D731" s="1">
        <v>2</v>
      </c>
      <c r="E731" s="14">
        <v>49.47</v>
      </c>
      <c r="F731" s="1" t="s">
        <v>19</v>
      </c>
      <c r="G731" s="1">
        <v>2</v>
      </c>
      <c r="H731" s="1" t="s">
        <v>16</v>
      </c>
      <c r="I731" s="1" t="s">
        <v>16</v>
      </c>
      <c r="J731" s="1" t="s">
        <v>16</v>
      </c>
      <c r="K731" s="1" t="s">
        <v>17</v>
      </c>
      <c r="L731" s="1" t="s">
        <v>17</v>
      </c>
      <c r="M731" s="1" t="s">
        <v>17</v>
      </c>
      <c r="N731" s="27" t="s">
        <v>605</v>
      </c>
      <c r="O731" s="1" t="s">
        <v>16</v>
      </c>
    </row>
    <row r="732" spans="1:15" x14ac:dyDescent="0.2">
      <c r="A732" s="9">
        <v>45357</v>
      </c>
      <c r="B732" s="1" t="s">
        <v>15</v>
      </c>
      <c r="C732" s="1">
        <v>8</v>
      </c>
      <c r="D732" s="1">
        <v>2</v>
      </c>
      <c r="E732" s="14">
        <v>41.77</v>
      </c>
      <c r="F732" s="1" t="s">
        <v>18</v>
      </c>
      <c r="G732" s="1">
        <v>2</v>
      </c>
      <c r="H732" s="1" t="s">
        <v>16</v>
      </c>
      <c r="I732" s="1" t="s">
        <v>16</v>
      </c>
      <c r="J732" s="1" t="s">
        <v>16</v>
      </c>
      <c r="K732" s="1" t="s">
        <v>17</v>
      </c>
      <c r="L732" s="1" t="s">
        <v>17</v>
      </c>
      <c r="M732" s="1" t="s">
        <v>17</v>
      </c>
      <c r="N732" s="27" t="s">
        <v>605</v>
      </c>
      <c r="O732" s="1" t="s">
        <v>16</v>
      </c>
    </row>
    <row r="733" spans="1:15" x14ac:dyDescent="0.2">
      <c r="A733" s="9">
        <v>45357</v>
      </c>
      <c r="B733" s="1" t="s">
        <v>15</v>
      </c>
      <c r="C733" s="1">
        <v>9</v>
      </c>
      <c r="D733" s="1">
        <v>2</v>
      </c>
      <c r="E733" s="14">
        <v>44.67</v>
      </c>
      <c r="F733" s="1" t="s">
        <v>18</v>
      </c>
      <c r="G733" s="1">
        <v>2</v>
      </c>
      <c r="H733" s="1" t="s">
        <v>16</v>
      </c>
      <c r="I733" s="1" t="s">
        <v>16</v>
      </c>
      <c r="J733" s="1" t="s">
        <v>16</v>
      </c>
      <c r="K733" s="1" t="s">
        <v>17</v>
      </c>
      <c r="L733" s="1" t="s">
        <v>17</v>
      </c>
      <c r="M733" s="1" t="s">
        <v>17</v>
      </c>
      <c r="N733" s="27" t="s">
        <v>605</v>
      </c>
      <c r="O733" s="1" t="s">
        <v>16</v>
      </c>
    </row>
    <row r="734" spans="1:15" x14ac:dyDescent="0.2">
      <c r="A734" s="9">
        <v>45357</v>
      </c>
      <c r="B734" s="1" t="s">
        <v>15</v>
      </c>
      <c r="C734" s="1">
        <v>10</v>
      </c>
      <c r="D734" s="1">
        <v>2</v>
      </c>
      <c r="E734" s="14">
        <v>44.48</v>
      </c>
      <c r="F734" s="1" t="s">
        <v>18</v>
      </c>
      <c r="G734" s="1">
        <v>2</v>
      </c>
      <c r="H734" s="1" t="s">
        <v>16</v>
      </c>
      <c r="I734" s="1" t="s">
        <v>16</v>
      </c>
      <c r="J734" s="1" t="s">
        <v>16</v>
      </c>
      <c r="K734" s="1" t="s">
        <v>17</v>
      </c>
      <c r="L734" s="1" t="s">
        <v>17</v>
      </c>
      <c r="M734" s="1" t="s">
        <v>17</v>
      </c>
      <c r="N734" s="27" t="s">
        <v>605</v>
      </c>
      <c r="O734" s="1" t="s">
        <v>16</v>
      </c>
    </row>
    <row r="735" spans="1:15" x14ac:dyDescent="0.2">
      <c r="A735" s="9">
        <v>45357</v>
      </c>
      <c r="B735" s="1" t="s">
        <v>15</v>
      </c>
      <c r="C735" s="1">
        <v>11</v>
      </c>
      <c r="D735" s="1">
        <v>3</v>
      </c>
      <c r="E735" s="14">
        <v>56.49</v>
      </c>
      <c r="F735" s="1" t="s">
        <v>18</v>
      </c>
      <c r="G735" s="1">
        <v>2</v>
      </c>
      <c r="H735" s="1" t="s">
        <v>16</v>
      </c>
      <c r="I735" s="1" t="s">
        <v>16</v>
      </c>
      <c r="J735" s="1" t="s">
        <v>16</v>
      </c>
      <c r="K735" s="1" t="s">
        <v>17</v>
      </c>
      <c r="L735" s="1" t="s">
        <v>17</v>
      </c>
      <c r="M735" s="1" t="s">
        <v>17</v>
      </c>
      <c r="N735" s="27" t="s">
        <v>605</v>
      </c>
      <c r="O735" s="1" t="s">
        <v>16</v>
      </c>
    </row>
    <row r="736" spans="1:15" x14ac:dyDescent="0.2">
      <c r="A736" s="9">
        <v>45357</v>
      </c>
      <c r="B736" s="1" t="s">
        <v>15</v>
      </c>
      <c r="C736" s="1">
        <v>12</v>
      </c>
      <c r="D736" s="1">
        <v>3</v>
      </c>
      <c r="E736" s="14">
        <v>46.01</v>
      </c>
      <c r="F736" s="1" t="s">
        <v>18</v>
      </c>
      <c r="G736" s="1">
        <v>2</v>
      </c>
      <c r="H736" s="1" t="s">
        <v>16</v>
      </c>
      <c r="I736" s="1" t="s">
        <v>16</v>
      </c>
      <c r="J736" s="1" t="s">
        <v>16</v>
      </c>
      <c r="K736" s="1" t="s">
        <v>17</v>
      </c>
      <c r="L736" s="1" t="s">
        <v>17</v>
      </c>
      <c r="M736" s="1" t="s">
        <v>17</v>
      </c>
      <c r="N736" s="27" t="s">
        <v>605</v>
      </c>
      <c r="O736" s="1" t="s">
        <v>16</v>
      </c>
    </row>
    <row r="737" spans="1:15" x14ac:dyDescent="0.2">
      <c r="A737" s="9">
        <v>45357</v>
      </c>
      <c r="B737" s="1" t="s">
        <v>15</v>
      </c>
      <c r="C737" s="1">
        <v>13</v>
      </c>
      <c r="D737" s="1">
        <v>3</v>
      </c>
      <c r="E737" s="14">
        <v>45.04</v>
      </c>
      <c r="F737" s="1" t="s">
        <v>19</v>
      </c>
      <c r="G737" s="1">
        <v>2</v>
      </c>
      <c r="H737" s="1" t="s">
        <v>16</v>
      </c>
      <c r="I737" s="1" t="s">
        <v>16</v>
      </c>
      <c r="J737" s="1" t="s">
        <v>16</v>
      </c>
      <c r="K737" s="1" t="s">
        <v>17</v>
      </c>
      <c r="L737" s="1" t="s">
        <v>17</v>
      </c>
      <c r="M737" s="1" t="s">
        <v>17</v>
      </c>
      <c r="N737" s="27" t="s">
        <v>605</v>
      </c>
      <c r="O737" s="1" t="s">
        <v>16</v>
      </c>
    </row>
    <row r="738" spans="1:15" x14ac:dyDescent="0.2">
      <c r="A738" s="9">
        <v>45357</v>
      </c>
      <c r="B738" s="1" t="s">
        <v>15</v>
      </c>
      <c r="C738" s="1">
        <v>14</v>
      </c>
      <c r="D738" s="1">
        <v>3</v>
      </c>
      <c r="E738" s="14">
        <v>47.95</v>
      </c>
      <c r="F738" s="1" t="s">
        <v>18</v>
      </c>
      <c r="G738" s="1">
        <v>2</v>
      </c>
      <c r="H738" s="1" t="s">
        <v>16</v>
      </c>
      <c r="I738" s="1" t="s">
        <v>16</v>
      </c>
      <c r="J738" s="1" t="s">
        <v>16</v>
      </c>
      <c r="K738" s="1" t="s">
        <v>17</v>
      </c>
      <c r="L738" s="1" t="s">
        <v>17</v>
      </c>
      <c r="M738" s="1" t="s">
        <v>17</v>
      </c>
      <c r="N738" s="27" t="s">
        <v>605</v>
      </c>
      <c r="O738" s="1" t="s">
        <v>16</v>
      </c>
    </row>
    <row r="739" spans="1:15" x14ac:dyDescent="0.2">
      <c r="A739" s="9">
        <v>45357</v>
      </c>
      <c r="B739" s="1" t="s">
        <v>15</v>
      </c>
      <c r="C739" s="1">
        <v>15</v>
      </c>
      <c r="D739" s="1">
        <v>3</v>
      </c>
      <c r="E739" s="14">
        <v>45.95</v>
      </c>
      <c r="F739" s="1" t="s">
        <v>18</v>
      </c>
      <c r="G739" s="1">
        <v>2</v>
      </c>
      <c r="H739" s="1" t="s">
        <v>16</v>
      </c>
      <c r="I739" s="1" t="s">
        <v>16</v>
      </c>
      <c r="J739" s="1" t="s">
        <v>16</v>
      </c>
      <c r="K739" s="1" t="s">
        <v>17</v>
      </c>
      <c r="L739" s="1" t="s">
        <v>17</v>
      </c>
      <c r="M739" s="1" t="s">
        <v>17</v>
      </c>
      <c r="N739" s="27" t="s">
        <v>605</v>
      </c>
      <c r="O739" s="1" t="s">
        <v>16</v>
      </c>
    </row>
    <row r="740" spans="1:15" x14ac:dyDescent="0.2">
      <c r="A740" s="9">
        <v>45391</v>
      </c>
      <c r="B740" s="1" t="s">
        <v>15</v>
      </c>
      <c r="C740" s="1">
        <v>1</v>
      </c>
      <c r="D740" s="1">
        <v>1</v>
      </c>
      <c r="E740" s="14">
        <v>59.77</v>
      </c>
      <c r="F740" s="1" t="s">
        <v>18</v>
      </c>
      <c r="G740" s="1">
        <v>2</v>
      </c>
      <c r="H740" s="1" t="s">
        <v>16</v>
      </c>
      <c r="I740" s="1" t="s">
        <v>16</v>
      </c>
      <c r="J740" s="1" t="s">
        <v>16</v>
      </c>
      <c r="K740" s="1" t="s">
        <v>17</v>
      </c>
      <c r="L740" s="1" t="s">
        <v>17</v>
      </c>
      <c r="M740" s="1" t="s">
        <v>17</v>
      </c>
      <c r="N740" s="27" t="s">
        <v>605</v>
      </c>
      <c r="O740" s="1" t="s">
        <v>16</v>
      </c>
    </row>
    <row r="741" spans="1:15" x14ac:dyDescent="0.2">
      <c r="A741" s="9">
        <v>45391</v>
      </c>
      <c r="B741" s="1" t="s">
        <v>15</v>
      </c>
      <c r="C741" s="1">
        <v>2</v>
      </c>
      <c r="D741" s="1">
        <v>1</v>
      </c>
      <c r="E741" s="14">
        <v>48.13</v>
      </c>
      <c r="F741" s="1" t="s">
        <v>19</v>
      </c>
      <c r="G741" s="1">
        <v>2</v>
      </c>
      <c r="H741" s="1" t="s">
        <v>16</v>
      </c>
      <c r="I741" s="1" t="s">
        <v>16</v>
      </c>
      <c r="J741" s="1" t="s">
        <v>16</v>
      </c>
      <c r="K741" s="1" t="s">
        <v>17</v>
      </c>
      <c r="L741" s="1" t="s">
        <v>17</v>
      </c>
      <c r="M741" s="1" t="s">
        <v>17</v>
      </c>
      <c r="N741" s="27" t="s">
        <v>605</v>
      </c>
      <c r="O741" s="1" t="s">
        <v>16</v>
      </c>
    </row>
    <row r="742" spans="1:15" x14ac:dyDescent="0.2">
      <c r="A742" s="9">
        <v>45391</v>
      </c>
      <c r="B742" s="1" t="s">
        <v>15</v>
      </c>
      <c r="C742" s="1">
        <v>3</v>
      </c>
      <c r="D742" s="1">
        <v>1</v>
      </c>
      <c r="E742" s="14">
        <v>35.729999999999997</v>
      </c>
      <c r="F742" s="1" t="s">
        <v>19</v>
      </c>
      <c r="G742" s="1">
        <v>2</v>
      </c>
      <c r="H742" s="1" t="s">
        <v>16</v>
      </c>
      <c r="I742" s="1" t="s">
        <v>16</v>
      </c>
      <c r="J742" s="1" t="s">
        <v>16</v>
      </c>
      <c r="K742" s="1" t="s">
        <v>17</v>
      </c>
      <c r="L742" s="1" t="s">
        <v>17</v>
      </c>
      <c r="M742" s="1" t="s">
        <v>17</v>
      </c>
      <c r="N742" s="27" t="s">
        <v>605</v>
      </c>
      <c r="O742" s="1" t="s">
        <v>16</v>
      </c>
    </row>
    <row r="743" spans="1:15" x14ac:dyDescent="0.2">
      <c r="A743" s="9">
        <v>45391</v>
      </c>
      <c r="B743" s="1" t="s">
        <v>15</v>
      </c>
      <c r="C743" s="1">
        <v>4</v>
      </c>
      <c r="D743" s="1">
        <v>1</v>
      </c>
      <c r="E743" s="14">
        <v>36.56</v>
      </c>
      <c r="F743" s="1" t="s">
        <v>18</v>
      </c>
      <c r="G743" s="1">
        <v>2</v>
      </c>
      <c r="H743" s="1" t="s">
        <v>16</v>
      </c>
      <c r="I743" s="1" t="s">
        <v>16</v>
      </c>
      <c r="J743" s="1" t="s">
        <v>16</v>
      </c>
      <c r="K743" s="1" t="s">
        <v>17</v>
      </c>
      <c r="L743" s="1" t="s">
        <v>17</v>
      </c>
      <c r="M743" s="1" t="s">
        <v>17</v>
      </c>
      <c r="N743" s="27" t="s">
        <v>605</v>
      </c>
      <c r="O743" s="1" t="s">
        <v>16</v>
      </c>
    </row>
    <row r="744" spans="1:15" x14ac:dyDescent="0.2">
      <c r="A744" s="9">
        <v>45391</v>
      </c>
      <c r="B744" s="1" t="s">
        <v>15</v>
      </c>
      <c r="C744" s="1">
        <v>5</v>
      </c>
      <c r="D744" s="1">
        <v>1</v>
      </c>
      <c r="E744" s="14">
        <v>39.58</v>
      </c>
      <c r="F744" s="1" t="s">
        <v>16</v>
      </c>
      <c r="G744" s="1">
        <v>4</v>
      </c>
      <c r="H744" s="1" t="s">
        <v>16</v>
      </c>
      <c r="I744" s="1" t="s">
        <v>16</v>
      </c>
      <c r="J744" s="1" t="s">
        <v>16</v>
      </c>
      <c r="K744" s="1" t="s">
        <v>21</v>
      </c>
      <c r="L744" s="1" t="s">
        <v>17</v>
      </c>
      <c r="M744" s="1" t="s">
        <v>17</v>
      </c>
      <c r="N744" s="27" t="s">
        <v>605</v>
      </c>
      <c r="O744" s="1" t="s">
        <v>16</v>
      </c>
    </row>
    <row r="745" spans="1:15" x14ac:dyDescent="0.2">
      <c r="A745" s="9">
        <v>45391</v>
      </c>
      <c r="B745" s="1" t="s">
        <v>15</v>
      </c>
      <c r="C745" s="1">
        <v>6</v>
      </c>
      <c r="D745" s="1">
        <v>2</v>
      </c>
      <c r="E745" s="14">
        <v>66.650000000000006</v>
      </c>
      <c r="F745" s="1" t="s">
        <v>19</v>
      </c>
      <c r="G745" s="1">
        <v>2</v>
      </c>
      <c r="H745" s="1" t="s">
        <v>16</v>
      </c>
      <c r="I745" s="1" t="s">
        <v>16</v>
      </c>
      <c r="J745" s="1" t="s">
        <v>16</v>
      </c>
      <c r="K745" s="1" t="s">
        <v>17</v>
      </c>
      <c r="L745" s="1" t="s">
        <v>17</v>
      </c>
      <c r="M745" s="1" t="s">
        <v>17</v>
      </c>
      <c r="N745" s="27" t="s">
        <v>605</v>
      </c>
      <c r="O745" s="1" t="s">
        <v>16</v>
      </c>
    </row>
    <row r="746" spans="1:15" x14ac:dyDescent="0.2">
      <c r="A746" s="9">
        <v>45391</v>
      </c>
      <c r="B746" s="1" t="s">
        <v>15</v>
      </c>
      <c r="C746" s="1">
        <v>7</v>
      </c>
      <c r="D746" s="1">
        <v>2</v>
      </c>
      <c r="E746" s="14">
        <v>67.42</v>
      </c>
      <c r="F746" s="1" t="s">
        <v>19</v>
      </c>
      <c r="G746" s="1">
        <v>2</v>
      </c>
      <c r="H746" s="1" t="s">
        <v>16</v>
      </c>
      <c r="I746" s="1" t="s">
        <v>16</v>
      </c>
      <c r="J746" s="1" t="s">
        <v>16</v>
      </c>
      <c r="K746" s="1" t="s">
        <v>17</v>
      </c>
      <c r="L746" s="1" t="s">
        <v>17</v>
      </c>
      <c r="M746" s="1" t="s">
        <v>17</v>
      </c>
      <c r="N746" s="27" t="s">
        <v>605</v>
      </c>
      <c r="O746" s="1" t="s">
        <v>16</v>
      </c>
    </row>
    <row r="747" spans="1:15" x14ac:dyDescent="0.2">
      <c r="A747" s="9">
        <v>45391</v>
      </c>
      <c r="B747" s="1" t="s">
        <v>15</v>
      </c>
      <c r="C747" s="1">
        <v>8</v>
      </c>
      <c r="D747" s="1">
        <v>2</v>
      </c>
      <c r="E747" s="14">
        <v>53.72</v>
      </c>
      <c r="F747" s="1" t="s">
        <v>19</v>
      </c>
      <c r="G747" s="1">
        <v>2</v>
      </c>
      <c r="H747" s="1" t="s">
        <v>16</v>
      </c>
      <c r="I747" s="1" t="s">
        <v>16</v>
      </c>
      <c r="J747" s="1" t="s">
        <v>16</v>
      </c>
      <c r="K747" s="1" t="s">
        <v>17</v>
      </c>
      <c r="L747" s="1" t="s">
        <v>17</v>
      </c>
      <c r="M747" s="1" t="s">
        <v>17</v>
      </c>
      <c r="N747" s="27" t="s">
        <v>605</v>
      </c>
      <c r="O747" s="1" t="s">
        <v>16</v>
      </c>
    </row>
    <row r="748" spans="1:15" x14ac:dyDescent="0.2">
      <c r="A748" s="9">
        <v>45391</v>
      </c>
      <c r="B748" s="1" t="s">
        <v>15</v>
      </c>
      <c r="C748" s="1">
        <v>9</v>
      </c>
      <c r="D748" s="1">
        <v>2</v>
      </c>
      <c r="E748" s="14">
        <v>75.36</v>
      </c>
      <c r="F748" s="1" t="s">
        <v>18</v>
      </c>
      <c r="G748" s="1">
        <v>3</v>
      </c>
      <c r="H748" s="1" t="s">
        <v>16</v>
      </c>
      <c r="I748" s="1" t="s">
        <v>16</v>
      </c>
      <c r="J748" s="1" t="s">
        <v>16</v>
      </c>
      <c r="K748" s="1" t="s">
        <v>17</v>
      </c>
      <c r="L748" s="1" t="s">
        <v>17</v>
      </c>
      <c r="M748" s="1" t="s">
        <v>17</v>
      </c>
      <c r="N748" s="27" t="s">
        <v>605</v>
      </c>
      <c r="O748" s="1" t="s">
        <v>16</v>
      </c>
    </row>
    <row r="749" spans="1:15" x14ac:dyDescent="0.2">
      <c r="A749" s="9">
        <v>45391</v>
      </c>
      <c r="B749" s="1" t="s">
        <v>15</v>
      </c>
      <c r="C749" s="1">
        <v>10</v>
      </c>
      <c r="D749" s="1">
        <v>2</v>
      </c>
      <c r="E749" s="14">
        <v>54.87</v>
      </c>
      <c r="F749" s="1" t="s">
        <v>18</v>
      </c>
      <c r="G749" s="1">
        <v>2</v>
      </c>
      <c r="H749" s="1" t="s">
        <v>16</v>
      </c>
      <c r="I749" s="1" t="s">
        <v>16</v>
      </c>
      <c r="J749" s="1" t="s">
        <v>16</v>
      </c>
      <c r="K749" s="1" t="s">
        <v>17</v>
      </c>
      <c r="L749" s="1" t="s">
        <v>17</v>
      </c>
      <c r="M749" s="1" t="s">
        <v>17</v>
      </c>
      <c r="N749" s="27" t="s">
        <v>605</v>
      </c>
      <c r="O749" s="1" t="s">
        <v>16</v>
      </c>
    </row>
    <row r="750" spans="1:15" x14ac:dyDescent="0.2">
      <c r="A750" s="9">
        <v>45391</v>
      </c>
      <c r="B750" s="1" t="s">
        <v>15</v>
      </c>
      <c r="C750" s="1">
        <v>11</v>
      </c>
      <c r="D750" s="1">
        <v>3</v>
      </c>
      <c r="E750" s="14">
        <v>54.05</v>
      </c>
      <c r="F750" s="1" t="s">
        <v>19</v>
      </c>
      <c r="G750" s="1">
        <v>2</v>
      </c>
      <c r="H750" s="1" t="s">
        <v>16</v>
      </c>
      <c r="I750" s="1" t="s">
        <v>16</v>
      </c>
      <c r="J750" s="1" t="s">
        <v>16</v>
      </c>
      <c r="K750" s="1" t="s">
        <v>17</v>
      </c>
      <c r="L750" s="1" t="s">
        <v>17</v>
      </c>
      <c r="M750" s="1" t="s">
        <v>17</v>
      </c>
      <c r="N750" s="27" t="s">
        <v>605</v>
      </c>
      <c r="O750" s="1" t="s">
        <v>16</v>
      </c>
    </row>
    <row r="751" spans="1:15" x14ac:dyDescent="0.2">
      <c r="A751" s="9">
        <v>45391</v>
      </c>
      <c r="B751" s="1" t="s">
        <v>15</v>
      </c>
      <c r="C751" s="1">
        <v>12</v>
      </c>
      <c r="D751" s="1">
        <v>3</v>
      </c>
      <c r="E751" s="14">
        <v>48.67</v>
      </c>
      <c r="F751" s="1" t="s">
        <v>18</v>
      </c>
      <c r="G751" s="1">
        <v>2</v>
      </c>
      <c r="H751" s="1" t="s">
        <v>16</v>
      </c>
      <c r="I751" s="1" t="s">
        <v>16</v>
      </c>
      <c r="J751" s="1" t="s">
        <v>16</v>
      </c>
      <c r="K751" s="1" t="s">
        <v>17</v>
      </c>
      <c r="L751" s="1" t="s">
        <v>17</v>
      </c>
      <c r="M751" s="1" t="s">
        <v>17</v>
      </c>
      <c r="N751" s="27" t="s">
        <v>605</v>
      </c>
      <c r="O751" s="1" t="s">
        <v>16</v>
      </c>
    </row>
    <row r="752" spans="1:15" x14ac:dyDescent="0.2">
      <c r="A752" s="9">
        <v>45391</v>
      </c>
      <c r="B752" s="1" t="s">
        <v>15</v>
      </c>
      <c r="C752" s="1">
        <v>13</v>
      </c>
      <c r="D752" s="1">
        <v>3</v>
      </c>
      <c r="E752" s="14">
        <v>40.61</v>
      </c>
      <c r="F752" s="1" t="s">
        <v>18</v>
      </c>
      <c r="G752" s="1">
        <v>3</v>
      </c>
      <c r="H752" s="1" t="s">
        <v>16</v>
      </c>
      <c r="I752" s="1" t="s">
        <v>16</v>
      </c>
      <c r="J752" s="1" t="s">
        <v>16</v>
      </c>
      <c r="K752" s="1" t="s">
        <v>17</v>
      </c>
      <c r="L752" s="1" t="s">
        <v>17</v>
      </c>
      <c r="M752" s="1" t="s">
        <v>17</v>
      </c>
      <c r="N752" s="27" t="s">
        <v>605</v>
      </c>
      <c r="O752" s="1" t="s">
        <v>16</v>
      </c>
    </row>
    <row r="753" spans="1:15" x14ac:dyDescent="0.2">
      <c r="A753" s="9">
        <v>45391</v>
      </c>
      <c r="B753" s="1" t="s">
        <v>15</v>
      </c>
      <c r="C753" s="1">
        <v>14</v>
      </c>
      <c r="D753" s="1">
        <v>3</v>
      </c>
      <c r="E753" s="14">
        <v>50.66</v>
      </c>
      <c r="F753" s="1" t="s">
        <v>18</v>
      </c>
      <c r="G753" s="1">
        <v>2</v>
      </c>
      <c r="H753" s="1" t="s">
        <v>16</v>
      </c>
      <c r="I753" s="1" t="s">
        <v>16</v>
      </c>
      <c r="J753" s="1" t="s">
        <v>16</v>
      </c>
      <c r="K753" s="1" t="s">
        <v>17</v>
      </c>
      <c r="L753" s="1" t="s">
        <v>17</v>
      </c>
      <c r="M753" s="1" t="s">
        <v>17</v>
      </c>
      <c r="N753" s="27" t="s">
        <v>605</v>
      </c>
      <c r="O753" s="1" t="s">
        <v>16</v>
      </c>
    </row>
    <row r="754" spans="1:15" x14ac:dyDescent="0.2">
      <c r="A754" s="9">
        <v>45391</v>
      </c>
      <c r="B754" s="1" t="s">
        <v>15</v>
      </c>
      <c r="C754" s="1">
        <v>15</v>
      </c>
      <c r="D754" s="1">
        <v>3</v>
      </c>
      <c r="E754" s="14">
        <v>40.159999999999997</v>
      </c>
      <c r="F754" s="1" t="s">
        <v>19</v>
      </c>
      <c r="G754" s="1">
        <v>2</v>
      </c>
      <c r="H754" s="1" t="s">
        <v>16</v>
      </c>
      <c r="I754" s="1" t="s">
        <v>16</v>
      </c>
      <c r="J754" s="1" t="s">
        <v>16</v>
      </c>
      <c r="K754" s="1" t="s">
        <v>17</v>
      </c>
      <c r="L754" s="1" t="s">
        <v>17</v>
      </c>
      <c r="M754" s="1" t="s">
        <v>17</v>
      </c>
      <c r="N754" s="27" t="s">
        <v>605</v>
      </c>
      <c r="O754" s="1" t="s">
        <v>16</v>
      </c>
    </row>
    <row r="755" spans="1:15" x14ac:dyDescent="0.2">
      <c r="A755" s="9">
        <v>43837</v>
      </c>
      <c r="B755" s="1" t="s">
        <v>22</v>
      </c>
      <c r="C755" s="1">
        <v>1</v>
      </c>
      <c r="D755" s="1">
        <v>1</v>
      </c>
      <c r="E755" s="5">
        <v>43.13</v>
      </c>
      <c r="F755" s="1" t="s">
        <v>18</v>
      </c>
      <c r="G755" s="1">
        <v>3</v>
      </c>
      <c r="H755" s="1" t="s">
        <v>16</v>
      </c>
      <c r="I755" s="1" t="s">
        <v>16</v>
      </c>
      <c r="J755" s="1" t="s">
        <v>16</v>
      </c>
      <c r="K755" s="1" t="s">
        <v>17</v>
      </c>
      <c r="L755" s="1" t="s">
        <v>17</v>
      </c>
      <c r="M755" s="1" t="s">
        <v>17</v>
      </c>
      <c r="N755" s="27" t="s">
        <v>605</v>
      </c>
      <c r="O755" s="1" t="s">
        <v>16</v>
      </c>
    </row>
    <row r="756" spans="1:15" x14ac:dyDescent="0.2">
      <c r="A756" s="9">
        <v>43837</v>
      </c>
      <c r="B756" s="1" t="s">
        <v>22</v>
      </c>
      <c r="C756" s="1">
        <v>2</v>
      </c>
      <c r="D756" s="1">
        <v>1</v>
      </c>
      <c r="E756" s="5">
        <v>56.97</v>
      </c>
      <c r="F756" s="1" t="s">
        <v>16</v>
      </c>
      <c r="G756" s="1">
        <v>4</v>
      </c>
      <c r="H756" s="1" t="s">
        <v>16</v>
      </c>
      <c r="I756" s="1" t="s">
        <v>16</v>
      </c>
      <c r="J756" s="1" t="s">
        <v>16</v>
      </c>
      <c r="K756" s="1" t="s">
        <v>17</v>
      </c>
      <c r="L756" s="1" t="s">
        <v>17</v>
      </c>
      <c r="M756" s="1" t="s">
        <v>17</v>
      </c>
      <c r="N756" s="27" t="s">
        <v>605</v>
      </c>
      <c r="O756" s="1" t="s">
        <v>16</v>
      </c>
    </row>
    <row r="757" spans="1:15" x14ac:dyDescent="0.2">
      <c r="A757" s="9">
        <v>43837</v>
      </c>
      <c r="B757" s="1" t="s">
        <v>22</v>
      </c>
      <c r="C757" s="1">
        <v>3</v>
      </c>
      <c r="D757" s="1">
        <v>1</v>
      </c>
      <c r="E757" s="5">
        <v>60.02</v>
      </c>
      <c r="F757" s="1" t="s">
        <v>16</v>
      </c>
      <c r="G757" s="1">
        <v>4</v>
      </c>
      <c r="H757" s="1" t="s">
        <v>16</v>
      </c>
      <c r="I757" s="1" t="s">
        <v>16</v>
      </c>
      <c r="J757" s="1" t="s">
        <v>16</v>
      </c>
      <c r="K757" s="1" t="s">
        <v>17</v>
      </c>
      <c r="L757" s="1" t="s">
        <v>17</v>
      </c>
      <c r="M757" s="1" t="s">
        <v>17</v>
      </c>
      <c r="N757" s="27" t="s">
        <v>605</v>
      </c>
      <c r="O757" s="1" t="s">
        <v>16</v>
      </c>
    </row>
    <row r="758" spans="1:15" x14ac:dyDescent="0.2">
      <c r="A758" s="9">
        <v>43837</v>
      </c>
      <c r="B758" s="1" t="s">
        <v>22</v>
      </c>
      <c r="C758" s="1">
        <v>4</v>
      </c>
      <c r="D758" s="1">
        <v>1</v>
      </c>
      <c r="E758" s="5">
        <v>46.2</v>
      </c>
      <c r="F758" s="1" t="s">
        <v>18</v>
      </c>
      <c r="G758" s="1">
        <v>3</v>
      </c>
      <c r="H758" s="1" t="s">
        <v>16</v>
      </c>
      <c r="I758" s="1" t="s">
        <v>16</v>
      </c>
      <c r="J758" s="1" t="s">
        <v>16</v>
      </c>
      <c r="K758" s="1" t="s">
        <v>17</v>
      </c>
      <c r="L758" s="1" t="s">
        <v>17</v>
      </c>
      <c r="M758" s="1" t="s">
        <v>17</v>
      </c>
      <c r="N758" s="27" t="s">
        <v>605</v>
      </c>
      <c r="O758" s="1" t="s">
        <v>16</v>
      </c>
    </row>
    <row r="759" spans="1:15" x14ac:dyDescent="0.2">
      <c r="A759" s="9">
        <v>43837</v>
      </c>
      <c r="B759" s="1" t="s">
        <v>22</v>
      </c>
      <c r="C759" s="1">
        <v>5</v>
      </c>
      <c r="D759" s="1">
        <v>1</v>
      </c>
      <c r="E759" s="5">
        <v>49.59</v>
      </c>
      <c r="F759" s="1" t="s">
        <v>16</v>
      </c>
      <c r="G759" s="1">
        <v>4</v>
      </c>
      <c r="H759" s="1" t="s">
        <v>16</v>
      </c>
      <c r="I759" s="1" t="s">
        <v>16</v>
      </c>
      <c r="J759" s="1" t="s">
        <v>16</v>
      </c>
      <c r="K759" s="1" t="s">
        <v>17</v>
      </c>
      <c r="L759" s="1" t="s">
        <v>17</v>
      </c>
      <c r="M759" s="1" t="s">
        <v>17</v>
      </c>
      <c r="N759" s="27" t="s">
        <v>605</v>
      </c>
      <c r="O759" s="1" t="s">
        <v>16</v>
      </c>
    </row>
    <row r="760" spans="1:15" x14ac:dyDescent="0.2">
      <c r="A760" s="9">
        <v>43837</v>
      </c>
      <c r="B760" s="1" t="s">
        <v>22</v>
      </c>
      <c r="C760" s="1">
        <v>6</v>
      </c>
      <c r="D760" s="1">
        <v>2</v>
      </c>
      <c r="E760" s="5">
        <v>58.79</v>
      </c>
      <c r="F760" s="1" t="s">
        <v>18</v>
      </c>
      <c r="G760" s="1">
        <v>1</v>
      </c>
      <c r="H760" s="1" t="s">
        <v>16</v>
      </c>
      <c r="I760" s="1" t="s">
        <v>16</v>
      </c>
      <c r="J760" s="1" t="s">
        <v>16</v>
      </c>
      <c r="K760" s="1" t="s">
        <v>17</v>
      </c>
      <c r="L760" s="1" t="s">
        <v>17</v>
      </c>
      <c r="M760" s="1" t="s">
        <v>17</v>
      </c>
      <c r="N760" s="27" t="s">
        <v>605</v>
      </c>
      <c r="O760" s="1" t="s">
        <v>16</v>
      </c>
    </row>
    <row r="761" spans="1:15" x14ac:dyDescent="0.2">
      <c r="A761" s="9">
        <v>43837</v>
      </c>
      <c r="B761" s="1" t="s">
        <v>22</v>
      </c>
      <c r="C761" s="1">
        <v>7</v>
      </c>
      <c r="D761" s="1">
        <v>2</v>
      </c>
      <c r="E761" s="5">
        <v>69.47</v>
      </c>
      <c r="F761" s="1" t="s">
        <v>16</v>
      </c>
      <c r="G761" s="1">
        <v>4</v>
      </c>
      <c r="H761" s="1" t="s">
        <v>16</v>
      </c>
      <c r="I761" s="1" t="s">
        <v>16</v>
      </c>
      <c r="J761" s="1" t="s">
        <v>16</v>
      </c>
      <c r="K761" s="1" t="s">
        <v>17</v>
      </c>
      <c r="L761" s="1" t="s">
        <v>17</v>
      </c>
      <c r="M761" s="1" t="s">
        <v>17</v>
      </c>
      <c r="N761" s="27" t="s">
        <v>605</v>
      </c>
      <c r="O761" s="1" t="s">
        <v>16</v>
      </c>
    </row>
    <row r="762" spans="1:15" x14ac:dyDescent="0.2">
      <c r="A762" s="9">
        <v>43837</v>
      </c>
      <c r="B762" s="1" t="s">
        <v>22</v>
      </c>
      <c r="C762" s="1">
        <v>8</v>
      </c>
      <c r="D762" s="1">
        <v>2</v>
      </c>
      <c r="E762" s="5">
        <v>50.7</v>
      </c>
      <c r="F762" s="1" t="s">
        <v>18</v>
      </c>
      <c r="G762" s="1">
        <v>1</v>
      </c>
      <c r="H762" s="1" t="s">
        <v>16</v>
      </c>
      <c r="I762" s="1" t="s">
        <v>16</v>
      </c>
      <c r="J762" s="1" t="s">
        <v>16</v>
      </c>
      <c r="K762" s="1" t="s">
        <v>17</v>
      </c>
      <c r="L762" s="1" t="s">
        <v>17</v>
      </c>
      <c r="M762" s="1" t="s">
        <v>17</v>
      </c>
      <c r="N762" s="27" t="s">
        <v>605</v>
      </c>
      <c r="O762" s="1" t="s">
        <v>16</v>
      </c>
    </row>
    <row r="763" spans="1:15" x14ac:dyDescent="0.2">
      <c r="A763" s="9">
        <v>43837</v>
      </c>
      <c r="B763" s="1" t="s">
        <v>22</v>
      </c>
      <c r="C763" s="1">
        <v>9</v>
      </c>
      <c r="D763" s="1">
        <v>2</v>
      </c>
      <c r="E763" s="5">
        <v>53.52</v>
      </c>
      <c r="F763" s="1" t="s">
        <v>16</v>
      </c>
      <c r="G763" s="1">
        <v>4</v>
      </c>
      <c r="H763" s="1" t="s">
        <v>16</v>
      </c>
      <c r="I763" s="1" t="s">
        <v>16</v>
      </c>
      <c r="J763" s="1" t="s">
        <v>16</v>
      </c>
      <c r="K763" s="1" t="s">
        <v>17</v>
      </c>
      <c r="L763" s="1" t="s">
        <v>17</v>
      </c>
      <c r="M763" s="1" t="s">
        <v>17</v>
      </c>
      <c r="N763" s="27" t="s">
        <v>605</v>
      </c>
      <c r="O763" s="1" t="s">
        <v>16</v>
      </c>
    </row>
    <row r="764" spans="1:15" x14ac:dyDescent="0.2">
      <c r="A764" s="9">
        <v>43837</v>
      </c>
      <c r="B764" s="1" t="s">
        <v>22</v>
      </c>
      <c r="C764" s="1">
        <v>10</v>
      </c>
      <c r="D764" s="1">
        <v>2</v>
      </c>
      <c r="E764" s="5">
        <v>60.16</v>
      </c>
      <c r="F764" s="1" t="s">
        <v>16</v>
      </c>
      <c r="G764" s="1">
        <v>4</v>
      </c>
      <c r="H764" s="1" t="s">
        <v>16</v>
      </c>
      <c r="I764" s="1" t="s">
        <v>16</v>
      </c>
      <c r="J764" s="1" t="s">
        <v>16</v>
      </c>
      <c r="K764" s="1" t="s">
        <v>21</v>
      </c>
      <c r="L764" s="1" t="s">
        <v>17</v>
      </c>
      <c r="M764" s="1" t="s">
        <v>17</v>
      </c>
      <c r="N764" s="27" t="s">
        <v>605</v>
      </c>
      <c r="O764" s="1" t="s">
        <v>16</v>
      </c>
    </row>
    <row r="765" spans="1:15" x14ac:dyDescent="0.2">
      <c r="A765" s="9">
        <v>43837</v>
      </c>
      <c r="B765" s="1" t="s">
        <v>22</v>
      </c>
      <c r="C765" s="1">
        <v>11</v>
      </c>
      <c r="D765" s="1">
        <v>3</v>
      </c>
      <c r="E765" s="5">
        <v>54.71</v>
      </c>
      <c r="F765" s="1" t="s">
        <v>18</v>
      </c>
      <c r="G765" s="1">
        <v>1</v>
      </c>
      <c r="H765" s="1" t="s">
        <v>16</v>
      </c>
      <c r="I765" s="1" t="s">
        <v>16</v>
      </c>
      <c r="J765" s="1" t="s">
        <v>16</v>
      </c>
      <c r="K765" s="1" t="s">
        <v>17</v>
      </c>
      <c r="L765" s="1" t="s">
        <v>17</v>
      </c>
      <c r="M765" s="1" t="s">
        <v>17</v>
      </c>
      <c r="N765" s="27" t="s">
        <v>605</v>
      </c>
      <c r="O765" s="1" t="s">
        <v>16</v>
      </c>
    </row>
    <row r="766" spans="1:15" x14ac:dyDescent="0.2">
      <c r="A766" s="9">
        <v>43837</v>
      </c>
      <c r="B766" s="1" t="s">
        <v>22</v>
      </c>
      <c r="C766" s="1">
        <v>12</v>
      </c>
      <c r="D766" s="1">
        <v>3</v>
      </c>
      <c r="E766" s="5">
        <v>66.62</v>
      </c>
      <c r="F766" s="1" t="s">
        <v>16</v>
      </c>
      <c r="G766" s="1">
        <v>4</v>
      </c>
      <c r="H766" s="1" t="s">
        <v>16</v>
      </c>
      <c r="I766" s="1" t="s">
        <v>16</v>
      </c>
      <c r="J766" s="1" t="s">
        <v>16</v>
      </c>
      <c r="K766" s="1" t="s">
        <v>21</v>
      </c>
      <c r="L766" s="1" t="s">
        <v>17</v>
      </c>
      <c r="M766" s="1" t="s">
        <v>17</v>
      </c>
      <c r="N766" s="27" t="s">
        <v>605</v>
      </c>
      <c r="O766" s="1" t="s">
        <v>16</v>
      </c>
    </row>
    <row r="767" spans="1:15" x14ac:dyDescent="0.2">
      <c r="A767" s="9">
        <v>43837</v>
      </c>
      <c r="B767" s="1" t="s">
        <v>22</v>
      </c>
      <c r="C767" s="1">
        <v>13</v>
      </c>
      <c r="D767" s="1">
        <v>3</v>
      </c>
      <c r="E767" s="5">
        <v>49.83</v>
      </c>
      <c r="F767" s="1" t="s">
        <v>18</v>
      </c>
      <c r="G767" s="1">
        <v>3</v>
      </c>
      <c r="H767" s="1" t="s">
        <v>16</v>
      </c>
      <c r="I767" s="1" t="s">
        <v>16</v>
      </c>
      <c r="J767" s="1" t="s">
        <v>16</v>
      </c>
      <c r="K767" s="1" t="s">
        <v>17</v>
      </c>
      <c r="L767" s="1" t="s">
        <v>17</v>
      </c>
      <c r="M767" s="1" t="s">
        <v>17</v>
      </c>
      <c r="N767" s="27" t="s">
        <v>605</v>
      </c>
      <c r="O767" s="1" t="s">
        <v>16</v>
      </c>
    </row>
    <row r="768" spans="1:15" x14ac:dyDescent="0.2">
      <c r="A768" s="9">
        <v>43837</v>
      </c>
      <c r="B768" s="1" t="s">
        <v>22</v>
      </c>
      <c r="C768" s="1">
        <v>14</v>
      </c>
      <c r="D768" s="1">
        <v>3</v>
      </c>
      <c r="E768" s="5">
        <v>58.29</v>
      </c>
      <c r="F768" s="1" t="s">
        <v>18</v>
      </c>
      <c r="G768" s="1">
        <v>1</v>
      </c>
      <c r="H768" s="1" t="s">
        <v>16</v>
      </c>
      <c r="I768" s="1" t="s">
        <v>16</v>
      </c>
      <c r="J768" s="1" t="s">
        <v>16</v>
      </c>
      <c r="K768" s="1" t="s">
        <v>17</v>
      </c>
      <c r="L768" s="1" t="s">
        <v>17</v>
      </c>
      <c r="M768" s="1" t="s">
        <v>17</v>
      </c>
      <c r="N768" s="27" t="s">
        <v>605</v>
      </c>
      <c r="O768" s="1" t="s">
        <v>16</v>
      </c>
    </row>
    <row r="769" spans="1:15" x14ac:dyDescent="0.2">
      <c r="A769" s="9">
        <v>43837</v>
      </c>
      <c r="B769" s="1" t="s">
        <v>22</v>
      </c>
      <c r="C769" s="1">
        <v>15</v>
      </c>
      <c r="D769" s="1">
        <v>3</v>
      </c>
      <c r="E769" s="5">
        <v>45.26</v>
      </c>
      <c r="F769" s="1" t="s">
        <v>16</v>
      </c>
      <c r="G769" s="1">
        <v>4</v>
      </c>
      <c r="H769" s="1" t="s">
        <v>16</v>
      </c>
      <c r="I769" s="1" t="s">
        <v>16</v>
      </c>
      <c r="J769" s="1" t="s">
        <v>16</v>
      </c>
      <c r="K769" s="1" t="s">
        <v>17</v>
      </c>
      <c r="L769" s="1" t="s">
        <v>17</v>
      </c>
      <c r="M769" s="1" t="s">
        <v>17</v>
      </c>
      <c r="N769" s="27" t="s">
        <v>605</v>
      </c>
      <c r="O769" s="1" t="s">
        <v>16</v>
      </c>
    </row>
    <row r="770" spans="1:15" x14ac:dyDescent="0.2">
      <c r="A770" s="9">
        <v>43865</v>
      </c>
      <c r="B770" s="1" t="s">
        <v>22</v>
      </c>
      <c r="C770" s="1">
        <v>1</v>
      </c>
      <c r="D770" s="1">
        <v>1</v>
      </c>
      <c r="E770" s="5">
        <v>76.83</v>
      </c>
      <c r="F770" s="1" t="s">
        <v>18</v>
      </c>
      <c r="G770" s="1">
        <v>2</v>
      </c>
      <c r="H770" s="1" t="s">
        <v>16</v>
      </c>
      <c r="I770" s="1" t="s">
        <v>16</v>
      </c>
      <c r="J770" s="1" t="s">
        <v>16</v>
      </c>
      <c r="K770" s="1" t="s">
        <v>17</v>
      </c>
      <c r="L770" s="1" t="s">
        <v>17</v>
      </c>
      <c r="M770" s="1" t="s">
        <v>17</v>
      </c>
      <c r="N770" s="27" t="s">
        <v>605</v>
      </c>
      <c r="O770" s="1" t="s">
        <v>16</v>
      </c>
    </row>
    <row r="771" spans="1:15" x14ac:dyDescent="0.2">
      <c r="A771" s="9">
        <v>43865</v>
      </c>
      <c r="B771" s="1" t="s">
        <v>22</v>
      </c>
      <c r="C771" s="1">
        <v>2</v>
      </c>
      <c r="D771" s="1">
        <v>1</v>
      </c>
      <c r="E771" s="5">
        <v>64.180000000000007</v>
      </c>
      <c r="F771" s="1" t="s">
        <v>18</v>
      </c>
      <c r="G771" s="1">
        <v>1</v>
      </c>
      <c r="H771" s="1" t="s">
        <v>16</v>
      </c>
      <c r="I771" s="1" t="s">
        <v>16</v>
      </c>
      <c r="J771" s="1" t="s">
        <v>16</v>
      </c>
      <c r="K771" s="1" t="s">
        <v>17</v>
      </c>
      <c r="L771" s="1" t="s">
        <v>17</v>
      </c>
      <c r="M771" s="1" t="s">
        <v>17</v>
      </c>
      <c r="N771" s="27" t="s">
        <v>605</v>
      </c>
      <c r="O771" s="1" t="s">
        <v>16</v>
      </c>
    </row>
    <row r="772" spans="1:15" x14ac:dyDescent="0.2">
      <c r="A772" s="9">
        <v>43865</v>
      </c>
      <c r="B772" s="1" t="s">
        <v>22</v>
      </c>
      <c r="C772" s="1">
        <v>3</v>
      </c>
      <c r="D772" s="1">
        <v>1</v>
      </c>
      <c r="E772" s="5">
        <v>59.13</v>
      </c>
      <c r="F772" s="1" t="s">
        <v>18</v>
      </c>
      <c r="G772" s="1">
        <v>1</v>
      </c>
      <c r="H772" s="1" t="s">
        <v>16</v>
      </c>
      <c r="I772" s="1" t="s">
        <v>16</v>
      </c>
      <c r="J772" s="1" t="s">
        <v>16</v>
      </c>
      <c r="K772" s="1" t="s">
        <v>21</v>
      </c>
      <c r="L772" s="1" t="s">
        <v>17</v>
      </c>
      <c r="M772" s="1" t="s">
        <v>17</v>
      </c>
      <c r="N772" s="27" t="s">
        <v>605</v>
      </c>
      <c r="O772" s="1" t="s">
        <v>16</v>
      </c>
    </row>
    <row r="773" spans="1:15" x14ac:dyDescent="0.2">
      <c r="A773" s="9">
        <v>43865</v>
      </c>
      <c r="B773" s="1" t="s">
        <v>22</v>
      </c>
      <c r="C773" s="1">
        <v>4</v>
      </c>
      <c r="D773" s="1">
        <v>1</v>
      </c>
      <c r="E773" s="5">
        <v>54.33</v>
      </c>
      <c r="F773" s="1" t="s">
        <v>16</v>
      </c>
      <c r="G773" s="1">
        <v>4</v>
      </c>
      <c r="H773" s="1" t="s">
        <v>16</v>
      </c>
      <c r="I773" s="1" t="s">
        <v>16</v>
      </c>
      <c r="J773" s="1" t="s">
        <v>16</v>
      </c>
      <c r="K773" s="1" t="s">
        <v>21</v>
      </c>
      <c r="L773" s="1" t="s">
        <v>17</v>
      </c>
      <c r="M773" s="1" t="s">
        <v>17</v>
      </c>
      <c r="N773" s="27" t="s">
        <v>605</v>
      </c>
      <c r="O773" s="1" t="s">
        <v>16</v>
      </c>
    </row>
    <row r="774" spans="1:15" x14ac:dyDescent="0.2">
      <c r="A774" s="9">
        <v>43865</v>
      </c>
      <c r="B774" s="1" t="s">
        <v>22</v>
      </c>
      <c r="C774" s="1">
        <v>5</v>
      </c>
      <c r="D774" s="1">
        <v>1</v>
      </c>
      <c r="E774" s="5">
        <v>69.23</v>
      </c>
      <c r="F774" s="1" t="s">
        <v>19</v>
      </c>
      <c r="G774" s="1">
        <v>3</v>
      </c>
      <c r="H774" s="1" t="s">
        <v>16</v>
      </c>
      <c r="I774" s="1" t="s">
        <v>16</v>
      </c>
      <c r="J774" s="1" t="s">
        <v>16</v>
      </c>
      <c r="K774" s="1" t="s">
        <v>17</v>
      </c>
      <c r="L774" s="1" t="s">
        <v>17</v>
      </c>
      <c r="M774" s="1" t="s">
        <v>17</v>
      </c>
      <c r="N774" s="27" t="s">
        <v>605</v>
      </c>
      <c r="O774" s="1" t="s">
        <v>16</v>
      </c>
    </row>
    <row r="775" spans="1:15" x14ac:dyDescent="0.2">
      <c r="A775" s="9">
        <v>43865</v>
      </c>
      <c r="B775" s="1" t="s">
        <v>22</v>
      </c>
      <c r="C775" s="1">
        <v>6</v>
      </c>
      <c r="D775" s="1">
        <v>2</v>
      </c>
      <c r="E775" s="5">
        <v>69.47</v>
      </c>
      <c r="F775" s="1" t="s">
        <v>18</v>
      </c>
      <c r="G775" s="1">
        <v>2</v>
      </c>
      <c r="H775" s="1" t="s">
        <v>16</v>
      </c>
      <c r="I775" s="1" t="s">
        <v>16</v>
      </c>
      <c r="J775" s="1" t="s">
        <v>16</v>
      </c>
      <c r="K775" s="1" t="s">
        <v>17</v>
      </c>
      <c r="L775" s="1" t="s">
        <v>17</v>
      </c>
      <c r="M775" s="1" t="s">
        <v>17</v>
      </c>
      <c r="N775" s="27" t="s">
        <v>605</v>
      </c>
      <c r="O775" s="1" t="s">
        <v>16</v>
      </c>
    </row>
    <row r="776" spans="1:15" x14ac:dyDescent="0.2">
      <c r="A776" s="9">
        <v>43865</v>
      </c>
      <c r="B776" s="1" t="s">
        <v>22</v>
      </c>
      <c r="C776" s="1">
        <v>7</v>
      </c>
      <c r="D776" s="1">
        <v>2</v>
      </c>
      <c r="E776" s="5">
        <v>63.5</v>
      </c>
      <c r="F776" s="1" t="s">
        <v>19</v>
      </c>
      <c r="G776" s="1">
        <v>3</v>
      </c>
      <c r="H776" s="1" t="s">
        <v>16</v>
      </c>
      <c r="I776" s="1" t="s">
        <v>16</v>
      </c>
      <c r="J776" s="1" t="s">
        <v>16</v>
      </c>
      <c r="K776" s="1" t="s">
        <v>17</v>
      </c>
      <c r="L776" s="1" t="s">
        <v>17</v>
      </c>
      <c r="M776" s="1" t="s">
        <v>17</v>
      </c>
      <c r="N776" s="27" t="s">
        <v>605</v>
      </c>
      <c r="O776" s="1" t="s">
        <v>16</v>
      </c>
    </row>
    <row r="777" spans="1:15" x14ac:dyDescent="0.2">
      <c r="A777" s="9">
        <v>43865</v>
      </c>
      <c r="B777" s="1" t="s">
        <v>22</v>
      </c>
      <c r="C777" s="1">
        <v>8</v>
      </c>
      <c r="D777" s="1">
        <v>2</v>
      </c>
      <c r="E777" s="5">
        <v>60.91</v>
      </c>
      <c r="F777" s="1" t="s">
        <v>18</v>
      </c>
      <c r="G777" s="1">
        <v>1</v>
      </c>
      <c r="H777" s="1" t="s">
        <v>16</v>
      </c>
      <c r="I777" s="1" t="s">
        <v>16</v>
      </c>
      <c r="J777" s="1" t="s">
        <v>16</v>
      </c>
      <c r="K777" s="1" t="s">
        <v>17</v>
      </c>
      <c r="L777" s="1" t="s">
        <v>17</v>
      </c>
      <c r="M777" s="1" t="s">
        <v>17</v>
      </c>
      <c r="N777" s="27" t="s">
        <v>605</v>
      </c>
      <c r="O777" s="1" t="s">
        <v>16</v>
      </c>
    </row>
    <row r="778" spans="1:15" x14ac:dyDescent="0.2">
      <c r="A778" s="9">
        <v>43865</v>
      </c>
      <c r="B778" s="1" t="s">
        <v>22</v>
      </c>
      <c r="C778" s="1">
        <v>9</v>
      </c>
      <c r="D778" s="1">
        <v>2</v>
      </c>
      <c r="E778" s="5">
        <v>76.72</v>
      </c>
      <c r="F778" s="1" t="s">
        <v>18</v>
      </c>
      <c r="G778" s="1">
        <v>2</v>
      </c>
      <c r="H778" s="1" t="s">
        <v>16</v>
      </c>
      <c r="I778" s="1" t="s">
        <v>16</v>
      </c>
      <c r="J778" s="1" t="s">
        <v>16</v>
      </c>
      <c r="K778" s="1" t="s">
        <v>17</v>
      </c>
      <c r="L778" s="1" t="s">
        <v>17</v>
      </c>
      <c r="M778" s="1" t="s">
        <v>17</v>
      </c>
      <c r="N778" s="27" t="s">
        <v>605</v>
      </c>
      <c r="O778" s="1" t="s">
        <v>16</v>
      </c>
    </row>
    <row r="779" spans="1:15" x14ac:dyDescent="0.2">
      <c r="A779" s="9">
        <v>43865</v>
      </c>
      <c r="B779" s="1" t="s">
        <v>22</v>
      </c>
      <c r="C779" s="1">
        <v>10</v>
      </c>
      <c r="D779" s="1">
        <v>2</v>
      </c>
      <c r="E779" s="5">
        <v>81.99</v>
      </c>
      <c r="F779" s="1" t="s">
        <v>16</v>
      </c>
      <c r="G779" s="1">
        <v>4</v>
      </c>
      <c r="H779" s="1" t="s">
        <v>16</v>
      </c>
      <c r="I779" s="1" t="s">
        <v>16</v>
      </c>
      <c r="J779" s="1" t="s">
        <v>16</v>
      </c>
      <c r="K779" s="1" t="s">
        <v>17</v>
      </c>
      <c r="L779" s="1" t="s">
        <v>17</v>
      </c>
      <c r="M779" s="1" t="s">
        <v>17</v>
      </c>
      <c r="N779" s="27" t="s">
        <v>605</v>
      </c>
      <c r="O779" s="1" t="s">
        <v>16</v>
      </c>
    </row>
    <row r="780" spans="1:15" x14ac:dyDescent="0.2">
      <c r="A780" s="9">
        <v>43865</v>
      </c>
      <c r="B780" s="1" t="s">
        <v>22</v>
      </c>
      <c r="C780" s="1">
        <v>11</v>
      </c>
      <c r="D780" s="1">
        <v>3</v>
      </c>
      <c r="E780" s="5">
        <v>52.82</v>
      </c>
      <c r="F780" s="1" t="s">
        <v>16</v>
      </c>
      <c r="G780" s="1">
        <v>4</v>
      </c>
      <c r="H780" s="1" t="s">
        <v>16</v>
      </c>
      <c r="I780" s="1" t="s">
        <v>16</v>
      </c>
      <c r="J780" s="1" t="s">
        <v>16</v>
      </c>
      <c r="K780" s="1" t="s">
        <v>17</v>
      </c>
      <c r="L780" s="1" t="s">
        <v>17</v>
      </c>
      <c r="M780" s="1" t="s">
        <v>17</v>
      </c>
      <c r="N780" s="27" t="s">
        <v>605</v>
      </c>
      <c r="O780" s="1" t="s">
        <v>16</v>
      </c>
    </row>
    <row r="781" spans="1:15" x14ac:dyDescent="0.2">
      <c r="A781" s="9">
        <v>43865</v>
      </c>
      <c r="B781" s="1" t="s">
        <v>22</v>
      </c>
      <c r="C781" s="1">
        <v>12</v>
      </c>
      <c r="D781" s="1">
        <v>3</v>
      </c>
      <c r="E781" s="5">
        <v>50.4</v>
      </c>
      <c r="F781" s="1" t="s">
        <v>18</v>
      </c>
      <c r="G781" s="1">
        <v>1</v>
      </c>
      <c r="H781" s="1" t="s">
        <v>16</v>
      </c>
      <c r="I781" s="1" t="s">
        <v>16</v>
      </c>
      <c r="J781" s="1" t="s">
        <v>16</v>
      </c>
      <c r="K781" s="1" t="s">
        <v>21</v>
      </c>
      <c r="L781" s="1" t="s">
        <v>17</v>
      </c>
      <c r="M781" s="1" t="s">
        <v>17</v>
      </c>
      <c r="N781" s="27" t="s">
        <v>605</v>
      </c>
      <c r="O781" s="1" t="s">
        <v>16</v>
      </c>
    </row>
    <row r="782" spans="1:15" x14ac:dyDescent="0.2">
      <c r="A782" s="9">
        <v>43865</v>
      </c>
      <c r="B782" s="1" t="s">
        <v>22</v>
      </c>
      <c r="C782" s="1">
        <v>13</v>
      </c>
      <c r="D782" s="1">
        <v>3</v>
      </c>
      <c r="E782" s="5">
        <v>50.5</v>
      </c>
      <c r="F782" s="1" t="s">
        <v>18</v>
      </c>
      <c r="G782" s="1">
        <v>1</v>
      </c>
      <c r="H782" s="1" t="s">
        <v>16</v>
      </c>
      <c r="I782" s="1" t="s">
        <v>16</v>
      </c>
      <c r="J782" s="1" t="s">
        <v>16</v>
      </c>
      <c r="K782" s="1" t="s">
        <v>17</v>
      </c>
      <c r="L782" s="1" t="s">
        <v>17</v>
      </c>
      <c r="M782" s="1" t="s">
        <v>17</v>
      </c>
      <c r="N782" s="27" t="s">
        <v>605</v>
      </c>
      <c r="O782" s="1" t="s">
        <v>16</v>
      </c>
    </row>
    <row r="783" spans="1:15" x14ac:dyDescent="0.2">
      <c r="A783" s="9">
        <v>43865</v>
      </c>
      <c r="B783" s="1" t="s">
        <v>22</v>
      </c>
      <c r="C783" s="1">
        <v>14</v>
      </c>
      <c r="D783" s="1">
        <v>3</v>
      </c>
      <c r="E783" s="5">
        <v>71.58</v>
      </c>
      <c r="F783" s="1" t="s">
        <v>16</v>
      </c>
      <c r="G783" s="1">
        <v>4</v>
      </c>
      <c r="H783" s="1" t="s">
        <v>16</v>
      </c>
      <c r="I783" s="1" t="s">
        <v>16</v>
      </c>
      <c r="J783" s="1" t="s">
        <v>16</v>
      </c>
      <c r="K783" s="1" t="s">
        <v>17</v>
      </c>
      <c r="L783" s="1" t="s">
        <v>17</v>
      </c>
      <c r="M783" s="1" t="s">
        <v>17</v>
      </c>
      <c r="N783" s="27" t="s">
        <v>605</v>
      </c>
      <c r="O783" s="1" t="s">
        <v>16</v>
      </c>
    </row>
    <row r="784" spans="1:15" x14ac:dyDescent="0.2">
      <c r="A784" s="9">
        <v>43865</v>
      </c>
      <c r="B784" s="1" t="s">
        <v>22</v>
      </c>
      <c r="C784" s="1">
        <v>15</v>
      </c>
      <c r="D784" s="1">
        <v>3</v>
      </c>
      <c r="E784" s="5">
        <v>37.869999999999997</v>
      </c>
      <c r="F784" s="1" t="s">
        <v>16</v>
      </c>
      <c r="G784" s="1">
        <v>4</v>
      </c>
      <c r="H784" s="1" t="s">
        <v>16</v>
      </c>
      <c r="I784" s="1" t="s">
        <v>16</v>
      </c>
      <c r="J784" s="1" t="s">
        <v>16</v>
      </c>
      <c r="K784" s="1" t="s">
        <v>17</v>
      </c>
      <c r="L784" s="1" t="s">
        <v>17</v>
      </c>
      <c r="M784" s="1" t="s">
        <v>17</v>
      </c>
      <c r="N784" s="27" t="s">
        <v>605</v>
      </c>
      <c r="O784" s="1" t="s">
        <v>16</v>
      </c>
    </row>
    <row r="785" spans="1:15" x14ac:dyDescent="0.2">
      <c r="A785" s="9">
        <v>43893</v>
      </c>
      <c r="B785" s="1" t="s">
        <v>22</v>
      </c>
      <c r="C785" s="1">
        <v>1</v>
      </c>
      <c r="D785" s="1">
        <v>1</v>
      </c>
      <c r="E785" s="5">
        <v>67.13</v>
      </c>
      <c r="F785" s="1" t="s">
        <v>18</v>
      </c>
      <c r="G785" s="1">
        <v>2</v>
      </c>
      <c r="H785" s="1" t="s">
        <v>16</v>
      </c>
      <c r="I785" s="1" t="s">
        <v>16</v>
      </c>
      <c r="J785" s="1" t="s">
        <v>16</v>
      </c>
      <c r="K785" s="1" t="s">
        <v>17</v>
      </c>
      <c r="L785" s="1" t="s">
        <v>17</v>
      </c>
      <c r="M785" s="1" t="s">
        <v>17</v>
      </c>
      <c r="N785" s="27" t="s">
        <v>605</v>
      </c>
      <c r="O785" s="1" t="s">
        <v>16</v>
      </c>
    </row>
    <row r="786" spans="1:15" x14ac:dyDescent="0.2">
      <c r="A786" s="9">
        <v>43893</v>
      </c>
      <c r="B786" s="1" t="s">
        <v>22</v>
      </c>
      <c r="C786" s="1">
        <v>2</v>
      </c>
      <c r="D786" s="1">
        <v>1</v>
      </c>
      <c r="E786" s="5">
        <v>48.42</v>
      </c>
      <c r="F786" s="1" t="s">
        <v>18</v>
      </c>
      <c r="G786" s="1">
        <v>1</v>
      </c>
      <c r="H786" s="1" t="s">
        <v>16</v>
      </c>
      <c r="I786" s="1" t="s">
        <v>16</v>
      </c>
      <c r="J786" s="1" t="s">
        <v>16</v>
      </c>
      <c r="K786" s="1" t="s">
        <v>17</v>
      </c>
      <c r="L786" s="1" t="s">
        <v>17</v>
      </c>
      <c r="M786" s="1" t="s">
        <v>17</v>
      </c>
      <c r="N786" s="27" t="s">
        <v>605</v>
      </c>
      <c r="O786" s="1" t="s">
        <v>16</v>
      </c>
    </row>
    <row r="787" spans="1:15" x14ac:dyDescent="0.2">
      <c r="A787" s="9">
        <v>43893</v>
      </c>
      <c r="B787" s="1" t="s">
        <v>22</v>
      </c>
      <c r="C787" s="1">
        <v>3</v>
      </c>
      <c r="D787" s="1">
        <v>1</v>
      </c>
      <c r="E787" s="5">
        <v>59.74</v>
      </c>
      <c r="F787" s="1" t="s">
        <v>18</v>
      </c>
      <c r="G787" s="1">
        <v>2</v>
      </c>
      <c r="H787" s="1" t="s">
        <v>16</v>
      </c>
      <c r="I787" s="1" t="s">
        <v>16</v>
      </c>
      <c r="J787" s="1" t="s">
        <v>16</v>
      </c>
      <c r="K787" s="1" t="s">
        <v>17</v>
      </c>
      <c r="L787" s="1" t="s">
        <v>17</v>
      </c>
      <c r="M787" s="1" t="s">
        <v>17</v>
      </c>
      <c r="N787" s="27" t="s">
        <v>605</v>
      </c>
      <c r="O787" s="1" t="s">
        <v>16</v>
      </c>
    </row>
    <row r="788" spans="1:15" x14ac:dyDescent="0.2">
      <c r="A788" s="9">
        <v>43893</v>
      </c>
      <c r="B788" s="1" t="s">
        <v>22</v>
      </c>
      <c r="C788" s="1">
        <v>4</v>
      </c>
      <c r="D788" s="1">
        <v>1</v>
      </c>
      <c r="E788" s="5">
        <v>42.56</v>
      </c>
      <c r="F788" s="1" t="s">
        <v>19</v>
      </c>
      <c r="G788" s="1">
        <v>2</v>
      </c>
      <c r="H788" s="1" t="s">
        <v>16</v>
      </c>
      <c r="I788" s="1" t="s">
        <v>16</v>
      </c>
      <c r="J788" s="1" t="s">
        <v>16</v>
      </c>
      <c r="K788" s="1" t="s">
        <v>17</v>
      </c>
      <c r="L788" s="1" t="s">
        <v>17</v>
      </c>
      <c r="M788" s="1" t="s">
        <v>17</v>
      </c>
      <c r="N788" s="27" t="s">
        <v>605</v>
      </c>
      <c r="O788" s="1" t="s">
        <v>16</v>
      </c>
    </row>
    <row r="789" spans="1:15" x14ac:dyDescent="0.2">
      <c r="A789" s="9">
        <v>43893</v>
      </c>
      <c r="B789" s="1" t="s">
        <v>22</v>
      </c>
      <c r="C789" s="1">
        <v>5</v>
      </c>
      <c r="D789" s="1">
        <v>1</v>
      </c>
      <c r="E789" s="5">
        <v>55.74</v>
      </c>
      <c r="F789" s="1" t="s">
        <v>18</v>
      </c>
      <c r="G789" s="1">
        <v>2</v>
      </c>
      <c r="H789" s="1" t="s">
        <v>16</v>
      </c>
      <c r="I789" s="1" t="s">
        <v>16</v>
      </c>
      <c r="J789" s="1" t="s">
        <v>16</v>
      </c>
      <c r="K789" s="1" t="s">
        <v>17</v>
      </c>
      <c r="L789" s="1" t="s">
        <v>17</v>
      </c>
      <c r="M789" s="1" t="s">
        <v>17</v>
      </c>
      <c r="N789" s="27" t="s">
        <v>605</v>
      </c>
      <c r="O789" s="1" t="s">
        <v>16</v>
      </c>
    </row>
    <row r="790" spans="1:15" x14ac:dyDescent="0.2">
      <c r="A790" s="9">
        <v>43893</v>
      </c>
      <c r="B790" s="1" t="s">
        <v>22</v>
      </c>
      <c r="C790" s="1">
        <v>6</v>
      </c>
      <c r="D790" s="1">
        <v>2</v>
      </c>
      <c r="E790" s="5">
        <v>48.7</v>
      </c>
      <c r="F790" s="1" t="s">
        <v>18</v>
      </c>
      <c r="G790" s="1" t="s">
        <v>16</v>
      </c>
      <c r="H790" s="1" t="s">
        <v>16</v>
      </c>
      <c r="I790" s="1" t="s">
        <v>16</v>
      </c>
      <c r="J790" s="1" t="s">
        <v>16</v>
      </c>
      <c r="K790" s="1" t="s">
        <v>23</v>
      </c>
      <c r="L790" s="1" t="s">
        <v>17</v>
      </c>
      <c r="M790" s="1" t="s">
        <v>17</v>
      </c>
      <c r="N790" s="27" t="s">
        <v>605</v>
      </c>
      <c r="O790" s="1" t="s">
        <v>16</v>
      </c>
    </row>
    <row r="791" spans="1:15" x14ac:dyDescent="0.2">
      <c r="A791" s="9">
        <v>43893</v>
      </c>
      <c r="B791" s="1" t="s">
        <v>22</v>
      </c>
      <c r="C791" s="1">
        <v>7</v>
      </c>
      <c r="D791" s="1">
        <v>2</v>
      </c>
      <c r="E791" s="5">
        <v>57.66</v>
      </c>
      <c r="F791" s="1" t="s">
        <v>16</v>
      </c>
      <c r="G791" s="1">
        <v>4</v>
      </c>
      <c r="H791" s="1" t="s">
        <v>16</v>
      </c>
      <c r="I791" s="1" t="s">
        <v>16</v>
      </c>
      <c r="J791" s="1" t="s">
        <v>16</v>
      </c>
      <c r="K791" s="1" t="s">
        <v>17</v>
      </c>
      <c r="L791" s="1" t="s">
        <v>17</v>
      </c>
      <c r="M791" s="1" t="s">
        <v>17</v>
      </c>
      <c r="N791" s="27" t="s">
        <v>605</v>
      </c>
      <c r="O791" s="1" t="s">
        <v>16</v>
      </c>
    </row>
    <row r="792" spans="1:15" x14ac:dyDescent="0.2">
      <c r="A792" s="9">
        <v>43893</v>
      </c>
      <c r="B792" s="1" t="s">
        <v>22</v>
      </c>
      <c r="C792" s="1">
        <v>8</v>
      </c>
      <c r="D792" s="1">
        <v>2</v>
      </c>
      <c r="E792" s="5">
        <v>52.97</v>
      </c>
      <c r="F792" s="1" t="s">
        <v>18</v>
      </c>
      <c r="G792" s="1">
        <v>2</v>
      </c>
      <c r="H792" s="1" t="s">
        <v>16</v>
      </c>
      <c r="I792" s="1" t="s">
        <v>16</v>
      </c>
      <c r="J792" s="1" t="s">
        <v>16</v>
      </c>
      <c r="K792" s="1" t="s">
        <v>17</v>
      </c>
      <c r="L792" s="1" t="s">
        <v>17</v>
      </c>
      <c r="M792" s="1" t="s">
        <v>17</v>
      </c>
      <c r="N792" s="27" t="s">
        <v>605</v>
      </c>
      <c r="O792" s="1" t="s">
        <v>16</v>
      </c>
    </row>
    <row r="793" spans="1:15" x14ac:dyDescent="0.2">
      <c r="A793" s="9">
        <v>43893</v>
      </c>
      <c r="B793" s="1" t="s">
        <v>22</v>
      </c>
      <c r="C793" s="1">
        <v>9</v>
      </c>
      <c r="D793" s="1">
        <v>2</v>
      </c>
      <c r="E793" s="5">
        <v>48.09</v>
      </c>
      <c r="F793" s="1" t="s">
        <v>19</v>
      </c>
      <c r="G793" s="1">
        <v>2</v>
      </c>
      <c r="H793" s="1" t="s">
        <v>16</v>
      </c>
      <c r="I793" s="1" t="s">
        <v>16</v>
      </c>
      <c r="J793" s="1" t="s">
        <v>16</v>
      </c>
      <c r="K793" s="1" t="s">
        <v>17</v>
      </c>
      <c r="L793" s="1" t="s">
        <v>17</v>
      </c>
      <c r="M793" s="1" t="s">
        <v>17</v>
      </c>
      <c r="N793" s="27" t="s">
        <v>605</v>
      </c>
      <c r="O793" s="1" t="s">
        <v>16</v>
      </c>
    </row>
    <row r="794" spans="1:15" x14ac:dyDescent="0.2">
      <c r="A794" s="9">
        <v>43893</v>
      </c>
      <c r="B794" s="1" t="s">
        <v>22</v>
      </c>
      <c r="C794" s="1">
        <v>10</v>
      </c>
      <c r="D794" s="1">
        <v>2</v>
      </c>
      <c r="E794" s="5">
        <v>58.1</v>
      </c>
      <c r="F794" s="1" t="s">
        <v>18</v>
      </c>
      <c r="G794" s="1">
        <v>1</v>
      </c>
      <c r="H794" s="1" t="s">
        <v>16</v>
      </c>
      <c r="I794" s="1" t="s">
        <v>16</v>
      </c>
      <c r="J794" s="1" t="s">
        <v>16</v>
      </c>
      <c r="K794" s="1" t="s">
        <v>17</v>
      </c>
      <c r="L794" s="1" t="s">
        <v>17</v>
      </c>
      <c r="M794" s="1" t="s">
        <v>17</v>
      </c>
      <c r="N794" s="27" t="s">
        <v>605</v>
      </c>
      <c r="O794" s="1" t="s">
        <v>16</v>
      </c>
    </row>
    <row r="795" spans="1:15" x14ac:dyDescent="0.2">
      <c r="A795" s="9">
        <v>43893</v>
      </c>
      <c r="B795" s="1" t="s">
        <v>22</v>
      </c>
      <c r="C795" s="1">
        <v>11</v>
      </c>
      <c r="D795" s="1">
        <v>3</v>
      </c>
      <c r="E795" s="5">
        <v>58.52</v>
      </c>
      <c r="F795" s="1" t="s">
        <v>18</v>
      </c>
      <c r="G795" s="1">
        <v>1</v>
      </c>
      <c r="H795" s="1" t="s">
        <v>16</v>
      </c>
      <c r="I795" s="1" t="s">
        <v>16</v>
      </c>
      <c r="J795" s="1" t="s">
        <v>16</v>
      </c>
      <c r="K795" s="1" t="s">
        <v>17</v>
      </c>
      <c r="L795" s="1" t="s">
        <v>17</v>
      </c>
      <c r="M795" s="1" t="s">
        <v>17</v>
      </c>
      <c r="N795" s="27" t="s">
        <v>605</v>
      </c>
      <c r="O795" s="1" t="s">
        <v>16</v>
      </c>
    </row>
    <row r="796" spans="1:15" x14ac:dyDescent="0.2">
      <c r="A796" s="9">
        <v>43893</v>
      </c>
      <c r="B796" s="1" t="s">
        <v>22</v>
      </c>
      <c r="C796" s="1">
        <v>12</v>
      </c>
      <c r="D796" s="1">
        <v>3</v>
      </c>
      <c r="E796" s="5">
        <v>63.73</v>
      </c>
      <c r="F796" s="1" t="s">
        <v>18</v>
      </c>
      <c r="G796" s="1">
        <v>2</v>
      </c>
      <c r="H796" s="1" t="s">
        <v>16</v>
      </c>
      <c r="I796" s="1" t="s">
        <v>16</v>
      </c>
      <c r="J796" s="1" t="s">
        <v>16</v>
      </c>
      <c r="K796" s="1" t="s">
        <v>17</v>
      </c>
      <c r="L796" s="1" t="s">
        <v>17</v>
      </c>
      <c r="M796" s="1" t="s">
        <v>17</v>
      </c>
      <c r="N796" s="27" t="s">
        <v>605</v>
      </c>
      <c r="O796" s="1" t="s">
        <v>16</v>
      </c>
    </row>
    <row r="797" spans="1:15" x14ac:dyDescent="0.2">
      <c r="A797" s="9">
        <v>43893</v>
      </c>
      <c r="B797" s="1" t="s">
        <v>22</v>
      </c>
      <c r="C797" s="1">
        <v>13</v>
      </c>
      <c r="D797" s="1">
        <v>3</v>
      </c>
      <c r="E797" s="5">
        <v>71.69</v>
      </c>
      <c r="F797" s="1" t="s">
        <v>18</v>
      </c>
      <c r="G797" s="1">
        <v>2</v>
      </c>
      <c r="H797" s="1" t="s">
        <v>16</v>
      </c>
      <c r="I797" s="1" t="s">
        <v>16</v>
      </c>
      <c r="J797" s="1" t="s">
        <v>16</v>
      </c>
      <c r="K797" s="1" t="s">
        <v>17</v>
      </c>
      <c r="L797" s="1" t="s">
        <v>17</v>
      </c>
      <c r="M797" s="1" t="s">
        <v>17</v>
      </c>
      <c r="N797" s="27" t="s">
        <v>605</v>
      </c>
      <c r="O797" s="1" t="s">
        <v>16</v>
      </c>
    </row>
    <row r="798" spans="1:15" x14ac:dyDescent="0.2">
      <c r="A798" s="9">
        <v>43893</v>
      </c>
      <c r="B798" s="1" t="s">
        <v>22</v>
      </c>
      <c r="C798" s="1">
        <v>14</v>
      </c>
      <c r="D798" s="1">
        <v>3</v>
      </c>
      <c r="E798" s="5">
        <v>52.48</v>
      </c>
      <c r="F798" s="1" t="s">
        <v>19</v>
      </c>
      <c r="G798" s="1">
        <v>2</v>
      </c>
      <c r="H798" s="1" t="s">
        <v>16</v>
      </c>
      <c r="I798" s="1" t="s">
        <v>16</v>
      </c>
      <c r="J798" s="1" t="s">
        <v>16</v>
      </c>
      <c r="K798" s="1" t="s">
        <v>21</v>
      </c>
      <c r="L798" s="1" t="s">
        <v>17</v>
      </c>
      <c r="M798" s="1" t="s">
        <v>17</v>
      </c>
      <c r="N798" s="27" t="s">
        <v>605</v>
      </c>
      <c r="O798" s="1" t="s">
        <v>16</v>
      </c>
    </row>
    <row r="799" spans="1:15" x14ac:dyDescent="0.2">
      <c r="A799" s="9">
        <v>43893</v>
      </c>
      <c r="B799" s="1" t="s">
        <v>22</v>
      </c>
      <c r="C799" s="1">
        <v>15</v>
      </c>
      <c r="D799" s="1">
        <v>3</v>
      </c>
      <c r="E799" s="5">
        <v>80.290000000000006</v>
      </c>
      <c r="F799" s="1" t="s">
        <v>18</v>
      </c>
      <c r="G799" s="1">
        <v>2</v>
      </c>
      <c r="H799" s="1" t="s">
        <v>16</v>
      </c>
      <c r="I799" s="1" t="s">
        <v>16</v>
      </c>
      <c r="J799" s="1" t="s">
        <v>16</v>
      </c>
      <c r="K799" s="1" t="s">
        <v>17</v>
      </c>
      <c r="L799" s="1" t="s">
        <v>17</v>
      </c>
      <c r="M799" s="1" t="s">
        <v>17</v>
      </c>
      <c r="N799" s="27" t="s">
        <v>605</v>
      </c>
      <c r="O799" s="1" t="s">
        <v>16</v>
      </c>
    </row>
    <row r="800" spans="1:15" x14ac:dyDescent="0.2">
      <c r="A800" s="9">
        <v>43994</v>
      </c>
      <c r="B800" s="1" t="s">
        <v>22</v>
      </c>
      <c r="C800" s="1">
        <v>1</v>
      </c>
      <c r="D800" s="1">
        <v>1</v>
      </c>
      <c r="E800" s="5">
        <v>42.36</v>
      </c>
      <c r="F800" s="1" t="s">
        <v>18</v>
      </c>
      <c r="G800" s="1">
        <v>2</v>
      </c>
      <c r="H800" s="1" t="s">
        <v>16</v>
      </c>
      <c r="I800" s="1" t="s">
        <v>16</v>
      </c>
      <c r="J800" s="1" t="s">
        <v>16</v>
      </c>
      <c r="K800" s="1" t="s">
        <v>21</v>
      </c>
      <c r="L800" s="1" t="s">
        <v>17</v>
      </c>
      <c r="M800" s="1" t="s">
        <v>17</v>
      </c>
      <c r="N800" s="27" t="s">
        <v>605</v>
      </c>
      <c r="O800" s="1" t="s">
        <v>16</v>
      </c>
    </row>
    <row r="801" spans="1:15" x14ac:dyDescent="0.2">
      <c r="A801" s="9">
        <v>43994</v>
      </c>
      <c r="B801" s="1" t="s">
        <v>22</v>
      </c>
      <c r="C801" s="1">
        <v>2</v>
      </c>
      <c r="D801" s="1">
        <v>1</v>
      </c>
      <c r="E801" s="5">
        <v>55.14</v>
      </c>
      <c r="F801" s="1" t="s">
        <v>18</v>
      </c>
      <c r="G801" s="1">
        <v>2</v>
      </c>
      <c r="H801" s="1" t="s">
        <v>16</v>
      </c>
      <c r="I801" s="1" t="s">
        <v>16</v>
      </c>
      <c r="J801" s="1" t="s">
        <v>16</v>
      </c>
      <c r="K801" s="1" t="s">
        <v>17</v>
      </c>
      <c r="L801" s="1" t="s">
        <v>17</v>
      </c>
      <c r="M801" s="1" t="s">
        <v>17</v>
      </c>
      <c r="N801" s="27" t="s">
        <v>605</v>
      </c>
      <c r="O801" s="1" t="s">
        <v>16</v>
      </c>
    </row>
    <row r="802" spans="1:15" x14ac:dyDescent="0.2">
      <c r="A802" s="9">
        <v>43994</v>
      </c>
      <c r="B802" s="1" t="s">
        <v>22</v>
      </c>
      <c r="C802" s="1">
        <v>3</v>
      </c>
      <c r="D802" s="1">
        <v>1</v>
      </c>
      <c r="E802" s="5">
        <v>49.68</v>
      </c>
      <c r="F802" s="1" t="s">
        <v>19</v>
      </c>
      <c r="G802" s="1">
        <v>2</v>
      </c>
      <c r="H802" s="1" t="s">
        <v>16</v>
      </c>
      <c r="I802" s="1" t="s">
        <v>16</v>
      </c>
      <c r="J802" s="1" t="s">
        <v>16</v>
      </c>
      <c r="K802" s="1" t="s">
        <v>17</v>
      </c>
      <c r="L802" s="1" t="s">
        <v>17</v>
      </c>
      <c r="M802" s="1" t="s">
        <v>17</v>
      </c>
      <c r="N802" s="27" t="s">
        <v>605</v>
      </c>
      <c r="O802" s="1" t="s">
        <v>16</v>
      </c>
    </row>
    <row r="803" spans="1:15" x14ac:dyDescent="0.2">
      <c r="A803" s="9">
        <v>43994</v>
      </c>
      <c r="B803" s="1" t="s">
        <v>22</v>
      </c>
      <c r="C803" s="1">
        <v>4</v>
      </c>
      <c r="D803" s="1">
        <v>1</v>
      </c>
      <c r="E803" s="5">
        <v>54.43</v>
      </c>
      <c r="F803" s="1" t="s">
        <v>18</v>
      </c>
      <c r="G803" s="1">
        <v>2</v>
      </c>
      <c r="H803" s="1" t="s">
        <v>16</v>
      </c>
      <c r="I803" s="1" t="s">
        <v>16</v>
      </c>
      <c r="J803" s="1" t="s">
        <v>16</v>
      </c>
      <c r="K803" s="1" t="s">
        <v>21</v>
      </c>
      <c r="L803" s="1" t="s">
        <v>17</v>
      </c>
      <c r="M803" s="1" t="s">
        <v>17</v>
      </c>
      <c r="N803" s="27" t="s">
        <v>605</v>
      </c>
      <c r="O803" s="1" t="s">
        <v>16</v>
      </c>
    </row>
    <row r="804" spans="1:15" x14ac:dyDescent="0.2">
      <c r="A804" s="9">
        <v>43994</v>
      </c>
      <c r="B804" s="1" t="s">
        <v>22</v>
      </c>
      <c r="C804" s="1">
        <v>5</v>
      </c>
      <c r="D804" s="1">
        <v>1</v>
      </c>
      <c r="E804" s="5">
        <v>62.49</v>
      </c>
      <c r="F804" s="1" t="s">
        <v>18</v>
      </c>
      <c r="G804" s="1">
        <v>2</v>
      </c>
      <c r="H804" s="1" t="s">
        <v>16</v>
      </c>
      <c r="I804" s="1" t="s">
        <v>16</v>
      </c>
      <c r="J804" s="1" t="s">
        <v>16</v>
      </c>
      <c r="K804" s="1" t="s">
        <v>17</v>
      </c>
      <c r="L804" s="1" t="s">
        <v>17</v>
      </c>
      <c r="M804" s="1" t="s">
        <v>17</v>
      </c>
      <c r="N804" s="27" t="s">
        <v>605</v>
      </c>
      <c r="O804" s="1" t="s">
        <v>16</v>
      </c>
    </row>
    <row r="805" spans="1:15" x14ac:dyDescent="0.2">
      <c r="A805" s="9">
        <v>43994</v>
      </c>
      <c r="B805" s="1" t="s">
        <v>22</v>
      </c>
      <c r="C805" s="1">
        <v>6</v>
      </c>
      <c r="D805" s="1">
        <v>2</v>
      </c>
      <c r="E805" s="5">
        <v>54.81</v>
      </c>
      <c r="F805" s="1" t="s">
        <v>18</v>
      </c>
      <c r="G805" s="1">
        <v>3</v>
      </c>
      <c r="H805" s="1" t="s">
        <v>16</v>
      </c>
      <c r="I805" s="1" t="s">
        <v>16</v>
      </c>
      <c r="J805" s="1" t="s">
        <v>16</v>
      </c>
      <c r="K805" s="1" t="s">
        <v>17</v>
      </c>
      <c r="L805" s="1" t="s">
        <v>17</v>
      </c>
      <c r="M805" s="1" t="s">
        <v>17</v>
      </c>
      <c r="N805" s="27" t="s">
        <v>605</v>
      </c>
      <c r="O805" s="1" t="s">
        <v>16</v>
      </c>
    </row>
    <row r="806" spans="1:15" x14ac:dyDescent="0.2">
      <c r="A806" s="9">
        <v>43994</v>
      </c>
      <c r="B806" s="1" t="s">
        <v>22</v>
      </c>
      <c r="C806" s="1">
        <v>7</v>
      </c>
      <c r="D806" s="1">
        <v>2</v>
      </c>
      <c r="E806" s="5">
        <v>48.73</v>
      </c>
      <c r="F806" s="1" t="s">
        <v>18</v>
      </c>
      <c r="G806" s="1">
        <v>2</v>
      </c>
      <c r="H806" s="1" t="s">
        <v>16</v>
      </c>
      <c r="I806" s="1" t="s">
        <v>16</v>
      </c>
      <c r="J806" s="1" t="s">
        <v>16</v>
      </c>
      <c r="K806" s="1" t="s">
        <v>17</v>
      </c>
      <c r="L806" s="1" t="s">
        <v>17</v>
      </c>
      <c r="M806" s="1" t="s">
        <v>17</v>
      </c>
      <c r="N806" s="27" t="s">
        <v>605</v>
      </c>
      <c r="O806" s="1" t="s">
        <v>16</v>
      </c>
    </row>
    <row r="807" spans="1:15" x14ac:dyDescent="0.2">
      <c r="A807" s="9">
        <v>43994</v>
      </c>
      <c r="B807" s="1" t="s">
        <v>22</v>
      </c>
      <c r="C807" s="1">
        <v>8</v>
      </c>
      <c r="D807" s="1">
        <v>2</v>
      </c>
      <c r="E807" s="5">
        <v>88.79</v>
      </c>
      <c r="F807" s="1" t="s">
        <v>18</v>
      </c>
      <c r="G807" s="1">
        <v>2</v>
      </c>
      <c r="H807" s="1" t="s">
        <v>16</v>
      </c>
      <c r="I807" s="1" t="s">
        <v>16</v>
      </c>
      <c r="J807" s="1" t="s">
        <v>16</v>
      </c>
      <c r="K807" s="1" t="s">
        <v>17</v>
      </c>
      <c r="L807" s="1" t="s">
        <v>17</v>
      </c>
      <c r="M807" s="1" t="s">
        <v>17</v>
      </c>
      <c r="N807" s="27" t="s">
        <v>605</v>
      </c>
      <c r="O807" s="1" t="s">
        <v>16</v>
      </c>
    </row>
    <row r="808" spans="1:15" x14ac:dyDescent="0.2">
      <c r="A808" s="9">
        <v>43994</v>
      </c>
      <c r="B808" s="1" t="s">
        <v>22</v>
      </c>
      <c r="C808" s="1">
        <v>9</v>
      </c>
      <c r="D808" s="1">
        <v>2</v>
      </c>
      <c r="E808" s="5">
        <v>46.96</v>
      </c>
      <c r="F808" s="1" t="s">
        <v>18</v>
      </c>
      <c r="G808" s="1">
        <v>2</v>
      </c>
      <c r="H808" s="1" t="s">
        <v>16</v>
      </c>
      <c r="I808" s="1" t="s">
        <v>16</v>
      </c>
      <c r="J808" s="1" t="s">
        <v>16</v>
      </c>
      <c r="K808" s="1" t="s">
        <v>21</v>
      </c>
      <c r="L808" s="1" t="s">
        <v>17</v>
      </c>
      <c r="M808" s="1" t="s">
        <v>17</v>
      </c>
      <c r="N808" s="27" t="s">
        <v>605</v>
      </c>
      <c r="O808" s="1" t="s">
        <v>16</v>
      </c>
    </row>
    <row r="809" spans="1:15" x14ac:dyDescent="0.2">
      <c r="A809" s="9">
        <v>43994</v>
      </c>
      <c r="B809" s="1" t="s">
        <v>22</v>
      </c>
      <c r="C809" s="1">
        <v>10</v>
      </c>
      <c r="D809" s="1">
        <v>2</v>
      </c>
      <c r="E809" s="5">
        <v>56.23</v>
      </c>
      <c r="F809" s="1" t="s">
        <v>16</v>
      </c>
      <c r="G809" s="1" t="s">
        <v>16</v>
      </c>
      <c r="H809" s="1" t="s">
        <v>16</v>
      </c>
      <c r="I809" s="1" t="s">
        <v>16</v>
      </c>
      <c r="J809" s="1" t="s">
        <v>16</v>
      </c>
      <c r="K809" s="1" t="s">
        <v>20</v>
      </c>
      <c r="L809" s="1" t="s">
        <v>17</v>
      </c>
      <c r="M809" s="1" t="s">
        <v>17</v>
      </c>
      <c r="N809" s="27" t="s">
        <v>605</v>
      </c>
      <c r="O809" s="1" t="s">
        <v>16</v>
      </c>
    </row>
    <row r="810" spans="1:15" x14ac:dyDescent="0.2">
      <c r="A810" s="9">
        <v>43994</v>
      </c>
      <c r="B810" s="1" t="s">
        <v>22</v>
      </c>
      <c r="C810" s="1">
        <v>11</v>
      </c>
      <c r="D810" s="1">
        <v>3</v>
      </c>
      <c r="E810" s="5">
        <v>61.47</v>
      </c>
      <c r="F810" s="1" t="s">
        <v>18</v>
      </c>
      <c r="G810" s="1">
        <v>2</v>
      </c>
      <c r="H810" s="1" t="s">
        <v>16</v>
      </c>
      <c r="I810" s="1" t="s">
        <v>16</v>
      </c>
      <c r="J810" s="1" t="s">
        <v>16</v>
      </c>
      <c r="K810" s="1" t="s">
        <v>17</v>
      </c>
      <c r="L810" s="1" t="s">
        <v>17</v>
      </c>
      <c r="M810" s="1" t="s">
        <v>17</v>
      </c>
      <c r="N810" s="27" t="s">
        <v>605</v>
      </c>
      <c r="O810" s="1" t="s">
        <v>16</v>
      </c>
    </row>
    <row r="811" spans="1:15" x14ac:dyDescent="0.2">
      <c r="A811" s="9">
        <v>43994</v>
      </c>
      <c r="B811" s="1" t="s">
        <v>22</v>
      </c>
      <c r="C811" s="1">
        <v>12</v>
      </c>
      <c r="D811" s="1">
        <v>3</v>
      </c>
      <c r="E811" s="5">
        <v>43.07</v>
      </c>
      <c r="F811" s="1" t="s">
        <v>19</v>
      </c>
      <c r="G811" s="1">
        <v>2</v>
      </c>
      <c r="H811" s="1" t="s">
        <v>16</v>
      </c>
      <c r="I811" s="1" t="s">
        <v>16</v>
      </c>
      <c r="J811" s="1" t="s">
        <v>16</v>
      </c>
      <c r="K811" s="1" t="s">
        <v>17</v>
      </c>
      <c r="L811" s="1" t="s">
        <v>17</v>
      </c>
      <c r="M811" s="1" t="s">
        <v>17</v>
      </c>
      <c r="N811" s="27" t="s">
        <v>605</v>
      </c>
      <c r="O811" s="1" t="s">
        <v>16</v>
      </c>
    </row>
    <row r="812" spans="1:15" x14ac:dyDescent="0.2">
      <c r="A812" s="9">
        <v>43994</v>
      </c>
      <c r="B812" s="1" t="s">
        <v>22</v>
      </c>
      <c r="C812" s="1">
        <v>13</v>
      </c>
      <c r="D812" s="1">
        <v>3</v>
      </c>
      <c r="E812" s="5">
        <v>61.87</v>
      </c>
      <c r="F812" s="1" t="s">
        <v>18</v>
      </c>
      <c r="G812" s="1">
        <v>2</v>
      </c>
      <c r="H812" s="1" t="s">
        <v>16</v>
      </c>
      <c r="I812" s="1" t="s">
        <v>16</v>
      </c>
      <c r="J812" s="1" t="s">
        <v>16</v>
      </c>
      <c r="K812" s="1" t="s">
        <v>21</v>
      </c>
      <c r="L812" s="1" t="s">
        <v>17</v>
      </c>
      <c r="M812" s="1" t="s">
        <v>17</v>
      </c>
      <c r="N812" s="27" t="s">
        <v>605</v>
      </c>
      <c r="O812" s="1" t="s">
        <v>16</v>
      </c>
    </row>
    <row r="813" spans="1:15" x14ac:dyDescent="0.2">
      <c r="A813" s="9">
        <v>43994</v>
      </c>
      <c r="B813" s="1" t="s">
        <v>22</v>
      </c>
      <c r="C813" s="1">
        <v>14</v>
      </c>
      <c r="D813" s="1">
        <v>3</v>
      </c>
      <c r="E813" s="5">
        <v>50.57</v>
      </c>
      <c r="F813" s="1" t="s">
        <v>18</v>
      </c>
      <c r="G813" s="1">
        <v>2</v>
      </c>
      <c r="H813" s="1" t="s">
        <v>16</v>
      </c>
      <c r="I813" s="1" t="s">
        <v>16</v>
      </c>
      <c r="J813" s="1" t="s">
        <v>16</v>
      </c>
      <c r="K813" s="1" t="s">
        <v>17</v>
      </c>
      <c r="L813" s="1" t="s">
        <v>17</v>
      </c>
      <c r="M813" s="1" t="s">
        <v>17</v>
      </c>
      <c r="N813" s="27" t="s">
        <v>605</v>
      </c>
      <c r="O813" s="1" t="s">
        <v>16</v>
      </c>
    </row>
    <row r="814" spans="1:15" x14ac:dyDescent="0.2">
      <c r="A814" s="9">
        <v>43994</v>
      </c>
      <c r="B814" s="1" t="s">
        <v>22</v>
      </c>
      <c r="C814" s="1">
        <v>15</v>
      </c>
      <c r="D814" s="1">
        <v>3</v>
      </c>
      <c r="E814" s="5">
        <v>63.73</v>
      </c>
      <c r="F814" s="1" t="s">
        <v>18</v>
      </c>
      <c r="G814" s="1">
        <v>2</v>
      </c>
      <c r="H814" s="1" t="s">
        <v>16</v>
      </c>
      <c r="I814" s="1" t="s">
        <v>16</v>
      </c>
      <c r="J814" s="1" t="s">
        <v>16</v>
      </c>
      <c r="K814" s="1" t="s">
        <v>21</v>
      </c>
      <c r="L814" s="1" t="s">
        <v>17</v>
      </c>
      <c r="M814" s="1" t="s">
        <v>17</v>
      </c>
      <c r="N814" s="27" t="s">
        <v>605</v>
      </c>
      <c r="O814" s="1" t="s">
        <v>16</v>
      </c>
    </row>
    <row r="815" spans="1:15" x14ac:dyDescent="0.2">
      <c r="A815" s="9">
        <v>44036</v>
      </c>
      <c r="B815" s="1" t="s">
        <v>22</v>
      </c>
      <c r="C815" s="1">
        <v>1</v>
      </c>
      <c r="D815" s="1">
        <v>1</v>
      </c>
      <c r="E815" s="5">
        <v>63.39</v>
      </c>
      <c r="F815" s="1" t="s">
        <v>18</v>
      </c>
      <c r="G815" s="1">
        <v>2</v>
      </c>
      <c r="H815" s="1" t="s">
        <v>16</v>
      </c>
      <c r="I815" s="1" t="s">
        <v>16</v>
      </c>
      <c r="J815" s="1" t="s">
        <v>16</v>
      </c>
      <c r="K815" s="1" t="s">
        <v>17</v>
      </c>
      <c r="L815" s="1" t="s">
        <v>17</v>
      </c>
      <c r="M815" s="1" t="s">
        <v>17</v>
      </c>
      <c r="N815" s="27" t="s">
        <v>605</v>
      </c>
      <c r="O815" s="1" t="s">
        <v>16</v>
      </c>
    </row>
    <row r="816" spans="1:15" x14ac:dyDescent="0.2">
      <c r="A816" s="9">
        <v>44036</v>
      </c>
      <c r="B816" s="1" t="s">
        <v>22</v>
      </c>
      <c r="C816" s="1">
        <v>2</v>
      </c>
      <c r="D816" s="1">
        <v>1</v>
      </c>
      <c r="E816" s="5">
        <v>47.61</v>
      </c>
      <c r="F816" s="1" t="s">
        <v>18</v>
      </c>
      <c r="G816" s="1">
        <v>2</v>
      </c>
      <c r="H816" s="1" t="s">
        <v>16</v>
      </c>
      <c r="I816" s="1" t="s">
        <v>16</v>
      </c>
      <c r="J816" s="1" t="s">
        <v>16</v>
      </c>
      <c r="K816" s="1" t="s">
        <v>17</v>
      </c>
      <c r="L816" s="1" t="s">
        <v>17</v>
      </c>
      <c r="M816" s="1" t="s">
        <v>17</v>
      </c>
      <c r="N816" s="27" t="s">
        <v>605</v>
      </c>
      <c r="O816" s="1" t="s">
        <v>16</v>
      </c>
    </row>
    <row r="817" spans="1:15" x14ac:dyDescent="0.2">
      <c r="A817" s="9">
        <v>44036</v>
      </c>
      <c r="B817" s="1" t="s">
        <v>22</v>
      </c>
      <c r="C817" s="1">
        <v>3</v>
      </c>
      <c r="D817" s="1">
        <v>1</v>
      </c>
      <c r="E817" s="5">
        <v>51.33</v>
      </c>
      <c r="F817" s="1" t="s">
        <v>18</v>
      </c>
      <c r="G817" s="1">
        <v>2</v>
      </c>
      <c r="H817" s="1" t="s">
        <v>16</v>
      </c>
      <c r="I817" s="1" t="s">
        <v>16</v>
      </c>
      <c r="J817" s="1" t="s">
        <v>16</v>
      </c>
      <c r="K817" s="1" t="s">
        <v>17</v>
      </c>
      <c r="L817" s="1" t="s">
        <v>17</v>
      </c>
      <c r="M817" s="1" t="s">
        <v>17</v>
      </c>
      <c r="N817" s="27" t="s">
        <v>605</v>
      </c>
      <c r="O817" s="1" t="s">
        <v>16</v>
      </c>
    </row>
    <row r="818" spans="1:15" x14ac:dyDescent="0.2">
      <c r="A818" s="9">
        <v>44036</v>
      </c>
      <c r="B818" s="1" t="s">
        <v>22</v>
      </c>
      <c r="C818" s="1">
        <v>4</v>
      </c>
      <c r="D818" s="1">
        <v>1</v>
      </c>
      <c r="E818" s="5">
        <v>58.02</v>
      </c>
      <c r="F818" s="1" t="s">
        <v>18</v>
      </c>
      <c r="G818" s="1">
        <v>2</v>
      </c>
      <c r="H818" s="1" t="s">
        <v>16</v>
      </c>
      <c r="I818" s="1" t="s">
        <v>16</v>
      </c>
      <c r="J818" s="1" t="s">
        <v>16</v>
      </c>
      <c r="K818" s="1" t="s">
        <v>17</v>
      </c>
      <c r="L818" s="1" t="s">
        <v>17</v>
      </c>
      <c r="M818" s="1" t="s">
        <v>17</v>
      </c>
      <c r="N818" s="27" t="s">
        <v>605</v>
      </c>
      <c r="O818" s="1" t="s">
        <v>16</v>
      </c>
    </row>
    <row r="819" spans="1:15" x14ac:dyDescent="0.2">
      <c r="A819" s="9">
        <v>44036</v>
      </c>
      <c r="B819" s="1" t="s">
        <v>22</v>
      </c>
      <c r="C819" s="1">
        <v>5</v>
      </c>
      <c r="D819" s="1">
        <v>1</v>
      </c>
      <c r="E819" s="5">
        <v>49.05</v>
      </c>
      <c r="F819" s="1" t="s">
        <v>18</v>
      </c>
      <c r="G819" s="1">
        <v>2</v>
      </c>
      <c r="H819" s="1" t="s">
        <v>16</v>
      </c>
      <c r="I819" s="1" t="s">
        <v>16</v>
      </c>
      <c r="J819" s="1" t="s">
        <v>16</v>
      </c>
      <c r="K819" s="1" t="s">
        <v>17</v>
      </c>
      <c r="L819" s="1" t="s">
        <v>17</v>
      </c>
      <c r="M819" s="1" t="s">
        <v>17</v>
      </c>
      <c r="N819" s="27" t="s">
        <v>605</v>
      </c>
      <c r="O819" s="1" t="s">
        <v>16</v>
      </c>
    </row>
    <row r="820" spans="1:15" x14ac:dyDescent="0.2">
      <c r="A820" s="9">
        <v>44036</v>
      </c>
      <c r="B820" s="1" t="s">
        <v>22</v>
      </c>
      <c r="C820" s="1">
        <v>6</v>
      </c>
      <c r="D820" s="1">
        <v>2</v>
      </c>
      <c r="E820" s="5">
        <v>63.4</v>
      </c>
      <c r="F820" s="1" t="s">
        <v>18</v>
      </c>
      <c r="G820" s="1">
        <v>2</v>
      </c>
      <c r="H820" s="1" t="s">
        <v>16</v>
      </c>
      <c r="I820" s="1" t="s">
        <v>16</v>
      </c>
      <c r="J820" s="1" t="s">
        <v>16</v>
      </c>
      <c r="K820" s="1" t="s">
        <v>17</v>
      </c>
      <c r="L820" s="1" t="s">
        <v>17</v>
      </c>
      <c r="M820" s="1" t="s">
        <v>17</v>
      </c>
      <c r="N820" s="27" t="s">
        <v>605</v>
      </c>
      <c r="O820" s="1" t="s">
        <v>16</v>
      </c>
    </row>
    <row r="821" spans="1:15" x14ac:dyDescent="0.2">
      <c r="A821" s="9">
        <v>44036</v>
      </c>
      <c r="B821" s="1" t="s">
        <v>22</v>
      </c>
      <c r="C821" s="1">
        <v>7</v>
      </c>
      <c r="D821" s="1">
        <v>2</v>
      </c>
      <c r="E821" s="5">
        <v>59.38</v>
      </c>
      <c r="F821" s="1" t="s">
        <v>19</v>
      </c>
      <c r="G821" s="1">
        <v>2</v>
      </c>
      <c r="H821" s="1" t="s">
        <v>16</v>
      </c>
      <c r="I821" s="1" t="s">
        <v>16</v>
      </c>
      <c r="J821" s="1" t="s">
        <v>16</v>
      </c>
      <c r="K821" s="1" t="s">
        <v>17</v>
      </c>
      <c r="L821" s="1" t="s">
        <v>17</v>
      </c>
      <c r="M821" s="1" t="s">
        <v>17</v>
      </c>
      <c r="N821" s="27" t="s">
        <v>605</v>
      </c>
      <c r="O821" s="1" t="s">
        <v>16</v>
      </c>
    </row>
    <row r="822" spans="1:15" x14ac:dyDescent="0.2">
      <c r="A822" s="9">
        <v>44036</v>
      </c>
      <c r="B822" s="1" t="s">
        <v>22</v>
      </c>
      <c r="C822" s="1">
        <v>8</v>
      </c>
      <c r="D822" s="1">
        <v>2</v>
      </c>
      <c r="E822" s="5">
        <v>54.54</v>
      </c>
      <c r="F822" s="1" t="s">
        <v>18</v>
      </c>
      <c r="G822" s="1">
        <v>2</v>
      </c>
      <c r="H822" s="1" t="s">
        <v>16</v>
      </c>
      <c r="I822" s="1" t="s">
        <v>16</v>
      </c>
      <c r="J822" s="1" t="s">
        <v>16</v>
      </c>
      <c r="K822" s="1" t="s">
        <v>17</v>
      </c>
      <c r="L822" s="1" t="s">
        <v>17</v>
      </c>
      <c r="M822" s="1" t="s">
        <v>17</v>
      </c>
      <c r="N822" s="27" t="s">
        <v>605</v>
      </c>
      <c r="O822" s="1" t="s">
        <v>16</v>
      </c>
    </row>
    <row r="823" spans="1:15" x14ac:dyDescent="0.2">
      <c r="A823" s="9">
        <v>44036</v>
      </c>
      <c r="B823" s="1" t="s">
        <v>22</v>
      </c>
      <c r="C823" s="1">
        <v>9</v>
      </c>
      <c r="D823" s="1">
        <v>2</v>
      </c>
      <c r="E823" s="5">
        <v>68.150000000000006</v>
      </c>
      <c r="F823" s="1" t="s">
        <v>18</v>
      </c>
      <c r="G823" s="1" t="s">
        <v>16</v>
      </c>
      <c r="H823" s="1" t="s">
        <v>16</v>
      </c>
      <c r="I823" s="1" t="s">
        <v>16</v>
      </c>
      <c r="J823" s="1" t="s">
        <v>16</v>
      </c>
      <c r="K823" s="1" t="s">
        <v>20</v>
      </c>
      <c r="L823" s="1" t="s">
        <v>17</v>
      </c>
      <c r="M823" s="1" t="s">
        <v>17</v>
      </c>
      <c r="N823" s="27" t="s">
        <v>605</v>
      </c>
      <c r="O823" s="1" t="s">
        <v>16</v>
      </c>
    </row>
    <row r="824" spans="1:15" x14ac:dyDescent="0.2">
      <c r="A824" s="9">
        <v>44036</v>
      </c>
      <c r="B824" s="1" t="s">
        <v>22</v>
      </c>
      <c r="C824" s="1">
        <v>10</v>
      </c>
      <c r="D824" s="1">
        <v>2</v>
      </c>
      <c r="E824" s="5">
        <v>54.42</v>
      </c>
      <c r="F824" s="1" t="s">
        <v>18</v>
      </c>
      <c r="G824" s="1">
        <v>2</v>
      </c>
      <c r="H824" s="1" t="s">
        <v>16</v>
      </c>
      <c r="I824" s="1" t="s">
        <v>16</v>
      </c>
      <c r="J824" s="1" t="s">
        <v>16</v>
      </c>
      <c r="K824" s="1" t="s">
        <v>17</v>
      </c>
      <c r="L824" s="1" t="s">
        <v>17</v>
      </c>
      <c r="M824" s="1" t="s">
        <v>17</v>
      </c>
      <c r="N824" s="27" t="s">
        <v>605</v>
      </c>
      <c r="O824" s="1" t="s">
        <v>16</v>
      </c>
    </row>
    <row r="825" spans="1:15" x14ac:dyDescent="0.2">
      <c r="A825" s="9">
        <v>44036</v>
      </c>
      <c r="B825" s="1" t="s">
        <v>22</v>
      </c>
      <c r="C825" s="1">
        <v>11</v>
      </c>
      <c r="D825" s="1">
        <v>3</v>
      </c>
      <c r="E825" s="5">
        <v>50.2</v>
      </c>
      <c r="F825" s="1" t="s">
        <v>18</v>
      </c>
      <c r="G825" s="1">
        <v>2</v>
      </c>
      <c r="H825" s="1" t="s">
        <v>16</v>
      </c>
      <c r="I825" s="1" t="s">
        <v>16</v>
      </c>
      <c r="J825" s="1" t="s">
        <v>16</v>
      </c>
      <c r="K825" s="1" t="s">
        <v>17</v>
      </c>
      <c r="L825" s="1" t="s">
        <v>17</v>
      </c>
      <c r="M825" s="1" t="s">
        <v>17</v>
      </c>
      <c r="N825" s="27" t="s">
        <v>605</v>
      </c>
      <c r="O825" s="1" t="s">
        <v>16</v>
      </c>
    </row>
    <row r="826" spans="1:15" x14ac:dyDescent="0.2">
      <c r="A826" s="9">
        <v>44036</v>
      </c>
      <c r="B826" s="1" t="s">
        <v>22</v>
      </c>
      <c r="C826" s="1">
        <v>12</v>
      </c>
      <c r="D826" s="1">
        <v>3</v>
      </c>
      <c r="E826" s="5">
        <v>65.13</v>
      </c>
      <c r="F826" s="1" t="s">
        <v>18</v>
      </c>
      <c r="G826" s="1">
        <v>2</v>
      </c>
      <c r="H826" s="1" t="s">
        <v>16</v>
      </c>
      <c r="I826" s="1" t="s">
        <v>16</v>
      </c>
      <c r="J826" s="1" t="s">
        <v>16</v>
      </c>
      <c r="K826" s="1" t="s">
        <v>17</v>
      </c>
      <c r="L826" s="1" t="s">
        <v>17</v>
      </c>
      <c r="M826" s="1" t="s">
        <v>17</v>
      </c>
      <c r="N826" s="27" t="s">
        <v>605</v>
      </c>
      <c r="O826" s="1" t="s">
        <v>16</v>
      </c>
    </row>
    <row r="827" spans="1:15" x14ac:dyDescent="0.2">
      <c r="A827" s="9">
        <v>44036</v>
      </c>
      <c r="B827" s="1" t="s">
        <v>22</v>
      </c>
      <c r="C827" s="1">
        <v>13</v>
      </c>
      <c r="D827" s="1">
        <v>3</v>
      </c>
      <c r="E827" s="5">
        <v>66.08</v>
      </c>
      <c r="F827" s="1" t="s">
        <v>18</v>
      </c>
      <c r="G827" s="1">
        <v>2</v>
      </c>
      <c r="H827" s="1" t="s">
        <v>16</v>
      </c>
      <c r="I827" s="1" t="s">
        <v>16</v>
      </c>
      <c r="J827" s="1" t="s">
        <v>16</v>
      </c>
      <c r="K827" s="1" t="s">
        <v>17</v>
      </c>
      <c r="L827" s="1" t="s">
        <v>17</v>
      </c>
      <c r="M827" s="1" t="s">
        <v>17</v>
      </c>
      <c r="N827" s="27" t="s">
        <v>605</v>
      </c>
      <c r="O827" s="1" t="s">
        <v>16</v>
      </c>
    </row>
    <row r="828" spans="1:15" x14ac:dyDescent="0.2">
      <c r="A828" s="9">
        <v>44036</v>
      </c>
      <c r="B828" s="1" t="s">
        <v>22</v>
      </c>
      <c r="C828" s="1">
        <v>14</v>
      </c>
      <c r="D828" s="1">
        <v>3</v>
      </c>
      <c r="E828" s="5">
        <v>62.66</v>
      </c>
      <c r="F828" s="1" t="s">
        <v>19</v>
      </c>
      <c r="G828" s="1">
        <v>2</v>
      </c>
      <c r="H828" s="1" t="s">
        <v>16</v>
      </c>
      <c r="I828" s="1" t="s">
        <v>16</v>
      </c>
      <c r="J828" s="1" t="s">
        <v>16</v>
      </c>
      <c r="K828" s="1" t="s">
        <v>17</v>
      </c>
      <c r="L828" s="1" t="s">
        <v>17</v>
      </c>
      <c r="M828" s="1" t="s">
        <v>17</v>
      </c>
      <c r="N828" s="27" t="s">
        <v>605</v>
      </c>
      <c r="O828" s="1" t="s">
        <v>16</v>
      </c>
    </row>
    <row r="829" spans="1:15" x14ac:dyDescent="0.2">
      <c r="A829" s="9">
        <v>44036</v>
      </c>
      <c r="B829" s="1" t="s">
        <v>22</v>
      </c>
      <c r="C829" s="1">
        <v>15</v>
      </c>
      <c r="D829" s="1">
        <v>3</v>
      </c>
      <c r="E829" s="5">
        <v>65.38</v>
      </c>
      <c r="F829" s="1" t="s">
        <v>19</v>
      </c>
      <c r="G829" s="1">
        <v>2</v>
      </c>
      <c r="H829" s="1" t="s">
        <v>16</v>
      </c>
      <c r="I829" s="1" t="s">
        <v>16</v>
      </c>
      <c r="J829" s="1" t="s">
        <v>16</v>
      </c>
      <c r="K829" s="1" t="s">
        <v>21</v>
      </c>
      <c r="L829" s="1" t="s">
        <v>17</v>
      </c>
      <c r="M829" s="1" t="s">
        <v>17</v>
      </c>
      <c r="N829" s="27" t="s">
        <v>605</v>
      </c>
      <c r="O829" s="1" t="s">
        <v>16</v>
      </c>
    </row>
    <row r="830" spans="1:15" x14ac:dyDescent="0.2">
      <c r="A830" s="9">
        <v>44064</v>
      </c>
      <c r="B830" s="1" t="s">
        <v>22</v>
      </c>
      <c r="C830" s="1">
        <v>1</v>
      </c>
      <c r="D830" s="1">
        <v>1</v>
      </c>
      <c r="E830" s="5">
        <v>41.79</v>
      </c>
      <c r="F830" s="1" t="s">
        <v>18</v>
      </c>
      <c r="G830" s="1">
        <v>2</v>
      </c>
      <c r="H830" s="1" t="s">
        <v>16</v>
      </c>
      <c r="I830" s="1" t="s">
        <v>16</v>
      </c>
      <c r="J830" s="1" t="s">
        <v>16</v>
      </c>
      <c r="K830" s="1" t="s">
        <v>17</v>
      </c>
      <c r="L830" s="1" t="s">
        <v>17</v>
      </c>
      <c r="M830" s="1" t="s">
        <v>17</v>
      </c>
      <c r="N830" s="27" t="s">
        <v>605</v>
      </c>
      <c r="O830" s="1" t="s">
        <v>16</v>
      </c>
    </row>
    <row r="831" spans="1:15" x14ac:dyDescent="0.2">
      <c r="A831" s="9">
        <v>44064</v>
      </c>
      <c r="B831" s="1" t="s">
        <v>22</v>
      </c>
      <c r="C831" s="1">
        <v>2</v>
      </c>
      <c r="D831" s="1">
        <v>1</v>
      </c>
      <c r="E831" s="5">
        <v>46.34</v>
      </c>
      <c r="F831" s="1" t="s">
        <v>18</v>
      </c>
      <c r="G831" s="1">
        <v>2</v>
      </c>
      <c r="H831" s="1" t="s">
        <v>16</v>
      </c>
      <c r="I831" s="1" t="s">
        <v>16</v>
      </c>
      <c r="J831" s="1" t="s">
        <v>16</v>
      </c>
      <c r="K831" s="1" t="s">
        <v>17</v>
      </c>
      <c r="L831" s="1" t="s">
        <v>17</v>
      </c>
      <c r="M831" s="1" t="s">
        <v>17</v>
      </c>
      <c r="N831" s="27" t="s">
        <v>605</v>
      </c>
      <c r="O831" s="1" t="s">
        <v>16</v>
      </c>
    </row>
    <row r="832" spans="1:15" x14ac:dyDescent="0.2">
      <c r="A832" s="9">
        <v>44064</v>
      </c>
      <c r="B832" s="1" t="s">
        <v>22</v>
      </c>
      <c r="C832" s="1">
        <v>3</v>
      </c>
      <c r="D832" s="1">
        <v>1</v>
      </c>
      <c r="E832" s="5">
        <v>60.89</v>
      </c>
      <c r="F832" s="1" t="s">
        <v>19</v>
      </c>
      <c r="G832" s="1">
        <v>2</v>
      </c>
      <c r="H832" s="1" t="s">
        <v>16</v>
      </c>
      <c r="I832" s="1" t="s">
        <v>16</v>
      </c>
      <c r="J832" s="1" t="s">
        <v>16</v>
      </c>
      <c r="K832" s="1" t="s">
        <v>17</v>
      </c>
      <c r="L832" s="1" t="s">
        <v>17</v>
      </c>
      <c r="M832" s="1" t="s">
        <v>17</v>
      </c>
      <c r="N832" s="27" t="s">
        <v>605</v>
      </c>
      <c r="O832" s="1" t="s">
        <v>16</v>
      </c>
    </row>
    <row r="833" spans="1:15" x14ac:dyDescent="0.2">
      <c r="A833" s="9">
        <v>44064</v>
      </c>
      <c r="B833" s="1" t="s">
        <v>22</v>
      </c>
      <c r="C833" s="1">
        <v>4</v>
      </c>
      <c r="D833" s="1">
        <v>1</v>
      </c>
      <c r="E833" s="5">
        <v>45.2</v>
      </c>
      <c r="F833" s="1" t="s">
        <v>18</v>
      </c>
      <c r="G833" s="1">
        <v>2</v>
      </c>
      <c r="H833" s="1" t="s">
        <v>16</v>
      </c>
      <c r="I833" s="1" t="s">
        <v>16</v>
      </c>
      <c r="J833" s="1" t="s">
        <v>16</v>
      </c>
      <c r="K833" s="1" t="s">
        <v>17</v>
      </c>
      <c r="L833" s="1" t="s">
        <v>17</v>
      </c>
      <c r="M833" s="1" t="s">
        <v>17</v>
      </c>
      <c r="N833" s="27" t="s">
        <v>605</v>
      </c>
      <c r="O833" s="1" t="s">
        <v>16</v>
      </c>
    </row>
    <row r="834" spans="1:15" x14ac:dyDescent="0.2">
      <c r="A834" s="9">
        <v>44064</v>
      </c>
      <c r="B834" s="1" t="s">
        <v>22</v>
      </c>
      <c r="C834" s="1">
        <v>5</v>
      </c>
      <c r="D834" s="1">
        <v>1</v>
      </c>
      <c r="E834" s="5">
        <v>74.05</v>
      </c>
      <c r="F834" s="1" t="s">
        <v>18</v>
      </c>
      <c r="G834" s="1">
        <v>2</v>
      </c>
      <c r="H834" s="1" t="s">
        <v>16</v>
      </c>
      <c r="I834" s="1" t="s">
        <v>16</v>
      </c>
      <c r="J834" s="1" t="s">
        <v>16</v>
      </c>
      <c r="K834" s="1" t="s">
        <v>17</v>
      </c>
      <c r="L834" s="1" t="s">
        <v>17</v>
      </c>
      <c r="M834" s="1" t="s">
        <v>17</v>
      </c>
      <c r="N834" s="27" t="s">
        <v>605</v>
      </c>
      <c r="O834" s="1" t="s">
        <v>16</v>
      </c>
    </row>
    <row r="835" spans="1:15" x14ac:dyDescent="0.2">
      <c r="A835" s="9">
        <v>44064</v>
      </c>
      <c r="B835" s="1" t="s">
        <v>22</v>
      </c>
      <c r="C835" s="1">
        <v>6</v>
      </c>
      <c r="D835" s="1">
        <v>2</v>
      </c>
      <c r="E835" s="5">
        <v>54.59</v>
      </c>
      <c r="F835" s="1" t="s">
        <v>18</v>
      </c>
      <c r="G835" s="1">
        <v>2</v>
      </c>
      <c r="H835" s="1" t="s">
        <v>16</v>
      </c>
      <c r="I835" s="1" t="s">
        <v>16</v>
      </c>
      <c r="J835" s="1" t="s">
        <v>16</v>
      </c>
      <c r="K835" s="1" t="s">
        <v>17</v>
      </c>
      <c r="L835" s="1" t="s">
        <v>17</v>
      </c>
      <c r="M835" s="1" t="s">
        <v>21</v>
      </c>
      <c r="N835" s="27" t="s">
        <v>605</v>
      </c>
      <c r="O835" s="1" t="s">
        <v>16</v>
      </c>
    </row>
    <row r="836" spans="1:15" x14ac:dyDescent="0.2">
      <c r="A836" s="9">
        <v>44064</v>
      </c>
      <c r="B836" s="1" t="s">
        <v>22</v>
      </c>
      <c r="C836" s="1">
        <v>7</v>
      </c>
      <c r="D836" s="1">
        <v>2</v>
      </c>
      <c r="E836" s="5">
        <v>37.86</v>
      </c>
      <c r="F836" s="1" t="s">
        <v>18</v>
      </c>
      <c r="G836" s="1">
        <v>2</v>
      </c>
      <c r="H836" s="1" t="s">
        <v>16</v>
      </c>
      <c r="I836" s="1" t="s">
        <v>16</v>
      </c>
      <c r="J836" s="1" t="s">
        <v>16</v>
      </c>
      <c r="K836" s="1" t="s">
        <v>17</v>
      </c>
      <c r="L836" s="1" t="s">
        <v>17</v>
      </c>
      <c r="M836" s="1" t="s">
        <v>17</v>
      </c>
      <c r="N836" s="27" t="s">
        <v>605</v>
      </c>
      <c r="O836" s="1" t="s">
        <v>16</v>
      </c>
    </row>
    <row r="837" spans="1:15" x14ac:dyDescent="0.2">
      <c r="A837" s="9">
        <v>44064</v>
      </c>
      <c r="B837" s="1" t="s">
        <v>22</v>
      </c>
      <c r="C837" s="1">
        <v>8</v>
      </c>
      <c r="D837" s="1">
        <v>2</v>
      </c>
      <c r="E837" s="5">
        <v>44.97</v>
      </c>
      <c r="F837" s="1" t="s">
        <v>18</v>
      </c>
      <c r="G837" s="1">
        <v>2</v>
      </c>
      <c r="H837" s="1" t="s">
        <v>16</v>
      </c>
      <c r="I837" s="1" t="s">
        <v>16</v>
      </c>
      <c r="J837" s="1" t="s">
        <v>16</v>
      </c>
      <c r="K837" s="1" t="s">
        <v>17</v>
      </c>
      <c r="L837" s="1" t="s">
        <v>17</v>
      </c>
      <c r="M837" s="1" t="s">
        <v>17</v>
      </c>
      <c r="N837" s="27" t="s">
        <v>605</v>
      </c>
      <c r="O837" s="1" t="s">
        <v>16</v>
      </c>
    </row>
    <row r="838" spans="1:15" x14ac:dyDescent="0.2">
      <c r="A838" s="9">
        <v>44064</v>
      </c>
      <c r="B838" s="1" t="s">
        <v>22</v>
      </c>
      <c r="C838" s="1">
        <v>9</v>
      </c>
      <c r="D838" s="1">
        <v>2</v>
      </c>
      <c r="E838" s="5">
        <v>63.87</v>
      </c>
      <c r="F838" s="1" t="s">
        <v>18</v>
      </c>
      <c r="G838" s="1">
        <v>3</v>
      </c>
      <c r="H838" s="1" t="s">
        <v>16</v>
      </c>
      <c r="I838" s="1" t="s">
        <v>16</v>
      </c>
      <c r="J838" s="1" t="s">
        <v>16</v>
      </c>
      <c r="K838" s="1" t="s">
        <v>17</v>
      </c>
      <c r="L838" s="1" t="s">
        <v>17</v>
      </c>
      <c r="M838" s="1" t="s">
        <v>17</v>
      </c>
      <c r="N838" s="27" t="s">
        <v>605</v>
      </c>
      <c r="O838" s="1" t="s">
        <v>16</v>
      </c>
    </row>
    <row r="839" spans="1:15" x14ac:dyDescent="0.2">
      <c r="A839" s="9">
        <v>44064</v>
      </c>
      <c r="B839" s="1" t="s">
        <v>22</v>
      </c>
      <c r="C839" s="1">
        <v>10</v>
      </c>
      <c r="D839" s="1">
        <v>2</v>
      </c>
      <c r="E839" s="5">
        <v>61.38</v>
      </c>
      <c r="F839" s="1" t="s">
        <v>18</v>
      </c>
      <c r="G839" s="1">
        <v>2</v>
      </c>
      <c r="H839" s="1" t="s">
        <v>16</v>
      </c>
      <c r="I839" s="1" t="s">
        <v>16</v>
      </c>
      <c r="J839" s="1" t="s">
        <v>16</v>
      </c>
      <c r="K839" s="1" t="s">
        <v>17</v>
      </c>
      <c r="L839" s="1" t="s">
        <v>17</v>
      </c>
      <c r="M839" s="1" t="s">
        <v>17</v>
      </c>
      <c r="N839" s="27" t="s">
        <v>605</v>
      </c>
      <c r="O839" s="1" t="s">
        <v>16</v>
      </c>
    </row>
    <row r="840" spans="1:15" x14ac:dyDescent="0.2">
      <c r="A840" s="9">
        <v>44064</v>
      </c>
      <c r="B840" s="1" t="s">
        <v>22</v>
      </c>
      <c r="C840" s="1">
        <v>11</v>
      </c>
      <c r="D840" s="1">
        <v>3</v>
      </c>
      <c r="E840" s="5">
        <v>65.37</v>
      </c>
      <c r="F840" s="1" t="s">
        <v>18</v>
      </c>
      <c r="G840" s="1">
        <v>2</v>
      </c>
      <c r="H840" s="1" t="s">
        <v>16</v>
      </c>
      <c r="I840" s="1" t="s">
        <v>16</v>
      </c>
      <c r="J840" s="1" t="s">
        <v>16</v>
      </c>
      <c r="K840" s="1" t="s">
        <v>17</v>
      </c>
      <c r="L840" s="1" t="s">
        <v>17</v>
      </c>
      <c r="M840" s="1" t="s">
        <v>17</v>
      </c>
      <c r="N840" s="27" t="s">
        <v>605</v>
      </c>
      <c r="O840" s="1" t="s">
        <v>16</v>
      </c>
    </row>
    <row r="841" spans="1:15" x14ac:dyDescent="0.2">
      <c r="A841" s="9">
        <v>44064</v>
      </c>
      <c r="B841" s="1" t="s">
        <v>22</v>
      </c>
      <c r="C841" s="1">
        <v>12</v>
      </c>
      <c r="D841" s="1">
        <v>3</v>
      </c>
      <c r="E841" s="5">
        <v>71.39</v>
      </c>
      <c r="F841" s="1" t="s">
        <v>18</v>
      </c>
      <c r="G841" s="1">
        <v>2</v>
      </c>
      <c r="H841" s="1" t="s">
        <v>16</v>
      </c>
      <c r="I841" s="1" t="s">
        <v>16</v>
      </c>
      <c r="J841" s="1" t="s">
        <v>16</v>
      </c>
      <c r="K841" s="1" t="s">
        <v>17</v>
      </c>
      <c r="L841" s="1" t="s">
        <v>17</v>
      </c>
      <c r="M841" s="1" t="s">
        <v>17</v>
      </c>
      <c r="N841" s="27" t="s">
        <v>605</v>
      </c>
      <c r="O841" s="1" t="s">
        <v>16</v>
      </c>
    </row>
    <row r="842" spans="1:15" x14ac:dyDescent="0.2">
      <c r="A842" s="9">
        <v>44064</v>
      </c>
      <c r="B842" s="1" t="s">
        <v>22</v>
      </c>
      <c r="C842" s="1">
        <v>13</v>
      </c>
      <c r="D842" s="1">
        <v>3</v>
      </c>
      <c r="E842" s="5">
        <v>43.45</v>
      </c>
      <c r="F842" s="1" t="s">
        <v>19</v>
      </c>
      <c r="G842" s="1">
        <v>2</v>
      </c>
      <c r="H842" s="1" t="s">
        <v>16</v>
      </c>
      <c r="I842" s="1" t="s">
        <v>16</v>
      </c>
      <c r="J842" s="1" t="s">
        <v>16</v>
      </c>
      <c r="K842" s="1" t="s">
        <v>17</v>
      </c>
      <c r="L842" s="1" t="s">
        <v>17</v>
      </c>
      <c r="M842" s="1" t="s">
        <v>17</v>
      </c>
      <c r="N842" s="27" t="s">
        <v>605</v>
      </c>
      <c r="O842" s="1" t="s">
        <v>16</v>
      </c>
    </row>
    <row r="843" spans="1:15" x14ac:dyDescent="0.2">
      <c r="A843" s="9">
        <v>44064</v>
      </c>
      <c r="B843" s="1" t="s">
        <v>22</v>
      </c>
      <c r="C843" s="1">
        <v>14</v>
      </c>
      <c r="D843" s="1">
        <v>3</v>
      </c>
      <c r="E843" s="5">
        <v>64.040000000000006</v>
      </c>
      <c r="F843" s="1" t="s">
        <v>18</v>
      </c>
      <c r="G843" s="1">
        <v>2</v>
      </c>
      <c r="H843" s="1" t="s">
        <v>16</v>
      </c>
      <c r="I843" s="1" t="s">
        <v>16</v>
      </c>
      <c r="J843" s="1" t="s">
        <v>16</v>
      </c>
      <c r="K843" s="1" t="s">
        <v>17</v>
      </c>
      <c r="L843" s="1" t="s">
        <v>17</v>
      </c>
      <c r="M843" s="1" t="s">
        <v>17</v>
      </c>
      <c r="N843" s="27" t="s">
        <v>605</v>
      </c>
      <c r="O843" s="1" t="s">
        <v>16</v>
      </c>
    </row>
    <row r="844" spans="1:15" x14ac:dyDescent="0.2">
      <c r="A844" s="9">
        <v>44064</v>
      </c>
      <c r="B844" s="1" t="s">
        <v>22</v>
      </c>
      <c r="C844" s="1">
        <v>15</v>
      </c>
      <c r="D844" s="1">
        <v>3</v>
      </c>
      <c r="E844" s="5">
        <v>35.44</v>
      </c>
      <c r="F844" s="1" t="s">
        <v>18</v>
      </c>
      <c r="G844" s="1">
        <v>2</v>
      </c>
      <c r="H844" s="1" t="s">
        <v>16</v>
      </c>
      <c r="I844" s="1" t="s">
        <v>16</v>
      </c>
      <c r="J844" s="1" t="s">
        <v>16</v>
      </c>
      <c r="K844" s="1" t="s">
        <v>17</v>
      </c>
      <c r="L844" s="1" t="s">
        <v>17</v>
      </c>
      <c r="M844" s="1" t="s">
        <v>17</v>
      </c>
      <c r="N844" s="27" t="s">
        <v>605</v>
      </c>
      <c r="O844" s="1" t="s">
        <v>16</v>
      </c>
    </row>
    <row r="845" spans="1:15" x14ac:dyDescent="0.2">
      <c r="A845" s="9">
        <v>44090</v>
      </c>
      <c r="B845" s="1" t="s">
        <v>22</v>
      </c>
      <c r="C845" s="1">
        <v>1</v>
      </c>
      <c r="D845" s="1">
        <v>1</v>
      </c>
      <c r="E845" s="5">
        <v>53.32</v>
      </c>
      <c r="F845" s="1" t="s">
        <v>18</v>
      </c>
      <c r="G845" s="1">
        <v>2</v>
      </c>
      <c r="H845" s="1" t="s">
        <v>16</v>
      </c>
      <c r="I845" s="1" t="s">
        <v>16</v>
      </c>
      <c r="J845" s="1" t="s">
        <v>16</v>
      </c>
      <c r="K845" s="1" t="s">
        <v>17</v>
      </c>
      <c r="L845" s="1" t="s">
        <v>17</v>
      </c>
      <c r="M845" s="1" t="s">
        <v>17</v>
      </c>
      <c r="N845" s="27" t="s">
        <v>605</v>
      </c>
      <c r="O845" s="1" t="s">
        <v>16</v>
      </c>
    </row>
    <row r="846" spans="1:15" x14ac:dyDescent="0.2">
      <c r="A846" s="9">
        <v>44090</v>
      </c>
      <c r="B846" s="1" t="s">
        <v>22</v>
      </c>
      <c r="C846" s="1">
        <v>2</v>
      </c>
      <c r="D846" s="1">
        <v>1</v>
      </c>
      <c r="E846" s="5">
        <v>51.26</v>
      </c>
      <c r="F846" s="1" t="s">
        <v>18</v>
      </c>
      <c r="G846" s="1">
        <v>2</v>
      </c>
      <c r="H846" s="1" t="s">
        <v>16</v>
      </c>
      <c r="I846" s="1" t="s">
        <v>16</v>
      </c>
      <c r="J846" s="1" t="s">
        <v>16</v>
      </c>
      <c r="K846" s="1" t="s">
        <v>17</v>
      </c>
      <c r="L846" s="1" t="s">
        <v>17</v>
      </c>
      <c r="M846" s="1" t="s">
        <v>17</v>
      </c>
      <c r="N846" s="27" t="s">
        <v>605</v>
      </c>
      <c r="O846" s="1" t="s">
        <v>16</v>
      </c>
    </row>
    <row r="847" spans="1:15" x14ac:dyDescent="0.2">
      <c r="A847" s="9">
        <v>44090</v>
      </c>
      <c r="B847" s="1" t="s">
        <v>22</v>
      </c>
      <c r="C847" s="1">
        <v>3</v>
      </c>
      <c r="D847" s="1">
        <v>1</v>
      </c>
      <c r="E847" s="5">
        <v>60.33</v>
      </c>
      <c r="F847" s="1" t="s">
        <v>18</v>
      </c>
      <c r="G847" s="1">
        <v>2</v>
      </c>
      <c r="H847" s="1" t="s">
        <v>16</v>
      </c>
      <c r="I847" s="1" t="s">
        <v>16</v>
      </c>
      <c r="J847" s="1" t="s">
        <v>16</v>
      </c>
      <c r="K847" s="1" t="s">
        <v>17</v>
      </c>
      <c r="L847" s="1" t="s">
        <v>17</v>
      </c>
      <c r="M847" s="1" t="s">
        <v>21</v>
      </c>
      <c r="N847" s="27" t="s">
        <v>605</v>
      </c>
      <c r="O847" s="1" t="s">
        <v>16</v>
      </c>
    </row>
    <row r="848" spans="1:15" x14ac:dyDescent="0.2">
      <c r="A848" s="9">
        <v>44090</v>
      </c>
      <c r="B848" s="1" t="s">
        <v>22</v>
      </c>
      <c r="C848" s="1">
        <v>4</v>
      </c>
      <c r="D848" s="1">
        <v>1</v>
      </c>
      <c r="E848" s="5">
        <v>62.23</v>
      </c>
      <c r="F848" s="1" t="s">
        <v>18</v>
      </c>
      <c r="G848" s="1">
        <v>2</v>
      </c>
      <c r="H848" s="1" t="s">
        <v>16</v>
      </c>
      <c r="I848" s="1" t="s">
        <v>16</v>
      </c>
      <c r="J848" s="1" t="s">
        <v>16</v>
      </c>
      <c r="K848" s="1" t="s">
        <v>17</v>
      </c>
      <c r="L848" s="1" t="s">
        <v>17</v>
      </c>
      <c r="M848" s="1" t="s">
        <v>17</v>
      </c>
      <c r="N848" s="27" t="s">
        <v>605</v>
      </c>
      <c r="O848" s="1" t="s">
        <v>16</v>
      </c>
    </row>
    <row r="849" spans="1:15" x14ac:dyDescent="0.2">
      <c r="A849" s="9">
        <v>44090</v>
      </c>
      <c r="B849" s="1" t="s">
        <v>22</v>
      </c>
      <c r="C849" s="1">
        <v>5</v>
      </c>
      <c r="D849" s="1">
        <v>1</v>
      </c>
      <c r="E849" s="5">
        <v>59.16</v>
      </c>
      <c r="F849" s="1" t="s">
        <v>18</v>
      </c>
      <c r="G849" s="1">
        <v>2</v>
      </c>
      <c r="H849" s="1" t="s">
        <v>16</v>
      </c>
      <c r="I849" s="1" t="s">
        <v>16</v>
      </c>
      <c r="J849" s="1" t="s">
        <v>16</v>
      </c>
      <c r="K849" s="1" t="s">
        <v>17</v>
      </c>
      <c r="L849" s="1" t="s">
        <v>17</v>
      </c>
      <c r="M849" s="1" t="s">
        <v>17</v>
      </c>
      <c r="N849" s="27" t="s">
        <v>605</v>
      </c>
      <c r="O849" s="1" t="s">
        <v>16</v>
      </c>
    </row>
    <row r="850" spans="1:15" x14ac:dyDescent="0.2">
      <c r="A850" s="9">
        <v>44090</v>
      </c>
      <c r="B850" s="1" t="s">
        <v>22</v>
      </c>
      <c r="C850" s="1">
        <v>6</v>
      </c>
      <c r="D850" s="1">
        <v>2</v>
      </c>
      <c r="E850" s="5">
        <v>38.83</v>
      </c>
      <c r="F850" s="1" t="s">
        <v>19</v>
      </c>
      <c r="G850" s="1">
        <v>3</v>
      </c>
      <c r="H850" s="1" t="s">
        <v>16</v>
      </c>
      <c r="I850" s="1" t="s">
        <v>16</v>
      </c>
      <c r="J850" s="1" t="s">
        <v>16</v>
      </c>
      <c r="K850" s="1" t="s">
        <v>17</v>
      </c>
      <c r="L850" s="1" t="s">
        <v>17</v>
      </c>
      <c r="M850" s="1" t="s">
        <v>17</v>
      </c>
      <c r="N850" s="27" t="s">
        <v>605</v>
      </c>
      <c r="O850" s="1" t="s">
        <v>16</v>
      </c>
    </row>
    <row r="851" spans="1:15" x14ac:dyDescent="0.2">
      <c r="A851" s="9">
        <v>44090</v>
      </c>
      <c r="B851" s="1" t="s">
        <v>22</v>
      </c>
      <c r="C851" s="1">
        <v>7</v>
      </c>
      <c r="D851" s="1">
        <v>2</v>
      </c>
      <c r="E851" s="5">
        <v>46.44</v>
      </c>
      <c r="F851" s="1" t="s">
        <v>18</v>
      </c>
      <c r="G851" s="1">
        <v>2</v>
      </c>
      <c r="H851" s="1" t="s">
        <v>16</v>
      </c>
      <c r="I851" s="1" t="s">
        <v>16</v>
      </c>
      <c r="J851" s="1" t="s">
        <v>16</v>
      </c>
      <c r="K851" s="1" t="s">
        <v>17</v>
      </c>
      <c r="L851" s="1" t="s">
        <v>17</v>
      </c>
      <c r="M851" s="1" t="s">
        <v>17</v>
      </c>
      <c r="N851" s="27" t="s">
        <v>605</v>
      </c>
      <c r="O851" s="1" t="s">
        <v>16</v>
      </c>
    </row>
    <row r="852" spans="1:15" x14ac:dyDescent="0.2">
      <c r="A852" s="9">
        <v>44090</v>
      </c>
      <c r="B852" s="1" t="s">
        <v>22</v>
      </c>
      <c r="C852" s="1">
        <v>8</v>
      </c>
      <c r="D852" s="1">
        <v>2</v>
      </c>
      <c r="E852" s="5">
        <v>63.23</v>
      </c>
      <c r="F852" s="1" t="s">
        <v>18</v>
      </c>
      <c r="G852" s="1">
        <v>2</v>
      </c>
      <c r="H852" s="1" t="s">
        <v>16</v>
      </c>
      <c r="I852" s="1" t="s">
        <v>16</v>
      </c>
      <c r="J852" s="1" t="s">
        <v>16</v>
      </c>
      <c r="K852" s="1" t="s">
        <v>17</v>
      </c>
      <c r="L852" s="1" t="s">
        <v>17</v>
      </c>
      <c r="M852" s="1" t="s">
        <v>17</v>
      </c>
      <c r="N852" s="27" t="s">
        <v>605</v>
      </c>
      <c r="O852" s="1" t="s">
        <v>16</v>
      </c>
    </row>
    <row r="853" spans="1:15" x14ac:dyDescent="0.2">
      <c r="A853" s="9">
        <v>44090</v>
      </c>
      <c r="B853" s="1" t="s">
        <v>22</v>
      </c>
      <c r="C853" s="1">
        <v>9</v>
      </c>
      <c r="D853" s="1">
        <v>2</v>
      </c>
      <c r="E853" s="5">
        <v>49.39</v>
      </c>
      <c r="F853" s="1" t="s">
        <v>18</v>
      </c>
      <c r="G853" s="1">
        <v>2</v>
      </c>
      <c r="H853" s="1" t="s">
        <v>16</v>
      </c>
      <c r="I853" s="1" t="s">
        <v>16</v>
      </c>
      <c r="J853" s="1" t="s">
        <v>16</v>
      </c>
      <c r="K853" s="1" t="s">
        <v>17</v>
      </c>
      <c r="L853" s="1" t="s">
        <v>17</v>
      </c>
      <c r="M853" s="1" t="s">
        <v>17</v>
      </c>
      <c r="N853" s="27" t="s">
        <v>605</v>
      </c>
      <c r="O853" s="1" t="s">
        <v>16</v>
      </c>
    </row>
    <row r="854" spans="1:15" x14ac:dyDescent="0.2">
      <c r="A854" s="9">
        <v>44090</v>
      </c>
      <c r="B854" s="1" t="s">
        <v>22</v>
      </c>
      <c r="C854" s="1">
        <v>10</v>
      </c>
      <c r="D854" s="1">
        <v>2</v>
      </c>
      <c r="E854" s="5">
        <v>53.12</v>
      </c>
      <c r="F854" s="1" t="s">
        <v>19</v>
      </c>
      <c r="G854" s="1">
        <v>2</v>
      </c>
      <c r="H854" s="1" t="s">
        <v>16</v>
      </c>
      <c r="I854" s="1" t="s">
        <v>16</v>
      </c>
      <c r="J854" s="1" t="s">
        <v>16</v>
      </c>
      <c r="K854" s="1" t="s">
        <v>17</v>
      </c>
      <c r="L854" s="1" t="s">
        <v>17</v>
      </c>
      <c r="M854" s="1" t="s">
        <v>17</v>
      </c>
      <c r="N854" s="27" t="s">
        <v>605</v>
      </c>
      <c r="O854" s="1" t="s">
        <v>16</v>
      </c>
    </row>
    <row r="855" spans="1:15" x14ac:dyDescent="0.2">
      <c r="A855" s="9">
        <v>44090</v>
      </c>
      <c r="B855" s="1" t="s">
        <v>22</v>
      </c>
      <c r="C855" s="1">
        <v>11</v>
      </c>
      <c r="D855" s="1">
        <v>3</v>
      </c>
      <c r="E855" s="5">
        <v>56.58</v>
      </c>
      <c r="F855" s="1" t="s">
        <v>18</v>
      </c>
      <c r="G855" s="1">
        <v>2</v>
      </c>
      <c r="H855" s="1" t="s">
        <v>16</v>
      </c>
      <c r="I855" s="1" t="s">
        <v>16</v>
      </c>
      <c r="J855" s="1" t="s">
        <v>16</v>
      </c>
      <c r="K855" s="1" t="s">
        <v>17</v>
      </c>
      <c r="L855" s="1" t="s">
        <v>17</v>
      </c>
      <c r="M855" s="1" t="s">
        <v>17</v>
      </c>
      <c r="N855" s="27" t="s">
        <v>605</v>
      </c>
      <c r="O855" s="1" t="s">
        <v>16</v>
      </c>
    </row>
    <row r="856" spans="1:15" x14ac:dyDescent="0.2">
      <c r="A856" s="9">
        <v>44090</v>
      </c>
      <c r="B856" s="1" t="s">
        <v>22</v>
      </c>
      <c r="C856" s="1">
        <v>12</v>
      </c>
      <c r="D856" s="1">
        <v>3</v>
      </c>
      <c r="E856" s="5">
        <v>53.58</v>
      </c>
      <c r="F856" s="1" t="s">
        <v>18</v>
      </c>
      <c r="G856" s="1">
        <v>2</v>
      </c>
      <c r="H856" s="1" t="s">
        <v>16</v>
      </c>
      <c r="I856" s="1" t="s">
        <v>16</v>
      </c>
      <c r="J856" s="1" t="s">
        <v>16</v>
      </c>
      <c r="K856" s="1" t="s">
        <v>17</v>
      </c>
      <c r="L856" s="1" t="s">
        <v>17</v>
      </c>
      <c r="M856" s="1" t="s">
        <v>17</v>
      </c>
      <c r="N856" s="27" t="s">
        <v>605</v>
      </c>
      <c r="O856" s="1" t="s">
        <v>16</v>
      </c>
    </row>
    <row r="857" spans="1:15" x14ac:dyDescent="0.2">
      <c r="A857" s="9">
        <v>44090</v>
      </c>
      <c r="B857" s="1" t="s">
        <v>22</v>
      </c>
      <c r="C857" s="1">
        <v>13</v>
      </c>
      <c r="D857" s="1">
        <v>3</v>
      </c>
      <c r="E857" s="5">
        <v>61.27</v>
      </c>
      <c r="F857" s="1" t="s">
        <v>18</v>
      </c>
      <c r="G857" s="1">
        <v>2</v>
      </c>
      <c r="H857" s="1" t="s">
        <v>16</v>
      </c>
      <c r="I857" s="1" t="s">
        <v>16</v>
      </c>
      <c r="J857" s="1" t="s">
        <v>16</v>
      </c>
      <c r="K857" s="1" t="s">
        <v>17</v>
      </c>
      <c r="L857" s="1" t="s">
        <v>17</v>
      </c>
      <c r="M857" s="1" t="s">
        <v>17</v>
      </c>
      <c r="N857" s="27" t="s">
        <v>605</v>
      </c>
      <c r="O857" s="1" t="s">
        <v>16</v>
      </c>
    </row>
    <row r="858" spans="1:15" x14ac:dyDescent="0.2">
      <c r="A858" s="9">
        <v>44090</v>
      </c>
      <c r="B858" s="1" t="s">
        <v>22</v>
      </c>
      <c r="C858" s="1">
        <v>14</v>
      </c>
      <c r="D858" s="1">
        <v>3</v>
      </c>
      <c r="E858" s="5">
        <v>76.05</v>
      </c>
      <c r="F858" s="1" t="s">
        <v>16</v>
      </c>
      <c r="G858" s="1" t="s">
        <v>16</v>
      </c>
      <c r="H858" s="1" t="s">
        <v>16</v>
      </c>
      <c r="I858" s="1" t="s">
        <v>16</v>
      </c>
      <c r="J858" s="1" t="s">
        <v>16</v>
      </c>
      <c r="K858" s="1" t="s">
        <v>17</v>
      </c>
      <c r="L858" s="1" t="s">
        <v>21</v>
      </c>
      <c r="M858" s="1" t="s">
        <v>17</v>
      </c>
      <c r="N858" s="27" t="s">
        <v>605</v>
      </c>
      <c r="O858" s="1" t="s">
        <v>16</v>
      </c>
    </row>
    <row r="859" spans="1:15" x14ac:dyDescent="0.2">
      <c r="A859" s="9">
        <v>44090</v>
      </c>
      <c r="B859" s="1" t="s">
        <v>22</v>
      </c>
      <c r="C859" s="1">
        <v>15</v>
      </c>
      <c r="D859" s="1">
        <v>3</v>
      </c>
      <c r="E859" s="5">
        <v>62.76</v>
      </c>
      <c r="F859" s="1" t="s">
        <v>16</v>
      </c>
      <c r="G859" s="1" t="s">
        <v>16</v>
      </c>
      <c r="H859" s="1" t="s">
        <v>16</v>
      </c>
      <c r="I859" s="1" t="s">
        <v>16</v>
      </c>
      <c r="J859" s="1" t="s">
        <v>16</v>
      </c>
      <c r="K859" s="1" t="s">
        <v>17</v>
      </c>
      <c r="L859" s="1" t="s">
        <v>21</v>
      </c>
      <c r="M859" s="1" t="s">
        <v>17</v>
      </c>
      <c r="N859" s="27" t="s">
        <v>605</v>
      </c>
      <c r="O859" s="1" t="s">
        <v>16</v>
      </c>
    </row>
    <row r="860" spans="1:15" x14ac:dyDescent="0.2">
      <c r="A860" s="9">
        <v>44110</v>
      </c>
      <c r="B860" s="1" t="s">
        <v>22</v>
      </c>
      <c r="C860" s="1">
        <v>1</v>
      </c>
      <c r="D860" s="1">
        <v>1</v>
      </c>
      <c r="E860" s="5">
        <v>44.83</v>
      </c>
      <c r="F860" s="1" t="s">
        <v>18</v>
      </c>
      <c r="G860" s="1">
        <v>2</v>
      </c>
      <c r="H860" s="1" t="s">
        <v>16</v>
      </c>
      <c r="I860" s="1" t="s">
        <v>16</v>
      </c>
      <c r="J860" s="1" t="s">
        <v>16</v>
      </c>
      <c r="K860" s="1" t="s">
        <v>21</v>
      </c>
      <c r="L860" s="1" t="s">
        <v>17</v>
      </c>
      <c r="M860" s="1" t="s">
        <v>17</v>
      </c>
      <c r="N860" s="27" t="s">
        <v>605</v>
      </c>
      <c r="O860" s="1" t="s">
        <v>16</v>
      </c>
    </row>
    <row r="861" spans="1:15" x14ac:dyDescent="0.2">
      <c r="A861" s="9">
        <v>44110</v>
      </c>
      <c r="B861" s="1" t="s">
        <v>22</v>
      </c>
      <c r="C861" s="1">
        <v>2</v>
      </c>
      <c r="D861" s="1">
        <v>1</v>
      </c>
      <c r="E861" s="5">
        <v>42.11</v>
      </c>
      <c r="F861" s="1" t="s">
        <v>18</v>
      </c>
      <c r="G861" s="1">
        <v>2</v>
      </c>
      <c r="H861" s="1" t="s">
        <v>16</v>
      </c>
      <c r="I861" s="1" t="s">
        <v>16</v>
      </c>
      <c r="J861" s="1" t="s">
        <v>16</v>
      </c>
      <c r="K861" s="1" t="s">
        <v>21</v>
      </c>
      <c r="L861" s="1" t="s">
        <v>17</v>
      </c>
      <c r="M861" s="1" t="s">
        <v>21</v>
      </c>
      <c r="N861" s="27" t="s">
        <v>605</v>
      </c>
      <c r="O861" s="1" t="s">
        <v>16</v>
      </c>
    </row>
    <row r="862" spans="1:15" x14ac:dyDescent="0.2">
      <c r="A862" s="9">
        <v>44110</v>
      </c>
      <c r="B862" s="1" t="s">
        <v>22</v>
      </c>
      <c r="C862" s="1">
        <v>3</v>
      </c>
      <c r="D862" s="1">
        <v>1</v>
      </c>
      <c r="E862" s="5">
        <v>47.73</v>
      </c>
      <c r="F862" s="1" t="s">
        <v>18</v>
      </c>
      <c r="G862" s="1">
        <v>2</v>
      </c>
      <c r="H862" s="1" t="s">
        <v>16</v>
      </c>
      <c r="I862" s="1" t="s">
        <v>16</v>
      </c>
      <c r="J862" s="1" t="s">
        <v>16</v>
      </c>
      <c r="K862" s="1" t="s">
        <v>17</v>
      </c>
      <c r="L862" s="1" t="s">
        <v>17</v>
      </c>
      <c r="M862" s="1" t="s">
        <v>17</v>
      </c>
      <c r="N862" s="27" t="s">
        <v>605</v>
      </c>
      <c r="O862" s="1" t="s">
        <v>16</v>
      </c>
    </row>
    <row r="863" spans="1:15" x14ac:dyDescent="0.2">
      <c r="A863" s="9">
        <v>44110</v>
      </c>
      <c r="B863" s="1" t="s">
        <v>22</v>
      </c>
      <c r="C863" s="1">
        <v>4</v>
      </c>
      <c r="D863" s="1">
        <v>1</v>
      </c>
      <c r="E863" s="5">
        <v>53.29</v>
      </c>
      <c r="F863" s="1" t="s">
        <v>19</v>
      </c>
      <c r="G863" s="1">
        <v>2</v>
      </c>
      <c r="H863" s="1" t="s">
        <v>16</v>
      </c>
      <c r="I863" s="1" t="s">
        <v>16</v>
      </c>
      <c r="J863" s="1" t="s">
        <v>16</v>
      </c>
      <c r="K863" s="1" t="s">
        <v>17</v>
      </c>
      <c r="L863" s="1" t="s">
        <v>17</v>
      </c>
      <c r="M863" s="1" t="s">
        <v>17</v>
      </c>
      <c r="N863" s="27" t="s">
        <v>605</v>
      </c>
      <c r="O863" s="1" t="s">
        <v>16</v>
      </c>
    </row>
    <row r="864" spans="1:15" x14ac:dyDescent="0.2">
      <c r="A864" s="9">
        <v>44110</v>
      </c>
      <c r="B864" s="1" t="s">
        <v>22</v>
      </c>
      <c r="C864" s="1">
        <v>5</v>
      </c>
      <c r="D864" s="1">
        <v>1</v>
      </c>
      <c r="E864" s="5">
        <v>41.53</v>
      </c>
      <c r="F864" s="1" t="s">
        <v>18</v>
      </c>
      <c r="G864" s="1">
        <v>2</v>
      </c>
      <c r="H864" s="1" t="s">
        <v>16</v>
      </c>
      <c r="I864" s="1" t="s">
        <v>16</v>
      </c>
      <c r="J864" s="1" t="s">
        <v>16</v>
      </c>
      <c r="K864" s="1" t="s">
        <v>17</v>
      </c>
      <c r="L864" s="1" t="s">
        <v>17</v>
      </c>
      <c r="M864" s="1" t="s">
        <v>17</v>
      </c>
      <c r="N864" s="27" t="s">
        <v>605</v>
      </c>
      <c r="O864" s="1" t="s">
        <v>16</v>
      </c>
    </row>
    <row r="865" spans="1:15" x14ac:dyDescent="0.2">
      <c r="A865" s="9">
        <v>44110</v>
      </c>
      <c r="B865" s="1" t="s">
        <v>22</v>
      </c>
      <c r="C865" s="1">
        <v>6</v>
      </c>
      <c r="D865" s="1">
        <v>2</v>
      </c>
      <c r="E865" s="5">
        <v>59.19</v>
      </c>
      <c r="F865" s="1" t="s">
        <v>18</v>
      </c>
      <c r="G865" s="1">
        <v>3</v>
      </c>
      <c r="H865" s="1" t="s">
        <v>16</v>
      </c>
      <c r="I865" s="1" t="s">
        <v>16</v>
      </c>
      <c r="J865" s="1" t="s">
        <v>16</v>
      </c>
      <c r="K865" s="1" t="s">
        <v>17</v>
      </c>
      <c r="L865" s="1" t="s">
        <v>17</v>
      </c>
      <c r="M865" s="1" t="s">
        <v>17</v>
      </c>
      <c r="N865" s="27" t="s">
        <v>605</v>
      </c>
      <c r="O865" s="1" t="s">
        <v>16</v>
      </c>
    </row>
    <row r="866" spans="1:15" x14ac:dyDescent="0.2">
      <c r="A866" s="9">
        <v>44110</v>
      </c>
      <c r="B866" s="1" t="s">
        <v>22</v>
      </c>
      <c r="C866" s="1">
        <v>7</v>
      </c>
      <c r="D866" s="1">
        <v>2</v>
      </c>
      <c r="E866" s="5">
        <v>46.23</v>
      </c>
      <c r="F866" s="1" t="s">
        <v>19</v>
      </c>
      <c r="G866" s="1">
        <v>2</v>
      </c>
      <c r="H866" s="1" t="s">
        <v>16</v>
      </c>
      <c r="I866" s="1" t="s">
        <v>16</v>
      </c>
      <c r="J866" s="1" t="s">
        <v>16</v>
      </c>
      <c r="K866" s="1" t="s">
        <v>17</v>
      </c>
      <c r="L866" s="1" t="s">
        <v>17</v>
      </c>
      <c r="M866" s="1" t="s">
        <v>17</v>
      </c>
      <c r="N866" s="27" t="s">
        <v>605</v>
      </c>
      <c r="O866" s="1" t="s">
        <v>16</v>
      </c>
    </row>
    <row r="867" spans="1:15" x14ac:dyDescent="0.2">
      <c r="A867" s="9">
        <v>44110</v>
      </c>
      <c r="B867" s="1" t="s">
        <v>22</v>
      </c>
      <c r="C867" s="1">
        <v>8</v>
      </c>
      <c r="D867" s="1">
        <v>2</v>
      </c>
      <c r="E867" s="5">
        <v>58.88</v>
      </c>
      <c r="F867" s="1" t="s">
        <v>18</v>
      </c>
      <c r="G867" s="1">
        <v>3</v>
      </c>
      <c r="H867" s="1" t="s">
        <v>16</v>
      </c>
      <c r="I867" s="1" t="s">
        <v>16</v>
      </c>
      <c r="J867" s="1" t="s">
        <v>16</v>
      </c>
      <c r="K867" s="1" t="s">
        <v>17</v>
      </c>
      <c r="L867" s="1" t="s">
        <v>17</v>
      </c>
      <c r="M867" s="1" t="s">
        <v>17</v>
      </c>
      <c r="N867" s="27" t="s">
        <v>605</v>
      </c>
      <c r="O867" s="1" t="s">
        <v>16</v>
      </c>
    </row>
    <row r="868" spans="1:15" x14ac:dyDescent="0.2">
      <c r="A868" s="9">
        <v>44110</v>
      </c>
      <c r="B868" s="1" t="s">
        <v>22</v>
      </c>
      <c r="C868" s="1">
        <v>9</v>
      </c>
      <c r="D868" s="1">
        <v>2</v>
      </c>
      <c r="E868" s="5">
        <v>45.55</v>
      </c>
      <c r="F868" s="1" t="s">
        <v>18</v>
      </c>
      <c r="G868" s="1">
        <v>2</v>
      </c>
      <c r="H868" s="1" t="s">
        <v>16</v>
      </c>
      <c r="I868" s="1" t="s">
        <v>16</v>
      </c>
      <c r="J868" s="1" t="s">
        <v>16</v>
      </c>
      <c r="K868" s="1" t="s">
        <v>17</v>
      </c>
      <c r="L868" s="1" t="s">
        <v>17</v>
      </c>
      <c r="M868" s="1" t="s">
        <v>17</v>
      </c>
      <c r="N868" s="27" t="s">
        <v>605</v>
      </c>
      <c r="O868" s="1" t="s">
        <v>16</v>
      </c>
    </row>
    <row r="869" spans="1:15" x14ac:dyDescent="0.2">
      <c r="A869" s="9">
        <v>44110</v>
      </c>
      <c r="B869" s="1" t="s">
        <v>22</v>
      </c>
      <c r="C869" s="1">
        <v>10</v>
      </c>
      <c r="D869" s="1">
        <v>2</v>
      </c>
      <c r="E869" s="5">
        <v>52.69</v>
      </c>
      <c r="F869" s="1" t="s">
        <v>18</v>
      </c>
      <c r="G869" s="1">
        <v>2</v>
      </c>
      <c r="H869" s="1" t="s">
        <v>16</v>
      </c>
      <c r="I869" s="1" t="s">
        <v>16</v>
      </c>
      <c r="J869" s="1" t="s">
        <v>16</v>
      </c>
      <c r="K869" s="1" t="s">
        <v>21</v>
      </c>
      <c r="L869" s="1" t="s">
        <v>17</v>
      </c>
      <c r="M869" s="1" t="s">
        <v>17</v>
      </c>
      <c r="N869" s="27" t="s">
        <v>605</v>
      </c>
      <c r="O869" s="1" t="s">
        <v>16</v>
      </c>
    </row>
    <row r="870" spans="1:15" x14ac:dyDescent="0.2">
      <c r="A870" s="9">
        <v>44110</v>
      </c>
      <c r="B870" s="1" t="s">
        <v>22</v>
      </c>
      <c r="C870" s="1">
        <v>11</v>
      </c>
      <c r="D870" s="1">
        <v>3</v>
      </c>
      <c r="E870" s="5">
        <v>39.950000000000003</v>
      </c>
      <c r="F870" s="1" t="s">
        <v>18</v>
      </c>
      <c r="G870" s="1">
        <v>2</v>
      </c>
      <c r="H870" s="1" t="s">
        <v>16</v>
      </c>
      <c r="I870" s="1" t="s">
        <v>16</v>
      </c>
      <c r="J870" s="1" t="s">
        <v>16</v>
      </c>
      <c r="K870" s="1" t="s">
        <v>17</v>
      </c>
      <c r="L870" s="1" t="s">
        <v>17</v>
      </c>
      <c r="M870" s="1" t="s">
        <v>17</v>
      </c>
      <c r="N870" s="27" t="s">
        <v>605</v>
      </c>
      <c r="O870" s="1" t="s">
        <v>16</v>
      </c>
    </row>
    <row r="871" spans="1:15" x14ac:dyDescent="0.2">
      <c r="A871" s="9">
        <v>44110</v>
      </c>
      <c r="B871" s="1" t="s">
        <v>22</v>
      </c>
      <c r="C871" s="1">
        <v>12</v>
      </c>
      <c r="D871" s="1">
        <v>3</v>
      </c>
      <c r="E871" s="5">
        <v>42.37</v>
      </c>
      <c r="F871" s="1" t="s">
        <v>18</v>
      </c>
      <c r="G871" s="1">
        <v>3</v>
      </c>
      <c r="H871" s="1" t="s">
        <v>16</v>
      </c>
      <c r="I871" s="1" t="s">
        <v>16</v>
      </c>
      <c r="J871" s="1" t="s">
        <v>16</v>
      </c>
      <c r="K871" s="1" t="s">
        <v>17</v>
      </c>
      <c r="L871" s="1" t="s">
        <v>17</v>
      </c>
      <c r="M871" s="1" t="s">
        <v>17</v>
      </c>
      <c r="N871" s="27" t="s">
        <v>605</v>
      </c>
      <c r="O871" s="1" t="s">
        <v>16</v>
      </c>
    </row>
    <row r="872" spans="1:15" x14ac:dyDescent="0.2">
      <c r="A872" s="9">
        <v>44110</v>
      </c>
      <c r="B872" s="1" t="s">
        <v>22</v>
      </c>
      <c r="C872" s="1">
        <v>13</v>
      </c>
      <c r="D872" s="1">
        <v>3</v>
      </c>
      <c r="E872" s="5">
        <v>54.55</v>
      </c>
      <c r="F872" s="1" t="s">
        <v>19</v>
      </c>
      <c r="G872" s="1">
        <v>2</v>
      </c>
      <c r="H872" s="1" t="s">
        <v>16</v>
      </c>
      <c r="I872" s="1" t="s">
        <v>16</v>
      </c>
      <c r="J872" s="1" t="s">
        <v>16</v>
      </c>
      <c r="K872" s="1" t="s">
        <v>17</v>
      </c>
      <c r="L872" s="1" t="s">
        <v>17</v>
      </c>
      <c r="M872" s="1" t="s">
        <v>17</v>
      </c>
      <c r="N872" s="27" t="s">
        <v>605</v>
      </c>
      <c r="O872" s="1" t="s">
        <v>16</v>
      </c>
    </row>
    <row r="873" spans="1:15" x14ac:dyDescent="0.2">
      <c r="A873" s="9">
        <v>44110</v>
      </c>
      <c r="B873" s="1" t="s">
        <v>22</v>
      </c>
      <c r="C873" s="1">
        <v>14</v>
      </c>
      <c r="D873" s="1">
        <v>3</v>
      </c>
      <c r="E873" s="5">
        <v>68.36</v>
      </c>
      <c r="F873" s="1" t="s">
        <v>18</v>
      </c>
      <c r="G873" s="1">
        <v>2</v>
      </c>
      <c r="H873" s="1" t="s">
        <v>16</v>
      </c>
      <c r="I873" s="1" t="s">
        <v>16</v>
      </c>
      <c r="J873" s="1" t="s">
        <v>16</v>
      </c>
      <c r="K873" s="1" t="s">
        <v>17</v>
      </c>
      <c r="L873" s="1" t="s">
        <v>17</v>
      </c>
      <c r="M873" s="1" t="s">
        <v>17</v>
      </c>
      <c r="N873" s="27" t="s">
        <v>605</v>
      </c>
      <c r="O873" s="1" t="s">
        <v>16</v>
      </c>
    </row>
    <row r="874" spans="1:15" x14ac:dyDescent="0.2">
      <c r="A874" s="9">
        <v>44110</v>
      </c>
      <c r="B874" s="1" t="s">
        <v>22</v>
      </c>
      <c r="C874" s="1">
        <v>15</v>
      </c>
      <c r="D874" s="1">
        <v>3</v>
      </c>
      <c r="E874" s="5">
        <v>67.89</v>
      </c>
      <c r="F874" s="1" t="s">
        <v>18</v>
      </c>
      <c r="G874" s="1">
        <v>3</v>
      </c>
      <c r="H874" s="1" t="s">
        <v>16</v>
      </c>
      <c r="I874" s="1" t="s">
        <v>16</v>
      </c>
      <c r="J874" s="1" t="s">
        <v>16</v>
      </c>
      <c r="K874" s="1" t="s">
        <v>17</v>
      </c>
      <c r="L874" s="1" t="s">
        <v>17</v>
      </c>
      <c r="M874" s="1" t="s">
        <v>17</v>
      </c>
      <c r="N874" s="27" t="s">
        <v>605</v>
      </c>
      <c r="O874" s="1" t="s">
        <v>16</v>
      </c>
    </row>
    <row r="875" spans="1:15" x14ac:dyDescent="0.2">
      <c r="A875" s="9">
        <v>44137</v>
      </c>
      <c r="B875" s="1" t="s">
        <v>22</v>
      </c>
      <c r="C875" s="1">
        <v>1</v>
      </c>
      <c r="D875" s="1">
        <v>1</v>
      </c>
      <c r="E875" s="5">
        <v>68.180000000000007</v>
      </c>
      <c r="F875" s="1" t="s">
        <v>18</v>
      </c>
      <c r="G875" s="1">
        <v>2</v>
      </c>
      <c r="H875" s="1" t="s">
        <v>16</v>
      </c>
      <c r="I875" s="1" t="s">
        <v>16</v>
      </c>
      <c r="J875" s="1" t="s">
        <v>16</v>
      </c>
      <c r="K875" s="1" t="s">
        <v>17</v>
      </c>
      <c r="L875" s="1" t="s">
        <v>17</v>
      </c>
      <c r="M875" s="1" t="s">
        <v>17</v>
      </c>
      <c r="N875" s="27" t="s">
        <v>605</v>
      </c>
      <c r="O875" s="1" t="s">
        <v>16</v>
      </c>
    </row>
    <row r="876" spans="1:15" x14ac:dyDescent="0.2">
      <c r="A876" s="9">
        <v>44137</v>
      </c>
      <c r="B876" s="1" t="s">
        <v>22</v>
      </c>
      <c r="C876" s="1">
        <v>2</v>
      </c>
      <c r="D876" s="1">
        <v>1</v>
      </c>
      <c r="E876" s="5">
        <v>48.38</v>
      </c>
      <c r="F876" s="1" t="s">
        <v>18</v>
      </c>
      <c r="G876" s="1">
        <v>2</v>
      </c>
      <c r="H876" s="1" t="s">
        <v>16</v>
      </c>
      <c r="I876" s="1" t="s">
        <v>16</v>
      </c>
      <c r="J876" s="1" t="s">
        <v>16</v>
      </c>
      <c r="K876" s="1" t="s">
        <v>17</v>
      </c>
      <c r="L876" s="1" t="s">
        <v>17</v>
      </c>
      <c r="M876" s="1" t="s">
        <v>17</v>
      </c>
      <c r="N876" s="27" t="s">
        <v>605</v>
      </c>
      <c r="O876" s="1" t="s">
        <v>16</v>
      </c>
    </row>
    <row r="877" spans="1:15" x14ac:dyDescent="0.2">
      <c r="A877" s="9">
        <v>44137</v>
      </c>
      <c r="B877" s="1" t="s">
        <v>22</v>
      </c>
      <c r="C877" s="1">
        <v>3</v>
      </c>
      <c r="D877" s="1">
        <v>1</v>
      </c>
      <c r="E877" s="5">
        <v>41.62</v>
      </c>
      <c r="F877" s="1" t="s">
        <v>18</v>
      </c>
      <c r="G877" s="1">
        <v>2</v>
      </c>
      <c r="H877" s="1" t="s">
        <v>16</v>
      </c>
      <c r="I877" s="1" t="s">
        <v>16</v>
      </c>
      <c r="J877" s="1" t="s">
        <v>16</v>
      </c>
      <c r="K877" s="1" t="s">
        <v>17</v>
      </c>
      <c r="L877" s="1" t="s">
        <v>17</v>
      </c>
      <c r="M877" s="1" t="s">
        <v>17</v>
      </c>
      <c r="N877" s="27" t="s">
        <v>605</v>
      </c>
      <c r="O877" s="1" t="s">
        <v>16</v>
      </c>
    </row>
    <row r="878" spans="1:15" x14ac:dyDescent="0.2">
      <c r="A878" s="9">
        <v>44137</v>
      </c>
      <c r="B878" s="1" t="s">
        <v>22</v>
      </c>
      <c r="C878" s="1">
        <v>4</v>
      </c>
      <c r="D878" s="1">
        <v>1</v>
      </c>
      <c r="E878" s="5">
        <v>41.05</v>
      </c>
      <c r="F878" s="1" t="s">
        <v>18</v>
      </c>
      <c r="G878" s="1">
        <v>3</v>
      </c>
      <c r="H878" s="1" t="s">
        <v>16</v>
      </c>
      <c r="I878" s="1" t="s">
        <v>16</v>
      </c>
      <c r="J878" s="1" t="s">
        <v>16</v>
      </c>
      <c r="K878" s="1" t="s">
        <v>17</v>
      </c>
      <c r="L878" s="1" t="s">
        <v>17</v>
      </c>
      <c r="M878" s="1" t="s">
        <v>17</v>
      </c>
      <c r="N878" s="27" t="s">
        <v>605</v>
      </c>
      <c r="O878" s="1" t="s">
        <v>16</v>
      </c>
    </row>
    <row r="879" spans="1:15" x14ac:dyDescent="0.2">
      <c r="A879" s="9">
        <v>44137</v>
      </c>
      <c r="B879" s="1" t="s">
        <v>22</v>
      </c>
      <c r="C879" s="1">
        <v>5</v>
      </c>
      <c r="D879" s="1">
        <v>1</v>
      </c>
      <c r="E879" s="5">
        <v>48.98</v>
      </c>
      <c r="F879" s="1" t="s">
        <v>19</v>
      </c>
      <c r="G879" s="1">
        <v>2</v>
      </c>
      <c r="H879" s="1" t="s">
        <v>16</v>
      </c>
      <c r="I879" s="1" t="s">
        <v>16</v>
      </c>
      <c r="J879" s="1" t="s">
        <v>16</v>
      </c>
      <c r="K879" s="1" t="s">
        <v>17</v>
      </c>
      <c r="L879" s="1" t="s">
        <v>17</v>
      </c>
      <c r="M879" s="1" t="s">
        <v>17</v>
      </c>
      <c r="N879" s="27" t="s">
        <v>605</v>
      </c>
      <c r="O879" s="1" t="s">
        <v>16</v>
      </c>
    </row>
    <row r="880" spans="1:15" x14ac:dyDescent="0.2">
      <c r="A880" s="9">
        <v>44137</v>
      </c>
      <c r="B880" s="1" t="s">
        <v>22</v>
      </c>
      <c r="C880" s="1">
        <v>6</v>
      </c>
      <c r="D880" s="1">
        <v>2</v>
      </c>
      <c r="E880" s="5">
        <v>63.5</v>
      </c>
      <c r="F880" s="1" t="s">
        <v>18</v>
      </c>
      <c r="G880" s="1">
        <v>3</v>
      </c>
      <c r="H880" s="1" t="s">
        <v>16</v>
      </c>
      <c r="I880" s="1" t="s">
        <v>16</v>
      </c>
      <c r="J880" s="1" t="s">
        <v>16</v>
      </c>
      <c r="K880" s="1" t="s">
        <v>17</v>
      </c>
      <c r="L880" s="1" t="s">
        <v>17</v>
      </c>
      <c r="M880" s="1" t="s">
        <v>17</v>
      </c>
      <c r="N880" s="27" t="s">
        <v>605</v>
      </c>
      <c r="O880" s="1" t="s">
        <v>16</v>
      </c>
    </row>
    <row r="881" spans="1:15" x14ac:dyDescent="0.2">
      <c r="A881" s="9">
        <v>44137</v>
      </c>
      <c r="B881" s="1" t="s">
        <v>22</v>
      </c>
      <c r="C881" s="1">
        <v>7</v>
      </c>
      <c r="D881" s="1">
        <v>2</v>
      </c>
      <c r="E881" s="5">
        <v>67.67</v>
      </c>
      <c r="F881" s="1" t="s">
        <v>18</v>
      </c>
      <c r="G881" s="1">
        <v>2</v>
      </c>
      <c r="H881" s="1" t="s">
        <v>16</v>
      </c>
      <c r="I881" s="1" t="s">
        <v>16</v>
      </c>
      <c r="J881" s="1" t="s">
        <v>16</v>
      </c>
      <c r="K881" s="1" t="s">
        <v>17</v>
      </c>
      <c r="L881" s="1" t="s">
        <v>17</v>
      </c>
      <c r="M881" s="1" t="s">
        <v>17</v>
      </c>
      <c r="N881" s="27" t="s">
        <v>605</v>
      </c>
      <c r="O881" s="1" t="s">
        <v>16</v>
      </c>
    </row>
    <row r="882" spans="1:15" x14ac:dyDescent="0.2">
      <c r="A882" s="9">
        <v>44137</v>
      </c>
      <c r="B882" s="1" t="s">
        <v>22</v>
      </c>
      <c r="C882" s="1">
        <v>8</v>
      </c>
      <c r="D882" s="1">
        <v>2</v>
      </c>
      <c r="E882" s="5">
        <v>60.74</v>
      </c>
      <c r="F882" s="1" t="s">
        <v>16</v>
      </c>
      <c r="G882" s="1">
        <v>4</v>
      </c>
      <c r="H882" s="1" t="s">
        <v>16</v>
      </c>
      <c r="I882" s="1" t="s">
        <v>16</v>
      </c>
      <c r="J882" s="1" t="s">
        <v>16</v>
      </c>
      <c r="K882" s="1" t="s">
        <v>17</v>
      </c>
      <c r="L882" s="1" t="s">
        <v>17</v>
      </c>
      <c r="M882" s="1" t="s">
        <v>17</v>
      </c>
      <c r="N882" s="27" t="s">
        <v>605</v>
      </c>
      <c r="O882" s="1" t="s">
        <v>16</v>
      </c>
    </row>
    <row r="883" spans="1:15" x14ac:dyDescent="0.2">
      <c r="A883" s="9">
        <v>44137</v>
      </c>
      <c r="B883" s="1" t="s">
        <v>22</v>
      </c>
      <c r="C883" s="1">
        <v>9</v>
      </c>
      <c r="D883" s="1">
        <v>2</v>
      </c>
      <c r="E883" s="5">
        <v>72.2</v>
      </c>
      <c r="F883" s="1" t="s">
        <v>18</v>
      </c>
      <c r="G883" s="1">
        <v>3</v>
      </c>
      <c r="H883" s="1" t="s">
        <v>16</v>
      </c>
      <c r="I883" s="1" t="s">
        <v>16</v>
      </c>
      <c r="J883" s="1" t="s">
        <v>16</v>
      </c>
      <c r="K883" s="1" t="s">
        <v>17</v>
      </c>
      <c r="L883" s="1" t="s">
        <v>17</v>
      </c>
      <c r="M883" s="1" t="s">
        <v>17</v>
      </c>
      <c r="N883" s="27" t="s">
        <v>605</v>
      </c>
      <c r="O883" s="1" t="s">
        <v>16</v>
      </c>
    </row>
    <row r="884" spans="1:15" x14ac:dyDescent="0.2">
      <c r="A884" s="9">
        <v>44137</v>
      </c>
      <c r="B884" s="1" t="s">
        <v>22</v>
      </c>
      <c r="C884" s="1">
        <v>10</v>
      </c>
      <c r="D884" s="1">
        <v>2</v>
      </c>
      <c r="E884" s="5">
        <v>64.78</v>
      </c>
      <c r="F884" s="1" t="s">
        <v>19</v>
      </c>
      <c r="G884" s="1">
        <v>2</v>
      </c>
      <c r="H884" s="1" t="s">
        <v>16</v>
      </c>
      <c r="I884" s="1" t="s">
        <v>16</v>
      </c>
      <c r="J884" s="1" t="s">
        <v>16</v>
      </c>
      <c r="K884" s="1" t="s">
        <v>17</v>
      </c>
      <c r="L884" s="1" t="s">
        <v>17</v>
      </c>
      <c r="M884" s="1" t="s">
        <v>17</v>
      </c>
      <c r="N884" s="27" t="s">
        <v>605</v>
      </c>
      <c r="O884" s="1" t="s">
        <v>16</v>
      </c>
    </row>
    <row r="885" spans="1:15" x14ac:dyDescent="0.2">
      <c r="A885" s="9">
        <v>44137</v>
      </c>
      <c r="B885" s="1" t="s">
        <v>22</v>
      </c>
      <c r="C885" s="1">
        <v>11</v>
      </c>
      <c r="D885" s="1">
        <v>3</v>
      </c>
      <c r="E885" s="5">
        <v>61.71</v>
      </c>
      <c r="F885" s="1" t="s">
        <v>16</v>
      </c>
      <c r="G885" s="1">
        <v>4</v>
      </c>
      <c r="H885" s="1" t="s">
        <v>16</v>
      </c>
      <c r="I885" s="1" t="s">
        <v>16</v>
      </c>
      <c r="J885" s="1" t="s">
        <v>16</v>
      </c>
      <c r="K885" s="1" t="s">
        <v>17</v>
      </c>
      <c r="L885" s="1" t="s">
        <v>17</v>
      </c>
      <c r="M885" s="1" t="s">
        <v>17</v>
      </c>
      <c r="N885" s="27" t="s">
        <v>605</v>
      </c>
      <c r="O885" s="1" t="s">
        <v>16</v>
      </c>
    </row>
    <row r="886" spans="1:15" x14ac:dyDescent="0.2">
      <c r="A886" s="9">
        <v>44137</v>
      </c>
      <c r="B886" s="1" t="s">
        <v>22</v>
      </c>
      <c r="C886" s="1">
        <v>12</v>
      </c>
      <c r="D886" s="1">
        <v>3</v>
      </c>
      <c r="E886" s="5">
        <v>47.94</v>
      </c>
      <c r="F886" s="1" t="s">
        <v>18</v>
      </c>
      <c r="G886" s="1">
        <v>3</v>
      </c>
      <c r="H886" s="1" t="s">
        <v>16</v>
      </c>
      <c r="I886" s="1" t="s">
        <v>16</v>
      </c>
      <c r="J886" s="1" t="s">
        <v>16</v>
      </c>
      <c r="K886" s="1" t="s">
        <v>17</v>
      </c>
      <c r="L886" s="1" t="s">
        <v>17</v>
      </c>
      <c r="M886" s="1" t="s">
        <v>17</v>
      </c>
      <c r="N886" s="27" t="s">
        <v>605</v>
      </c>
      <c r="O886" s="1" t="s">
        <v>16</v>
      </c>
    </row>
    <row r="887" spans="1:15" x14ac:dyDescent="0.2">
      <c r="A887" s="9">
        <v>44137</v>
      </c>
      <c r="B887" s="1" t="s">
        <v>22</v>
      </c>
      <c r="C887" s="1">
        <v>13</v>
      </c>
      <c r="D887" s="1">
        <v>3</v>
      </c>
      <c r="E887" s="5">
        <v>49.96</v>
      </c>
      <c r="F887" s="1" t="s">
        <v>18</v>
      </c>
      <c r="G887" s="1">
        <v>2</v>
      </c>
      <c r="H887" s="1" t="s">
        <v>16</v>
      </c>
      <c r="I887" s="1" t="s">
        <v>16</v>
      </c>
      <c r="J887" s="1" t="s">
        <v>16</v>
      </c>
      <c r="K887" s="1" t="s">
        <v>17</v>
      </c>
      <c r="L887" s="1" t="s">
        <v>17</v>
      </c>
      <c r="M887" s="1" t="s">
        <v>17</v>
      </c>
      <c r="N887" s="27" t="s">
        <v>605</v>
      </c>
      <c r="O887" s="1" t="s">
        <v>16</v>
      </c>
    </row>
    <row r="888" spans="1:15" x14ac:dyDescent="0.2">
      <c r="A888" s="9">
        <v>44137</v>
      </c>
      <c r="B888" s="1" t="s">
        <v>22</v>
      </c>
      <c r="C888" s="1">
        <v>14</v>
      </c>
      <c r="D888" s="1">
        <v>3</v>
      </c>
      <c r="E888" s="5">
        <v>60.58</v>
      </c>
      <c r="F888" s="1" t="s">
        <v>19</v>
      </c>
      <c r="G888" s="1">
        <v>2</v>
      </c>
      <c r="H888" s="1" t="s">
        <v>16</v>
      </c>
      <c r="I888" s="1" t="s">
        <v>16</v>
      </c>
      <c r="J888" s="1" t="s">
        <v>16</v>
      </c>
      <c r="K888" s="1" t="s">
        <v>17</v>
      </c>
      <c r="L888" s="1" t="s">
        <v>17</v>
      </c>
      <c r="M888" s="1" t="s">
        <v>17</v>
      </c>
      <c r="N888" s="27" t="s">
        <v>605</v>
      </c>
      <c r="O888" s="1" t="s">
        <v>16</v>
      </c>
    </row>
    <row r="889" spans="1:15" x14ac:dyDescent="0.2">
      <c r="A889" s="9">
        <v>44137</v>
      </c>
      <c r="B889" s="1" t="s">
        <v>22</v>
      </c>
      <c r="C889" s="1">
        <v>15</v>
      </c>
      <c r="D889" s="1">
        <v>3</v>
      </c>
      <c r="E889" s="5">
        <v>56.49</v>
      </c>
      <c r="F889" s="1" t="s">
        <v>18</v>
      </c>
      <c r="G889" s="1">
        <v>3</v>
      </c>
      <c r="H889" s="1" t="s">
        <v>16</v>
      </c>
      <c r="I889" s="1" t="s">
        <v>16</v>
      </c>
      <c r="J889" s="1" t="s">
        <v>16</v>
      </c>
      <c r="K889" s="1" t="s">
        <v>17</v>
      </c>
      <c r="L889" s="1" t="s">
        <v>17</v>
      </c>
      <c r="M889" s="1" t="s">
        <v>17</v>
      </c>
      <c r="N889" s="27" t="s">
        <v>605</v>
      </c>
      <c r="O889" s="1" t="s">
        <v>16</v>
      </c>
    </row>
    <row r="890" spans="1:15" x14ac:dyDescent="0.2">
      <c r="A890" s="9">
        <v>44167</v>
      </c>
      <c r="B890" s="1" t="s">
        <v>22</v>
      </c>
      <c r="C890" s="1">
        <v>1</v>
      </c>
      <c r="D890" s="1">
        <v>1</v>
      </c>
      <c r="E890" s="5">
        <v>52.54</v>
      </c>
      <c r="F890" s="1" t="s">
        <v>19</v>
      </c>
      <c r="G890" s="1">
        <v>3</v>
      </c>
      <c r="H890" s="1" t="s">
        <v>16</v>
      </c>
      <c r="I890" s="1" t="s">
        <v>16</v>
      </c>
      <c r="J890" s="1" t="s">
        <v>16</v>
      </c>
      <c r="K890" s="1" t="s">
        <v>17</v>
      </c>
      <c r="L890" s="1" t="s">
        <v>17</v>
      </c>
      <c r="M890" s="1" t="s">
        <v>17</v>
      </c>
      <c r="N890" s="27" t="s">
        <v>605</v>
      </c>
      <c r="O890" s="1" t="s">
        <v>16</v>
      </c>
    </row>
    <row r="891" spans="1:15" x14ac:dyDescent="0.2">
      <c r="A891" s="9">
        <v>44167</v>
      </c>
      <c r="B891" s="1" t="s">
        <v>22</v>
      </c>
      <c r="C891" s="1">
        <v>2</v>
      </c>
      <c r="D891" s="1">
        <v>1</v>
      </c>
      <c r="E891" s="5">
        <v>53.39</v>
      </c>
      <c r="F891" s="1" t="s">
        <v>18</v>
      </c>
      <c r="G891" s="1">
        <v>1</v>
      </c>
      <c r="H891" s="1" t="s">
        <v>16</v>
      </c>
      <c r="I891" s="1" t="s">
        <v>16</v>
      </c>
      <c r="J891" s="1" t="s">
        <v>16</v>
      </c>
      <c r="K891" s="1" t="s">
        <v>17</v>
      </c>
      <c r="L891" s="1" t="s">
        <v>17</v>
      </c>
      <c r="M891" s="1" t="s">
        <v>17</v>
      </c>
      <c r="N891" s="27" t="s">
        <v>605</v>
      </c>
      <c r="O891" s="1" t="s">
        <v>16</v>
      </c>
    </row>
    <row r="892" spans="1:15" x14ac:dyDescent="0.2">
      <c r="A892" s="9">
        <v>44167</v>
      </c>
      <c r="B892" s="1" t="s">
        <v>22</v>
      </c>
      <c r="C892" s="1">
        <v>3</v>
      </c>
      <c r="D892" s="1">
        <v>1</v>
      </c>
      <c r="E892" s="5">
        <v>49.7</v>
      </c>
      <c r="F892" s="1" t="s">
        <v>18</v>
      </c>
      <c r="G892" s="1">
        <v>2</v>
      </c>
      <c r="H892" s="1" t="s">
        <v>16</v>
      </c>
      <c r="I892" s="1" t="s">
        <v>16</v>
      </c>
      <c r="J892" s="1" t="s">
        <v>16</v>
      </c>
      <c r="K892" s="1" t="s">
        <v>17</v>
      </c>
      <c r="L892" s="1" t="s">
        <v>17</v>
      </c>
      <c r="M892" s="1" t="s">
        <v>17</v>
      </c>
      <c r="N892" s="27" t="s">
        <v>605</v>
      </c>
      <c r="O892" s="1" t="s">
        <v>16</v>
      </c>
    </row>
    <row r="893" spans="1:15" x14ac:dyDescent="0.2">
      <c r="A893" s="9">
        <v>44167</v>
      </c>
      <c r="B893" s="1" t="s">
        <v>22</v>
      </c>
      <c r="C893" s="1">
        <v>4</v>
      </c>
      <c r="D893" s="1">
        <v>1</v>
      </c>
      <c r="E893" s="5">
        <v>43.32</v>
      </c>
      <c r="F893" s="1" t="s">
        <v>18</v>
      </c>
      <c r="G893" s="1">
        <v>3</v>
      </c>
      <c r="H893" s="1" t="s">
        <v>16</v>
      </c>
      <c r="I893" s="1" t="s">
        <v>16</v>
      </c>
      <c r="J893" s="1" t="s">
        <v>16</v>
      </c>
      <c r="K893" s="1" t="s">
        <v>17</v>
      </c>
      <c r="L893" s="1" t="s">
        <v>17</v>
      </c>
      <c r="M893" s="1" t="s">
        <v>17</v>
      </c>
      <c r="N893" s="27" t="s">
        <v>605</v>
      </c>
      <c r="O893" s="1" t="s">
        <v>16</v>
      </c>
    </row>
    <row r="894" spans="1:15" x14ac:dyDescent="0.2">
      <c r="A894" s="9">
        <v>44167</v>
      </c>
      <c r="B894" s="1" t="s">
        <v>22</v>
      </c>
      <c r="C894" s="1">
        <v>5</v>
      </c>
      <c r="D894" s="1">
        <v>1</v>
      </c>
      <c r="E894" s="5">
        <v>47.05</v>
      </c>
      <c r="F894" s="1" t="s">
        <v>16</v>
      </c>
      <c r="G894" s="1">
        <v>4</v>
      </c>
      <c r="H894" s="1" t="s">
        <v>16</v>
      </c>
      <c r="I894" s="1" t="s">
        <v>16</v>
      </c>
      <c r="J894" s="1" t="s">
        <v>16</v>
      </c>
      <c r="K894" s="1" t="s">
        <v>17</v>
      </c>
      <c r="L894" s="1" t="s">
        <v>17</v>
      </c>
      <c r="M894" s="1" t="s">
        <v>17</v>
      </c>
      <c r="N894" s="27" t="s">
        <v>605</v>
      </c>
      <c r="O894" s="1" t="s">
        <v>16</v>
      </c>
    </row>
    <row r="895" spans="1:15" x14ac:dyDescent="0.2">
      <c r="A895" s="9">
        <v>44167</v>
      </c>
      <c r="B895" s="1" t="s">
        <v>22</v>
      </c>
      <c r="C895" s="1">
        <v>6</v>
      </c>
      <c r="D895" s="1">
        <v>2</v>
      </c>
      <c r="E895" s="5">
        <v>68.31</v>
      </c>
      <c r="F895" s="1" t="s">
        <v>16</v>
      </c>
      <c r="G895" s="1">
        <v>4</v>
      </c>
      <c r="H895" s="1" t="s">
        <v>16</v>
      </c>
      <c r="I895" s="1" t="s">
        <v>16</v>
      </c>
      <c r="J895" s="1" t="s">
        <v>16</v>
      </c>
      <c r="K895" s="1" t="s">
        <v>17</v>
      </c>
      <c r="L895" s="1" t="s">
        <v>17</v>
      </c>
      <c r="M895" s="1" t="s">
        <v>17</v>
      </c>
      <c r="N895" s="27" t="s">
        <v>605</v>
      </c>
      <c r="O895" s="1" t="s">
        <v>16</v>
      </c>
    </row>
    <row r="896" spans="1:15" x14ac:dyDescent="0.2">
      <c r="A896" s="9">
        <v>44167</v>
      </c>
      <c r="B896" s="1" t="s">
        <v>22</v>
      </c>
      <c r="C896" s="1">
        <v>7</v>
      </c>
      <c r="D896" s="1">
        <v>2</v>
      </c>
      <c r="E896" s="5">
        <v>46.85</v>
      </c>
      <c r="F896" s="1" t="s">
        <v>19</v>
      </c>
      <c r="G896" s="1">
        <v>3</v>
      </c>
      <c r="H896" s="1" t="s">
        <v>16</v>
      </c>
      <c r="I896" s="1" t="s">
        <v>16</v>
      </c>
      <c r="J896" s="1" t="s">
        <v>16</v>
      </c>
      <c r="K896" s="1" t="s">
        <v>17</v>
      </c>
      <c r="L896" s="1" t="s">
        <v>17</v>
      </c>
      <c r="M896" s="1" t="s">
        <v>21</v>
      </c>
      <c r="N896" s="27" t="s">
        <v>605</v>
      </c>
      <c r="O896" s="1" t="s">
        <v>16</v>
      </c>
    </row>
    <row r="897" spans="1:15" x14ac:dyDescent="0.2">
      <c r="A897" s="9">
        <v>44167</v>
      </c>
      <c r="B897" s="1" t="s">
        <v>22</v>
      </c>
      <c r="C897" s="1">
        <v>8</v>
      </c>
      <c r="D897" s="1">
        <v>2</v>
      </c>
      <c r="E897" s="5">
        <v>49.04</v>
      </c>
      <c r="F897" s="1" t="s">
        <v>19</v>
      </c>
      <c r="G897" s="1">
        <v>2</v>
      </c>
      <c r="H897" s="1" t="s">
        <v>16</v>
      </c>
      <c r="I897" s="1" t="s">
        <v>16</v>
      </c>
      <c r="J897" s="1" t="s">
        <v>16</v>
      </c>
      <c r="K897" s="1" t="s">
        <v>17</v>
      </c>
      <c r="L897" s="1" t="s">
        <v>17</v>
      </c>
      <c r="M897" s="1" t="s">
        <v>17</v>
      </c>
      <c r="N897" s="27" t="s">
        <v>605</v>
      </c>
      <c r="O897" s="1" t="s">
        <v>16</v>
      </c>
    </row>
    <row r="898" spans="1:15" x14ac:dyDescent="0.2">
      <c r="A898" s="9">
        <v>44167</v>
      </c>
      <c r="B898" s="1" t="s">
        <v>22</v>
      </c>
      <c r="C898" s="1">
        <v>9</v>
      </c>
      <c r="D898" s="1">
        <v>2</v>
      </c>
      <c r="E898" s="5">
        <v>51.69</v>
      </c>
      <c r="F898" s="1" t="s">
        <v>16</v>
      </c>
      <c r="G898" s="1">
        <v>4</v>
      </c>
      <c r="H898" s="1" t="s">
        <v>16</v>
      </c>
      <c r="I898" s="1" t="s">
        <v>16</v>
      </c>
      <c r="J898" s="1" t="s">
        <v>16</v>
      </c>
      <c r="K898" s="1" t="s">
        <v>17</v>
      </c>
      <c r="L898" s="1" t="s">
        <v>17</v>
      </c>
      <c r="M898" s="1" t="s">
        <v>17</v>
      </c>
      <c r="N898" s="27" t="s">
        <v>605</v>
      </c>
      <c r="O898" s="1" t="s">
        <v>16</v>
      </c>
    </row>
    <row r="899" spans="1:15" x14ac:dyDescent="0.2">
      <c r="A899" s="9">
        <v>44167</v>
      </c>
      <c r="B899" s="1" t="s">
        <v>22</v>
      </c>
      <c r="C899" s="1">
        <v>10</v>
      </c>
      <c r="D899" s="1">
        <v>2</v>
      </c>
      <c r="E899" s="5">
        <v>48.82</v>
      </c>
      <c r="F899" s="1" t="s">
        <v>16</v>
      </c>
      <c r="G899" s="1">
        <v>4</v>
      </c>
      <c r="H899" s="1" t="s">
        <v>16</v>
      </c>
      <c r="I899" s="1" t="s">
        <v>16</v>
      </c>
      <c r="J899" s="1" t="s">
        <v>16</v>
      </c>
      <c r="K899" s="1" t="s">
        <v>17</v>
      </c>
      <c r="L899" s="1" t="s">
        <v>17</v>
      </c>
      <c r="M899" s="1" t="s">
        <v>17</v>
      </c>
      <c r="N899" s="27" t="s">
        <v>605</v>
      </c>
      <c r="O899" s="1" t="s">
        <v>16</v>
      </c>
    </row>
    <row r="900" spans="1:15" x14ac:dyDescent="0.2">
      <c r="A900" s="9">
        <v>44167</v>
      </c>
      <c r="B900" s="1" t="s">
        <v>22</v>
      </c>
      <c r="C900" s="1">
        <v>11</v>
      </c>
      <c r="D900" s="1">
        <v>3</v>
      </c>
      <c r="E900" s="5">
        <v>59.87</v>
      </c>
      <c r="F900" s="1" t="s">
        <v>18</v>
      </c>
      <c r="G900" s="1">
        <v>3</v>
      </c>
      <c r="H900" s="1" t="s">
        <v>16</v>
      </c>
      <c r="I900" s="1" t="s">
        <v>16</v>
      </c>
      <c r="J900" s="1" t="s">
        <v>16</v>
      </c>
      <c r="K900" s="1" t="s">
        <v>17</v>
      </c>
      <c r="L900" s="1" t="s">
        <v>17</v>
      </c>
      <c r="M900" s="1" t="s">
        <v>17</v>
      </c>
      <c r="N900" s="27" t="s">
        <v>605</v>
      </c>
      <c r="O900" s="1" t="s">
        <v>16</v>
      </c>
    </row>
    <row r="901" spans="1:15" x14ac:dyDescent="0.2">
      <c r="A901" s="9">
        <v>44167</v>
      </c>
      <c r="B901" s="1" t="s">
        <v>22</v>
      </c>
      <c r="C901" s="1">
        <v>12</v>
      </c>
      <c r="D901" s="1">
        <v>3</v>
      </c>
      <c r="E901" s="5">
        <v>71.88</v>
      </c>
      <c r="F901" s="1" t="s">
        <v>16</v>
      </c>
      <c r="G901" s="1">
        <v>4</v>
      </c>
      <c r="H901" s="1" t="s">
        <v>16</v>
      </c>
      <c r="I901" s="1" t="s">
        <v>16</v>
      </c>
      <c r="J901" s="1" t="s">
        <v>16</v>
      </c>
      <c r="K901" s="1" t="s">
        <v>17</v>
      </c>
      <c r="L901" s="1" t="s">
        <v>17</v>
      </c>
      <c r="M901" s="1" t="s">
        <v>17</v>
      </c>
      <c r="N901" s="27" t="s">
        <v>605</v>
      </c>
      <c r="O901" s="1" t="s">
        <v>16</v>
      </c>
    </row>
    <row r="902" spans="1:15" x14ac:dyDescent="0.2">
      <c r="A902" s="9">
        <v>44167</v>
      </c>
      <c r="B902" s="1" t="s">
        <v>22</v>
      </c>
      <c r="C902" s="1">
        <v>13</v>
      </c>
      <c r="D902" s="1">
        <v>3</v>
      </c>
      <c r="E902" s="5">
        <v>38.270000000000003</v>
      </c>
      <c r="F902" s="1" t="s">
        <v>16</v>
      </c>
      <c r="G902" s="1">
        <v>4</v>
      </c>
      <c r="H902" s="1" t="s">
        <v>16</v>
      </c>
      <c r="I902" s="1" t="s">
        <v>16</v>
      </c>
      <c r="J902" s="1" t="s">
        <v>16</v>
      </c>
      <c r="K902" s="1" t="s">
        <v>17</v>
      </c>
      <c r="L902" s="1" t="s">
        <v>17</v>
      </c>
      <c r="M902" s="1" t="s">
        <v>17</v>
      </c>
      <c r="N902" s="27" t="s">
        <v>605</v>
      </c>
      <c r="O902" s="1" t="s">
        <v>16</v>
      </c>
    </row>
    <row r="903" spans="1:15" x14ac:dyDescent="0.2">
      <c r="A903" s="9">
        <v>44167</v>
      </c>
      <c r="B903" s="1" t="s">
        <v>22</v>
      </c>
      <c r="C903" s="1">
        <v>14</v>
      </c>
      <c r="D903" s="1">
        <v>3</v>
      </c>
      <c r="E903" s="5">
        <v>50.69</v>
      </c>
      <c r="F903" s="1" t="s">
        <v>18</v>
      </c>
      <c r="G903" s="1">
        <v>2</v>
      </c>
      <c r="H903" s="1" t="s">
        <v>16</v>
      </c>
      <c r="I903" s="1" t="s">
        <v>16</v>
      </c>
      <c r="J903" s="1" t="s">
        <v>16</v>
      </c>
      <c r="K903" s="1" t="s">
        <v>17</v>
      </c>
      <c r="L903" s="1" t="s">
        <v>17</v>
      </c>
      <c r="M903" s="1" t="s">
        <v>17</v>
      </c>
      <c r="N903" s="27" t="s">
        <v>605</v>
      </c>
      <c r="O903" s="1" t="s">
        <v>16</v>
      </c>
    </row>
    <row r="904" spans="1:15" x14ac:dyDescent="0.2">
      <c r="A904" s="9">
        <v>44167</v>
      </c>
      <c r="B904" s="1" t="s">
        <v>22</v>
      </c>
      <c r="C904" s="1">
        <v>15</v>
      </c>
      <c r="D904" s="1">
        <v>3</v>
      </c>
      <c r="E904" s="5">
        <v>45.62</v>
      </c>
      <c r="F904" s="1" t="s">
        <v>19</v>
      </c>
      <c r="G904" s="1">
        <v>2</v>
      </c>
      <c r="H904" s="1" t="s">
        <v>16</v>
      </c>
      <c r="I904" s="1" t="s">
        <v>16</v>
      </c>
      <c r="J904" s="1" t="s">
        <v>16</v>
      </c>
      <c r="K904" s="1" t="s">
        <v>17</v>
      </c>
      <c r="L904" s="1" t="s">
        <v>17</v>
      </c>
      <c r="M904" s="1" t="s">
        <v>17</v>
      </c>
      <c r="N904" s="27" t="s">
        <v>605</v>
      </c>
      <c r="O904" s="1" t="s">
        <v>16</v>
      </c>
    </row>
    <row r="905" spans="1:15" x14ac:dyDescent="0.2">
      <c r="A905" s="9">
        <v>44201</v>
      </c>
      <c r="B905" s="1" t="s">
        <v>22</v>
      </c>
      <c r="C905" s="1">
        <v>1</v>
      </c>
      <c r="D905" s="1">
        <v>1</v>
      </c>
      <c r="E905" s="5">
        <v>62.52</v>
      </c>
      <c r="F905" s="1" t="s">
        <v>16</v>
      </c>
      <c r="G905" s="1" t="s">
        <v>16</v>
      </c>
      <c r="H905" s="1" t="s">
        <v>16</v>
      </c>
      <c r="I905" s="1" t="s">
        <v>16</v>
      </c>
      <c r="J905" s="1" t="s">
        <v>16</v>
      </c>
      <c r="K905" s="1" t="s">
        <v>17</v>
      </c>
      <c r="L905" s="1" t="s">
        <v>17</v>
      </c>
      <c r="M905" s="1" t="s">
        <v>21</v>
      </c>
      <c r="N905" s="27" t="s">
        <v>605</v>
      </c>
      <c r="O905" s="1" t="s">
        <v>16</v>
      </c>
    </row>
    <row r="906" spans="1:15" x14ac:dyDescent="0.2">
      <c r="A906" s="9">
        <v>44201</v>
      </c>
      <c r="B906" s="1" t="s">
        <v>22</v>
      </c>
      <c r="C906" s="1">
        <v>2</v>
      </c>
      <c r="D906" s="1">
        <v>1</v>
      </c>
      <c r="E906" s="5">
        <v>70.14</v>
      </c>
      <c r="F906" s="1" t="s">
        <v>16</v>
      </c>
      <c r="G906" s="1">
        <v>4</v>
      </c>
      <c r="H906" s="1" t="s">
        <v>16</v>
      </c>
      <c r="I906" s="1" t="s">
        <v>16</v>
      </c>
      <c r="J906" s="1" t="s">
        <v>16</v>
      </c>
      <c r="K906" s="1" t="s">
        <v>17</v>
      </c>
      <c r="L906" s="1" t="s">
        <v>17</v>
      </c>
      <c r="M906" s="1" t="s">
        <v>17</v>
      </c>
      <c r="N906" s="27" t="s">
        <v>605</v>
      </c>
      <c r="O906" s="1" t="s">
        <v>16</v>
      </c>
    </row>
    <row r="907" spans="1:15" x14ac:dyDescent="0.2">
      <c r="A907" s="9">
        <v>44201</v>
      </c>
      <c r="B907" s="1" t="s">
        <v>22</v>
      </c>
      <c r="C907" s="1">
        <v>3</v>
      </c>
      <c r="D907" s="1">
        <v>1</v>
      </c>
      <c r="E907" s="5">
        <v>54.37</v>
      </c>
      <c r="F907" s="1" t="s">
        <v>16</v>
      </c>
      <c r="G907" s="1">
        <v>4</v>
      </c>
      <c r="H907" s="1" t="s">
        <v>16</v>
      </c>
      <c r="I907" s="1" t="s">
        <v>16</v>
      </c>
      <c r="J907" s="1" t="s">
        <v>16</v>
      </c>
      <c r="K907" s="1" t="s">
        <v>17</v>
      </c>
      <c r="L907" s="1" t="s">
        <v>17</v>
      </c>
      <c r="M907" s="1" t="s">
        <v>17</v>
      </c>
      <c r="N907" s="27" t="s">
        <v>605</v>
      </c>
      <c r="O907" s="1" t="s">
        <v>16</v>
      </c>
    </row>
    <row r="908" spans="1:15" x14ac:dyDescent="0.2">
      <c r="A908" s="9">
        <v>44201</v>
      </c>
      <c r="B908" s="1" t="s">
        <v>22</v>
      </c>
      <c r="C908" s="1">
        <v>4</v>
      </c>
      <c r="D908" s="1">
        <v>1</v>
      </c>
      <c r="E908" s="5">
        <v>65.760000000000005</v>
      </c>
      <c r="F908" s="1" t="s">
        <v>16</v>
      </c>
      <c r="G908" s="1">
        <v>4</v>
      </c>
      <c r="H908" s="1" t="s">
        <v>16</v>
      </c>
      <c r="I908" s="1" t="s">
        <v>16</v>
      </c>
      <c r="J908" s="1" t="s">
        <v>16</v>
      </c>
      <c r="K908" s="1" t="s">
        <v>17</v>
      </c>
      <c r="L908" s="1" t="s">
        <v>17</v>
      </c>
      <c r="M908" s="1" t="s">
        <v>17</v>
      </c>
      <c r="N908" s="27" t="s">
        <v>605</v>
      </c>
      <c r="O908" s="1" t="s">
        <v>16</v>
      </c>
    </row>
    <row r="909" spans="1:15" x14ac:dyDescent="0.2">
      <c r="A909" s="9">
        <v>44201</v>
      </c>
      <c r="B909" s="1" t="s">
        <v>22</v>
      </c>
      <c r="C909" s="1">
        <v>5</v>
      </c>
      <c r="D909" s="1">
        <v>1</v>
      </c>
      <c r="E909" s="5">
        <v>48.39</v>
      </c>
      <c r="F909" s="1" t="s">
        <v>16</v>
      </c>
      <c r="G909" s="1" t="s">
        <v>16</v>
      </c>
      <c r="H909" s="1" t="s">
        <v>16</v>
      </c>
      <c r="I909" s="1" t="s">
        <v>16</v>
      </c>
      <c r="J909" s="1" t="s">
        <v>16</v>
      </c>
      <c r="K909" s="1" t="s">
        <v>17</v>
      </c>
      <c r="L909" s="1" t="s">
        <v>17</v>
      </c>
      <c r="M909" s="1" t="s">
        <v>21</v>
      </c>
      <c r="N909" s="27" t="s">
        <v>605</v>
      </c>
      <c r="O909" s="1" t="s">
        <v>16</v>
      </c>
    </row>
    <row r="910" spans="1:15" x14ac:dyDescent="0.2">
      <c r="A910" s="9">
        <v>44201</v>
      </c>
      <c r="B910" s="1" t="s">
        <v>22</v>
      </c>
      <c r="C910" s="1">
        <v>6</v>
      </c>
      <c r="D910" s="1">
        <v>2</v>
      </c>
      <c r="E910" s="5">
        <v>69.22</v>
      </c>
      <c r="F910" s="1" t="s">
        <v>19</v>
      </c>
      <c r="G910" s="1">
        <v>3</v>
      </c>
      <c r="H910" s="1" t="s">
        <v>16</v>
      </c>
      <c r="I910" s="1" t="s">
        <v>16</v>
      </c>
      <c r="J910" s="1" t="s">
        <v>16</v>
      </c>
      <c r="K910" s="1" t="s">
        <v>17</v>
      </c>
      <c r="L910" s="1" t="s">
        <v>17</v>
      </c>
      <c r="M910" s="1" t="s">
        <v>21</v>
      </c>
      <c r="N910" s="27" t="s">
        <v>605</v>
      </c>
      <c r="O910" s="1" t="s">
        <v>16</v>
      </c>
    </row>
    <row r="911" spans="1:15" x14ac:dyDescent="0.2">
      <c r="A911" s="9">
        <v>44201</v>
      </c>
      <c r="B911" s="1" t="s">
        <v>22</v>
      </c>
      <c r="C911" s="1">
        <v>7</v>
      </c>
      <c r="D911" s="1">
        <v>2</v>
      </c>
      <c r="E911" s="5">
        <v>67.900000000000006</v>
      </c>
      <c r="F911" s="1" t="s">
        <v>16</v>
      </c>
      <c r="G911" s="1">
        <v>4</v>
      </c>
      <c r="H911" s="1" t="s">
        <v>16</v>
      </c>
      <c r="I911" s="1" t="s">
        <v>16</v>
      </c>
      <c r="J911" s="1" t="s">
        <v>16</v>
      </c>
      <c r="K911" s="1" t="s">
        <v>17</v>
      </c>
      <c r="L911" s="1" t="s">
        <v>17</v>
      </c>
      <c r="M911" s="1" t="s">
        <v>17</v>
      </c>
      <c r="N911" s="27" t="s">
        <v>605</v>
      </c>
      <c r="O911" s="1" t="s">
        <v>16</v>
      </c>
    </row>
    <row r="912" spans="1:15" x14ac:dyDescent="0.2">
      <c r="A912" s="9">
        <v>44201</v>
      </c>
      <c r="B912" s="1" t="s">
        <v>22</v>
      </c>
      <c r="C912" s="1">
        <v>8</v>
      </c>
      <c r="D912" s="1">
        <v>2</v>
      </c>
      <c r="E912" s="5">
        <v>53.14</v>
      </c>
      <c r="F912" s="1" t="s">
        <v>16</v>
      </c>
      <c r="G912" s="1" t="s">
        <v>16</v>
      </c>
      <c r="H912" s="1" t="s">
        <v>16</v>
      </c>
      <c r="I912" s="1" t="s">
        <v>16</v>
      </c>
      <c r="J912" s="1" t="s">
        <v>16</v>
      </c>
      <c r="K912" s="1" t="s">
        <v>17</v>
      </c>
      <c r="L912" s="1" t="s">
        <v>17</v>
      </c>
      <c r="M912" s="1" t="s">
        <v>21</v>
      </c>
      <c r="N912" s="27" t="s">
        <v>605</v>
      </c>
      <c r="O912" s="1" t="s">
        <v>16</v>
      </c>
    </row>
    <row r="913" spans="1:15" x14ac:dyDescent="0.2">
      <c r="A913" s="9">
        <v>44201</v>
      </c>
      <c r="B913" s="1" t="s">
        <v>22</v>
      </c>
      <c r="C913" s="1">
        <v>9</v>
      </c>
      <c r="D913" s="1">
        <v>2</v>
      </c>
      <c r="E913" s="5">
        <v>59.47</v>
      </c>
      <c r="F913" s="1" t="s">
        <v>16</v>
      </c>
      <c r="G913" s="1" t="s">
        <v>16</v>
      </c>
      <c r="H913" s="1" t="s">
        <v>16</v>
      </c>
      <c r="I913" s="1" t="s">
        <v>16</v>
      </c>
      <c r="J913" s="1" t="s">
        <v>16</v>
      </c>
      <c r="K913" s="1" t="s">
        <v>17</v>
      </c>
      <c r="L913" s="1" t="s">
        <v>17</v>
      </c>
      <c r="M913" s="1" t="s">
        <v>21</v>
      </c>
      <c r="N913" s="27" t="s">
        <v>605</v>
      </c>
      <c r="O913" s="1" t="s">
        <v>16</v>
      </c>
    </row>
    <row r="914" spans="1:15" x14ac:dyDescent="0.2">
      <c r="A914" s="9">
        <v>44201</v>
      </c>
      <c r="B914" s="1" t="s">
        <v>22</v>
      </c>
      <c r="C914" s="1">
        <v>10</v>
      </c>
      <c r="D914" s="1">
        <v>2</v>
      </c>
      <c r="E914" s="5">
        <v>48.58</v>
      </c>
      <c r="F914" s="1" t="s">
        <v>18</v>
      </c>
      <c r="G914" s="1">
        <v>1</v>
      </c>
      <c r="H914" s="1" t="s">
        <v>16</v>
      </c>
      <c r="I914" s="1" t="s">
        <v>16</v>
      </c>
      <c r="J914" s="1" t="s">
        <v>16</v>
      </c>
      <c r="K914" s="1" t="s">
        <v>17</v>
      </c>
      <c r="L914" s="1" t="s">
        <v>17</v>
      </c>
      <c r="M914" s="1" t="s">
        <v>17</v>
      </c>
      <c r="N914" s="27" t="s">
        <v>605</v>
      </c>
      <c r="O914" s="1" t="s">
        <v>16</v>
      </c>
    </row>
    <row r="915" spans="1:15" x14ac:dyDescent="0.2">
      <c r="A915" s="9">
        <v>44201</v>
      </c>
      <c r="B915" s="1" t="s">
        <v>22</v>
      </c>
      <c r="C915" s="1">
        <v>11</v>
      </c>
      <c r="D915" s="1">
        <v>3</v>
      </c>
      <c r="E915" s="5">
        <v>74.16</v>
      </c>
      <c r="F915" s="1" t="s">
        <v>18</v>
      </c>
      <c r="G915" s="1">
        <v>1</v>
      </c>
      <c r="H915" s="1" t="s">
        <v>16</v>
      </c>
      <c r="I915" s="1" t="s">
        <v>16</v>
      </c>
      <c r="J915" s="1" t="s">
        <v>16</v>
      </c>
      <c r="K915" s="1" t="s">
        <v>17</v>
      </c>
      <c r="L915" s="1" t="s">
        <v>17</v>
      </c>
      <c r="M915" s="1" t="s">
        <v>17</v>
      </c>
      <c r="N915" s="27" t="s">
        <v>605</v>
      </c>
      <c r="O915" s="1" t="s">
        <v>16</v>
      </c>
    </row>
    <row r="916" spans="1:15" x14ac:dyDescent="0.2">
      <c r="A916" s="9">
        <v>44201</v>
      </c>
      <c r="B916" s="1" t="s">
        <v>22</v>
      </c>
      <c r="C916" s="1">
        <v>12</v>
      </c>
      <c r="D916" s="1">
        <v>3</v>
      </c>
      <c r="E916" s="5">
        <v>62.57</v>
      </c>
      <c r="F916" s="1" t="s">
        <v>18</v>
      </c>
      <c r="G916" s="1">
        <v>1</v>
      </c>
      <c r="H916" s="1" t="s">
        <v>16</v>
      </c>
      <c r="I916" s="1" t="s">
        <v>16</v>
      </c>
      <c r="J916" s="1" t="s">
        <v>16</v>
      </c>
      <c r="K916" s="1" t="s">
        <v>17</v>
      </c>
      <c r="L916" s="1" t="s">
        <v>17</v>
      </c>
      <c r="M916" s="1" t="s">
        <v>17</v>
      </c>
      <c r="N916" s="27" t="s">
        <v>605</v>
      </c>
      <c r="O916" s="1" t="s">
        <v>16</v>
      </c>
    </row>
    <row r="917" spans="1:15" x14ac:dyDescent="0.2">
      <c r="A917" s="9">
        <v>44201</v>
      </c>
      <c r="B917" s="1" t="s">
        <v>22</v>
      </c>
      <c r="C917" s="1">
        <v>13</v>
      </c>
      <c r="D917" s="1">
        <v>3</v>
      </c>
      <c r="E917" s="5">
        <v>62.21</v>
      </c>
      <c r="F917" s="1" t="s">
        <v>16</v>
      </c>
      <c r="G917" s="1">
        <v>4</v>
      </c>
      <c r="H917" s="1" t="s">
        <v>16</v>
      </c>
      <c r="I917" s="1" t="s">
        <v>16</v>
      </c>
      <c r="J917" s="1" t="s">
        <v>16</v>
      </c>
      <c r="K917" s="1" t="s">
        <v>17</v>
      </c>
      <c r="L917" s="1" t="s">
        <v>17</v>
      </c>
      <c r="M917" s="1" t="s">
        <v>21</v>
      </c>
      <c r="N917" s="27" t="s">
        <v>605</v>
      </c>
      <c r="O917" s="1" t="s">
        <v>16</v>
      </c>
    </row>
    <row r="918" spans="1:15" x14ac:dyDescent="0.2">
      <c r="A918" s="9">
        <v>44201</v>
      </c>
      <c r="B918" s="1" t="s">
        <v>22</v>
      </c>
      <c r="C918" s="1">
        <v>14</v>
      </c>
      <c r="D918" s="1">
        <v>3</v>
      </c>
      <c r="E918" s="5">
        <v>45.17</v>
      </c>
      <c r="F918" s="1" t="s">
        <v>16</v>
      </c>
      <c r="G918" s="1" t="s">
        <v>16</v>
      </c>
      <c r="H918" s="1" t="s">
        <v>16</v>
      </c>
      <c r="I918" s="1" t="s">
        <v>16</v>
      </c>
      <c r="J918" s="1" t="s">
        <v>16</v>
      </c>
      <c r="K918" s="1" t="s">
        <v>17</v>
      </c>
      <c r="L918" s="1" t="s">
        <v>17</v>
      </c>
      <c r="M918" s="1" t="s">
        <v>21</v>
      </c>
      <c r="N918" s="27" t="s">
        <v>605</v>
      </c>
      <c r="O918" s="1" t="s">
        <v>16</v>
      </c>
    </row>
    <row r="919" spans="1:15" x14ac:dyDescent="0.2">
      <c r="A919" s="9">
        <v>44201</v>
      </c>
      <c r="B919" s="1" t="s">
        <v>22</v>
      </c>
      <c r="C919" s="1">
        <v>15</v>
      </c>
      <c r="D919" s="1">
        <v>3</v>
      </c>
      <c r="E919" s="5">
        <v>74.78</v>
      </c>
      <c r="F919" s="1" t="s">
        <v>19</v>
      </c>
      <c r="G919" s="1">
        <v>3</v>
      </c>
      <c r="H919" s="1" t="s">
        <v>16</v>
      </c>
      <c r="I919" s="1" t="s">
        <v>16</v>
      </c>
      <c r="J919" s="1" t="s">
        <v>16</v>
      </c>
      <c r="K919" s="1" t="s">
        <v>17</v>
      </c>
      <c r="L919" s="1" t="s">
        <v>17</v>
      </c>
      <c r="M919" s="1" t="s">
        <v>17</v>
      </c>
      <c r="N919" s="27" t="s">
        <v>605</v>
      </c>
      <c r="O919" s="1" t="s">
        <v>16</v>
      </c>
    </row>
    <row r="920" spans="1:15" x14ac:dyDescent="0.2">
      <c r="A920" s="9">
        <v>44230</v>
      </c>
      <c r="B920" s="1" t="s">
        <v>22</v>
      </c>
      <c r="C920" s="1">
        <v>1</v>
      </c>
      <c r="D920" s="1">
        <v>1</v>
      </c>
      <c r="E920" s="5">
        <v>59.15</v>
      </c>
      <c r="F920" s="1" t="s">
        <v>18</v>
      </c>
      <c r="G920" s="1">
        <v>1</v>
      </c>
      <c r="H920" s="1" t="s">
        <v>16</v>
      </c>
      <c r="I920" s="1" t="s">
        <v>16</v>
      </c>
      <c r="J920" s="1" t="s">
        <v>16</v>
      </c>
      <c r="K920" s="1" t="s">
        <v>17</v>
      </c>
      <c r="L920" s="1" t="s">
        <v>17</v>
      </c>
      <c r="M920" s="1" t="s">
        <v>17</v>
      </c>
      <c r="N920" s="27" t="s">
        <v>605</v>
      </c>
      <c r="O920" s="1" t="s">
        <v>16</v>
      </c>
    </row>
    <row r="921" spans="1:15" x14ac:dyDescent="0.2">
      <c r="A921" s="9">
        <v>44230</v>
      </c>
      <c r="B921" s="1" t="s">
        <v>22</v>
      </c>
      <c r="C921" s="1">
        <v>2</v>
      </c>
      <c r="D921" s="1">
        <v>1</v>
      </c>
      <c r="E921" s="5">
        <v>48.89</v>
      </c>
      <c r="F921" s="1" t="s">
        <v>18</v>
      </c>
      <c r="G921" s="1">
        <v>1</v>
      </c>
      <c r="H921" s="1" t="s">
        <v>16</v>
      </c>
      <c r="I921" s="1" t="s">
        <v>16</v>
      </c>
      <c r="J921" s="1" t="s">
        <v>16</v>
      </c>
      <c r="K921" s="1" t="s">
        <v>21</v>
      </c>
      <c r="L921" s="1" t="s">
        <v>17</v>
      </c>
      <c r="M921" s="1" t="s">
        <v>17</v>
      </c>
      <c r="N921" s="27" t="s">
        <v>605</v>
      </c>
      <c r="O921" s="1" t="s">
        <v>16</v>
      </c>
    </row>
    <row r="922" spans="1:15" x14ac:dyDescent="0.2">
      <c r="A922" s="9">
        <v>44230</v>
      </c>
      <c r="B922" s="1" t="s">
        <v>22</v>
      </c>
      <c r="C922" s="1">
        <v>3</v>
      </c>
      <c r="D922" s="1">
        <v>1</v>
      </c>
      <c r="E922" s="5">
        <v>48.86</v>
      </c>
      <c r="F922" s="1" t="s">
        <v>16</v>
      </c>
      <c r="G922" s="1">
        <v>4</v>
      </c>
      <c r="H922" s="1" t="s">
        <v>16</v>
      </c>
      <c r="I922" s="1" t="s">
        <v>16</v>
      </c>
      <c r="J922" s="1" t="s">
        <v>16</v>
      </c>
      <c r="K922" s="1" t="s">
        <v>17</v>
      </c>
      <c r="L922" s="1" t="s">
        <v>17</v>
      </c>
      <c r="M922" s="1" t="s">
        <v>17</v>
      </c>
      <c r="N922" s="27" t="s">
        <v>605</v>
      </c>
      <c r="O922" s="1" t="s">
        <v>16</v>
      </c>
    </row>
    <row r="923" spans="1:15" x14ac:dyDescent="0.2">
      <c r="A923" s="9">
        <v>44230</v>
      </c>
      <c r="B923" s="1" t="s">
        <v>22</v>
      </c>
      <c r="C923" s="1">
        <v>4</v>
      </c>
      <c r="D923" s="1">
        <v>1</v>
      </c>
      <c r="E923" s="5">
        <v>38.17</v>
      </c>
      <c r="F923" s="1" t="s">
        <v>16</v>
      </c>
      <c r="G923" s="1">
        <v>4</v>
      </c>
      <c r="H923" s="1" t="s">
        <v>16</v>
      </c>
      <c r="I923" s="1" t="s">
        <v>16</v>
      </c>
      <c r="J923" s="1" t="s">
        <v>16</v>
      </c>
      <c r="K923" s="1" t="s">
        <v>17</v>
      </c>
      <c r="L923" s="1" t="s">
        <v>17</v>
      </c>
      <c r="M923" s="1" t="s">
        <v>17</v>
      </c>
      <c r="N923" s="27" t="s">
        <v>605</v>
      </c>
      <c r="O923" s="1" t="s">
        <v>16</v>
      </c>
    </row>
    <row r="924" spans="1:15" x14ac:dyDescent="0.2">
      <c r="A924" s="9">
        <v>44230</v>
      </c>
      <c r="B924" s="1" t="s">
        <v>22</v>
      </c>
      <c r="C924" s="1">
        <v>5</v>
      </c>
      <c r="D924" s="1">
        <v>1</v>
      </c>
      <c r="E924" s="5">
        <v>41.2</v>
      </c>
      <c r="F924" s="1" t="s">
        <v>18</v>
      </c>
      <c r="G924" s="1">
        <v>1</v>
      </c>
      <c r="H924" s="1" t="s">
        <v>16</v>
      </c>
      <c r="I924" s="1" t="s">
        <v>16</v>
      </c>
      <c r="J924" s="1" t="s">
        <v>16</v>
      </c>
      <c r="K924" s="1" t="s">
        <v>17</v>
      </c>
      <c r="L924" s="1" t="s">
        <v>17</v>
      </c>
      <c r="M924" s="1" t="s">
        <v>17</v>
      </c>
      <c r="N924" s="27" t="s">
        <v>605</v>
      </c>
      <c r="O924" s="1" t="s">
        <v>16</v>
      </c>
    </row>
    <row r="925" spans="1:15" x14ac:dyDescent="0.2">
      <c r="A925" s="9">
        <v>44230</v>
      </c>
      <c r="B925" s="1" t="s">
        <v>22</v>
      </c>
      <c r="C925" s="1">
        <v>6</v>
      </c>
      <c r="D925" s="1">
        <v>2</v>
      </c>
      <c r="E925" s="5">
        <v>57.52</v>
      </c>
      <c r="F925" s="1" t="s">
        <v>18</v>
      </c>
      <c r="G925" s="1">
        <v>1</v>
      </c>
      <c r="H925" s="1" t="s">
        <v>16</v>
      </c>
      <c r="I925" s="1" t="s">
        <v>16</v>
      </c>
      <c r="J925" s="1" t="s">
        <v>16</v>
      </c>
      <c r="K925" s="1" t="s">
        <v>17</v>
      </c>
      <c r="L925" s="1" t="s">
        <v>17</v>
      </c>
      <c r="M925" s="1" t="s">
        <v>17</v>
      </c>
      <c r="N925" s="27" t="s">
        <v>605</v>
      </c>
      <c r="O925" s="1" t="s">
        <v>16</v>
      </c>
    </row>
    <row r="926" spans="1:15" x14ac:dyDescent="0.2">
      <c r="A926" s="9">
        <v>44230</v>
      </c>
      <c r="B926" s="1" t="s">
        <v>22</v>
      </c>
      <c r="C926" s="1">
        <v>7</v>
      </c>
      <c r="D926" s="1">
        <v>2</v>
      </c>
      <c r="E926" s="5">
        <v>50.47</v>
      </c>
      <c r="F926" s="1" t="s">
        <v>19</v>
      </c>
      <c r="G926" s="1">
        <v>2</v>
      </c>
      <c r="H926" s="1" t="s">
        <v>16</v>
      </c>
      <c r="I926" s="1" t="s">
        <v>16</v>
      </c>
      <c r="J926" s="1" t="s">
        <v>16</v>
      </c>
      <c r="K926" s="1" t="s">
        <v>17</v>
      </c>
      <c r="L926" s="1" t="s">
        <v>17</v>
      </c>
      <c r="M926" s="1" t="s">
        <v>17</v>
      </c>
      <c r="N926" s="27" t="s">
        <v>605</v>
      </c>
      <c r="O926" s="1" t="s">
        <v>16</v>
      </c>
    </row>
    <row r="927" spans="1:15" x14ac:dyDescent="0.2">
      <c r="A927" s="9">
        <v>44230</v>
      </c>
      <c r="B927" s="1" t="s">
        <v>22</v>
      </c>
      <c r="C927" s="1">
        <v>8</v>
      </c>
      <c r="D927" s="1">
        <v>2</v>
      </c>
      <c r="E927" s="5">
        <v>57.94</v>
      </c>
      <c r="F927" s="1" t="s">
        <v>19</v>
      </c>
      <c r="G927" s="1">
        <v>2</v>
      </c>
      <c r="H927" s="1" t="s">
        <v>16</v>
      </c>
      <c r="I927" s="1" t="s">
        <v>16</v>
      </c>
      <c r="J927" s="1" t="s">
        <v>16</v>
      </c>
      <c r="K927" s="1" t="s">
        <v>17</v>
      </c>
      <c r="L927" s="1" t="s">
        <v>17</v>
      </c>
      <c r="M927" s="1" t="s">
        <v>17</v>
      </c>
      <c r="N927" s="27" t="s">
        <v>605</v>
      </c>
      <c r="O927" s="1" t="s">
        <v>16</v>
      </c>
    </row>
    <row r="928" spans="1:15" x14ac:dyDescent="0.2">
      <c r="A928" s="9">
        <v>44230</v>
      </c>
      <c r="B928" s="1" t="s">
        <v>22</v>
      </c>
      <c r="C928" s="1">
        <v>9</v>
      </c>
      <c r="D928" s="1">
        <v>2</v>
      </c>
      <c r="E928" s="5">
        <v>38.44</v>
      </c>
      <c r="F928" s="1" t="s">
        <v>16</v>
      </c>
      <c r="G928" s="1">
        <v>4</v>
      </c>
      <c r="H928" s="1" t="s">
        <v>16</v>
      </c>
      <c r="I928" s="1" t="s">
        <v>16</v>
      </c>
      <c r="J928" s="1" t="s">
        <v>16</v>
      </c>
      <c r="K928" s="1" t="s">
        <v>17</v>
      </c>
      <c r="L928" s="1" t="s">
        <v>17</v>
      </c>
      <c r="M928" s="1" t="s">
        <v>17</v>
      </c>
      <c r="N928" s="27" t="s">
        <v>605</v>
      </c>
      <c r="O928" s="1" t="s">
        <v>16</v>
      </c>
    </row>
    <row r="929" spans="1:15" x14ac:dyDescent="0.2">
      <c r="A929" s="9">
        <v>44230</v>
      </c>
      <c r="B929" s="1" t="s">
        <v>22</v>
      </c>
      <c r="C929" s="1">
        <v>10</v>
      </c>
      <c r="D929" s="1">
        <v>2</v>
      </c>
      <c r="E929" s="5">
        <v>44.46</v>
      </c>
      <c r="F929" s="1" t="s">
        <v>19</v>
      </c>
      <c r="G929" s="1">
        <v>2</v>
      </c>
      <c r="H929" s="1" t="s">
        <v>16</v>
      </c>
      <c r="I929" s="1" t="s">
        <v>16</v>
      </c>
      <c r="J929" s="1" t="s">
        <v>16</v>
      </c>
      <c r="K929" s="1" t="s">
        <v>17</v>
      </c>
      <c r="L929" s="1" t="s">
        <v>17</v>
      </c>
      <c r="M929" s="1" t="s">
        <v>17</v>
      </c>
      <c r="N929" s="27" t="s">
        <v>605</v>
      </c>
      <c r="O929" s="1" t="s">
        <v>16</v>
      </c>
    </row>
    <row r="930" spans="1:15" x14ac:dyDescent="0.2">
      <c r="A930" s="9">
        <v>44230</v>
      </c>
      <c r="B930" s="1" t="s">
        <v>22</v>
      </c>
      <c r="C930" s="1">
        <v>11</v>
      </c>
      <c r="D930" s="1">
        <v>3</v>
      </c>
      <c r="E930" s="5">
        <v>58.15</v>
      </c>
      <c r="F930" s="1" t="s">
        <v>18</v>
      </c>
      <c r="G930" s="1">
        <v>1</v>
      </c>
      <c r="H930" s="1" t="s">
        <v>16</v>
      </c>
      <c r="I930" s="1" t="s">
        <v>16</v>
      </c>
      <c r="J930" s="1" t="s">
        <v>16</v>
      </c>
      <c r="K930" s="1" t="s">
        <v>17</v>
      </c>
      <c r="L930" s="1" t="s">
        <v>17</v>
      </c>
      <c r="M930" s="1" t="s">
        <v>17</v>
      </c>
      <c r="N930" s="27" t="s">
        <v>605</v>
      </c>
      <c r="O930" s="1" t="s">
        <v>16</v>
      </c>
    </row>
    <row r="931" spans="1:15" x14ac:dyDescent="0.2">
      <c r="A931" s="9">
        <v>44230</v>
      </c>
      <c r="B931" s="1" t="s">
        <v>22</v>
      </c>
      <c r="C931" s="1">
        <v>12</v>
      </c>
      <c r="D931" s="1">
        <v>3</v>
      </c>
      <c r="E931" s="5">
        <v>29.48</v>
      </c>
      <c r="F931" s="1" t="s">
        <v>19</v>
      </c>
      <c r="G931" s="1">
        <v>2</v>
      </c>
      <c r="H931" s="1" t="s">
        <v>16</v>
      </c>
      <c r="I931" s="1" t="s">
        <v>16</v>
      </c>
      <c r="J931" s="1" t="s">
        <v>16</v>
      </c>
      <c r="K931" s="1" t="s">
        <v>17</v>
      </c>
      <c r="L931" s="1" t="s">
        <v>17</v>
      </c>
      <c r="M931" s="1" t="s">
        <v>17</v>
      </c>
      <c r="N931" s="27" t="s">
        <v>605</v>
      </c>
      <c r="O931" s="1" t="s">
        <v>16</v>
      </c>
    </row>
    <row r="932" spans="1:15" x14ac:dyDescent="0.2">
      <c r="A932" s="9">
        <v>44230</v>
      </c>
      <c r="B932" s="1" t="s">
        <v>22</v>
      </c>
      <c r="C932" s="1">
        <v>13</v>
      </c>
      <c r="D932" s="1">
        <v>3</v>
      </c>
      <c r="E932" s="5">
        <v>90.09</v>
      </c>
      <c r="F932" s="1" t="s">
        <v>18</v>
      </c>
      <c r="G932" s="1">
        <v>1</v>
      </c>
      <c r="H932" s="1" t="s">
        <v>16</v>
      </c>
      <c r="I932" s="1" t="s">
        <v>16</v>
      </c>
      <c r="J932" s="1" t="s">
        <v>16</v>
      </c>
      <c r="K932" s="1" t="s">
        <v>17</v>
      </c>
      <c r="L932" s="1" t="s">
        <v>17</v>
      </c>
      <c r="M932" s="1" t="s">
        <v>17</v>
      </c>
      <c r="N932" s="27" t="s">
        <v>605</v>
      </c>
      <c r="O932" s="1" t="s">
        <v>16</v>
      </c>
    </row>
    <row r="933" spans="1:15" x14ac:dyDescent="0.2">
      <c r="A933" s="9">
        <v>44230</v>
      </c>
      <c r="B933" s="1" t="s">
        <v>22</v>
      </c>
      <c r="C933" s="1">
        <v>14</v>
      </c>
      <c r="D933" s="1">
        <v>3</v>
      </c>
      <c r="E933" s="5">
        <v>47.19</v>
      </c>
      <c r="F933" s="1" t="s">
        <v>18</v>
      </c>
      <c r="G933" s="1">
        <v>2</v>
      </c>
      <c r="H933" s="1" t="s">
        <v>16</v>
      </c>
      <c r="I933" s="1" t="s">
        <v>16</v>
      </c>
      <c r="J933" s="1" t="s">
        <v>16</v>
      </c>
      <c r="K933" s="1" t="s">
        <v>17</v>
      </c>
      <c r="L933" s="1" t="s">
        <v>17</v>
      </c>
      <c r="M933" s="1" t="s">
        <v>17</v>
      </c>
      <c r="N933" s="27" t="s">
        <v>605</v>
      </c>
      <c r="O933" s="1" t="s">
        <v>16</v>
      </c>
    </row>
    <row r="934" spans="1:15" x14ac:dyDescent="0.2">
      <c r="A934" s="9">
        <v>44230</v>
      </c>
      <c r="B934" s="1" t="s">
        <v>22</v>
      </c>
      <c r="C934" s="1">
        <v>15</v>
      </c>
      <c r="D934" s="1">
        <v>3</v>
      </c>
      <c r="E934" s="5">
        <v>41.23</v>
      </c>
      <c r="F934" s="1" t="s">
        <v>18</v>
      </c>
      <c r="G934" s="1">
        <v>2</v>
      </c>
      <c r="H934" s="1" t="s">
        <v>16</v>
      </c>
      <c r="I934" s="1" t="s">
        <v>16</v>
      </c>
      <c r="J934" s="1" t="s">
        <v>16</v>
      </c>
      <c r="K934" s="1" t="s">
        <v>17</v>
      </c>
      <c r="L934" s="1" t="s">
        <v>17</v>
      </c>
      <c r="M934" s="1" t="s">
        <v>17</v>
      </c>
      <c r="N934" s="27" t="s">
        <v>605</v>
      </c>
      <c r="O934" s="1" t="s">
        <v>16</v>
      </c>
    </row>
    <row r="935" spans="1:15" x14ac:dyDescent="0.2">
      <c r="A935" s="9">
        <v>44257</v>
      </c>
      <c r="B935" s="1" t="s">
        <v>22</v>
      </c>
      <c r="C935" s="1">
        <v>1</v>
      </c>
      <c r="D935" s="1">
        <v>1</v>
      </c>
      <c r="E935" s="5">
        <v>65.95</v>
      </c>
      <c r="F935" s="1" t="s">
        <v>18</v>
      </c>
      <c r="G935" s="1">
        <v>2</v>
      </c>
      <c r="H935" s="1" t="s">
        <v>16</v>
      </c>
      <c r="I935" s="1" t="s">
        <v>16</v>
      </c>
      <c r="J935" s="1" t="s">
        <v>16</v>
      </c>
      <c r="K935" s="1" t="s">
        <v>17</v>
      </c>
      <c r="L935" s="1" t="s">
        <v>17</v>
      </c>
      <c r="M935" s="1" t="s">
        <v>17</v>
      </c>
      <c r="N935" s="27" t="s">
        <v>605</v>
      </c>
      <c r="O935" s="1" t="s">
        <v>16</v>
      </c>
    </row>
    <row r="936" spans="1:15" x14ac:dyDescent="0.2">
      <c r="A936" s="9">
        <v>44257</v>
      </c>
      <c r="B936" s="1" t="s">
        <v>22</v>
      </c>
      <c r="C936" s="1">
        <v>2</v>
      </c>
      <c r="D936" s="1">
        <v>1</v>
      </c>
      <c r="E936" s="5">
        <v>38.409999999999997</v>
      </c>
      <c r="F936" s="1" t="s">
        <v>19</v>
      </c>
      <c r="G936" s="1">
        <v>2</v>
      </c>
      <c r="H936" s="1" t="s">
        <v>16</v>
      </c>
      <c r="I936" s="1" t="s">
        <v>16</v>
      </c>
      <c r="J936" s="1" t="s">
        <v>16</v>
      </c>
      <c r="K936" s="1" t="s">
        <v>17</v>
      </c>
      <c r="L936" s="1" t="s">
        <v>17</v>
      </c>
      <c r="M936" s="1" t="s">
        <v>17</v>
      </c>
      <c r="N936" s="27" t="s">
        <v>605</v>
      </c>
      <c r="O936" s="1" t="s">
        <v>16</v>
      </c>
    </row>
    <row r="937" spans="1:15" x14ac:dyDescent="0.2">
      <c r="A937" s="9">
        <v>44257</v>
      </c>
      <c r="B937" s="1" t="s">
        <v>22</v>
      </c>
      <c r="C937" s="1">
        <v>3</v>
      </c>
      <c r="D937" s="1">
        <v>1</v>
      </c>
      <c r="E937" s="5">
        <v>75.5</v>
      </c>
      <c r="F937" s="1" t="s">
        <v>19</v>
      </c>
      <c r="G937" s="1">
        <v>2</v>
      </c>
      <c r="H937" s="1" t="s">
        <v>16</v>
      </c>
      <c r="I937" s="1" t="s">
        <v>16</v>
      </c>
      <c r="J937" s="1" t="s">
        <v>16</v>
      </c>
      <c r="K937" s="1" t="s">
        <v>17</v>
      </c>
      <c r="L937" s="1" t="s">
        <v>17</v>
      </c>
      <c r="M937" s="1" t="s">
        <v>17</v>
      </c>
      <c r="N937" s="27" t="s">
        <v>605</v>
      </c>
      <c r="O937" s="1" t="s">
        <v>16</v>
      </c>
    </row>
    <row r="938" spans="1:15" x14ac:dyDescent="0.2">
      <c r="A938" s="9">
        <v>44257</v>
      </c>
      <c r="B938" s="1" t="s">
        <v>22</v>
      </c>
      <c r="C938" s="1">
        <v>4</v>
      </c>
      <c r="D938" s="1">
        <v>1</v>
      </c>
      <c r="E938" s="5">
        <v>43.8</v>
      </c>
      <c r="F938" s="1" t="s">
        <v>18</v>
      </c>
      <c r="G938" s="1">
        <v>2</v>
      </c>
      <c r="H938" s="1" t="s">
        <v>16</v>
      </c>
      <c r="I938" s="1" t="s">
        <v>16</v>
      </c>
      <c r="J938" s="1" t="s">
        <v>16</v>
      </c>
      <c r="K938" s="1" t="s">
        <v>17</v>
      </c>
      <c r="L938" s="1" t="s">
        <v>17</v>
      </c>
      <c r="M938" s="1" t="s">
        <v>17</v>
      </c>
      <c r="N938" s="27" t="s">
        <v>605</v>
      </c>
      <c r="O938" s="1" t="s">
        <v>16</v>
      </c>
    </row>
    <row r="939" spans="1:15" x14ac:dyDescent="0.2">
      <c r="A939" s="9">
        <v>44257</v>
      </c>
      <c r="B939" s="1" t="s">
        <v>22</v>
      </c>
      <c r="C939" s="1">
        <v>5</v>
      </c>
      <c r="D939" s="1">
        <v>1</v>
      </c>
      <c r="E939" s="5">
        <v>45.21</v>
      </c>
      <c r="F939" s="1" t="s">
        <v>19</v>
      </c>
      <c r="G939" s="1">
        <v>2</v>
      </c>
      <c r="H939" s="1" t="s">
        <v>16</v>
      </c>
      <c r="I939" s="1" t="s">
        <v>16</v>
      </c>
      <c r="J939" s="1" t="s">
        <v>16</v>
      </c>
      <c r="K939" s="1" t="s">
        <v>17</v>
      </c>
      <c r="L939" s="1" t="s">
        <v>17</v>
      </c>
      <c r="M939" s="1" t="s">
        <v>17</v>
      </c>
      <c r="N939" s="27" t="s">
        <v>605</v>
      </c>
      <c r="O939" s="1" t="s">
        <v>16</v>
      </c>
    </row>
    <row r="940" spans="1:15" x14ac:dyDescent="0.2">
      <c r="A940" s="9">
        <v>44257</v>
      </c>
      <c r="B940" s="1" t="s">
        <v>22</v>
      </c>
      <c r="C940" s="1">
        <v>6</v>
      </c>
      <c r="D940" s="1">
        <v>2</v>
      </c>
      <c r="E940" s="5">
        <v>39.19</v>
      </c>
      <c r="F940" s="1" t="s">
        <v>19</v>
      </c>
      <c r="G940" s="1">
        <v>2</v>
      </c>
      <c r="H940" s="1" t="s">
        <v>16</v>
      </c>
      <c r="I940" s="1" t="s">
        <v>16</v>
      </c>
      <c r="J940" s="1" t="s">
        <v>16</v>
      </c>
      <c r="K940" s="1" t="s">
        <v>17</v>
      </c>
      <c r="L940" s="1" t="s">
        <v>17</v>
      </c>
      <c r="M940" s="1" t="s">
        <v>17</v>
      </c>
      <c r="N940" s="27" t="s">
        <v>605</v>
      </c>
      <c r="O940" s="1" t="s">
        <v>16</v>
      </c>
    </row>
    <row r="941" spans="1:15" x14ac:dyDescent="0.2">
      <c r="A941" s="9">
        <v>44257</v>
      </c>
      <c r="B941" s="1" t="s">
        <v>22</v>
      </c>
      <c r="C941" s="1">
        <v>7</v>
      </c>
      <c r="D941" s="1">
        <v>2</v>
      </c>
      <c r="E941" s="5">
        <v>93.58</v>
      </c>
      <c r="F941" s="1" t="s">
        <v>18</v>
      </c>
      <c r="G941" s="1">
        <v>2</v>
      </c>
      <c r="H941" s="1" t="s">
        <v>16</v>
      </c>
      <c r="I941" s="1" t="s">
        <v>16</v>
      </c>
      <c r="J941" s="1" t="s">
        <v>16</v>
      </c>
      <c r="K941" s="1" t="s">
        <v>17</v>
      </c>
      <c r="L941" s="1" t="s">
        <v>17</v>
      </c>
      <c r="M941" s="1" t="s">
        <v>17</v>
      </c>
      <c r="N941" s="27" t="s">
        <v>605</v>
      </c>
      <c r="O941" s="1" t="s">
        <v>16</v>
      </c>
    </row>
    <row r="942" spans="1:15" x14ac:dyDescent="0.2">
      <c r="A942" s="9">
        <v>44257</v>
      </c>
      <c r="B942" s="1" t="s">
        <v>22</v>
      </c>
      <c r="C942" s="1">
        <v>8</v>
      </c>
      <c r="D942" s="1">
        <v>2</v>
      </c>
      <c r="E942" s="5">
        <v>62.63</v>
      </c>
      <c r="F942" s="1" t="s">
        <v>18</v>
      </c>
      <c r="G942" s="1">
        <v>2</v>
      </c>
      <c r="H942" s="1" t="s">
        <v>16</v>
      </c>
      <c r="I942" s="1" t="s">
        <v>16</v>
      </c>
      <c r="J942" s="1" t="s">
        <v>16</v>
      </c>
      <c r="K942" s="1" t="s">
        <v>17</v>
      </c>
      <c r="L942" s="1" t="s">
        <v>17</v>
      </c>
      <c r="M942" s="1" t="s">
        <v>17</v>
      </c>
      <c r="N942" s="27" t="s">
        <v>605</v>
      </c>
      <c r="O942" s="1" t="s">
        <v>16</v>
      </c>
    </row>
    <row r="943" spans="1:15" x14ac:dyDescent="0.2">
      <c r="A943" s="9">
        <v>44257</v>
      </c>
      <c r="B943" s="1" t="s">
        <v>22</v>
      </c>
      <c r="C943" s="1">
        <v>9</v>
      </c>
      <c r="D943" s="1">
        <v>2</v>
      </c>
      <c r="E943" s="5">
        <v>56.89</v>
      </c>
      <c r="F943" s="1" t="s">
        <v>19</v>
      </c>
      <c r="G943" s="1">
        <v>2</v>
      </c>
      <c r="H943" s="1" t="s">
        <v>16</v>
      </c>
      <c r="I943" s="1" t="s">
        <v>16</v>
      </c>
      <c r="J943" s="1" t="s">
        <v>16</v>
      </c>
      <c r="K943" s="1" t="s">
        <v>17</v>
      </c>
      <c r="L943" s="1" t="s">
        <v>17</v>
      </c>
      <c r="M943" s="1" t="s">
        <v>17</v>
      </c>
      <c r="N943" s="27" t="s">
        <v>605</v>
      </c>
      <c r="O943" s="1" t="s">
        <v>16</v>
      </c>
    </row>
    <row r="944" spans="1:15" x14ac:dyDescent="0.2">
      <c r="A944" s="9">
        <v>44257</v>
      </c>
      <c r="B944" s="1" t="s">
        <v>22</v>
      </c>
      <c r="C944" s="1">
        <v>10</v>
      </c>
      <c r="D944" s="1">
        <v>2</v>
      </c>
      <c r="E944" s="5">
        <v>52.13</v>
      </c>
      <c r="F944" s="1" t="s">
        <v>18</v>
      </c>
      <c r="G944" s="1">
        <v>2</v>
      </c>
      <c r="H944" s="1" t="s">
        <v>16</v>
      </c>
      <c r="I944" s="1" t="s">
        <v>16</v>
      </c>
      <c r="J944" s="1" t="s">
        <v>16</v>
      </c>
      <c r="K944" s="1" t="s">
        <v>17</v>
      </c>
      <c r="L944" s="1" t="s">
        <v>17</v>
      </c>
      <c r="M944" s="1" t="s">
        <v>17</v>
      </c>
      <c r="N944" s="27" t="s">
        <v>605</v>
      </c>
      <c r="O944" s="1" t="s">
        <v>16</v>
      </c>
    </row>
    <row r="945" spans="1:15" x14ac:dyDescent="0.2">
      <c r="A945" s="9">
        <v>44257</v>
      </c>
      <c r="B945" s="1" t="s">
        <v>22</v>
      </c>
      <c r="C945" s="1">
        <v>11</v>
      </c>
      <c r="D945" s="1">
        <v>3</v>
      </c>
      <c r="E945" s="5">
        <v>72.930000000000007</v>
      </c>
      <c r="F945" s="1" t="s">
        <v>19</v>
      </c>
      <c r="G945" s="1">
        <v>2</v>
      </c>
      <c r="H945" s="1" t="s">
        <v>16</v>
      </c>
      <c r="I945" s="1" t="s">
        <v>16</v>
      </c>
      <c r="J945" s="1" t="s">
        <v>16</v>
      </c>
      <c r="K945" s="1" t="s">
        <v>17</v>
      </c>
      <c r="L945" s="1" t="s">
        <v>17</v>
      </c>
      <c r="M945" s="1" t="s">
        <v>17</v>
      </c>
      <c r="N945" s="27" t="s">
        <v>605</v>
      </c>
      <c r="O945" s="1" t="s">
        <v>16</v>
      </c>
    </row>
    <row r="946" spans="1:15" x14ac:dyDescent="0.2">
      <c r="A946" s="9">
        <v>44257</v>
      </c>
      <c r="B946" s="1" t="s">
        <v>22</v>
      </c>
      <c r="C946" s="1">
        <v>12</v>
      </c>
      <c r="D946" s="1">
        <v>3</v>
      </c>
      <c r="E946" s="5">
        <v>62.93</v>
      </c>
      <c r="F946" s="1" t="s">
        <v>18</v>
      </c>
      <c r="G946" s="1">
        <v>2</v>
      </c>
      <c r="H946" s="1" t="s">
        <v>16</v>
      </c>
      <c r="I946" s="1" t="s">
        <v>16</v>
      </c>
      <c r="J946" s="1" t="s">
        <v>16</v>
      </c>
      <c r="K946" s="1" t="s">
        <v>17</v>
      </c>
      <c r="L946" s="1" t="s">
        <v>17</v>
      </c>
      <c r="M946" s="1" t="s">
        <v>17</v>
      </c>
      <c r="N946" s="27" t="s">
        <v>605</v>
      </c>
      <c r="O946" s="1" t="s">
        <v>16</v>
      </c>
    </row>
    <row r="947" spans="1:15" x14ac:dyDescent="0.2">
      <c r="A947" s="9">
        <v>44257</v>
      </c>
      <c r="B947" s="1" t="s">
        <v>22</v>
      </c>
      <c r="C947" s="1">
        <v>13</v>
      </c>
      <c r="D947" s="1">
        <v>3</v>
      </c>
      <c r="E947" s="5">
        <v>66.63</v>
      </c>
      <c r="F947" s="1" t="s">
        <v>19</v>
      </c>
      <c r="G947" s="1">
        <v>2</v>
      </c>
      <c r="H947" s="1" t="s">
        <v>16</v>
      </c>
      <c r="I947" s="1" t="s">
        <v>16</v>
      </c>
      <c r="J947" s="1" t="s">
        <v>16</v>
      </c>
      <c r="K947" s="1" t="s">
        <v>17</v>
      </c>
      <c r="L947" s="1" t="s">
        <v>17</v>
      </c>
      <c r="M947" s="1" t="s">
        <v>17</v>
      </c>
      <c r="N947" s="27" t="s">
        <v>605</v>
      </c>
      <c r="O947" s="1" t="s">
        <v>16</v>
      </c>
    </row>
    <row r="948" spans="1:15" x14ac:dyDescent="0.2">
      <c r="A948" s="9">
        <v>44257</v>
      </c>
      <c r="B948" s="1" t="s">
        <v>22</v>
      </c>
      <c r="C948" s="1">
        <v>14</v>
      </c>
      <c r="D948" s="1">
        <v>3</v>
      </c>
      <c r="E948" s="5">
        <v>71.02</v>
      </c>
      <c r="F948" s="1" t="s">
        <v>19</v>
      </c>
      <c r="G948" s="1">
        <v>2</v>
      </c>
      <c r="H948" s="1" t="s">
        <v>16</v>
      </c>
      <c r="I948" s="1" t="s">
        <v>16</v>
      </c>
      <c r="J948" s="1" t="s">
        <v>16</v>
      </c>
      <c r="K948" s="1" t="s">
        <v>17</v>
      </c>
      <c r="L948" s="1" t="s">
        <v>17</v>
      </c>
      <c r="M948" s="1" t="s">
        <v>17</v>
      </c>
      <c r="N948" s="27" t="s">
        <v>605</v>
      </c>
      <c r="O948" s="1" t="s">
        <v>16</v>
      </c>
    </row>
    <row r="949" spans="1:15" x14ac:dyDescent="0.2">
      <c r="A949" s="9">
        <v>44257</v>
      </c>
      <c r="B949" s="1" t="s">
        <v>22</v>
      </c>
      <c r="C949" s="1">
        <v>15</v>
      </c>
      <c r="D949" s="1">
        <v>3</v>
      </c>
      <c r="E949" s="5">
        <v>46.75</v>
      </c>
      <c r="F949" s="1" t="s">
        <v>18</v>
      </c>
      <c r="G949" s="1">
        <v>2</v>
      </c>
      <c r="H949" s="1" t="s">
        <v>16</v>
      </c>
      <c r="I949" s="1" t="s">
        <v>16</v>
      </c>
      <c r="J949" s="1" t="s">
        <v>16</v>
      </c>
      <c r="K949" s="1" t="s">
        <v>17</v>
      </c>
      <c r="L949" s="1" t="s">
        <v>17</v>
      </c>
      <c r="M949" s="1" t="s">
        <v>17</v>
      </c>
      <c r="N949" s="27" t="s">
        <v>605</v>
      </c>
      <c r="O949" s="1" t="s">
        <v>16</v>
      </c>
    </row>
    <row r="950" spans="1:15" x14ac:dyDescent="0.2">
      <c r="A950" s="9">
        <v>44292</v>
      </c>
      <c r="B950" s="1" t="s">
        <v>22</v>
      </c>
      <c r="C950" s="1">
        <v>1</v>
      </c>
      <c r="D950" s="1">
        <v>1</v>
      </c>
      <c r="E950" s="5">
        <v>63.71</v>
      </c>
      <c r="F950" s="1" t="s">
        <v>18</v>
      </c>
      <c r="G950" s="1">
        <v>2</v>
      </c>
      <c r="H950" s="1" t="s">
        <v>16</v>
      </c>
      <c r="I950" s="1" t="s">
        <v>16</v>
      </c>
      <c r="J950" s="1" t="s">
        <v>16</v>
      </c>
      <c r="K950" s="1" t="s">
        <v>21</v>
      </c>
      <c r="L950" s="1" t="s">
        <v>17</v>
      </c>
      <c r="M950" s="1" t="s">
        <v>17</v>
      </c>
      <c r="N950" s="27" t="s">
        <v>605</v>
      </c>
      <c r="O950" s="1" t="s">
        <v>16</v>
      </c>
    </row>
    <row r="951" spans="1:15" x14ac:dyDescent="0.2">
      <c r="A951" s="9">
        <v>44292</v>
      </c>
      <c r="B951" s="1" t="s">
        <v>22</v>
      </c>
      <c r="C951" s="1">
        <v>2</v>
      </c>
      <c r="D951" s="1">
        <v>1</v>
      </c>
      <c r="E951" s="5">
        <v>52.42</v>
      </c>
      <c r="F951" s="1" t="s">
        <v>18</v>
      </c>
      <c r="G951" s="1">
        <v>2</v>
      </c>
      <c r="H951" s="1" t="s">
        <v>16</v>
      </c>
      <c r="I951" s="1" t="s">
        <v>16</v>
      </c>
      <c r="J951" s="1" t="s">
        <v>16</v>
      </c>
      <c r="K951" s="1" t="s">
        <v>17</v>
      </c>
      <c r="L951" s="1" t="s">
        <v>17</v>
      </c>
      <c r="M951" s="1" t="s">
        <v>17</v>
      </c>
      <c r="N951" s="27" t="s">
        <v>605</v>
      </c>
      <c r="O951" s="1" t="s">
        <v>16</v>
      </c>
    </row>
    <row r="952" spans="1:15" x14ac:dyDescent="0.2">
      <c r="A952" s="9">
        <v>44292</v>
      </c>
      <c r="B952" s="1" t="s">
        <v>22</v>
      </c>
      <c r="C952" s="1">
        <v>3</v>
      </c>
      <c r="D952" s="1">
        <v>1</v>
      </c>
      <c r="E952" s="5">
        <v>47.99</v>
      </c>
      <c r="F952" s="1" t="s">
        <v>18</v>
      </c>
      <c r="G952" s="1">
        <v>2</v>
      </c>
      <c r="H952" s="1" t="s">
        <v>16</v>
      </c>
      <c r="I952" s="1" t="s">
        <v>16</v>
      </c>
      <c r="J952" s="1" t="s">
        <v>16</v>
      </c>
      <c r="K952" s="1" t="s">
        <v>17</v>
      </c>
      <c r="L952" s="1" t="s">
        <v>17</v>
      </c>
      <c r="M952" s="1" t="s">
        <v>17</v>
      </c>
      <c r="N952" s="27" t="s">
        <v>605</v>
      </c>
      <c r="O952" s="1" t="s">
        <v>16</v>
      </c>
    </row>
    <row r="953" spans="1:15" x14ac:dyDescent="0.2">
      <c r="A953" s="9">
        <v>44292</v>
      </c>
      <c r="B953" s="1" t="s">
        <v>22</v>
      </c>
      <c r="C953" s="1">
        <v>4</v>
      </c>
      <c r="D953" s="1">
        <v>1</v>
      </c>
      <c r="E953" s="5">
        <v>56.26</v>
      </c>
      <c r="F953" s="1" t="s">
        <v>18</v>
      </c>
      <c r="G953" s="1">
        <v>2</v>
      </c>
      <c r="H953" s="1" t="s">
        <v>16</v>
      </c>
      <c r="I953" s="1" t="s">
        <v>16</v>
      </c>
      <c r="J953" s="1" t="s">
        <v>16</v>
      </c>
      <c r="K953" s="1" t="s">
        <v>17</v>
      </c>
      <c r="L953" s="1" t="s">
        <v>17</v>
      </c>
      <c r="M953" s="1" t="s">
        <v>17</v>
      </c>
      <c r="N953" s="27" t="s">
        <v>605</v>
      </c>
      <c r="O953" s="1" t="s">
        <v>16</v>
      </c>
    </row>
    <row r="954" spans="1:15" x14ac:dyDescent="0.2">
      <c r="A954" s="9">
        <v>44292</v>
      </c>
      <c r="B954" s="1" t="s">
        <v>22</v>
      </c>
      <c r="C954" s="1">
        <v>5</v>
      </c>
      <c r="D954" s="1">
        <v>1</v>
      </c>
      <c r="E954" s="5">
        <v>49.85</v>
      </c>
      <c r="F954" s="1" t="s">
        <v>18</v>
      </c>
      <c r="G954" s="1">
        <v>2</v>
      </c>
      <c r="H954" s="1" t="s">
        <v>16</v>
      </c>
      <c r="I954" s="1" t="s">
        <v>16</v>
      </c>
      <c r="J954" s="1" t="s">
        <v>16</v>
      </c>
      <c r="K954" s="1" t="s">
        <v>17</v>
      </c>
      <c r="L954" s="1" t="s">
        <v>17</v>
      </c>
      <c r="M954" s="1" t="s">
        <v>17</v>
      </c>
      <c r="N954" s="27" t="s">
        <v>605</v>
      </c>
      <c r="O954" s="1" t="s">
        <v>16</v>
      </c>
    </row>
    <row r="955" spans="1:15" x14ac:dyDescent="0.2">
      <c r="A955" s="9">
        <v>44292</v>
      </c>
      <c r="B955" s="1" t="s">
        <v>22</v>
      </c>
      <c r="C955" s="1">
        <v>6</v>
      </c>
      <c r="D955" s="1">
        <v>2</v>
      </c>
      <c r="E955" s="5">
        <v>62.56</v>
      </c>
      <c r="F955" s="1" t="s">
        <v>18</v>
      </c>
      <c r="G955" s="1">
        <v>2</v>
      </c>
      <c r="H955" s="1" t="s">
        <v>16</v>
      </c>
      <c r="I955" s="1" t="s">
        <v>16</v>
      </c>
      <c r="J955" s="1" t="s">
        <v>16</v>
      </c>
      <c r="K955" s="1" t="s">
        <v>17</v>
      </c>
      <c r="L955" s="1" t="s">
        <v>17</v>
      </c>
      <c r="M955" s="1" t="s">
        <v>17</v>
      </c>
      <c r="N955" s="27" t="s">
        <v>605</v>
      </c>
      <c r="O955" s="1" t="s">
        <v>16</v>
      </c>
    </row>
    <row r="956" spans="1:15" x14ac:dyDescent="0.2">
      <c r="A956" s="9">
        <v>44292</v>
      </c>
      <c r="B956" s="1" t="s">
        <v>22</v>
      </c>
      <c r="C956" s="1">
        <v>7</v>
      </c>
      <c r="D956" s="1">
        <v>2</v>
      </c>
      <c r="E956" s="5">
        <v>83.06</v>
      </c>
      <c r="F956" s="1" t="s">
        <v>19</v>
      </c>
      <c r="G956" s="1">
        <v>2</v>
      </c>
      <c r="H956" s="1" t="s">
        <v>16</v>
      </c>
      <c r="I956" s="1" t="s">
        <v>16</v>
      </c>
      <c r="J956" s="1" t="s">
        <v>16</v>
      </c>
      <c r="K956" s="1" t="s">
        <v>17</v>
      </c>
      <c r="L956" s="1" t="s">
        <v>17</v>
      </c>
      <c r="M956" s="1" t="s">
        <v>17</v>
      </c>
      <c r="N956" s="27" t="s">
        <v>605</v>
      </c>
      <c r="O956" s="1" t="s">
        <v>16</v>
      </c>
    </row>
    <row r="957" spans="1:15" x14ac:dyDescent="0.2">
      <c r="A957" s="9">
        <v>44292</v>
      </c>
      <c r="B957" s="1" t="s">
        <v>22</v>
      </c>
      <c r="C957" s="1">
        <v>8</v>
      </c>
      <c r="D957" s="1">
        <v>2</v>
      </c>
      <c r="E957" s="5">
        <v>52.77</v>
      </c>
      <c r="F957" s="1" t="s">
        <v>19</v>
      </c>
      <c r="G957" s="1">
        <v>2</v>
      </c>
      <c r="H957" s="1" t="s">
        <v>16</v>
      </c>
      <c r="I957" s="1" t="s">
        <v>16</v>
      </c>
      <c r="J957" s="1" t="s">
        <v>16</v>
      </c>
      <c r="K957" s="1" t="s">
        <v>21</v>
      </c>
      <c r="L957" s="1" t="s">
        <v>17</v>
      </c>
      <c r="M957" s="1" t="s">
        <v>17</v>
      </c>
      <c r="N957" s="27" t="s">
        <v>605</v>
      </c>
      <c r="O957" s="1" t="s">
        <v>16</v>
      </c>
    </row>
    <row r="958" spans="1:15" x14ac:dyDescent="0.2">
      <c r="A958" s="9">
        <v>44292</v>
      </c>
      <c r="B958" s="1" t="s">
        <v>22</v>
      </c>
      <c r="C958" s="1">
        <v>9</v>
      </c>
      <c r="D958" s="1">
        <v>2</v>
      </c>
      <c r="E958" s="5">
        <v>66.349999999999994</v>
      </c>
      <c r="F958" s="1" t="s">
        <v>18</v>
      </c>
      <c r="G958" s="1">
        <v>2</v>
      </c>
      <c r="H958" s="1" t="s">
        <v>16</v>
      </c>
      <c r="I958" s="1" t="s">
        <v>16</v>
      </c>
      <c r="J958" s="1" t="s">
        <v>16</v>
      </c>
      <c r="K958" s="1" t="s">
        <v>17</v>
      </c>
      <c r="L958" s="1" t="s">
        <v>17</v>
      </c>
      <c r="M958" s="1" t="s">
        <v>17</v>
      </c>
      <c r="N958" s="27" t="s">
        <v>605</v>
      </c>
      <c r="O958" s="1" t="s">
        <v>16</v>
      </c>
    </row>
    <row r="959" spans="1:15" x14ac:dyDescent="0.2">
      <c r="A959" s="9">
        <v>44292</v>
      </c>
      <c r="B959" s="1" t="s">
        <v>22</v>
      </c>
      <c r="C959" s="1">
        <v>10</v>
      </c>
      <c r="D959" s="1">
        <v>2</v>
      </c>
      <c r="E959" s="5">
        <v>52.91</v>
      </c>
      <c r="F959" s="1" t="s">
        <v>19</v>
      </c>
      <c r="G959" s="1">
        <v>2</v>
      </c>
      <c r="H959" s="1" t="s">
        <v>16</v>
      </c>
      <c r="I959" s="1" t="s">
        <v>16</v>
      </c>
      <c r="J959" s="1" t="s">
        <v>16</v>
      </c>
      <c r="K959" s="1" t="s">
        <v>17</v>
      </c>
      <c r="L959" s="1" t="s">
        <v>17</v>
      </c>
      <c r="M959" s="1" t="s">
        <v>17</v>
      </c>
      <c r="N959" s="27" t="s">
        <v>605</v>
      </c>
      <c r="O959" s="1" t="s">
        <v>16</v>
      </c>
    </row>
    <row r="960" spans="1:15" x14ac:dyDescent="0.2">
      <c r="A960" s="9">
        <v>44292</v>
      </c>
      <c r="B960" s="1" t="s">
        <v>22</v>
      </c>
      <c r="C960" s="1">
        <v>11</v>
      </c>
      <c r="D960" s="1">
        <v>3</v>
      </c>
      <c r="E960" s="5">
        <v>61.25</v>
      </c>
      <c r="F960" s="1" t="s">
        <v>18</v>
      </c>
      <c r="G960" s="1">
        <v>2</v>
      </c>
      <c r="H960" s="1" t="s">
        <v>16</v>
      </c>
      <c r="I960" s="1" t="s">
        <v>16</v>
      </c>
      <c r="J960" s="1" t="s">
        <v>16</v>
      </c>
      <c r="K960" s="1" t="s">
        <v>21</v>
      </c>
      <c r="L960" s="1" t="s">
        <v>17</v>
      </c>
      <c r="M960" s="1" t="s">
        <v>17</v>
      </c>
      <c r="N960" s="27" t="s">
        <v>605</v>
      </c>
      <c r="O960" s="1" t="s">
        <v>16</v>
      </c>
    </row>
    <row r="961" spans="1:15" x14ac:dyDescent="0.2">
      <c r="A961" s="9">
        <v>44292</v>
      </c>
      <c r="B961" s="1" t="s">
        <v>22</v>
      </c>
      <c r="C961" s="1">
        <v>12</v>
      </c>
      <c r="D961" s="1">
        <v>3</v>
      </c>
      <c r="E961" s="5">
        <v>70.84</v>
      </c>
      <c r="F961" s="1" t="s">
        <v>18</v>
      </c>
      <c r="G961" s="1">
        <v>2</v>
      </c>
      <c r="H961" s="1" t="s">
        <v>16</v>
      </c>
      <c r="I961" s="1" t="s">
        <v>16</v>
      </c>
      <c r="J961" s="1" t="s">
        <v>16</v>
      </c>
      <c r="K961" s="1" t="s">
        <v>17</v>
      </c>
      <c r="L961" s="1" t="s">
        <v>17</v>
      </c>
      <c r="M961" s="1" t="s">
        <v>17</v>
      </c>
      <c r="N961" s="27" t="s">
        <v>605</v>
      </c>
      <c r="O961" s="1" t="s">
        <v>16</v>
      </c>
    </row>
    <row r="962" spans="1:15" x14ac:dyDescent="0.2">
      <c r="A962" s="9">
        <v>44292</v>
      </c>
      <c r="B962" s="1" t="s">
        <v>22</v>
      </c>
      <c r="C962" s="1">
        <v>13</v>
      </c>
      <c r="D962" s="1">
        <v>3</v>
      </c>
      <c r="E962" s="5">
        <v>56.85</v>
      </c>
      <c r="F962" s="1" t="s">
        <v>19</v>
      </c>
      <c r="G962" s="1">
        <v>2</v>
      </c>
      <c r="H962" s="1" t="s">
        <v>16</v>
      </c>
      <c r="I962" s="1" t="s">
        <v>16</v>
      </c>
      <c r="J962" s="1" t="s">
        <v>16</v>
      </c>
      <c r="K962" s="1" t="s">
        <v>21</v>
      </c>
      <c r="L962" s="1" t="s">
        <v>17</v>
      </c>
      <c r="M962" s="1" t="s">
        <v>17</v>
      </c>
      <c r="N962" s="27" t="s">
        <v>605</v>
      </c>
      <c r="O962" s="1" t="s">
        <v>16</v>
      </c>
    </row>
    <row r="963" spans="1:15" x14ac:dyDescent="0.2">
      <c r="A963" s="9">
        <v>44292</v>
      </c>
      <c r="B963" s="1" t="s">
        <v>22</v>
      </c>
      <c r="C963" s="1">
        <v>14</v>
      </c>
      <c r="D963" s="1">
        <v>3</v>
      </c>
      <c r="E963" s="5">
        <v>56.7</v>
      </c>
      <c r="F963" s="1" t="s">
        <v>19</v>
      </c>
      <c r="G963" s="1">
        <v>2</v>
      </c>
      <c r="H963" s="1" t="s">
        <v>16</v>
      </c>
      <c r="I963" s="1" t="s">
        <v>16</v>
      </c>
      <c r="J963" s="1" t="s">
        <v>16</v>
      </c>
      <c r="K963" s="1" t="s">
        <v>21</v>
      </c>
      <c r="L963" s="1" t="s">
        <v>17</v>
      </c>
      <c r="M963" s="1" t="s">
        <v>17</v>
      </c>
      <c r="N963" s="27" t="s">
        <v>605</v>
      </c>
      <c r="O963" s="1" t="s">
        <v>16</v>
      </c>
    </row>
    <row r="964" spans="1:15" x14ac:dyDescent="0.2">
      <c r="A964" s="9">
        <v>44292</v>
      </c>
      <c r="B964" s="1" t="s">
        <v>22</v>
      </c>
      <c r="C964" s="1">
        <v>15</v>
      </c>
      <c r="D964" s="1">
        <v>3</v>
      </c>
      <c r="E964" s="5">
        <v>49.76</v>
      </c>
      <c r="F964" s="1" t="s">
        <v>18</v>
      </c>
      <c r="G964" s="1" t="s">
        <v>16</v>
      </c>
      <c r="H964" s="1" t="s">
        <v>16</v>
      </c>
      <c r="I964" s="1" t="s">
        <v>16</v>
      </c>
      <c r="J964" s="1" t="s">
        <v>16</v>
      </c>
      <c r="K964" s="1" t="s">
        <v>24</v>
      </c>
      <c r="L964" s="1" t="s">
        <v>17</v>
      </c>
      <c r="M964" s="1" t="s">
        <v>17</v>
      </c>
      <c r="N964" s="27" t="s">
        <v>605</v>
      </c>
      <c r="O964" s="1" t="s">
        <v>16</v>
      </c>
    </row>
    <row r="965" spans="1:15" x14ac:dyDescent="0.2">
      <c r="A965" s="9">
        <v>44320</v>
      </c>
      <c r="B965" s="1" t="s">
        <v>22</v>
      </c>
      <c r="C965" s="1">
        <v>1</v>
      </c>
      <c r="D965" s="1">
        <v>1</v>
      </c>
      <c r="E965" s="5">
        <v>59.3</v>
      </c>
      <c r="F965" s="1" t="s">
        <v>18</v>
      </c>
      <c r="G965" s="1">
        <v>2</v>
      </c>
      <c r="H965" s="1" t="s">
        <v>16</v>
      </c>
      <c r="I965" s="1" t="s">
        <v>16</v>
      </c>
      <c r="J965" s="1" t="s">
        <v>16</v>
      </c>
      <c r="K965" s="1" t="s">
        <v>17</v>
      </c>
      <c r="L965" s="1" t="s">
        <v>17</v>
      </c>
      <c r="M965" s="1" t="s">
        <v>17</v>
      </c>
      <c r="N965" s="27" t="s">
        <v>605</v>
      </c>
      <c r="O965" s="1" t="s">
        <v>16</v>
      </c>
    </row>
    <row r="966" spans="1:15" x14ac:dyDescent="0.2">
      <c r="A966" s="9">
        <v>44320</v>
      </c>
      <c r="B966" s="1" t="s">
        <v>22</v>
      </c>
      <c r="C966" s="1">
        <v>2</v>
      </c>
      <c r="D966" s="1">
        <v>1</v>
      </c>
      <c r="E966" s="5">
        <v>49.11</v>
      </c>
      <c r="F966" s="1" t="s">
        <v>18</v>
      </c>
      <c r="G966" s="1">
        <v>2</v>
      </c>
      <c r="H966" s="1" t="s">
        <v>16</v>
      </c>
      <c r="I966" s="1" t="s">
        <v>16</v>
      </c>
      <c r="J966" s="1" t="s">
        <v>16</v>
      </c>
      <c r="K966" s="1" t="s">
        <v>21</v>
      </c>
      <c r="L966" s="1" t="s">
        <v>17</v>
      </c>
      <c r="M966" s="1" t="s">
        <v>17</v>
      </c>
      <c r="N966" s="27" t="s">
        <v>605</v>
      </c>
      <c r="O966" s="1" t="s">
        <v>16</v>
      </c>
    </row>
    <row r="967" spans="1:15" x14ac:dyDescent="0.2">
      <c r="A967" s="9">
        <v>44320</v>
      </c>
      <c r="B967" s="1" t="s">
        <v>22</v>
      </c>
      <c r="C967" s="1">
        <v>3</v>
      </c>
      <c r="D967" s="1">
        <v>1</v>
      </c>
      <c r="E967" s="5">
        <v>62.47</v>
      </c>
      <c r="F967" s="1" t="s">
        <v>18</v>
      </c>
      <c r="G967" s="1">
        <v>2</v>
      </c>
      <c r="H967" s="1" t="s">
        <v>16</v>
      </c>
      <c r="I967" s="1" t="s">
        <v>16</v>
      </c>
      <c r="J967" s="1" t="s">
        <v>16</v>
      </c>
      <c r="K967" s="1" t="s">
        <v>17</v>
      </c>
      <c r="L967" s="1" t="s">
        <v>17</v>
      </c>
      <c r="M967" s="1" t="s">
        <v>17</v>
      </c>
      <c r="N967" s="27" t="s">
        <v>605</v>
      </c>
      <c r="O967" s="1" t="s">
        <v>16</v>
      </c>
    </row>
    <row r="968" spans="1:15" x14ac:dyDescent="0.2">
      <c r="A968" s="9">
        <v>44320</v>
      </c>
      <c r="B968" s="1" t="s">
        <v>22</v>
      </c>
      <c r="C968" s="1">
        <v>4</v>
      </c>
      <c r="D968" s="1">
        <v>1</v>
      </c>
      <c r="E968" s="5">
        <v>44.27</v>
      </c>
      <c r="F968" s="1" t="s">
        <v>18</v>
      </c>
      <c r="G968" s="1">
        <v>2</v>
      </c>
      <c r="H968" s="1" t="s">
        <v>16</v>
      </c>
      <c r="I968" s="1" t="s">
        <v>16</v>
      </c>
      <c r="J968" s="1" t="s">
        <v>16</v>
      </c>
      <c r="K968" s="1" t="s">
        <v>17</v>
      </c>
      <c r="L968" s="1" t="s">
        <v>17</v>
      </c>
      <c r="M968" s="1" t="s">
        <v>17</v>
      </c>
      <c r="N968" s="27" t="s">
        <v>605</v>
      </c>
      <c r="O968" s="1" t="s">
        <v>16</v>
      </c>
    </row>
    <row r="969" spans="1:15" x14ac:dyDescent="0.2">
      <c r="A969" s="9">
        <v>44320</v>
      </c>
      <c r="B969" s="1" t="s">
        <v>22</v>
      </c>
      <c r="C969" s="1">
        <v>5</v>
      </c>
      <c r="D969" s="1">
        <v>1</v>
      </c>
      <c r="E969" s="5">
        <v>59.51</v>
      </c>
      <c r="F969" s="1" t="s">
        <v>18</v>
      </c>
      <c r="G969" s="1">
        <v>2</v>
      </c>
      <c r="H969" s="1" t="s">
        <v>16</v>
      </c>
      <c r="I969" s="1" t="s">
        <v>16</v>
      </c>
      <c r="J969" s="1" t="s">
        <v>16</v>
      </c>
      <c r="K969" s="1" t="s">
        <v>17</v>
      </c>
      <c r="L969" s="1" t="s">
        <v>17</v>
      </c>
      <c r="M969" s="1" t="s">
        <v>17</v>
      </c>
      <c r="N969" s="27" t="s">
        <v>605</v>
      </c>
      <c r="O969" s="1" t="s">
        <v>16</v>
      </c>
    </row>
    <row r="970" spans="1:15" x14ac:dyDescent="0.2">
      <c r="A970" s="9">
        <v>44320</v>
      </c>
      <c r="B970" s="1" t="s">
        <v>22</v>
      </c>
      <c r="C970" s="1">
        <v>6</v>
      </c>
      <c r="D970" s="1">
        <v>2</v>
      </c>
      <c r="E970" s="5">
        <v>53.48</v>
      </c>
      <c r="F970" s="1" t="s">
        <v>18</v>
      </c>
      <c r="G970" s="1">
        <v>2</v>
      </c>
      <c r="H970" s="1" t="s">
        <v>16</v>
      </c>
      <c r="I970" s="1" t="s">
        <v>16</v>
      </c>
      <c r="J970" s="1" t="s">
        <v>16</v>
      </c>
      <c r="K970" s="1" t="s">
        <v>17</v>
      </c>
      <c r="L970" s="1" t="s">
        <v>17</v>
      </c>
      <c r="M970" s="1" t="s">
        <v>17</v>
      </c>
      <c r="N970" s="27" t="s">
        <v>605</v>
      </c>
      <c r="O970" s="1" t="s">
        <v>16</v>
      </c>
    </row>
    <row r="971" spans="1:15" x14ac:dyDescent="0.2">
      <c r="A971" s="9">
        <v>44320</v>
      </c>
      <c r="B971" s="1" t="s">
        <v>22</v>
      </c>
      <c r="C971" s="1">
        <v>7</v>
      </c>
      <c r="D971" s="1">
        <v>2</v>
      </c>
      <c r="E971" s="5">
        <v>58.71</v>
      </c>
      <c r="F971" s="1" t="s">
        <v>19</v>
      </c>
      <c r="G971" s="1">
        <v>2</v>
      </c>
      <c r="H971" s="1" t="s">
        <v>16</v>
      </c>
      <c r="I971" s="1" t="s">
        <v>16</v>
      </c>
      <c r="J971" s="1" t="s">
        <v>16</v>
      </c>
      <c r="K971" s="1" t="s">
        <v>17</v>
      </c>
      <c r="L971" s="1" t="s">
        <v>17</v>
      </c>
      <c r="M971" s="1" t="s">
        <v>17</v>
      </c>
      <c r="N971" s="27" t="s">
        <v>605</v>
      </c>
      <c r="O971" s="1" t="s">
        <v>16</v>
      </c>
    </row>
    <row r="972" spans="1:15" x14ac:dyDescent="0.2">
      <c r="A972" s="9">
        <v>44320</v>
      </c>
      <c r="B972" s="1" t="s">
        <v>22</v>
      </c>
      <c r="C972" s="1">
        <v>8</v>
      </c>
      <c r="D972" s="1">
        <v>2</v>
      </c>
      <c r="E972" s="5">
        <v>53.59</v>
      </c>
      <c r="F972" s="1" t="s">
        <v>18</v>
      </c>
      <c r="G972" s="1">
        <v>2</v>
      </c>
      <c r="H972" s="1" t="s">
        <v>16</v>
      </c>
      <c r="I972" s="1" t="s">
        <v>16</v>
      </c>
      <c r="J972" s="1" t="s">
        <v>16</v>
      </c>
      <c r="K972" s="1" t="s">
        <v>17</v>
      </c>
      <c r="L972" s="1" t="s">
        <v>17</v>
      </c>
      <c r="M972" s="1" t="s">
        <v>17</v>
      </c>
      <c r="N972" s="27" t="s">
        <v>605</v>
      </c>
      <c r="O972" s="1" t="s">
        <v>16</v>
      </c>
    </row>
    <row r="973" spans="1:15" x14ac:dyDescent="0.2">
      <c r="A973" s="9">
        <v>44320</v>
      </c>
      <c r="B973" s="1" t="s">
        <v>22</v>
      </c>
      <c r="C973" s="1">
        <v>9</v>
      </c>
      <c r="D973" s="1">
        <v>2</v>
      </c>
      <c r="E973" s="5">
        <v>47.93</v>
      </c>
      <c r="F973" s="1" t="s">
        <v>19</v>
      </c>
      <c r="G973" s="1">
        <v>1</v>
      </c>
      <c r="H973" s="1" t="s">
        <v>16</v>
      </c>
      <c r="I973" s="1" t="s">
        <v>16</v>
      </c>
      <c r="J973" s="1" t="s">
        <v>16</v>
      </c>
      <c r="K973" s="1" t="s">
        <v>17</v>
      </c>
      <c r="L973" s="1" t="s">
        <v>17</v>
      </c>
      <c r="M973" s="1" t="s">
        <v>17</v>
      </c>
      <c r="N973" s="27" t="s">
        <v>605</v>
      </c>
      <c r="O973" s="1" t="s">
        <v>16</v>
      </c>
    </row>
    <row r="974" spans="1:15" x14ac:dyDescent="0.2">
      <c r="A974" s="9">
        <v>44320</v>
      </c>
      <c r="B974" s="1" t="s">
        <v>22</v>
      </c>
      <c r="C974" s="1">
        <v>10</v>
      </c>
      <c r="D974" s="1">
        <v>2</v>
      </c>
      <c r="E974" s="5">
        <v>53.01</v>
      </c>
      <c r="F974" s="1" t="s">
        <v>19</v>
      </c>
      <c r="G974" s="1">
        <v>2</v>
      </c>
      <c r="H974" s="1" t="s">
        <v>16</v>
      </c>
      <c r="I974" s="1" t="s">
        <v>16</v>
      </c>
      <c r="J974" s="1" t="s">
        <v>16</v>
      </c>
      <c r="K974" s="1" t="s">
        <v>17</v>
      </c>
      <c r="L974" s="1" t="s">
        <v>17</v>
      </c>
      <c r="M974" s="1" t="s">
        <v>17</v>
      </c>
      <c r="N974" s="27" t="s">
        <v>605</v>
      </c>
      <c r="O974" s="1" t="s">
        <v>16</v>
      </c>
    </row>
    <row r="975" spans="1:15" x14ac:dyDescent="0.2">
      <c r="A975" s="9">
        <v>44320</v>
      </c>
      <c r="B975" s="1" t="s">
        <v>22</v>
      </c>
      <c r="C975" s="1">
        <v>11</v>
      </c>
      <c r="D975" s="1">
        <v>3</v>
      </c>
      <c r="E975" s="5">
        <v>48.21</v>
      </c>
      <c r="F975" s="1" t="s">
        <v>18</v>
      </c>
      <c r="G975" s="1">
        <v>2</v>
      </c>
      <c r="H975" s="1" t="s">
        <v>16</v>
      </c>
      <c r="I975" s="1" t="s">
        <v>16</v>
      </c>
      <c r="J975" s="1" t="s">
        <v>16</v>
      </c>
      <c r="K975" s="1" t="s">
        <v>17</v>
      </c>
      <c r="L975" s="1" t="s">
        <v>17</v>
      </c>
      <c r="M975" s="1" t="s">
        <v>17</v>
      </c>
      <c r="N975" s="27" t="s">
        <v>605</v>
      </c>
      <c r="O975" s="1" t="s">
        <v>16</v>
      </c>
    </row>
    <row r="976" spans="1:15" x14ac:dyDescent="0.2">
      <c r="A976" s="9">
        <v>44320</v>
      </c>
      <c r="B976" s="1" t="s">
        <v>22</v>
      </c>
      <c r="C976" s="1">
        <v>12</v>
      </c>
      <c r="D976" s="1">
        <v>3</v>
      </c>
      <c r="E976" s="5">
        <v>57.35</v>
      </c>
      <c r="F976" s="1" t="s">
        <v>16</v>
      </c>
      <c r="G976" s="1" t="s">
        <v>16</v>
      </c>
      <c r="H976" s="1" t="s">
        <v>16</v>
      </c>
      <c r="I976" s="1" t="s">
        <v>16</v>
      </c>
      <c r="J976" s="1" t="s">
        <v>16</v>
      </c>
      <c r="K976" s="1" t="s">
        <v>17</v>
      </c>
      <c r="L976" s="1" t="s">
        <v>17</v>
      </c>
      <c r="M976" s="1" t="s">
        <v>21</v>
      </c>
      <c r="N976" s="27" t="s">
        <v>605</v>
      </c>
      <c r="O976" s="1" t="s">
        <v>16</v>
      </c>
    </row>
    <row r="977" spans="1:15" x14ac:dyDescent="0.2">
      <c r="A977" s="9">
        <v>44320</v>
      </c>
      <c r="B977" s="1" t="s">
        <v>22</v>
      </c>
      <c r="C977" s="1">
        <v>13</v>
      </c>
      <c r="D977" s="1">
        <v>3</v>
      </c>
      <c r="E977" s="5">
        <v>33.03</v>
      </c>
      <c r="F977" s="1" t="s">
        <v>19</v>
      </c>
      <c r="G977" s="1">
        <v>2</v>
      </c>
      <c r="H977" s="1" t="s">
        <v>16</v>
      </c>
      <c r="I977" s="1" t="s">
        <v>16</v>
      </c>
      <c r="J977" s="1" t="s">
        <v>16</v>
      </c>
      <c r="K977" s="1" t="s">
        <v>17</v>
      </c>
      <c r="L977" s="1" t="s">
        <v>17</v>
      </c>
      <c r="M977" s="1" t="s">
        <v>17</v>
      </c>
      <c r="N977" s="27" t="s">
        <v>605</v>
      </c>
      <c r="O977" s="1" t="s">
        <v>16</v>
      </c>
    </row>
    <row r="978" spans="1:15" x14ac:dyDescent="0.2">
      <c r="A978" s="9">
        <v>44320</v>
      </c>
      <c r="B978" s="1" t="s">
        <v>22</v>
      </c>
      <c r="C978" s="1">
        <v>14</v>
      </c>
      <c r="D978" s="1">
        <v>3</v>
      </c>
      <c r="E978" s="5">
        <v>45.24</v>
      </c>
      <c r="F978" s="1" t="s">
        <v>19</v>
      </c>
      <c r="G978" s="1">
        <v>2</v>
      </c>
      <c r="H978" s="1" t="s">
        <v>16</v>
      </c>
      <c r="I978" s="1" t="s">
        <v>16</v>
      </c>
      <c r="J978" s="1" t="s">
        <v>16</v>
      </c>
      <c r="K978" s="1" t="s">
        <v>17</v>
      </c>
      <c r="L978" s="1" t="s">
        <v>17</v>
      </c>
      <c r="M978" s="1" t="s">
        <v>17</v>
      </c>
      <c r="N978" s="27" t="s">
        <v>605</v>
      </c>
      <c r="O978" s="1" t="s">
        <v>16</v>
      </c>
    </row>
    <row r="979" spans="1:15" x14ac:dyDescent="0.2">
      <c r="A979" s="9">
        <v>44320</v>
      </c>
      <c r="B979" s="1" t="s">
        <v>22</v>
      </c>
      <c r="C979" s="1">
        <v>15</v>
      </c>
      <c r="D979" s="1">
        <v>3</v>
      </c>
      <c r="E979" s="5">
        <v>65.17</v>
      </c>
      <c r="F979" s="1" t="s">
        <v>18</v>
      </c>
      <c r="G979" s="1">
        <v>2</v>
      </c>
      <c r="H979" s="1" t="s">
        <v>16</v>
      </c>
      <c r="I979" s="1" t="s">
        <v>16</v>
      </c>
      <c r="J979" s="1" t="s">
        <v>16</v>
      </c>
      <c r="K979" s="1" t="s">
        <v>17</v>
      </c>
      <c r="L979" s="1" t="s">
        <v>17</v>
      </c>
      <c r="M979" s="1" t="s">
        <v>17</v>
      </c>
      <c r="N979" s="27" t="s">
        <v>605</v>
      </c>
      <c r="O979" s="1" t="s">
        <v>16</v>
      </c>
    </row>
    <row r="980" spans="1:15" x14ac:dyDescent="0.2">
      <c r="A980" s="9">
        <v>44354</v>
      </c>
      <c r="B980" s="1" t="s">
        <v>22</v>
      </c>
      <c r="C980" s="1">
        <v>1</v>
      </c>
      <c r="D980" s="1">
        <v>1</v>
      </c>
      <c r="E980" s="5">
        <v>63.77</v>
      </c>
      <c r="F980" s="1" t="s">
        <v>18</v>
      </c>
      <c r="G980" s="1">
        <v>3</v>
      </c>
      <c r="H980" s="1" t="s">
        <v>16</v>
      </c>
      <c r="I980" s="1" t="s">
        <v>16</v>
      </c>
      <c r="J980" s="1" t="s">
        <v>16</v>
      </c>
      <c r="K980" s="1" t="s">
        <v>17</v>
      </c>
      <c r="L980" s="1" t="s">
        <v>17</v>
      </c>
      <c r="M980" s="1" t="s">
        <v>17</v>
      </c>
      <c r="N980" s="27" t="s">
        <v>605</v>
      </c>
      <c r="O980" s="1" t="s">
        <v>16</v>
      </c>
    </row>
    <row r="981" spans="1:15" x14ac:dyDescent="0.2">
      <c r="A981" s="9">
        <v>44354</v>
      </c>
      <c r="B981" s="1" t="s">
        <v>22</v>
      </c>
      <c r="C981" s="1">
        <v>2</v>
      </c>
      <c r="D981" s="1">
        <v>1</v>
      </c>
      <c r="E981" s="5">
        <v>49.25</v>
      </c>
      <c r="F981" s="1" t="s">
        <v>18</v>
      </c>
      <c r="G981" s="1">
        <v>2</v>
      </c>
      <c r="H981" s="1" t="s">
        <v>16</v>
      </c>
      <c r="I981" s="1" t="s">
        <v>16</v>
      </c>
      <c r="J981" s="1" t="s">
        <v>16</v>
      </c>
      <c r="K981" s="1" t="s">
        <v>17</v>
      </c>
      <c r="L981" s="1" t="s">
        <v>17</v>
      </c>
      <c r="M981" s="1" t="s">
        <v>17</v>
      </c>
      <c r="N981" s="27" t="s">
        <v>605</v>
      </c>
      <c r="O981" s="1" t="s">
        <v>16</v>
      </c>
    </row>
    <row r="982" spans="1:15" x14ac:dyDescent="0.2">
      <c r="A982" s="9">
        <v>44354</v>
      </c>
      <c r="B982" s="1" t="s">
        <v>22</v>
      </c>
      <c r="C982" s="1">
        <v>3</v>
      </c>
      <c r="D982" s="1">
        <v>1</v>
      </c>
      <c r="E982" s="5">
        <v>62.32</v>
      </c>
      <c r="F982" s="1" t="s">
        <v>18</v>
      </c>
      <c r="G982" s="1">
        <v>1</v>
      </c>
      <c r="H982" s="1" t="s">
        <v>16</v>
      </c>
      <c r="I982" s="1" t="s">
        <v>16</v>
      </c>
      <c r="J982" s="1" t="s">
        <v>16</v>
      </c>
      <c r="K982" s="1" t="s">
        <v>17</v>
      </c>
      <c r="L982" s="1" t="s">
        <v>17</v>
      </c>
      <c r="M982" s="1" t="s">
        <v>17</v>
      </c>
      <c r="N982" s="27" t="s">
        <v>605</v>
      </c>
      <c r="O982" s="1" t="s">
        <v>16</v>
      </c>
    </row>
    <row r="983" spans="1:15" x14ac:dyDescent="0.2">
      <c r="A983" s="9">
        <v>44354</v>
      </c>
      <c r="B983" s="1" t="s">
        <v>22</v>
      </c>
      <c r="C983" s="1">
        <v>4</v>
      </c>
      <c r="D983" s="1">
        <v>1</v>
      </c>
      <c r="E983" s="5">
        <v>54.43</v>
      </c>
      <c r="F983" s="1" t="s">
        <v>19</v>
      </c>
      <c r="G983" s="1">
        <v>2</v>
      </c>
      <c r="H983" s="1" t="s">
        <v>16</v>
      </c>
      <c r="I983" s="1" t="s">
        <v>16</v>
      </c>
      <c r="J983" s="1" t="s">
        <v>16</v>
      </c>
      <c r="K983" s="1" t="s">
        <v>17</v>
      </c>
      <c r="L983" s="1" t="s">
        <v>17</v>
      </c>
      <c r="M983" s="1" t="s">
        <v>17</v>
      </c>
      <c r="N983" s="27" t="s">
        <v>605</v>
      </c>
      <c r="O983" s="1" t="s">
        <v>16</v>
      </c>
    </row>
    <row r="984" spans="1:15" x14ac:dyDescent="0.2">
      <c r="A984" s="9">
        <v>44354</v>
      </c>
      <c r="B984" s="1" t="s">
        <v>22</v>
      </c>
      <c r="C984" s="1">
        <v>5</v>
      </c>
      <c r="D984" s="1">
        <v>1</v>
      </c>
      <c r="E984" s="5">
        <v>51.77</v>
      </c>
      <c r="F984" s="1" t="s">
        <v>18</v>
      </c>
      <c r="G984" s="1">
        <v>2</v>
      </c>
      <c r="H984" s="1" t="s">
        <v>16</v>
      </c>
      <c r="I984" s="1" t="s">
        <v>16</v>
      </c>
      <c r="J984" s="1" t="s">
        <v>16</v>
      </c>
      <c r="K984" s="1" t="s">
        <v>17</v>
      </c>
      <c r="L984" s="1" t="s">
        <v>17</v>
      </c>
      <c r="M984" s="1" t="s">
        <v>17</v>
      </c>
      <c r="N984" s="27" t="s">
        <v>605</v>
      </c>
      <c r="O984" s="1" t="s">
        <v>16</v>
      </c>
    </row>
    <row r="985" spans="1:15" x14ac:dyDescent="0.2">
      <c r="A985" s="9">
        <v>44354</v>
      </c>
      <c r="B985" s="1" t="s">
        <v>22</v>
      </c>
      <c r="C985" s="1">
        <v>6</v>
      </c>
      <c r="D985" s="1">
        <v>2</v>
      </c>
      <c r="E985" s="5">
        <v>52.41</v>
      </c>
      <c r="F985" s="1" t="s">
        <v>18</v>
      </c>
      <c r="G985" s="1">
        <v>2</v>
      </c>
      <c r="H985" s="1" t="s">
        <v>16</v>
      </c>
      <c r="I985" s="1" t="s">
        <v>16</v>
      </c>
      <c r="J985" s="1" t="s">
        <v>16</v>
      </c>
      <c r="K985" s="1" t="s">
        <v>17</v>
      </c>
      <c r="L985" s="1" t="s">
        <v>17</v>
      </c>
      <c r="M985" s="1" t="s">
        <v>17</v>
      </c>
      <c r="N985" s="27" t="s">
        <v>605</v>
      </c>
      <c r="O985" s="1" t="s">
        <v>16</v>
      </c>
    </row>
    <row r="986" spans="1:15" x14ac:dyDescent="0.2">
      <c r="A986" s="9">
        <v>44354</v>
      </c>
      <c r="B986" s="1" t="s">
        <v>22</v>
      </c>
      <c r="C986" s="1">
        <v>7</v>
      </c>
      <c r="D986" s="1">
        <v>2</v>
      </c>
      <c r="E986" s="5">
        <v>57.31</v>
      </c>
      <c r="F986" s="1" t="s">
        <v>18</v>
      </c>
      <c r="G986" s="1">
        <v>2</v>
      </c>
      <c r="H986" s="1" t="s">
        <v>16</v>
      </c>
      <c r="I986" s="1" t="s">
        <v>16</v>
      </c>
      <c r="J986" s="1" t="s">
        <v>16</v>
      </c>
      <c r="K986" s="1" t="s">
        <v>17</v>
      </c>
      <c r="L986" s="1" t="s">
        <v>17</v>
      </c>
      <c r="M986" s="1" t="s">
        <v>17</v>
      </c>
      <c r="N986" s="27" t="s">
        <v>605</v>
      </c>
      <c r="O986" s="1" t="s">
        <v>16</v>
      </c>
    </row>
    <row r="987" spans="1:15" x14ac:dyDescent="0.2">
      <c r="A987" s="9">
        <v>44354</v>
      </c>
      <c r="B987" s="1" t="s">
        <v>22</v>
      </c>
      <c r="C987" s="1">
        <v>8</v>
      </c>
      <c r="D987" s="1">
        <v>2</v>
      </c>
      <c r="E987" s="5">
        <v>56.61</v>
      </c>
      <c r="F987" s="1" t="s">
        <v>19</v>
      </c>
      <c r="G987" s="1">
        <v>2</v>
      </c>
      <c r="H987" s="1" t="s">
        <v>16</v>
      </c>
      <c r="I987" s="1" t="s">
        <v>16</v>
      </c>
      <c r="J987" s="1" t="s">
        <v>16</v>
      </c>
      <c r="K987" s="1" t="s">
        <v>17</v>
      </c>
      <c r="L987" s="1" t="s">
        <v>17</v>
      </c>
      <c r="M987" s="1" t="s">
        <v>17</v>
      </c>
      <c r="N987" s="27" t="s">
        <v>605</v>
      </c>
      <c r="O987" s="1" t="s">
        <v>16</v>
      </c>
    </row>
    <row r="988" spans="1:15" x14ac:dyDescent="0.2">
      <c r="A988" s="9">
        <v>44354</v>
      </c>
      <c r="B988" s="1" t="s">
        <v>22</v>
      </c>
      <c r="C988" s="1">
        <v>9</v>
      </c>
      <c r="D988" s="1">
        <v>2</v>
      </c>
      <c r="E988" s="5">
        <v>55.07</v>
      </c>
      <c r="F988" s="1" t="s">
        <v>18</v>
      </c>
      <c r="G988" s="1">
        <v>2</v>
      </c>
      <c r="H988" s="1" t="s">
        <v>16</v>
      </c>
      <c r="I988" s="1" t="s">
        <v>16</v>
      </c>
      <c r="J988" s="1" t="s">
        <v>16</v>
      </c>
      <c r="K988" s="1" t="s">
        <v>17</v>
      </c>
      <c r="L988" s="1" t="s">
        <v>17</v>
      </c>
      <c r="M988" s="1" t="s">
        <v>17</v>
      </c>
      <c r="N988" s="27" t="s">
        <v>605</v>
      </c>
      <c r="O988" s="1" t="s">
        <v>16</v>
      </c>
    </row>
    <row r="989" spans="1:15" x14ac:dyDescent="0.2">
      <c r="A989" s="9">
        <v>44354</v>
      </c>
      <c r="B989" s="1" t="s">
        <v>22</v>
      </c>
      <c r="C989" s="1">
        <v>10</v>
      </c>
      <c r="D989" s="1">
        <v>2</v>
      </c>
      <c r="E989" s="5">
        <v>63.41</v>
      </c>
      <c r="F989" s="1" t="s">
        <v>19</v>
      </c>
      <c r="G989" s="1">
        <v>2</v>
      </c>
      <c r="H989" s="1" t="s">
        <v>16</v>
      </c>
      <c r="I989" s="1" t="s">
        <v>16</v>
      </c>
      <c r="J989" s="1" t="s">
        <v>16</v>
      </c>
      <c r="K989" s="1" t="s">
        <v>17</v>
      </c>
      <c r="L989" s="1" t="s">
        <v>17</v>
      </c>
      <c r="M989" s="1" t="s">
        <v>17</v>
      </c>
      <c r="N989" s="27" t="s">
        <v>605</v>
      </c>
      <c r="O989" s="1" t="s">
        <v>16</v>
      </c>
    </row>
    <row r="990" spans="1:15" x14ac:dyDescent="0.2">
      <c r="A990" s="9">
        <v>44354</v>
      </c>
      <c r="B990" s="1" t="s">
        <v>22</v>
      </c>
      <c r="C990" s="1">
        <v>11</v>
      </c>
      <c r="D990" s="1">
        <v>3</v>
      </c>
      <c r="E990" s="5">
        <v>74.510000000000005</v>
      </c>
      <c r="F990" s="1" t="s">
        <v>18</v>
      </c>
      <c r="G990" s="1">
        <v>2</v>
      </c>
      <c r="H990" s="1" t="s">
        <v>16</v>
      </c>
      <c r="I990" s="1" t="s">
        <v>16</v>
      </c>
      <c r="J990" s="1" t="s">
        <v>16</v>
      </c>
      <c r="K990" s="1" t="s">
        <v>17</v>
      </c>
      <c r="L990" s="1" t="s">
        <v>17</v>
      </c>
      <c r="M990" s="1" t="s">
        <v>17</v>
      </c>
      <c r="N990" s="27" t="s">
        <v>605</v>
      </c>
      <c r="O990" s="1" t="s">
        <v>16</v>
      </c>
    </row>
    <row r="991" spans="1:15" x14ac:dyDescent="0.2">
      <c r="A991" s="9">
        <v>44354</v>
      </c>
      <c r="B991" s="1" t="s">
        <v>22</v>
      </c>
      <c r="C991" s="1">
        <v>12</v>
      </c>
      <c r="D991" s="1">
        <v>3</v>
      </c>
      <c r="E991" s="5">
        <v>53.25</v>
      </c>
      <c r="F991" s="1" t="s">
        <v>18</v>
      </c>
      <c r="G991" s="1">
        <v>2</v>
      </c>
      <c r="H991" s="1" t="s">
        <v>16</v>
      </c>
      <c r="I991" s="1" t="s">
        <v>16</v>
      </c>
      <c r="J991" s="1" t="s">
        <v>16</v>
      </c>
      <c r="K991" s="1" t="s">
        <v>17</v>
      </c>
      <c r="L991" s="1" t="s">
        <v>17</v>
      </c>
      <c r="M991" s="1" t="s">
        <v>17</v>
      </c>
      <c r="N991" s="27" t="s">
        <v>605</v>
      </c>
      <c r="O991" s="1" t="s">
        <v>16</v>
      </c>
    </row>
    <row r="992" spans="1:15" x14ac:dyDescent="0.2">
      <c r="A992" s="9">
        <v>44354</v>
      </c>
      <c r="B992" s="1" t="s">
        <v>22</v>
      </c>
      <c r="C992" s="1">
        <v>13</v>
      </c>
      <c r="D992" s="1">
        <v>3</v>
      </c>
      <c r="E992" s="5">
        <v>65.52</v>
      </c>
      <c r="F992" s="1" t="s">
        <v>19</v>
      </c>
      <c r="G992" s="1">
        <v>2</v>
      </c>
      <c r="H992" s="1" t="s">
        <v>16</v>
      </c>
      <c r="I992" s="1" t="s">
        <v>16</v>
      </c>
      <c r="J992" s="1" t="s">
        <v>16</v>
      </c>
      <c r="K992" s="1" t="s">
        <v>17</v>
      </c>
      <c r="L992" s="1" t="s">
        <v>17</v>
      </c>
      <c r="M992" s="1" t="s">
        <v>17</v>
      </c>
      <c r="N992" s="27" t="s">
        <v>605</v>
      </c>
      <c r="O992" s="1" t="s">
        <v>16</v>
      </c>
    </row>
    <row r="993" spans="1:15" x14ac:dyDescent="0.2">
      <c r="A993" s="9">
        <v>44354</v>
      </c>
      <c r="B993" s="1" t="s">
        <v>22</v>
      </c>
      <c r="C993" s="1">
        <v>14</v>
      </c>
      <c r="D993" s="1">
        <v>3</v>
      </c>
      <c r="E993" s="5">
        <v>46.59</v>
      </c>
      <c r="F993" s="1" t="s">
        <v>18</v>
      </c>
      <c r="G993" s="1">
        <v>2</v>
      </c>
      <c r="H993" s="1" t="s">
        <v>16</v>
      </c>
      <c r="I993" s="1" t="s">
        <v>16</v>
      </c>
      <c r="J993" s="1" t="s">
        <v>16</v>
      </c>
      <c r="K993" s="1" t="s">
        <v>17</v>
      </c>
      <c r="L993" s="1" t="s">
        <v>17</v>
      </c>
      <c r="M993" s="1" t="s">
        <v>17</v>
      </c>
      <c r="N993" s="27" t="s">
        <v>605</v>
      </c>
      <c r="O993" s="1" t="s">
        <v>16</v>
      </c>
    </row>
    <row r="994" spans="1:15" x14ac:dyDescent="0.2">
      <c r="A994" s="9">
        <v>44354</v>
      </c>
      <c r="B994" s="1" t="s">
        <v>22</v>
      </c>
      <c r="C994" s="1">
        <v>15</v>
      </c>
      <c r="D994" s="1">
        <v>3</v>
      </c>
      <c r="E994" s="5">
        <v>51.24</v>
      </c>
      <c r="F994" s="1" t="s">
        <v>18</v>
      </c>
      <c r="G994" s="1">
        <v>2</v>
      </c>
      <c r="H994" s="1" t="s">
        <v>16</v>
      </c>
      <c r="I994" s="1" t="s">
        <v>16</v>
      </c>
      <c r="J994" s="1" t="s">
        <v>16</v>
      </c>
      <c r="K994" s="1" t="s">
        <v>17</v>
      </c>
      <c r="L994" s="1" t="s">
        <v>17</v>
      </c>
      <c r="M994" s="1" t="s">
        <v>17</v>
      </c>
      <c r="N994" s="27" t="s">
        <v>605</v>
      </c>
      <c r="O994" s="1" t="s">
        <v>16</v>
      </c>
    </row>
    <row r="995" spans="1:15" x14ac:dyDescent="0.2">
      <c r="A995" s="9">
        <v>44389</v>
      </c>
      <c r="B995" s="1" t="s">
        <v>22</v>
      </c>
      <c r="C995" s="1">
        <v>1</v>
      </c>
      <c r="D995" s="1">
        <v>1</v>
      </c>
      <c r="E995" s="5">
        <v>66.27</v>
      </c>
      <c r="F995" s="1" t="s">
        <v>18</v>
      </c>
      <c r="G995" s="1">
        <v>2</v>
      </c>
      <c r="H995" s="1" t="s">
        <v>16</v>
      </c>
      <c r="I995" s="1" t="s">
        <v>16</v>
      </c>
      <c r="J995" s="1" t="s">
        <v>16</v>
      </c>
      <c r="K995" s="1" t="s">
        <v>21</v>
      </c>
      <c r="L995" s="1" t="s">
        <v>17</v>
      </c>
      <c r="M995" s="1" t="s">
        <v>17</v>
      </c>
      <c r="N995" s="27" t="s">
        <v>605</v>
      </c>
      <c r="O995" s="1" t="s">
        <v>16</v>
      </c>
    </row>
    <row r="996" spans="1:15" x14ac:dyDescent="0.2">
      <c r="A996" s="9">
        <v>44389</v>
      </c>
      <c r="B996" s="1" t="s">
        <v>22</v>
      </c>
      <c r="C996" s="1">
        <v>2</v>
      </c>
      <c r="D996" s="1">
        <v>1</v>
      </c>
      <c r="E996" s="5">
        <v>61.72</v>
      </c>
      <c r="F996" s="1" t="s">
        <v>18</v>
      </c>
      <c r="G996" s="1">
        <v>2</v>
      </c>
      <c r="H996" s="1" t="s">
        <v>16</v>
      </c>
      <c r="I996" s="1" t="s">
        <v>16</v>
      </c>
      <c r="J996" s="1" t="s">
        <v>16</v>
      </c>
      <c r="K996" s="1" t="s">
        <v>17</v>
      </c>
      <c r="L996" s="1" t="s">
        <v>17</v>
      </c>
      <c r="M996" s="1" t="s">
        <v>17</v>
      </c>
      <c r="N996" s="27" t="s">
        <v>605</v>
      </c>
      <c r="O996" s="1" t="s">
        <v>16</v>
      </c>
    </row>
    <row r="997" spans="1:15" x14ac:dyDescent="0.2">
      <c r="A997" s="9">
        <v>44389</v>
      </c>
      <c r="B997" s="1" t="s">
        <v>22</v>
      </c>
      <c r="C997" s="1">
        <v>3</v>
      </c>
      <c r="D997" s="1">
        <v>1</v>
      </c>
      <c r="E997" s="5">
        <v>73.75</v>
      </c>
      <c r="F997" s="1" t="s">
        <v>18</v>
      </c>
      <c r="G997" s="1">
        <v>2</v>
      </c>
      <c r="H997" s="1" t="s">
        <v>16</v>
      </c>
      <c r="I997" s="1" t="s">
        <v>16</v>
      </c>
      <c r="J997" s="1" t="s">
        <v>16</v>
      </c>
      <c r="K997" s="1" t="s">
        <v>21</v>
      </c>
      <c r="L997" s="1" t="s">
        <v>17</v>
      </c>
      <c r="M997" s="1" t="s">
        <v>17</v>
      </c>
      <c r="N997" s="27" t="s">
        <v>605</v>
      </c>
      <c r="O997" s="1" t="s">
        <v>16</v>
      </c>
    </row>
    <row r="998" spans="1:15" x14ac:dyDescent="0.2">
      <c r="A998" s="9">
        <v>44389</v>
      </c>
      <c r="B998" s="1" t="s">
        <v>22</v>
      </c>
      <c r="C998" s="1">
        <v>4</v>
      </c>
      <c r="D998" s="1">
        <v>1</v>
      </c>
      <c r="E998" s="5">
        <v>67.2</v>
      </c>
      <c r="F998" s="1" t="s">
        <v>18</v>
      </c>
      <c r="G998" s="1">
        <v>2</v>
      </c>
      <c r="H998" s="1" t="s">
        <v>16</v>
      </c>
      <c r="I998" s="1" t="s">
        <v>16</v>
      </c>
      <c r="J998" s="1" t="s">
        <v>16</v>
      </c>
      <c r="K998" s="1" t="s">
        <v>17</v>
      </c>
      <c r="L998" s="1" t="s">
        <v>17</v>
      </c>
      <c r="M998" s="1" t="s">
        <v>17</v>
      </c>
      <c r="N998" s="27" t="s">
        <v>605</v>
      </c>
      <c r="O998" s="1" t="s">
        <v>16</v>
      </c>
    </row>
    <row r="999" spans="1:15" x14ac:dyDescent="0.2">
      <c r="A999" s="9">
        <v>44389</v>
      </c>
      <c r="B999" s="1" t="s">
        <v>22</v>
      </c>
      <c r="C999" s="1">
        <v>5</v>
      </c>
      <c r="D999" s="1">
        <v>1</v>
      </c>
      <c r="E999" s="5">
        <v>78.87</v>
      </c>
      <c r="F999" s="1" t="s">
        <v>18</v>
      </c>
      <c r="G999" s="1">
        <v>2</v>
      </c>
      <c r="H999" s="1" t="s">
        <v>16</v>
      </c>
      <c r="I999" s="1" t="s">
        <v>16</v>
      </c>
      <c r="J999" s="1" t="s">
        <v>16</v>
      </c>
      <c r="K999" s="1" t="s">
        <v>17</v>
      </c>
      <c r="L999" s="1" t="s">
        <v>17</v>
      </c>
      <c r="M999" s="1" t="s">
        <v>17</v>
      </c>
      <c r="N999" s="27" t="s">
        <v>605</v>
      </c>
      <c r="O999" s="1" t="s">
        <v>16</v>
      </c>
    </row>
    <row r="1000" spans="1:15" x14ac:dyDescent="0.2">
      <c r="A1000" s="9">
        <v>44389</v>
      </c>
      <c r="B1000" s="1" t="s">
        <v>22</v>
      </c>
      <c r="C1000" s="1">
        <v>6</v>
      </c>
      <c r="D1000" s="1">
        <v>2</v>
      </c>
      <c r="E1000" s="5">
        <v>49.38</v>
      </c>
      <c r="F1000" s="1" t="s">
        <v>18</v>
      </c>
      <c r="G1000" s="1">
        <v>2</v>
      </c>
      <c r="H1000" s="1" t="s">
        <v>16</v>
      </c>
      <c r="I1000" s="1" t="s">
        <v>16</v>
      </c>
      <c r="J1000" s="1" t="s">
        <v>16</v>
      </c>
      <c r="K1000" s="1" t="s">
        <v>17</v>
      </c>
      <c r="L1000" s="1" t="s">
        <v>17</v>
      </c>
      <c r="M1000" s="1" t="s">
        <v>17</v>
      </c>
      <c r="N1000" s="27" t="s">
        <v>605</v>
      </c>
      <c r="O1000" s="1" t="s">
        <v>16</v>
      </c>
    </row>
    <row r="1001" spans="1:15" x14ac:dyDescent="0.2">
      <c r="A1001" s="9">
        <v>44389</v>
      </c>
      <c r="B1001" s="1" t="s">
        <v>22</v>
      </c>
      <c r="C1001" s="1">
        <v>7</v>
      </c>
      <c r="D1001" s="1">
        <v>2</v>
      </c>
      <c r="E1001" s="5">
        <v>72.55</v>
      </c>
      <c r="F1001" s="1" t="s">
        <v>18</v>
      </c>
      <c r="G1001" s="1">
        <v>2</v>
      </c>
      <c r="H1001" s="1" t="s">
        <v>16</v>
      </c>
      <c r="I1001" s="1" t="s">
        <v>16</v>
      </c>
      <c r="J1001" s="1" t="s">
        <v>16</v>
      </c>
      <c r="K1001" s="1" t="s">
        <v>17</v>
      </c>
      <c r="L1001" s="1" t="s">
        <v>17</v>
      </c>
      <c r="M1001" s="1" t="s">
        <v>17</v>
      </c>
      <c r="N1001" s="27" t="s">
        <v>605</v>
      </c>
      <c r="O1001" s="1" t="s">
        <v>16</v>
      </c>
    </row>
    <row r="1002" spans="1:15" x14ac:dyDescent="0.2">
      <c r="A1002" s="9">
        <v>44389</v>
      </c>
      <c r="B1002" s="1" t="s">
        <v>22</v>
      </c>
      <c r="C1002" s="1">
        <v>8</v>
      </c>
      <c r="D1002" s="1">
        <v>2</v>
      </c>
      <c r="E1002" s="5">
        <v>68.900000000000006</v>
      </c>
      <c r="F1002" s="1" t="s">
        <v>18</v>
      </c>
      <c r="G1002" s="1">
        <v>1</v>
      </c>
      <c r="H1002" s="1" t="s">
        <v>16</v>
      </c>
      <c r="I1002" s="1" t="s">
        <v>16</v>
      </c>
      <c r="J1002" s="1" t="s">
        <v>16</v>
      </c>
      <c r="K1002" s="1" t="s">
        <v>17</v>
      </c>
      <c r="L1002" s="1" t="s">
        <v>17</v>
      </c>
      <c r="M1002" s="1" t="s">
        <v>17</v>
      </c>
      <c r="N1002" s="27" t="s">
        <v>605</v>
      </c>
      <c r="O1002" s="1" t="s">
        <v>16</v>
      </c>
    </row>
    <row r="1003" spans="1:15" x14ac:dyDescent="0.2">
      <c r="A1003" s="9">
        <v>44389</v>
      </c>
      <c r="B1003" s="1" t="s">
        <v>22</v>
      </c>
      <c r="C1003" s="1">
        <v>9</v>
      </c>
      <c r="D1003" s="1">
        <v>2</v>
      </c>
      <c r="E1003" s="5">
        <v>58.43</v>
      </c>
      <c r="F1003" s="1" t="s">
        <v>18</v>
      </c>
      <c r="G1003" s="1">
        <v>2</v>
      </c>
      <c r="H1003" s="1" t="s">
        <v>16</v>
      </c>
      <c r="I1003" s="1" t="s">
        <v>16</v>
      </c>
      <c r="J1003" s="1" t="s">
        <v>16</v>
      </c>
      <c r="K1003" s="1" t="s">
        <v>17</v>
      </c>
      <c r="L1003" s="1" t="s">
        <v>17</v>
      </c>
      <c r="M1003" s="1" t="s">
        <v>17</v>
      </c>
      <c r="N1003" s="27" t="s">
        <v>605</v>
      </c>
      <c r="O1003" s="1" t="s">
        <v>16</v>
      </c>
    </row>
    <row r="1004" spans="1:15" x14ac:dyDescent="0.2">
      <c r="A1004" s="9">
        <v>44389</v>
      </c>
      <c r="B1004" s="1" t="s">
        <v>22</v>
      </c>
      <c r="C1004" s="1">
        <v>10</v>
      </c>
      <c r="D1004" s="1">
        <v>2</v>
      </c>
      <c r="E1004" s="5">
        <v>58.2</v>
      </c>
      <c r="F1004" s="1" t="s">
        <v>18</v>
      </c>
      <c r="G1004" s="1">
        <v>2</v>
      </c>
      <c r="H1004" s="1" t="s">
        <v>16</v>
      </c>
      <c r="I1004" s="1" t="s">
        <v>16</v>
      </c>
      <c r="J1004" s="1" t="s">
        <v>16</v>
      </c>
      <c r="K1004" s="1" t="s">
        <v>17</v>
      </c>
      <c r="L1004" s="1" t="s">
        <v>17</v>
      </c>
      <c r="M1004" s="1" t="s">
        <v>17</v>
      </c>
      <c r="N1004" s="27" t="s">
        <v>605</v>
      </c>
      <c r="O1004" s="1" t="s">
        <v>16</v>
      </c>
    </row>
    <row r="1005" spans="1:15" x14ac:dyDescent="0.2">
      <c r="A1005" s="9">
        <v>44389</v>
      </c>
      <c r="B1005" s="1" t="s">
        <v>22</v>
      </c>
      <c r="C1005" s="1">
        <v>11</v>
      </c>
      <c r="D1005" s="1">
        <v>3</v>
      </c>
      <c r="E1005" s="5">
        <v>45.78</v>
      </c>
      <c r="F1005" s="1" t="s">
        <v>18</v>
      </c>
      <c r="G1005" s="1">
        <v>2</v>
      </c>
      <c r="H1005" s="1" t="s">
        <v>16</v>
      </c>
      <c r="I1005" s="1" t="s">
        <v>16</v>
      </c>
      <c r="J1005" s="1" t="s">
        <v>16</v>
      </c>
      <c r="K1005" s="1" t="s">
        <v>17</v>
      </c>
      <c r="L1005" s="1" t="s">
        <v>17</v>
      </c>
      <c r="M1005" s="1" t="s">
        <v>17</v>
      </c>
      <c r="N1005" s="27" t="s">
        <v>605</v>
      </c>
      <c r="O1005" s="1" t="s">
        <v>16</v>
      </c>
    </row>
    <row r="1006" spans="1:15" x14ac:dyDescent="0.2">
      <c r="A1006" s="9">
        <v>44389</v>
      </c>
      <c r="B1006" s="1" t="s">
        <v>22</v>
      </c>
      <c r="C1006" s="1">
        <v>12</v>
      </c>
      <c r="D1006" s="1">
        <v>3</v>
      </c>
      <c r="E1006" s="5">
        <v>61.68</v>
      </c>
      <c r="F1006" s="1" t="s">
        <v>18</v>
      </c>
      <c r="G1006" s="1">
        <v>2</v>
      </c>
      <c r="H1006" s="1" t="s">
        <v>16</v>
      </c>
      <c r="I1006" s="1" t="s">
        <v>16</v>
      </c>
      <c r="J1006" s="1" t="s">
        <v>16</v>
      </c>
      <c r="K1006" s="1" t="s">
        <v>17</v>
      </c>
      <c r="L1006" s="1" t="s">
        <v>17</v>
      </c>
      <c r="M1006" s="1" t="s">
        <v>17</v>
      </c>
      <c r="N1006" s="27" t="s">
        <v>605</v>
      </c>
      <c r="O1006" s="1" t="s">
        <v>16</v>
      </c>
    </row>
    <row r="1007" spans="1:15" x14ac:dyDescent="0.2">
      <c r="A1007" s="9">
        <v>44389</v>
      </c>
      <c r="B1007" s="1" t="s">
        <v>22</v>
      </c>
      <c r="C1007" s="1">
        <v>13</v>
      </c>
      <c r="D1007" s="1">
        <v>3</v>
      </c>
      <c r="E1007" s="5">
        <v>73.06</v>
      </c>
      <c r="F1007" s="1" t="s">
        <v>18</v>
      </c>
      <c r="G1007" s="1">
        <v>2</v>
      </c>
      <c r="H1007" s="1" t="s">
        <v>16</v>
      </c>
      <c r="I1007" s="1" t="s">
        <v>16</v>
      </c>
      <c r="J1007" s="1" t="s">
        <v>16</v>
      </c>
      <c r="K1007" s="1" t="s">
        <v>17</v>
      </c>
      <c r="L1007" s="1" t="s">
        <v>17</v>
      </c>
      <c r="M1007" s="1" t="s">
        <v>17</v>
      </c>
      <c r="N1007" s="27" t="s">
        <v>605</v>
      </c>
      <c r="O1007" s="1" t="s">
        <v>16</v>
      </c>
    </row>
    <row r="1008" spans="1:15" x14ac:dyDescent="0.2">
      <c r="A1008" s="9">
        <v>44389</v>
      </c>
      <c r="B1008" s="1" t="s">
        <v>22</v>
      </c>
      <c r="C1008" s="1">
        <v>14</v>
      </c>
      <c r="D1008" s="1">
        <v>3</v>
      </c>
      <c r="E1008" s="5">
        <v>67.680000000000007</v>
      </c>
      <c r="F1008" s="1" t="s">
        <v>18</v>
      </c>
      <c r="G1008" s="1">
        <v>2</v>
      </c>
      <c r="H1008" s="1" t="s">
        <v>16</v>
      </c>
      <c r="I1008" s="1" t="s">
        <v>16</v>
      </c>
      <c r="J1008" s="1" t="s">
        <v>16</v>
      </c>
      <c r="K1008" s="1" t="s">
        <v>17</v>
      </c>
      <c r="L1008" s="1" t="s">
        <v>17</v>
      </c>
      <c r="M1008" s="1" t="s">
        <v>17</v>
      </c>
      <c r="N1008" s="27" t="s">
        <v>605</v>
      </c>
      <c r="O1008" s="1" t="s">
        <v>16</v>
      </c>
    </row>
    <row r="1009" spans="1:15" x14ac:dyDescent="0.2">
      <c r="A1009" s="9">
        <v>44389</v>
      </c>
      <c r="B1009" s="1" t="s">
        <v>22</v>
      </c>
      <c r="C1009" s="1">
        <v>15</v>
      </c>
      <c r="D1009" s="1">
        <v>3</v>
      </c>
      <c r="E1009" s="5">
        <v>63.94</v>
      </c>
      <c r="F1009" s="1" t="s">
        <v>18</v>
      </c>
      <c r="G1009" s="1">
        <v>2</v>
      </c>
      <c r="H1009" s="1" t="s">
        <v>16</v>
      </c>
      <c r="I1009" s="1" t="s">
        <v>16</v>
      </c>
      <c r="J1009" s="1" t="s">
        <v>16</v>
      </c>
      <c r="K1009" s="1" t="s">
        <v>17</v>
      </c>
      <c r="L1009" s="1" t="s">
        <v>17</v>
      </c>
      <c r="M1009" s="1" t="s">
        <v>17</v>
      </c>
      <c r="N1009" s="27" t="s">
        <v>605</v>
      </c>
      <c r="O1009" s="1" t="s">
        <v>16</v>
      </c>
    </row>
    <row r="1010" spans="1:15" x14ac:dyDescent="0.2">
      <c r="A1010" s="9">
        <v>44411</v>
      </c>
      <c r="B1010" s="1" t="s">
        <v>22</v>
      </c>
      <c r="C1010" s="1">
        <v>1</v>
      </c>
      <c r="D1010" s="1">
        <v>1</v>
      </c>
      <c r="E1010" s="5">
        <v>52.73</v>
      </c>
      <c r="F1010" s="1" t="s">
        <v>18</v>
      </c>
      <c r="G1010" s="1">
        <v>3</v>
      </c>
      <c r="H1010" s="1" t="s">
        <v>16</v>
      </c>
      <c r="I1010" s="1" t="s">
        <v>16</v>
      </c>
      <c r="J1010" s="1" t="s">
        <v>16</v>
      </c>
      <c r="K1010" s="1" t="s">
        <v>21</v>
      </c>
      <c r="L1010" s="1" t="s">
        <v>17</v>
      </c>
      <c r="M1010" s="1" t="s">
        <v>17</v>
      </c>
      <c r="N1010" s="27" t="s">
        <v>605</v>
      </c>
      <c r="O1010" s="1" t="s">
        <v>16</v>
      </c>
    </row>
    <row r="1011" spans="1:15" x14ac:dyDescent="0.2">
      <c r="A1011" s="9">
        <v>44411</v>
      </c>
      <c r="B1011" s="1" t="s">
        <v>22</v>
      </c>
      <c r="C1011" s="1">
        <v>2</v>
      </c>
      <c r="D1011" s="1">
        <v>1</v>
      </c>
      <c r="E1011" s="5">
        <v>40.17</v>
      </c>
      <c r="F1011" s="1" t="s">
        <v>18</v>
      </c>
      <c r="G1011" s="1">
        <v>2</v>
      </c>
      <c r="H1011" s="1" t="s">
        <v>16</v>
      </c>
      <c r="I1011" s="1" t="s">
        <v>16</v>
      </c>
      <c r="J1011" s="1" t="s">
        <v>16</v>
      </c>
      <c r="K1011" s="1" t="s">
        <v>17</v>
      </c>
      <c r="L1011" s="1" t="s">
        <v>17</v>
      </c>
      <c r="M1011" s="1" t="s">
        <v>17</v>
      </c>
      <c r="N1011" s="27" t="s">
        <v>605</v>
      </c>
      <c r="O1011" s="1" t="s">
        <v>16</v>
      </c>
    </row>
    <row r="1012" spans="1:15" x14ac:dyDescent="0.2">
      <c r="A1012" s="9">
        <v>44411</v>
      </c>
      <c r="B1012" s="1" t="s">
        <v>22</v>
      </c>
      <c r="C1012" s="1">
        <v>3</v>
      </c>
      <c r="D1012" s="1">
        <v>1</v>
      </c>
      <c r="E1012" s="5">
        <v>56.57</v>
      </c>
      <c r="F1012" s="1" t="s">
        <v>18</v>
      </c>
      <c r="G1012" s="1">
        <v>3</v>
      </c>
      <c r="H1012" s="1" t="s">
        <v>16</v>
      </c>
      <c r="I1012" s="1" t="s">
        <v>16</v>
      </c>
      <c r="J1012" s="1" t="s">
        <v>16</v>
      </c>
      <c r="K1012" s="1" t="s">
        <v>17</v>
      </c>
      <c r="L1012" s="1" t="s">
        <v>17</v>
      </c>
      <c r="M1012" s="1" t="s">
        <v>17</v>
      </c>
      <c r="N1012" s="27" t="s">
        <v>605</v>
      </c>
      <c r="O1012" s="1" t="s">
        <v>16</v>
      </c>
    </row>
    <row r="1013" spans="1:15" x14ac:dyDescent="0.2">
      <c r="A1013" s="9">
        <v>44411</v>
      </c>
      <c r="B1013" s="1" t="s">
        <v>22</v>
      </c>
      <c r="C1013" s="1">
        <v>4</v>
      </c>
      <c r="D1013" s="1">
        <v>1</v>
      </c>
      <c r="E1013" s="5">
        <v>48.99</v>
      </c>
      <c r="F1013" s="1" t="s">
        <v>18</v>
      </c>
      <c r="G1013" s="1">
        <v>2</v>
      </c>
      <c r="H1013" s="1" t="s">
        <v>16</v>
      </c>
      <c r="I1013" s="1" t="s">
        <v>16</v>
      </c>
      <c r="J1013" s="1" t="s">
        <v>16</v>
      </c>
      <c r="K1013" s="1" t="s">
        <v>17</v>
      </c>
      <c r="L1013" s="1" t="s">
        <v>17</v>
      </c>
      <c r="M1013" s="1" t="s">
        <v>17</v>
      </c>
      <c r="N1013" s="27" t="s">
        <v>605</v>
      </c>
      <c r="O1013" s="1" t="s">
        <v>16</v>
      </c>
    </row>
    <row r="1014" spans="1:15" x14ac:dyDescent="0.2">
      <c r="A1014" s="9">
        <v>44411</v>
      </c>
      <c r="B1014" s="1" t="s">
        <v>22</v>
      </c>
      <c r="C1014" s="1">
        <v>5</v>
      </c>
      <c r="D1014" s="1">
        <v>1</v>
      </c>
      <c r="E1014" s="5">
        <v>59.37</v>
      </c>
      <c r="F1014" s="1" t="s">
        <v>18</v>
      </c>
      <c r="G1014" s="1">
        <v>2</v>
      </c>
      <c r="H1014" s="1" t="s">
        <v>16</v>
      </c>
      <c r="I1014" s="1" t="s">
        <v>16</v>
      </c>
      <c r="J1014" s="1" t="s">
        <v>16</v>
      </c>
      <c r="K1014" s="1" t="s">
        <v>17</v>
      </c>
      <c r="L1014" s="1" t="s">
        <v>17</v>
      </c>
      <c r="M1014" s="1" t="s">
        <v>17</v>
      </c>
      <c r="N1014" s="27" t="s">
        <v>605</v>
      </c>
      <c r="O1014" s="1" t="s">
        <v>16</v>
      </c>
    </row>
    <row r="1015" spans="1:15" x14ac:dyDescent="0.2">
      <c r="A1015" s="9">
        <v>44411</v>
      </c>
      <c r="B1015" s="1" t="s">
        <v>22</v>
      </c>
      <c r="C1015" s="1">
        <v>6</v>
      </c>
      <c r="D1015" s="1">
        <v>2</v>
      </c>
      <c r="E1015" s="5">
        <v>46.02</v>
      </c>
      <c r="F1015" s="1" t="s">
        <v>18</v>
      </c>
      <c r="G1015" s="1">
        <v>2</v>
      </c>
      <c r="H1015" s="1" t="s">
        <v>16</v>
      </c>
      <c r="I1015" s="1" t="s">
        <v>16</v>
      </c>
      <c r="J1015" s="1" t="s">
        <v>16</v>
      </c>
      <c r="K1015" s="1" t="s">
        <v>17</v>
      </c>
      <c r="L1015" s="1" t="s">
        <v>17</v>
      </c>
      <c r="M1015" s="1" t="s">
        <v>17</v>
      </c>
      <c r="N1015" s="27" t="s">
        <v>605</v>
      </c>
      <c r="O1015" s="1" t="s">
        <v>16</v>
      </c>
    </row>
    <row r="1016" spans="1:15" x14ac:dyDescent="0.2">
      <c r="A1016" s="9">
        <v>44411</v>
      </c>
      <c r="B1016" s="1" t="s">
        <v>22</v>
      </c>
      <c r="C1016" s="1">
        <v>7</v>
      </c>
      <c r="D1016" s="1">
        <v>2</v>
      </c>
      <c r="E1016" s="5">
        <v>63.29</v>
      </c>
      <c r="F1016" s="1" t="s">
        <v>18</v>
      </c>
      <c r="G1016" s="1">
        <v>2</v>
      </c>
      <c r="H1016" s="1" t="s">
        <v>16</v>
      </c>
      <c r="I1016" s="1" t="s">
        <v>16</v>
      </c>
      <c r="J1016" s="1" t="s">
        <v>16</v>
      </c>
      <c r="K1016" s="1" t="s">
        <v>17</v>
      </c>
      <c r="L1016" s="1" t="s">
        <v>17</v>
      </c>
      <c r="M1016" s="1" t="s">
        <v>17</v>
      </c>
      <c r="N1016" s="27" t="s">
        <v>605</v>
      </c>
      <c r="O1016" s="1" t="s">
        <v>16</v>
      </c>
    </row>
    <row r="1017" spans="1:15" x14ac:dyDescent="0.2">
      <c r="A1017" s="9">
        <v>44411</v>
      </c>
      <c r="B1017" s="1" t="s">
        <v>22</v>
      </c>
      <c r="C1017" s="1">
        <v>8</v>
      </c>
      <c r="D1017" s="1">
        <v>2</v>
      </c>
      <c r="E1017" s="5">
        <v>48.25</v>
      </c>
      <c r="F1017" s="1" t="s">
        <v>18</v>
      </c>
      <c r="G1017" s="1">
        <v>2</v>
      </c>
      <c r="H1017" s="1" t="s">
        <v>16</v>
      </c>
      <c r="I1017" s="1" t="s">
        <v>16</v>
      </c>
      <c r="J1017" s="1" t="s">
        <v>16</v>
      </c>
      <c r="K1017" s="1" t="s">
        <v>17</v>
      </c>
      <c r="L1017" s="1" t="s">
        <v>17</v>
      </c>
      <c r="M1017" s="1" t="s">
        <v>17</v>
      </c>
      <c r="N1017" s="27" t="s">
        <v>605</v>
      </c>
      <c r="O1017" s="1" t="s">
        <v>16</v>
      </c>
    </row>
    <row r="1018" spans="1:15" x14ac:dyDescent="0.2">
      <c r="A1018" s="9">
        <v>44411</v>
      </c>
      <c r="B1018" s="1" t="s">
        <v>22</v>
      </c>
      <c r="C1018" s="1">
        <v>9</v>
      </c>
      <c r="D1018" s="1">
        <v>2</v>
      </c>
      <c r="E1018" s="5">
        <v>60.34</v>
      </c>
      <c r="F1018" s="1" t="s">
        <v>18</v>
      </c>
      <c r="G1018" s="1">
        <v>2</v>
      </c>
      <c r="H1018" s="1" t="s">
        <v>16</v>
      </c>
      <c r="I1018" s="1" t="s">
        <v>16</v>
      </c>
      <c r="J1018" s="1" t="s">
        <v>16</v>
      </c>
      <c r="K1018" s="1" t="s">
        <v>21</v>
      </c>
      <c r="L1018" s="1" t="s">
        <v>17</v>
      </c>
      <c r="M1018" s="1" t="s">
        <v>17</v>
      </c>
      <c r="N1018" s="27" t="s">
        <v>605</v>
      </c>
      <c r="O1018" s="1" t="s">
        <v>16</v>
      </c>
    </row>
    <row r="1019" spans="1:15" x14ac:dyDescent="0.2">
      <c r="A1019" s="9">
        <v>44411</v>
      </c>
      <c r="B1019" s="1" t="s">
        <v>22</v>
      </c>
      <c r="C1019" s="1">
        <v>10</v>
      </c>
      <c r="D1019" s="1">
        <v>2</v>
      </c>
      <c r="E1019" s="5">
        <v>57.44</v>
      </c>
      <c r="F1019" s="1" t="s">
        <v>18</v>
      </c>
      <c r="G1019" s="1">
        <v>2</v>
      </c>
      <c r="H1019" s="1" t="s">
        <v>16</v>
      </c>
      <c r="I1019" s="1" t="s">
        <v>16</v>
      </c>
      <c r="J1019" s="1" t="s">
        <v>16</v>
      </c>
      <c r="K1019" s="1" t="s">
        <v>17</v>
      </c>
      <c r="L1019" s="1" t="s">
        <v>17</v>
      </c>
      <c r="M1019" s="1" t="s">
        <v>17</v>
      </c>
      <c r="N1019" s="27" t="s">
        <v>605</v>
      </c>
      <c r="O1019" s="1" t="s">
        <v>16</v>
      </c>
    </row>
    <row r="1020" spans="1:15" x14ac:dyDescent="0.2">
      <c r="A1020" s="9">
        <v>44411</v>
      </c>
      <c r="B1020" s="1" t="s">
        <v>22</v>
      </c>
      <c r="C1020" s="1">
        <v>11</v>
      </c>
      <c r="D1020" s="1">
        <v>3</v>
      </c>
      <c r="E1020" s="5">
        <v>44.87</v>
      </c>
      <c r="F1020" s="1" t="s">
        <v>18</v>
      </c>
      <c r="G1020" s="1">
        <v>2</v>
      </c>
      <c r="H1020" s="1" t="s">
        <v>16</v>
      </c>
      <c r="I1020" s="1" t="s">
        <v>16</v>
      </c>
      <c r="J1020" s="1" t="s">
        <v>16</v>
      </c>
      <c r="K1020" s="1" t="s">
        <v>17</v>
      </c>
      <c r="L1020" s="1" t="s">
        <v>17</v>
      </c>
      <c r="M1020" s="1" t="s">
        <v>17</v>
      </c>
      <c r="N1020" s="27" t="s">
        <v>605</v>
      </c>
      <c r="O1020" s="1" t="s">
        <v>16</v>
      </c>
    </row>
    <row r="1021" spans="1:15" x14ac:dyDescent="0.2">
      <c r="A1021" s="9">
        <v>44411</v>
      </c>
      <c r="B1021" s="1" t="s">
        <v>22</v>
      </c>
      <c r="C1021" s="1">
        <v>12</v>
      </c>
      <c r="D1021" s="1">
        <v>3</v>
      </c>
      <c r="E1021" s="5">
        <v>63.66</v>
      </c>
      <c r="F1021" s="1" t="s">
        <v>19</v>
      </c>
      <c r="G1021" s="1">
        <v>2</v>
      </c>
      <c r="H1021" s="1" t="s">
        <v>16</v>
      </c>
      <c r="I1021" s="1" t="s">
        <v>16</v>
      </c>
      <c r="J1021" s="1" t="s">
        <v>16</v>
      </c>
      <c r="K1021" s="1" t="s">
        <v>17</v>
      </c>
      <c r="L1021" s="1" t="s">
        <v>17</v>
      </c>
      <c r="M1021" s="1" t="s">
        <v>17</v>
      </c>
      <c r="N1021" s="27" t="s">
        <v>605</v>
      </c>
      <c r="O1021" s="1" t="s">
        <v>16</v>
      </c>
    </row>
    <row r="1022" spans="1:15" x14ac:dyDescent="0.2">
      <c r="A1022" s="9">
        <v>44411</v>
      </c>
      <c r="B1022" s="1" t="s">
        <v>22</v>
      </c>
      <c r="C1022" s="1">
        <v>13</v>
      </c>
      <c r="D1022" s="1">
        <v>3</v>
      </c>
      <c r="E1022" s="5">
        <v>53.51</v>
      </c>
      <c r="F1022" s="1" t="s">
        <v>18</v>
      </c>
      <c r="G1022" s="1">
        <v>2</v>
      </c>
      <c r="H1022" s="1" t="s">
        <v>16</v>
      </c>
      <c r="I1022" s="1" t="s">
        <v>16</v>
      </c>
      <c r="J1022" s="1" t="s">
        <v>16</v>
      </c>
      <c r="K1022" s="1" t="s">
        <v>17</v>
      </c>
      <c r="L1022" s="1" t="s">
        <v>17</v>
      </c>
      <c r="M1022" s="1" t="s">
        <v>17</v>
      </c>
      <c r="N1022" s="27" t="s">
        <v>605</v>
      </c>
      <c r="O1022" s="1" t="s">
        <v>16</v>
      </c>
    </row>
    <row r="1023" spans="1:15" x14ac:dyDescent="0.2">
      <c r="A1023" s="9">
        <v>44411</v>
      </c>
      <c r="B1023" s="1" t="s">
        <v>22</v>
      </c>
      <c r="C1023" s="1">
        <v>14</v>
      </c>
      <c r="D1023" s="1">
        <v>3</v>
      </c>
      <c r="E1023" s="5">
        <v>53.47</v>
      </c>
      <c r="F1023" s="1" t="s">
        <v>16</v>
      </c>
      <c r="G1023" s="1">
        <v>4</v>
      </c>
      <c r="H1023" s="1" t="s">
        <v>16</v>
      </c>
      <c r="I1023" s="1" t="s">
        <v>16</v>
      </c>
      <c r="J1023" s="1" t="s">
        <v>16</v>
      </c>
      <c r="K1023" s="1" t="s">
        <v>21</v>
      </c>
      <c r="L1023" s="1" t="s">
        <v>17</v>
      </c>
      <c r="M1023" s="1" t="s">
        <v>17</v>
      </c>
      <c r="N1023" s="27" t="s">
        <v>605</v>
      </c>
      <c r="O1023" s="1" t="s">
        <v>16</v>
      </c>
    </row>
    <row r="1024" spans="1:15" x14ac:dyDescent="0.2">
      <c r="A1024" s="9">
        <v>44411</v>
      </c>
      <c r="B1024" s="1" t="s">
        <v>22</v>
      </c>
      <c r="C1024" s="1">
        <v>15</v>
      </c>
      <c r="D1024" s="1">
        <v>3</v>
      </c>
      <c r="E1024" s="5">
        <v>48.11</v>
      </c>
      <c r="F1024" s="1" t="s">
        <v>18</v>
      </c>
      <c r="G1024" s="1">
        <v>2</v>
      </c>
      <c r="H1024" s="1" t="s">
        <v>16</v>
      </c>
      <c r="I1024" s="1" t="s">
        <v>16</v>
      </c>
      <c r="J1024" s="1" t="s">
        <v>16</v>
      </c>
      <c r="K1024" s="1" t="s">
        <v>17</v>
      </c>
      <c r="L1024" s="1" t="s">
        <v>17</v>
      </c>
      <c r="M1024" s="1" t="s">
        <v>17</v>
      </c>
      <c r="N1024" s="27" t="s">
        <v>605</v>
      </c>
      <c r="O1024" s="1" t="s">
        <v>16</v>
      </c>
    </row>
    <row r="1025" spans="1:15" x14ac:dyDescent="0.2">
      <c r="A1025" s="9">
        <v>44448</v>
      </c>
      <c r="B1025" s="1" t="s">
        <v>22</v>
      </c>
      <c r="C1025" s="1">
        <v>1</v>
      </c>
      <c r="D1025" s="1">
        <v>1</v>
      </c>
      <c r="E1025" s="5">
        <v>58.18</v>
      </c>
      <c r="F1025" s="1" t="s">
        <v>18</v>
      </c>
      <c r="G1025" s="1">
        <v>2</v>
      </c>
      <c r="H1025" s="1" t="s">
        <v>16</v>
      </c>
      <c r="I1025" s="1" t="s">
        <v>16</v>
      </c>
      <c r="J1025" s="1" t="s">
        <v>16</v>
      </c>
      <c r="K1025" s="1" t="s">
        <v>17</v>
      </c>
      <c r="L1025" s="1" t="s">
        <v>17</v>
      </c>
      <c r="M1025" s="1" t="s">
        <v>17</v>
      </c>
      <c r="N1025" s="27" t="s">
        <v>605</v>
      </c>
      <c r="O1025" s="1" t="s">
        <v>16</v>
      </c>
    </row>
    <row r="1026" spans="1:15" x14ac:dyDescent="0.2">
      <c r="A1026" s="9">
        <v>44448</v>
      </c>
      <c r="B1026" s="1" t="s">
        <v>22</v>
      </c>
      <c r="C1026" s="1">
        <v>2</v>
      </c>
      <c r="D1026" s="1">
        <v>1</v>
      </c>
      <c r="E1026" s="5">
        <v>54.57</v>
      </c>
      <c r="F1026" s="1" t="s">
        <v>18</v>
      </c>
      <c r="G1026" s="1">
        <v>2</v>
      </c>
      <c r="H1026" s="1" t="s">
        <v>16</v>
      </c>
      <c r="I1026" s="1" t="s">
        <v>16</v>
      </c>
      <c r="J1026" s="1" t="s">
        <v>16</v>
      </c>
      <c r="K1026" s="1" t="s">
        <v>17</v>
      </c>
      <c r="L1026" s="1" t="s">
        <v>17</v>
      </c>
      <c r="M1026" s="1" t="s">
        <v>17</v>
      </c>
      <c r="N1026" s="27" t="s">
        <v>605</v>
      </c>
      <c r="O1026" s="1" t="s">
        <v>16</v>
      </c>
    </row>
    <row r="1027" spans="1:15" x14ac:dyDescent="0.2">
      <c r="A1027" s="9">
        <v>44448</v>
      </c>
      <c r="B1027" s="1" t="s">
        <v>22</v>
      </c>
      <c r="C1027" s="1">
        <v>3</v>
      </c>
      <c r="D1027" s="1">
        <v>1</v>
      </c>
      <c r="E1027" s="5">
        <v>74.77</v>
      </c>
      <c r="F1027" s="1" t="s">
        <v>19</v>
      </c>
      <c r="G1027" s="1">
        <v>2</v>
      </c>
      <c r="H1027" s="1" t="s">
        <v>16</v>
      </c>
      <c r="I1027" s="1" t="s">
        <v>16</v>
      </c>
      <c r="J1027" s="1" t="s">
        <v>16</v>
      </c>
      <c r="K1027" s="1" t="s">
        <v>17</v>
      </c>
      <c r="L1027" s="1" t="s">
        <v>17</v>
      </c>
      <c r="M1027" s="1" t="s">
        <v>17</v>
      </c>
      <c r="N1027" s="27" t="s">
        <v>605</v>
      </c>
      <c r="O1027" s="1" t="s">
        <v>16</v>
      </c>
    </row>
    <row r="1028" spans="1:15" x14ac:dyDescent="0.2">
      <c r="A1028" s="9">
        <v>44448</v>
      </c>
      <c r="B1028" s="1" t="s">
        <v>22</v>
      </c>
      <c r="C1028" s="1">
        <v>4</v>
      </c>
      <c r="D1028" s="1">
        <v>1</v>
      </c>
      <c r="E1028" s="5">
        <v>52.08</v>
      </c>
      <c r="F1028" s="1" t="s">
        <v>18</v>
      </c>
      <c r="G1028" s="1">
        <v>2</v>
      </c>
      <c r="H1028" s="1" t="s">
        <v>16</v>
      </c>
      <c r="I1028" s="1" t="s">
        <v>16</v>
      </c>
      <c r="J1028" s="1" t="s">
        <v>16</v>
      </c>
      <c r="K1028" s="1" t="s">
        <v>17</v>
      </c>
      <c r="L1028" s="1" t="s">
        <v>17</v>
      </c>
      <c r="M1028" s="1" t="s">
        <v>17</v>
      </c>
      <c r="N1028" s="27" t="s">
        <v>605</v>
      </c>
      <c r="O1028" s="1" t="s">
        <v>16</v>
      </c>
    </row>
    <row r="1029" spans="1:15" x14ac:dyDescent="0.2">
      <c r="A1029" s="9">
        <v>44448</v>
      </c>
      <c r="B1029" s="1" t="s">
        <v>22</v>
      </c>
      <c r="C1029" s="1">
        <v>5</v>
      </c>
      <c r="D1029" s="1">
        <v>1</v>
      </c>
      <c r="E1029" s="5">
        <v>65.290000000000006</v>
      </c>
      <c r="F1029" s="1" t="s">
        <v>18</v>
      </c>
      <c r="G1029" s="1">
        <v>2</v>
      </c>
      <c r="H1029" s="1" t="s">
        <v>16</v>
      </c>
      <c r="I1029" s="1" t="s">
        <v>16</v>
      </c>
      <c r="J1029" s="1" t="s">
        <v>16</v>
      </c>
      <c r="K1029" s="1" t="s">
        <v>17</v>
      </c>
      <c r="L1029" s="1" t="s">
        <v>17</v>
      </c>
      <c r="M1029" s="1" t="s">
        <v>17</v>
      </c>
      <c r="N1029" s="27" t="s">
        <v>605</v>
      </c>
      <c r="O1029" s="1" t="s">
        <v>16</v>
      </c>
    </row>
    <row r="1030" spans="1:15" x14ac:dyDescent="0.2">
      <c r="A1030" s="9">
        <v>44448</v>
      </c>
      <c r="B1030" s="1" t="s">
        <v>22</v>
      </c>
      <c r="C1030" s="1">
        <v>6</v>
      </c>
      <c r="D1030" s="1">
        <v>2</v>
      </c>
      <c r="E1030" s="5">
        <v>55.05</v>
      </c>
      <c r="F1030" s="1" t="s">
        <v>18</v>
      </c>
      <c r="G1030" s="1">
        <v>2</v>
      </c>
      <c r="H1030" s="1" t="s">
        <v>16</v>
      </c>
      <c r="I1030" s="1" t="s">
        <v>16</v>
      </c>
      <c r="J1030" s="1" t="s">
        <v>16</v>
      </c>
      <c r="K1030" s="1" t="s">
        <v>17</v>
      </c>
      <c r="L1030" s="1" t="s">
        <v>17</v>
      </c>
      <c r="M1030" s="1" t="s">
        <v>17</v>
      </c>
      <c r="N1030" s="27" t="s">
        <v>605</v>
      </c>
      <c r="O1030" s="1" t="s">
        <v>16</v>
      </c>
    </row>
    <row r="1031" spans="1:15" x14ac:dyDescent="0.2">
      <c r="A1031" s="9">
        <v>44448</v>
      </c>
      <c r="B1031" s="1" t="s">
        <v>22</v>
      </c>
      <c r="C1031" s="1">
        <v>7</v>
      </c>
      <c r="D1031" s="1">
        <v>2</v>
      </c>
      <c r="E1031" s="5">
        <v>63.34</v>
      </c>
      <c r="F1031" s="1" t="s">
        <v>19</v>
      </c>
      <c r="G1031" s="1">
        <v>2</v>
      </c>
      <c r="H1031" s="1" t="s">
        <v>16</v>
      </c>
      <c r="I1031" s="1" t="s">
        <v>16</v>
      </c>
      <c r="J1031" s="1" t="s">
        <v>16</v>
      </c>
      <c r="K1031" s="1" t="s">
        <v>17</v>
      </c>
      <c r="L1031" s="1" t="s">
        <v>17</v>
      </c>
      <c r="M1031" s="1" t="s">
        <v>17</v>
      </c>
      <c r="N1031" s="27" t="s">
        <v>605</v>
      </c>
      <c r="O1031" s="1" t="s">
        <v>16</v>
      </c>
    </row>
    <row r="1032" spans="1:15" x14ac:dyDescent="0.2">
      <c r="A1032" s="9">
        <v>44448</v>
      </c>
      <c r="B1032" s="1" t="s">
        <v>22</v>
      </c>
      <c r="C1032" s="1">
        <v>8</v>
      </c>
      <c r="D1032" s="1">
        <v>2</v>
      </c>
      <c r="E1032" s="5">
        <v>82.94</v>
      </c>
      <c r="F1032" s="1" t="s">
        <v>18</v>
      </c>
      <c r="G1032" s="1">
        <v>2</v>
      </c>
      <c r="H1032" s="1" t="s">
        <v>16</v>
      </c>
      <c r="I1032" s="1" t="s">
        <v>16</v>
      </c>
      <c r="J1032" s="1" t="s">
        <v>16</v>
      </c>
      <c r="K1032" s="1" t="s">
        <v>17</v>
      </c>
      <c r="L1032" s="1" t="s">
        <v>17</v>
      </c>
      <c r="M1032" s="1" t="s">
        <v>17</v>
      </c>
      <c r="N1032" s="27" t="s">
        <v>605</v>
      </c>
      <c r="O1032" s="1" t="s">
        <v>16</v>
      </c>
    </row>
    <row r="1033" spans="1:15" x14ac:dyDescent="0.2">
      <c r="A1033" s="9">
        <v>44448</v>
      </c>
      <c r="B1033" s="1" t="s">
        <v>22</v>
      </c>
      <c r="C1033" s="1">
        <v>9</v>
      </c>
      <c r="D1033" s="1">
        <v>2</v>
      </c>
      <c r="E1033" s="5">
        <v>54.72</v>
      </c>
      <c r="F1033" s="1" t="s">
        <v>18</v>
      </c>
      <c r="G1033" s="1">
        <v>2</v>
      </c>
      <c r="H1033" s="1" t="s">
        <v>16</v>
      </c>
      <c r="I1033" s="1" t="s">
        <v>16</v>
      </c>
      <c r="J1033" s="1" t="s">
        <v>16</v>
      </c>
      <c r="K1033" s="1" t="s">
        <v>17</v>
      </c>
      <c r="L1033" s="1" t="s">
        <v>17</v>
      </c>
      <c r="M1033" s="1" t="s">
        <v>17</v>
      </c>
      <c r="N1033" s="27" t="s">
        <v>605</v>
      </c>
      <c r="O1033" s="1" t="s">
        <v>16</v>
      </c>
    </row>
    <row r="1034" spans="1:15" x14ac:dyDescent="0.2">
      <c r="A1034" s="9">
        <v>44448</v>
      </c>
      <c r="B1034" s="1" t="s">
        <v>22</v>
      </c>
      <c r="C1034" s="1">
        <v>10</v>
      </c>
      <c r="D1034" s="1">
        <v>2</v>
      </c>
      <c r="E1034" s="5">
        <v>49.43</v>
      </c>
      <c r="F1034" s="1" t="s">
        <v>18</v>
      </c>
      <c r="G1034" s="1">
        <v>2</v>
      </c>
      <c r="H1034" s="1" t="s">
        <v>16</v>
      </c>
      <c r="I1034" s="1" t="s">
        <v>16</v>
      </c>
      <c r="J1034" s="1" t="s">
        <v>16</v>
      </c>
      <c r="K1034" s="1" t="s">
        <v>17</v>
      </c>
      <c r="L1034" s="1" t="s">
        <v>17</v>
      </c>
      <c r="M1034" s="1" t="s">
        <v>17</v>
      </c>
      <c r="N1034" s="27" t="s">
        <v>605</v>
      </c>
      <c r="O1034" s="1" t="s">
        <v>16</v>
      </c>
    </row>
    <row r="1035" spans="1:15" x14ac:dyDescent="0.2">
      <c r="A1035" s="9">
        <v>44448</v>
      </c>
      <c r="B1035" s="1" t="s">
        <v>22</v>
      </c>
      <c r="C1035" s="1">
        <v>11</v>
      </c>
      <c r="D1035" s="1">
        <v>3</v>
      </c>
      <c r="E1035" s="5">
        <v>48.02</v>
      </c>
      <c r="F1035" s="1" t="s">
        <v>18</v>
      </c>
      <c r="G1035" s="1">
        <v>2</v>
      </c>
      <c r="H1035" s="1" t="s">
        <v>16</v>
      </c>
      <c r="I1035" s="1" t="s">
        <v>16</v>
      </c>
      <c r="J1035" s="1" t="s">
        <v>16</v>
      </c>
      <c r="K1035" s="1" t="s">
        <v>17</v>
      </c>
      <c r="L1035" s="1" t="s">
        <v>17</v>
      </c>
      <c r="M1035" s="1" t="s">
        <v>17</v>
      </c>
      <c r="N1035" s="27" t="s">
        <v>605</v>
      </c>
      <c r="O1035" s="1" t="s">
        <v>16</v>
      </c>
    </row>
    <row r="1036" spans="1:15" x14ac:dyDescent="0.2">
      <c r="A1036" s="9">
        <v>44448</v>
      </c>
      <c r="B1036" s="1" t="s">
        <v>22</v>
      </c>
      <c r="C1036" s="1">
        <v>12</v>
      </c>
      <c r="D1036" s="1">
        <v>3</v>
      </c>
      <c r="E1036" s="5">
        <v>53.56</v>
      </c>
      <c r="F1036" s="1" t="s">
        <v>19</v>
      </c>
      <c r="G1036" s="1">
        <v>2</v>
      </c>
      <c r="H1036" s="1" t="s">
        <v>16</v>
      </c>
      <c r="I1036" s="1" t="s">
        <v>16</v>
      </c>
      <c r="J1036" s="1" t="s">
        <v>16</v>
      </c>
      <c r="K1036" s="1" t="s">
        <v>17</v>
      </c>
      <c r="L1036" s="1" t="s">
        <v>17</v>
      </c>
      <c r="M1036" s="1" t="s">
        <v>17</v>
      </c>
      <c r="N1036" s="27" t="s">
        <v>605</v>
      </c>
      <c r="O1036" s="1" t="s">
        <v>16</v>
      </c>
    </row>
    <row r="1037" spans="1:15" x14ac:dyDescent="0.2">
      <c r="A1037" s="9">
        <v>44448</v>
      </c>
      <c r="B1037" s="1" t="s">
        <v>22</v>
      </c>
      <c r="C1037" s="1">
        <v>13</v>
      </c>
      <c r="D1037" s="1">
        <v>3</v>
      </c>
      <c r="E1037" s="5">
        <v>53.41</v>
      </c>
      <c r="F1037" s="1" t="s">
        <v>18</v>
      </c>
      <c r="G1037" s="1">
        <v>2</v>
      </c>
      <c r="H1037" s="1" t="s">
        <v>16</v>
      </c>
      <c r="I1037" s="1" t="s">
        <v>16</v>
      </c>
      <c r="J1037" s="1" t="s">
        <v>16</v>
      </c>
      <c r="K1037" s="1" t="s">
        <v>17</v>
      </c>
      <c r="L1037" s="1" t="s">
        <v>17</v>
      </c>
      <c r="M1037" s="1" t="s">
        <v>17</v>
      </c>
      <c r="N1037" s="27" t="s">
        <v>605</v>
      </c>
      <c r="O1037" s="1" t="s">
        <v>16</v>
      </c>
    </row>
    <row r="1038" spans="1:15" x14ac:dyDescent="0.2">
      <c r="A1038" s="9">
        <v>44448</v>
      </c>
      <c r="B1038" s="1" t="s">
        <v>22</v>
      </c>
      <c r="C1038" s="1">
        <v>14</v>
      </c>
      <c r="D1038" s="1">
        <v>3</v>
      </c>
      <c r="E1038" s="5">
        <v>57.6</v>
      </c>
      <c r="F1038" s="1" t="s">
        <v>18</v>
      </c>
      <c r="G1038" s="1">
        <v>2</v>
      </c>
      <c r="H1038" s="1" t="s">
        <v>16</v>
      </c>
      <c r="I1038" s="1" t="s">
        <v>16</v>
      </c>
      <c r="J1038" s="1" t="s">
        <v>16</v>
      </c>
      <c r="K1038" s="1" t="s">
        <v>17</v>
      </c>
      <c r="L1038" s="1" t="s">
        <v>17</v>
      </c>
      <c r="M1038" s="1" t="s">
        <v>17</v>
      </c>
      <c r="N1038" s="27" t="s">
        <v>605</v>
      </c>
      <c r="O1038" s="1" t="s">
        <v>16</v>
      </c>
    </row>
    <row r="1039" spans="1:15" x14ac:dyDescent="0.2">
      <c r="A1039" s="9">
        <v>44448</v>
      </c>
      <c r="B1039" s="1" t="s">
        <v>22</v>
      </c>
      <c r="C1039" s="1">
        <v>15</v>
      </c>
      <c r="D1039" s="1">
        <v>3</v>
      </c>
      <c r="E1039" s="5">
        <v>48.85</v>
      </c>
      <c r="F1039" s="1" t="s">
        <v>18</v>
      </c>
      <c r="G1039" s="1">
        <v>2</v>
      </c>
      <c r="H1039" s="1" t="s">
        <v>16</v>
      </c>
      <c r="I1039" s="1" t="s">
        <v>16</v>
      </c>
      <c r="J1039" s="1" t="s">
        <v>16</v>
      </c>
      <c r="K1039" s="1" t="s">
        <v>17</v>
      </c>
      <c r="L1039" s="1" t="s">
        <v>17</v>
      </c>
      <c r="M1039" s="1" t="s">
        <v>17</v>
      </c>
      <c r="N1039" s="27" t="s">
        <v>605</v>
      </c>
      <c r="O1039" s="1" t="s">
        <v>16</v>
      </c>
    </row>
    <row r="1040" spans="1:15" x14ac:dyDescent="0.2">
      <c r="A1040" s="9">
        <v>44474</v>
      </c>
      <c r="B1040" s="1" t="s">
        <v>22</v>
      </c>
      <c r="C1040" s="1">
        <v>1</v>
      </c>
      <c r="D1040" s="1">
        <v>1</v>
      </c>
      <c r="E1040" s="5">
        <v>64.8</v>
      </c>
      <c r="F1040" s="1" t="s">
        <v>18</v>
      </c>
      <c r="G1040" s="1">
        <v>2</v>
      </c>
      <c r="H1040" s="1" t="s">
        <v>16</v>
      </c>
      <c r="I1040" s="1" t="s">
        <v>16</v>
      </c>
      <c r="J1040" s="1" t="s">
        <v>16</v>
      </c>
      <c r="K1040" s="1" t="s">
        <v>17</v>
      </c>
      <c r="L1040" s="1" t="s">
        <v>17</v>
      </c>
      <c r="M1040" s="1" t="s">
        <v>17</v>
      </c>
      <c r="N1040" s="27" t="s">
        <v>605</v>
      </c>
      <c r="O1040" s="1" t="s">
        <v>16</v>
      </c>
    </row>
    <row r="1041" spans="1:15" x14ac:dyDescent="0.2">
      <c r="A1041" s="9">
        <v>44474</v>
      </c>
      <c r="B1041" s="1" t="s">
        <v>22</v>
      </c>
      <c r="C1041" s="1">
        <v>2</v>
      </c>
      <c r="D1041" s="1">
        <v>1</v>
      </c>
      <c r="E1041" s="5">
        <v>69.92</v>
      </c>
      <c r="F1041" s="1" t="s">
        <v>18</v>
      </c>
      <c r="G1041" s="1">
        <v>2</v>
      </c>
      <c r="H1041" s="1" t="s">
        <v>16</v>
      </c>
      <c r="I1041" s="1" t="s">
        <v>16</v>
      </c>
      <c r="J1041" s="1" t="s">
        <v>16</v>
      </c>
      <c r="K1041" s="1" t="s">
        <v>17</v>
      </c>
      <c r="L1041" s="1" t="s">
        <v>17</v>
      </c>
      <c r="M1041" s="1" t="s">
        <v>17</v>
      </c>
      <c r="N1041" s="27" t="s">
        <v>605</v>
      </c>
      <c r="O1041" s="1" t="s">
        <v>16</v>
      </c>
    </row>
    <row r="1042" spans="1:15" x14ac:dyDescent="0.2">
      <c r="A1042" s="9">
        <v>44474</v>
      </c>
      <c r="B1042" s="1" t="s">
        <v>22</v>
      </c>
      <c r="C1042" s="1">
        <v>3</v>
      </c>
      <c r="D1042" s="1">
        <v>1</v>
      </c>
      <c r="E1042" s="5">
        <v>54.32</v>
      </c>
      <c r="F1042" s="1" t="s">
        <v>18</v>
      </c>
      <c r="G1042" s="1">
        <v>2</v>
      </c>
      <c r="H1042" s="1" t="s">
        <v>16</v>
      </c>
      <c r="I1042" s="1" t="s">
        <v>16</v>
      </c>
      <c r="J1042" s="1" t="s">
        <v>16</v>
      </c>
      <c r="K1042" s="1" t="s">
        <v>17</v>
      </c>
      <c r="L1042" s="1" t="s">
        <v>17</v>
      </c>
      <c r="M1042" s="1" t="s">
        <v>17</v>
      </c>
      <c r="N1042" s="27" t="s">
        <v>605</v>
      </c>
      <c r="O1042" s="1" t="s">
        <v>16</v>
      </c>
    </row>
    <row r="1043" spans="1:15" x14ac:dyDescent="0.2">
      <c r="A1043" s="9">
        <v>44474</v>
      </c>
      <c r="B1043" s="1" t="s">
        <v>22</v>
      </c>
      <c r="C1043" s="1">
        <v>4</v>
      </c>
      <c r="D1043" s="1">
        <v>1</v>
      </c>
      <c r="E1043" s="5">
        <v>64.16</v>
      </c>
      <c r="F1043" s="1" t="s">
        <v>18</v>
      </c>
      <c r="G1043" s="1">
        <v>2</v>
      </c>
      <c r="H1043" s="1" t="s">
        <v>16</v>
      </c>
      <c r="I1043" s="1" t="s">
        <v>16</v>
      </c>
      <c r="J1043" s="1" t="s">
        <v>16</v>
      </c>
      <c r="K1043" s="1" t="s">
        <v>17</v>
      </c>
      <c r="L1043" s="1" t="s">
        <v>17</v>
      </c>
      <c r="M1043" s="1" t="s">
        <v>17</v>
      </c>
      <c r="N1043" s="27" t="s">
        <v>605</v>
      </c>
      <c r="O1043" s="1" t="s">
        <v>16</v>
      </c>
    </row>
    <row r="1044" spans="1:15" x14ac:dyDescent="0.2">
      <c r="A1044" s="9">
        <v>44474</v>
      </c>
      <c r="B1044" s="1" t="s">
        <v>22</v>
      </c>
      <c r="C1044" s="1">
        <v>5</v>
      </c>
      <c r="D1044" s="1">
        <v>1</v>
      </c>
      <c r="E1044" s="5">
        <v>62.26</v>
      </c>
      <c r="F1044" s="1" t="s">
        <v>18</v>
      </c>
      <c r="G1044" s="1">
        <v>2</v>
      </c>
      <c r="H1044" s="1" t="s">
        <v>16</v>
      </c>
      <c r="I1044" s="1" t="s">
        <v>16</v>
      </c>
      <c r="J1044" s="1" t="s">
        <v>16</v>
      </c>
      <c r="K1044" s="1" t="s">
        <v>17</v>
      </c>
      <c r="L1044" s="1" t="s">
        <v>17</v>
      </c>
      <c r="M1044" s="1" t="s">
        <v>17</v>
      </c>
      <c r="N1044" s="27" t="s">
        <v>605</v>
      </c>
      <c r="O1044" s="1" t="s">
        <v>16</v>
      </c>
    </row>
    <row r="1045" spans="1:15" x14ac:dyDescent="0.2">
      <c r="A1045" s="9">
        <v>44474</v>
      </c>
      <c r="B1045" s="1" t="s">
        <v>22</v>
      </c>
      <c r="C1045" s="1">
        <v>6</v>
      </c>
      <c r="D1045" s="1">
        <v>2</v>
      </c>
      <c r="E1045" s="5">
        <v>58.14</v>
      </c>
      <c r="F1045" s="1" t="s">
        <v>19</v>
      </c>
      <c r="G1045" s="1">
        <v>2</v>
      </c>
      <c r="H1045" s="1" t="s">
        <v>16</v>
      </c>
      <c r="I1045" s="1" t="s">
        <v>16</v>
      </c>
      <c r="J1045" s="1" t="s">
        <v>16</v>
      </c>
      <c r="K1045" s="1" t="s">
        <v>17</v>
      </c>
      <c r="L1045" s="1" t="s">
        <v>17</v>
      </c>
      <c r="M1045" s="1" t="s">
        <v>17</v>
      </c>
      <c r="N1045" s="27" t="s">
        <v>605</v>
      </c>
      <c r="O1045" s="1" t="s">
        <v>16</v>
      </c>
    </row>
    <row r="1046" spans="1:15" x14ac:dyDescent="0.2">
      <c r="A1046" s="9">
        <v>44474</v>
      </c>
      <c r="B1046" s="1" t="s">
        <v>22</v>
      </c>
      <c r="C1046" s="1">
        <v>7</v>
      </c>
      <c r="D1046" s="1">
        <v>2</v>
      </c>
      <c r="E1046" s="5">
        <v>43.97</v>
      </c>
      <c r="F1046" s="1" t="s">
        <v>18</v>
      </c>
      <c r="G1046" s="1">
        <v>2</v>
      </c>
      <c r="H1046" s="1" t="s">
        <v>16</v>
      </c>
      <c r="I1046" s="1" t="s">
        <v>16</v>
      </c>
      <c r="J1046" s="1" t="s">
        <v>16</v>
      </c>
      <c r="K1046" s="1" t="s">
        <v>17</v>
      </c>
      <c r="L1046" s="1" t="s">
        <v>17</v>
      </c>
      <c r="M1046" s="1" t="s">
        <v>17</v>
      </c>
      <c r="N1046" s="27" t="s">
        <v>605</v>
      </c>
      <c r="O1046" s="1" t="s">
        <v>16</v>
      </c>
    </row>
    <row r="1047" spans="1:15" x14ac:dyDescent="0.2">
      <c r="A1047" s="9">
        <v>44474</v>
      </c>
      <c r="B1047" s="1" t="s">
        <v>22</v>
      </c>
      <c r="C1047" s="1">
        <v>8</v>
      </c>
      <c r="D1047" s="1">
        <v>2</v>
      </c>
      <c r="E1047" s="5">
        <v>51.5</v>
      </c>
      <c r="F1047" s="1" t="s">
        <v>19</v>
      </c>
      <c r="G1047" s="1">
        <v>2</v>
      </c>
      <c r="H1047" s="1" t="s">
        <v>16</v>
      </c>
      <c r="I1047" s="1" t="s">
        <v>16</v>
      </c>
      <c r="J1047" s="1" t="s">
        <v>16</v>
      </c>
      <c r="K1047" s="1" t="s">
        <v>17</v>
      </c>
      <c r="L1047" s="1" t="s">
        <v>17</v>
      </c>
      <c r="M1047" s="1" t="s">
        <v>17</v>
      </c>
      <c r="N1047" s="27" t="s">
        <v>605</v>
      </c>
      <c r="O1047" s="1" t="s">
        <v>16</v>
      </c>
    </row>
    <row r="1048" spans="1:15" x14ac:dyDescent="0.2">
      <c r="A1048" s="9">
        <v>44474</v>
      </c>
      <c r="B1048" s="1" t="s">
        <v>22</v>
      </c>
      <c r="C1048" s="1">
        <v>9</v>
      </c>
      <c r="D1048" s="1">
        <v>2</v>
      </c>
      <c r="E1048" s="5">
        <v>48.77</v>
      </c>
      <c r="F1048" s="1" t="s">
        <v>19</v>
      </c>
      <c r="G1048" s="1">
        <v>2</v>
      </c>
      <c r="H1048" s="1" t="s">
        <v>16</v>
      </c>
      <c r="I1048" s="1" t="s">
        <v>16</v>
      </c>
      <c r="J1048" s="1" t="s">
        <v>16</v>
      </c>
      <c r="K1048" s="1" t="s">
        <v>17</v>
      </c>
      <c r="L1048" s="1" t="s">
        <v>17</v>
      </c>
      <c r="M1048" s="1" t="s">
        <v>17</v>
      </c>
      <c r="N1048" s="27" t="s">
        <v>605</v>
      </c>
      <c r="O1048" s="1" t="s">
        <v>16</v>
      </c>
    </row>
    <row r="1049" spans="1:15" x14ac:dyDescent="0.2">
      <c r="A1049" s="9">
        <v>44474</v>
      </c>
      <c r="B1049" s="1" t="s">
        <v>22</v>
      </c>
      <c r="C1049" s="1">
        <v>10</v>
      </c>
      <c r="D1049" s="1">
        <v>2</v>
      </c>
      <c r="E1049" s="5">
        <v>45.54</v>
      </c>
      <c r="F1049" s="1" t="s">
        <v>18</v>
      </c>
      <c r="G1049" s="1">
        <v>2</v>
      </c>
      <c r="H1049" s="1" t="s">
        <v>16</v>
      </c>
      <c r="I1049" s="1" t="s">
        <v>16</v>
      </c>
      <c r="J1049" s="1" t="s">
        <v>16</v>
      </c>
      <c r="K1049" s="1" t="s">
        <v>17</v>
      </c>
      <c r="L1049" s="1" t="s">
        <v>17</v>
      </c>
      <c r="M1049" s="1" t="s">
        <v>17</v>
      </c>
      <c r="N1049" s="27" t="s">
        <v>605</v>
      </c>
      <c r="O1049" s="1" t="s">
        <v>16</v>
      </c>
    </row>
    <row r="1050" spans="1:15" x14ac:dyDescent="0.2">
      <c r="A1050" s="9">
        <v>44474</v>
      </c>
      <c r="B1050" s="1" t="s">
        <v>22</v>
      </c>
      <c r="C1050" s="1">
        <v>11</v>
      </c>
      <c r="D1050" s="1">
        <v>3</v>
      </c>
      <c r="E1050" s="5">
        <v>64.42</v>
      </c>
      <c r="F1050" s="1" t="s">
        <v>18</v>
      </c>
      <c r="G1050" s="1">
        <v>2</v>
      </c>
      <c r="H1050" s="1" t="s">
        <v>16</v>
      </c>
      <c r="I1050" s="1" t="s">
        <v>16</v>
      </c>
      <c r="J1050" s="1" t="s">
        <v>16</v>
      </c>
      <c r="K1050" s="1" t="s">
        <v>17</v>
      </c>
      <c r="L1050" s="1" t="s">
        <v>17</v>
      </c>
      <c r="M1050" s="1" t="s">
        <v>17</v>
      </c>
      <c r="N1050" s="27" t="s">
        <v>605</v>
      </c>
      <c r="O1050" s="1" t="s">
        <v>16</v>
      </c>
    </row>
    <row r="1051" spans="1:15" x14ac:dyDescent="0.2">
      <c r="A1051" s="9">
        <v>44474</v>
      </c>
      <c r="B1051" s="1" t="s">
        <v>22</v>
      </c>
      <c r="C1051" s="1">
        <v>12</v>
      </c>
      <c r="D1051" s="1">
        <v>3</v>
      </c>
      <c r="E1051" s="5">
        <v>44.33</v>
      </c>
      <c r="F1051" s="1" t="s">
        <v>19</v>
      </c>
      <c r="G1051" s="1">
        <v>2</v>
      </c>
      <c r="H1051" s="1" t="s">
        <v>16</v>
      </c>
      <c r="I1051" s="1" t="s">
        <v>16</v>
      </c>
      <c r="J1051" s="1" t="s">
        <v>16</v>
      </c>
      <c r="K1051" s="1" t="s">
        <v>17</v>
      </c>
      <c r="L1051" s="1" t="s">
        <v>17</v>
      </c>
      <c r="M1051" s="1" t="s">
        <v>17</v>
      </c>
      <c r="N1051" s="27" t="s">
        <v>605</v>
      </c>
      <c r="O1051" s="1" t="s">
        <v>16</v>
      </c>
    </row>
    <row r="1052" spans="1:15" x14ac:dyDescent="0.2">
      <c r="A1052" s="9">
        <v>44474</v>
      </c>
      <c r="B1052" s="1" t="s">
        <v>22</v>
      </c>
      <c r="C1052" s="1">
        <v>13</v>
      </c>
      <c r="D1052" s="1">
        <v>3</v>
      </c>
      <c r="E1052" s="5">
        <v>56.49</v>
      </c>
      <c r="F1052" s="1" t="s">
        <v>18</v>
      </c>
      <c r="G1052" s="1">
        <v>2</v>
      </c>
      <c r="H1052" s="1" t="s">
        <v>16</v>
      </c>
      <c r="I1052" s="1" t="s">
        <v>16</v>
      </c>
      <c r="J1052" s="1" t="s">
        <v>16</v>
      </c>
      <c r="K1052" s="1" t="s">
        <v>17</v>
      </c>
      <c r="L1052" s="1" t="s">
        <v>17</v>
      </c>
      <c r="M1052" s="1" t="s">
        <v>17</v>
      </c>
      <c r="N1052" s="27" t="s">
        <v>605</v>
      </c>
      <c r="O1052" s="1" t="s">
        <v>16</v>
      </c>
    </row>
    <row r="1053" spans="1:15" x14ac:dyDescent="0.2">
      <c r="A1053" s="9">
        <v>44474</v>
      </c>
      <c r="B1053" s="1" t="s">
        <v>22</v>
      </c>
      <c r="C1053" s="1">
        <v>14</v>
      </c>
      <c r="D1053" s="1">
        <v>3</v>
      </c>
      <c r="E1053" s="5">
        <v>55.74</v>
      </c>
      <c r="F1053" s="1" t="s">
        <v>18</v>
      </c>
      <c r="G1053" s="1">
        <v>2</v>
      </c>
      <c r="H1053" s="1" t="s">
        <v>16</v>
      </c>
      <c r="I1053" s="1" t="s">
        <v>16</v>
      </c>
      <c r="J1053" s="1" t="s">
        <v>16</v>
      </c>
      <c r="K1053" s="1" t="s">
        <v>17</v>
      </c>
      <c r="L1053" s="1" t="s">
        <v>17</v>
      </c>
      <c r="M1053" s="1" t="s">
        <v>17</v>
      </c>
      <c r="N1053" s="27" t="s">
        <v>605</v>
      </c>
      <c r="O1053" s="1" t="s">
        <v>16</v>
      </c>
    </row>
    <row r="1054" spans="1:15" x14ac:dyDescent="0.2">
      <c r="A1054" s="9">
        <v>44474</v>
      </c>
      <c r="B1054" s="1" t="s">
        <v>22</v>
      </c>
      <c r="C1054" s="1">
        <v>15</v>
      </c>
      <c r="D1054" s="1">
        <v>3</v>
      </c>
      <c r="E1054" s="5">
        <v>63.72</v>
      </c>
      <c r="F1054" s="1" t="s">
        <v>18</v>
      </c>
      <c r="G1054" s="1">
        <v>2</v>
      </c>
      <c r="H1054" s="1" t="s">
        <v>16</v>
      </c>
      <c r="I1054" s="1" t="s">
        <v>16</v>
      </c>
      <c r="J1054" s="1" t="s">
        <v>16</v>
      </c>
      <c r="K1054" s="1" t="s">
        <v>17</v>
      </c>
      <c r="L1054" s="1" t="s">
        <v>17</v>
      </c>
      <c r="M1054" s="1" t="s">
        <v>17</v>
      </c>
      <c r="N1054" s="27" t="s">
        <v>605</v>
      </c>
      <c r="O1054" s="1" t="s">
        <v>16</v>
      </c>
    </row>
    <row r="1055" spans="1:15" x14ac:dyDescent="0.2">
      <c r="A1055" s="9">
        <v>44503</v>
      </c>
      <c r="B1055" s="1" t="s">
        <v>22</v>
      </c>
      <c r="C1055" s="1">
        <v>1</v>
      </c>
      <c r="D1055" s="1">
        <v>1</v>
      </c>
      <c r="E1055" s="5">
        <v>47.64</v>
      </c>
      <c r="F1055" s="1" t="s">
        <v>19</v>
      </c>
      <c r="G1055" s="1">
        <v>2</v>
      </c>
      <c r="H1055" s="1" t="s">
        <v>16</v>
      </c>
      <c r="I1055" s="1" t="s">
        <v>16</v>
      </c>
      <c r="J1055" s="1" t="s">
        <v>16</v>
      </c>
      <c r="K1055" s="1" t="s">
        <v>17</v>
      </c>
      <c r="L1055" s="1" t="s">
        <v>17</v>
      </c>
      <c r="M1055" s="1" t="s">
        <v>17</v>
      </c>
      <c r="N1055" s="27" t="s">
        <v>605</v>
      </c>
      <c r="O1055" s="1" t="s">
        <v>16</v>
      </c>
    </row>
    <row r="1056" spans="1:15" x14ac:dyDescent="0.2">
      <c r="A1056" s="9">
        <v>44503</v>
      </c>
      <c r="B1056" s="1" t="s">
        <v>22</v>
      </c>
      <c r="C1056" s="1">
        <v>2</v>
      </c>
      <c r="D1056" s="1">
        <v>1</v>
      </c>
      <c r="E1056" s="5">
        <v>66.11</v>
      </c>
      <c r="F1056" s="1" t="s">
        <v>18</v>
      </c>
      <c r="G1056" s="1">
        <v>2</v>
      </c>
      <c r="H1056" s="1" t="s">
        <v>16</v>
      </c>
      <c r="I1056" s="1" t="s">
        <v>16</v>
      </c>
      <c r="J1056" s="1" t="s">
        <v>16</v>
      </c>
      <c r="K1056" s="1" t="s">
        <v>17</v>
      </c>
      <c r="L1056" s="1" t="s">
        <v>17</v>
      </c>
      <c r="M1056" s="1" t="s">
        <v>17</v>
      </c>
      <c r="N1056" s="27" t="s">
        <v>605</v>
      </c>
      <c r="O1056" s="1" t="s">
        <v>16</v>
      </c>
    </row>
    <row r="1057" spans="1:15" x14ac:dyDescent="0.2">
      <c r="A1057" s="9">
        <v>44503</v>
      </c>
      <c r="B1057" s="1" t="s">
        <v>22</v>
      </c>
      <c r="C1057" s="1">
        <v>3</v>
      </c>
      <c r="D1057" s="1">
        <v>1</v>
      </c>
      <c r="E1057" s="5">
        <v>49.98</v>
      </c>
      <c r="F1057" s="1" t="s">
        <v>16</v>
      </c>
      <c r="G1057" s="1">
        <v>4</v>
      </c>
      <c r="H1057" s="1" t="s">
        <v>16</v>
      </c>
      <c r="I1057" s="1" t="s">
        <v>16</v>
      </c>
      <c r="J1057" s="1" t="s">
        <v>16</v>
      </c>
      <c r="K1057" s="1" t="s">
        <v>17</v>
      </c>
      <c r="L1057" s="1" t="s">
        <v>17</v>
      </c>
      <c r="M1057" s="1" t="s">
        <v>17</v>
      </c>
      <c r="N1057" s="27" t="s">
        <v>605</v>
      </c>
      <c r="O1057" s="1" t="s">
        <v>16</v>
      </c>
    </row>
    <row r="1058" spans="1:15" x14ac:dyDescent="0.2">
      <c r="A1058" s="9">
        <v>44503</v>
      </c>
      <c r="B1058" s="1" t="s">
        <v>22</v>
      </c>
      <c r="C1058" s="1">
        <v>4</v>
      </c>
      <c r="D1058" s="1">
        <v>1</v>
      </c>
      <c r="E1058" s="5">
        <v>51.23</v>
      </c>
      <c r="F1058" s="1" t="s">
        <v>19</v>
      </c>
      <c r="G1058" s="1">
        <v>2</v>
      </c>
      <c r="H1058" s="1" t="s">
        <v>16</v>
      </c>
      <c r="I1058" s="1" t="s">
        <v>16</v>
      </c>
      <c r="J1058" s="1" t="s">
        <v>16</v>
      </c>
      <c r="K1058" s="1" t="s">
        <v>17</v>
      </c>
      <c r="L1058" s="1" t="s">
        <v>17</v>
      </c>
      <c r="M1058" s="1" t="s">
        <v>17</v>
      </c>
      <c r="N1058" s="27" t="s">
        <v>605</v>
      </c>
      <c r="O1058" s="1" t="s">
        <v>16</v>
      </c>
    </row>
    <row r="1059" spans="1:15" x14ac:dyDescent="0.2">
      <c r="A1059" s="9">
        <v>44503</v>
      </c>
      <c r="B1059" s="1" t="s">
        <v>22</v>
      </c>
      <c r="C1059" s="1">
        <v>5</v>
      </c>
      <c r="D1059" s="1">
        <v>1</v>
      </c>
      <c r="E1059" s="5">
        <v>36.28</v>
      </c>
      <c r="F1059" s="1" t="s">
        <v>18</v>
      </c>
      <c r="G1059" s="1">
        <v>2</v>
      </c>
      <c r="H1059" s="1" t="s">
        <v>16</v>
      </c>
      <c r="I1059" s="1" t="s">
        <v>16</v>
      </c>
      <c r="J1059" s="1" t="s">
        <v>16</v>
      </c>
      <c r="K1059" s="1" t="s">
        <v>17</v>
      </c>
      <c r="L1059" s="1" t="s">
        <v>17</v>
      </c>
      <c r="M1059" s="1" t="s">
        <v>17</v>
      </c>
      <c r="N1059" s="27" t="s">
        <v>605</v>
      </c>
      <c r="O1059" s="1" t="s">
        <v>16</v>
      </c>
    </row>
    <row r="1060" spans="1:15" x14ac:dyDescent="0.2">
      <c r="A1060" s="9">
        <v>44503</v>
      </c>
      <c r="B1060" s="1" t="s">
        <v>22</v>
      </c>
      <c r="C1060" s="1">
        <v>6</v>
      </c>
      <c r="D1060" s="1">
        <v>2</v>
      </c>
      <c r="E1060" s="5">
        <v>72.87</v>
      </c>
      <c r="F1060" s="1" t="s">
        <v>18</v>
      </c>
      <c r="G1060" s="1">
        <v>2</v>
      </c>
      <c r="H1060" s="1" t="s">
        <v>16</v>
      </c>
      <c r="I1060" s="1" t="s">
        <v>16</v>
      </c>
      <c r="J1060" s="1" t="s">
        <v>16</v>
      </c>
      <c r="K1060" s="1" t="s">
        <v>17</v>
      </c>
      <c r="L1060" s="1" t="s">
        <v>17</v>
      </c>
      <c r="M1060" s="1" t="s">
        <v>17</v>
      </c>
      <c r="N1060" s="27" t="s">
        <v>605</v>
      </c>
      <c r="O1060" s="1" t="s">
        <v>16</v>
      </c>
    </row>
    <row r="1061" spans="1:15" x14ac:dyDescent="0.2">
      <c r="A1061" s="9">
        <v>44503</v>
      </c>
      <c r="B1061" s="1" t="s">
        <v>22</v>
      </c>
      <c r="C1061" s="1">
        <v>7</v>
      </c>
      <c r="D1061" s="1">
        <v>2</v>
      </c>
      <c r="E1061" s="5">
        <v>73.16</v>
      </c>
      <c r="F1061" s="1" t="s">
        <v>18</v>
      </c>
      <c r="G1061" s="1">
        <v>2</v>
      </c>
      <c r="H1061" s="1" t="s">
        <v>16</v>
      </c>
      <c r="I1061" s="1" t="s">
        <v>16</v>
      </c>
      <c r="J1061" s="1" t="s">
        <v>16</v>
      </c>
      <c r="K1061" s="1" t="s">
        <v>17</v>
      </c>
      <c r="L1061" s="1" t="s">
        <v>17</v>
      </c>
      <c r="M1061" s="1" t="s">
        <v>17</v>
      </c>
      <c r="N1061" s="27" t="s">
        <v>605</v>
      </c>
      <c r="O1061" s="1" t="s">
        <v>16</v>
      </c>
    </row>
    <row r="1062" spans="1:15" x14ac:dyDescent="0.2">
      <c r="A1062" s="9">
        <v>44503</v>
      </c>
      <c r="B1062" s="1" t="s">
        <v>22</v>
      </c>
      <c r="C1062" s="1">
        <v>8</v>
      </c>
      <c r="D1062" s="1">
        <v>2</v>
      </c>
      <c r="E1062" s="5">
        <v>60.11</v>
      </c>
      <c r="F1062" s="1" t="s">
        <v>18</v>
      </c>
      <c r="G1062" s="1">
        <v>2</v>
      </c>
      <c r="H1062" s="1" t="s">
        <v>16</v>
      </c>
      <c r="I1062" s="1" t="s">
        <v>16</v>
      </c>
      <c r="J1062" s="1" t="s">
        <v>16</v>
      </c>
      <c r="K1062" s="1" t="s">
        <v>17</v>
      </c>
      <c r="L1062" s="1" t="s">
        <v>17</v>
      </c>
      <c r="M1062" s="1" t="s">
        <v>17</v>
      </c>
      <c r="N1062" s="27" t="s">
        <v>605</v>
      </c>
      <c r="O1062" s="1" t="s">
        <v>16</v>
      </c>
    </row>
    <row r="1063" spans="1:15" x14ac:dyDescent="0.2">
      <c r="A1063" s="9">
        <v>44503</v>
      </c>
      <c r="B1063" s="1" t="s">
        <v>22</v>
      </c>
      <c r="C1063" s="1">
        <v>9</v>
      </c>
      <c r="D1063" s="1">
        <v>2</v>
      </c>
      <c r="E1063" s="5">
        <v>60.49</v>
      </c>
      <c r="F1063" s="1" t="s">
        <v>18</v>
      </c>
      <c r="G1063" s="1">
        <v>2</v>
      </c>
      <c r="H1063" s="1" t="s">
        <v>16</v>
      </c>
      <c r="I1063" s="1" t="s">
        <v>16</v>
      </c>
      <c r="J1063" s="1" t="s">
        <v>16</v>
      </c>
      <c r="K1063" s="1" t="s">
        <v>21</v>
      </c>
      <c r="L1063" s="1" t="s">
        <v>17</v>
      </c>
      <c r="M1063" s="1" t="s">
        <v>21</v>
      </c>
      <c r="N1063" s="27" t="s">
        <v>605</v>
      </c>
      <c r="O1063" s="1" t="s">
        <v>16</v>
      </c>
    </row>
    <row r="1064" spans="1:15" x14ac:dyDescent="0.2">
      <c r="A1064" s="9">
        <v>44503</v>
      </c>
      <c r="B1064" s="1" t="s">
        <v>22</v>
      </c>
      <c r="C1064" s="1">
        <v>10</v>
      </c>
      <c r="D1064" s="1">
        <v>2</v>
      </c>
      <c r="E1064" s="5">
        <v>43.31</v>
      </c>
      <c r="F1064" s="1" t="s">
        <v>19</v>
      </c>
      <c r="G1064" s="1">
        <v>2</v>
      </c>
      <c r="H1064" s="1" t="s">
        <v>16</v>
      </c>
      <c r="I1064" s="1" t="s">
        <v>16</v>
      </c>
      <c r="J1064" s="1" t="s">
        <v>16</v>
      </c>
      <c r="K1064" s="1" t="s">
        <v>21</v>
      </c>
      <c r="L1064" s="1" t="s">
        <v>17</v>
      </c>
      <c r="M1064" s="1" t="s">
        <v>17</v>
      </c>
      <c r="N1064" s="27" t="s">
        <v>605</v>
      </c>
      <c r="O1064" s="1" t="s">
        <v>16</v>
      </c>
    </row>
    <row r="1065" spans="1:15" x14ac:dyDescent="0.2">
      <c r="A1065" s="9">
        <v>44503</v>
      </c>
      <c r="B1065" s="1" t="s">
        <v>22</v>
      </c>
      <c r="C1065" s="1">
        <v>11</v>
      </c>
      <c r="D1065" s="1">
        <v>3</v>
      </c>
      <c r="E1065" s="5">
        <v>74.53</v>
      </c>
      <c r="F1065" s="1" t="s">
        <v>18</v>
      </c>
      <c r="G1065" s="1">
        <v>2</v>
      </c>
      <c r="H1065" s="1" t="s">
        <v>16</v>
      </c>
      <c r="I1065" s="1" t="s">
        <v>16</v>
      </c>
      <c r="J1065" s="1" t="s">
        <v>16</v>
      </c>
      <c r="K1065" s="1" t="s">
        <v>21</v>
      </c>
      <c r="L1065" s="1" t="s">
        <v>17</v>
      </c>
      <c r="M1065" s="1" t="s">
        <v>17</v>
      </c>
      <c r="N1065" s="27" t="s">
        <v>605</v>
      </c>
      <c r="O1065" s="1" t="s">
        <v>16</v>
      </c>
    </row>
    <row r="1066" spans="1:15" x14ac:dyDescent="0.2">
      <c r="A1066" s="9">
        <v>44503</v>
      </c>
      <c r="B1066" s="1" t="s">
        <v>22</v>
      </c>
      <c r="C1066" s="1">
        <v>12</v>
      </c>
      <c r="D1066" s="1">
        <v>3</v>
      </c>
      <c r="E1066" s="5">
        <v>63.27</v>
      </c>
      <c r="F1066" s="1" t="s">
        <v>18</v>
      </c>
      <c r="G1066" s="1">
        <v>2</v>
      </c>
      <c r="H1066" s="1" t="s">
        <v>16</v>
      </c>
      <c r="I1066" s="1" t="s">
        <v>16</v>
      </c>
      <c r="J1066" s="1" t="s">
        <v>16</v>
      </c>
      <c r="K1066" s="1" t="s">
        <v>17</v>
      </c>
      <c r="L1066" s="1" t="s">
        <v>17</v>
      </c>
      <c r="M1066" s="1" t="s">
        <v>17</v>
      </c>
      <c r="N1066" s="27" t="s">
        <v>605</v>
      </c>
      <c r="O1066" s="1" t="s">
        <v>16</v>
      </c>
    </row>
    <row r="1067" spans="1:15" x14ac:dyDescent="0.2">
      <c r="A1067" s="9">
        <v>44503</v>
      </c>
      <c r="B1067" s="1" t="s">
        <v>22</v>
      </c>
      <c r="C1067" s="1">
        <v>13</v>
      </c>
      <c r="D1067" s="1">
        <v>3</v>
      </c>
      <c r="E1067" s="5">
        <v>53.88</v>
      </c>
      <c r="F1067" s="1" t="s">
        <v>19</v>
      </c>
      <c r="G1067" s="1">
        <v>2</v>
      </c>
      <c r="H1067" s="1" t="s">
        <v>16</v>
      </c>
      <c r="I1067" s="1" t="s">
        <v>16</v>
      </c>
      <c r="J1067" s="1" t="s">
        <v>16</v>
      </c>
      <c r="K1067" s="1" t="s">
        <v>17</v>
      </c>
      <c r="L1067" s="1" t="s">
        <v>17</v>
      </c>
      <c r="M1067" s="1" t="s">
        <v>17</v>
      </c>
      <c r="N1067" s="27" t="s">
        <v>605</v>
      </c>
      <c r="O1067" s="1" t="s">
        <v>16</v>
      </c>
    </row>
    <row r="1068" spans="1:15" x14ac:dyDescent="0.2">
      <c r="A1068" s="9">
        <v>44503</v>
      </c>
      <c r="B1068" s="1" t="s">
        <v>22</v>
      </c>
      <c r="C1068" s="1">
        <v>14</v>
      </c>
      <c r="D1068" s="1">
        <v>3</v>
      </c>
      <c r="E1068" s="5">
        <v>52.62</v>
      </c>
      <c r="F1068" s="1" t="s">
        <v>18</v>
      </c>
      <c r="G1068" s="1">
        <v>2</v>
      </c>
      <c r="H1068" s="1" t="s">
        <v>16</v>
      </c>
      <c r="I1068" s="1" t="s">
        <v>16</v>
      </c>
      <c r="J1068" s="1" t="s">
        <v>16</v>
      </c>
      <c r="K1068" s="1" t="s">
        <v>17</v>
      </c>
      <c r="L1068" s="1" t="s">
        <v>17</v>
      </c>
      <c r="M1068" s="1" t="s">
        <v>17</v>
      </c>
      <c r="N1068" s="27" t="s">
        <v>605</v>
      </c>
      <c r="O1068" s="1" t="s">
        <v>16</v>
      </c>
    </row>
    <row r="1069" spans="1:15" x14ac:dyDescent="0.2">
      <c r="A1069" s="9">
        <v>44503</v>
      </c>
      <c r="B1069" s="1" t="s">
        <v>22</v>
      </c>
      <c r="C1069" s="1">
        <v>15</v>
      </c>
      <c r="D1069" s="1">
        <v>3</v>
      </c>
      <c r="E1069" s="5">
        <v>53.96</v>
      </c>
      <c r="F1069" s="1" t="s">
        <v>18</v>
      </c>
      <c r="G1069" s="1">
        <v>2</v>
      </c>
      <c r="H1069" s="1" t="s">
        <v>16</v>
      </c>
      <c r="I1069" s="1" t="s">
        <v>16</v>
      </c>
      <c r="J1069" s="1" t="s">
        <v>16</v>
      </c>
      <c r="K1069" s="1" t="s">
        <v>17</v>
      </c>
      <c r="L1069" s="1" t="s">
        <v>17</v>
      </c>
      <c r="M1069" s="1" t="s">
        <v>17</v>
      </c>
      <c r="N1069" s="27" t="s">
        <v>605</v>
      </c>
      <c r="O1069" s="1" t="s">
        <v>16</v>
      </c>
    </row>
    <row r="1070" spans="1:15" x14ac:dyDescent="0.2">
      <c r="A1070" s="9">
        <v>44537</v>
      </c>
      <c r="B1070" s="1" t="s">
        <v>22</v>
      </c>
      <c r="C1070" s="1">
        <v>1</v>
      </c>
      <c r="D1070" s="1">
        <v>1</v>
      </c>
      <c r="E1070" s="5">
        <v>37.74</v>
      </c>
      <c r="F1070" s="1" t="s">
        <v>16</v>
      </c>
      <c r="G1070" s="1">
        <v>4</v>
      </c>
      <c r="H1070" s="1" t="s">
        <v>16</v>
      </c>
      <c r="I1070" s="1" t="s">
        <v>16</v>
      </c>
      <c r="J1070" s="1" t="s">
        <v>16</v>
      </c>
      <c r="K1070" s="1" t="s">
        <v>21</v>
      </c>
      <c r="L1070" s="1" t="s">
        <v>17</v>
      </c>
      <c r="M1070" s="1" t="s">
        <v>17</v>
      </c>
      <c r="N1070" s="27" t="s">
        <v>605</v>
      </c>
      <c r="O1070" s="1" t="s">
        <v>16</v>
      </c>
    </row>
    <row r="1071" spans="1:15" x14ac:dyDescent="0.2">
      <c r="A1071" s="9">
        <v>44537</v>
      </c>
      <c r="B1071" s="1" t="s">
        <v>22</v>
      </c>
      <c r="C1071" s="1">
        <v>2</v>
      </c>
      <c r="D1071" s="1">
        <v>1</v>
      </c>
      <c r="E1071" s="5">
        <v>43.22</v>
      </c>
      <c r="F1071" s="1" t="s">
        <v>16</v>
      </c>
      <c r="G1071" s="1">
        <v>4</v>
      </c>
      <c r="H1071" s="1" t="s">
        <v>16</v>
      </c>
      <c r="I1071" s="1" t="s">
        <v>16</v>
      </c>
      <c r="J1071" s="1" t="s">
        <v>16</v>
      </c>
      <c r="K1071" s="1" t="s">
        <v>17</v>
      </c>
      <c r="L1071" s="1" t="s">
        <v>17</v>
      </c>
      <c r="M1071" s="1" t="s">
        <v>17</v>
      </c>
      <c r="N1071" s="27" t="s">
        <v>605</v>
      </c>
      <c r="O1071" s="1" t="s">
        <v>16</v>
      </c>
    </row>
    <row r="1072" spans="1:15" x14ac:dyDescent="0.2">
      <c r="A1072" s="9">
        <v>44537</v>
      </c>
      <c r="B1072" s="1" t="s">
        <v>22</v>
      </c>
      <c r="C1072" s="1">
        <v>3</v>
      </c>
      <c r="D1072" s="1">
        <v>1</v>
      </c>
      <c r="E1072" s="5">
        <v>49.84</v>
      </c>
      <c r="F1072" s="1" t="s">
        <v>16</v>
      </c>
      <c r="G1072" s="1">
        <v>4</v>
      </c>
      <c r="H1072" s="1" t="s">
        <v>16</v>
      </c>
      <c r="I1072" s="1" t="s">
        <v>16</v>
      </c>
      <c r="J1072" s="1" t="s">
        <v>16</v>
      </c>
      <c r="K1072" s="1" t="s">
        <v>17</v>
      </c>
      <c r="L1072" s="1" t="s">
        <v>17</v>
      </c>
      <c r="M1072" s="1" t="s">
        <v>17</v>
      </c>
      <c r="N1072" s="27" t="s">
        <v>605</v>
      </c>
      <c r="O1072" s="1" t="s">
        <v>16</v>
      </c>
    </row>
    <row r="1073" spans="1:15" x14ac:dyDescent="0.2">
      <c r="A1073" s="9">
        <v>44537</v>
      </c>
      <c r="B1073" s="1" t="s">
        <v>22</v>
      </c>
      <c r="C1073" s="1">
        <v>4</v>
      </c>
      <c r="D1073" s="1">
        <v>1</v>
      </c>
      <c r="E1073" s="5">
        <v>46.82</v>
      </c>
      <c r="F1073" s="1" t="s">
        <v>16</v>
      </c>
      <c r="G1073" s="1">
        <v>4</v>
      </c>
      <c r="H1073" s="1" t="s">
        <v>16</v>
      </c>
      <c r="I1073" s="1" t="s">
        <v>16</v>
      </c>
      <c r="J1073" s="1" t="s">
        <v>16</v>
      </c>
      <c r="K1073" s="1" t="s">
        <v>17</v>
      </c>
      <c r="L1073" s="1" t="s">
        <v>17</v>
      </c>
      <c r="M1073" s="1" t="s">
        <v>17</v>
      </c>
      <c r="N1073" s="27" t="s">
        <v>605</v>
      </c>
      <c r="O1073" s="1" t="s">
        <v>16</v>
      </c>
    </row>
    <row r="1074" spans="1:15" x14ac:dyDescent="0.2">
      <c r="A1074" s="9">
        <v>44537</v>
      </c>
      <c r="B1074" s="1" t="s">
        <v>22</v>
      </c>
      <c r="C1074" s="1">
        <v>5</v>
      </c>
      <c r="D1074" s="1">
        <v>1</v>
      </c>
      <c r="E1074" s="5">
        <v>64.739999999999995</v>
      </c>
      <c r="F1074" s="1" t="s">
        <v>16</v>
      </c>
      <c r="G1074" s="1">
        <v>4</v>
      </c>
      <c r="H1074" s="1" t="s">
        <v>16</v>
      </c>
      <c r="I1074" s="1" t="s">
        <v>16</v>
      </c>
      <c r="J1074" s="1" t="s">
        <v>16</v>
      </c>
      <c r="K1074" s="1" t="s">
        <v>17</v>
      </c>
      <c r="L1074" s="1" t="s">
        <v>17</v>
      </c>
      <c r="M1074" s="1" t="s">
        <v>17</v>
      </c>
      <c r="N1074" s="27" t="s">
        <v>605</v>
      </c>
      <c r="O1074" s="1" t="s">
        <v>16</v>
      </c>
    </row>
    <row r="1075" spans="1:15" x14ac:dyDescent="0.2">
      <c r="A1075" s="9">
        <v>44537</v>
      </c>
      <c r="B1075" s="1" t="s">
        <v>22</v>
      </c>
      <c r="C1075" s="1">
        <v>6</v>
      </c>
      <c r="D1075" s="1">
        <v>2</v>
      </c>
      <c r="E1075" s="5">
        <v>54.06</v>
      </c>
      <c r="F1075" s="1" t="s">
        <v>18</v>
      </c>
      <c r="G1075" s="1">
        <v>3</v>
      </c>
      <c r="H1075" s="1" t="s">
        <v>16</v>
      </c>
      <c r="I1075" s="1" t="s">
        <v>16</v>
      </c>
      <c r="J1075" s="1" t="s">
        <v>16</v>
      </c>
      <c r="K1075" s="1" t="s">
        <v>17</v>
      </c>
      <c r="L1075" s="1" t="s">
        <v>17</v>
      </c>
      <c r="M1075" s="1" t="s">
        <v>17</v>
      </c>
      <c r="N1075" s="27" t="s">
        <v>605</v>
      </c>
      <c r="O1075" s="1" t="s">
        <v>16</v>
      </c>
    </row>
    <row r="1076" spans="1:15" x14ac:dyDescent="0.2">
      <c r="A1076" s="9">
        <v>44537</v>
      </c>
      <c r="B1076" s="1" t="s">
        <v>22</v>
      </c>
      <c r="C1076" s="1">
        <v>7</v>
      </c>
      <c r="D1076" s="1">
        <v>2</v>
      </c>
      <c r="E1076" s="5">
        <v>40.47</v>
      </c>
      <c r="F1076" s="1" t="s">
        <v>16</v>
      </c>
      <c r="G1076" s="1">
        <v>4</v>
      </c>
      <c r="H1076" s="1" t="s">
        <v>16</v>
      </c>
      <c r="I1076" s="1" t="s">
        <v>16</v>
      </c>
      <c r="J1076" s="1" t="s">
        <v>16</v>
      </c>
      <c r="K1076" s="1" t="s">
        <v>17</v>
      </c>
      <c r="L1076" s="1" t="s">
        <v>17</v>
      </c>
      <c r="M1076" s="1" t="s">
        <v>17</v>
      </c>
      <c r="N1076" s="27" t="s">
        <v>605</v>
      </c>
      <c r="O1076" s="1" t="s">
        <v>16</v>
      </c>
    </row>
    <row r="1077" spans="1:15" x14ac:dyDescent="0.2">
      <c r="A1077" s="9">
        <v>44537</v>
      </c>
      <c r="B1077" s="1" t="s">
        <v>22</v>
      </c>
      <c r="C1077" s="1">
        <v>8</v>
      </c>
      <c r="D1077" s="1">
        <v>2</v>
      </c>
      <c r="E1077" s="5">
        <v>51.7</v>
      </c>
      <c r="F1077" s="1" t="s">
        <v>16</v>
      </c>
      <c r="G1077" s="1">
        <v>4</v>
      </c>
      <c r="H1077" s="1" t="s">
        <v>16</v>
      </c>
      <c r="I1077" s="1" t="s">
        <v>16</v>
      </c>
      <c r="J1077" s="1" t="s">
        <v>16</v>
      </c>
      <c r="K1077" s="1" t="s">
        <v>17</v>
      </c>
      <c r="L1077" s="1" t="s">
        <v>17</v>
      </c>
      <c r="M1077" s="1" t="s">
        <v>17</v>
      </c>
      <c r="N1077" s="27" t="s">
        <v>605</v>
      </c>
      <c r="O1077" s="1" t="s">
        <v>16</v>
      </c>
    </row>
    <row r="1078" spans="1:15" x14ac:dyDescent="0.2">
      <c r="A1078" s="9">
        <v>44537</v>
      </c>
      <c r="B1078" s="1" t="s">
        <v>22</v>
      </c>
      <c r="C1078" s="1">
        <v>9</v>
      </c>
      <c r="D1078" s="1">
        <v>2</v>
      </c>
      <c r="E1078" s="5">
        <v>44.91</v>
      </c>
      <c r="F1078" s="1" t="s">
        <v>18</v>
      </c>
      <c r="G1078" s="1">
        <v>1</v>
      </c>
      <c r="H1078" s="1" t="s">
        <v>16</v>
      </c>
      <c r="I1078" s="1" t="s">
        <v>16</v>
      </c>
      <c r="J1078" s="1" t="s">
        <v>16</v>
      </c>
      <c r="K1078" s="1" t="s">
        <v>17</v>
      </c>
      <c r="L1078" s="1" t="s">
        <v>17</v>
      </c>
      <c r="M1078" s="1" t="s">
        <v>17</v>
      </c>
      <c r="N1078" s="27" t="s">
        <v>605</v>
      </c>
      <c r="O1078" s="1" t="s">
        <v>16</v>
      </c>
    </row>
    <row r="1079" spans="1:15" x14ac:dyDescent="0.2">
      <c r="A1079" s="9">
        <v>44537</v>
      </c>
      <c r="B1079" s="1" t="s">
        <v>22</v>
      </c>
      <c r="C1079" s="1">
        <v>10</v>
      </c>
      <c r="D1079" s="1">
        <v>2</v>
      </c>
      <c r="E1079" s="5">
        <v>48.28</v>
      </c>
      <c r="F1079" s="1" t="s">
        <v>16</v>
      </c>
      <c r="G1079" s="1">
        <v>4</v>
      </c>
      <c r="H1079" s="1" t="s">
        <v>16</v>
      </c>
      <c r="I1079" s="1" t="s">
        <v>16</v>
      </c>
      <c r="J1079" s="1" t="s">
        <v>16</v>
      </c>
      <c r="K1079" s="1" t="s">
        <v>17</v>
      </c>
      <c r="L1079" s="1" t="s">
        <v>17</v>
      </c>
      <c r="M1079" s="1" t="s">
        <v>17</v>
      </c>
      <c r="N1079" s="27" t="s">
        <v>605</v>
      </c>
      <c r="O1079" s="1" t="s">
        <v>16</v>
      </c>
    </row>
    <row r="1080" spans="1:15" x14ac:dyDescent="0.2">
      <c r="A1080" s="9">
        <v>44537</v>
      </c>
      <c r="B1080" s="1" t="s">
        <v>22</v>
      </c>
      <c r="C1080" s="1">
        <v>11</v>
      </c>
      <c r="D1080" s="1">
        <v>3</v>
      </c>
      <c r="E1080" s="5">
        <v>48.06</v>
      </c>
      <c r="F1080" s="1" t="s">
        <v>19</v>
      </c>
      <c r="G1080" s="1">
        <v>2</v>
      </c>
      <c r="H1080" s="1" t="s">
        <v>16</v>
      </c>
      <c r="I1080" s="1" t="s">
        <v>16</v>
      </c>
      <c r="J1080" s="1" t="s">
        <v>16</v>
      </c>
      <c r="K1080" s="1" t="s">
        <v>17</v>
      </c>
      <c r="L1080" s="1" t="s">
        <v>17</v>
      </c>
      <c r="M1080" s="1" t="s">
        <v>17</v>
      </c>
      <c r="N1080" s="27" t="s">
        <v>605</v>
      </c>
      <c r="O1080" s="1" t="s">
        <v>16</v>
      </c>
    </row>
    <row r="1081" spans="1:15" x14ac:dyDescent="0.2">
      <c r="A1081" s="9">
        <v>44537</v>
      </c>
      <c r="B1081" s="1" t="s">
        <v>22</v>
      </c>
      <c r="C1081" s="1">
        <v>12</v>
      </c>
      <c r="D1081" s="1">
        <v>3</v>
      </c>
      <c r="E1081" s="5">
        <v>71.25</v>
      </c>
      <c r="F1081" s="1" t="s">
        <v>18</v>
      </c>
      <c r="G1081" s="1">
        <v>1</v>
      </c>
      <c r="H1081" s="1" t="s">
        <v>16</v>
      </c>
      <c r="I1081" s="1" t="s">
        <v>16</v>
      </c>
      <c r="J1081" s="1" t="s">
        <v>16</v>
      </c>
      <c r="K1081" s="1" t="s">
        <v>21</v>
      </c>
      <c r="L1081" s="1" t="s">
        <v>17</v>
      </c>
      <c r="M1081" s="1" t="s">
        <v>17</v>
      </c>
      <c r="N1081" s="27" t="s">
        <v>605</v>
      </c>
      <c r="O1081" s="1" t="s">
        <v>16</v>
      </c>
    </row>
    <row r="1082" spans="1:15" x14ac:dyDescent="0.2">
      <c r="A1082" s="9">
        <v>44537</v>
      </c>
      <c r="B1082" s="1" t="s">
        <v>22</v>
      </c>
      <c r="C1082" s="1">
        <v>13</v>
      </c>
      <c r="D1082" s="1">
        <v>3</v>
      </c>
      <c r="E1082" s="5">
        <v>44.38</v>
      </c>
      <c r="F1082" s="1" t="s">
        <v>18</v>
      </c>
      <c r="G1082" s="1">
        <v>1</v>
      </c>
      <c r="H1082" s="1" t="s">
        <v>16</v>
      </c>
      <c r="I1082" s="1" t="s">
        <v>16</v>
      </c>
      <c r="J1082" s="1" t="s">
        <v>16</v>
      </c>
      <c r="K1082" s="1" t="s">
        <v>17</v>
      </c>
      <c r="L1082" s="1" t="s">
        <v>17</v>
      </c>
      <c r="M1082" s="1" t="s">
        <v>17</v>
      </c>
      <c r="N1082" s="27" t="s">
        <v>605</v>
      </c>
      <c r="O1082" s="1" t="s">
        <v>16</v>
      </c>
    </row>
    <row r="1083" spans="1:15" x14ac:dyDescent="0.2">
      <c r="A1083" s="9">
        <v>44537</v>
      </c>
      <c r="B1083" s="1" t="s">
        <v>22</v>
      </c>
      <c r="C1083" s="1">
        <v>14</v>
      </c>
      <c r="D1083" s="1">
        <v>3</v>
      </c>
      <c r="E1083" s="5">
        <v>36.880000000000003</v>
      </c>
      <c r="F1083" s="1" t="s">
        <v>18</v>
      </c>
      <c r="G1083" s="1">
        <v>2</v>
      </c>
      <c r="H1083" s="1" t="s">
        <v>16</v>
      </c>
      <c r="I1083" s="1" t="s">
        <v>16</v>
      </c>
      <c r="J1083" s="1" t="s">
        <v>16</v>
      </c>
      <c r="K1083" s="1" t="s">
        <v>17</v>
      </c>
      <c r="L1083" s="1" t="s">
        <v>17</v>
      </c>
      <c r="M1083" s="1" t="s">
        <v>17</v>
      </c>
      <c r="N1083" s="27" t="s">
        <v>605</v>
      </c>
      <c r="O1083" s="1" t="s">
        <v>16</v>
      </c>
    </row>
    <row r="1084" spans="1:15" x14ac:dyDescent="0.2">
      <c r="A1084" s="9">
        <v>44537</v>
      </c>
      <c r="B1084" s="1" t="s">
        <v>22</v>
      </c>
      <c r="C1084" s="1">
        <v>15</v>
      </c>
      <c r="D1084" s="1">
        <v>3</v>
      </c>
      <c r="E1084" s="5">
        <v>51.77</v>
      </c>
      <c r="F1084" s="1" t="s">
        <v>19</v>
      </c>
      <c r="G1084" s="1">
        <v>2</v>
      </c>
      <c r="H1084" s="1" t="s">
        <v>16</v>
      </c>
      <c r="I1084" s="1" t="s">
        <v>16</v>
      </c>
      <c r="J1084" s="1" t="s">
        <v>16</v>
      </c>
      <c r="K1084" s="1" t="s">
        <v>17</v>
      </c>
      <c r="L1084" s="1" t="s">
        <v>17</v>
      </c>
      <c r="M1084" s="1" t="s">
        <v>17</v>
      </c>
      <c r="N1084" s="27" t="s">
        <v>605</v>
      </c>
      <c r="O1084" s="1" t="s">
        <v>16</v>
      </c>
    </row>
    <row r="1085" spans="1:15" x14ac:dyDescent="0.2">
      <c r="A1085" s="9">
        <v>44573</v>
      </c>
      <c r="B1085" s="1" t="s">
        <v>22</v>
      </c>
      <c r="C1085" s="1">
        <v>1</v>
      </c>
      <c r="D1085" s="1">
        <v>1</v>
      </c>
      <c r="E1085" s="5">
        <v>61.89</v>
      </c>
      <c r="F1085" s="1" t="s">
        <v>16</v>
      </c>
      <c r="G1085" s="1">
        <v>4</v>
      </c>
      <c r="H1085" s="1" t="s">
        <v>16</v>
      </c>
      <c r="I1085" s="1" t="s">
        <v>16</v>
      </c>
      <c r="J1085" s="1" t="s">
        <v>16</v>
      </c>
      <c r="K1085" s="1" t="s">
        <v>21</v>
      </c>
      <c r="L1085" s="1" t="s">
        <v>17</v>
      </c>
      <c r="M1085" s="1" t="s">
        <v>17</v>
      </c>
      <c r="N1085" s="27" t="s">
        <v>605</v>
      </c>
      <c r="O1085" s="1" t="s">
        <v>16</v>
      </c>
    </row>
    <row r="1086" spans="1:15" x14ac:dyDescent="0.2">
      <c r="A1086" s="9">
        <v>44573</v>
      </c>
      <c r="B1086" s="1" t="s">
        <v>22</v>
      </c>
      <c r="C1086" s="1">
        <v>2</v>
      </c>
      <c r="D1086" s="1">
        <v>1</v>
      </c>
      <c r="E1086" s="5">
        <v>45.21</v>
      </c>
      <c r="F1086" s="1" t="s">
        <v>16</v>
      </c>
      <c r="G1086" s="1">
        <v>4</v>
      </c>
      <c r="H1086" s="1" t="s">
        <v>16</v>
      </c>
      <c r="I1086" s="1" t="s">
        <v>16</v>
      </c>
      <c r="J1086" s="1" t="s">
        <v>16</v>
      </c>
      <c r="K1086" s="1" t="s">
        <v>17</v>
      </c>
      <c r="L1086" s="1" t="s">
        <v>17</v>
      </c>
      <c r="M1086" s="1" t="s">
        <v>17</v>
      </c>
      <c r="N1086" s="27" t="s">
        <v>605</v>
      </c>
      <c r="O1086" s="1" t="s">
        <v>16</v>
      </c>
    </row>
    <row r="1087" spans="1:15" x14ac:dyDescent="0.2">
      <c r="A1087" s="9">
        <v>44573</v>
      </c>
      <c r="B1087" s="1" t="s">
        <v>22</v>
      </c>
      <c r="C1087" s="1">
        <v>3</v>
      </c>
      <c r="D1087" s="1">
        <v>1</v>
      </c>
      <c r="E1087" s="5">
        <v>48.22</v>
      </c>
      <c r="F1087" s="1" t="s">
        <v>16</v>
      </c>
      <c r="G1087" s="1">
        <v>4</v>
      </c>
      <c r="H1087" s="1" t="s">
        <v>16</v>
      </c>
      <c r="I1087" s="1" t="s">
        <v>16</v>
      </c>
      <c r="J1087" s="1" t="s">
        <v>16</v>
      </c>
      <c r="K1087" s="1" t="s">
        <v>17</v>
      </c>
      <c r="L1087" s="1" t="s">
        <v>17</v>
      </c>
      <c r="M1087" s="1" t="s">
        <v>21</v>
      </c>
      <c r="N1087" s="27" t="s">
        <v>605</v>
      </c>
      <c r="O1087" s="1" t="s">
        <v>16</v>
      </c>
    </row>
    <row r="1088" spans="1:15" x14ac:dyDescent="0.2">
      <c r="A1088" s="9">
        <v>44573</v>
      </c>
      <c r="B1088" s="1" t="s">
        <v>22</v>
      </c>
      <c r="C1088" s="1">
        <v>4</v>
      </c>
      <c r="D1088" s="1">
        <v>1</v>
      </c>
      <c r="E1088" s="5">
        <v>45.09</v>
      </c>
      <c r="F1088" s="1" t="s">
        <v>16</v>
      </c>
      <c r="G1088" s="1">
        <v>4</v>
      </c>
      <c r="H1088" s="1" t="s">
        <v>16</v>
      </c>
      <c r="I1088" s="1" t="s">
        <v>16</v>
      </c>
      <c r="J1088" s="1" t="s">
        <v>16</v>
      </c>
      <c r="K1088" s="1" t="s">
        <v>17</v>
      </c>
      <c r="L1088" s="1" t="s">
        <v>17</v>
      </c>
      <c r="M1088" s="1" t="s">
        <v>17</v>
      </c>
      <c r="N1088" s="27" t="s">
        <v>605</v>
      </c>
      <c r="O1088" s="1" t="s">
        <v>16</v>
      </c>
    </row>
    <row r="1089" spans="1:15" x14ac:dyDescent="0.2">
      <c r="A1089" s="9">
        <v>44573</v>
      </c>
      <c r="B1089" s="1" t="s">
        <v>22</v>
      </c>
      <c r="C1089" s="1">
        <v>5</v>
      </c>
      <c r="D1089" s="1">
        <v>1</v>
      </c>
      <c r="E1089" s="5">
        <v>51.23</v>
      </c>
      <c r="F1089" s="1" t="s">
        <v>16</v>
      </c>
      <c r="G1089" s="1">
        <v>4</v>
      </c>
      <c r="H1089" s="1" t="s">
        <v>16</v>
      </c>
      <c r="I1089" s="1" t="s">
        <v>16</v>
      </c>
      <c r="J1089" s="1" t="s">
        <v>16</v>
      </c>
      <c r="K1089" s="1" t="s">
        <v>17</v>
      </c>
      <c r="L1089" s="1" t="s">
        <v>17</v>
      </c>
      <c r="M1089" s="1" t="s">
        <v>17</v>
      </c>
      <c r="N1089" s="27" t="s">
        <v>605</v>
      </c>
      <c r="O1089" s="1" t="s">
        <v>16</v>
      </c>
    </row>
    <row r="1090" spans="1:15" x14ac:dyDescent="0.2">
      <c r="A1090" s="9">
        <v>44573</v>
      </c>
      <c r="B1090" s="1" t="s">
        <v>22</v>
      </c>
      <c r="C1090" s="1">
        <v>6</v>
      </c>
      <c r="D1090" s="1">
        <v>2</v>
      </c>
      <c r="E1090" s="5">
        <v>54.63</v>
      </c>
      <c r="F1090" s="1" t="s">
        <v>19</v>
      </c>
      <c r="G1090" s="1">
        <v>3</v>
      </c>
      <c r="H1090" s="1" t="s">
        <v>16</v>
      </c>
      <c r="I1090" s="1" t="s">
        <v>16</v>
      </c>
      <c r="J1090" s="1" t="s">
        <v>16</v>
      </c>
      <c r="K1090" s="1" t="s">
        <v>17</v>
      </c>
      <c r="L1090" s="1" t="s">
        <v>17</v>
      </c>
      <c r="M1090" s="1" t="s">
        <v>17</v>
      </c>
      <c r="N1090" s="27" t="s">
        <v>605</v>
      </c>
      <c r="O1090" s="1" t="s">
        <v>16</v>
      </c>
    </row>
    <row r="1091" spans="1:15" x14ac:dyDescent="0.2">
      <c r="A1091" s="9">
        <v>44573</v>
      </c>
      <c r="B1091" s="1" t="s">
        <v>22</v>
      </c>
      <c r="C1091" s="1">
        <v>7</v>
      </c>
      <c r="D1091" s="1">
        <v>2</v>
      </c>
      <c r="E1091" s="5">
        <v>58.28</v>
      </c>
      <c r="F1091" s="1" t="s">
        <v>18</v>
      </c>
      <c r="G1091" s="1">
        <v>1</v>
      </c>
      <c r="H1091" s="1" t="s">
        <v>16</v>
      </c>
      <c r="I1091" s="1" t="s">
        <v>16</v>
      </c>
      <c r="J1091" s="1" t="s">
        <v>16</v>
      </c>
      <c r="K1091" s="1" t="s">
        <v>21</v>
      </c>
      <c r="L1091" s="1" t="s">
        <v>17</v>
      </c>
      <c r="M1091" s="1" t="s">
        <v>17</v>
      </c>
      <c r="N1091" s="27" t="s">
        <v>605</v>
      </c>
      <c r="O1091" s="1" t="s">
        <v>16</v>
      </c>
    </row>
    <row r="1092" spans="1:15" x14ac:dyDescent="0.2">
      <c r="A1092" s="9">
        <v>44573</v>
      </c>
      <c r="B1092" s="1" t="s">
        <v>22</v>
      </c>
      <c r="C1092" s="1">
        <v>8</v>
      </c>
      <c r="D1092" s="1">
        <v>2</v>
      </c>
      <c r="E1092" s="5">
        <v>51.91</v>
      </c>
      <c r="F1092" s="1" t="s">
        <v>16</v>
      </c>
      <c r="G1092" s="1">
        <v>4</v>
      </c>
      <c r="H1092" s="1" t="s">
        <v>16</v>
      </c>
      <c r="I1092" s="1" t="s">
        <v>16</v>
      </c>
      <c r="J1092" s="1" t="s">
        <v>16</v>
      </c>
      <c r="K1092" s="1" t="s">
        <v>17</v>
      </c>
      <c r="L1092" s="1" t="s">
        <v>17</v>
      </c>
      <c r="M1092" s="1" t="s">
        <v>17</v>
      </c>
      <c r="N1092" s="27" t="s">
        <v>605</v>
      </c>
      <c r="O1092" s="1" t="s">
        <v>16</v>
      </c>
    </row>
    <row r="1093" spans="1:15" x14ac:dyDescent="0.2">
      <c r="A1093" s="9">
        <v>44573</v>
      </c>
      <c r="B1093" s="1" t="s">
        <v>22</v>
      </c>
      <c r="C1093" s="1">
        <v>9</v>
      </c>
      <c r="D1093" s="1">
        <v>2</v>
      </c>
      <c r="E1093" s="5">
        <v>51.75</v>
      </c>
      <c r="F1093" s="1" t="s">
        <v>16</v>
      </c>
      <c r="G1093" s="1">
        <v>4</v>
      </c>
      <c r="H1093" s="1" t="s">
        <v>16</v>
      </c>
      <c r="I1093" s="1" t="s">
        <v>16</v>
      </c>
      <c r="J1093" s="1" t="s">
        <v>16</v>
      </c>
      <c r="K1093" s="1" t="s">
        <v>21</v>
      </c>
      <c r="L1093" s="1" t="s">
        <v>17</v>
      </c>
      <c r="M1093" s="1" t="s">
        <v>17</v>
      </c>
      <c r="N1093" s="27" t="s">
        <v>605</v>
      </c>
      <c r="O1093" s="1" t="s">
        <v>16</v>
      </c>
    </row>
    <row r="1094" spans="1:15" x14ac:dyDescent="0.2">
      <c r="A1094" s="9">
        <v>44573</v>
      </c>
      <c r="B1094" s="1" t="s">
        <v>22</v>
      </c>
      <c r="C1094" s="1">
        <v>10</v>
      </c>
      <c r="D1094" s="1">
        <v>2</v>
      </c>
      <c r="E1094" s="5">
        <v>45.14</v>
      </c>
      <c r="F1094" s="1" t="s">
        <v>18</v>
      </c>
      <c r="G1094" s="1">
        <v>3</v>
      </c>
      <c r="H1094" s="1" t="s">
        <v>16</v>
      </c>
      <c r="I1094" s="1" t="s">
        <v>16</v>
      </c>
      <c r="J1094" s="1" t="s">
        <v>16</v>
      </c>
      <c r="K1094" s="1" t="s">
        <v>21</v>
      </c>
      <c r="L1094" s="1" t="s">
        <v>17</v>
      </c>
      <c r="M1094" s="1" t="s">
        <v>17</v>
      </c>
      <c r="N1094" s="27" t="s">
        <v>605</v>
      </c>
      <c r="O1094" s="1" t="s">
        <v>16</v>
      </c>
    </row>
    <row r="1095" spans="1:15" x14ac:dyDescent="0.2">
      <c r="A1095" s="9">
        <v>44573</v>
      </c>
      <c r="B1095" s="1" t="s">
        <v>22</v>
      </c>
      <c r="C1095" s="1">
        <v>11</v>
      </c>
      <c r="D1095" s="1">
        <v>3</v>
      </c>
      <c r="E1095" s="5">
        <v>55.36</v>
      </c>
      <c r="F1095" s="1" t="s">
        <v>18</v>
      </c>
      <c r="G1095" s="1">
        <v>3</v>
      </c>
      <c r="H1095" s="1" t="s">
        <v>16</v>
      </c>
      <c r="I1095" s="1" t="s">
        <v>16</v>
      </c>
      <c r="J1095" s="1" t="s">
        <v>16</v>
      </c>
      <c r="K1095" s="1" t="s">
        <v>17</v>
      </c>
      <c r="L1095" s="1" t="s">
        <v>17</v>
      </c>
      <c r="M1095" s="1" t="s">
        <v>17</v>
      </c>
      <c r="N1095" s="27" t="s">
        <v>605</v>
      </c>
      <c r="O1095" s="1" t="s">
        <v>16</v>
      </c>
    </row>
    <row r="1096" spans="1:15" x14ac:dyDescent="0.2">
      <c r="A1096" s="9">
        <v>44573</v>
      </c>
      <c r="B1096" s="1" t="s">
        <v>22</v>
      </c>
      <c r="C1096" s="1">
        <v>12</v>
      </c>
      <c r="D1096" s="1">
        <v>3</v>
      </c>
      <c r="E1096" s="5">
        <v>46.7</v>
      </c>
      <c r="F1096" s="1" t="s">
        <v>18</v>
      </c>
      <c r="G1096" s="1">
        <v>2</v>
      </c>
      <c r="H1096" s="1" t="s">
        <v>16</v>
      </c>
      <c r="I1096" s="1" t="s">
        <v>16</v>
      </c>
      <c r="J1096" s="1" t="s">
        <v>16</v>
      </c>
      <c r="K1096" s="1" t="s">
        <v>17</v>
      </c>
      <c r="L1096" s="1" t="s">
        <v>17</v>
      </c>
      <c r="M1096" s="1" t="s">
        <v>17</v>
      </c>
      <c r="N1096" s="27" t="s">
        <v>605</v>
      </c>
      <c r="O1096" s="1" t="s">
        <v>16</v>
      </c>
    </row>
    <row r="1097" spans="1:15" x14ac:dyDescent="0.2">
      <c r="A1097" s="9">
        <v>44573</v>
      </c>
      <c r="B1097" s="1" t="s">
        <v>22</v>
      </c>
      <c r="C1097" s="1">
        <v>13</v>
      </c>
      <c r="D1097" s="1">
        <v>3</v>
      </c>
      <c r="E1097" s="5">
        <v>42.37</v>
      </c>
      <c r="F1097" s="1" t="s">
        <v>18</v>
      </c>
      <c r="G1097" s="1">
        <v>1</v>
      </c>
      <c r="H1097" s="1" t="s">
        <v>16</v>
      </c>
      <c r="I1097" s="1" t="s">
        <v>16</v>
      </c>
      <c r="J1097" s="1" t="s">
        <v>16</v>
      </c>
      <c r="K1097" s="1" t="s">
        <v>17</v>
      </c>
      <c r="L1097" s="1" t="s">
        <v>17</v>
      </c>
      <c r="M1097" s="1" t="s">
        <v>17</v>
      </c>
      <c r="N1097" s="27" t="s">
        <v>605</v>
      </c>
      <c r="O1097" s="1" t="s">
        <v>16</v>
      </c>
    </row>
    <row r="1098" spans="1:15" x14ac:dyDescent="0.2">
      <c r="A1098" s="9">
        <v>44573</v>
      </c>
      <c r="B1098" s="1" t="s">
        <v>22</v>
      </c>
      <c r="C1098" s="1">
        <v>14</v>
      </c>
      <c r="D1098" s="1">
        <v>3</v>
      </c>
      <c r="E1098" s="5">
        <v>37.130000000000003</v>
      </c>
      <c r="F1098" s="1" t="s">
        <v>19</v>
      </c>
      <c r="G1098" s="1">
        <v>2</v>
      </c>
      <c r="H1098" s="1" t="s">
        <v>16</v>
      </c>
      <c r="I1098" s="1" t="s">
        <v>16</v>
      </c>
      <c r="J1098" s="1" t="s">
        <v>16</v>
      </c>
      <c r="K1098" s="1" t="s">
        <v>17</v>
      </c>
      <c r="L1098" s="1" t="s">
        <v>17</v>
      </c>
      <c r="M1098" s="1" t="s">
        <v>21</v>
      </c>
      <c r="N1098" s="27" t="s">
        <v>605</v>
      </c>
      <c r="O1098" s="1" t="s">
        <v>16</v>
      </c>
    </row>
    <row r="1099" spans="1:15" x14ac:dyDescent="0.2">
      <c r="A1099" s="9">
        <v>44573</v>
      </c>
      <c r="B1099" s="1" t="s">
        <v>22</v>
      </c>
      <c r="C1099" s="1">
        <v>15</v>
      </c>
      <c r="D1099" s="1">
        <v>3</v>
      </c>
      <c r="E1099" s="5">
        <v>41.93</v>
      </c>
      <c r="F1099" s="1" t="s">
        <v>16</v>
      </c>
      <c r="G1099" s="1">
        <v>4</v>
      </c>
      <c r="H1099" s="1" t="s">
        <v>16</v>
      </c>
      <c r="I1099" s="1" t="s">
        <v>16</v>
      </c>
      <c r="J1099" s="1" t="s">
        <v>16</v>
      </c>
      <c r="K1099" s="1" t="s">
        <v>17</v>
      </c>
      <c r="L1099" s="1" t="s">
        <v>17</v>
      </c>
      <c r="M1099" s="1" t="s">
        <v>17</v>
      </c>
      <c r="N1099" s="27" t="s">
        <v>605</v>
      </c>
      <c r="O1099" s="1" t="s">
        <v>16</v>
      </c>
    </row>
    <row r="1100" spans="1:15" x14ac:dyDescent="0.2">
      <c r="A1100" s="9">
        <v>44601</v>
      </c>
      <c r="B1100" s="1" t="s">
        <v>22</v>
      </c>
      <c r="C1100" s="1">
        <v>1</v>
      </c>
      <c r="D1100" s="1">
        <v>1</v>
      </c>
      <c r="E1100" s="5">
        <v>39.18</v>
      </c>
      <c r="F1100" s="1" t="s">
        <v>16</v>
      </c>
      <c r="G1100" s="1">
        <v>4</v>
      </c>
      <c r="H1100" s="1" t="s">
        <v>16</v>
      </c>
      <c r="I1100" s="1" t="s">
        <v>16</v>
      </c>
      <c r="J1100" s="1" t="s">
        <v>16</v>
      </c>
      <c r="K1100" s="1" t="s">
        <v>21</v>
      </c>
      <c r="L1100" s="1" t="s">
        <v>17</v>
      </c>
      <c r="M1100" s="1" t="s">
        <v>17</v>
      </c>
      <c r="N1100" s="27" t="s">
        <v>605</v>
      </c>
      <c r="O1100" s="1" t="s">
        <v>16</v>
      </c>
    </row>
    <row r="1101" spans="1:15" x14ac:dyDescent="0.2">
      <c r="A1101" s="9">
        <v>44601</v>
      </c>
      <c r="B1101" s="1" t="s">
        <v>22</v>
      </c>
      <c r="C1101" s="1">
        <v>2</v>
      </c>
      <c r="D1101" s="1">
        <v>1</v>
      </c>
      <c r="E1101" s="5">
        <v>40.72</v>
      </c>
      <c r="F1101" s="1" t="s">
        <v>16</v>
      </c>
      <c r="G1101" s="1">
        <v>4</v>
      </c>
      <c r="H1101" s="1" t="s">
        <v>16</v>
      </c>
      <c r="I1101" s="1" t="s">
        <v>16</v>
      </c>
      <c r="J1101" s="1" t="s">
        <v>16</v>
      </c>
      <c r="K1101" s="1" t="s">
        <v>21</v>
      </c>
      <c r="L1101" s="1" t="s">
        <v>17</v>
      </c>
      <c r="M1101" s="1" t="s">
        <v>17</v>
      </c>
      <c r="N1101" s="27" t="s">
        <v>605</v>
      </c>
      <c r="O1101" s="1" t="s">
        <v>16</v>
      </c>
    </row>
    <row r="1102" spans="1:15" x14ac:dyDescent="0.2">
      <c r="A1102" s="9">
        <v>44601</v>
      </c>
      <c r="B1102" s="1" t="s">
        <v>22</v>
      </c>
      <c r="C1102" s="1">
        <v>3</v>
      </c>
      <c r="D1102" s="1">
        <v>1</v>
      </c>
      <c r="E1102" s="5">
        <v>42.89</v>
      </c>
      <c r="F1102" s="1" t="s">
        <v>18</v>
      </c>
      <c r="G1102" s="1">
        <v>2</v>
      </c>
      <c r="H1102" s="1" t="s">
        <v>16</v>
      </c>
      <c r="I1102" s="1" t="s">
        <v>16</v>
      </c>
      <c r="J1102" s="1" t="s">
        <v>16</v>
      </c>
      <c r="K1102" s="1" t="s">
        <v>17</v>
      </c>
      <c r="L1102" s="1" t="s">
        <v>17</v>
      </c>
      <c r="M1102" s="1" t="s">
        <v>17</v>
      </c>
      <c r="N1102" s="27" t="s">
        <v>605</v>
      </c>
      <c r="O1102" s="1" t="s">
        <v>16</v>
      </c>
    </row>
    <row r="1103" spans="1:15" x14ac:dyDescent="0.2">
      <c r="A1103" s="9">
        <v>44601</v>
      </c>
      <c r="B1103" s="1" t="s">
        <v>22</v>
      </c>
      <c r="C1103" s="1">
        <v>4</v>
      </c>
      <c r="D1103" s="1">
        <v>1</v>
      </c>
      <c r="E1103" s="5">
        <v>52.82</v>
      </c>
      <c r="F1103" s="1" t="s">
        <v>18</v>
      </c>
      <c r="G1103" s="1">
        <v>1</v>
      </c>
      <c r="H1103" s="1" t="s">
        <v>16</v>
      </c>
      <c r="I1103" s="1" t="s">
        <v>16</v>
      </c>
      <c r="J1103" s="1" t="s">
        <v>16</v>
      </c>
      <c r="K1103" s="1" t="s">
        <v>21</v>
      </c>
      <c r="L1103" s="1" t="s">
        <v>17</v>
      </c>
      <c r="M1103" s="1" t="s">
        <v>17</v>
      </c>
      <c r="N1103" s="27" t="s">
        <v>605</v>
      </c>
      <c r="O1103" s="1" t="s">
        <v>16</v>
      </c>
    </row>
    <row r="1104" spans="1:15" x14ac:dyDescent="0.2">
      <c r="A1104" s="9">
        <v>44601</v>
      </c>
      <c r="B1104" s="1" t="s">
        <v>22</v>
      </c>
      <c r="C1104" s="1">
        <v>5</v>
      </c>
      <c r="D1104" s="1">
        <v>1</v>
      </c>
      <c r="E1104" s="5">
        <v>44.02</v>
      </c>
      <c r="F1104" s="1" t="s">
        <v>16</v>
      </c>
      <c r="G1104" s="1">
        <v>4</v>
      </c>
      <c r="H1104" s="1" t="s">
        <v>16</v>
      </c>
      <c r="I1104" s="1" t="s">
        <v>16</v>
      </c>
      <c r="J1104" s="1" t="s">
        <v>16</v>
      </c>
      <c r="K1104" s="1" t="s">
        <v>17</v>
      </c>
      <c r="L1104" s="1" t="s">
        <v>17</v>
      </c>
      <c r="M1104" s="1" t="s">
        <v>17</v>
      </c>
      <c r="N1104" s="27" t="s">
        <v>605</v>
      </c>
      <c r="O1104" s="1" t="s">
        <v>16</v>
      </c>
    </row>
    <row r="1105" spans="1:15" x14ac:dyDescent="0.2">
      <c r="A1105" s="9">
        <v>44601</v>
      </c>
      <c r="B1105" s="1" t="s">
        <v>22</v>
      </c>
      <c r="C1105" s="1">
        <v>6</v>
      </c>
      <c r="D1105" s="1">
        <v>2</v>
      </c>
      <c r="E1105" s="5">
        <v>69.52</v>
      </c>
      <c r="F1105" s="1" t="s">
        <v>16</v>
      </c>
      <c r="G1105" s="1">
        <v>4</v>
      </c>
      <c r="H1105" s="1" t="s">
        <v>16</v>
      </c>
      <c r="I1105" s="1" t="s">
        <v>16</v>
      </c>
      <c r="J1105" s="1" t="s">
        <v>16</v>
      </c>
      <c r="K1105" s="1" t="s">
        <v>17</v>
      </c>
      <c r="L1105" s="1" t="s">
        <v>17</v>
      </c>
      <c r="M1105" s="1" t="s">
        <v>21</v>
      </c>
      <c r="N1105" s="27" t="s">
        <v>605</v>
      </c>
      <c r="O1105" s="1" t="s">
        <v>16</v>
      </c>
    </row>
    <row r="1106" spans="1:15" x14ac:dyDescent="0.2">
      <c r="A1106" s="9">
        <v>44601</v>
      </c>
      <c r="B1106" s="1" t="s">
        <v>22</v>
      </c>
      <c r="C1106" s="1">
        <v>7</v>
      </c>
      <c r="D1106" s="1">
        <v>2</v>
      </c>
      <c r="E1106" s="5">
        <v>49.57</v>
      </c>
      <c r="F1106" s="1" t="s">
        <v>16</v>
      </c>
      <c r="G1106" s="1">
        <v>4</v>
      </c>
      <c r="H1106" s="1" t="s">
        <v>16</v>
      </c>
      <c r="I1106" s="1" t="s">
        <v>16</v>
      </c>
      <c r="J1106" s="1" t="s">
        <v>16</v>
      </c>
      <c r="K1106" s="1" t="s">
        <v>17</v>
      </c>
      <c r="L1106" s="1" t="s">
        <v>17</v>
      </c>
      <c r="M1106" s="1" t="s">
        <v>21</v>
      </c>
      <c r="N1106" s="27" t="s">
        <v>605</v>
      </c>
      <c r="O1106" s="1" t="s">
        <v>16</v>
      </c>
    </row>
    <row r="1107" spans="1:15" x14ac:dyDescent="0.2">
      <c r="A1107" s="9">
        <v>44601</v>
      </c>
      <c r="B1107" s="1" t="s">
        <v>22</v>
      </c>
      <c r="C1107" s="1">
        <v>8</v>
      </c>
      <c r="D1107" s="1">
        <v>2</v>
      </c>
      <c r="E1107" s="5">
        <v>55.55</v>
      </c>
      <c r="F1107" s="1" t="s">
        <v>18</v>
      </c>
      <c r="G1107" s="1">
        <v>2</v>
      </c>
      <c r="H1107" s="1" t="s">
        <v>16</v>
      </c>
      <c r="I1107" s="1" t="s">
        <v>16</v>
      </c>
      <c r="J1107" s="1" t="s">
        <v>16</v>
      </c>
      <c r="K1107" s="1" t="s">
        <v>17</v>
      </c>
      <c r="L1107" s="1" t="s">
        <v>17</v>
      </c>
      <c r="M1107" s="1" t="s">
        <v>17</v>
      </c>
      <c r="N1107" s="27" t="s">
        <v>605</v>
      </c>
      <c r="O1107" s="1" t="s">
        <v>16</v>
      </c>
    </row>
    <row r="1108" spans="1:15" x14ac:dyDescent="0.2">
      <c r="A1108" s="9">
        <v>44601</v>
      </c>
      <c r="B1108" s="1" t="s">
        <v>22</v>
      </c>
      <c r="C1108" s="1">
        <v>9</v>
      </c>
      <c r="D1108" s="1">
        <v>2</v>
      </c>
      <c r="E1108" s="5">
        <v>58.38</v>
      </c>
      <c r="F1108" s="1" t="s">
        <v>18</v>
      </c>
      <c r="G1108" s="1">
        <v>1</v>
      </c>
      <c r="H1108" s="1" t="s">
        <v>16</v>
      </c>
      <c r="I1108" s="1" t="s">
        <v>16</v>
      </c>
      <c r="J1108" s="1" t="s">
        <v>16</v>
      </c>
      <c r="K1108" s="1" t="s">
        <v>21</v>
      </c>
      <c r="L1108" s="1" t="s">
        <v>17</v>
      </c>
      <c r="M1108" s="1" t="s">
        <v>17</v>
      </c>
      <c r="N1108" s="27" t="s">
        <v>605</v>
      </c>
      <c r="O1108" s="1" t="s">
        <v>16</v>
      </c>
    </row>
    <row r="1109" spans="1:15" x14ac:dyDescent="0.2">
      <c r="A1109" s="9">
        <v>44601</v>
      </c>
      <c r="B1109" s="1" t="s">
        <v>22</v>
      </c>
      <c r="C1109" s="1">
        <v>10</v>
      </c>
      <c r="D1109" s="1">
        <v>2</v>
      </c>
      <c r="E1109" s="5">
        <v>55.22</v>
      </c>
      <c r="F1109" s="1" t="s">
        <v>18</v>
      </c>
      <c r="G1109" s="1">
        <v>1</v>
      </c>
      <c r="H1109" s="1" t="s">
        <v>16</v>
      </c>
      <c r="I1109" s="1" t="s">
        <v>16</v>
      </c>
      <c r="J1109" s="1" t="s">
        <v>16</v>
      </c>
      <c r="K1109" s="1" t="s">
        <v>17</v>
      </c>
      <c r="L1109" s="1" t="s">
        <v>17</v>
      </c>
      <c r="M1109" s="1" t="s">
        <v>17</v>
      </c>
      <c r="N1109" s="27" t="s">
        <v>605</v>
      </c>
      <c r="O1109" s="1" t="s">
        <v>16</v>
      </c>
    </row>
    <row r="1110" spans="1:15" x14ac:dyDescent="0.2">
      <c r="A1110" s="9">
        <v>44601</v>
      </c>
      <c r="B1110" s="1" t="s">
        <v>22</v>
      </c>
      <c r="C1110" s="1">
        <v>11</v>
      </c>
      <c r="D1110" s="1">
        <v>3</v>
      </c>
      <c r="E1110" s="5">
        <v>39.520000000000003</v>
      </c>
      <c r="F1110" s="1" t="s">
        <v>18</v>
      </c>
      <c r="G1110" s="1">
        <v>1</v>
      </c>
      <c r="H1110" s="1" t="s">
        <v>16</v>
      </c>
      <c r="I1110" s="1" t="s">
        <v>16</v>
      </c>
      <c r="J1110" s="1" t="s">
        <v>16</v>
      </c>
      <c r="K1110" s="1" t="s">
        <v>17</v>
      </c>
      <c r="L1110" s="1" t="s">
        <v>17</v>
      </c>
      <c r="M1110" s="1" t="s">
        <v>17</v>
      </c>
      <c r="N1110" s="27" t="s">
        <v>605</v>
      </c>
      <c r="O1110" s="1" t="s">
        <v>16</v>
      </c>
    </row>
    <row r="1111" spans="1:15" x14ac:dyDescent="0.2">
      <c r="A1111" s="9">
        <v>44601</v>
      </c>
      <c r="B1111" s="1" t="s">
        <v>22</v>
      </c>
      <c r="C1111" s="1">
        <v>12</v>
      </c>
      <c r="D1111" s="1">
        <v>3</v>
      </c>
      <c r="E1111" s="5">
        <v>52.84</v>
      </c>
      <c r="F1111" s="1" t="s">
        <v>18</v>
      </c>
      <c r="G1111" s="1">
        <v>1</v>
      </c>
      <c r="H1111" s="1" t="s">
        <v>16</v>
      </c>
      <c r="I1111" s="1" t="s">
        <v>16</v>
      </c>
      <c r="J1111" s="1" t="s">
        <v>16</v>
      </c>
      <c r="K1111" s="1" t="s">
        <v>21</v>
      </c>
      <c r="L1111" s="1" t="s">
        <v>17</v>
      </c>
      <c r="M1111" s="1" t="s">
        <v>17</v>
      </c>
      <c r="N1111" s="27" t="s">
        <v>605</v>
      </c>
      <c r="O1111" s="1" t="s">
        <v>16</v>
      </c>
    </row>
    <row r="1112" spans="1:15" x14ac:dyDescent="0.2">
      <c r="A1112" s="9">
        <v>44601</v>
      </c>
      <c r="B1112" s="1" t="s">
        <v>22</v>
      </c>
      <c r="C1112" s="1">
        <v>13</v>
      </c>
      <c r="D1112" s="1">
        <v>3</v>
      </c>
      <c r="E1112" s="5">
        <v>47.72</v>
      </c>
      <c r="F1112" s="1" t="s">
        <v>18</v>
      </c>
      <c r="G1112" s="1">
        <v>2</v>
      </c>
      <c r="H1112" s="1" t="s">
        <v>16</v>
      </c>
      <c r="I1112" s="1" t="s">
        <v>16</v>
      </c>
      <c r="J1112" s="1" t="s">
        <v>16</v>
      </c>
      <c r="K1112" s="1" t="s">
        <v>17</v>
      </c>
      <c r="L1112" s="1" t="s">
        <v>17</v>
      </c>
      <c r="M1112" s="1" t="s">
        <v>17</v>
      </c>
      <c r="N1112" s="27" t="s">
        <v>605</v>
      </c>
      <c r="O1112" s="1" t="s">
        <v>16</v>
      </c>
    </row>
    <row r="1113" spans="1:15" x14ac:dyDescent="0.2">
      <c r="A1113" s="9">
        <v>44601</v>
      </c>
      <c r="B1113" s="1" t="s">
        <v>22</v>
      </c>
      <c r="C1113" s="1">
        <v>14</v>
      </c>
      <c r="D1113" s="1">
        <v>3</v>
      </c>
      <c r="E1113" s="5">
        <v>50.69</v>
      </c>
      <c r="F1113" s="1" t="s">
        <v>19</v>
      </c>
      <c r="G1113" s="1">
        <v>1</v>
      </c>
      <c r="H1113" s="1" t="s">
        <v>16</v>
      </c>
      <c r="I1113" s="1" t="s">
        <v>16</v>
      </c>
      <c r="J1113" s="1" t="s">
        <v>16</v>
      </c>
      <c r="K1113" s="1" t="s">
        <v>17</v>
      </c>
      <c r="L1113" s="1" t="s">
        <v>17</v>
      </c>
      <c r="M1113" s="1" t="s">
        <v>17</v>
      </c>
      <c r="N1113" s="27" t="s">
        <v>605</v>
      </c>
      <c r="O1113" s="1" t="s">
        <v>16</v>
      </c>
    </row>
    <row r="1114" spans="1:15" x14ac:dyDescent="0.2">
      <c r="A1114" s="9">
        <v>44601</v>
      </c>
      <c r="B1114" s="1" t="s">
        <v>22</v>
      </c>
      <c r="C1114" s="1">
        <v>15</v>
      </c>
      <c r="D1114" s="1">
        <v>3</v>
      </c>
      <c r="E1114" s="5">
        <v>42.7</v>
      </c>
      <c r="F1114" s="1" t="s">
        <v>16</v>
      </c>
      <c r="G1114" s="1">
        <v>4</v>
      </c>
      <c r="H1114" s="1" t="s">
        <v>16</v>
      </c>
      <c r="I1114" s="1" t="s">
        <v>16</v>
      </c>
      <c r="J1114" s="1" t="s">
        <v>16</v>
      </c>
      <c r="K1114" s="1" t="s">
        <v>17</v>
      </c>
      <c r="L1114" s="1" t="s">
        <v>17</v>
      </c>
      <c r="M1114" s="1" t="s">
        <v>17</v>
      </c>
      <c r="N1114" s="27" t="s">
        <v>605</v>
      </c>
      <c r="O1114" s="1" t="s">
        <v>16</v>
      </c>
    </row>
    <row r="1115" spans="1:15" x14ac:dyDescent="0.2">
      <c r="A1115" s="9">
        <v>44629</v>
      </c>
      <c r="B1115" s="1" t="s">
        <v>22</v>
      </c>
      <c r="C1115" s="1">
        <v>1</v>
      </c>
      <c r="D1115" s="1">
        <v>1</v>
      </c>
      <c r="E1115" s="5">
        <v>67.69</v>
      </c>
      <c r="F1115" s="1" t="s">
        <v>16</v>
      </c>
      <c r="G1115" s="1" t="s">
        <v>16</v>
      </c>
      <c r="H1115" s="1" t="s">
        <v>16</v>
      </c>
      <c r="I1115" s="1" t="s">
        <v>16</v>
      </c>
      <c r="J1115" s="1" t="s">
        <v>16</v>
      </c>
      <c r="K1115" s="1" t="s">
        <v>17</v>
      </c>
      <c r="L1115" s="1" t="s">
        <v>17</v>
      </c>
      <c r="M1115" s="1" t="s">
        <v>21</v>
      </c>
      <c r="N1115" s="27" t="s">
        <v>605</v>
      </c>
      <c r="O1115" s="1" t="s">
        <v>16</v>
      </c>
    </row>
    <row r="1116" spans="1:15" x14ac:dyDescent="0.2">
      <c r="A1116" s="9">
        <v>44629</v>
      </c>
      <c r="B1116" s="1" t="s">
        <v>22</v>
      </c>
      <c r="C1116" s="1">
        <v>2</v>
      </c>
      <c r="D1116" s="1">
        <v>1</v>
      </c>
      <c r="E1116" s="5">
        <v>61.8</v>
      </c>
      <c r="F1116" s="1" t="s">
        <v>16</v>
      </c>
      <c r="G1116" s="1">
        <v>4</v>
      </c>
      <c r="H1116" s="1" t="s">
        <v>16</v>
      </c>
      <c r="I1116" s="1" t="s">
        <v>16</v>
      </c>
      <c r="J1116" s="1" t="s">
        <v>16</v>
      </c>
      <c r="K1116" s="1" t="s">
        <v>21</v>
      </c>
      <c r="L1116" s="1" t="s">
        <v>17</v>
      </c>
      <c r="M1116" s="1" t="s">
        <v>17</v>
      </c>
      <c r="N1116" s="27" t="s">
        <v>605</v>
      </c>
      <c r="O1116" s="1" t="s">
        <v>16</v>
      </c>
    </row>
    <row r="1117" spans="1:15" x14ac:dyDescent="0.2">
      <c r="A1117" s="9">
        <v>44629</v>
      </c>
      <c r="B1117" s="1" t="s">
        <v>22</v>
      </c>
      <c r="C1117" s="1">
        <v>3</v>
      </c>
      <c r="D1117" s="1">
        <v>1</v>
      </c>
      <c r="E1117" s="5">
        <v>48.33</v>
      </c>
      <c r="F1117" s="1" t="s">
        <v>19</v>
      </c>
      <c r="G1117" s="1">
        <v>2</v>
      </c>
      <c r="H1117" s="1" t="s">
        <v>16</v>
      </c>
      <c r="I1117" s="1" t="s">
        <v>16</v>
      </c>
      <c r="J1117" s="1" t="s">
        <v>16</v>
      </c>
      <c r="K1117" s="1" t="s">
        <v>17</v>
      </c>
      <c r="L1117" s="1" t="s">
        <v>17</v>
      </c>
      <c r="M1117" s="1" t="s">
        <v>17</v>
      </c>
      <c r="N1117" s="27" t="s">
        <v>605</v>
      </c>
      <c r="O1117" s="1" t="s">
        <v>16</v>
      </c>
    </row>
    <row r="1118" spans="1:15" x14ac:dyDescent="0.2">
      <c r="A1118" s="9">
        <v>44629</v>
      </c>
      <c r="B1118" s="1" t="s">
        <v>22</v>
      </c>
      <c r="C1118" s="1">
        <v>4</v>
      </c>
      <c r="D1118" s="1">
        <v>1</v>
      </c>
      <c r="E1118" s="5">
        <v>46.72</v>
      </c>
      <c r="F1118" s="1" t="s">
        <v>16</v>
      </c>
      <c r="G1118" s="1">
        <v>4</v>
      </c>
      <c r="H1118" s="1" t="s">
        <v>16</v>
      </c>
      <c r="I1118" s="1" t="s">
        <v>16</v>
      </c>
      <c r="J1118" s="1" t="s">
        <v>16</v>
      </c>
      <c r="K1118" s="1" t="s">
        <v>17</v>
      </c>
      <c r="L1118" s="1" t="s">
        <v>17</v>
      </c>
      <c r="M1118" s="1" t="s">
        <v>17</v>
      </c>
      <c r="N1118" s="27" t="s">
        <v>605</v>
      </c>
      <c r="O1118" s="1" t="s">
        <v>16</v>
      </c>
    </row>
    <row r="1119" spans="1:15" x14ac:dyDescent="0.2">
      <c r="A1119" s="9">
        <v>44629</v>
      </c>
      <c r="B1119" s="1" t="s">
        <v>22</v>
      </c>
      <c r="C1119" s="1">
        <v>5</v>
      </c>
      <c r="D1119" s="1">
        <v>1</v>
      </c>
      <c r="E1119" s="5">
        <v>47.72</v>
      </c>
      <c r="F1119" s="1" t="s">
        <v>18</v>
      </c>
      <c r="G1119" s="1">
        <v>2</v>
      </c>
      <c r="H1119" s="1" t="s">
        <v>16</v>
      </c>
      <c r="I1119" s="1" t="s">
        <v>16</v>
      </c>
      <c r="J1119" s="1" t="s">
        <v>16</v>
      </c>
      <c r="K1119" s="1" t="s">
        <v>21</v>
      </c>
      <c r="L1119" s="1" t="s">
        <v>17</v>
      </c>
      <c r="M1119" s="1" t="s">
        <v>17</v>
      </c>
      <c r="N1119" s="27" t="s">
        <v>605</v>
      </c>
      <c r="O1119" s="1" t="s">
        <v>16</v>
      </c>
    </row>
    <row r="1120" spans="1:15" x14ac:dyDescent="0.2">
      <c r="A1120" s="9">
        <v>44629</v>
      </c>
      <c r="B1120" s="1" t="s">
        <v>22</v>
      </c>
      <c r="C1120" s="1">
        <v>6</v>
      </c>
      <c r="D1120" s="1">
        <v>2</v>
      </c>
      <c r="E1120" s="5">
        <v>40.119999999999997</v>
      </c>
      <c r="F1120" s="1" t="s">
        <v>19</v>
      </c>
      <c r="G1120" s="1">
        <v>2</v>
      </c>
      <c r="H1120" s="1" t="s">
        <v>16</v>
      </c>
      <c r="I1120" s="1" t="s">
        <v>16</v>
      </c>
      <c r="J1120" s="1" t="s">
        <v>16</v>
      </c>
      <c r="K1120" s="1" t="s">
        <v>17</v>
      </c>
      <c r="L1120" s="1" t="s">
        <v>17</v>
      </c>
      <c r="M1120" s="1" t="s">
        <v>17</v>
      </c>
      <c r="N1120" s="27" t="s">
        <v>605</v>
      </c>
      <c r="O1120" s="1" t="s">
        <v>16</v>
      </c>
    </row>
    <row r="1121" spans="1:15" x14ac:dyDescent="0.2">
      <c r="A1121" s="9">
        <v>44629</v>
      </c>
      <c r="B1121" s="1" t="s">
        <v>22</v>
      </c>
      <c r="C1121" s="1">
        <v>7</v>
      </c>
      <c r="D1121" s="1">
        <v>2</v>
      </c>
      <c r="E1121" s="5">
        <v>46.2</v>
      </c>
      <c r="F1121" s="1" t="s">
        <v>16</v>
      </c>
      <c r="G1121" s="1">
        <v>4</v>
      </c>
      <c r="H1121" s="1" t="s">
        <v>16</v>
      </c>
      <c r="I1121" s="1" t="s">
        <v>16</v>
      </c>
      <c r="J1121" s="1" t="s">
        <v>16</v>
      </c>
      <c r="K1121" s="1" t="s">
        <v>21</v>
      </c>
      <c r="L1121" s="1" t="s">
        <v>17</v>
      </c>
      <c r="M1121" s="1" t="s">
        <v>17</v>
      </c>
      <c r="N1121" s="27" t="s">
        <v>605</v>
      </c>
      <c r="O1121" s="1" t="s">
        <v>16</v>
      </c>
    </row>
    <row r="1122" spans="1:15" x14ac:dyDescent="0.2">
      <c r="A1122" s="9">
        <v>44629</v>
      </c>
      <c r="B1122" s="1" t="s">
        <v>22</v>
      </c>
      <c r="C1122" s="1">
        <v>8</v>
      </c>
      <c r="D1122" s="1">
        <v>2</v>
      </c>
      <c r="E1122" s="5">
        <v>36.06</v>
      </c>
      <c r="F1122" s="1" t="s">
        <v>18</v>
      </c>
      <c r="G1122" s="1">
        <v>2</v>
      </c>
      <c r="H1122" s="1" t="s">
        <v>16</v>
      </c>
      <c r="I1122" s="1" t="s">
        <v>16</v>
      </c>
      <c r="J1122" s="1" t="s">
        <v>16</v>
      </c>
      <c r="K1122" s="1" t="s">
        <v>17</v>
      </c>
      <c r="L1122" s="1" t="s">
        <v>17</v>
      </c>
      <c r="M1122" s="1" t="s">
        <v>17</v>
      </c>
      <c r="N1122" s="27" t="s">
        <v>605</v>
      </c>
      <c r="O1122" s="1" t="s">
        <v>16</v>
      </c>
    </row>
    <row r="1123" spans="1:15" x14ac:dyDescent="0.2">
      <c r="A1123" s="9">
        <v>44629</v>
      </c>
      <c r="B1123" s="1" t="s">
        <v>22</v>
      </c>
      <c r="C1123" s="1">
        <v>9</v>
      </c>
      <c r="D1123" s="1">
        <v>2</v>
      </c>
      <c r="E1123" s="5">
        <v>16.010000000000002</v>
      </c>
      <c r="F1123" s="1" t="s">
        <v>18</v>
      </c>
      <c r="G1123" s="1">
        <v>2</v>
      </c>
      <c r="H1123" s="1" t="s">
        <v>16</v>
      </c>
      <c r="I1123" s="1" t="s">
        <v>16</v>
      </c>
      <c r="J1123" s="1" t="s">
        <v>16</v>
      </c>
      <c r="K1123" s="1" t="s">
        <v>17</v>
      </c>
      <c r="L1123" s="1" t="s">
        <v>17</v>
      </c>
      <c r="M1123" s="1" t="s">
        <v>17</v>
      </c>
      <c r="N1123" s="27" t="s">
        <v>605</v>
      </c>
      <c r="O1123" s="1" t="s">
        <v>16</v>
      </c>
    </row>
    <row r="1124" spans="1:15" x14ac:dyDescent="0.2">
      <c r="A1124" s="9">
        <v>44629</v>
      </c>
      <c r="B1124" s="1" t="s">
        <v>22</v>
      </c>
      <c r="C1124" s="1">
        <v>10</v>
      </c>
      <c r="D1124" s="1">
        <v>2</v>
      </c>
      <c r="E1124" s="5">
        <v>58.43</v>
      </c>
      <c r="F1124" s="1" t="s">
        <v>19</v>
      </c>
      <c r="G1124" s="1">
        <v>2</v>
      </c>
      <c r="H1124" s="1" t="s">
        <v>16</v>
      </c>
      <c r="I1124" s="1" t="s">
        <v>16</v>
      </c>
      <c r="J1124" s="1" t="s">
        <v>16</v>
      </c>
      <c r="K1124" s="1" t="s">
        <v>17</v>
      </c>
      <c r="L1124" s="1" t="s">
        <v>17</v>
      </c>
      <c r="M1124" s="1" t="s">
        <v>17</v>
      </c>
      <c r="N1124" s="27" t="s">
        <v>605</v>
      </c>
      <c r="O1124" s="1" t="s">
        <v>16</v>
      </c>
    </row>
    <row r="1125" spans="1:15" x14ac:dyDescent="0.2">
      <c r="A1125" s="9">
        <v>44629</v>
      </c>
      <c r="B1125" s="1" t="s">
        <v>22</v>
      </c>
      <c r="C1125" s="1">
        <v>11</v>
      </c>
      <c r="D1125" s="1">
        <v>3</v>
      </c>
      <c r="E1125" s="5">
        <v>63.18</v>
      </c>
      <c r="F1125" s="1" t="s">
        <v>18</v>
      </c>
      <c r="G1125" s="1">
        <v>2</v>
      </c>
      <c r="H1125" s="1" t="s">
        <v>16</v>
      </c>
      <c r="I1125" s="1" t="s">
        <v>16</v>
      </c>
      <c r="J1125" s="1" t="s">
        <v>16</v>
      </c>
      <c r="K1125" s="1" t="s">
        <v>17</v>
      </c>
      <c r="L1125" s="1" t="s">
        <v>17</v>
      </c>
      <c r="M1125" s="1" t="s">
        <v>17</v>
      </c>
      <c r="N1125" s="27" t="s">
        <v>605</v>
      </c>
      <c r="O1125" s="1" t="s">
        <v>16</v>
      </c>
    </row>
    <row r="1126" spans="1:15" x14ac:dyDescent="0.2">
      <c r="A1126" s="9">
        <v>44629</v>
      </c>
      <c r="B1126" s="1" t="s">
        <v>22</v>
      </c>
      <c r="C1126" s="1">
        <v>12</v>
      </c>
      <c r="D1126" s="1">
        <v>3</v>
      </c>
      <c r="E1126" s="5">
        <v>37.97</v>
      </c>
      <c r="F1126" s="1" t="s">
        <v>19</v>
      </c>
      <c r="G1126" s="1">
        <v>2</v>
      </c>
      <c r="H1126" s="1" t="s">
        <v>16</v>
      </c>
      <c r="I1126" s="1" t="s">
        <v>16</v>
      </c>
      <c r="J1126" s="1" t="s">
        <v>16</v>
      </c>
      <c r="K1126" s="1" t="s">
        <v>17</v>
      </c>
      <c r="L1126" s="1" t="s">
        <v>17</v>
      </c>
      <c r="M1126" s="1" t="s">
        <v>17</v>
      </c>
      <c r="N1126" s="27" t="s">
        <v>605</v>
      </c>
      <c r="O1126" s="1" t="s">
        <v>16</v>
      </c>
    </row>
    <row r="1127" spans="1:15" x14ac:dyDescent="0.2">
      <c r="A1127" s="9">
        <v>44629</v>
      </c>
      <c r="B1127" s="1" t="s">
        <v>22</v>
      </c>
      <c r="C1127" s="1">
        <v>13</v>
      </c>
      <c r="D1127" s="1">
        <v>3</v>
      </c>
      <c r="E1127" s="5">
        <v>45.04</v>
      </c>
      <c r="F1127" s="1" t="s">
        <v>18</v>
      </c>
      <c r="G1127" s="1">
        <v>2</v>
      </c>
      <c r="H1127" s="1" t="s">
        <v>16</v>
      </c>
      <c r="I1127" s="1" t="s">
        <v>16</v>
      </c>
      <c r="J1127" s="1" t="s">
        <v>16</v>
      </c>
      <c r="K1127" s="1" t="s">
        <v>17</v>
      </c>
      <c r="L1127" s="1" t="s">
        <v>17</v>
      </c>
      <c r="M1127" s="1" t="s">
        <v>17</v>
      </c>
      <c r="N1127" s="27" t="s">
        <v>605</v>
      </c>
      <c r="O1127" s="1" t="s">
        <v>16</v>
      </c>
    </row>
    <row r="1128" spans="1:15" x14ac:dyDescent="0.2">
      <c r="A1128" s="9">
        <v>44629</v>
      </c>
      <c r="B1128" s="1" t="s">
        <v>22</v>
      </c>
      <c r="C1128" s="1">
        <v>14</v>
      </c>
      <c r="D1128" s="1">
        <v>3</v>
      </c>
      <c r="E1128" s="5">
        <v>57.37</v>
      </c>
      <c r="F1128" s="1" t="s">
        <v>18</v>
      </c>
      <c r="G1128" s="1">
        <v>2</v>
      </c>
      <c r="H1128" s="1" t="s">
        <v>16</v>
      </c>
      <c r="I1128" s="1" t="s">
        <v>16</v>
      </c>
      <c r="J1128" s="1" t="s">
        <v>16</v>
      </c>
      <c r="K1128" s="1" t="s">
        <v>17</v>
      </c>
      <c r="L1128" s="1" t="s">
        <v>17</v>
      </c>
      <c r="M1128" s="1" t="s">
        <v>17</v>
      </c>
      <c r="N1128" s="27" t="s">
        <v>605</v>
      </c>
      <c r="O1128" s="1" t="s">
        <v>16</v>
      </c>
    </row>
    <row r="1129" spans="1:15" x14ac:dyDescent="0.2">
      <c r="A1129" s="9">
        <v>44629</v>
      </c>
      <c r="B1129" s="1" t="s">
        <v>22</v>
      </c>
      <c r="C1129" s="1">
        <v>15</v>
      </c>
      <c r="D1129" s="1">
        <v>3</v>
      </c>
      <c r="E1129" s="5">
        <v>36.340000000000003</v>
      </c>
      <c r="F1129" s="1" t="s">
        <v>18</v>
      </c>
      <c r="G1129" s="1">
        <v>2</v>
      </c>
      <c r="H1129" s="1" t="s">
        <v>16</v>
      </c>
      <c r="I1129" s="1" t="s">
        <v>16</v>
      </c>
      <c r="J1129" s="1" t="s">
        <v>16</v>
      </c>
      <c r="K1129" s="1" t="s">
        <v>17</v>
      </c>
      <c r="L1129" s="1" t="s">
        <v>17</v>
      </c>
      <c r="M1129" s="1" t="s">
        <v>17</v>
      </c>
      <c r="N1129" s="27" t="s">
        <v>605</v>
      </c>
      <c r="O1129" s="1" t="s">
        <v>16</v>
      </c>
    </row>
    <row r="1130" spans="1:15" x14ac:dyDescent="0.2">
      <c r="A1130" s="9">
        <v>44656</v>
      </c>
      <c r="B1130" s="1" t="s">
        <v>22</v>
      </c>
      <c r="C1130" s="1">
        <v>1</v>
      </c>
      <c r="D1130" s="1">
        <v>1</v>
      </c>
      <c r="E1130" s="5">
        <v>58.51</v>
      </c>
      <c r="F1130" s="1" t="s">
        <v>18</v>
      </c>
      <c r="G1130" s="1">
        <v>2</v>
      </c>
      <c r="H1130" s="1" t="s">
        <v>16</v>
      </c>
      <c r="I1130" s="1" t="s">
        <v>16</v>
      </c>
      <c r="J1130" s="1" t="s">
        <v>16</v>
      </c>
      <c r="K1130" s="1" t="s">
        <v>17</v>
      </c>
      <c r="L1130" s="1" t="s">
        <v>17</v>
      </c>
      <c r="M1130" s="1" t="s">
        <v>17</v>
      </c>
      <c r="N1130" s="27" t="s">
        <v>605</v>
      </c>
      <c r="O1130" s="1" t="s">
        <v>16</v>
      </c>
    </row>
    <row r="1131" spans="1:15" x14ac:dyDescent="0.2">
      <c r="A1131" s="9">
        <v>44656</v>
      </c>
      <c r="B1131" s="1" t="s">
        <v>22</v>
      </c>
      <c r="C1131" s="1">
        <v>2</v>
      </c>
      <c r="D1131" s="1">
        <v>1</v>
      </c>
      <c r="E1131" s="5">
        <v>58.12</v>
      </c>
      <c r="F1131" s="1" t="s">
        <v>18</v>
      </c>
      <c r="G1131" s="1">
        <v>2</v>
      </c>
      <c r="H1131" s="1" t="s">
        <v>16</v>
      </c>
      <c r="I1131" s="1" t="s">
        <v>16</v>
      </c>
      <c r="J1131" s="1" t="s">
        <v>16</v>
      </c>
      <c r="K1131" s="1" t="s">
        <v>17</v>
      </c>
      <c r="L1131" s="1" t="s">
        <v>17</v>
      </c>
      <c r="M1131" s="1" t="s">
        <v>17</v>
      </c>
      <c r="N1131" s="27" t="s">
        <v>605</v>
      </c>
      <c r="O1131" s="1" t="s">
        <v>16</v>
      </c>
    </row>
    <row r="1132" spans="1:15" x14ac:dyDescent="0.2">
      <c r="A1132" s="9">
        <v>44656</v>
      </c>
      <c r="B1132" s="1" t="s">
        <v>22</v>
      </c>
      <c r="C1132" s="1">
        <v>3</v>
      </c>
      <c r="D1132" s="1">
        <v>1</v>
      </c>
      <c r="E1132" s="5">
        <v>47.05</v>
      </c>
      <c r="F1132" s="1" t="s">
        <v>18</v>
      </c>
      <c r="G1132" s="1">
        <v>2</v>
      </c>
      <c r="H1132" s="1" t="s">
        <v>16</v>
      </c>
      <c r="I1132" s="1" t="s">
        <v>16</v>
      </c>
      <c r="J1132" s="1" t="s">
        <v>16</v>
      </c>
      <c r="K1132" s="1" t="s">
        <v>17</v>
      </c>
      <c r="L1132" s="1" t="s">
        <v>17</v>
      </c>
      <c r="M1132" s="1" t="s">
        <v>17</v>
      </c>
      <c r="N1132" s="27" t="s">
        <v>605</v>
      </c>
      <c r="O1132" s="1" t="s">
        <v>16</v>
      </c>
    </row>
    <row r="1133" spans="1:15" x14ac:dyDescent="0.2">
      <c r="A1133" s="9">
        <v>44656</v>
      </c>
      <c r="B1133" s="1" t="s">
        <v>22</v>
      </c>
      <c r="C1133" s="1">
        <v>4</v>
      </c>
      <c r="D1133" s="1">
        <v>1</v>
      </c>
      <c r="E1133" s="5">
        <v>75.319999999999993</v>
      </c>
      <c r="F1133" s="1" t="s">
        <v>16</v>
      </c>
      <c r="G1133" s="1">
        <v>4</v>
      </c>
      <c r="H1133" s="1" t="s">
        <v>16</v>
      </c>
      <c r="I1133" s="1" t="s">
        <v>16</v>
      </c>
      <c r="J1133" s="1" t="s">
        <v>16</v>
      </c>
      <c r="K1133" s="1" t="s">
        <v>21</v>
      </c>
      <c r="L1133" s="1" t="s">
        <v>17</v>
      </c>
      <c r="M1133" s="1" t="s">
        <v>17</v>
      </c>
      <c r="N1133" s="27" t="s">
        <v>605</v>
      </c>
      <c r="O1133" s="1" t="s">
        <v>16</v>
      </c>
    </row>
    <row r="1134" spans="1:15" x14ac:dyDescent="0.2">
      <c r="A1134" s="9">
        <v>44656</v>
      </c>
      <c r="B1134" s="1" t="s">
        <v>22</v>
      </c>
      <c r="C1134" s="1">
        <v>5</v>
      </c>
      <c r="D1134" s="1">
        <v>1</v>
      </c>
      <c r="E1134" s="5">
        <v>52.65</v>
      </c>
      <c r="F1134" s="1" t="s">
        <v>18</v>
      </c>
      <c r="G1134" s="1">
        <v>2</v>
      </c>
      <c r="H1134" s="1" t="s">
        <v>16</v>
      </c>
      <c r="I1134" s="1" t="s">
        <v>16</v>
      </c>
      <c r="J1134" s="1" t="s">
        <v>16</v>
      </c>
      <c r="K1134" s="1" t="s">
        <v>17</v>
      </c>
      <c r="L1134" s="1" t="s">
        <v>17</v>
      </c>
      <c r="M1134" s="1" t="s">
        <v>17</v>
      </c>
      <c r="N1134" s="27" t="s">
        <v>605</v>
      </c>
      <c r="O1134" s="1" t="s">
        <v>16</v>
      </c>
    </row>
    <row r="1135" spans="1:15" x14ac:dyDescent="0.2">
      <c r="A1135" s="9">
        <v>44656</v>
      </c>
      <c r="B1135" s="1" t="s">
        <v>22</v>
      </c>
      <c r="C1135" s="1">
        <v>6</v>
      </c>
      <c r="D1135" s="1">
        <v>2</v>
      </c>
      <c r="E1135" s="5">
        <v>79.69</v>
      </c>
      <c r="F1135" s="1" t="s">
        <v>18</v>
      </c>
      <c r="G1135" s="1">
        <v>1</v>
      </c>
      <c r="H1135" s="1" t="s">
        <v>16</v>
      </c>
      <c r="I1135" s="1" t="s">
        <v>16</v>
      </c>
      <c r="J1135" s="1" t="s">
        <v>16</v>
      </c>
      <c r="K1135" s="1" t="s">
        <v>17</v>
      </c>
      <c r="L1135" s="1" t="s">
        <v>17</v>
      </c>
      <c r="M1135" s="1" t="s">
        <v>17</v>
      </c>
      <c r="N1135" s="27" t="s">
        <v>605</v>
      </c>
      <c r="O1135" s="1" t="s">
        <v>16</v>
      </c>
    </row>
    <row r="1136" spans="1:15" x14ac:dyDescent="0.2">
      <c r="A1136" s="9">
        <v>44656</v>
      </c>
      <c r="B1136" s="1" t="s">
        <v>22</v>
      </c>
      <c r="C1136" s="1">
        <v>7</v>
      </c>
      <c r="D1136" s="1">
        <v>2</v>
      </c>
      <c r="E1136" s="5">
        <v>65.349999999999994</v>
      </c>
      <c r="F1136" s="1" t="s">
        <v>18</v>
      </c>
      <c r="G1136" s="1">
        <v>2</v>
      </c>
      <c r="H1136" s="1" t="s">
        <v>16</v>
      </c>
      <c r="I1136" s="1" t="s">
        <v>16</v>
      </c>
      <c r="J1136" s="1" t="s">
        <v>16</v>
      </c>
      <c r="K1136" s="1" t="s">
        <v>17</v>
      </c>
      <c r="L1136" s="1" t="s">
        <v>17</v>
      </c>
      <c r="M1136" s="1" t="s">
        <v>17</v>
      </c>
      <c r="N1136" s="27" t="s">
        <v>605</v>
      </c>
      <c r="O1136" s="1" t="s">
        <v>16</v>
      </c>
    </row>
    <row r="1137" spans="1:15" x14ac:dyDescent="0.2">
      <c r="A1137" s="9">
        <v>44656</v>
      </c>
      <c r="B1137" s="1" t="s">
        <v>22</v>
      </c>
      <c r="C1137" s="1">
        <v>8</v>
      </c>
      <c r="D1137" s="1">
        <v>2</v>
      </c>
      <c r="E1137" s="5">
        <v>55.36</v>
      </c>
      <c r="F1137" s="1" t="s">
        <v>18</v>
      </c>
      <c r="G1137" s="1">
        <v>2</v>
      </c>
      <c r="H1137" s="1" t="s">
        <v>16</v>
      </c>
      <c r="I1137" s="1" t="s">
        <v>16</v>
      </c>
      <c r="J1137" s="1" t="s">
        <v>16</v>
      </c>
      <c r="K1137" s="1" t="s">
        <v>17</v>
      </c>
      <c r="L1137" s="1" t="s">
        <v>17</v>
      </c>
      <c r="M1137" s="1" t="s">
        <v>17</v>
      </c>
      <c r="N1137" s="27" t="s">
        <v>605</v>
      </c>
      <c r="O1137" s="1" t="s">
        <v>16</v>
      </c>
    </row>
    <row r="1138" spans="1:15" x14ac:dyDescent="0.2">
      <c r="A1138" s="9">
        <v>44656</v>
      </c>
      <c r="B1138" s="1" t="s">
        <v>22</v>
      </c>
      <c r="C1138" s="1">
        <v>9</v>
      </c>
      <c r="D1138" s="1">
        <v>2</v>
      </c>
      <c r="E1138" s="5">
        <v>49.2</v>
      </c>
      <c r="F1138" s="1" t="s">
        <v>16</v>
      </c>
      <c r="G1138" s="1">
        <v>4</v>
      </c>
      <c r="H1138" s="1" t="s">
        <v>16</v>
      </c>
      <c r="I1138" s="1" t="s">
        <v>16</v>
      </c>
      <c r="J1138" s="1" t="s">
        <v>16</v>
      </c>
      <c r="K1138" s="1" t="s">
        <v>17</v>
      </c>
      <c r="L1138" s="1" t="s">
        <v>17</v>
      </c>
      <c r="M1138" s="1" t="s">
        <v>17</v>
      </c>
      <c r="N1138" s="27" t="s">
        <v>605</v>
      </c>
      <c r="O1138" s="1" t="s">
        <v>16</v>
      </c>
    </row>
    <row r="1139" spans="1:15" x14ac:dyDescent="0.2">
      <c r="A1139" s="9">
        <v>44656</v>
      </c>
      <c r="B1139" s="1" t="s">
        <v>22</v>
      </c>
      <c r="C1139" s="1">
        <v>10</v>
      </c>
      <c r="D1139" s="1">
        <v>2</v>
      </c>
      <c r="E1139" s="5">
        <v>49.64</v>
      </c>
      <c r="F1139" s="1" t="s">
        <v>18</v>
      </c>
      <c r="G1139" s="1">
        <v>3</v>
      </c>
      <c r="H1139" s="1" t="s">
        <v>16</v>
      </c>
      <c r="I1139" s="1" t="s">
        <v>16</v>
      </c>
      <c r="J1139" s="1" t="s">
        <v>16</v>
      </c>
      <c r="K1139" s="1" t="s">
        <v>17</v>
      </c>
      <c r="L1139" s="1" t="s">
        <v>17</v>
      </c>
      <c r="M1139" s="1" t="s">
        <v>17</v>
      </c>
      <c r="N1139" s="27" t="s">
        <v>605</v>
      </c>
      <c r="O1139" s="1" t="s">
        <v>16</v>
      </c>
    </row>
    <row r="1140" spans="1:15" x14ac:dyDescent="0.2">
      <c r="A1140" s="9">
        <v>44656</v>
      </c>
      <c r="B1140" s="1" t="s">
        <v>22</v>
      </c>
      <c r="C1140" s="1">
        <v>11</v>
      </c>
      <c r="D1140" s="1">
        <v>3</v>
      </c>
      <c r="E1140" s="5">
        <v>76.27</v>
      </c>
      <c r="F1140" s="1" t="s">
        <v>16</v>
      </c>
      <c r="G1140" s="1" t="s">
        <v>16</v>
      </c>
      <c r="H1140" s="1" t="s">
        <v>16</v>
      </c>
      <c r="I1140" s="1" t="s">
        <v>16</v>
      </c>
      <c r="J1140" s="1" t="s">
        <v>16</v>
      </c>
      <c r="K1140" s="1" t="s">
        <v>20</v>
      </c>
      <c r="L1140" s="1" t="s">
        <v>17</v>
      </c>
      <c r="M1140" s="1" t="s">
        <v>17</v>
      </c>
      <c r="N1140" s="27" t="s">
        <v>605</v>
      </c>
      <c r="O1140" s="1" t="s">
        <v>16</v>
      </c>
    </row>
    <row r="1141" spans="1:15" x14ac:dyDescent="0.2">
      <c r="A1141" s="9">
        <v>44656</v>
      </c>
      <c r="B1141" s="1" t="s">
        <v>22</v>
      </c>
      <c r="C1141" s="1">
        <v>12</v>
      </c>
      <c r="D1141" s="1">
        <v>3</v>
      </c>
      <c r="E1141" s="5">
        <v>67.709999999999994</v>
      </c>
      <c r="F1141" s="1" t="s">
        <v>18</v>
      </c>
      <c r="G1141" s="1">
        <v>2</v>
      </c>
      <c r="H1141" s="1" t="s">
        <v>16</v>
      </c>
      <c r="I1141" s="1" t="s">
        <v>16</v>
      </c>
      <c r="J1141" s="1" t="s">
        <v>16</v>
      </c>
      <c r="K1141" s="1" t="s">
        <v>17</v>
      </c>
      <c r="L1141" s="1" t="s">
        <v>17</v>
      </c>
      <c r="M1141" s="1" t="s">
        <v>17</v>
      </c>
      <c r="N1141" s="27" t="s">
        <v>605</v>
      </c>
      <c r="O1141" s="1" t="s">
        <v>16</v>
      </c>
    </row>
    <row r="1142" spans="1:15" x14ac:dyDescent="0.2">
      <c r="A1142" s="9">
        <v>44656</v>
      </c>
      <c r="B1142" s="1" t="s">
        <v>22</v>
      </c>
      <c r="C1142" s="1">
        <v>13</v>
      </c>
      <c r="D1142" s="1">
        <v>3</v>
      </c>
      <c r="E1142" s="5">
        <v>74.599999999999994</v>
      </c>
      <c r="F1142" s="1" t="s">
        <v>18</v>
      </c>
      <c r="G1142" s="1">
        <v>2</v>
      </c>
      <c r="H1142" s="1" t="s">
        <v>16</v>
      </c>
      <c r="I1142" s="1" t="s">
        <v>16</v>
      </c>
      <c r="J1142" s="1" t="s">
        <v>16</v>
      </c>
      <c r="K1142" s="1" t="s">
        <v>21</v>
      </c>
      <c r="L1142" s="1" t="s">
        <v>17</v>
      </c>
      <c r="M1142" s="1" t="s">
        <v>17</v>
      </c>
      <c r="N1142" s="27" t="s">
        <v>605</v>
      </c>
      <c r="O1142" s="1" t="s">
        <v>16</v>
      </c>
    </row>
    <row r="1143" spans="1:15" x14ac:dyDescent="0.2">
      <c r="A1143" s="9">
        <v>44656</v>
      </c>
      <c r="B1143" s="1" t="s">
        <v>22</v>
      </c>
      <c r="C1143" s="1">
        <v>14</v>
      </c>
      <c r="D1143" s="1">
        <v>3</v>
      </c>
      <c r="E1143" s="5">
        <v>67.489999999999995</v>
      </c>
      <c r="F1143" s="1" t="s">
        <v>18</v>
      </c>
      <c r="G1143" s="1">
        <v>2</v>
      </c>
      <c r="H1143" s="1" t="s">
        <v>16</v>
      </c>
      <c r="I1143" s="1" t="s">
        <v>16</v>
      </c>
      <c r="J1143" s="1" t="s">
        <v>16</v>
      </c>
      <c r="K1143" s="1" t="s">
        <v>17</v>
      </c>
      <c r="L1143" s="1" t="s">
        <v>17</v>
      </c>
      <c r="M1143" s="1" t="s">
        <v>17</v>
      </c>
      <c r="N1143" s="27" t="s">
        <v>605</v>
      </c>
      <c r="O1143" s="1" t="s">
        <v>16</v>
      </c>
    </row>
    <row r="1144" spans="1:15" x14ac:dyDescent="0.2">
      <c r="A1144" s="9">
        <v>44656</v>
      </c>
      <c r="B1144" s="1" t="s">
        <v>22</v>
      </c>
      <c r="C1144" s="1">
        <v>15</v>
      </c>
      <c r="D1144" s="1">
        <v>3</v>
      </c>
      <c r="E1144" s="5">
        <v>53.47</v>
      </c>
      <c r="F1144" s="1" t="s">
        <v>18</v>
      </c>
      <c r="G1144" s="1">
        <v>2</v>
      </c>
      <c r="H1144" s="1" t="s">
        <v>16</v>
      </c>
      <c r="I1144" s="1" t="s">
        <v>16</v>
      </c>
      <c r="J1144" s="1" t="s">
        <v>16</v>
      </c>
      <c r="K1144" s="1" t="s">
        <v>17</v>
      </c>
      <c r="L1144" s="1" t="s">
        <v>17</v>
      </c>
      <c r="M1144" s="1" t="s">
        <v>17</v>
      </c>
      <c r="N1144" s="27" t="s">
        <v>605</v>
      </c>
      <c r="O1144" s="1" t="s">
        <v>16</v>
      </c>
    </row>
    <row r="1145" spans="1:15" x14ac:dyDescent="0.2">
      <c r="A1145" s="9">
        <v>44684</v>
      </c>
      <c r="B1145" s="1" t="s">
        <v>22</v>
      </c>
      <c r="C1145" s="1">
        <v>1</v>
      </c>
      <c r="D1145" s="1">
        <v>1</v>
      </c>
      <c r="E1145" s="5">
        <v>72.239999999999995</v>
      </c>
      <c r="F1145" s="1" t="s">
        <v>18</v>
      </c>
      <c r="G1145" s="1">
        <v>2</v>
      </c>
      <c r="H1145" s="1" t="s">
        <v>16</v>
      </c>
      <c r="I1145" s="1" t="s">
        <v>16</v>
      </c>
      <c r="J1145" s="1" t="s">
        <v>16</v>
      </c>
      <c r="K1145" s="1" t="s">
        <v>17</v>
      </c>
      <c r="L1145" s="1" t="s">
        <v>17</v>
      </c>
      <c r="M1145" s="1" t="s">
        <v>17</v>
      </c>
      <c r="N1145" s="27" t="s">
        <v>605</v>
      </c>
      <c r="O1145" s="1" t="s">
        <v>16</v>
      </c>
    </row>
    <row r="1146" spans="1:15" x14ac:dyDescent="0.2">
      <c r="A1146" s="9">
        <v>44684</v>
      </c>
      <c r="B1146" s="1" t="s">
        <v>22</v>
      </c>
      <c r="C1146" s="1">
        <v>2</v>
      </c>
      <c r="D1146" s="1">
        <v>1</v>
      </c>
      <c r="E1146" s="5">
        <v>44.27</v>
      </c>
      <c r="F1146" s="1" t="s">
        <v>18</v>
      </c>
      <c r="G1146" s="1">
        <v>2</v>
      </c>
      <c r="H1146" s="1" t="s">
        <v>16</v>
      </c>
      <c r="I1146" s="1" t="s">
        <v>16</v>
      </c>
      <c r="J1146" s="1" t="s">
        <v>16</v>
      </c>
      <c r="K1146" s="1" t="s">
        <v>17</v>
      </c>
      <c r="L1146" s="1" t="s">
        <v>17</v>
      </c>
      <c r="M1146" s="1" t="s">
        <v>17</v>
      </c>
      <c r="N1146" s="27" t="s">
        <v>605</v>
      </c>
      <c r="O1146" s="1" t="s">
        <v>16</v>
      </c>
    </row>
    <row r="1147" spans="1:15" x14ac:dyDescent="0.2">
      <c r="A1147" s="9">
        <v>44684</v>
      </c>
      <c r="B1147" s="1" t="s">
        <v>22</v>
      </c>
      <c r="C1147" s="1">
        <v>3</v>
      </c>
      <c r="D1147" s="1">
        <v>1</v>
      </c>
      <c r="E1147" s="5">
        <v>47.24</v>
      </c>
      <c r="F1147" s="1" t="s">
        <v>18</v>
      </c>
      <c r="G1147" s="1">
        <v>2</v>
      </c>
      <c r="H1147" s="1" t="s">
        <v>16</v>
      </c>
      <c r="I1147" s="1" t="s">
        <v>16</v>
      </c>
      <c r="J1147" s="1" t="s">
        <v>16</v>
      </c>
      <c r="K1147" s="1" t="s">
        <v>21</v>
      </c>
      <c r="L1147" s="1" t="s">
        <v>17</v>
      </c>
      <c r="M1147" s="1" t="s">
        <v>17</v>
      </c>
      <c r="N1147" s="27" t="s">
        <v>605</v>
      </c>
      <c r="O1147" s="1" t="s">
        <v>16</v>
      </c>
    </row>
    <row r="1148" spans="1:15" x14ac:dyDescent="0.2">
      <c r="A1148" s="9">
        <v>44684</v>
      </c>
      <c r="B1148" s="1" t="s">
        <v>22</v>
      </c>
      <c r="C1148" s="1">
        <v>4</v>
      </c>
      <c r="D1148" s="1">
        <v>1</v>
      </c>
      <c r="E1148" s="5">
        <v>55.49</v>
      </c>
      <c r="F1148" s="1" t="s">
        <v>16</v>
      </c>
      <c r="G1148" s="1">
        <v>4</v>
      </c>
      <c r="H1148" s="1" t="s">
        <v>16</v>
      </c>
      <c r="I1148" s="1" t="s">
        <v>16</v>
      </c>
      <c r="J1148" s="1" t="s">
        <v>16</v>
      </c>
      <c r="K1148" s="1" t="s">
        <v>17</v>
      </c>
      <c r="L1148" s="1" t="s">
        <v>17</v>
      </c>
      <c r="M1148" s="1" t="s">
        <v>17</v>
      </c>
      <c r="N1148" s="27" t="s">
        <v>605</v>
      </c>
      <c r="O1148" s="1" t="s">
        <v>16</v>
      </c>
    </row>
    <row r="1149" spans="1:15" x14ac:dyDescent="0.2">
      <c r="A1149" s="9">
        <v>44684</v>
      </c>
      <c r="B1149" s="1" t="s">
        <v>22</v>
      </c>
      <c r="C1149" s="1">
        <v>5</v>
      </c>
      <c r="D1149" s="1">
        <v>1</v>
      </c>
      <c r="E1149" s="5">
        <v>44.85</v>
      </c>
      <c r="F1149" s="1" t="s">
        <v>18</v>
      </c>
      <c r="G1149" s="1">
        <v>2</v>
      </c>
      <c r="H1149" s="1" t="s">
        <v>16</v>
      </c>
      <c r="I1149" s="1" t="s">
        <v>16</v>
      </c>
      <c r="J1149" s="1" t="s">
        <v>16</v>
      </c>
      <c r="K1149" s="1" t="s">
        <v>17</v>
      </c>
      <c r="L1149" s="1" t="s">
        <v>17</v>
      </c>
      <c r="M1149" s="1" t="s">
        <v>21</v>
      </c>
      <c r="N1149" s="27" t="s">
        <v>605</v>
      </c>
      <c r="O1149" s="1" t="s">
        <v>16</v>
      </c>
    </row>
    <row r="1150" spans="1:15" x14ac:dyDescent="0.2">
      <c r="A1150" s="9">
        <v>44684</v>
      </c>
      <c r="B1150" s="1" t="s">
        <v>22</v>
      </c>
      <c r="C1150" s="1">
        <v>6</v>
      </c>
      <c r="D1150" s="1">
        <v>2</v>
      </c>
      <c r="E1150" s="5">
        <v>74.319999999999993</v>
      </c>
      <c r="F1150" s="1" t="s">
        <v>18</v>
      </c>
      <c r="G1150" s="1">
        <v>2</v>
      </c>
      <c r="H1150" s="1" t="s">
        <v>16</v>
      </c>
      <c r="I1150" s="1" t="s">
        <v>16</v>
      </c>
      <c r="J1150" s="1" t="s">
        <v>16</v>
      </c>
      <c r="K1150" s="1" t="s">
        <v>17</v>
      </c>
      <c r="L1150" s="1" t="s">
        <v>17</v>
      </c>
      <c r="M1150" s="1" t="s">
        <v>17</v>
      </c>
      <c r="N1150" s="27" t="s">
        <v>605</v>
      </c>
      <c r="O1150" s="1" t="s">
        <v>16</v>
      </c>
    </row>
    <row r="1151" spans="1:15" x14ac:dyDescent="0.2">
      <c r="A1151" s="9">
        <v>44684</v>
      </c>
      <c r="B1151" s="1" t="s">
        <v>22</v>
      </c>
      <c r="C1151" s="1">
        <v>7</v>
      </c>
      <c r="D1151" s="1">
        <v>2</v>
      </c>
      <c r="E1151" s="5">
        <v>60.03</v>
      </c>
      <c r="F1151" s="1" t="s">
        <v>18</v>
      </c>
      <c r="G1151" s="1">
        <v>1</v>
      </c>
      <c r="H1151" s="1" t="s">
        <v>16</v>
      </c>
      <c r="I1151" s="1" t="s">
        <v>16</v>
      </c>
      <c r="J1151" s="1" t="s">
        <v>16</v>
      </c>
      <c r="K1151" s="1" t="s">
        <v>17</v>
      </c>
      <c r="L1151" s="1" t="s">
        <v>17</v>
      </c>
      <c r="M1151" s="1" t="s">
        <v>17</v>
      </c>
      <c r="N1151" s="27" t="s">
        <v>605</v>
      </c>
      <c r="O1151" s="1" t="s">
        <v>16</v>
      </c>
    </row>
    <row r="1152" spans="1:15" x14ac:dyDescent="0.2">
      <c r="A1152" s="9">
        <v>44684</v>
      </c>
      <c r="B1152" s="1" t="s">
        <v>22</v>
      </c>
      <c r="C1152" s="1">
        <v>8</v>
      </c>
      <c r="D1152" s="1">
        <v>2</v>
      </c>
      <c r="E1152" s="5">
        <v>55.7</v>
      </c>
      <c r="F1152" s="1" t="s">
        <v>19</v>
      </c>
      <c r="G1152" s="1">
        <v>2</v>
      </c>
      <c r="H1152" s="1" t="s">
        <v>16</v>
      </c>
      <c r="I1152" s="1" t="s">
        <v>16</v>
      </c>
      <c r="J1152" s="1" t="s">
        <v>16</v>
      </c>
      <c r="K1152" s="1" t="s">
        <v>17</v>
      </c>
      <c r="L1152" s="1" t="s">
        <v>17</v>
      </c>
      <c r="M1152" s="1" t="s">
        <v>17</v>
      </c>
      <c r="N1152" s="27" t="s">
        <v>605</v>
      </c>
      <c r="O1152" s="1" t="s">
        <v>16</v>
      </c>
    </row>
    <row r="1153" spans="1:15" x14ac:dyDescent="0.2">
      <c r="A1153" s="9">
        <v>44684</v>
      </c>
      <c r="B1153" s="1" t="s">
        <v>22</v>
      </c>
      <c r="C1153" s="1">
        <v>9</v>
      </c>
      <c r="D1153" s="1">
        <v>2</v>
      </c>
      <c r="E1153" s="5">
        <v>51.58</v>
      </c>
      <c r="F1153" s="1" t="s">
        <v>19</v>
      </c>
      <c r="G1153" s="1">
        <v>2</v>
      </c>
      <c r="H1153" s="1" t="s">
        <v>16</v>
      </c>
      <c r="I1153" s="1" t="s">
        <v>16</v>
      </c>
      <c r="J1153" s="1" t="s">
        <v>16</v>
      </c>
      <c r="K1153" s="1" t="s">
        <v>17</v>
      </c>
      <c r="L1153" s="1" t="s">
        <v>17</v>
      </c>
      <c r="M1153" s="1" t="s">
        <v>17</v>
      </c>
      <c r="N1153" s="27" t="s">
        <v>605</v>
      </c>
      <c r="O1153" s="1" t="s">
        <v>16</v>
      </c>
    </row>
    <row r="1154" spans="1:15" x14ac:dyDescent="0.2">
      <c r="A1154" s="9">
        <v>44684</v>
      </c>
      <c r="B1154" s="1" t="s">
        <v>22</v>
      </c>
      <c r="C1154" s="1">
        <v>10</v>
      </c>
      <c r="D1154" s="1">
        <v>2</v>
      </c>
      <c r="E1154" s="5">
        <v>59.69</v>
      </c>
      <c r="F1154" s="1" t="s">
        <v>16</v>
      </c>
      <c r="G1154" s="1">
        <v>4</v>
      </c>
      <c r="H1154" s="1" t="s">
        <v>16</v>
      </c>
      <c r="I1154" s="1" t="s">
        <v>16</v>
      </c>
      <c r="J1154" s="1" t="s">
        <v>16</v>
      </c>
      <c r="K1154" s="1" t="s">
        <v>17</v>
      </c>
      <c r="L1154" s="1" t="s">
        <v>17</v>
      </c>
      <c r="M1154" s="1" t="s">
        <v>17</v>
      </c>
      <c r="N1154" s="27" t="s">
        <v>605</v>
      </c>
      <c r="O1154" s="1" t="s">
        <v>16</v>
      </c>
    </row>
    <row r="1155" spans="1:15" x14ac:dyDescent="0.2">
      <c r="A1155" s="9">
        <v>44684</v>
      </c>
      <c r="B1155" s="1" t="s">
        <v>22</v>
      </c>
      <c r="C1155" s="1">
        <v>11</v>
      </c>
      <c r="D1155" s="1">
        <v>3</v>
      </c>
      <c r="E1155" s="5">
        <v>51.32</v>
      </c>
      <c r="F1155" s="1" t="s">
        <v>18</v>
      </c>
      <c r="G1155" s="1">
        <v>2</v>
      </c>
      <c r="H1155" s="1" t="s">
        <v>16</v>
      </c>
      <c r="I1155" s="1" t="s">
        <v>16</v>
      </c>
      <c r="J1155" s="1" t="s">
        <v>16</v>
      </c>
      <c r="K1155" s="1" t="s">
        <v>17</v>
      </c>
      <c r="L1155" s="1" t="s">
        <v>17</v>
      </c>
      <c r="M1155" s="1" t="s">
        <v>17</v>
      </c>
      <c r="N1155" s="27" t="s">
        <v>605</v>
      </c>
      <c r="O1155" s="1" t="s">
        <v>16</v>
      </c>
    </row>
    <row r="1156" spans="1:15" x14ac:dyDescent="0.2">
      <c r="A1156" s="9">
        <v>44684</v>
      </c>
      <c r="B1156" s="1" t="s">
        <v>22</v>
      </c>
      <c r="C1156" s="1">
        <v>12</v>
      </c>
      <c r="D1156" s="1">
        <v>3</v>
      </c>
      <c r="E1156" s="5">
        <v>55.01</v>
      </c>
      <c r="F1156" s="1" t="s">
        <v>18</v>
      </c>
      <c r="G1156" s="1">
        <v>3</v>
      </c>
      <c r="H1156" s="1" t="s">
        <v>16</v>
      </c>
      <c r="I1156" s="1" t="s">
        <v>16</v>
      </c>
      <c r="J1156" s="1" t="s">
        <v>16</v>
      </c>
      <c r="K1156" s="1" t="s">
        <v>17</v>
      </c>
      <c r="L1156" s="1" t="s">
        <v>17</v>
      </c>
      <c r="M1156" s="1" t="s">
        <v>17</v>
      </c>
      <c r="N1156" s="27" t="s">
        <v>605</v>
      </c>
      <c r="O1156" s="1" t="s">
        <v>16</v>
      </c>
    </row>
    <row r="1157" spans="1:15" x14ac:dyDescent="0.2">
      <c r="A1157" s="9">
        <v>44684</v>
      </c>
      <c r="B1157" s="1" t="s">
        <v>22</v>
      </c>
      <c r="C1157" s="1">
        <v>13</v>
      </c>
      <c r="D1157" s="1">
        <v>3</v>
      </c>
      <c r="E1157" s="5">
        <v>41.14</v>
      </c>
      <c r="F1157" s="1" t="s">
        <v>18</v>
      </c>
      <c r="G1157" s="1">
        <v>3</v>
      </c>
      <c r="H1157" s="1" t="s">
        <v>16</v>
      </c>
      <c r="I1157" s="1" t="s">
        <v>16</v>
      </c>
      <c r="J1157" s="1" t="s">
        <v>16</v>
      </c>
      <c r="K1157" s="1" t="s">
        <v>17</v>
      </c>
      <c r="L1157" s="1" t="s">
        <v>17</v>
      </c>
      <c r="M1157" s="1" t="s">
        <v>17</v>
      </c>
      <c r="N1157" s="27" t="s">
        <v>605</v>
      </c>
      <c r="O1157" s="1" t="s">
        <v>16</v>
      </c>
    </row>
    <row r="1158" spans="1:15" x14ac:dyDescent="0.2">
      <c r="A1158" s="9">
        <v>44684</v>
      </c>
      <c r="B1158" s="1" t="s">
        <v>22</v>
      </c>
      <c r="C1158" s="1">
        <v>14</v>
      </c>
      <c r="D1158" s="1">
        <v>3</v>
      </c>
      <c r="E1158" s="5">
        <v>45.61</v>
      </c>
      <c r="F1158" s="1" t="s">
        <v>18</v>
      </c>
      <c r="G1158" s="1">
        <v>2</v>
      </c>
      <c r="H1158" s="1" t="s">
        <v>16</v>
      </c>
      <c r="I1158" s="1" t="s">
        <v>16</v>
      </c>
      <c r="J1158" s="1" t="s">
        <v>16</v>
      </c>
      <c r="K1158" s="1" t="s">
        <v>17</v>
      </c>
      <c r="L1158" s="1" t="s">
        <v>17</v>
      </c>
      <c r="M1158" s="1" t="s">
        <v>17</v>
      </c>
      <c r="N1158" s="27" t="s">
        <v>605</v>
      </c>
      <c r="O1158" s="1" t="s">
        <v>16</v>
      </c>
    </row>
    <row r="1159" spans="1:15" x14ac:dyDescent="0.2">
      <c r="A1159" s="9">
        <v>44684</v>
      </c>
      <c r="B1159" s="1" t="s">
        <v>22</v>
      </c>
      <c r="C1159" s="1">
        <v>15</v>
      </c>
      <c r="D1159" s="1">
        <v>3</v>
      </c>
      <c r="E1159" s="5">
        <v>34.590000000000003</v>
      </c>
      <c r="F1159" s="1" t="s">
        <v>19</v>
      </c>
      <c r="G1159" s="1">
        <v>2</v>
      </c>
      <c r="H1159" s="1" t="s">
        <v>16</v>
      </c>
      <c r="I1159" s="1" t="s">
        <v>16</v>
      </c>
      <c r="J1159" s="1" t="s">
        <v>16</v>
      </c>
      <c r="K1159" s="1" t="s">
        <v>17</v>
      </c>
      <c r="L1159" s="1" t="s">
        <v>17</v>
      </c>
      <c r="M1159" s="1" t="s">
        <v>17</v>
      </c>
      <c r="N1159" s="27" t="s">
        <v>605</v>
      </c>
      <c r="O1159" s="1" t="s">
        <v>16</v>
      </c>
    </row>
    <row r="1160" spans="1:15" x14ac:dyDescent="0.2">
      <c r="A1160" s="9">
        <v>44720</v>
      </c>
      <c r="B1160" s="1" t="s">
        <v>22</v>
      </c>
      <c r="C1160" s="1">
        <v>1</v>
      </c>
      <c r="D1160" s="1">
        <v>1</v>
      </c>
      <c r="E1160" s="5">
        <v>37.9</v>
      </c>
      <c r="F1160" s="1" t="s">
        <v>18</v>
      </c>
      <c r="G1160" s="1">
        <v>2</v>
      </c>
      <c r="H1160" s="1" t="s">
        <v>16</v>
      </c>
      <c r="I1160" s="1" t="s">
        <v>16</v>
      </c>
      <c r="J1160" s="1" t="s">
        <v>16</v>
      </c>
      <c r="K1160" s="1" t="s">
        <v>17</v>
      </c>
      <c r="L1160" s="1" t="s">
        <v>17</v>
      </c>
      <c r="M1160" s="1" t="s">
        <v>17</v>
      </c>
      <c r="N1160" s="27" t="s">
        <v>605</v>
      </c>
      <c r="O1160" s="1" t="s">
        <v>16</v>
      </c>
    </row>
    <row r="1161" spans="1:15" x14ac:dyDescent="0.2">
      <c r="A1161" s="9">
        <v>44720</v>
      </c>
      <c r="B1161" s="1" t="s">
        <v>22</v>
      </c>
      <c r="C1161" s="1">
        <v>2</v>
      </c>
      <c r="D1161" s="1">
        <v>1</v>
      </c>
      <c r="E1161" s="5">
        <v>49.14</v>
      </c>
      <c r="F1161" s="1" t="s">
        <v>19</v>
      </c>
      <c r="G1161" s="1">
        <v>2</v>
      </c>
      <c r="H1161" s="1" t="s">
        <v>16</v>
      </c>
      <c r="I1161" s="1" t="s">
        <v>16</v>
      </c>
      <c r="J1161" s="1" t="s">
        <v>16</v>
      </c>
      <c r="K1161" s="1" t="s">
        <v>17</v>
      </c>
      <c r="L1161" s="1" t="s">
        <v>17</v>
      </c>
      <c r="M1161" s="1" t="s">
        <v>17</v>
      </c>
      <c r="N1161" s="27" t="s">
        <v>605</v>
      </c>
      <c r="O1161" s="1" t="s">
        <v>16</v>
      </c>
    </row>
    <row r="1162" spans="1:15" x14ac:dyDescent="0.2">
      <c r="A1162" s="9">
        <v>44720</v>
      </c>
      <c r="B1162" s="1" t="s">
        <v>22</v>
      </c>
      <c r="C1162" s="1">
        <v>3</v>
      </c>
      <c r="D1162" s="1">
        <v>1</v>
      </c>
      <c r="E1162" s="5">
        <v>49.65</v>
      </c>
      <c r="F1162" s="1" t="s">
        <v>19</v>
      </c>
      <c r="G1162" s="1">
        <v>2</v>
      </c>
      <c r="H1162" s="1" t="s">
        <v>16</v>
      </c>
      <c r="I1162" s="1" t="s">
        <v>16</v>
      </c>
      <c r="J1162" s="1" t="s">
        <v>16</v>
      </c>
      <c r="K1162" s="1" t="s">
        <v>17</v>
      </c>
      <c r="L1162" s="1" t="s">
        <v>17</v>
      </c>
      <c r="M1162" s="1" t="s">
        <v>17</v>
      </c>
      <c r="N1162" s="27" t="s">
        <v>605</v>
      </c>
      <c r="O1162" s="1" t="s">
        <v>16</v>
      </c>
    </row>
    <row r="1163" spans="1:15" x14ac:dyDescent="0.2">
      <c r="A1163" s="9">
        <v>44720</v>
      </c>
      <c r="B1163" s="1" t="s">
        <v>22</v>
      </c>
      <c r="C1163" s="1">
        <v>4</v>
      </c>
      <c r="D1163" s="1">
        <v>1</v>
      </c>
      <c r="E1163" s="5">
        <v>53.32</v>
      </c>
      <c r="F1163" s="1" t="s">
        <v>18</v>
      </c>
      <c r="G1163" s="1">
        <v>2</v>
      </c>
      <c r="H1163" s="1" t="s">
        <v>16</v>
      </c>
      <c r="I1163" s="1" t="s">
        <v>16</v>
      </c>
      <c r="J1163" s="1" t="s">
        <v>16</v>
      </c>
      <c r="K1163" s="1" t="s">
        <v>17</v>
      </c>
      <c r="L1163" s="1" t="s">
        <v>17</v>
      </c>
      <c r="M1163" s="1" t="s">
        <v>17</v>
      </c>
      <c r="N1163" s="27" t="s">
        <v>605</v>
      </c>
      <c r="O1163" s="1" t="s">
        <v>16</v>
      </c>
    </row>
    <row r="1164" spans="1:15" x14ac:dyDescent="0.2">
      <c r="A1164" s="9">
        <v>44720</v>
      </c>
      <c r="B1164" s="1" t="s">
        <v>22</v>
      </c>
      <c r="C1164" s="1">
        <v>5</v>
      </c>
      <c r="D1164" s="1">
        <v>1</v>
      </c>
      <c r="E1164" s="5">
        <v>49.99</v>
      </c>
      <c r="F1164" s="1" t="s">
        <v>18</v>
      </c>
      <c r="G1164" s="1">
        <v>2</v>
      </c>
      <c r="H1164" s="1" t="s">
        <v>16</v>
      </c>
      <c r="I1164" s="1" t="s">
        <v>16</v>
      </c>
      <c r="J1164" s="1" t="s">
        <v>16</v>
      </c>
      <c r="K1164" s="1" t="s">
        <v>17</v>
      </c>
      <c r="L1164" s="1" t="s">
        <v>17</v>
      </c>
      <c r="M1164" s="1" t="s">
        <v>17</v>
      </c>
      <c r="N1164" s="27" t="s">
        <v>605</v>
      </c>
      <c r="O1164" s="1" t="s">
        <v>16</v>
      </c>
    </row>
    <row r="1165" spans="1:15" x14ac:dyDescent="0.2">
      <c r="A1165" s="9">
        <v>44720</v>
      </c>
      <c r="B1165" s="1" t="s">
        <v>22</v>
      </c>
      <c r="C1165" s="1">
        <v>6</v>
      </c>
      <c r="D1165" s="1">
        <v>2</v>
      </c>
      <c r="E1165" s="5">
        <v>67.88</v>
      </c>
      <c r="F1165" s="1" t="s">
        <v>16</v>
      </c>
      <c r="G1165" s="1" t="s">
        <v>16</v>
      </c>
      <c r="H1165" s="1" t="s">
        <v>16</v>
      </c>
      <c r="I1165" s="1" t="s">
        <v>16</v>
      </c>
      <c r="J1165" s="1" t="s">
        <v>16</v>
      </c>
      <c r="K1165" s="1" t="s">
        <v>17</v>
      </c>
      <c r="L1165" s="1" t="s">
        <v>17</v>
      </c>
      <c r="M1165" s="1" t="s">
        <v>21</v>
      </c>
      <c r="N1165" s="27" t="s">
        <v>605</v>
      </c>
      <c r="O1165" s="1" t="s">
        <v>16</v>
      </c>
    </row>
    <row r="1166" spans="1:15" x14ac:dyDescent="0.2">
      <c r="A1166" s="9">
        <v>44720</v>
      </c>
      <c r="B1166" s="1" t="s">
        <v>22</v>
      </c>
      <c r="C1166" s="1">
        <v>7</v>
      </c>
      <c r="D1166" s="1">
        <v>2</v>
      </c>
      <c r="E1166" s="5">
        <v>54.65</v>
      </c>
      <c r="F1166" s="1" t="s">
        <v>19</v>
      </c>
      <c r="G1166" s="1">
        <v>2</v>
      </c>
      <c r="H1166" s="1" t="s">
        <v>16</v>
      </c>
      <c r="I1166" s="1" t="s">
        <v>16</v>
      </c>
      <c r="J1166" s="1" t="s">
        <v>16</v>
      </c>
      <c r="K1166" s="1" t="s">
        <v>17</v>
      </c>
      <c r="L1166" s="1" t="s">
        <v>17</v>
      </c>
      <c r="M1166" s="1" t="s">
        <v>17</v>
      </c>
      <c r="N1166" s="27" t="s">
        <v>605</v>
      </c>
      <c r="O1166" s="1" t="s">
        <v>16</v>
      </c>
    </row>
    <row r="1167" spans="1:15" x14ac:dyDescent="0.2">
      <c r="A1167" s="9">
        <v>44720</v>
      </c>
      <c r="B1167" s="1" t="s">
        <v>22</v>
      </c>
      <c r="C1167" s="1">
        <v>8</v>
      </c>
      <c r="D1167" s="1">
        <v>2</v>
      </c>
      <c r="E1167" s="5">
        <v>48.38</v>
      </c>
      <c r="F1167" s="1" t="s">
        <v>18</v>
      </c>
      <c r="G1167" s="1">
        <v>2</v>
      </c>
      <c r="H1167" s="1" t="s">
        <v>16</v>
      </c>
      <c r="I1167" s="1" t="s">
        <v>16</v>
      </c>
      <c r="J1167" s="1" t="s">
        <v>16</v>
      </c>
      <c r="K1167" s="1" t="s">
        <v>17</v>
      </c>
      <c r="L1167" s="1" t="s">
        <v>17</v>
      </c>
      <c r="M1167" s="1" t="s">
        <v>17</v>
      </c>
      <c r="N1167" s="27" t="s">
        <v>605</v>
      </c>
      <c r="O1167" s="1" t="s">
        <v>16</v>
      </c>
    </row>
    <row r="1168" spans="1:15" x14ac:dyDescent="0.2">
      <c r="A1168" s="9">
        <v>44720</v>
      </c>
      <c r="B1168" s="1" t="s">
        <v>22</v>
      </c>
      <c r="C1168" s="1">
        <v>9</v>
      </c>
      <c r="D1168" s="1">
        <v>2</v>
      </c>
      <c r="E1168" s="5">
        <v>49.11</v>
      </c>
      <c r="F1168" s="1" t="s">
        <v>18</v>
      </c>
      <c r="G1168" s="1">
        <v>2</v>
      </c>
      <c r="H1168" s="1" t="s">
        <v>16</v>
      </c>
      <c r="I1168" s="1" t="s">
        <v>16</v>
      </c>
      <c r="J1168" s="1" t="s">
        <v>16</v>
      </c>
      <c r="K1168" s="1" t="s">
        <v>17</v>
      </c>
      <c r="L1168" s="1" t="s">
        <v>17</v>
      </c>
      <c r="M1168" s="1" t="s">
        <v>17</v>
      </c>
      <c r="N1168" s="27" t="s">
        <v>605</v>
      </c>
      <c r="O1168" s="1" t="s">
        <v>16</v>
      </c>
    </row>
    <row r="1169" spans="1:15" x14ac:dyDescent="0.2">
      <c r="A1169" s="9">
        <v>44720</v>
      </c>
      <c r="B1169" s="1" t="s">
        <v>22</v>
      </c>
      <c r="C1169" s="1">
        <v>10</v>
      </c>
      <c r="D1169" s="1">
        <v>2</v>
      </c>
      <c r="E1169" s="5">
        <v>46.25</v>
      </c>
      <c r="F1169" s="1" t="s">
        <v>19</v>
      </c>
      <c r="G1169" s="1">
        <v>2</v>
      </c>
      <c r="H1169" s="1" t="s">
        <v>16</v>
      </c>
      <c r="I1169" s="1" t="s">
        <v>16</v>
      </c>
      <c r="J1169" s="1" t="s">
        <v>16</v>
      </c>
      <c r="K1169" s="1" t="s">
        <v>17</v>
      </c>
      <c r="L1169" s="1" t="s">
        <v>17</v>
      </c>
      <c r="M1169" s="1" t="s">
        <v>17</v>
      </c>
      <c r="N1169" s="27" t="s">
        <v>605</v>
      </c>
      <c r="O1169" s="1" t="s">
        <v>16</v>
      </c>
    </row>
    <row r="1170" spans="1:15" x14ac:dyDescent="0.2">
      <c r="A1170" s="9">
        <v>44720</v>
      </c>
      <c r="B1170" s="1" t="s">
        <v>22</v>
      </c>
      <c r="C1170" s="1">
        <v>11</v>
      </c>
      <c r="D1170" s="1">
        <v>3</v>
      </c>
      <c r="E1170" s="5">
        <v>57.44</v>
      </c>
      <c r="F1170" s="1" t="s">
        <v>18</v>
      </c>
      <c r="G1170" s="1">
        <v>2</v>
      </c>
      <c r="H1170" s="1" t="s">
        <v>16</v>
      </c>
      <c r="I1170" s="1" t="s">
        <v>16</v>
      </c>
      <c r="J1170" s="1" t="s">
        <v>16</v>
      </c>
      <c r="K1170" s="1" t="s">
        <v>21</v>
      </c>
      <c r="L1170" s="1" t="s">
        <v>17</v>
      </c>
      <c r="M1170" s="1" t="s">
        <v>17</v>
      </c>
      <c r="N1170" s="27" t="s">
        <v>605</v>
      </c>
      <c r="O1170" s="1" t="s">
        <v>16</v>
      </c>
    </row>
    <row r="1171" spans="1:15" x14ac:dyDescent="0.2">
      <c r="A1171" s="9">
        <v>44720</v>
      </c>
      <c r="B1171" s="1" t="s">
        <v>22</v>
      </c>
      <c r="C1171" s="1">
        <v>12</v>
      </c>
      <c r="D1171" s="1">
        <v>3</v>
      </c>
      <c r="E1171" s="5">
        <v>48.13</v>
      </c>
      <c r="F1171" s="1" t="s">
        <v>18</v>
      </c>
      <c r="G1171" s="1">
        <v>2</v>
      </c>
      <c r="H1171" s="1" t="s">
        <v>16</v>
      </c>
      <c r="I1171" s="1" t="s">
        <v>16</v>
      </c>
      <c r="J1171" s="1" t="s">
        <v>16</v>
      </c>
      <c r="K1171" s="1" t="s">
        <v>17</v>
      </c>
      <c r="L1171" s="1" t="s">
        <v>17</v>
      </c>
      <c r="M1171" s="1" t="s">
        <v>17</v>
      </c>
      <c r="N1171" s="27" t="s">
        <v>605</v>
      </c>
      <c r="O1171" s="1" t="s">
        <v>16</v>
      </c>
    </row>
    <row r="1172" spans="1:15" x14ac:dyDescent="0.2">
      <c r="A1172" s="9">
        <v>44720</v>
      </c>
      <c r="B1172" s="1" t="s">
        <v>22</v>
      </c>
      <c r="C1172" s="1">
        <v>13</v>
      </c>
      <c r="D1172" s="1">
        <v>3</v>
      </c>
      <c r="E1172" s="5">
        <v>50.49</v>
      </c>
      <c r="F1172" s="1" t="s">
        <v>18</v>
      </c>
      <c r="G1172" s="1">
        <v>2</v>
      </c>
      <c r="H1172" s="1" t="s">
        <v>16</v>
      </c>
      <c r="I1172" s="1" t="s">
        <v>16</v>
      </c>
      <c r="J1172" s="1" t="s">
        <v>16</v>
      </c>
      <c r="K1172" s="1" t="s">
        <v>21</v>
      </c>
      <c r="L1172" s="1" t="s">
        <v>17</v>
      </c>
      <c r="M1172" s="1" t="s">
        <v>17</v>
      </c>
      <c r="N1172" s="27" t="s">
        <v>605</v>
      </c>
      <c r="O1172" s="1" t="s">
        <v>16</v>
      </c>
    </row>
    <row r="1173" spans="1:15" x14ac:dyDescent="0.2">
      <c r="A1173" s="9">
        <v>44720</v>
      </c>
      <c r="B1173" s="1" t="s">
        <v>22</v>
      </c>
      <c r="C1173" s="1">
        <v>14</v>
      </c>
      <c r="D1173" s="1">
        <v>3</v>
      </c>
      <c r="E1173" s="5">
        <v>39.64</v>
      </c>
      <c r="F1173" s="1" t="s">
        <v>18</v>
      </c>
      <c r="G1173" s="1">
        <v>2</v>
      </c>
      <c r="H1173" s="1" t="s">
        <v>16</v>
      </c>
      <c r="I1173" s="1" t="s">
        <v>16</v>
      </c>
      <c r="J1173" s="1" t="s">
        <v>16</v>
      </c>
      <c r="K1173" s="1" t="s">
        <v>17</v>
      </c>
      <c r="L1173" s="1" t="s">
        <v>17</v>
      </c>
      <c r="M1173" s="1" t="s">
        <v>17</v>
      </c>
      <c r="N1173" s="27" t="s">
        <v>605</v>
      </c>
      <c r="O1173" s="1" t="s">
        <v>16</v>
      </c>
    </row>
    <row r="1174" spans="1:15" x14ac:dyDescent="0.2">
      <c r="A1174" s="9">
        <v>44720</v>
      </c>
      <c r="B1174" s="1" t="s">
        <v>22</v>
      </c>
      <c r="C1174" s="1">
        <v>15</v>
      </c>
      <c r="D1174" s="1">
        <v>3</v>
      </c>
      <c r="E1174" s="5">
        <v>52.43</v>
      </c>
      <c r="F1174" s="1" t="s">
        <v>18</v>
      </c>
      <c r="G1174" s="1">
        <v>2</v>
      </c>
      <c r="H1174" s="1" t="s">
        <v>16</v>
      </c>
      <c r="I1174" s="1" t="s">
        <v>16</v>
      </c>
      <c r="J1174" s="1" t="s">
        <v>16</v>
      </c>
      <c r="K1174" s="1" t="s">
        <v>17</v>
      </c>
      <c r="L1174" s="1" t="s">
        <v>17</v>
      </c>
      <c r="M1174" s="1" t="s">
        <v>17</v>
      </c>
      <c r="N1174" s="27" t="s">
        <v>605</v>
      </c>
      <c r="O1174" s="1" t="s">
        <v>16</v>
      </c>
    </row>
    <row r="1175" spans="1:15" x14ac:dyDescent="0.2">
      <c r="A1175" s="9">
        <v>44747</v>
      </c>
      <c r="B1175" s="1" t="s">
        <v>22</v>
      </c>
      <c r="C1175" s="1">
        <v>1</v>
      </c>
      <c r="D1175" s="1">
        <v>1</v>
      </c>
      <c r="E1175" s="5">
        <v>54.46</v>
      </c>
      <c r="F1175" s="1" t="s">
        <v>18</v>
      </c>
      <c r="G1175" s="1">
        <v>2</v>
      </c>
      <c r="H1175" s="1" t="s">
        <v>16</v>
      </c>
      <c r="I1175" s="1" t="s">
        <v>16</v>
      </c>
      <c r="J1175" s="1" t="s">
        <v>16</v>
      </c>
      <c r="K1175" s="1" t="s">
        <v>17</v>
      </c>
      <c r="L1175" s="1" t="s">
        <v>17</v>
      </c>
      <c r="M1175" s="1" t="s">
        <v>17</v>
      </c>
      <c r="N1175" s="27" t="s">
        <v>605</v>
      </c>
      <c r="O1175" s="1" t="s">
        <v>16</v>
      </c>
    </row>
    <row r="1176" spans="1:15" x14ac:dyDescent="0.2">
      <c r="A1176" s="9">
        <v>44747</v>
      </c>
      <c r="B1176" s="1" t="s">
        <v>22</v>
      </c>
      <c r="C1176" s="1">
        <v>2</v>
      </c>
      <c r="D1176" s="1">
        <v>1</v>
      </c>
      <c r="E1176" s="5">
        <v>51.25</v>
      </c>
      <c r="F1176" s="1" t="s">
        <v>18</v>
      </c>
      <c r="G1176" s="1">
        <v>2</v>
      </c>
      <c r="H1176" s="1" t="s">
        <v>16</v>
      </c>
      <c r="I1176" s="1" t="s">
        <v>16</v>
      </c>
      <c r="J1176" s="1" t="s">
        <v>16</v>
      </c>
      <c r="K1176" s="1" t="s">
        <v>17</v>
      </c>
      <c r="L1176" s="1" t="s">
        <v>17</v>
      </c>
      <c r="M1176" s="1" t="s">
        <v>17</v>
      </c>
      <c r="N1176" s="27" t="s">
        <v>605</v>
      </c>
      <c r="O1176" s="1" t="s">
        <v>16</v>
      </c>
    </row>
    <row r="1177" spans="1:15" x14ac:dyDescent="0.2">
      <c r="A1177" s="9">
        <v>44747</v>
      </c>
      <c r="B1177" s="1" t="s">
        <v>22</v>
      </c>
      <c r="C1177" s="1">
        <v>3</v>
      </c>
      <c r="D1177" s="1">
        <v>1</v>
      </c>
      <c r="E1177" s="5">
        <v>53.32</v>
      </c>
      <c r="F1177" s="1" t="s">
        <v>18</v>
      </c>
      <c r="G1177" s="1">
        <v>2</v>
      </c>
      <c r="H1177" s="1" t="s">
        <v>16</v>
      </c>
      <c r="I1177" s="1" t="s">
        <v>16</v>
      </c>
      <c r="J1177" s="1" t="s">
        <v>16</v>
      </c>
      <c r="K1177" s="1" t="s">
        <v>21</v>
      </c>
      <c r="L1177" s="1" t="s">
        <v>17</v>
      </c>
      <c r="M1177" s="1" t="s">
        <v>17</v>
      </c>
      <c r="N1177" s="27" t="s">
        <v>605</v>
      </c>
      <c r="O1177" s="1" t="s">
        <v>16</v>
      </c>
    </row>
    <row r="1178" spans="1:15" x14ac:dyDescent="0.2">
      <c r="A1178" s="9">
        <v>44747</v>
      </c>
      <c r="B1178" s="1" t="s">
        <v>22</v>
      </c>
      <c r="C1178" s="1">
        <v>4</v>
      </c>
      <c r="D1178" s="1">
        <v>1</v>
      </c>
      <c r="E1178" s="5">
        <v>38.200000000000003</v>
      </c>
      <c r="F1178" s="1" t="s">
        <v>18</v>
      </c>
      <c r="G1178" s="1">
        <v>2</v>
      </c>
      <c r="H1178" s="1" t="s">
        <v>16</v>
      </c>
      <c r="I1178" s="1" t="s">
        <v>16</v>
      </c>
      <c r="J1178" s="1" t="s">
        <v>16</v>
      </c>
      <c r="K1178" s="1" t="s">
        <v>17</v>
      </c>
      <c r="L1178" s="1" t="s">
        <v>17</v>
      </c>
      <c r="M1178" s="1" t="s">
        <v>17</v>
      </c>
      <c r="N1178" s="27" t="s">
        <v>605</v>
      </c>
      <c r="O1178" s="1" t="s">
        <v>16</v>
      </c>
    </row>
    <row r="1179" spans="1:15" x14ac:dyDescent="0.2">
      <c r="A1179" s="9">
        <v>44747</v>
      </c>
      <c r="B1179" s="1" t="s">
        <v>22</v>
      </c>
      <c r="C1179" s="1">
        <v>5</v>
      </c>
      <c r="D1179" s="1">
        <v>1</v>
      </c>
      <c r="E1179" s="5">
        <v>54.21</v>
      </c>
      <c r="F1179" s="1" t="s">
        <v>18</v>
      </c>
      <c r="G1179" s="1">
        <v>2</v>
      </c>
      <c r="H1179" s="1" t="s">
        <v>16</v>
      </c>
      <c r="I1179" s="1" t="s">
        <v>16</v>
      </c>
      <c r="J1179" s="1" t="s">
        <v>16</v>
      </c>
      <c r="K1179" s="1" t="s">
        <v>17</v>
      </c>
      <c r="L1179" s="1" t="s">
        <v>17</v>
      </c>
      <c r="M1179" s="1" t="s">
        <v>17</v>
      </c>
      <c r="N1179" s="27" t="s">
        <v>605</v>
      </c>
      <c r="O1179" s="1" t="s">
        <v>16</v>
      </c>
    </row>
    <row r="1180" spans="1:15" x14ac:dyDescent="0.2">
      <c r="A1180" s="9">
        <v>44747</v>
      </c>
      <c r="B1180" s="1" t="s">
        <v>22</v>
      </c>
      <c r="C1180" s="1">
        <v>6</v>
      </c>
      <c r="D1180" s="1">
        <v>2</v>
      </c>
      <c r="E1180" s="5">
        <v>68.260000000000005</v>
      </c>
      <c r="F1180" s="1" t="s">
        <v>18</v>
      </c>
      <c r="G1180" s="1">
        <v>2</v>
      </c>
      <c r="H1180" s="1" t="s">
        <v>16</v>
      </c>
      <c r="I1180" s="1" t="s">
        <v>16</v>
      </c>
      <c r="J1180" s="1" t="s">
        <v>16</v>
      </c>
      <c r="K1180" s="1" t="s">
        <v>17</v>
      </c>
      <c r="L1180" s="1" t="s">
        <v>17</v>
      </c>
      <c r="M1180" s="1" t="s">
        <v>17</v>
      </c>
      <c r="N1180" s="27" t="s">
        <v>605</v>
      </c>
      <c r="O1180" s="1" t="s">
        <v>16</v>
      </c>
    </row>
    <row r="1181" spans="1:15" x14ac:dyDescent="0.2">
      <c r="A1181" s="9">
        <v>44747</v>
      </c>
      <c r="B1181" s="1" t="s">
        <v>22</v>
      </c>
      <c r="C1181" s="1">
        <v>7</v>
      </c>
      <c r="D1181" s="1">
        <v>2</v>
      </c>
      <c r="E1181" s="5">
        <v>41.91</v>
      </c>
      <c r="F1181" s="1" t="s">
        <v>18</v>
      </c>
      <c r="G1181" s="1">
        <v>2</v>
      </c>
      <c r="H1181" s="1" t="s">
        <v>16</v>
      </c>
      <c r="I1181" s="1" t="s">
        <v>16</v>
      </c>
      <c r="J1181" s="1" t="s">
        <v>16</v>
      </c>
      <c r="K1181" s="1" t="s">
        <v>20</v>
      </c>
      <c r="L1181" s="1" t="s">
        <v>17</v>
      </c>
      <c r="M1181" s="1" t="s">
        <v>17</v>
      </c>
      <c r="N1181" s="27" t="s">
        <v>605</v>
      </c>
      <c r="O1181" s="1" t="s">
        <v>16</v>
      </c>
    </row>
    <row r="1182" spans="1:15" x14ac:dyDescent="0.2">
      <c r="A1182" s="9">
        <v>44747</v>
      </c>
      <c r="B1182" s="1" t="s">
        <v>22</v>
      </c>
      <c r="C1182" s="1">
        <v>8</v>
      </c>
      <c r="D1182" s="1">
        <v>2</v>
      </c>
      <c r="E1182" s="5">
        <v>60.38</v>
      </c>
      <c r="F1182" s="1" t="s">
        <v>19</v>
      </c>
      <c r="G1182" s="1">
        <v>2</v>
      </c>
      <c r="H1182" s="1" t="s">
        <v>16</v>
      </c>
      <c r="I1182" s="1" t="s">
        <v>16</v>
      </c>
      <c r="J1182" s="1" t="s">
        <v>16</v>
      </c>
      <c r="K1182" s="1" t="s">
        <v>17</v>
      </c>
      <c r="L1182" s="1" t="s">
        <v>17</v>
      </c>
      <c r="M1182" s="1" t="s">
        <v>17</v>
      </c>
      <c r="N1182" s="27" t="s">
        <v>605</v>
      </c>
      <c r="O1182" s="1" t="s">
        <v>16</v>
      </c>
    </row>
    <row r="1183" spans="1:15" x14ac:dyDescent="0.2">
      <c r="A1183" s="9">
        <v>44747</v>
      </c>
      <c r="B1183" s="1" t="s">
        <v>22</v>
      </c>
      <c r="C1183" s="1">
        <v>9</v>
      </c>
      <c r="D1183" s="1">
        <v>2</v>
      </c>
      <c r="E1183" s="5">
        <v>42.37</v>
      </c>
      <c r="F1183" s="1" t="s">
        <v>16</v>
      </c>
      <c r="G1183" s="1" t="s">
        <v>16</v>
      </c>
      <c r="H1183" s="1" t="s">
        <v>16</v>
      </c>
      <c r="I1183" s="1" t="s">
        <v>16</v>
      </c>
      <c r="J1183" s="1" t="s">
        <v>16</v>
      </c>
      <c r="K1183" s="1" t="s">
        <v>17</v>
      </c>
      <c r="L1183" s="1" t="s">
        <v>21</v>
      </c>
      <c r="M1183" s="1" t="s">
        <v>17</v>
      </c>
      <c r="N1183" s="27" t="s">
        <v>605</v>
      </c>
      <c r="O1183" s="1" t="s">
        <v>16</v>
      </c>
    </row>
    <row r="1184" spans="1:15" x14ac:dyDescent="0.2">
      <c r="A1184" s="9">
        <v>44747</v>
      </c>
      <c r="B1184" s="1" t="s">
        <v>22</v>
      </c>
      <c r="C1184" s="1">
        <v>10</v>
      </c>
      <c r="D1184" s="1">
        <v>2</v>
      </c>
      <c r="E1184" s="5">
        <v>36.42</v>
      </c>
      <c r="F1184" s="1" t="s">
        <v>18</v>
      </c>
      <c r="G1184" s="1">
        <v>2</v>
      </c>
      <c r="H1184" s="1" t="s">
        <v>16</v>
      </c>
      <c r="I1184" s="1" t="s">
        <v>16</v>
      </c>
      <c r="J1184" s="1" t="s">
        <v>16</v>
      </c>
      <c r="K1184" s="1" t="s">
        <v>21</v>
      </c>
      <c r="L1184" s="1" t="s">
        <v>17</v>
      </c>
      <c r="M1184" s="1" t="s">
        <v>17</v>
      </c>
      <c r="N1184" s="27" t="s">
        <v>605</v>
      </c>
      <c r="O1184" s="1" t="s">
        <v>16</v>
      </c>
    </row>
    <row r="1185" spans="1:15" x14ac:dyDescent="0.2">
      <c r="A1185" s="9">
        <v>44747</v>
      </c>
      <c r="B1185" s="1" t="s">
        <v>22</v>
      </c>
      <c r="C1185" s="1">
        <v>11</v>
      </c>
      <c r="D1185" s="1">
        <v>3</v>
      </c>
      <c r="E1185" s="5">
        <v>55.95</v>
      </c>
      <c r="F1185" s="1" t="s">
        <v>18</v>
      </c>
      <c r="G1185" s="1">
        <v>2</v>
      </c>
      <c r="H1185" s="1" t="s">
        <v>16</v>
      </c>
      <c r="I1185" s="1" t="s">
        <v>16</v>
      </c>
      <c r="J1185" s="1" t="s">
        <v>16</v>
      </c>
      <c r="K1185" s="1" t="s">
        <v>17</v>
      </c>
      <c r="L1185" s="1" t="s">
        <v>17</v>
      </c>
      <c r="M1185" s="1" t="s">
        <v>17</v>
      </c>
      <c r="N1185" s="27" t="s">
        <v>605</v>
      </c>
      <c r="O1185" s="1" t="s">
        <v>16</v>
      </c>
    </row>
    <row r="1186" spans="1:15" x14ac:dyDescent="0.2">
      <c r="A1186" s="9">
        <v>44747</v>
      </c>
      <c r="B1186" s="1" t="s">
        <v>22</v>
      </c>
      <c r="C1186" s="1">
        <v>12</v>
      </c>
      <c r="D1186" s="1">
        <v>3</v>
      </c>
      <c r="E1186" s="5">
        <v>48.28</v>
      </c>
      <c r="F1186" s="1" t="s">
        <v>18</v>
      </c>
      <c r="G1186" s="1">
        <v>2</v>
      </c>
      <c r="H1186" s="1" t="s">
        <v>16</v>
      </c>
      <c r="I1186" s="1" t="s">
        <v>16</v>
      </c>
      <c r="J1186" s="1" t="s">
        <v>16</v>
      </c>
      <c r="K1186" s="1" t="s">
        <v>17</v>
      </c>
      <c r="L1186" s="1" t="s">
        <v>17</v>
      </c>
      <c r="M1186" s="1" t="s">
        <v>17</v>
      </c>
      <c r="N1186" s="27" t="s">
        <v>605</v>
      </c>
      <c r="O1186" s="1" t="s">
        <v>16</v>
      </c>
    </row>
    <row r="1187" spans="1:15" x14ac:dyDescent="0.2">
      <c r="A1187" s="9">
        <v>44747</v>
      </c>
      <c r="B1187" s="1" t="s">
        <v>22</v>
      </c>
      <c r="C1187" s="1">
        <v>13</v>
      </c>
      <c r="D1187" s="1">
        <v>3</v>
      </c>
      <c r="E1187" s="5">
        <v>39.44</v>
      </c>
      <c r="F1187" s="1" t="s">
        <v>18</v>
      </c>
      <c r="G1187" s="1">
        <v>2</v>
      </c>
      <c r="H1187" s="1" t="s">
        <v>16</v>
      </c>
      <c r="I1187" s="1" t="s">
        <v>16</v>
      </c>
      <c r="J1187" s="1" t="s">
        <v>16</v>
      </c>
      <c r="K1187" s="1" t="s">
        <v>17</v>
      </c>
      <c r="L1187" s="1" t="s">
        <v>17</v>
      </c>
      <c r="M1187" s="1" t="s">
        <v>17</v>
      </c>
      <c r="N1187" s="27" t="s">
        <v>605</v>
      </c>
      <c r="O1187" s="1" t="s">
        <v>16</v>
      </c>
    </row>
    <row r="1188" spans="1:15" x14ac:dyDescent="0.2">
      <c r="A1188" s="9">
        <v>44747</v>
      </c>
      <c r="B1188" s="1" t="s">
        <v>22</v>
      </c>
      <c r="C1188" s="1">
        <v>14</v>
      </c>
      <c r="D1188" s="1">
        <v>3</v>
      </c>
      <c r="E1188" s="5">
        <v>52.28</v>
      </c>
      <c r="F1188" s="1" t="s">
        <v>18</v>
      </c>
      <c r="G1188" s="1">
        <v>2</v>
      </c>
      <c r="H1188" s="1" t="s">
        <v>16</v>
      </c>
      <c r="I1188" s="1" t="s">
        <v>16</v>
      </c>
      <c r="J1188" s="1" t="s">
        <v>16</v>
      </c>
      <c r="K1188" s="1" t="s">
        <v>17</v>
      </c>
      <c r="L1188" s="1" t="s">
        <v>17</v>
      </c>
      <c r="M1188" s="1" t="s">
        <v>17</v>
      </c>
      <c r="N1188" s="27" t="s">
        <v>605</v>
      </c>
      <c r="O1188" s="1" t="s">
        <v>16</v>
      </c>
    </row>
    <row r="1189" spans="1:15" x14ac:dyDescent="0.2">
      <c r="A1189" s="9">
        <v>44747</v>
      </c>
      <c r="B1189" s="1" t="s">
        <v>22</v>
      </c>
      <c r="C1189" s="1">
        <v>15</v>
      </c>
      <c r="D1189" s="1">
        <v>3</v>
      </c>
      <c r="E1189" s="5">
        <v>43.14</v>
      </c>
      <c r="F1189" s="1" t="s">
        <v>19</v>
      </c>
      <c r="G1189" s="1">
        <v>2</v>
      </c>
      <c r="H1189" s="1" t="s">
        <v>16</v>
      </c>
      <c r="I1189" s="1" t="s">
        <v>16</v>
      </c>
      <c r="J1189" s="1" t="s">
        <v>16</v>
      </c>
      <c r="K1189" s="1" t="s">
        <v>17</v>
      </c>
      <c r="L1189" s="1" t="s">
        <v>17</v>
      </c>
      <c r="M1189" s="1" t="s">
        <v>17</v>
      </c>
      <c r="N1189" s="27" t="s">
        <v>605</v>
      </c>
      <c r="O1189" s="1" t="s">
        <v>16</v>
      </c>
    </row>
    <row r="1190" spans="1:15" x14ac:dyDescent="0.2">
      <c r="A1190" s="9">
        <v>44775</v>
      </c>
      <c r="B1190" s="1" t="s">
        <v>22</v>
      </c>
      <c r="C1190" s="1">
        <v>1</v>
      </c>
      <c r="D1190" s="1">
        <v>1</v>
      </c>
      <c r="E1190" s="5">
        <v>48.19</v>
      </c>
      <c r="F1190" s="1" t="s">
        <v>19</v>
      </c>
      <c r="G1190" s="1">
        <v>2</v>
      </c>
      <c r="H1190" s="1" t="s">
        <v>16</v>
      </c>
      <c r="I1190" s="1" t="s">
        <v>16</v>
      </c>
      <c r="J1190" s="1" t="s">
        <v>16</v>
      </c>
      <c r="K1190" s="1" t="s">
        <v>17</v>
      </c>
      <c r="L1190" s="1" t="s">
        <v>17</v>
      </c>
      <c r="M1190" s="1" t="s">
        <v>17</v>
      </c>
      <c r="N1190" s="27" t="s">
        <v>605</v>
      </c>
      <c r="O1190" s="1" t="s">
        <v>16</v>
      </c>
    </row>
    <row r="1191" spans="1:15" x14ac:dyDescent="0.2">
      <c r="A1191" s="9">
        <v>44775</v>
      </c>
      <c r="B1191" s="1" t="s">
        <v>22</v>
      </c>
      <c r="C1191" s="1">
        <v>2</v>
      </c>
      <c r="D1191" s="1">
        <v>1</v>
      </c>
      <c r="E1191" s="5">
        <v>46.27</v>
      </c>
      <c r="F1191" s="1" t="s">
        <v>18</v>
      </c>
      <c r="G1191" s="1">
        <v>2</v>
      </c>
      <c r="H1191" s="1" t="s">
        <v>16</v>
      </c>
      <c r="I1191" s="1" t="s">
        <v>16</v>
      </c>
      <c r="J1191" s="1" t="s">
        <v>16</v>
      </c>
      <c r="K1191" s="1" t="s">
        <v>21</v>
      </c>
      <c r="L1191" s="1" t="s">
        <v>17</v>
      </c>
      <c r="M1191" s="1" t="s">
        <v>17</v>
      </c>
      <c r="N1191" s="27" t="s">
        <v>605</v>
      </c>
      <c r="O1191" s="1" t="s">
        <v>16</v>
      </c>
    </row>
    <row r="1192" spans="1:15" x14ac:dyDescent="0.2">
      <c r="A1192" s="9">
        <v>44775</v>
      </c>
      <c r="B1192" s="1" t="s">
        <v>22</v>
      </c>
      <c r="C1192" s="1">
        <v>3</v>
      </c>
      <c r="D1192" s="1">
        <v>1</v>
      </c>
      <c r="E1192" s="5">
        <v>20.04</v>
      </c>
      <c r="F1192" s="1" t="s">
        <v>18</v>
      </c>
      <c r="G1192" s="1">
        <v>2</v>
      </c>
      <c r="H1192" s="1" t="s">
        <v>16</v>
      </c>
      <c r="I1192" s="1" t="s">
        <v>16</v>
      </c>
      <c r="J1192" s="1" t="s">
        <v>16</v>
      </c>
      <c r="K1192" s="1" t="s">
        <v>17</v>
      </c>
      <c r="L1192" s="1" t="s">
        <v>17</v>
      </c>
      <c r="M1192" s="1" t="s">
        <v>17</v>
      </c>
      <c r="N1192" s="27" t="s">
        <v>605</v>
      </c>
      <c r="O1192" s="1" t="s">
        <v>16</v>
      </c>
    </row>
    <row r="1193" spans="1:15" x14ac:dyDescent="0.2">
      <c r="A1193" s="9">
        <v>44775</v>
      </c>
      <c r="B1193" s="1" t="s">
        <v>22</v>
      </c>
      <c r="C1193" s="1">
        <v>4</v>
      </c>
      <c r="D1193" s="1">
        <v>1</v>
      </c>
      <c r="E1193" s="5">
        <v>47.31</v>
      </c>
      <c r="F1193" s="1" t="s">
        <v>19</v>
      </c>
      <c r="G1193" s="1">
        <v>2</v>
      </c>
      <c r="H1193" s="1" t="s">
        <v>16</v>
      </c>
      <c r="I1193" s="1" t="s">
        <v>16</v>
      </c>
      <c r="J1193" s="1" t="s">
        <v>16</v>
      </c>
      <c r="K1193" s="1" t="s">
        <v>17</v>
      </c>
      <c r="L1193" s="1" t="s">
        <v>17</v>
      </c>
      <c r="M1193" s="1" t="s">
        <v>17</v>
      </c>
      <c r="N1193" s="27" t="s">
        <v>605</v>
      </c>
      <c r="O1193" s="1" t="s">
        <v>16</v>
      </c>
    </row>
    <row r="1194" spans="1:15" x14ac:dyDescent="0.2">
      <c r="A1194" s="9">
        <v>44775</v>
      </c>
      <c r="B1194" s="1" t="s">
        <v>22</v>
      </c>
      <c r="C1194" s="1">
        <v>5</v>
      </c>
      <c r="D1194" s="1">
        <v>1</v>
      </c>
      <c r="E1194" s="5">
        <v>45.31</v>
      </c>
      <c r="F1194" s="1" t="s">
        <v>18</v>
      </c>
      <c r="G1194" s="1">
        <v>2</v>
      </c>
      <c r="H1194" s="1" t="s">
        <v>16</v>
      </c>
      <c r="I1194" s="1" t="s">
        <v>16</v>
      </c>
      <c r="J1194" s="1" t="s">
        <v>16</v>
      </c>
      <c r="K1194" s="1" t="s">
        <v>17</v>
      </c>
      <c r="L1194" s="1" t="s">
        <v>17</v>
      </c>
      <c r="M1194" s="1" t="s">
        <v>17</v>
      </c>
      <c r="N1194" s="27" t="s">
        <v>605</v>
      </c>
      <c r="O1194" s="1" t="s">
        <v>16</v>
      </c>
    </row>
    <row r="1195" spans="1:15" x14ac:dyDescent="0.2">
      <c r="A1195" s="9">
        <v>44775</v>
      </c>
      <c r="B1195" s="1" t="s">
        <v>22</v>
      </c>
      <c r="C1195" s="1">
        <v>6</v>
      </c>
      <c r="D1195" s="1">
        <v>2</v>
      </c>
      <c r="E1195" s="5">
        <v>48.69</v>
      </c>
      <c r="F1195" s="1" t="s">
        <v>18</v>
      </c>
      <c r="G1195" s="1">
        <v>2</v>
      </c>
      <c r="H1195" s="1" t="s">
        <v>16</v>
      </c>
      <c r="I1195" s="1" t="s">
        <v>16</v>
      </c>
      <c r="J1195" s="1" t="s">
        <v>16</v>
      </c>
      <c r="K1195" s="1" t="s">
        <v>17</v>
      </c>
      <c r="L1195" s="1" t="s">
        <v>17</v>
      </c>
      <c r="M1195" s="1" t="s">
        <v>17</v>
      </c>
      <c r="N1195" s="27" t="s">
        <v>605</v>
      </c>
      <c r="O1195" s="1" t="s">
        <v>16</v>
      </c>
    </row>
    <row r="1196" spans="1:15" x14ac:dyDescent="0.2">
      <c r="A1196" s="9">
        <v>44775</v>
      </c>
      <c r="B1196" s="1" t="s">
        <v>22</v>
      </c>
      <c r="C1196" s="1">
        <v>7</v>
      </c>
      <c r="D1196" s="1">
        <v>2</v>
      </c>
      <c r="E1196" s="5">
        <v>43.95</v>
      </c>
      <c r="F1196" s="1" t="s">
        <v>19</v>
      </c>
      <c r="G1196" s="1">
        <v>2</v>
      </c>
      <c r="H1196" s="1" t="s">
        <v>16</v>
      </c>
      <c r="I1196" s="1" t="s">
        <v>16</v>
      </c>
      <c r="J1196" s="1" t="s">
        <v>16</v>
      </c>
      <c r="K1196" s="1" t="s">
        <v>17</v>
      </c>
      <c r="L1196" s="1" t="s">
        <v>17</v>
      </c>
      <c r="M1196" s="1" t="s">
        <v>17</v>
      </c>
      <c r="N1196" s="27" t="s">
        <v>605</v>
      </c>
      <c r="O1196" s="1" t="s">
        <v>16</v>
      </c>
    </row>
    <row r="1197" spans="1:15" x14ac:dyDescent="0.2">
      <c r="A1197" s="9">
        <v>44775</v>
      </c>
      <c r="B1197" s="1" t="s">
        <v>22</v>
      </c>
      <c r="C1197" s="1">
        <v>8</v>
      </c>
      <c r="D1197" s="1">
        <v>2</v>
      </c>
      <c r="E1197" s="5">
        <v>70.989999999999995</v>
      </c>
      <c r="F1197" s="1" t="s">
        <v>18</v>
      </c>
      <c r="G1197" s="1">
        <v>2</v>
      </c>
      <c r="H1197" s="1" t="s">
        <v>16</v>
      </c>
      <c r="I1197" s="1" t="s">
        <v>16</v>
      </c>
      <c r="J1197" s="1" t="s">
        <v>16</v>
      </c>
      <c r="K1197" s="1" t="s">
        <v>17</v>
      </c>
      <c r="L1197" s="1" t="s">
        <v>17</v>
      </c>
      <c r="M1197" s="1" t="s">
        <v>17</v>
      </c>
      <c r="N1197" s="27" t="s">
        <v>605</v>
      </c>
      <c r="O1197" s="1" t="s">
        <v>16</v>
      </c>
    </row>
    <row r="1198" spans="1:15" x14ac:dyDescent="0.2">
      <c r="A1198" s="9">
        <v>44775</v>
      </c>
      <c r="B1198" s="1" t="s">
        <v>22</v>
      </c>
      <c r="C1198" s="1">
        <v>9</v>
      </c>
      <c r="D1198" s="1">
        <v>2</v>
      </c>
      <c r="E1198" s="5">
        <v>46.99</v>
      </c>
      <c r="F1198" s="1" t="s">
        <v>19</v>
      </c>
      <c r="G1198" s="1">
        <v>2</v>
      </c>
      <c r="H1198" s="1" t="s">
        <v>16</v>
      </c>
      <c r="I1198" s="1" t="s">
        <v>16</v>
      </c>
      <c r="J1198" s="1" t="s">
        <v>16</v>
      </c>
      <c r="K1198" s="1" t="s">
        <v>17</v>
      </c>
      <c r="L1198" s="1" t="s">
        <v>17</v>
      </c>
      <c r="M1198" s="1" t="s">
        <v>17</v>
      </c>
      <c r="N1198" s="27" t="s">
        <v>605</v>
      </c>
      <c r="O1198" s="1" t="s">
        <v>16</v>
      </c>
    </row>
    <row r="1199" spans="1:15" x14ac:dyDescent="0.2">
      <c r="A1199" s="9">
        <v>44775</v>
      </c>
      <c r="B1199" s="1" t="s">
        <v>22</v>
      </c>
      <c r="C1199" s="1">
        <v>10</v>
      </c>
      <c r="D1199" s="1">
        <v>2</v>
      </c>
      <c r="E1199" s="5">
        <v>59.34</v>
      </c>
      <c r="F1199" s="1" t="s">
        <v>19</v>
      </c>
      <c r="G1199" s="1">
        <v>2</v>
      </c>
      <c r="H1199" s="1" t="s">
        <v>16</v>
      </c>
      <c r="I1199" s="1" t="s">
        <v>16</v>
      </c>
      <c r="J1199" s="1" t="s">
        <v>16</v>
      </c>
      <c r="K1199" s="1" t="s">
        <v>17</v>
      </c>
      <c r="L1199" s="1" t="s">
        <v>17</v>
      </c>
      <c r="M1199" s="1" t="s">
        <v>17</v>
      </c>
      <c r="N1199" s="27" t="s">
        <v>605</v>
      </c>
      <c r="O1199" s="1" t="s">
        <v>16</v>
      </c>
    </row>
    <row r="1200" spans="1:15" x14ac:dyDescent="0.2">
      <c r="A1200" s="9">
        <v>44775</v>
      </c>
      <c r="B1200" s="1" t="s">
        <v>22</v>
      </c>
      <c r="C1200" s="1">
        <v>11</v>
      </c>
      <c r="D1200" s="1">
        <v>3</v>
      </c>
      <c r="E1200" s="5">
        <v>46.37</v>
      </c>
      <c r="F1200" s="1" t="s">
        <v>19</v>
      </c>
      <c r="G1200" s="1">
        <v>2</v>
      </c>
      <c r="H1200" s="1" t="s">
        <v>16</v>
      </c>
      <c r="I1200" s="1" t="s">
        <v>16</v>
      </c>
      <c r="J1200" s="1" t="s">
        <v>16</v>
      </c>
      <c r="K1200" s="1" t="s">
        <v>17</v>
      </c>
      <c r="L1200" s="1" t="s">
        <v>17</v>
      </c>
      <c r="M1200" s="1" t="s">
        <v>17</v>
      </c>
      <c r="N1200" s="27" t="s">
        <v>605</v>
      </c>
      <c r="O1200" s="1" t="s">
        <v>16</v>
      </c>
    </row>
    <row r="1201" spans="1:15" x14ac:dyDescent="0.2">
      <c r="A1201" s="9">
        <v>44775</v>
      </c>
      <c r="B1201" s="1" t="s">
        <v>22</v>
      </c>
      <c r="C1201" s="1">
        <v>12</v>
      </c>
      <c r="D1201" s="1">
        <v>3</v>
      </c>
      <c r="E1201" s="5">
        <v>66.16</v>
      </c>
      <c r="F1201" s="1" t="s">
        <v>18</v>
      </c>
      <c r="G1201" s="1">
        <v>2</v>
      </c>
      <c r="H1201" s="1" t="s">
        <v>16</v>
      </c>
      <c r="I1201" s="1" t="s">
        <v>16</v>
      </c>
      <c r="J1201" s="1" t="s">
        <v>16</v>
      </c>
      <c r="K1201" s="1" t="s">
        <v>17</v>
      </c>
      <c r="L1201" s="1" t="s">
        <v>17</v>
      </c>
      <c r="M1201" s="1" t="s">
        <v>17</v>
      </c>
      <c r="N1201" s="27" t="s">
        <v>605</v>
      </c>
      <c r="O1201" s="1" t="s">
        <v>16</v>
      </c>
    </row>
    <row r="1202" spans="1:15" x14ac:dyDescent="0.2">
      <c r="A1202" s="9">
        <v>44775</v>
      </c>
      <c r="B1202" s="1" t="s">
        <v>22</v>
      </c>
      <c r="C1202" s="1">
        <v>13</v>
      </c>
      <c r="D1202" s="1">
        <v>3</v>
      </c>
      <c r="E1202" s="5">
        <v>49.8</v>
      </c>
      <c r="F1202" s="1" t="s">
        <v>18</v>
      </c>
      <c r="G1202" s="1">
        <v>2</v>
      </c>
      <c r="H1202" s="1" t="s">
        <v>16</v>
      </c>
      <c r="I1202" s="1" t="s">
        <v>16</v>
      </c>
      <c r="J1202" s="1" t="s">
        <v>16</v>
      </c>
      <c r="K1202" s="1" t="s">
        <v>17</v>
      </c>
      <c r="L1202" s="1" t="s">
        <v>17</v>
      </c>
      <c r="M1202" s="1" t="s">
        <v>17</v>
      </c>
      <c r="N1202" s="27" t="s">
        <v>605</v>
      </c>
      <c r="O1202" s="1" t="s">
        <v>16</v>
      </c>
    </row>
    <row r="1203" spans="1:15" x14ac:dyDescent="0.2">
      <c r="A1203" s="9">
        <v>44775</v>
      </c>
      <c r="B1203" s="1" t="s">
        <v>22</v>
      </c>
      <c r="C1203" s="1">
        <v>14</v>
      </c>
      <c r="D1203" s="1">
        <v>3</v>
      </c>
      <c r="E1203" s="5">
        <v>50.33</v>
      </c>
      <c r="F1203" s="1" t="s">
        <v>19</v>
      </c>
      <c r="G1203" s="1">
        <v>2</v>
      </c>
      <c r="H1203" s="1" t="s">
        <v>16</v>
      </c>
      <c r="I1203" s="1" t="s">
        <v>16</v>
      </c>
      <c r="J1203" s="1" t="s">
        <v>16</v>
      </c>
      <c r="K1203" s="1" t="s">
        <v>17</v>
      </c>
      <c r="L1203" s="1" t="s">
        <v>17</v>
      </c>
      <c r="M1203" s="1" t="s">
        <v>17</v>
      </c>
      <c r="N1203" s="27" t="s">
        <v>605</v>
      </c>
      <c r="O1203" s="1" t="s">
        <v>16</v>
      </c>
    </row>
    <row r="1204" spans="1:15" x14ac:dyDescent="0.2">
      <c r="A1204" s="9">
        <v>44775</v>
      </c>
      <c r="B1204" s="1" t="s">
        <v>22</v>
      </c>
      <c r="C1204" s="1">
        <v>15</v>
      </c>
      <c r="D1204" s="1">
        <v>3</v>
      </c>
      <c r="E1204" s="5">
        <v>47.03</v>
      </c>
      <c r="F1204" s="1" t="s">
        <v>19</v>
      </c>
      <c r="G1204" s="1">
        <v>2</v>
      </c>
      <c r="H1204" s="1" t="s">
        <v>16</v>
      </c>
      <c r="I1204" s="1" t="s">
        <v>16</v>
      </c>
      <c r="J1204" s="1" t="s">
        <v>16</v>
      </c>
      <c r="K1204" s="1" t="s">
        <v>17</v>
      </c>
      <c r="L1204" s="1" t="s">
        <v>17</v>
      </c>
      <c r="M1204" s="1" t="s">
        <v>17</v>
      </c>
      <c r="N1204" s="27" t="s">
        <v>605</v>
      </c>
      <c r="O1204" s="1" t="s">
        <v>16</v>
      </c>
    </row>
    <row r="1205" spans="1:15" x14ac:dyDescent="0.2">
      <c r="A1205" s="9">
        <v>44811</v>
      </c>
      <c r="B1205" s="1" t="s">
        <v>22</v>
      </c>
      <c r="C1205" s="1">
        <v>1</v>
      </c>
      <c r="D1205" s="1">
        <v>1</v>
      </c>
      <c r="E1205" s="5">
        <v>61.22</v>
      </c>
      <c r="F1205" s="1" t="s">
        <v>18</v>
      </c>
      <c r="G1205" s="1">
        <v>2</v>
      </c>
      <c r="H1205" s="1" t="s">
        <v>16</v>
      </c>
      <c r="I1205" s="1" t="s">
        <v>16</v>
      </c>
      <c r="J1205" s="1" t="s">
        <v>16</v>
      </c>
      <c r="K1205" s="1" t="s">
        <v>21</v>
      </c>
      <c r="L1205" s="1" t="s">
        <v>17</v>
      </c>
      <c r="M1205" s="1" t="s">
        <v>17</v>
      </c>
      <c r="N1205" s="27" t="s">
        <v>605</v>
      </c>
      <c r="O1205" s="1" t="s">
        <v>16</v>
      </c>
    </row>
    <row r="1206" spans="1:15" x14ac:dyDescent="0.2">
      <c r="A1206" s="9">
        <v>44811</v>
      </c>
      <c r="B1206" s="1" t="s">
        <v>22</v>
      </c>
      <c r="C1206" s="1">
        <v>2</v>
      </c>
      <c r="D1206" s="1">
        <v>1</v>
      </c>
      <c r="E1206" s="5">
        <v>49.38</v>
      </c>
      <c r="F1206" s="1" t="s">
        <v>18</v>
      </c>
      <c r="G1206" s="1">
        <v>2</v>
      </c>
      <c r="H1206" s="1" t="s">
        <v>16</v>
      </c>
      <c r="I1206" s="1" t="s">
        <v>16</v>
      </c>
      <c r="J1206" s="1" t="s">
        <v>16</v>
      </c>
      <c r="K1206" s="1" t="s">
        <v>17</v>
      </c>
      <c r="L1206" s="1" t="s">
        <v>17</v>
      </c>
      <c r="M1206" s="1" t="s">
        <v>17</v>
      </c>
      <c r="N1206" s="27" t="s">
        <v>605</v>
      </c>
      <c r="O1206" s="1" t="s">
        <v>16</v>
      </c>
    </row>
    <row r="1207" spans="1:15" x14ac:dyDescent="0.2">
      <c r="A1207" s="9">
        <v>44811</v>
      </c>
      <c r="B1207" s="1" t="s">
        <v>22</v>
      </c>
      <c r="C1207" s="1">
        <v>3</v>
      </c>
      <c r="D1207" s="1">
        <v>1</v>
      </c>
      <c r="E1207" s="5">
        <v>44</v>
      </c>
      <c r="F1207" s="1" t="s">
        <v>18</v>
      </c>
      <c r="G1207" s="1">
        <v>2</v>
      </c>
      <c r="H1207" s="1" t="s">
        <v>16</v>
      </c>
      <c r="I1207" s="1" t="s">
        <v>16</v>
      </c>
      <c r="J1207" s="1" t="s">
        <v>16</v>
      </c>
      <c r="K1207" s="1" t="s">
        <v>17</v>
      </c>
      <c r="L1207" s="1" t="s">
        <v>17</v>
      </c>
      <c r="M1207" s="1" t="s">
        <v>17</v>
      </c>
      <c r="N1207" s="27" t="s">
        <v>605</v>
      </c>
      <c r="O1207" s="1" t="s">
        <v>16</v>
      </c>
    </row>
    <row r="1208" spans="1:15" x14ac:dyDescent="0.2">
      <c r="A1208" s="9">
        <v>44811</v>
      </c>
      <c r="B1208" s="1" t="s">
        <v>22</v>
      </c>
      <c r="C1208" s="1">
        <v>4</v>
      </c>
      <c r="D1208" s="1">
        <v>1</v>
      </c>
      <c r="E1208" s="5">
        <v>52.01</v>
      </c>
      <c r="F1208" s="1" t="s">
        <v>18</v>
      </c>
      <c r="G1208" s="1">
        <v>2</v>
      </c>
      <c r="H1208" s="1" t="s">
        <v>16</v>
      </c>
      <c r="I1208" s="1" t="s">
        <v>16</v>
      </c>
      <c r="J1208" s="1" t="s">
        <v>16</v>
      </c>
      <c r="K1208" s="1" t="s">
        <v>17</v>
      </c>
      <c r="L1208" s="1" t="s">
        <v>17</v>
      </c>
      <c r="M1208" s="1" t="s">
        <v>17</v>
      </c>
      <c r="N1208" s="27" t="s">
        <v>605</v>
      </c>
      <c r="O1208" s="1" t="s">
        <v>16</v>
      </c>
    </row>
    <row r="1209" spans="1:15" x14ac:dyDescent="0.2">
      <c r="A1209" s="9">
        <v>44811</v>
      </c>
      <c r="B1209" s="1" t="s">
        <v>22</v>
      </c>
      <c r="C1209" s="1">
        <v>5</v>
      </c>
      <c r="D1209" s="1">
        <v>1</v>
      </c>
      <c r="E1209" s="5">
        <v>30.06</v>
      </c>
      <c r="F1209" s="1" t="s">
        <v>19</v>
      </c>
      <c r="G1209" s="1">
        <v>2</v>
      </c>
      <c r="H1209" s="1" t="s">
        <v>16</v>
      </c>
      <c r="I1209" s="1" t="s">
        <v>16</v>
      </c>
      <c r="J1209" s="1" t="s">
        <v>16</v>
      </c>
      <c r="K1209" s="1" t="s">
        <v>17</v>
      </c>
      <c r="L1209" s="1" t="s">
        <v>17</v>
      </c>
      <c r="M1209" s="1" t="s">
        <v>17</v>
      </c>
      <c r="N1209" s="27" t="s">
        <v>605</v>
      </c>
      <c r="O1209" s="1" t="s">
        <v>16</v>
      </c>
    </row>
    <row r="1210" spans="1:15" x14ac:dyDescent="0.2">
      <c r="A1210" s="9">
        <v>44811</v>
      </c>
      <c r="B1210" s="1" t="s">
        <v>22</v>
      </c>
      <c r="C1210" s="1">
        <v>6</v>
      </c>
      <c r="D1210" s="1">
        <v>2</v>
      </c>
      <c r="E1210" s="5">
        <v>34.44</v>
      </c>
      <c r="F1210" s="1" t="s">
        <v>18</v>
      </c>
      <c r="G1210" s="1">
        <v>2</v>
      </c>
      <c r="H1210" s="1" t="s">
        <v>16</v>
      </c>
      <c r="I1210" s="1" t="s">
        <v>16</v>
      </c>
      <c r="J1210" s="1" t="s">
        <v>16</v>
      </c>
      <c r="K1210" s="1" t="s">
        <v>17</v>
      </c>
      <c r="L1210" s="1" t="s">
        <v>17</v>
      </c>
      <c r="M1210" s="1" t="s">
        <v>17</v>
      </c>
      <c r="N1210" s="27" t="s">
        <v>605</v>
      </c>
      <c r="O1210" s="1" t="s">
        <v>16</v>
      </c>
    </row>
    <row r="1211" spans="1:15" x14ac:dyDescent="0.2">
      <c r="A1211" s="9">
        <v>44811</v>
      </c>
      <c r="B1211" s="1" t="s">
        <v>22</v>
      </c>
      <c r="C1211" s="1">
        <v>7</v>
      </c>
      <c r="D1211" s="1">
        <v>2</v>
      </c>
      <c r="E1211" s="5">
        <v>45.31</v>
      </c>
      <c r="F1211" s="1" t="s">
        <v>18</v>
      </c>
      <c r="G1211" s="1">
        <v>2</v>
      </c>
      <c r="H1211" s="1" t="s">
        <v>16</v>
      </c>
      <c r="I1211" s="1" t="s">
        <v>16</v>
      </c>
      <c r="J1211" s="1" t="s">
        <v>16</v>
      </c>
      <c r="K1211" s="1" t="s">
        <v>17</v>
      </c>
      <c r="L1211" s="1" t="s">
        <v>17</v>
      </c>
      <c r="M1211" s="1" t="s">
        <v>17</v>
      </c>
      <c r="N1211" s="27" t="s">
        <v>605</v>
      </c>
      <c r="O1211" s="1" t="s">
        <v>16</v>
      </c>
    </row>
    <row r="1212" spans="1:15" x14ac:dyDescent="0.2">
      <c r="A1212" s="9">
        <v>44811</v>
      </c>
      <c r="B1212" s="1" t="s">
        <v>22</v>
      </c>
      <c r="C1212" s="1">
        <v>8</v>
      </c>
      <c r="D1212" s="1">
        <v>2</v>
      </c>
      <c r="E1212" s="5">
        <v>56.23</v>
      </c>
      <c r="F1212" s="1" t="s">
        <v>18</v>
      </c>
      <c r="G1212" s="1">
        <v>2</v>
      </c>
      <c r="H1212" s="1" t="s">
        <v>16</v>
      </c>
      <c r="I1212" s="1" t="s">
        <v>16</v>
      </c>
      <c r="J1212" s="1" t="s">
        <v>16</v>
      </c>
      <c r="K1212" s="1" t="s">
        <v>17</v>
      </c>
      <c r="L1212" s="1" t="s">
        <v>17</v>
      </c>
      <c r="M1212" s="1" t="s">
        <v>17</v>
      </c>
      <c r="N1212" s="27" t="s">
        <v>605</v>
      </c>
      <c r="O1212" s="1" t="s">
        <v>16</v>
      </c>
    </row>
    <row r="1213" spans="1:15" x14ac:dyDescent="0.2">
      <c r="A1213" s="9">
        <v>44811</v>
      </c>
      <c r="B1213" s="1" t="s">
        <v>22</v>
      </c>
      <c r="C1213" s="1">
        <v>9</v>
      </c>
      <c r="D1213" s="1">
        <v>2</v>
      </c>
      <c r="E1213" s="5">
        <v>45.06</v>
      </c>
      <c r="F1213" s="1" t="s">
        <v>18</v>
      </c>
      <c r="G1213" s="1">
        <v>2</v>
      </c>
      <c r="H1213" s="1" t="s">
        <v>16</v>
      </c>
      <c r="I1213" s="1" t="s">
        <v>16</v>
      </c>
      <c r="J1213" s="1" t="s">
        <v>16</v>
      </c>
      <c r="K1213" s="1" t="s">
        <v>17</v>
      </c>
      <c r="L1213" s="1" t="s">
        <v>17</v>
      </c>
      <c r="M1213" s="1" t="s">
        <v>17</v>
      </c>
      <c r="N1213" s="27" t="s">
        <v>605</v>
      </c>
      <c r="O1213" s="1" t="s">
        <v>16</v>
      </c>
    </row>
    <row r="1214" spans="1:15" x14ac:dyDescent="0.2">
      <c r="A1214" s="9">
        <v>44811</v>
      </c>
      <c r="B1214" s="1" t="s">
        <v>22</v>
      </c>
      <c r="C1214" s="1">
        <v>10</v>
      </c>
      <c r="D1214" s="1">
        <v>2</v>
      </c>
      <c r="E1214" s="5">
        <v>54.66</v>
      </c>
      <c r="F1214" s="1" t="s">
        <v>19</v>
      </c>
      <c r="G1214" s="1">
        <v>2</v>
      </c>
      <c r="H1214" s="1" t="s">
        <v>16</v>
      </c>
      <c r="I1214" s="1" t="s">
        <v>16</v>
      </c>
      <c r="J1214" s="1" t="s">
        <v>16</v>
      </c>
      <c r="K1214" s="1" t="s">
        <v>17</v>
      </c>
      <c r="L1214" s="1" t="s">
        <v>17</v>
      </c>
      <c r="M1214" s="1" t="s">
        <v>17</v>
      </c>
      <c r="N1214" s="27" t="s">
        <v>605</v>
      </c>
      <c r="O1214" s="1" t="s">
        <v>16</v>
      </c>
    </row>
    <row r="1215" spans="1:15" x14ac:dyDescent="0.2">
      <c r="A1215" s="9">
        <v>44811</v>
      </c>
      <c r="B1215" s="1" t="s">
        <v>22</v>
      </c>
      <c r="C1215" s="1">
        <v>11</v>
      </c>
      <c r="D1215" s="1">
        <v>3</v>
      </c>
      <c r="E1215" s="5">
        <v>65.59</v>
      </c>
      <c r="F1215" s="1" t="s">
        <v>18</v>
      </c>
      <c r="G1215" s="1">
        <v>2</v>
      </c>
      <c r="H1215" s="1" t="s">
        <v>16</v>
      </c>
      <c r="I1215" s="1" t="s">
        <v>16</v>
      </c>
      <c r="J1215" s="1" t="s">
        <v>16</v>
      </c>
      <c r="K1215" s="1" t="s">
        <v>21</v>
      </c>
      <c r="L1215" s="1" t="s">
        <v>17</v>
      </c>
      <c r="M1215" s="1" t="s">
        <v>17</v>
      </c>
      <c r="N1215" s="27" t="s">
        <v>605</v>
      </c>
      <c r="O1215" s="1" t="s">
        <v>16</v>
      </c>
    </row>
    <row r="1216" spans="1:15" x14ac:dyDescent="0.2">
      <c r="A1216" s="9">
        <v>44811</v>
      </c>
      <c r="B1216" s="1" t="s">
        <v>22</v>
      </c>
      <c r="C1216" s="1">
        <v>12</v>
      </c>
      <c r="D1216" s="1">
        <v>3</v>
      </c>
      <c r="E1216" s="5">
        <v>49.23</v>
      </c>
      <c r="F1216" s="1" t="s">
        <v>18</v>
      </c>
      <c r="G1216" s="1">
        <v>2</v>
      </c>
      <c r="H1216" s="1" t="s">
        <v>16</v>
      </c>
      <c r="I1216" s="1" t="s">
        <v>16</v>
      </c>
      <c r="J1216" s="1" t="s">
        <v>16</v>
      </c>
      <c r="K1216" s="1" t="s">
        <v>17</v>
      </c>
      <c r="L1216" s="1" t="s">
        <v>17</v>
      </c>
      <c r="M1216" s="1" t="s">
        <v>17</v>
      </c>
      <c r="N1216" s="27" t="s">
        <v>605</v>
      </c>
      <c r="O1216" s="1" t="s">
        <v>16</v>
      </c>
    </row>
    <row r="1217" spans="1:15" x14ac:dyDescent="0.2">
      <c r="A1217" s="9">
        <v>44811</v>
      </c>
      <c r="B1217" s="1" t="s">
        <v>22</v>
      </c>
      <c r="C1217" s="1">
        <v>13</v>
      </c>
      <c r="D1217" s="1">
        <v>3</v>
      </c>
      <c r="E1217" s="5">
        <v>43.44</v>
      </c>
      <c r="F1217" s="1" t="s">
        <v>18</v>
      </c>
      <c r="G1217" s="1">
        <v>2</v>
      </c>
      <c r="H1217" s="1" t="s">
        <v>16</v>
      </c>
      <c r="I1217" s="1" t="s">
        <v>16</v>
      </c>
      <c r="J1217" s="1" t="s">
        <v>16</v>
      </c>
      <c r="K1217" s="1" t="s">
        <v>17</v>
      </c>
      <c r="L1217" s="1" t="s">
        <v>17</v>
      </c>
      <c r="M1217" s="1" t="s">
        <v>17</v>
      </c>
      <c r="N1217" s="27" t="s">
        <v>605</v>
      </c>
      <c r="O1217" s="1" t="s">
        <v>16</v>
      </c>
    </row>
    <row r="1218" spans="1:15" x14ac:dyDescent="0.2">
      <c r="A1218" s="9">
        <v>44811</v>
      </c>
      <c r="B1218" s="1" t="s">
        <v>22</v>
      </c>
      <c r="C1218" s="1">
        <v>14</v>
      </c>
      <c r="D1218" s="1">
        <v>3</v>
      </c>
      <c r="E1218" s="5">
        <v>31.73</v>
      </c>
      <c r="F1218" s="1" t="s">
        <v>19</v>
      </c>
      <c r="G1218" s="1">
        <v>2</v>
      </c>
      <c r="H1218" s="1" t="s">
        <v>16</v>
      </c>
      <c r="I1218" s="1" t="s">
        <v>16</v>
      </c>
      <c r="J1218" s="1" t="s">
        <v>16</v>
      </c>
      <c r="K1218" s="1" t="s">
        <v>17</v>
      </c>
      <c r="L1218" s="1" t="s">
        <v>17</v>
      </c>
      <c r="M1218" s="1" t="s">
        <v>17</v>
      </c>
      <c r="N1218" s="27" t="s">
        <v>605</v>
      </c>
      <c r="O1218" s="1" t="s">
        <v>16</v>
      </c>
    </row>
    <row r="1219" spans="1:15" x14ac:dyDescent="0.2">
      <c r="A1219" s="9">
        <v>44811</v>
      </c>
      <c r="B1219" s="1" t="s">
        <v>22</v>
      </c>
      <c r="C1219" s="1">
        <v>15</v>
      </c>
      <c r="D1219" s="1">
        <v>3</v>
      </c>
      <c r="E1219" s="5">
        <v>46.58</v>
      </c>
      <c r="F1219" s="1" t="s">
        <v>18</v>
      </c>
      <c r="G1219" s="1">
        <v>2</v>
      </c>
      <c r="H1219" s="1" t="s">
        <v>16</v>
      </c>
      <c r="I1219" s="1" t="s">
        <v>16</v>
      </c>
      <c r="J1219" s="1" t="s">
        <v>16</v>
      </c>
      <c r="K1219" s="1" t="s">
        <v>17</v>
      </c>
      <c r="L1219" s="1" t="s">
        <v>17</v>
      </c>
      <c r="M1219" s="1" t="s">
        <v>17</v>
      </c>
      <c r="N1219" s="27" t="s">
        <v>605</v>
      </c>
      <c r="O1219" s="1" t="s">
        <v>16</v>
      </c>
    </row>
    <row r="1220" spans="1:15" x14ac:dyDescent="0.2">
      <c r="A1220" s="9">
        <v>44844</v>
      </c>
      <c r="B1220" s="1" t="s">
        <v>22</v>
      </c>
      <c r="C1220" s="1">
        <v>1</v>
      </c>
      <c r="D1220" s="1">
        <v>1</v>
      </c>
      <c r="E1220" s="5">
        <v>43.71</v>
      </c>
      <c r="F1220" s="1" t="s">
        <v>18</v>
      </c>
      <c r="G1220" s="1">
        <v>2</v>
      </c>
      <c r="H1220" s="1" t="s">
        <v>16</v>
      </c>
      <c r="I1220" s="1" t="s">
        <v>16</v>
      </c>
      <c r="J1220" s="1" t="s">
        <v>16</v>
      </c>
      <c r="K1220" s="1" t="s">
        <v>17</v>
      </c>
      <c r="L1220" s="1" t="s">
        <v>17</v>
      </c>
      <c r="M1220" s="1" t="s">
        <v>17</v>
      </c>
      <c r="N1220" s="27" t="s">
        <v>605</v>
      </c>
      <c r="O1220" s="1" t="s">
        <v>16</v>
      </c>
    </row>
    <row r="1221" spans="1:15" x14ac:dyDescent="0.2">
      <c r="A1221" s="9">
        <v>44844</v>
      </c>
      <c r="B1221" s="1" t="s">
        <v>22</v>
      </c>
      <c r="C1221" s="1">
        <v>2</v>
      </c>
      <c r="D1221" s="1">
        <v>1</v>
      </c>
      <c r="E1221" s="5">
        <v>54.37</v>
      </c>
      <c r="F1221" s="1" t="s">
        <v>18</v>
      </c>
      <c r="G1221" s="1">
        <v>3</v>
      </c>
      <c r="H1221" s="1" t="s">
        <v>16</v>
      </c>
      <c r="I1221" s="1" t="s">
        <v>16</v>
      </c>
      <c r="J1221" s="1" t="s">
        <v>16</v>
      </c>
      <c r="K1221" s="1" t="s">
        <v>21</v>
      </c>
      <c r="L1221" s="1" t="s">
        <v>17</v>
      </c>
      <c r="M1221" s="1" t="s">
        <v>17</v>
      </c>
      <c r="N1221" s="27" t="s">
        <v>605</v>
      </c>
      <c r="O1221" s="1" t="s">
        <v>16</v>
      </c>
    </row>
    <row r="1222" spans="1:15" x14ac:dyDescent="0.2">
      <c r="A1222" s="9">
        <v>44844</v>
      </c>
      <c r="B1222" s="1" t="s">
        <v>22</v>
      </c>
      <c r="C1222" s="1">
        <v>3</v>
      </c>
      <c r="D1222" s="1">
        <v>1</v>
      </c>
      <c r="E1222" s="5">
        <v>50.12</v>
      </c>
      <c r="F1222" s="1" t="s">
        <v>18</v>
      </c>
      <c r="G1222" s="1">
        <v>2</v>
      </c>
      <c r="H1222" s="1" t="s">
        <v>16</v>
      </c>
      <c r="I1222" s="1" t="s">
        <v>16</v>
      </c>
      <c r="J1222" s="1" t="s">
        <v>16</v>
      </c>
      <c r="K1222" s="1" t="s">
        <v>17</v>
      </c>
      <c r="L1222" s="1" t="s">
        <v>17</v>
      </c>
      <c r="M1222" s="1" t="s">
        <v>17</v>
      </c>
      <c r="N1222" s="27" t="s">
        <v>605</v>
      </c>
      <c r="O1222" s="1" t="s">
        <v>16</v>
      </c>
    </row>
    <row r="1223" spans="1:15" x14ac:dyDescent="0.2">
      <c r="A1223" s="9">
        <v>44844</v>
      </c>
      <c r="B1223" s="1" t="s">
        <v>22</v>
      </c>
      <c r="C1223" s="1">
        <v>4</v>
      </c>
      <c r="D1223" s="1">
        <v>1</v>
      </c>
      <c r="E1223" s="5">
        <v>40.869999999999997</v>
      </c>
      <c r="F1223" s="1" t="s">
        <v>18</v>
      </c>
      <c r="G1223" s="1">
        <v>2</v>
      </c>
      <c r="H1223" s="1" t="s">
        <v>16</v>
      </c>
      <c r="I1223" s="1" t="s">
        <v>16</v>
      </c>
      <c r="J1223" s="1" t="s">
        <v>16</v>
      </c>
      <c r="K1223" s="1" t="s">
        <v>17</v>
      </c>
      <c r="L1223" s="1" t="s">
        <v>17</v>
      </c>
      <c r="M1223" s="1" t="s">
        <v>17</v>
      </c>
      <c r="N1223" s="27" t="s">
        <v>605</v>
      </c>
      <c r="O1223" s="1" t="s">
        <v>16</v>
      </c>
    </row>
    <row r="1224" spans="1:15" x14ac:dyDescent="0.2">
      <c r="A1224" s="9">
        <v>44844</v>
      </c>
      <c r="B1224" s="1" t="s">
        <v>22</v>
      </c>
      <c r="C1224" s="1">
        <v>5</v>
      </c>
      <c r="D1224" s="1">
        <v>1</v>
      </c>
      <c r="E1224" s="5">
        <v>51.96</v>
      </c>
      <c r="F1224" s="1" t="s">
        <v>18</v>
      </c>
      <c r="G1224" s="1">
        <v>2</v>
      </c>
      <c r="H1224" s="1" t="s">
        <v>16</v>
      </c>
      <c r="I1224" s="1" t="s">
        <v>16</v>
      </c>
      <c r="J1224" s="1" t="s">
        <v>16</v>
      </c>
      <c r="K1224" s="1" t="s">
        <v>17</v>
      </c>
      <c r="L1224" s="1" t="s">
        <v>17</v>
      </c>
      <c r="M1224" s="1" t="s">
        <v>17</v>
      </c>
      <c r="N1224" s="27" t="s">
        <v>605</v>
      </c>
      <c r="O1224" s="1" t="s">
        <v>16</v>
      </c>
    </row>
    <row r="1225" spans="1:15" x14ac:dyDescent="0.2">
      <c r="A1225" s="9">
        <v>44844</v>
      </c>
      <c r="B1225" s="1" t="s">
        <v>22</v>
      </c>
      <c r="C1225" s="1">
        <v>6</v>
      </c>
      <c r="D1225" s="1">
        <v>2</v>
      </c>
      <c r="E1225" s="5">
        <v>41.87</v>
      </c>
      <c r="F1225" s="1" t="s">
        <v>18</v>
      </c>
      <c r="G1225" s="1">
        <v>2</v>
      </c>
      <c r="H1225" s="1" t="s">
        <v>16</v>
      </c>
      <c r="I1225" s="1" t="s">
        <v>16</v>
      </c>
      <c r="J1225" s="1" t="s">
        <v>16</v>
      </c>
      <c r="K1225" s="1" t="s">
        <v>17</v>
      </c>
      <c r="L1225" s="1" t="s">
        <v>17</v>
      </c>
      <c r="M1225" s="1" t="s">
        <v>17</v>
      </c>
      <c r="N1225" s="27" t="s">
        <v>605</v>
      </c>
      <c r="O1225" s="1" t="s">
        <v>16</v>
      </c>
    </row>
    <row r="1226" spans="1:15" x14ac:dyDescent="0.2">
      <c r="A1226" s="9">
        <v>44844</v>
      </c>
      <c r="B1226" s="1" t="s">
        <v>22</v>
      </c>
      <c r="C1226" s="1">
        <v>7</v>
      </c>
      <c r="D1226" s="1">
        <v>2</v>
      </c>
      <c r="E1226" s="5">
        <v>53.95</v>
      </c>
      <c r="F1226" s="1" t="s">
        <v>18</v>
      </c>
      <c r="G1226" s="1">
        <v>2</v>
      </c>
      <c r="H1226" s="1" t="s">
        <v>16</v>
      </c>
      <c r="I1226" s="1" t="s">
        <v>16</v>
      </c>
      <c r="J1226" s="1" t="s">
        <v>16</v>
      </c>
      <c r="K1226" s="1" t="s">
        <v>17</v>
      </c>
      <c r="L1226" s="1" t="s">
        <v>17</v>
      </c>
      <c r="M1226" s="1" t="s">
        <v>17</v>
      </c>
      <c r="N1226" s="27" t="s">
        <v>605</v>
      </c>
      <c r="O1226" s="1" t="s">
        <v>16</v>
      </c>
    </row>
    <row r="1227" spans="1:15" x14ac:dyDescent="0.2">
      <c r="A1227" s="9">
        <v>44844</v>
      </c>
      <c r="B1227" s="1" t="s">
        <v>22</v>
      </c>
      <c r="C1227" s="1">
        <v>8</v>
      </c>
      <c r="D1227" s="1">
        <v>2</v>
      </c>
      <c r="E1227" s="5">
        <v>74.13</v>
      </c>
      <c r="F1227" s="1" t="s">
        <v>18</v>
      </c>
      <c r="G1227" s="1">
        <v>2</v>
      </c>
      <c r="H1227" s="1" t="s">
        <v>16</v>
      </c>
      <c r="I1227" s="1" t="s">
        <v>16</v>
      </c>
      <c r="J1227" s="1" t="s">
        <v>16</v>
      </c>
      <c r="K1227" s="1" t="s">
        <v>17</v>
      </c>
      <c r="L1227" s="1" t="s">
        <v>17</v>
      </c>
      <c r="M1227" s="1" t="s">
        <v>17</v>
      </c>
      <c r="N1227" s="27" t="s">
        <v>605</v>
      </c>
      <c r="O1227" s="1" t="s">
        <v>16</v>
      </c>
    </row>
    <row r="1228" spans="1:15" x14ac:dyDescent="0.2">
      <c r="A1228" s="9">
        <v>44844</v>
      </c>
      <c r="B1228" s="1" t="s">
        <v>22</v>
      </c>
      <c r="C1228" s="1">
        <v>9</v>
      </c>
      <c r="D1228" s="1">
        <v>2</v>
      </c>
      <c r="E1228" s="5">
        <v>40.549999999999997</v>
      </c>
      <c r="F1228" s="1" t="s">
        <v>18</v>
      </c>
      <c r="G1228" s="1">
        <v>2</v>
      </c>
      <c r="H1228" s="1" t="s">
        <v>16</v>
      </c>
      <c r="I1228" s="1" t="s">
        <v>16</v>
      </c>
      <c r="J1228" s="1" t="s">
        <v>16</v>
      </c>
      <c r="K1228" s="1" t="s">
        <v>17</v>
      </c>
      <c r="L1228" s="1" t="s">
        <v>17</v>
      </c>
      <c r="M1228" s="1" t="s">
        <v>17</v>
      </c>
      <c r="N1228" s="27" t="s">
        <v>605</v>
      </c>
      <c r="O1228" s="1" t="s">
        <v>16</v>
      </c>
    </row>
    <row r="1229" spans="1:15" x14ac:dyDescent="0.2">
      <c r="A1229" s="9">
        <v>44844</v>
      </c>
      <c r="B1229" s="1" t="s">
        <v>22</v>
      </c>
      <c r="C1229" s="1">
        <v>10</v>
      </c>
      <c r="D1229" s="1">
        <v>2</v>
      </c>
      <c r="E1229" s="5">
        <v>49.13</v>
      </c>
      <c r="F1229" s="1" t="s">
        <v>18</v>
      </c>
      <c r="G1229" s="1">
        <v>2</v>
      </c>
      <c r="H1229" s="1" t="s">
        <v>16</v>
      </c>
      <c r="I1229" s="1" t="s">
        <v>16</v>
      </c>
      <c r="J1229" s="1" t="s">
        <v>16</v>
      </c>
      <c r="K1229" s="1" t="s">
        <v>17</v>
      </c>
      <c r="L1229" s="1" t="s">
        <v>17</v>
      </c>
      <c r="M1229" s="1" t="s">
        <v>17</v>
      </c>
      <c r="N1229" s="27" t="s">
        <v>605</v>
      </c>
      <c r="O1229" s="1" t="s">
        <v>16</v>
      </c>
    </row>
    <row r="1230" spans="1:15" x14ac:dyDescent="0.2">
      <c r="A1230" s="9">
        <v>44844</v>
      </c>
      <c r="B1230" s="1" t="s">
        <v>22</v>
      </c>
      <c r="C1230" s="1">
        <v>11</v>
      </c>
      <c r="D1230" s="1">
        <v>3</v>
      </c>
      <c r="E1230" s="5">
        <v>58.04</v>
      </c>
      <c r="F1230" s="1" t="s">
        <v>18</v>
      </c>
      <c r="G1230" s="1">
        <v>2</v>
      </c>
      <c r="H1230" s="1" t="s">
        <v>16</v>
      </c>
      <c r="I1230" s="1" t="s">
        <v>16</v>
      </c>
      <c r="J1230" s="1" t="s">
        <v>16</v>
      </c>
      <c r="K1230" s="1" t="s">
        <v>17</v>
      </c>
      <c r="L1230" s="1" t="s">
        <v>17</v>
      </c>
      <c r="M1230" s="1" t="s">
        <v>17</v>
      </c>
      <c r="N1230" s="27" t="s">
        <v>605</v>
      </c>
      <c r="O1230" s="1" t="s">
        <v>16</v>
      </c>
    </row>
    <row r="1231" spans="1:15" x14ac:dyDescent="0.2">
      <c r="A1231" s="9">
        <v>44844</v>
      </c>
      <c r="B1231" s="1" t="s">
        <v>22</v>
      </c>
      <c r="C1231" s="1">
        <v>12</v>
      </c>
      <c r="D1231" s="1">
        <v>3</v>
      </c>
      <c r="E1231" s="5">
        <v>50.54</v>
      </c>
      <c r="F1231" s="1" t="s">
        <v>18</v>
      </c>
      <c r="G1231" s="1">
        <v>2</v>
      </c>
      <c r="H1231" s="1" t="s">
        <v>16</v>
      </c>
      <c r="I1231" s="1" t="s">
        <v>16</v>
      </c>
      <c r="J1231" s="1" t="s">
        <v>16</v>
      </c>
      <c r="K1231" s="1" t="s">
        <v>17</v>
      </c>
      <c r="L1231" s="1" t="s">
        <v>17</v>
      </c>
      <c r="M1231" s="1" t="s">
        <v>17</v>
      </c>
      <c r="N1231" s="27" t="s">
        <v>605</v>
      </c>
      <c r="O1231" s="1" t="s">
        <v>16</v>
      </c>
    </row>
    <row r="1232" spans="1:15" x14ac:dyDescent="0.2">
      <c r="A1232" s="9">
        <v>44844</v>
      </c>
      <c r="B1232" s="1" t="s">
        <v>22</v>
      </c>
      <c r="C1232" s="1">
        <v>13</v>
      </c>
      <c r="D1232" s="1">
        <v>3</v>
      </c>
      <c r="E1232" s="5">
        <v>75.19</v>
      </c>
      <c r="F1232" s="1" t="s">
        <v>18</v>
      </c>
      <c r="G1232" s="1">
        <v>2</v>
      </c>
      <c r="H1232" s="1" t="s">
        <v>16</v>
      </c>
      <c r="I1232" s="1" t="s">
        <v>16</v>
      </c>
      <c r="J1232" s="1" t="s">
        <v>16</v>
      </c>
      <c r="K1232" s="1" t="s">
        <v>17</v>
      </c>
      <c r="L1232" s="1" t="s">
        <v>17</v>
      </c>
      <c r="M1232" s="1" t="s">
        <v>17</v>
      </c>
      <c r="N1232" s="27" t="s">
        <v>605</v>
      </c>
      <c r="O1232" s="1" t="s">
        <v>16</v>
      </c>
    </row>
    <row r="1233" spans="1:15" x14ac:dyDescent="0.2">
      <c r="A1233" s="9">
        <v>44844</v>
      </c>
      <c r="B1233" s="1" t="s">
        <v>22</v>
      </c>
      <c r="C1233" s="1">
        <v>14</v>
      </c>
      <c r="D1233" s="1">
        <v>3</v>
      </c>
      <c r="E1233" s="5">
        <v>61.03</v>
      </c>
      <c r="F1233" s="1" t="s">
        <v>18</v>
      </c>
      <c r="G1233" s="1">
        <v>2</v>
      </c>
      <c r="H1233" s="1" t="s">
        <v>16</v>
      </c>
      <c r="I1233" s="1" t="s">
        <v>16</v>
      </c>
      <c r="J1233" s="1" t="s">
        <v>16</v>
      </c>
      <c r="K1233" s="1" t="s">
        <v>17</v>
      </c>
      <c r="L1233" s="1" t="s">
        <v>17</v>
      </c>
      <c r="M1233" s="1" t="s">
        <v>17</v>
      </c>
      <c r="N1233" s="27" t="s">
        <v>605</v>
      </c>
      <c r="O1233" s="1" t="s">
        <v>16</v>
      </c>
    </row>
    <row r="1234" spans="1:15" x14ac:dyDescent="0.2">
      <c r="A1234" s="9">
        <v>44844</v>
      </c>
      <c r="B1234" s="1" t="s">
        <v>22</v>
      </c>
      <c r="C1234" s="1">
        <v>15</v>
      </c>
      <c r="D1234" s="1">
        <v>3</v>
      </c>
      <c r="E1234" s="5">
        <v>59.58</v>
      </c>
      <c r="F1234" s="1" t="s">
        <v>18</v>
      </c>
      <c r="G1234" s="1">
        <v>2</v>
      </c>
      <c r="H1234" s="1" t="s">
        <v>16</v>
      </c>
      <c r="I1234" s="1" t="s">
        <v>16</v>
      </c>
      <c r="J1234" s="1" t="s">
        <v>16</v>
      </c>
      <c r="K1234" s="1" t="s">
        <v>17</v>
      </c>
      <c r="L1234" s="1" t="s">
        <v>17</v>
      </c>
      <c r="M1234" s="1" t="s">
        <v>17</v>
      </c>
      <c r="N1234" s="27" t="s">
        <v>605</v>
      </c>
      <c r="O1234" s="1" t="s">
        <v>16</v>
      </c>
    </row>
    <row r="1235" spans="1:15" x14ac:dyDescent="0.2">
      <c r="A1235" s="9">
        <v>44879</v>
      </c>
      <c r="B1235" s="1" t="s">
        <v>22</v>
      </c>
      <c r="C1235" s="1">
        <v>1</v>
      </c>
      <c r="D1235" s="1">
        <v>1</v>
      </c>
      <c r="E1235" s="5">
        <v>43.47</v>
      </c>
      <c r="F1235" s="1" t="s">
        <v>18</v>
      </c>
      <c r="G1235" s="1">
        <v>2</v>
      </c>
      <c r="H1235" s="1" t="s">
        <v>16</v>
      </c>
      <c r="I1235" s="1" t="s">
        <v>16</v>
      </c>
      <c r="J1235" s="1" t="s">
        <v>16</v>
      </c>
      <c r="K1235" s="1" t="s">
        <v>17</v>
      </c>
      <c r="L1235" s="1" t="s">
        <v>17</v>
      </c>
      <c r="M1235" s="1" t="s">
        <v>17</v>
      </c>
      <c r="N1235" s="27" t="s">
        <v>605</v>
      </c>
      <c r="O1235" s="1" t="s">
        <v>16</v>
      </c>
    </row>
    <row r="1236" spans="1:15" x14ac:dyDescent="0.2">
      <c r="A1236" s="9">
        <v>44879</v>
      </c>
      <c r="B1236" s="1" t="s">
        <v>22</v>
      </c>
      <c r="C1236" s="1">
        <v>2</v>
      </c>
      <c r="D1236" s="1">
        <v>1</v>
      </c>
      <c r="E1236" s="5">
        <v>46</v>
      </c>
      <c r="F1236" s="1" t="s">
        <v>18</v>
      </c>
      <c r="G1236" s="1">
        <v>3</v>
      </c>
      <c r="H1236" s="1" t="s">
        <v>16</v>
      </c>
      <c r="I1236" s="1" t="s">
        <v>16</v>
      </c>
      <c r="J1236" s="1" t="s">
        <v>16</v>
      </c>
      <c r="K1236" s="1" t="s">
        <v>17</v>
      </c>
      <c r="L1236" s="1" t="s">
        <v>17</v>
      </c>
      <c r="M1236" s="1" t="s">
        <v>17</v>
      </c>
      <c r="N1236" s="27" t="s">
        <v>605</v>
      </c>
      <c r="O1236" s="1" t="s">
        <v>16</v>
      </c>
    </row>
    <row r="1237" spans="1:15" x14ac:dyDescent="0.2">
      <c r="A1237" s="9">
        <v>44879</v>
      </c>
      <c r="B1237" s="1" t="s">
        <v>22</v>
      </c>
      <c r="C1237" s="1">
        <v>3</v>
      </c>
      <c r="D1237" s="1">
        <v>1</v>
      </c>
      <c r="E1237" s="5">
        <v>47.73</v>
      </c>
      <c r="F1237" s="1" t="s">
        <v>19</v>
      </c>
      <c r="G1237" s="1">
        <v>2</v>
      </c>
      <c r="H1237" s="1" t="s">
        <v>16</v>
      </c>
      <c r="I1237" s="1" t="s">
        <v>16</v>
      </c>
      <c r="J1237" s="1" t="s">
        <v>16</v>
      </c>
      <c r="K1237" s="1" t="s">
        <v>17</v>
      </c>
      <c r="L1237" s="1" t="s">
        <v>17</v>
      </c>
      <c r="M1237" s="1" t="s">
        <v>17</v>
      </c>
      <c r="N1237" s="27" t="s">
        <v>605</v>
      </c>
      <c r="O1237" s="1" t="s">
        <v>16</v>
      </c>
    </row>
    <row r="1238" spans="1:15" x14ac:dyDescent="0.2">
      <c r="A1238" s="9">
        <v>44879</v>
      </c>
      <c r="B1238" s="1" t="s">
        <v>22</v>
      </c>
      <c r="C1238" s="1">
        <v>4</v>
      </c>
      <c r="D1238" s="1">
        <v>1</v>
      </c>
      <c r="E1238" s="5">
        <v>55.32</v>
      </c>
      <c r="F1238" s="1" t="s">
        <v>18</v>
      </c>
      <c r="G1238" s="1">
        <v>2</v>
      </c>
      <c r="H1238" s="1" t="s">
        <v>16</v>
      </c>
      <c r="I1238" s="1" t="s">
        <v>16</v>
      </c>
      <c r="J1238" s="1" t="s">
        <v>16</v>
      </c>
      <c r="K1238" s="1" t="s">
        <v>17</v>
      </c>
      <c r="L1238" s="1" t="s">
        <v>17</v>
      </c>
      <c r="M1238" s="1" t="s">
        <v>17</v>
      </c>
      <c r="N1238" s="27" t="s">
        <v>605</v>
      </c>
      <c r="O1238" s="1" t="s">
        <v>16</v>
      </c>
    </row>
    <row r="1239" spans="1:15" x14ac:dyDescent="0.2">
      <c r="A1239" s="9">
        <v>44879</v>
      </c>
      <c r="B1239" s="1" t="s">
        <v>22</v>
      </c>
      <c r="C1239" s="1">
        <v>5</v>
      </c>
      <c r="D1239" s="1">
        <v>1</v>
      </c>
      <c r="E1239" s="5">
        <v>60.1</v>
      </c>
      <c r="F1239" s="1" t="s">
        <v>18</v>
      </c>
      <c r="G1239" s="1">
        <v>2</v>
      </c>
      <c r="H1239" s="1" t="s">
        <v>16</v>
      </c>
      <c r="I1239" s="1" t="s">
        <v>16</v>
      </c>
      <c r="J1239" s="1" t="s">
        <v>16</v>
      </c>
      <c r="K1239" s="1" t="s">
        <v>17</v>
      </c>
      <c r="L1239" s="1" t="s">
        <v>17</v>
      </c>
      <c r="M1239" s="1" t="s">
        <v>17</v>
      </c>
      <c r="N1239" s="27" t="s">
        <v>605</v>
      </c>
      <c r="O1239" s="1" t="s">
        <v>16</v>
      </c>
    </row>
    <row r="1240" spans="1:15" x14ac:dyDescent="0.2">
      <c r="A1240" s="9">
        <v>44879</v>
      </c>
      <c r="B1240" s="1" t="s">
        <v>22</v>
      </c>
      <c r="C1240" s="1">
        <v>6</v>
      </c>
      <c r="D1240" s="1">
        <v>2</v>
      </c>
      <c r="E1240" s="5">
        <v>45.11</v>
      </c>
      <c r="F1240" s="1" t="s">
        <v>18</v>
      </c>
      <c r="G1240" s="1">
        <v>2</v>
      </c>
      <c r="H1240" s="1" t="s">
        <v>16</v>
      </c>
      <c r="I1240" s="1" t="s">
        <v>16</v>
      </c>
      <c r="J1240" s="1" t="s">
        <v>16</v>
      </c>
      <c r="K1240" s="1" t="s">
        <v>17</v>
      </c>
      <c r="L1240" s="1" t="s">
        <v>17</v>
      </c>
      <c r="M1240" s="1" t="s">
        <v>17</v>
      </c>
      <c r="N1240" s="27" t="s">
        <v>605</v>
      </c>
      <c r="O1240" s="1" t="s">
        <v>16</v>
      </c>
    </row>
    <row r="1241" spans="1:15" x14ac:dyDescent="0.2">
      <c r="A1241" s="9">
        <v>44879</v>
      </c>
      <c r="B1241" s="1" t="s">
        <v>22</v>
      </c>
      <c r="C1241" s="1">
        <v>7</v>
      </c>
      <c r="D1241" s="1">
        <v>2</v>
      </c>
      <c r="E1241" s="5">
        <v>45.87</v>
      </c>
      <c r="F1241" s="1" t="s">
        <v>18</v>
      </c>
      <c r="G1241" s="1">
        <v>2</v>
      </c>
      <c r="H1241" s="1" t="s">
        <v>16</v>
      </c>
      <c r="I1241" s="1" t="s">
        <v>16</v>
      </c>
      <c r="J1241" s="1" t="s">
        <v>16</v>
      </c>
      <c r="K1241" s="1" t="s">
        <v>17</v>
      </c>
      <c r="L1241" s="1" t="s">
        <v>17</v>
      </c>
      <c r="M1241" s="1" t="s">
        <v>17</v>
      </c>
      <c r="N1241" s="27" t="s">
        <v>605</v>
      </c>
      <c r="O1241" s="1" t="s">
        <v>16</v>
      </c>
    </row>
    <row r="1242" spans="1:15" x14ac:dyDescent="0.2">
      <c r="A1242" s="9">
        <v>44879</v>
      </c>
      <c r="B1242" s="1" t="s">
        <v>22</v>
      </c>
      <c r="C1242" s="1">
        <v>8</v>
      </c>
      <c r="D1242" s="1">
        <v>2</v>
      </c>
      <c r="E1242" s="5">
        <v>55.88</v>
      </c>
      <c r="F1242" s="1" t="s">
        <v>18</v>
      </c>
      <c r="G1242" s="1">
        <v>2</v>
      </c>
      <c r="H1242" s="1" t="s">
        <v>16</v>
      </c>
      <c r="I1242" s="1" t="s">
        <v>16</v>
      </c>
      <c r="J1242" s="1" t="s">
        <v>16</v>
      </c>
      <c r="K1242" s="1" t="s">
        <v>17</v>
      </c>
      <c r="L1242" s="1" t="s">
        <v>17</v>
      </c>
      <c r="M1242" s="1" t="s">
        <v>17</v>
      </c>
      <c r="N1242" s="27" t="s">
        <v>605</v>
      </c>
      <c r="O1242" s="1" t="s">
        <v>16</v>
      </c>
    </row>
    <row r="1243" spans="1:15" x14ac:dyDescent="0.2">
      <c r="A1243" s="9">
        <v>44879</v>
      </c>
      <c r="B1243" s="1" t="s">
        <v>22</v>
      </c>
      <c r="C1243" s="1">
        <v>9</v>
      </c>
      <c r="D1243" s="1">
        <v>2</v>
      </c>
      <c r="E1243" s="5">
        <v>46.31</v>
      </c>
      <c r="F1243" s="1" t="s">
        <v>18</v>
      </c>
      <c r="G1243" s="1">
        <v>2</v>
      </c>
      <c r="H1243" s="1" t="s">
        <v>16</v>
      </c>
      <c r="I1243" s="1" t="s">
        <v>16</v>
      </c>
      <c r="J1243" s="1" t="s">
        <v>16</v>
      </c>
      <c r="K1243" s="1" t="s">
        <v>17</v>
      </c>
      <c r="L1243" s="1" t="s">
        <v>17</v>
      </c>
      <c r="M1243" s="1" t="s">
        <v>17</v>
      </c>
      <c r="N1243" s="27" t="s">
        <v>605</v>
      </c>
      <c r="O1243" s="1" t="s">
        <v>16</v>
      </c>
    </row>
    <row r="1244" spans="1:15" x14ac:dyDescent="0.2">
      <c r="A1244" s="9">
        <v>44879</v>
      </c>
      <c r="B1244" s="1" t="s">
        <v>22</v>
      </c>
      <c r="C1244" s="1">
        <v>10</v>
      </c>
      <c r="D1244" s="1">
        <v>2</v>
      </c>
      <c r="E1244" s="5">
        <v>61.75</v>
      </c>
      <c r="F1244" s="1" t="s">
        <v>18</v>
      </c>
      <c r="G1244" s="1">
        <v>2</v>
      </c>
      <c r="H1244" s="1" t="s">
        <v>16</v>
      </c>
      <c r="I1244" s="1" t="s">
        <v>16</v>
      </c>
      <c r="J1244" s="1" t="s">
        <v>16</v>
      </c>
      <c r="K1244" s="1" t="s">
        <v>17</v>
      </c>
      <c r="L1244" s="1" t="s">
        <v>17</v>
      </c>
      <c r="M1244" s="1" t="s">
        <v>17</v>
      </c>
      <c r="N1244" s="27" t="s">
        <v>605</v>
      </c>
      <c r="O1244" s="1" t="s">
        <v>16</v>
      </c>
    </row>
    <row r="1245" spans="1:15" x14ac:dyDescent="0.2">
      <c r="A1245" s="9">
        <v>44879</v>
      </c>
      <c r="B1245" s="1" t="s">
        <v>22</v>
      </c>
      <c r="C1245" s="1">
        <v>11</v>
      </c>
      <c r="D1245" s="1">
        <v>3</v>
      </c>
      <c r="E1245" s="5">
        <v>42.56</v>
      </c>
      <c r="F1245" s="1" t="s">
        <v>18</v>
      </c>
      <c r="G1245" s="1">
        <v>2</v>
      </c>
      <c r="H1245" s="1" t="s">
        <v>16</v>
      </c>
      <c r="I1245" s="1" t="s">
        <v>16</v>
      </c>
      <c r="J1245" s="1" t="s">
        <v>16</v>
      </c>
      <c r="K1245" s="1" t="s">
        <v>17</v>
      </c>
      <c r="L1245" s="1" t="s">
        <v>17</v>
      </c>
      <c r="M1245" s="1" t="s">
        <v>17</v>
      </c>
      <c r="N1245" s="27" t="s">
        <v>605</v>
      </c>
      <c r="O1245" s="1" t="s">
        <v>16</v>
      </c>
    </row>
    <row r="1246" spans="1:15" x14ac:dyDescent="0.2">
      <c r="A1246" s="9">
        <v>44879</v>
      </c>
      <c r="B1246" s="1" t="s">
        <v>22</v>
      </c>
      <c r="C1246" s="1">
        <v>12</v>
      </c>
      <c r="D1246" s="1">
        <v>3</v>
      </c>
      <c r="E1246" s="5">
        <v>51.16</v>
      </c>
      <c r="F1246" s="1" t="s">
        <v>18</v>
      </c>
      <c r="G1246" s="1">
        <v>2</v>
      </c>
      <c r="H1246" s="1" t="s">
        <v>16</v>
      </c>
      <c r="I1246" s="1" t="s">
        <v>16</v>
      </c>
      <c r="J1246" s="1" t="s">
        <v>16</v>
      </c>
      <c r="K1246" s="1" t="s">
        <v>17</v>
      </c>
      <c r="L1246" s="1" t="s">
        <v>17</v>
      </c>
      <c r="M1246" s="1" t="s">
        <v>17</v>
      </c>
      <c r="N1246" s="27" t="s">
        <v>605</v>
      </c>
      <c r="O1246" s="1" t="s">
        <v>16</v>
      </c>
    </row>
    <row r="1247" spans="1:15" x14ac:dyDescent="0.2">
      <c r="A1247" s="9">
        <v>44879</v>
      </c>
      <c r="B1247" s="1" t="s">
        <v>22</v>
      </c>
      <c r="C1247" s="1">
        <v>13</v>
      </c>
      <c r="D1247" s="1">
        <v>3</v>
      </c>
      <c r="E1247" s="5">
        <v>56.39</v>
      </c>
      <c r="F1247" s="1" t="s">
        <v>18</v>
      </c>
      <c r="G1247" s="1">
        <v>2</v>
      </c>
      <c r="H1247" s="1" t="s">
        <v>16</v>
      </c>
      <c r="I1247" s="1" t="s">
        <v>16</v>
      </c>
      <c r="J1247" s="1" t="s">
        <v>16</v>
      </c>
      <c r="K1247" s="1" t="s">
        <v>17</v>
      </c>
      <c r="L1247" s="1" t="s">
        <v>17</v>
      </c>
      <c r="M1247" s="1" t="s">
        <v>17</v>
      </c>
      <c r="N1247" s="27" t="s">
        <v>605</v>
      </c>
      <c r="O1247" s="1" t="s">
        <v>16</v>
      </c>
    </row>
    <row r="1248" spans="1:15" x14ac:dyDescent="0.2">
      <c r="A1248" s="9">
        <v>44879</v>
      </c>
      <c r="B1248" s="1" t="s">
        <v>22</v>
      </c>
      <c r="C1248" s="1">
        <v>14</v>
      </c>
      <c r="D1248" s="1">
        <v>3</v>
      </c>
      <c r="E1248" s="5">
        <v>50.94</v>
      </c>
      <c r="F1248" s="1" t="s">
        <v>18</v>
      </c>
      <c r="G1248" s="1">
        <v>2</v>
      </c>
      <c r="H1248" s="1" t="s">
        <v>16</v>
      </c>
      <c r="I1248" s="1" t="s">
        <v>16</v>
      </c>
      <c r="J1248" s="1" t="s">
        <v>16</v>
      </c>
      <c r="K1248" s="1" t="s">
        <v>17</v>
      </c>
      <c r="L1248" s="1" t="s">
        <v>17</v>
      </c>
      <c r="M1248" s="1" t="s">
        <v>17</v>
      </c>
      <c r="N1248" s="27" t="s">
        <v>605</v>
      </c>
      <c r="O1248" s="1" t="s">
        <v>16</v>
      </c>
    </row>
    <row r="1249" spans="1:15" x14ac:dyDescent="0.2">
      <c r="A1249" s="9">
        <v>44879</v>
      </c>
      <c r="B1249" s="1" t="s">
        <v>22</v>
      </c>
      <c r="C1249" s="1">
        <v>15</v>
      </c>
      <c r="D1249" s="1">
        <v>3</v>
      </c>
      <c r="E1249" s="5">
        <v>83.02</v>
      </c>
      <c r="F1249" s="1" t="s">
        <v>18</v>
      </c>
      <c r="G1249" s="1">
        <v>2</v>
      </c>
      <c r="H1249" s="1" t="s">
        <v>16</v>
      </c>
      <c r="I1249" s="1" t="s">
        <v>16</v>
      </c>
      <c r="J1249" s="1" t="s">
        <v>16</v>
      </c>
      <c r="K1249" s="1" t="s">
        <v>17</v>
      </c>
      <c r="L1249" s="1" t="s">
        <v>17</v>
      </c>
      <c r="M1249" s="1" t="s">
        <v>17</v>
      </c>
      <c r="N1249" s="27" t="s">
        <v>605</v>
      </c>
      <c r="O1249" s="1" t="s">
        <v>16</v>
      </c>
    </row>
    <row r="1250" spans="1:15" x14ac:dyDescent="0.2">
      <c r="A1250" s="9">
        <v>44901</v>
      </c>
      <c r="B1250" s="1" t="s">
        <v>22</v>
      </c>
      <c r="C1250" s="1">
        <v>1</v>
      </c>
      <c r="D1250" s="1">
        <v>1</v>
      </c>
      <c r="E1250" s="5">
        <v>33.18</v>
      </c>
      <c r="F1250" s="1" t="s">
        <v>18</v>
      </c>
      <c r="G1250" s="1">
        <v>2</v>
      </c>
      <c r="H1250" s="1" t="s">
        <v>16</v>
      </c>
      <c r="I1250" s="1" t="s">
        <v>16</v>
      </c>
      <c r="J1250" s="1" t="s">
        <v>16</v>
      </c>
      <c r="K1250" s="1" t="s">
        <v>17</v>
      </c>
      <c r="L1250" s="1" t="s">
        <v>17</v>
      </c>
      <c r="M1250" s="1" t="s">
        <v>17</v>
      </c>
      <c r="N1250" s="27" t="s">
        <v>605</v>
      </c>
      <c r="O1250" s="1" t="s">
        <v>16</v>
      </c>
    </row>
    <row r="1251" spans="1:15" x14ac:dyDescent="0.2">
      <c r="A1251" s="9">
        <v>44901</v>
      </c>
      <c r="B1251" s="1" t="s">
        <v>22</v>
      </c>
      <c r="C1251" s="1">
        <v>2</v>
      </c>
      <c r="D1251" s="1">
        <v>1</v>
      </c>
      <c r="E1251" s="5">
        <v>32.130000000000003</v>
      </c>
      <c r="F1251" s="1" t="s">
        <v>16</v>
      </c>
      <c r="G1251" s="1">
        <v>4</v>
      </c>
      <c r="H1251" s="1" t="s">
        <v>16</v>
      </c>
      <c r="I1251" s="1" t="s">
        <v>16</v>
      </c>
      <c r="J1251" s="1" t="s">
        <v>16</v>
      </c>
      <c r="K1251" s="1" t="s">
        <v>17</v>
      </c>
      <c r="L1251" s="1" t="s">
        <v>17</v>
      </c>
      <c r="M1251" s="1" t="s">
        <v>17</v>
      </c>
      <c r="N1251" s="27" t="s">
        <v>605</v>
      </c>
      <c r="O1251" s="1" t="s">
        <v>16</v>
      </c>
    </row>
    <row r="1252" spans="1:15" x14ac:dyDescent="0.2">
      <c r="A1252" s="9">
        <v>44901</v>
      </c>
      <c r="B1252" s="1" t="s">
        <v>22</v>
      </c>
      <c r="C1252" s="1">
        <v>3</v>
      </c>
      <c r="D1252" s="1">
        <v>1</v>
      </c>
      <c r="E1252" s="5">
        <v>36.75</v>
      </c>
      <c r="F1252" s="1" t="s">
        <v>18</v>
      </c>
      <c r="G1252" s="1">
        <v>3</v>
      </c>
      <c r="H1252" s="1" t="s">
        <v>16</v>
      </c>
      <c r="I1252" s="1" t="s">
        <v>16</v>
      </c>
      <c r="J1252" s="1" t="s">
        <v>16</v>
      </c>
      <c r="K1252" s="1" t="s">
        <v>17</v>
      </c>
      <c r="L1252" s="1" t="s">
        <v>17</v>
      </c>
      <c r="M1252" s="1" t="s">
        <v>17</v>
      </c>
      <c r="N1252" s="27" t="s">
        <v>605</v>
      </c>
      <c r="O1252" s="1" t="s">
        <v>16</v>
      </c>
    </row>
    <row r="1253" spans="1:15" x14ac:dyDescent="0.2">
      <c r="A1253" s="9">
        <v>44901</v>
      </c>
      <c r="B1253" s="1" t="s">
        <v>22</v>
      </c>
      <c r="C1253" s="1">
        <v>4</v>
      </c>
      <c r="D1253" s="1">
        <v>1</v>
      </c>
      <c r="E1253" s="5">
        <v>29.5</v>
      </c>
      <c r="F1253" s="1" t="s">
        <v>16</v>
      </c>
      <c r="G1253" s="1">
        <v>4</v>
      </c>
      <c r="H1253" s="1" t="s">
        <v>16</v>
      </c>
      <c r="I1253" s="1" t="s">
        <v>16</v>
      </c>
      <c r="J1253" s="1" t="s">
        <v>16</v>
      </c>
      <c r="K1253" s="1" t="s">
        <v>17</v>
      </c>
      <c r="L1253" s="1" t="s">
        <v>17</v>
      </c>
      <c r="M1253" s="1" t="s">
        <v>21</v>
      </c>
      <c r="N1253" s="27" t="s">
        <v>605</v>
      </c>
      <c r="O1253" s="1" t="s">
        <v>16</v>
      </c>
    </row>
    <row r="1254" spans="1:15" x14ac:dyDescent="0.2">
      <c r="A1254" s="9">
        <v>44901</v>
      </c>
      <c r="B1254" s="1" t="s">
        <v>22</v>
      </c>
      <c r="C1254" s="1">
        <v>5</v>
      </c>
      <c r="D1254" s="1">
        <v>1</v>
      </c>
      <c r="E1254" s="5">
        <v>42.4</v>
      </c>
      <c r="F1254" s="1" t="s">
        <v>19</v>
      </c>
      <c r="G1254" s="1">
        <v>3</v>
      </c>
      <c r="H1254" s="1" t="s">
        <v>16</v>
      </c>
      <c r="I1254" s="1" t="s">
        <v>16</v>
      </c>
      <c r="J1254" s="1" t="s">
        <v>16</v>
      </c>
      <c r="K1254" s="1" t="s">
        <v>17</v>
      </c>
      <c r="L1254" s="1" t="s">
        <v>17</v>
      </c>
      <c r="M1254" s="1" t="s">
        <v>17</v>
      </c>
      <c r="N1254" s="27" t="s">
        <v>605</v>
      </c>
      <c r="O1254" s="1" t="s">
        <v>16</v>
      </c>
    </row>
    <row r="1255" spans="1:15" x14ac:dyDescent="0.2">
      <c r="A1255" s="9">
        <v>44901</v>
      </c>
      <c r="B1255" s="1" t="s">
        <v>22</v>
      </c>
      <c r="C1255" s="1">
        <v>6</v>
      </c>
      <c r="D1255" s="1">
        <v>2</v>
      </c>
      <c r="E1255" s="5">
        <v>50.26</v>
      </c>
      <c r="F1255" s="1" t="s">
        <v>16</v>
      </c>
      <c r="G1255" s="1" t="s">
        <v>16</v>
      </c>
      <c r="H1255" s="1" t="s">
        <v>16</v>
      </c>
      <c r="I1255" s="1" t="s">
        <v>16</v>
      </c>
      <c r="J1255" s="1" t="s">
        <v>16</v>
      </c>
      <c r="K1255" s="1" t="s">
        <v>17</v>
      </c>
      <c r="L1255" s="1" t="s">
        <v>21</v>
      </c>
      <c r="M1255" s="1" t="s">
        <v>17</v>
      </c>
      <c r="N1255" s="27" t="s">
        <v>605</v>
      </c>
      <c r="O1255" s="1" t="s">
        <v>16</v>
      </c>
    </row>
    <row r="1256" spans="1:15" x14ac:dyDescent="0.2">
      <c r="A1256" s="9">
        <v>44901</v>
      </c>
      <c r="B1256" s="1" t="s">
        <v>22</v>
      </c>
      <c r="C1256" s="1">
        <v>7</v>
      </c>
      <c r="D1256" s="1">
        <v>2</v>
      </c>
      <c r="E1256" s="5">
        <v>55.73</v>
      </c>
      <c r="F1256" s="1" t="s">
        <v>18</v>
      </c>
      <c r="G1256" s="1">
        <v>2</v>
      </c>
      <c r="H1256" s="1" t="s">
        <v>16</v>
      </c>
      <c r="I1256" s="1" t="s">
        <v>16</v>
      </c>
      <c r="J1256" s="1" t="s">
        <v>16</v>
      </c>
      <c r="K1256" s="1" t="s">
        <v>17</v>
      </c>
      <c r="L1256" s="1" t="s">
        <v>17</v>
      </c>
      <c r="M1256" s="1" t="s">
        <v>17</v>
      </c>
      <c r="N1256" s="27" t="s">
        <v>605</v>
      </c>
      <c r="O1256" s="1" t="s">
        <v>16</v>
      </c>
    </row>
    <row r="1257" spans="1:15" x14ac:dyDescent="0.2">
      <c r="A1257" s="9">
        <v>44901</v>
      </c>
      <c r="B1257" s="1" t="s">
        <v>22</v>
      </c>
      <c r="C1257" s="1">
        <v>8</v>
      </c>
      <c r="D1257" s="1">
        <v>2</v>
      </c>
      <c r="E1257" s="5">
        <v>47.48</v>
      </c>
      <c r="F1257" s="1" t="s">
        <v>16</v>
      </c>
      <c r="G1257" s="1" t="s">
        <v>16</v>
      </c>
      <c r="H1257" s="1" t="s">
        <v>16</v>
      </c>
      <c r="I1257" s="1" t="s">
        <v>16</v>
      </c>
      <c r="J1257" s="1" t="s">
        <v>16</v>
      </c>
      <c r="K1257" s="1" t="s">
        <v>20</v>
      </c>
      <c r="L1257" s="1" t="s">
        <v>17</v>
      </c>
      <c r="M1257" s="1" t="s">
        <v>17</v>
      </c>
      <c r="N1257" s="27" t="s">
        <v>605</v>
      </c>
      <c r="O1257" s="1" t="s">
        <v>16</v>
      </c>
    </row>
    <row r="1258" spans="1:15" x14ac:dyDescent="0.2">
      <c r="A1258" s="9">
        <v>44901</v>
      </c>
      <c r="B1258" s="1" t="s">
        <v>22</v>
      </c>
      <c r="C1258" s="1">
        <v>9</v>
      </c>
      <c r="D1258" s="1">
        <v>2</v>
      </c>
      <c r="E1258" s="5">
        <v>35.68</v>
      </c>
      <c r="F1258" s="1" t="s">
        <v>18</v>
      </c>
      <c r="G1258" s="1">
        <v>2</v>
      </c>
      <c r="H1258" s="1" t="s">
        <v>16</v>
      </c>
      <c r="I1258" s="1" t="s">
        <v>16</v>
      </c>
      <c r="J1258" s="1" t="s">
        <v>16</v>
      </c>
      <c r="K1258" s="1" t="s">
        <v>17</v>
      </c>
      <c r="L1258" s="1" t="s">
        <v>17</v>
      </c>
      <c r="M1258" s="1" t="s">
        <v>17</v>
      </c>
      <c r="N1258" s="27" t="s">
        <v>605</v>
      </c>
      <c r="O1258" s="1" t="s">
        <v>16</v>
      </c>
    </row>
    <row r="1259" spans="1:15" x14ac:dyDescent="0.2">
      <c r="A1259" s="9">
        <v>44901</v>
      </c>
      <c r="B1259" s="1" t="s">
        <v>22</v>
      </c>
      <c r="C1259" s="1">
        <v>10</v>
      </c>
      <c r="D1259" s="1">
        <v>2</v>
      </c>
      <c r="E1259" s="5">
        <v>48.37</v>
      </c>
      <c r="F1259" s="1" t="s">
        <v>16</v>
      </c>
      <c r="G1259" s="1">
        <v>4</v>
      </c>
      <c r="H1259" s="1" t="s">
        <v>16</v>
      </c>
      <c r="I1259" s="1" t="s">
        <v>16</v>
      </c>
      <c r="J1259" s="1" t="s">
        <v>16</v>
      </c>
      <c r="K1259" s="1" t="s">
        <v>17</v>
      </c>
      <c r="L1259" s="1" t="s">
        <v>17</v>
      </c>
      <c r="M1259" s="1" t="s">
        <v>17</v>
      </c>
      <c r="N1259" s="27" t="s">
        <v>605</v>
      </c>
      <c r="O1259" s="1" t="s">
        <v>16</v>
      </c>
    </row>
    <row r="1260" spans="1:15" x14ac:dyDescent="0.2">
      <c r="A1260" s="9">
        <v>44901</v>
      </c>
      <c r="B1260" s="1" t="s">
        <v>22</v>
      </c>
      <c r="C1260" s="1">
        <v>11</v>
      </c>
      <c r="D1260" s="1">
        <v>3</v>
      </c>
      <c r="E1260" s="5">
        <v>39.94</v>
      </c>
      <c r="F1260" s="1" t="s">
        <v>18</v>
      </c>
      <c r="G1260" s="1">
        <v>2</v>
      </c>
      <c r="H1260" s="1" t="s">
        <v>16</v>
      </c>
      <c r="I1260" s="1" t="s">
        <v>16</v>
      </c>
      <c r="J1260" s="1" t="s">
        <v>16</v>
      </c>
      <c r="K1260" s="1" t="s">
        <v>17</v>
      </c>
      <c r="L1260" s="1" t="s">
        <v>17</v>
      </c>
      <c r="M1260" s="1" t="s">
        <v>17</v>
      </c>
      <c r="N1260" s="27" t="s">
        <v>605</v>
      </c>
      <c r="O1260" s="1" t="s">
        <v>16</v>
      </c>
    </row>
    <row r="1261" spans="1:15" x14ac:dyDescent="0.2">
      <c r="A1261" s="9">
        <v>44901</v>
      </c>
      <c r="B1261" s="1" t="s">
        <v>22</v>
      </c>
      <c r="C1261" s="1">
        <v>12</v>
      </c>
      <c r="D1261" s="1">
        <v>3</v>
      </c>
      <c r="E1261" s="5">
        <v>32.590000000000003</v>
      </c>
      <c r="F1261" s="1" t="s">
        <v>18</v>
      </c>
      <c r="G1261" s="1">
        <v>2</v>
      </c>
      <c r="H1261" s="1" t="s">
        <v>16</v>
      </c>
      <c r="I1261" s="1" t="s">
        <v>16</v>
      </c>
      <c r="J1261" s="1" t="s">
        <v>16</v>
      </c>
      <c r="K1261" s="1" t="s">
        <v>17</v>
      </c>
      <c r="L1261" s="1" t="s">
        <v>17</v>
      </c>
      <c r="M1261" s="1" t="s">
        <v>17</v>
      </c>
      <c r="N1261" s="27" t="s">
        <v>605</v>
      </c>
      <c r="O1261" s="1" t="s">
        <v>16</v>
      </c>
    </row>
    <row r="1262" spans="1:15" x14ac:dyDescent="0.2">
      <c r="A1262" s="9">
        <v>44901</v>
      </c>
      <c r="B1262" s="1" t="s">
        <v>22</v>
      </c>
      <c r="C1262" s="1">
        <v>13</v>
      </c>
      <c r="D1262" s="1">
        <v>3</v>
      </c>
      <c r="E1262" s="5">
        <v>56.46</v>
      </c>
      <c r="F1262" s="1" t="s">
        <v>19</v>
      </c>
      <c r="G1262" s="1">
        <v>2</v>
      </c>
      <c r="H1262" s="1" t="s">
        <v>16</v>
      </c>
      <c r="I1262" s="1" t="s">
        <v>16</v>
      </c>
      <c r="J1262" s="1" t="s">
        <v>16</v>
      </c>
      <c r="K1262" s="1" t="s">
        <v>17</v>
      </c>
      <c r="L1262" s="1" t="s">
        <v>17</v>
      </c>
      <c r="M1262" s="1" t="s">
        <v>17</v>
      </c>
      <c r="N1262" s="27" t="s">
        <v>605</v>
      </c>
      <c r="O1262" s="1" t="s">
        <v>16</v>
      </c>
    </row>
    <row r="1263" spans="1:15" x14ac:dyDescent="0.2">
      <c r="A1263" s="9">
        <v>44901</v>
      </c>
      <c r="B1263" s="1" t="s">
        <v>22</v>
      </c>
      <c r="C1263" s="1">
        <v>14</v>
      </c>
      <c r="D1263" s="1">
        <v>3</v>
      </c>
      <c r="E1263" s="5">
        <v>56.93</v>
      </c>
      <c r="F1263" s="1" t="s">
        <v>18</v>
      </c>
      <c r="G1263" s="1">
        <v>2</v>
      </c>
      <c r="H1263" s="1" t="s">
        <v>16</v>
      </c>
      <c r="I1263" s="1" t="s">
        <v>16</v>
      </c>
      <c r="J1263" s="1" t="s">
        <v>16</v>
      </c>
      <c r="K1263" s="1" t="s">
        <v>17</v>
      </c>
      <c r="L1263" s="1" t="s">
        <v>17</v>
      </c>
      <c r="M1263" s="1" t="s">
        <v>17</v>
      </c>
      <c r="N1263" s="27" t="s">
        <v>605</v>
      </c>
      <c r="O1263" s="1" t="s">
        <v>16</v>
      </c>
    </row>
    <row r="1264" spans="1:15" x14ac:dyDescent="0.2">
      <c r="A1264" s="9">
        <v>44901</v>
      </c>
      <c r="B1264" s="1" t="s">
        <v>22</v>
      </c>
      <c r="C1264" s="1">
        <v>15</v>
      </c>
      <c r="D1264" s="1">
        <v>3</v>
      </c>
      <c r="E1264" s="5">
        <v>48.34</v>
      </c>
      <c r="F1264" s="1" t="s">
        <v>19</v>
      </c>
      <c r="G1264" s="1">
        <v>2</v>
      </c>
      <c r="H1264" s="1" t="s">
        <v>16</v>
      </c>
      <c r="I1264" s="1" t="s">
        <v>16</v>
      </c>
      <c r="J1264" s="1" t="s">
        <v>16</v>
      </c>
      <c r="K1264" s="1" t="s">
        <v>17</v>
      </c>
      <c r="L1264" s="1" t="s">
        <v>17</v>
      </c>
      <c r="M1264" s="1" t="s">
        <v>17</v>
      </c>
      <c r="N1264" s="27" t="s">
        <v>605</v>
      </c>
      <c r="O1264" s="1" t="s">
        <v>16</v>
      </c>
    </row>
    <row r="1265" spans="1:15" x14ac:dyDescent="0.2">
      <c r="A1265" s="9">
        <v>44930</v>
      </c>
      <c r="B1265" s="1" t="s">
        <v>22</v>
      </c>
      <c r="C1265" s="1">
        <v>1</v>
      </c>
      <c r="D1265" s="1">
        <v>1</v>
      </c>
      <c r="E1265" s="5">
        <v>55.79</v>
      </c>
      <c r="F1265" s="1" t="s">
        <v>18</v>
      </c>
      <c r="G1265" s="1">
        <v>3</v>
      </c>
      <c r="H1265" s="1" t="s">
        <v>16</v>
      </c>
      <c r="I1265" s="1" t="s">
        <v>16</v>
      </c>
      <c r="J1265" s="1" t="s">
        <v>16</v>
      </c>
      <c r="K1265" s="1" t="s">
        <v>17</v>
      </c>
      <c r="L1265" s="1" t="s">
        <v>17</v>
      </c>
      <c r="M1265" s="1" t="s">
        <v>17</v>
      </c>
      <c r="N1265" s="27" t="s">
        <v>605</v>
      </c>
      <c r="O1265" s="1" t="s">
        <v>16</v>
      </c>
    </row>
    <row r="1266" spans="1:15" x14ac:dyDescent="0.2">
      <c r="A1266" s="9">
        <v>44930</v>
      </c>
      <c r="B1266" s="1" t="s">
        <v>22</v>
      </c>
      <c r="C1266" s="1">
        <v>2</v>
      </c>
      <c r="D1266" s="1">
        <v>1</v>
      </c>
      <c r="E1266" s="5">
        <v>60.07</v>
      </c>
      <c r="F1266" s="1" t="s">
        <v>16</v>
      </c>
      <c r="G1266" s="1">
        <v>4</v>
      </c>
      <c r="H1266" s="1" t="s">
        <v>16</v>
      </c>
      <c r="I1266" s="1" t="s">
        <v>16</v>
      </c>
      <c r="J1266" s="1" t="s">
        <v>16</v>
      </c>
      <c r="K1266" s="1" t="s">
        <v>17</v>
      </c>
      <c r="L1266" s="1" t="s">
        <v>17</v>
      </c>
      <c r="M1266" s="1" t="s">
        <v>17</v>
      </c>
      <c r="N1266" s="27" t="s">
        <v>605</v>
      </c>
      <c r="O1266" s="1" t="s">
        <v>16</v>
      </c>
    </row>
    <row r="1267" spans="1:15" x14ac:dyDescent="0.2">
      <c r="A1267" s="9">
        <v>44930</v>
      </c>
      <c r="B1267" s="1" t="s">
        <v>22</v>
      </c>
      <c r="C1267" s="1">
        <v>3</v>
      </c>
      <c r="D1267" s="1">
        <v>1</v>
      </c>
      <c r="E1267" s="5">
        <v>52.48</v>
      </c>
      <c r="F1267" s="1" t="s">
        <v>16</v>
      </c>
      <c r="G1267" s="1">
        <v>4</v>
      </c>
      <c r="H1267" s="1" t="s">
        <v>16</v>
      </c>
      <c r="I1267" s="1" t="s">
        <v>16</v>
      </c>
      <c r="J1267" s="1" t="s">
        <v>16</v>
      </c>
      <c r="K1267" s="1" t="s">
        <v>17</v>
      </c>
      <c r="L1267" s="1" t="s">
        <v>17</v>
      </c>
      <c r="M1267" s="1" t="s">
        <v>17</v>
      </c>
      <c r="N1267" s="27" t="s">
        <v>605</v>
      </c>
      <c r="O1267" s="1" t="s">
        <v>16</v>
      </c>
    </row>
    <row r="1268" spans="1:15" x14ac:dyDescent="0.2">
      <c r="A1268" s="9">
        <v>44930</v>
      </c>
      <c r="B1268" s="1" t="s">
        <v>22</v>
      </c>
      <c r="C1268" s="1">
        <v>4</v>
      </c>
      <c r="D1268" s="1">
        <v>1</v>
      </c>
      <c r="E1268" s="5">
        <v>35.47</v>
      </c>
      <c r="F1268" s="1" t="s">
        <v>18</v>
      </c>
      <c r="G1268" s="1">
        <v>3</v>
      </c>
      <c r="H1268" s="1" t="s">
        <v>16</v>
      </c>
      <c r="I1268" s="1" t="s">
        <v>16</v>
      </c>
      <c r="J1268" s="1" t="s">
        <v>16</v>
      </c>
      <c r="K1268" s="1" t="s">
        <v>17</v>
      </c>
      <c r="L1268" s="1" t="s">
        <v>17</v>
      </c>
      <c r="M1268" s="1" t="s">
        <v>17</v>
      </c>
      <c r="N1268" s="27" t="s">
        <v>605</v>
      </c>
      <c r="O1268" s="1" t="s">
        <v>16</v>
      </c>
    </row>
    <row r="1269" spans="1:15" x14ac:dyDescent="0.2">
      <c r="A1269" s="9">
        <v>44930</v>
      </c>
      <c r="B1269" s="1" t="s">
        <v>22</v>
      </c>
      <c r="C1269" s="1">
        <v>5</v>
      </c>
      <c r="D1269" s="1">
        <v>1</v>
      </c>
      <c r="E1269" s="5">
        <v>40.42</v>
      </c>
      <c r="F1269" s="1" t="s">
        <v>16</v>
      </c>
      <c r="G1269" s="1">
        <v>4</v>
      </c>
      <c r="H1269" s="1" t="s">
        <v>16</v>
      </c>
      <c r="I1269" s="1" t="s">
        <v>16</v>
      </c>
      <c r="J1269" s="1" t="s">
        <v>16</v>
      </c>
      <c r="K1269" s="1" t="s">
        <v>21</v>
      </c>
      <c r="L1269" s="1" t="s">
        <v>17</v>
      </c>
      <c r="M1269" s="1" t="s">
        <v>17</v>
      </c>
      <c r="N1269" s="27" t="s">
        <v>605</v>
      </c>
      <c r="O1269" s="1" t="s">
        <v>16</v>
      </c>
    </row>
    <row r="1270" spans="1:15" x14ac:dyDescent="0.2">
      <c r="A1270" s="9">
        <v>44930</v>
      </c>
      <c r="B1270" s="1" t="s">
        <v>22</v>
      </c>
      <c r="C1270" s="1">
        <v>6</v>
      </c>
      <c r="D1270" s="1">
        <v>2</v>
      </c>
      <c r="E1270" s="5">
        <v>54.48</v>
      </c>
      <c r="F1270" s="1" t="s">
        <v>18</v>
      </c>
      <c r="G1270" s="1">
        <v>3</v>
      </c>
      <c r="H1270" s="1" t="s">
        <v>16</v>
      </c>
      <c r="I1270" s="1" t="s">
        <v>16</v>
      </c>
      <c r="J1270" s="1" t="s">
        <v>16</v>
      </c>
      <c r="K1270" s="1" t="s">
        <v>17</v>
      </c>
      <c r="L1270" s="1" t="s">
        <v>17</v>
      </c>
      <c r="M1270" s="1" t="s">
        <v>17</v>
      </c>
      <c r="N1270" s="27" t="s">
        <v>605</v>
      </c>
      <c r="O1270" s="1" t="s">
        <v>16</v>
      </c>
    </row>
    <row r="1271" spans="1:15" x14ac:dyDescent="0.2">
      <c r="A1271" s="9">
        <v>44930</v>
      </c>
      <c r="B1271" s="1" t="s">
        <v>22</v>
      </c>
      <c r="C1271" s="1">
        <v>7</v>
      </c>
      <c r="D1271" s="1">
        <v>2</v>
      </c>
      <c r="E1271" s="5">
        <v>54.49</v>
      </c>
      <c r="F1271" s="1" t="s">
        <v>18</v>
      </c>
      <c r="G1271" s="1">
        <v>1</v>
      </c>
      <c r="H1271" s="1" t="s">
        <v>16</v>
      </c>
      <c r="I1271" s="1" t="s">
        <v>16</v>
      </c>
      <c r="J1271" s="1" t="s">
        <v>16</v>
      </c>
      <c r="K1271" s="1" t="s">
        <v>17</v>
      </c>
      <c r="L1271" s="1" t="s">
        <v>17</v>
      </c>
      <c r="M1271" s="1" t="s">
        <v>17</v>
      </c>
      <c r="N1271" s="27" t="s">
        <v>605</v>
      </c>
      <c r="O1271" s="1" t="s">
        <v>16</v>
      </c>
    </row>
    <row r="1272" spans="1:15" x14ac:dyDescent="0.2">
      <c r="A1272" s="9">
        <v>44930</v>
      </c>
      <c r="B1272" s="1" t="s">
        <v>22</v>
      </c>
      <c r="C1272" s="1">
        <v>8</v>
      </c>
      <c r="D1272" s="1">
        <v>2</v>
      </c>
      <c r="E1272" s="5">
        <v>50.1</v>
      </c>
      <c r="F1272" s="1" t="s">
        <v>18</v>
      </c>
      <c r="G1272" s="1">
        <v>1</v>
      </c>
      <c r="H1272" s="1" t="s">
        <v>16</v>
      </c>
      <c r="I1272" s="1" t="s">
        <v>16</v>
      </c>
      <c r="J1272" s="1" t="s">
        <v>16</v>
      </c>
      <c r="K1272" s="1" t="s">
        <v>21</v>
      </c>
      <c r="L1272" s="1" t="s">
        <v>17</v>
      </c>
      <c r="M1272" s="1" t="s">
        <v>17</v>
      </c>
      <c r="N1272" s="27" t="s">
        <v>605</v>
      </c>
      <c r="O1272" s="1" t="s">
        <v>16</v>
      </c>
    </row>
    <row r="1273" spans="1:15" x14ac:dyDescent="0.2">
      <c r="A1273" s="9">
        <v>44930</v>
      </c>
      <c r="B1273" s="1" t="s">
        <v>22</v>
      </c>
      <c r="C1273" s="1">
        <v>9</v>
      </c>
      <c r="D1273" s="1">
        <v>2</v>
      </c>
      <c r="E1273" s="5">
        <v>44.99</v>
      </c>
      <c r="F1273" s="1" t="s">
        <v>16</v>
      </c>
      <c r="G1273" s="1">
        <v>4</v>
      </c>
      <c r="H1273" s="1" t="s">
        <v>16</v>
      </c>
      <c r="I1273" s="1" t="s">
        <v>16</v>
      </c>
      <c r="J1273" s="1" t="s">
        <v>16</v>
      </c>
      <c r="K1273" s="1" t="s">
        <v>17</v>
      </c>
      <c r="L1273" s="1" t="s">
        <v>17</v>
      </c>
      <c r="M1273" s="1" t="s">
        <v>17</v>
      </c>
      <c r="N1273" s="27" t="s">
        <v>605</v>
      </c>
      <c r="O1273" s="1" t="s">
        <v>16</v>
      </c>
    </row>
    <row r="1274" spans="1:15" x14ac:dyDescent="0.2">
      <c r="A1274" s="9">
        <v>44930</v>
      </c>
      <c r="B1274" s="1" t="s">
        <v>22</v>
      </c>
      <c r="C1274" s="1">
        <v>10</v>
      </c>
      <c r="D1274" s="1">
        <v>2</v>
      </c>
      <c r="E1274" s="5">
        <v>68.73</v>
      </c>
      <c r="F1274" s="1" t="s">
        <v>16</v>
      </c>
      <c r="G1274" s="1" t="s">
        <v>16</v>
      </c>
      <c r="H1274" s="1" t="s">
        <v>16</v>
      </c>
      <c r="I1274" s="1" t="s">
        <v>16</v>
      </c>
      <c r="J1274" s="1" t="s">
        <v>16</v>
      </c>
      <c r="K1274" s="1" t="s">
        <v>17</v>
      </c>
      <c r="L1274" s="1" t="s">
        <v>17</v>
      </c>
      <c r="M1274" s="1" t="s">
        <v>17</v>
      </c>
      <c r="N1274" s="27" t="s">
        <v>605</v>
      </c>
      <c r="O1274" s="1" t="s">
        <v>16</v>
      </c>
    </row>
    <row r="1275" spans="1:15" x14ac:dyDescent="0.2">
      <c r="A1275" s="9">
        <v>44930</v>
      </c>
      <c r="B1275" s="1" t="s">
        <v>22</v>
      </c>
      <c r="C1275" s="1">
        <v>11</v>
      </c>
      <c r="D1275" s="1">
        <v>3</v>
      </c>
      <c r="E1275" s="5">
        <v>69</v>
      </c>
      <c r="F1275" s="1" t="s">
        <v>16</v>
      </c>
      <c r="G1275" s="1" t="s">
        <v>16</v>
      </c>
      <c r="H1275" s="1" t="s">
        <v>16</v>
      </c>
      <c r="I1275" s="1" t="s">
        <v>16</v>
      </c>
      <c r="J1275" s="1" t="s">
        <v>16</v>
      </c>
      <c r="K1275" s="1" t="s">
        <v>17</v>
      </c>
      <c r="L1275" s="1" t="s">
        <v>17</v>
      </c>
      <c r="M1275" s="1" t="s">
        <v>17</v>
      </c>
      <c r="N1275" s="27" t="s">
        <v>605</v>
      </c>
      <c r="O1275" s="1" t="s">
        <v>16</v>
      </c>
    </row>
    <row r="1276" spans="1:15" x14ac:dyDescent="0.2">
      <c r="A1276" s="9">
        <v>44930</v>
      </c>
      <c r="B1276" s="1" t="s">
        <v>22</v>
      </c>
      <c r="C1276" s="1">
        <v>12</v>
      </c>
      <c r="D1276" s="1">
        <v>3</v>
      </c>
      <c r="E1276" s="5">
        <v>40.909999999999997</v>
      </c>
      <c r="F1276" s="1" t="s">
        <v>16</v>
      </c>
      <c r="G1276" s="1">
        <v>4</v>
      </c>
      <c r="H1276" s="1" t="s">
        <v>16</v>
      </c>
      <c r="I1276" s="1" t="s">
        <v>16</v>
      </c>
      <c r="J1276" s="1" t="s">
        <v>16</v>
      </c>
      <c r="K1276" s="1" t="s">
        <v>17</v>
      </c>
      <c r="L1276" s="1" t="s">
        <v>17</v>
      </c>
      <c r="M1276" s="1" t="s">
        <v>17</v>
      </c>
      <c r="N1276" s="27" t="s">
        <v>605</v>
      </c>
      <c r="O1276" s="1" t="s">
        <v>16</v>
      </c>
    </row>
    <row r="1277" spans="1:15" x14ac:dyDescent="0.2">
      <c r="A1277" s="9">
        <v>44930</v>
      </c>
      <c r="B1277" s="1" t="s">
        <v>22</v>
      </c>
      <c r="C1277" s="1">
        <v>13</v>
      </c>
      <c r="D1277" s="1">
        <v>3</v>
      </c>
      <c r="E1277" s="5">
        <v>35.79</v>
      </c>
      <c r="F1277" s="1" t="s">
        <v>18</v>
      </c>
      <c r="G1277" s="1">
        <v>2</v>
      </c>
      <c r="H1277" s="1" t="s">
        <v>16</v>
      </c>
      <c r="I1277" s="1" t="s">
        <v>16</v>
      </c>
      <c r="J1277" s="1" t="s">
        <v>16</v>
      </c>
      <c r="K1277" s="1" t="s">
        <v>17</v>
      </c>
      <c r="L1277" s="1" t="s">
        <v>17</v>
      </c>
      <c r="M1277" s="1" t="s">
        <v>17</v>
      </c>
      <c r="N1277" s="27" t="s">
        <v>605</v>
      </c>
      <c r="O1277" s="1" t="s">
        <v>16</v>
      </c>
    </row>
    <row r="1278" spans="1:15" x14ac:dyDescent="0.2">
      <c r="A1278" s="9">
        <v>44930</v>
      </c>
      <c r="B1278" s="1" t="s">
        <v>22</v>
      </c>
      <c r="C1278" s="1">
        <v>14</v>
      </c>
      <c r="D1278" s="1">
        <v>3</v>
      </c>
      <c r="E1278" s="5">
        <v>45.86</v>
      </c>
      <c r="F1278" s="1" t="s">
        <v>19</v>
      </c>
      <c r="G1278" s="1">
        <v>2</v>
      </c>
      <c r="H1278" s="1" t="s">
        <v>16</v>
      </c>
      <c r="I1278" s="1" t="s">
        <v>16</v>
      </c>
      <c r="J1278" s="1" t="s">
        <v>16</v>
      </c>
      <c r="K1278" s="1" t="s">
        <v>17</v>
      </c>
      <c r="L1278" s="1" t="s">
        <v>17</v>
      </c>
      <c r="M1278" s="1" t="s">
        <v>17</v>
      </c>
      <c r="N1278" s="27" t="s">
        <v>605</v>
      </c>
      <c r="O1278" s="1" t="s">
        <v>16</v>
      </c>
    </row>
    <row r="1279" spans="1:15" x14ac:dyDescent="0.2">
      <c r="A1279" s="9">
        <v>44930</v>
      </c>
      <c r="B1279" s="1" t="s">
        <v>22</v>
      </c>
      <c r="C1279" s="1">
        <v>15</v>
      </c>
      <c r="D1279" s="1">
        <v>3</v>
      </c>
      <c r="E1279" s="5">
        <v>53.16</v>
      </c>
      <c r="F1279" s="1" t="s">
        <v>18</v>
      </c>
      <c r="G1279" s="1">
        <v>1</v>
      </c>
      <c r="H1279" s="1" t="s">
        <v>16</v>
      </c>
      <c r="I1279" s="1" t="s">
        <v>16</v>
      </c>
      <c r="J1279" s="1" t="s">
        <v>16</v>
      </c>
      <c r="K1279" s="1" t="s">
        <v>17</v>
      </c>
      <c r="L1279" s="1" t="s">
        <v>17</v>
      </c>
      <c r="M1279" s="1" t="s">
        <v>17</v>
      </c>
      <c r="N1279" s="27" t="s">
        <v>605</v>
      </c>
      <c r="O1279" s="1" t="s">
        <v>16</v>
      </c>
    </row>
    <row r="1280" spans="1:15" x14ac:dyDescent="0.2">
      <c r="A1280" s="9">
        <v>44964</v>
      </c>
      <c r="B1280" s="1" t="s">
        <v>22</v>
      </c>
      <c r="C1280" s="1">
        <v>1</v>
      </c>
      <c r="D1280" s="1">
        <v>1</v>
      </c>
      <c r="E1280" s="5">
        <v>42.24</v>
      </c>
      <c r="F1280" s="1" t="s">
        <v>16</v>
      </c>
      <c r="G1280" s="1">
        <v>4</v>
      </c>
      <c r="H1280" s="1" t="s">
        <v>16</v>
      </c>
      <c r="I1280" s="1" t="s">
        <v>16</v>
      </c>
      <c r="J1280" s="1" t="s">
        <v>16</v>
      </c>
      <c r="K1280" s="1" t="s">
        <v>17</v>
      </c>
      <c r="L1280" s="1" t="s">
        <v>17</v>
      </c>
      <c r="M1280" s="1" t="s">
        <v>17</v>
      </c>
      <c r="N1280" s="27" t="s">
        <v>605</v>
      </c>
      <c r="O1280" s="1" t="s">
        <v>16</v>
      </c>
    </row>
    <row r="1281" spans="1:15" x14ac:dyDescent="0.2">
      <c r="A1281" s="9">
        <v>44964</v>
      </c>
      <c r="B1281" s="1" t="s">
        <v>22</v>
      </c>
      <c r="C1281" s="1">
        <v>2</v>
      </c>
      <c r="D1281" s="1">
        <v>1</v>
      </c>
      <c r="E1281" s="5">
        <v>46.67</v>
      </c>
      <c r="F1281" s="1" t="s">
        <v>16</v>
      </c>
      <c r="G1281" s="1">
        <v>4</v>
      </c>
      <c r="H1281" s="1" t="s">
        <v>16</v>
      </c>
      <c r="I1281" s="1" t="s">
        <v>16</v>
      </c>
      <c r="J1281" s="1" t="s">
        <v>16</v>
      </c>
      <c r="K1281" s="1" t="s">
        <v>17</v>
      </c>
      <c r="L1281" s="1" t="s">
        <v>17</v>
      </c>
      <c r="M1281" s="1" t="s">
        <v>17</v>
      </c>
      <c r="N1281" s="27" t="s">
        <v>605</v>
      </c>
      <c r="O1281" s="1" t="s">
        <v>16</v>
      </c>
    </row>
    <row r="1282" spans="1:15" x14ac:dyDescent="0.2">
      <c r="A1282" s="9">
        <v>44964</v>
      </c>
      <c r="B1282" s="1" t="s">
        <v>22</v>
      </c>
      <c r="C1282" s="1">
        <v>3</v>
      </c>
      <c r="D1282" s="1">
        <v>1</v>
      </c>
      <c r="E1282" s="5">
        <v>41.58</v>
      </c>
      <c r="F1282" s="1" t="s">
        <v>18</v>
      </c>
      <c r="G1282" s="1">
        <v>1</v>
      </c>
      <c r="H1282" s="1" t="s">
        <v>16</v>
      </c>
      <c r="I1282" s="1" t="s">
        <v>16</v>
      </c>
      <c r="J1282" s="1" t="s">
        <v>16</v>
      </c>
      <c r="K1282" s="1" t="s">
        <v>21</v>
      </c>
      <c r="L1282" s="1" t="s">
        <v>17</v>
      </c>
      <c r="M1282" s="1" t="s">
        <v>17</v>
      </c>
      <c r="N1282" s="27" t="s">
        <v>605</v>
      </c>
      <c r="O1282" s="1" t="s">
        <v>16</v>
      </c>
    </row>
    <row r="1283" spans="1:15" x14ac:dyDescent="0.2">
      <c r="A1283" s="9">
        <v>44964</v>
      </c>
      <c r="B1283" s="1" t="s">
        <v>22</v>
      </c>
      <c r="C1283" s="1">
        <v>4</v>
      </c>
      <c r="D1283" s="1">
        <v>1</v>
      </c>
      <c r="E1283" s="5">
        <v>49.73</v>
      </c>
      <c r="F1283" s="1" t="s">
        <v>18</v>
      </c>
      <c r="G1283" s="1">
        <v>1</v>
      </c>
      <c r="H1283" s="1" t="s">
        <v>16</v>
      </c>
      <c r="I1283" s="1" t="s">
        <v>16</v>
      </c>
      <c r="J1283" s="1" t="s">
        <v>16</v>
      </c>
      <c r="K1283" s="1" t="s">
        <v>17</v>
      </c>
      <c r="L1283" s="1" t="s">
        <v>17</v>
      </c>
      <c r="M1283" s="1" t="s">
        <v>17</v>
      </c>
      <c r="N1283" s="27" t="s">
        <v>605</v>
      </c>
      <c r="O1283" s="1" t="s">
        <v>16</v>
      </c>
    </row>
    <row r="1284" spans="1:15" x14ac:dyDescent="0.2">
      <c r="A1284" s="9">
        <v>44964</v>
      </c>
      <c r="B1284" s="1" t="s">
        <v>22</v>
      </c>
      <c r="C1284" s="1">
        <v>5</v>
      </c>
      <c r="D1284" s="1">
        <v>1</v>
      </c>
      <c r="E1284" s="5">
        <v>47.71</v>
      </c>
      <c r="F1284" s="1" t="s">
        <v>16</v>
      </c>
      <c r="G1284" s="1" t="s">
        <v>16</v>
      </c>
      <c r="H1284" s="1" t="s">
        <v>16</v>
      </c>
      <c r="I1284" s="1" t="s">
        <v>16</v>
      </c>
      <c r="J1284" s="1" t="s">
        <v>16</v>
      </c>
      <c r="K1284" s="1" t="s">
        <v>20</v>
      </c>
      <c r="L1284" s="1" t="s">
        <v>17</v>
      </c>
      <c r="M1284" s="1" t="s">
        <v>21</v>
      </c>
      <c r="N1284" s="27" t="s">
        <v>605</v>
      </c>
      <c r="O1284" s="1" t="s">
        <v>16</v>
      </c>
    </row>
    <row r="1285" spans="1:15" x14ac:dyDescent="0.2">
      <c r="A1285" s="9">
        <v>44964</v>
      </c>
      <c r="B1285" s="1" t="s">
        <v>22</v>
      </c>
      <c r="C1285" s="1">
        <v>6</v>
      </c>
      <c r="D1285" s="1">
        <v>2</v>
      </c>
      <c r="E1285" s="5">
        <v>66.62</v>
      </c>
      <c r="F1285" s="1" t="s">
        <v>16</v>
      </c>
      <c r="G1285" s="1" t="s">
        <v>16</v>
      </c>
      <c r="H1285" s="1" t="s">
        <v>16</v>
      </c>
      <c r="I1285" s="1" t="s">
        <v>16</v>
      </c>
      <c r="J1285" s="1" t="s">
        <v>16</v>
      </c>
      <c r="K1285" s="1" t="s">
        <v>17</v>
      </c>
      <c r="L1285" s="1" t="s">
        <v>17</v>
      </c>
      <c r="M1285" s="1" t="s">
        <v>21</v>
      </c>
      <c r="N1285" s="27" t="s">
        <v>605</v>
      </c>
      <c r="O1285" s="1" t="s">
        <v>16</v>
      </c>
    </row>
    <row r="1286" spans="1:15" x14ac:dyDescent="0.2">
      <c r="A1286" s="9">
        <v>44964</v>
      </c>
      <c r="B1286" s="1" t="s">
        <v>22</v>
      </c>
      <c r="C1286" s="1">
        <v>7</v>
      </c>
      <c r="D1286" s="1">
        <v>2</v>
      </c>
      <c r="E1286" s="5">
        <v>55.62</v>
      </c>
      <c r="F1286" s="1" t="s">
        <v>16</v>
      </c>
      <c r="G1286" s="1" t="s">
        <v>16</v>
      </c>
      <c r="H1286" s="1" t="s">
        <v>16</v>
      </c>
      <c r="I1286" s="1" t="s">
        <v>16</v>
      </c>
      <c r="J1286" s="1" t="s">
        <v>16</v>
      </c>
      <c r="K1286" s="1" t="s">
        <v>17</v>
      </c>
      <c r="L1286" s="1" t="s">
        <v>17</v>
      </c>
      <c r="M1286" s="1" t="s">
        <v>21</v>
      </c>
      <c r="N1286" s="27" t="s">
        <v>605</v>
      </c>
      <c r="O1286" s="1" t="s">
        <v>16</v>
      </c>
    </row>
    <row r="1287" spans="1:15" x14ac:dyDescent="0.2">
      <c r="A1287" s="9">
        <v>44964</v>
      </c>
      <c r="B1287" s="1" t="s">
        <v>22</v>
      </c>
      <c r="C1287" s="1">
        <v>8</v>
      </c>
      <c r="D1287" s="1">
        <v>2</v>
      </c>
      <c r="E1287" s="5">
        <v>57.71</v>
      </c>
      <c r="F1287" s="1" t="s">
        <v>16</v>
      </c>
      <c r="G1287" s="1" t="s">
        <v>16</v>
      </c>
      <c r="H1287" s="1" t="s">
        <v>16</v>
      </c>
      <c r="I1287" s="1" t="s">
        <v>16</v>
      </c>
      <c r="J1287" s="1" t="s">
        <v>16</v>
      </c>
      <c r="K1287" s="1" t="s">
        <v>17</v>
      </c>
      <c r="L1287" s="1" t="s">
        <v>17</v>
      </c>
      <c r="M1287" s="1" t="s">
        <v>21</v>
      </c>
      <c r="N1287" s="27" t="s">
        <v>605</v>
      </c>
      <c r="O1287" s="1" t="s">
        <v>16</v>
      </c>
    </row>
    <row r="1288" spans="1:15" x14ac:dyDescent="0.2">
      <c r="A1288" s="9">
        <v>44964</v>
      </c>
      <c r="B1288" s="1" t="s">
        <v>22</v>
      </c>
      <c r="C1288" s="1">
        <v>9</v>
      </c>
      <c r="D1288" s="1">
        <v>2</v>
      </c>
      <c r="E1288" s="5">
        <v>57.24</v>
      </c>
      <c r="F1288" s="1" t="s">
        <v>18</v>
      </c>
      <c r="G1288" s="1">
        <v>2</v>
      </c>
      <c r="H1288" s="1" t="s">
        <v>16</v>
      </c>
      <c r="I1288" s="1" t="s">
        <v>16</v>
      </c>
      <c r="J1288" s="1" t="s">
        <v>16</v>
      </c>
      <c r="K1288" s="1" t="s">
        <v>21</v>
      </c>
      <c r="L1288" s="1" t="s">
        <v>17</v>
      </c>
      <c r="M1288" s="1" t="s">
        <v>21</v>
      </c>
      <c r="N1288" s="27" t="s">
        <v>605</v>
      </c>
      <c r="O1288" s="1" t="s">
        <v>16</v>
      </c>
    </row>
    <row r="1289" spans="1:15" x14ac:dyDescent="0.2">
      <c r="A1289" s="9">
        <v>44964</v>
      </c>
      <c r="B1289" s="1" t="s">
        <v>22</v>
      </c>
      <c r="C1289" s="1">
        <v>10</v>
      </c>
      <c r="D1289" s="1">
        <v>2</v>
      </c>
      <c r="E1289" s="5">
        <v>53.88</v>
      </c>
      <c r="F1289" s="1" t="s">
        <v>16</v>
      </c>
      <c r="G1289" s="1" t="s">
        <v>16</v>
      </c>
      <c r="H1289" s="1" t="s">
        <v>16</v>
      </c>
      <c r="I1289" s="1" t="s">
        <v>16</v>
      </c>
      <c r="J1289" s="1" t="s">
        <v>16</v>
      </c>
      <c r="K1289" s="1" t="s">
        <v>17</v>
      </c>
      <c r="L1289" s="1" t="s">
        <v>17</v>
      </c>
      <c r="M1289" s="1" t="s">
        <v>17</v>
      </c>
      <c r="N1289" s="27" t="s">
        <v>605</v>
      </c>
      <c r="O1289" s="1" t="s">
        <v>16</v>
      </c>
    </row>
    <row r="1290" spans="1:15" x14ac:dyDescent="0.2">
      <c r="A1290" s="9">
        <v>44964</v>
      </c>
      <c r="B1290" s="1" t="s">
        <v>22</v>
      </c>
      <c r="C1290" s="1">
        <v>11</v>
      </c>
      <c r="D1290" s="1">
        <v>3</v>
      </c>
      <c r="E1290" s="5">
        <v>51.17</v>
      </c>
      <c r="F1290" s="1" t="s">
        <v>18</v>
      </c>
      <c r="G1290" s="1">
        <v>1</v>
      </c>
      <c r="H1290" s="1" t="s">
        <v>16</v>
      </c>
      <c r="I1290" s="1" t="s">
        <v>16</v>
      </c>
      <c r="J1290" s="1" t="s">
        <v>16</v>
      </c>
      <c r="K1290" s="1" t="s">
        <v>17</v>
      </c>
      <c r="L1290" s="1" t="s">
        <v>17</v>
      </c>
      <c r="M1290" s="1" t="s">
        <v>17</v>
      </c>
      <c r="N1290" s="27" t="s">
        <v>605</v>
      </c>
      <c r="O1290" s="1" t="s">
        <v>16</v>
      </c>
    </row>
    <row r="1291" spans="1:15" x14ac:dyDescent="0.2">
      <c r="A1291" s="9">
        <v>44964</v>
      </c>
      <c r="B1291" s="1" t="s">
        <v>22</v>
      </c>
      <c r="C1291" s="1">
        <v>12</v>
      </c>
      <c r="D1291" s="1">
        <v>3</v>
      </c>
      <c r="E1291" s="5">
        <v>35.5</v>
      </c>
      <c r="F1291" s="1" t="s">
        <v>19</v>
      </c>
      <c r="G1291" s="1">
        <v>2</v>
      </c>
      <c r="H1291" s="1" t="s">
        <v>16</v>
      </c>
      <c r="I1291" s="1" t="s">
        <v>16</v>
      </c>
      <c r="J1291" s="1" t="s">
        <v>16</v>
      </c>
      <c r="K1291" s="1" t="s">
        <v>17</v>
      </c>
      <c r="L1291" s="1" t="s">
        <v>17</v>
      </c>
      <c r="M1291" s="1" t="s">
        <v>17</v>
      </c>
      <c r="N1291" s="27" t="s">
        <v>605</v>
      </c>
      <c r="O1291" s="1" t="s">
        <v>16</v>
      </c>
    </row>
    <row r="1292" spans="1:15" x14ac:dyDescent="0.2">
      <c r="A1292" s="9">
        <v>44964</v>
      </c>
      <c r="B1292" s="1" t="s">
        <v>22</v>
      </c>
      <c r="C1292" s="1">
        <v>13</v>
      </c>
      <c r="D1292" s="1">
        <v>3</v>
      </c>
      <c r="E1292" s="5">
        <v>41.91</v>
      </c>
      <c r="F1292" s="1" t="s">
        <v>18</v>
      </c>
      <c r="G1292" s="1">
        <v>1</v>
      </c>
      <c r="H1292" s="1" t="s">
        <v>16</v>
      </c>
      <c r="I1292" s="1" t="s">
        <v>16</v>
      </c>
      <c r="J1292" s="1" t="s">
        <v>16</v>
      </c>
      <c r="K1292" s="1" t="s">
        <v>17</v>
      </c>
      <c r="L1292" s="1" t="s">
        <v>17</v>
      </c>
      <c r="M1292" s="1" t="s">
        <v>21</v>
      </c>
      <c r="N1292" s="27" t="s">
        <v>605</v>
      </c>
      <c r="O1292" s="1" t="s">
        <v>16</v>
      </c>
    </row>
    <row r="1293" spans="1:15" x14ac:dyDescent="0.2">
      <c r="A1293" s="9">
        <v>44964</v>
      </c>
      <c r="B1293" s="1" t="s">
        <v>22</v>
      </c>
      <c r="C1293" s="1">
        <v>14</v>
      </c>
      <c r="D1293" s="1">
        <v>3</v>
      </c>
      <c r="E1293" s="5">
        <v>46.65</v>
      </c>
      <c r="F1293" s="1" t="s">
        <v>18</v>
      </c>
      <c r="G1293" s="1">
        <v>2</v>
      </c>
      <c r="H1293" s="1" t="s">
        <v>16</v>
      </c>
      <c r="I1293" s="1" t="s">
        <v>16</v>
      </c>
      <c r="J1293" s="1" t="s">
        <v>16</v>
      </c>
      <c r="K1293" s="1" t="s">
        <v>17</v>
      </c>
      <c r="L1293" s="1" t="s">
        <v>17</v>
      </c>
      <c r="M1293" s="1" t="s">
        <v>17</v>
      </c>
      <c r="N1293" s="27" t="s">
        <v>605</v>
      </c>
      <c r="O1293" s="1" t="s">
        <v>16</v>
      </c>
    </row>
    <row r="1294" spans="1:15" x14ac:dyDescent="0.2">
      <c r="A1294" s="9">
        <v>44964</v>
      </c>
      <c r="B1294" s="1" t="s">
        <v>22</v>
      </c>
      <c r="C1294" s="1">
        <v>15</v>
      </c>
      <c r="D1294" s="1">
        <v>3</v>
      </c>
      <c r="E1294" s="5">
        <v>49.19</v>
      </c>
      <c r="F1294" s="1" t="s">
        <v>18</v>
      </c>
      <c r="G1294" s="1">
        <v>2</v>
      </c>
      <c r="H1294" s="1" t="s">
        <v>16</v>
      </c>
      <c r="I1294" s="1" t="s">
        <v>16</v>
      </c>
      <c r="J1294" s="1" t="s">
        <v>16</v>
      </c>
      <c r="K1294" s="1" t="s">
        <v>17</v>
      </c>
      <c r="L1294" s="1" t="s">
        <v>17</v>
      </c>
      <c r="M1294" s="1" t="s">
        <v>17</v>
      </c>
      <c r="N1294" s="27" t="s">
        <v>605</v>
      </c>
      <c r="O1294" s="1" t="s">
        <v>16</v>
      </c>
    </row>
    <row r="1295" spans="1:15" x14ac:dyDescent="0.2">
      <c r="A1295" s="9">
        <v>44993</v>
      </c>
      <c r="B1295" s="1" t="s">
        <v>22</v>
      </c>
      <c r="C1295" s="1">
        <v>1</v>
      </c>
      <c r="D1295" s="1">
        <v>1</v>
      </c>
      <c r="E1295" s="5">
        <v>50.09</v>
      </c>
      <c r="F1295" s="1" t="s">
        <v>18</v>
      </c>
      <c r="G1295" s="1">
        <v>1</v>
      </c>
      <c r="H1295" s="1" t="s">
        <v>16</v>
      </c>
      <c r="I1295" s="1" t="s">
        <v>16</v>
      </c>
      <c r="J1295" s="1" t="s">
        <v>16</v>
      </c>
      <c r="K1295" s="1" t="s">
        <v>17</v>
      </c>
      <c r="L1295" s="1" t="s">
        <v>17</v>
      </c>
      <c r="M1295" s="1" t="s">
        <v>17</v>
      </c>
      <c r="N1295" s="27" t="s">
        <v>605</v>
      </c>
      <c r="O1295" s="1" t="s">
        <v>16</v>
      </c>
    </row>
    <row r="1296" spans="1:15" x14ac:dyDescent="0.2">
      <c r="A1296" s="9">
        <v>44993</v>
      </c>
      <c r="B1296" s="1" t="s">
        <v>22</v>
      </c>
      <c r="C1296" s="1">
        <v>2</v>
      </c>
      <c r="D1296" s="1">
        <v>1</v>
      </c>
      <c r="E1296" s="5">
        <v>56.7</v>
      </c>
      <c r="F1296" s="1" t="s">
        <v>18</v>
      </c>
      <c r="G1296" s="1">
        <v>2</v>
      </c>
      <c r="H1296" s="1" t="s">
        <v>16</v>
      </c>
      <c r="I1296" s="1" t="s">
        <v>16</v>
      </c>
      <c r="J1296" s="1" t="s">
        <v>16</v>
      </c>
      <c r="K1296" s="1" t="s">
        <v>17</v>
      </c>
      <c r="L1296" s="1" t="s">
        <v>17</v>
      </c>
      <c r="M1296" s="1" t="s">
        <v>17</v>
      </c>
      <c r="N1296" s="27" t="s">
        <v>605</v>
      </c>
      <c r="O1296" s="1" t="s">
        <v>16</v>
      </c>
    </row>
    <row r="1297" spans="1:15" x14ac:dyDescent="0.2">
      <c r="A1297" s="9">
        <v>44993</v>
      </c>
      <c r="B1297" s="1" t="s">
        <v>22</v>
      </c>
      <c r="C1297" s="1">
        <v>3</v>
      </c>
      <c r="D1297" s="1">
        <v>1</v>
      </c>
      <c r="E1297" s="5">
        <v>44.01</v>
      </c>
      <c r="F1297" s="1" t="s">
        <v>18</v>
      </c>
      <c r="G1297" s="1">
        <v>1</v>
      </c>
      <c r="H1297" s="1" t="s">
        <v>16</v>
      </c>
      <c r="I1297" s="1" t="s">
        <v>16</v>
      </c>
      <c r="J1297" s="1" t="s">
        <v>16</v>
      </c>
      <c r="K1297" s="1" t="s">
        <v>17</v>
      </c>
      <c r="L1297" s="1" t="s">
        <v>17</v>
      </c>
      <c r="M1297" s="1" t="s">
        <v>17</v>
      </c>
      <c r="N1297" s="27" t="s">
        <v>605</v>
      </c>
      <c r="O1297" s="1" t="s">
        <v>16</v>
      </c>
    </row>
    <row r="1298" spans="1:15" x14ac:dyDescent="0.2">
      <c r="A1298" s="9">
        <v>44993</v>
      </c>
      <c r="B1298" s="1" t="s">
        <v>22</v>
      </c>
      <c r="C1298" s="1">
        <v>4</v>
      </c>
      <c r="D1298" s="1">
        <v>1</v>
      </c>
      <c r="E1298" s="5">
        <v>52.35</v>
      </c>
      <c r="F1298" s="1" t="s">
        <v>18</v>
      </c>
      <c r="G1298" s="1">
        <v>2</v>
      </c>
      <c r="H1298" s="1" t="s">
        <v>16</v>
      </c>
      <c r="I1298" s="1" t="s">
        <v>16</v>
      </c>
      <c r="J1298" s="1" t="s">
        <v>16</v>
      </c>
      <c r="K1298" s="1" t="s">
        <v>17</v>
      </c>
      <c r="L1298" s="1" t="s">
        <v>17</v>
      </c>
      <c r="M1298" s="1" t="s">
        <v>17</v>
      </c>
      <c r="N1298" s="27" t="s">
        <v>605</v>
      </c>
      <c r="O1298" s="1" t="s">
        <v>16</v>
      </c>
    </row>
    <row r="1299" spans="1:15" x14ac:dyDescent="0.2">
      <c r="A1299" s="9">
        <v>44993</v>
      </c>
      <c r="B1299" s="1" t="s">
        <v>22</v>
      </c>
      <c r="C1299" s="1">
        <v>5</v>
      </c>
      <c r="D1299" s="1">
        <v>1</v>
      </c>
      <c r="E1299" s="5">
        <v>48.13</v>
      </c>
      <c r="F1299" s="1" t="s">
        <v>19</v>
      </c>
      <c r="G1299" s="1">
        <v>2</v>
      </c>
      <c r="H1299" s="1" t="s">
        <v>16</v>
      </c>
      <c r="I1299" s="1" t="s">
        <v>16</v>
      </c>
      <c r="J1299" s="1" t="s">
        <v>16</v>
      </c>
      <c r="K1299" s="1" t="s">
        <v>17</v>
      </c>
      <c r="L1299" s="1" t="s">
        <v>17</v>
      </c>
      <c r="M1299" s="1" t="s">
        <v>17</v>
      </c>
      <c r="N1299" s="27" t="s">
        <v>605</v>
      </c>
      <c r="O1299" s="1" t="s">
        <v>16</v>
      </c>
    </row>
    <row r="1300" spans="1:15" x14ac:dyDescent="0.2">
      <c r="A1300" s="9">
        <v>44993</v>
      </c>
      <c r="B1300" s="1" t="s">
        <v>22</v>
      </c>
      <c r="C1300" s="1">
        <v>6</v>
      </c>
      <c r="D1300" s="1">
        <v>2</v>
      </c>
      <c r="E1300" s="5">
        <v>48.84</v>
      </c>
      <c r="F1300" s="1" t="s">
        <v>19</v>
      </c>
      <c r="G1300" s="1">
        <v>2</v>
      </c>
      <c r="H1300" s="1" t="s">
        <v>16</v>
      </c>
      <c r="I1300" s="1" t="s">
        <v>16</v>
      </c>
      <c r="J1300" s="1" t="s">
        <v>16</v>
      </c>
      <c r="K1300" s="1" t="s">
        <v>17</v>
      </c>
      <c r="L1300" s="1" t="s">
        <v>17</v>
      </c>
      <c r="M1300" s="1" t="s">
        <v>17</v>
      </c>
      <c r="N1300" s="27" t="s">
        <v>605</v>
      </c>
      <c r="O1300" s="1" t="s">
        <v>16</v>
      </c>
    </row>
    <row r="1301" spans="1:15" x14ac:dyDescent="0.2">
      <c r="A1301" s="9">
        <v>44993</v>
      </c>
      <c r="B1301" s="1" t="s">
        <v>22</v>
      </c>
      <c r="C1301" s="1">
        <v>7</v>
      </c>
      <c r="D1301" s="1">
        <v>2</v>
      </c>
      <c r="E1301" s="5">
        <v>40.06</v>
      </c>
      <c r="F1301" s="1" t="s">
        <v>19</v>
      </c>
      <c r="G1301" s="1">
        <v>2</v>
      </c>
      <c r="H1301" s="1" t="s">
        <v>16</v>
      </c>
      <c r="I1301" s="1" t="s">
        <v>16</v>
      </c>
      <c r="J1301" s="1" t="s">
        <v>16</v>
      </c>
      <c r="K1301" s="1" t="s">
        <v>17</v>
      </c>
      <c r="L1301" s="1" t="s">
        <v>17</v>
      </c>
      <c r="M1301" s="1" t="s">
        <v>17</v>
      </c>
      <c r="N1301" s="27" t="s">
        <v>605</v>
      </c>
      <c r="O1301" s="1" t="s">
        <v>16</v>
      </c>
    </row>
    <row r="1302" spans="1:15" x14ac:dyDescent="0.2">
      <c r="A1302" s="9">
        <v>44993</v>
      </c>
      <c r="B1302" s="1" t="s">
        <v>22</v>
      </c>
      <c r="C1302" s="1">
        <v>8</v>
      </c>
      <c r="D1302" s="1">
        <v>2</v>
      </c>
      <c r="E1302" s="5">
        <v>49.24</v>
      </c>
      <c r="F1302" s="1" t="s">
        <v>18</v>
      </c>
      <c r="G1302" s="1">
        <v>2</v>
      </c>
      <c r="H1302" s="1" t="s">
        <v>16</v>
      </c>
      <c r="I1302" s="1" t="s">
        <v>16</v>
      </c>
      <c r="J1302" s="1" t="s">
        <v>16</v>
      </c>
      <c r="K1302" s="1" t="s">
        <v>17</v>
      </c>
      <c r="L1302" s="1" t="s">
        <v>17</v>
      </c>
      <c r="M1302" s="1" t="s">
        <v>17</v>
      </c>
      <c r="N1302" s="27" t="s">
        <v>605</v>
      </c>
      <c r="O1302" s="1" t="s">
        <v>16</v>
      </c>
    </row>
    <row r="1303" spans="1:15" x14ac:dyDescent="0.2">
      <c r="A1303" s="9">
        <v>44993</v>
      </c>
      <c r="B1303" s="1" t="s">
        <v>22</v>
      </c>
      <c r="C1303" s="1">
        <v>9</v>
      </c>
      <c r="D1303" s="1">
        <v>2</v>
      </c>
      <c r="E1303" s="5">
        <v>63.69</v>
      </c>
      <c r="F1303" s="1" t="s">
        <v>19</v>
      </c>
      <c r="G1303" s="1">
        <v>2</v>
      </c>
      <c r="H1303" s="1" t="s">
        <v>16</v>
      </c>
      <c r="I1303" s="1" t="s">
        <v>16</v>
      </c>
      <c r="J1303" s="1" t="s">
        <v>16</v>
      </c>
      <c r="K1303" s="1" t="s">
        <v>17</v>
      </c>
      <c r="L1303" s="1" t="s">
        <v>17</v>
      </c>
      <c r="M1303" s="1" t="s">
        <v>17</v>
      </c>
      <c r="N1303" s="27" t="s">
        <v>605</v>
      </c>
      <c r="O1303" s="1" t="s">
        <v>16</v>
      </c>
    </row>
    <row r="1304" spans="1:15" x14ac:dyDescent="0.2">
      <c r="A1304" s="9">
        <v>44993</v>
      </c>
      <c r="B1304" s="1" t="s">
        <v>22</v>
      </c>
      <c r="C1304" s="1">
        <v>10</v>
      </c>
      <c r="D1304" s="1">
        <v>2</v>
      </c>
      <c r="E1304" s="5">
        <v>43.52</v>
      </c>
      <c r="F1304" s="1" t="s">
        <v>19</v>
      </c>
      <c r="G1304" s="1">
        <v>2</v>
      </c>
      <c r="H1304" s="1" t="s">
        <v>16</v>
      </c>
      <c r="I1304" s="1" t="s">
        <v>16</v>
      </c>
      <c r="J1304" s="1" t="s">
        <v>16</v>
      </c>
      <c r="K1304" s="1" t="s">
        <v>17</v>
      </c>
      <c r="L1304" s="1" t="s">
        <v>17</v>
      </c>
      <c r="M1304" s="1" t="s">
        <v>17</v>
      </c>
      <c r="N1304" s="27" t="s">
        <v>605</v>
      </c>
      <c r="O1304" s="1" t="s">
        <v>16</v>
      </c>
    </row>
    <row r="1305" spans="1:15" x14ac:dyDescent="0.2">
      <c r="A1305" s="9">
        <v>44993</v>
      </c>
      <c r="B1305" s="1" t="s">
        <v>22</v>
      </c>
      <c r="C1305" s="1">
        <v>11</v>
      </c>
      <c r="D1305" s="1">
        <v>3</v>
      </c>
      <c r="E1305" s="5">
        <v>60.05</v>
      </c>
      <c r="F1305" s="1" t="s">
        <v>18</v>
      </c>
      <c r="G1305" s="1">
        <v>2</v>
      </c>
      <c r="H1305" s="1" t="s">
        <v>16</v>
      </c>
      <c r="I1305" s="1" t="s">
        <v>16</v>
      </c>
      <c r="J1305" s="1" t="s">
        <v>16</v>
      </c>
      <c r="K1305" s="1" t="s">
        <v>17</v>
      </c>
      <c r="L1305" s="1" t="s">
        <v>17</v>
      </c>
      <c r="M1305" s="1" t="s">
        <v>17</v>
      </c>
      <c r="N1305" s="27" t="s">
        <v>605</v>
      </c>
      <c r="O1305" s="1" t="s">
        <v>16</v>
      </c>
    </row>
    <row r="1306" spans="1:15" x14ac:dyDescent="0.2">
      <c r="A1306" s="9">
        <v>44993</v>
      </c>
      <c r="B1306" s="1" t="s">
        <v>22</v>
      </c>
      <c r="C1306" s="1">
        <v>12</v>
      </c>
      <c r="D1306" s="1">
        <v>3</v>
      </c>
      <c r="E1306" s="5">
        <v>65.67</v>
      </c>
      <c r="F1306" s="1" t="s">
        <v>18</v>
      </c>
      <c r="G1306" s="1">
        <v>2</v>
      </c>
      <c r="H1306" s="1" t="s">
        <v>16</v>
      </c>
      <c r="I1306" s="1" t="s">
        <v>16</v>
      </c>
      <c r="J1306" s="1" t="s">
        <v>16</v>
      </c>
      <c r="K1306" s="1" t="s">
        <v>17</v>
      </c>
      <c r="L1306" s="1" t="s">
        <v>17</v>
      </c>
      <c r="M1306" s="1" t="s">
        <v>17</v>
      </c>
      <c r="N1306" s="27" t="s">
        <v>605</v>
      </c>
      <c r="O1306" s="1" t="s">
        <v>16</v>
      </c>
    </row>
    <row r="1307" spans="1:15" x14ac:dyDescent="0.2">
      <c r="A1307" s="9">
        <v>44993</v>
      </c>
      <c r="B1307" s="1" t="s">
        <v>22</v>
      </c>
      <c r="C1307" s="1">
        <v>13</v>
      </c>
      <c r="D1307" s="1">
        <v>3</v>
      </c>
      <c r="E1307" s="5">
        <v>53.07</v>
      </c>
      <c r="F1307" s="1" t="s">
        <v>19</v>
      </c>
      <c r="G1307" s="1">
        <v>2</v>
      </c>
      <c r="H1307" s="1" t="s">
        <v>16</v>
      </c>
      <c r="I1307" s="1" t="s">
        <v>16</v>
      </c>
      <c r="J1307" s="1" t="s">
        <v>16</v>
      </c>
      <c r="K1307" s="1" t="s">
        <v>17</v>
      </c>
      <c r="L1307" s="1" t="s">
        <v>17</v>
      </c>
      <c r="M1307" s="1" t="s">
        <v>17</v>
      </c>
      <c r="N1307" s="27" t="s">
        <v>605</v>
      </c>
      <c r="O1307" s="1" t="s">
        <v>16</v>
      </c>
    </row>
    <row r="1308" spans="1:15" x14ac:dyDescent="0.2">
      <c r="A1308" s="9">
        <v>44993</v>
      </c>
      <c r="B1308" s="1" t="s">
        <v>22</v>
      </c>
      <c r="C1308" s="1">
        <v>14</v>
      </c>
      <c r="D1308" s="1">
        <v>3</v>
      </c>
      <c r="E1308" s="5">
        <v>59.04</v>
      </c>
      <c r="F1308" s="1" t="s">
        <v>18</v>
      </c>
      <c r="G1308" s="1">
        <v>2</v>
      </c>
      <c r="H1308" s="1" t="s">
        <v>16</v>
      </c>
      <c r="I1308" s="1" t="s">
        <v>16</v>
      </c>
      <c r="J1308" s="1" t="s">
        <v>16</v>
      </c>
      <c r="K1308" s="1" t="s">
        <v>17</v>
      </c>
      <c r="L1308" s="1" t="s">
        <v>17</v>
      </c>
      <c r="M1308" s="1" t="s">
        <v>17</v>
      </c>
      <c r="N1308" s="27" t="s">
        <v>605</v>
      </c>
      <c r="O1308" s="1" t="s">
        <v>16</v>
      </c>
    </row>
    <row r="1309" spans="1:15" x14ac:dyDescent="0.2">
      <c r="A1309" s="9">
        <v>44993</v>
      </c>
      <c r="B1309" s="1" t="s">
        <v>22</v>
      </c>
      <c r="C1309" s="1">
        <v>15</v>
      </c>
      <c r="D1309" s="1">
        <v>3</v>
      </c>
      <c r="E1309" s="5">
        <v>32.99</v>
      </c>
      <c r="F1309" s="1" t="s">
        <v>19</v>
      </c>
      <c r="G1309" s="1">
        <v>2</v>
      </c>
      <c r="H1309" s="1" t="s">
        <v>16</v>
      </c>
      <c r="I1309" s="1" t="s">
        <v>16</v>
      </c>
      <c r="J1309" s="1" t="s">
        <v>16</v>
      </c>
      <c r="K1309" s="1" t="s">
        <v>17</v>
      </c>
      <c r="L1309" s="1" t="s">
        <v>17</v>
      </c>
      <c r="M1309" s="1" t="s">
        <v>17</v>
      </c>
      <c r="N1309" s="27" t="s">
        <v>605</v>
      </c>
      <c r="O1309" s="1" t="s">
        <v>16</v>
      </c>
    </row>
    <row r="1310" spans="1:15" x14ac:dyDescent="0.2">
      <c r="A1310" s="9">
        <v>45020</v>
      </c>
      <c r="B1310" s="1" t="s">
        <v>22</v>
      </c>
      <c r="C1310" s="1">
        <v>1</v>
      </c>
      <c r="D1310" s="1">
        <v>1</v>
      </c>
      <c r="E1310" s="5">
        <v>29.29</v>
      </c>
      <c r="F1310" s="1" t="s">
        <v>16</v>
      </c>
      <c r="G1310" s="1">
        <v>4</v>
      </c>
      <c r="H1310" s="1" t="s">
        <v>16</v>
      </c>
      <c r="I1310" s="1" t="s">
        <v>16</v>
      </c>
      <c r="J1310" s="1" t="s">
        <v>16</v>
      </c>
      <c r="K1310" s="1" t="s">
        <v>17</v>
      </c>
      <c r="L1310" s="1" t="s">
        <v>17</v>
      </c>
      <c r="M1310" s="1" t="s">
        <v>17</v>
      </c>
      <c r="N1310" s="27" t="s">
        <v>605</v>
      </c>
      <c r="O1310" s="1" t="s">
        <v>16</v>
      </c>
    </row>
    <row r="1311" spans="1:15" x14ac:dyDescent="0.2">
      <c r="A1311" s="9">
        <v>45020</v>
      </c>
      <c r="B1311" s="1" t="s">
        <v>22</v>
      </c>
      <c r="C1311" s="1">
        <v>2</v>
      </c>
      <c r="D1311" s="1">
        <v>1</v>
      </c>
      <c r="E1311" s="5">
        <v>44.88</v>
      </c>
      <c r="F1311" s="1" t="s">
        <v>18</v>
      </c>
      <c r="G1311" s="1">
        <v>2</v>
      </c>
      <c r="H1311" s="1" t="s">
        <v>16</v>
      </c>
      <c r="I1311" s="1" t="s">
        <v>16</v>
      </c>
      <c r="J1311" s="1" t="s">
        <v>16</v>
      </c>
      <c r="K1311" s="1" t="s">
        <v>21</v>
      </c>
      <c r="L1311" s="1" t="s">
        <v>17</v>
      </c>
      <c r="M1311" s="1" t="s">
        <v>17</v>
      </c>
      <c r="N1311" s="27" t="s">
        <v>605</v>
      </c>
      <c r="O1311" s="1" t="s">
        <v>16</v>
      </c>
    </row>
    <row r="1312" spans="1:15" x14ac:dyDescent="0.2">
      <c r="A1312" s="9">
        <v>45020</v>
      </c>
      <c r="B1312" s="1" t="s">
        <v>22</v>
      </c>
      <c r="C1312" s="1">
        <v>3</v>
      </c>
      <c r="D1312" s="1">
        <v>1</v>
      </c>
      <c r="E1312" s="5">
        <v>46.37</v>
      </c>
      <c r="F1312" s="1" t="s">
        <v>18</v>
      </c>
      <c r="G1312" s="1">
        <v>2</v>
      </c>
      <c r="H1312" s="1" t="s">
        <v>16</v>
      </c>
      <c r="I1312" s="1" t="s">
        <v>16</v>
      </c>
      <c r="J1312" s="1" t="s">
        <v>16</v>
      </c>
      <c r="K1312" s="1" t="s">
        <v>17</v>
      </c>
      <c r="L1312" s="1" t="s">
        <v>17</v>
      </c>
      <c r="M1312" s="1" t="s">
        <v>17</v>
      </c>
      <c r="N1312" s="27" t="s">
        <v>605</v>
      </c>
      <c r="O1312" s="1" t="s">
        <v>16</v>
      </c>
    </row>
    <row r="1313" spans="1:15" x14ac:dyDescent="0.2">
      <c r="A1313" s="9">
        <v>45020</v>
      </c>
      <c r="B1313" s="1" t="s">
        <v>22</v>
      </c>
      <c r="C1313" s="1">
        <v>4</v>
      </c>
      <c r="D1313" s="1">
        <v>1</v>
      </c>
      <c r="E1313" s="5">
        <v>56.57</v>
      </c>
      <c r="F1313" s="1" t="s">
        <v>18</v>
      </c>
      <c r="G1313" s="1">
        <v>2</v>
      </c>
      <c r="H1313" s="1" t="s">
        <v>16</v>
      </c>
      <c r="I1313" s="1" t="s">
        <v>16</v>
      </c>
      <c r="J1313" s="1" t="s">
        <v>16</v>
      </c>
      <c r="K1313" s="1" t="s">
        <v>17</v>
      </c>
      <c r="L1313" s="1" t="s">
        <v>17</v>
      </c>
      <c r="M1313" s="1" t="s">
        <v>17</v>
      </c>
      <c r="N1313" s="27" t="s">
        <v>605</v>
      </c>
      <c r="O1313" s="1" t="s">
        <v>16</v>
      </c>
    </row>
    <row r="1314" spans="1:15" x14ac:dyDescent="0.2">
      <c r="A1314" s="9">
        <v>45020</v>
      </c>
      <c r="B1314" s="1" t="s">
        <v>22</v>
      </c>
      <c r="C1314" s="1">
        <v>5</v>
      </c>
      <c r="D1314" s="1">
        <v>1</v>
      </c>
      <c r="E1314" s="5">
        <v>48.72</v>
      </c>
      <c r="F1314" s="1" t="s">
        <v>18</v>
      </c>
      <c r="G1314" s="1">
        <v>2</v>
      </c>
      <c r="H1314" s="1" t="s">
        <v>16</v>
      </c>
      <c r="I1314" s="1" t="s">
        <v>16</v>
      </c>
      <c r="J1314" s="1" t="s">
        <v>16</v>
      </c>
      <c r="K1314" s="1" t="s">
        <v>17</v>
      </c>
      <c r="L1314" s="1" t="s">
        <v>17</v>
      </c>
      <c r="M1314" s="1" t="s">
        <v>17</v>
      </c>
      <c r="N1314" s="27" t="s">
        <v>605</v>
      </c>
      <c r="O1314" s="1" t="s">
        <v>16</v>
      </c>
    </row>
    <row r="1315" spans="1:15" x14ac:dyDescent="0.2">
      <c r="A1315" s="9">
        <v>45020</v>
      </c>
      <c r="B1315" s="1" t="s">
        <v>22</v>
      </c>
      <c r="C1315" s="1">
        <v>6</v>
      </c>
      <c r="D1315" s="1">
        <v>2</v>
      </c>
      <c r="E1315" s="5">
        <v>43.57</v>
      </c>
      <c r="F1315" s="1" t="s">
        <v>18</v>
      </c>
      <c r="G1315" s="1">
        <v>2</v>
      </c>
      <c r="H1315" s="1" t="s">
        <v>16</v>
      </c>
      <c r="I1315" s="1" t="s">
        <v>16</v>
      </c>
      <c r="J1315" s="1" t="s">
        <v>16</v>
      </c>
      <c r="K1315" s="1" t="s">
        <v>17</v>
      </c>
      <c r="L1315" s="1" t="s">
        <v>17</v>
      </c>
      <c r="M1315" s="1" t="s">
        <v>17</v>
      </c>
      <c r="N1315" s="27" t="s">
        <v>605</v>
      </c>
      <c r="O1315" s="1" t="s">
        <v>16</v>
      </c>
    </row>
    <row r="1316" spans="1:15" x14ac:dyDescent="0.2">
      <c r="A1316" s="9">
        <v>45020</v>
      </c>
      <c r="B1316" s="1" t="s">
        <v>22</v>
      </c>
      <c r="C1316" s="1">
        <v>7</v>
      </c>
      <c r="D1316" s="1">
        <v>2</v>
      </c>
      <c r="E1316" s="5">
        <v>41.02</v>
      </c>
      <c r="F1316" s="1" t="s">
        <v>19</v>
      </c>
      <c r="G1316" s="1">
        <v>2</v>
      </c>
      <c r="H1316" s="1" t="s">
        <v>16</v>
      </c>
      <c r="I1316" s="1" t="s">
        <v>16</v>
      </c>
      <c r="J1316" s="1" t="s">
        <v>16</v>
      </c>
      <c r="K1316" s="1" t="s">
        <v>21</v>
      </c>
      <c r="L1316" s="1" t="s">
        <v>17</v>
      </c>
      <c r="M1316" s="1" t="s">
        <v>17</v>
      </c>
      <c r="N1316" s="27" t="s">
        <v>605</v>
      </c>
      <c r="O1316" s="1" t="s">
        <v>16</v>
      </c>
    </row>
    <row r="1317" spans="1:15" x14ac:dyDescent="0.2">
      <c r="A1317" s="9">
        <v>45020</v>
      </c>
      <c r="B1317" s="1" t="s">
        <v>22</v>
      </c>
      <c r="C1317" s="1">
        <v>8</v>
      </c>
      <c r="D1317" s="1">
        <v>2</v>
      </c>
      <c r="E1317" s="5">
        <v>69.34</v>
      </c>
      <c r="F1317" s="1" t="s">
        <v>19</v>
      </c>
      <c r="G1317" s="1">
        <v>2</v>
      </c>
      <c r="H1317" s="1" t="s">
        <v>16</v>
      </c>
      <c r="I1317" s="1" t="s">
        <v>16</v>
      </c>
      <c r="J1317" s="1" t="s">
        <v>16</v>
      </c>
      <c r="K1317" s="1" t="s">
        <v>17</v>
      </c>
      <c r="L1317" s="1" t="s">
        <v>17</v>
      </c>
      <c r="M1317" s="1" t="s">
        <v>17</v>
      </c>
      <c r="N1317" s="27" t="s">
        <v>605</v>
      </c>
      <c r="O1317" s="1" t="s">
        <v>16</v>
      </c>
    </row>
    <row r="1318" spans="1:15" x14ac:dyDescent="0.2">
      <c r="A1318" s="9">
        <v>45020</v>
      </c>
      <c r="B1318" s="1" t="s">
        <v>22</v>
      </c>
      <c r="C1318" s="1">
        <v>9</v>
      </c>
      <c r="D1318" s="1">
        <v>2</v>
      </c>
      <c r="E1318" s="5">
        <v>55.07</v>
      </c>
      <c r="F1318" s="1" t="s">
        <v>18</v>
      </c>
      <c r="G1318" s="1">
        <v>2</v>
      </c>
      <c r="H1318" s="1" t="s">
        <v>16</v>
      </c>
      <c r="I1318" s="1" t="s">
        <v>16</v>
      </c>
      <c r="J1318" s="1" t="s">
        <v>16</v>
      </c>
      <c r="K1318" s="1" t="s">
        <v>17</v>
      </c>
      <c r="L1318" s="1" t="s">
        <v>17</v>
      </c>
      <c r="M1318" s="1" t="s">
        <v>17</v>
      </c>
      <c r="N1318" s="27" t="s">
        <v>605</v>
      </c>
      <c r="O1318" s="1" t="s">
        <v>16</v>
      </c>
    </row>
    <row r="1319" spans="1:15" x14ac:dyDescent="0.2">
      <c r="A1319" s="9">
        <v>45020</v>
      </c>
      <c r="B1319" s="1" t="s">
        <v>22</v>
      </c>
      <c r="C1319" s="1">
        <v>10</v>
      </c>
      <c r="D1319" s="1">
        <v>2</v>
      </c>
      <c r="E1319" s="5">
        <v>70.37</v>
      </c>
      <c r="F1319" s="1" t="s">
        <v>18</v>
      </c>
      <c r="G1319" s="1">
        <v>2</v>
      </c>
      <c r="H1319" s="1" t="s">
        <v>16</v>
      </c>
      <c r="I1319" s="1" t="s">
        <v>16</v>
      </c>
      <c r="J1319" s="1" t="s">
        <v>16</v>
      </c>
      <c r="K1319" s="1" t="s">
        <v>17</v>
      </c>
      <c r="L1319" s="1" t="s">
        <v>17</v>
      </c>
      <c r="M1319" s="1" t="s">
        <v>21</v>
      </c>
      <c r="N1319" s="27" t="s">
        <v>605</v>
      </c>
      <c r="O1319" s="1" t="s">
        <v>16</v>
      </c>
    </row>
    <row r="1320" spans="1:15" x14ac:dyDescent="0.2">
      <c r="A1320" s="9">
        <v>45020</v>
      </c>
      <c r="B1320" s="1" t="s">
        <v>22</v>
      </c>
      <c r="C1320" s="1">
        <v>11</v>
      </c>
      <c r="D1320" s="1">
        <v>3</v>
      </c>
      <c r="E1320" s="5">
        <v>73.5</v>
      </c>
      <c r="F1320" s="1" t="s">
        <v>18</v>
      </c>
      <c r="G1320" s="1">
        <v>2</v>
      </c>
      <c r="H1320" s="1" t="s">
        <v>16</v>
      </c>
      <c r="I1320" s="1" t="s">
        <v>16</v>
      </c>
      <c r="J1320" s="1" t="s">
        <v>16</v>
      </c>
      <c r="K1320" s="1" t="s">
        <v>17</v>
      </c>
      <c r="L1320" s="1" t="s">
        <v>17</v>
      </c>
      <c r="M1320" s="1" t="s">
        <v>17</v>
      </c>
      <c r="N1320" s="27" t="s">
        <v>605</v>
      </c>
      <c r="O1320" s="1" t="s">
        <v>16</v>
      </c>
    </row>
    <row r="1321" spans="1:15" x14ac:dyDescent="0.2">
      <c r="A1321" s="9">
        <v>45020</v>
      </c>
      <c r="B1321" s="1" t="s">
        <v>22</v>
      </c>
      <c r="C1321" s="1">
        <v>12</v>
      </c>
      <c r="D1321" s="1">
        <v>3</v>
      </c>
      <c r="E1321" s="5">
        <v>77.09</v>
      </c>
      <c r="F1321" s="1" t="s">
        <v>18</v>
      </c>
      <c r="G1321" s="1">
        <v>2</v>
      </c>
      <c r="H1321" s="1" t="s">
        <v>16</v>
      </c>
      <c r="I1321" s="1" t="s">
        <v>16</v>
      </c>
      <c r="J1321" s="1" t="s">
        <v>16</v>
      </c>
      <c r="K1321" s="1" t="s">
        <v>17</v>
      </c>
      <c r="L1321" s="1" t="s">
        <v>17</v>
      </c>
      <c r="M1321" s="1" t="s">
        <v>17</v>
      </c>
      <c r="N1321" s="27" t="s">
        <v>605</v>
      </c>
      <c r="O1321" s="1" t="s">
        <v>16</v>
      </c>
    </row>
    <row r="1322" spans="1:15" x14ac:dyDescent="0.2">
      <c r="A1322" s="9">
        <v>45020</v>
      </c>
      <c r="B1322" s="1" t="s">
        <v>22</v>
      </c>
      <c r="C1322" s="1">
        <v>13</v>
      </c>
      <c r="D1322" s="1">
        <v>3</v>
      </c>
      <c r="E1322" s="5">
        <v>61.37</v>
      </c>
      <c r="F1322" s="1" t="s">
        <v>16</v>
      </c>
      <c r="G1322" s="1">
        <v>4</v>
      </c>
      <c r="H1322" s="1" t="s">
        <v>16</v>
      </c>
      <c r="I1322" s="1" t="s">
        <v>16</v>
      </c>
      <c r="J1322" s="1" t="s">
        <v>16</v>
      </c>
      <c r="K1322" s="1" t="s">
        <v>17</v>
      </c>
      <c r="L1322" s="1" t="s">
        <v>17</v>
      </c>
      <c r="M1322" s="1" t="s">
        <v>17</v>
      </c>
      <c r="N1322" s="27" t="s">
        <v>605</v>
      </c>
      <c r="O1322" s="1" t="s">
        <v>16</v>
      </c>
    </row>
    <row r="1323" spans="1:15" x14ac:dyDescent="0.2">
      <c r="A1323" s="9">
        <v>45020</v>
      </c>
      <c r="B1323" s="1" t="s">
        <v>22</v>
      </c>
      <c r="C1323" s="1">
        <v>14</v>
      </c>
      <c r="D1323" s="1">
        <v>3</v>
      </c>
      <c r="E1323" s="5">
        <v>44.57</v>
      </c>
      <c r="F1323" s="1" t="s">
        <v>19</v>
      </c>
      <c r="G1323" s="1">
        <v>2</v>
      </c>
      <c r="H1323" s="1" t="s">
        <v>16</v>
      </c>
      <c r="I1323" s="1" t="s">
        <v>16</v>
      </c>
      <c r="J1323" s="1" t="s">
        <v>16</v>
      </c>
      <c r="K1323" s="1" t="s">
        <v>17</v>
      </c>
      <c r="L1323" s="1" t="s">
        <v>17</v>
      </c>
      <c r="M1323" s="1" t="s">
        <v>17</v>
      </c>
      <c r="N1323" s="27" t="s">
        <v>605</v>
      </c>
      <c r="O1323" s="1" t="s">
        <v>16</v>
      </c>
    </row>
    <row r="1324" spans="1:15" x14ac:dyDescent="0.2">
      <c r="A1324" s="9">
        <v>45020</v>
      </c>
      <c r="B1324" s="1" t="s">
        <v>22</v>
      </c>
      <c r="C1324" s="1">
        <v>15</v>
      </c>
      <c r="D1324" s="1">
        <v>3</v>
      </c>
      <c r="E1324" s="5">
        <v>63.63</v>
      </c>
      <c r="F1324" s="1" t="s">
        <v>19</v>
      </c>
      <c r="G1324" s="1">
        <v>2</v>
      </c>
      <c r="H1324" s="1" t="s">
        <v>16</v>
      </c>
      <c r="I1324" s="1" t="s">
        <v>16</v>
      </c>
      <c r="J1324" s="1" t="s">
        <v>16</v>
      </c>
      <c r="K1324" s="1" t="s">
        <v>17</v>
      </c>
      <c r="L1324" s="1" t="s">
        <v>17</v>
      </c>
      <c r="M1324" s="1" t="s">
        <v>21</v>
      </c>
      <c r="N1324" s="27" t="s">
        <v>605</v>
      </c>
      <c r="O1324" s="1" t="s">
        <v>16</v>
      </c>
    </row>
    <row r="1325" spans="1:15" x14ac:dyDescent="0.2">
      <c r="A1325" s="9">
        <v>45048</v>
      </c>
      <c r="B1325" s="1" t="s">
        <v>22</v>
      </c>
      <c r="C1325" s="1">
        <v>1</v>
      </c>
      <c r="D1325" s="1">
        <v>1</v>
      </c>
      <c r="E1325" s="5">
        <v>29.29</v>
      </c>
      <c r="F1325" s="1" t="s">
        <v>18</v>
      </c>
      <c r="G1325" s="1">
        <v>2</v>
      </c>
      <c r="H1325" s="1" t="s">
        <v>16</v>
      </c>
      <c r="I1325" s="1" t="s">
        <v>16</v>
      </c>
      <c r="J1325" s="1" t="s">
        <v>16</v>
      </c>
      <c r="K1325" s="1" t="s">
        <v>17</v>
      </c>
      <c r="L1325" s="1" t="s">
        <v>17</v>
      </c>
      <c r="M1325" s="1" t="s">
        <v>17</v>
      </c>
      <c r="N1325" s="27" t="s">
        <v>605</v>
      </c>
      <c r="O1325" s="1" t="s">
        <v>16</v>
      </c>
    </row>
    <row r="1326" spans="1:15" x14ac:dyDescent="0.2">
      <c r="A1326" s="9">
        <v>45048</v>
      </c>
      <c r="B1326" s="1" t="s">
        <v>22</v>
      </c>
      <c r="C1326" s="1">
        <v>2</v>
      </c>
      <c r="D1326" s="1">
        <v>1</v>
      </c>
      <c r="E1326" s="5">
        <v>44.88</v>
      </c>
      <c r="F1326" s="1" t="s">
        <v>18</v>
      </c>
      <c r="G1326" s="1">
        <v>2</v>
      </c>
      <c r="H1326" s="1" t="s">
        <v>16</v>
      </c>
      <c r="I1326" s="1" t="s">
        <v>16</v>
      </c>
      <c r="J1326" s="1" t="s">
        <v>16</v>
      </c>
      <c r="K1326" s="1" t="s">
        <v>17</v>
      </c>
      <c r="L1326" s="1" t="s">
        <v>17</v>
      </c>
      <c r="M1326" s="1" t="s">
        <v>17</v>
      </c>
      <c r="N1326" s="27" t="s">
        <v>605</v>
      </c>
      <c r="O1326" s="1" t="s">
        <v>16</v>
      </c>
    </row>
    <row r="1327" spans="1:15" x14ac:dyDescent="0.2">
      <c r="A1327" s="9">
        <v>45048</v>
      </c>
      <c r="B1327" s="1" t="s">
        <v>22</v>
      </c>
      <c r="C1327" s="1">
        <v>3</v>
      </c>
      <c r="D1327" s="1">
        <v>1</v>
      </c>
      <c r="E1327" s="5">
        <v>46.37</v>
      </c>
      <c r="F1327" s="1" t="s">
        <v>19</v>
      </c>
      <c r="G1327" s="1">
        <v>2</v>
      </c>
      <c r="H1327" s="1" t="s">
        <v>16</v>
      </c>
      <c r="I1327" s="1" t="s">
        <v>16</v>
      </c>
      <c r="J1327" s="1" t="s">
        <v>16</v>
      </c>
      <c r="K1327" s="1" t="s">
        <v>17</v>
      </c>
      <c r="L1327" s="1" t="s">
        <v>17</v>
      </c>
      <c r="M1327" s="1" t="s">
        <v>17</v>
      </c>
      <c r="N1327" s="27" t="s">
        <v>605</v>
      </c>
      <c r="O1327" s="1" t="s">
        <v>16</v>
      </c>
    </row>
    <row r="1328" spans="1:15" x14ac:dyDescent="0.2">
      <c r="A1328" s="9">
        <v>45048</v>
      </c>
      <c r="B1328" s="1" t="s">
        <v>22</v>
      </c>
      <c r="C1328" s="1">
        <v>4</v>
      </c>
      <c r="D1328" s="1">
        <v>1</v>
      </c>
      <c r="E1328" s="5">
        <v>56.57</v>
      </c>
      <c r="F1328" s="1" t="s">
        <v>16</v>
      </c>
      <c r="G1328" s="1" t="s">
        <v>16</v>
      </c>
      <c r="H1328" s="1" t="s">
        <v>16</v>
      </c>
      <c r="I1328" s="1" t="s">
        <v>16</v>
      </c>
      <c r="J1328" s="1" t="s">
        <v>16</v>
      </c>
      <c r="K1328" s="1" t="s">
        <v>17</v>
      </c>
      <c r="L1328" s="1" t="s">
        <v>21</v>
      </c>
      <c r="M1328" s="1" t="s">
        <v>17</v>
      </c>
      <c r="N1328" s="27" t="s">
        <v>605</v>
      </c>
      <c r="O1328" s="1" t="s">
        <v>16</v>
      </c>
    </row>
    <row r="1329" spans="1:15" x14ac:dyDescent="0.2">
      <c r="A1329" s="9">
        <v>45048</v>
      </c>
      <c r="B1329" s="1" t="s">
        <v>22</v>
      </c>
      <c r="C1329" s="1">
        <v>5</v>
      </c>
      <c r="D1329" s="1">
        <v>1</v>
      </c>
      <c r="E1329" s="5">
        <v>48.72</v>
      </c>
      <c r="F1329" s="1" t="s">
        <v>19</v>
      </c>
      <c r="G1329" s="1">
        <v>2</v>
      </c>
      <c r="H1329" s="1" t="s">
        <v>16</v>
      </c>
      <c r="I1329" s="1" t="s">
        <v>16</v>
      </c>
      <c r="J1329" s="1" t="s">
        <v>16</v>
      </c>
      <c r="K1329" s="1" t="s">
        <v>17</v>
      </c>
      <c r="L1329" s="1" t="s">
        <v>17</v>
      </c>
      <c r="M1329" s="1" t="s">
        <v>17</v>
      </c>
      <c r="N1329" s="27" t="s">
        <v>605</v>
      </c>
      <c r="O1329" s="1" t="s">
        <v>16</v>
      </c>
    </row>
    <row r="1330" spans="1:15" x14ac:dyDescent="0.2">
      <c r="A1330" s="9">
        <v>45048</v>
      </c>
      <c r="B1330" s="1" t="s">
        <v>22</v>
      </c>
      <c r="C1330" s="1">
        <v>6</v>
      </c>
      <c r="D1330" s="1">
        <v>2</v>
      </c>
      <c r="E1330" s="5">
        <v>43.57</v>
      </c>
      <c r="F1330" s="1" t="s">
        <v>18</v>
      </c>
      <c r="G1330" s="1">
        <v>2</v>
      </c>
      <c r="H1330" s="1" t="s">
        <v>16</v>
      </c>
      <c r="I1330" s="1" t="s">
        <v>16</v>
      </c>
      <c r="J1330" s="1" t="s">
        <v>16</v>
      </c>
      <c r="K1330" s="1" t="s">
        <v>17</v>
      </c>
      <c r="L1330" s="1" t="s">
        <v>17</v>
      </c>
      <c r="M1330" s="1" t="s">
        <v>17</v>
      </c>
      <c r="N1330" s="27" t="s">
        <v>605</v>
      </c>
      <c r="O1330" s="1" t="s">
        <v>16</v>
      </c>
    </row>
    <row r="1331" spans="1:15" x14ac:dyDescent="0.2">
      <c r="A1331" s="9">
        <v>45048</v>
      </c>
      <c r="B1331" s="1" t="s">
        <v>22</v>
      </c>
      <c r="C1331" s="1">
        <v>7</v>
      </c>
      <c r="D1331" s="1">
        <v>2</v>
      </c>
      <c r="E1331" s="5">
        <v>41.02</v>
      </c>
      <c r="F1331" s="1" t="s">
        <v>18</v>
      </c>
      <c r="G1331" s="1">
        <v>2</v>
      </c>
      <c r="H1331" s="1" t="s">
        <v>16</v>
      </c>
      <c r="I1331" s="1" t="s">
        <v>16</v>
      </c>
      <c r="J1331" s="1" t="s">
        <v>16</v>
      </c>
      <c r="K1331" s="1" t="s">
        <v>17</v>
      </c>
      <c r="L1331" s="1" t="s">
        <v>17</v>
      </c>
      <c r="M1331" s="1" t="s">
        <v>17</v>
      </c>
      <c r="N1331" s="27" t="s">
        <v>605</v>
      </c>
      <c r="O1331" s="1" t="s">
        <v>16</v>
      </c>
    </row>
    <row r="1332" spans="1:15" x14ac:dyDescent="0.2">
      <c r="A1332" s="9">
        <v>45048</v>
      </c>
      <c r="B1332" s="1" t="s">
        <v>22</v>
      </c>
      <c r="C1332" s="1">
        <v>8</v>
      </c>
      <c r="D1332" s="1">
        <v>2</v>
      </c>
      <c r="E1332" s="5">
        <v>69.34</v>
      </c>
      <c r="F1332" s="1" t="s">
        <v>19</v>
      </c>
      <c r="G1332" s="1">
        <v>2</v>
      </c>
      <c r="H1332" s="1" t="s">
        <v>16</v>
      </c>
      <c r="I1332" s="1" t="s">
        <v>16</v>
      </c>
      <c r="J1332" s="1" t="s">
        <v>16</v>
      </c>
      <c r="K1332" s="1" t="s">
        <v>17</v>
      </c>
      <c r="L1332" s="1" t="s">
        <v>17</v>
      </c>
      <c r="M1332" s="1" t="s">
        <v>17</v>
      </c>
      <c r="N1332" s="27" t="s">
        <v>605</v>
      </c>
      <c r="O1332" s="1" t="s">
        <v>16</v>
      </c>
    </row>
    <row r="1333" spans="1:15" x14ac:dyDescent="0.2">
      <c r="A1333" s="9">
        <v>45048</v>
      </c>
      <c r="B1333" s="1" t="s">
        <v>22</v>
      </c>
      <c r="C1333" s="1">
        <v>9</v>
      </c>
      <c r="D1333" s="1">
        <v>2</v>
      </c>
      <c r="E1333" s="5">
        <v>55.07</v>
      </c>
      <c r="F1333" s="1" t="s">
        <v>18</v>
      </c>
      <c r="G1333" s="1">
        <v>2</v>
      </c>
      <c r="H1333" s="1" t="s">
        <v>16</v>
      </c>
      <c r="I1333" s="1" t="s">
        <v>16</v>
      </c>
      <c r="J1333" s="1" t="s">
        <v>16</v>
      </c>
      <c r="K1333" s="1" t="s">
        <v>17</v>
      </c>
      <c r="L1333" s="1" t="s">
        <v>17</v>
      </c>
      <c r="M1333" s="1" t="s">
        <v>17</v>
      </c>
      <c r="N1333" s="27" t="s">
        <v>605</v>
      </c>
      <c r="O1333" s="1" t="s">
        <v>16</v>
      </c>
    </row>
    <row r="1334" spans="1:15" x14ac:dyDescent="0.2">
      <c r="A1334" s="9">
        <v>45048</v>
      </c>
      <c r="B1334" s="1" t="s">
        <v>22</v>
      </c>
      <c r="C1334" s="1">
        <v>10</v>
      </c>
      <c r="D1334" s="1">
        <v>2</v>
      </c>
      <c r="E1334" s="5">
        <v>70.37</v>
      </c>
      <c r="F1334" s="1" t="s">
        <v>16</v>
      </c>
      <c r="G1334" s="1">
        <v>4</v>
      </c>
      <c r="H1334" s="1" t="s">
        <v>16</v>
      </c>
      <c r="I1334" s="1" t="s">
        <v>16</v>
      </c>
      <c r="J1334" s="1" t="s">
        <v>16</v>
      </c>
      <c r="K1334" s="1" t="s">
        <v>17</v>
      </c>
      <c r="L1334" s="1" t="s">
        <v>17</v>
      </c>
      <c r="M1334" s="1" t="s">
        <v>17</v>
      </c>
      <c r="N1334" s="27" t="s">
        <v>605</v>
      </c>
      <c r="O1334" s="1" t="s">
        <v>16</v>
      </c>
    </row>
    <row r="1335" spans="1:15" x14ac:dyDescent="0.2">
      <c r="A1335" s="9">
        <v>45048</v>
      </c>
      <c r="B1335" s="1" t="s">
        <v>22</v>
      </c>
      <c r="C1335" s="1">
        <v>11</v>
      </c>
      <c r="D1335" s="1">
        <v>3</v>
      </c>
      <c r="E1335" s="5">
        <v>73.5</v>
      </c>
      <c r="F1335" s="1" t="s">
        <v>18</v>
      </c>
      <c r="G1335" s="1">
        <v>2</v>
      </c>
      <c r="H1335" s="1" t="s">
        <v>16</v>
      </c>
      <c r="I1335" s="1" t="s">
        <v>16</v>
      </c>
      <c r="J1335" s="1" t="s">
        <v>16</v>
      </c>
      <c r="K1335" s="1" t="s">
        <v>17</v>
      </c>
      <c r="L1335" s="1" t="s">
        <v>17</v>
      </c>
      <c r="M1335" s="1" t="s">
        <v>17</v>
      </c>
      <c r="N1335" s="27" t="s">
        <v>605</v>
      </c>
      <c r="O1335" s="1" t="s">
        <v>16</v>
      </c>
    </row>
    <row r="1336" spans="1:15" x14ac:dyDescent="0.2">
      <c r="A1336" s="9">
        <v>45048</v>
      </c>
      <c r="B1336" s="1" t="s">
        <v>22</v>
      </c>
      <c r="C1336" s="1">
        <v>12</v>
      </c>
      <c r="D1336" s="1">
        <v>3</v>
      </c>
      <c r="E1336" s="5">
        <v>77.09</v>
      </c>
      <c r="F1336" s="1" t="s">
        <v>19</v>
      </c>
      <c r="G1336" s="1">
        <v>2</v>
      </c>
      <c r="H1336" s="1" t="s">
        <v>16</v>
      </c>
      <c r="I1336" s="1" t="s">
        <v>16</v>
      </c>
      <c r="J1336" s="1" t="s">
        <v>16</v>
      </c>
      <c r="K1336" s="1" t="s">
        <v>17</v>
      </c>
      <c r="L1336" s="1" t="s">
        <v>17</v>
      </c>
      <c r="M1336" s="1" t="s">
        <v>17</v>
      </c>
      <c r="N1336" s="27" t="s">
        <v>605</v>
      </c>
      <c r="O1336" s="1" t="s">
        <v>16</v>
      </c>
    </row>
    <row r="1337" spans="1:15" x14ac:dyDescent="0.2">
      <c r="A1337" s="9">
        <v>45048</v>
      </c>
      <c r="B1337" s="1" t="s">
        <v>22</v>
      </c>
      <c r="C1337" s="1">
        <v>13</v>
      </c>
      <c r="D1337" s="1">
        <v>3</v>
      </c>
      <c r="E1337" s="5">
        <v>61.37</v>
      </c>
      <c r="F1337" s="1" t="s">
        <v>19</v>
      </c>
      <c r="G1337" s="1">
        <v>2</v>
      </c>
      <c r="H1337" s="1" t="s">
        <v>16</v>
      </c>
      <c r="I1337" s="1" t="s">
        <v>16</v>
      </c>
      <c r="J1337" s="1" t="s">
        <v>16</v>
      </c>
      <c r="K1337" s="1" t="s">
        <v>17</v>
      </c>
      <c r="L1337" s="1" t="s">
        <v>17</v>
      </c>
      <c r="M1337" s="1" t="s">
        <v>17</v>
      </c>
      <c r="N1337" s="27" t="s">
        <v>605</v>
      </c>
      <c r="O1337" s="1" t="s">
        <v>16</v>
      </c>
    </row>
    <row r="1338" spans="1:15" x14ac:dyDescent="0.2">
      <c r="A1338" s="9">
        <v>45048</v>
      </c>
      <c r="B1338" s="1" t="s">
        <v>22</v>
      </c>
      <c r="C1338" s="1">
        <v>14</v>
      </c>
      <c r="D1338" s="1">
        <v>3</v>
      </c>
      <c r="E1338" s="5">
        <v>44.57</v>
      </c>
      <c r="F1338" s="1" t="s">
        <v>18</v>
      </c>
      <c r="G1338" s="1">
        <v>2</v>
      </c>
      <c r="H1338" s="1" t="s">
        <v>16</v>
      </c>
      <c r="I1338" s="1" t="s">
        <v>16</v>
      </c>
      <c r="J1338" s="1" t="s">
        <v>16</v>
      </c>
      <c r="K1338" s="1" t="s">
        <v>17</v>
      </c>
      <c r="L1338" s="1" t="s">
        <v>17</v>
      </c>
      <c r="M1338" s="1" t="s">
        <v>17</v>
      </c>
      <c r="N1338" s="27" t="s">
        <v>605</v>
      </c>
      <c r="O1338" s="1" t="s">
        <v>16</v>
      </c>
    </row>
    <row r="1339" spans="1:15" x14ac:dyDescent="0.2">
      <c r="A1339" s="9">
        <v>45048</v>
      </c>
      <c r="B1339" s="1" t="s">
        <v>22</v>
      </c>
      <c r="C1339" s="1">
        <v>15</v>
      </c>
      <c r="D1339" s="1">
        <v>3</v>
      </c>
      <c r="E1339" s="5">
        <v>63.63</v>
      </c>
      <c r="F1339" s="1" t="s">
        <v>18</v>
      </c>
      <c r="G1339" s="1">
        <v>2</v>
      </c>
      <c r="H1339" s="1" t="s">
        <v>16</v>
      </c>
      <c r="I1339" s="1" t="s">
        <v>16</v>
      </c>
      <c r="J1339" s="1" t="s">
        <v>16</v>
      </c>
      <c r="K1339" s="1" t="s">
        <v>17</v>
      </c>
      <c r="L1339" s="1" t="s">
        <v>17</v>
      </c>
      <c r="M1339" s="1" t="s">
        <v>17</v>
      </c>
      <c r="N1339" s="27" t="s">
        <v>605</v>
      </c>
      <c r="O1339" s="1" t="s">
        <v>16</v>
      </c>
    </row>
    <row r="1340" spans="1:15" x14ac:dyDescent="0.2">
      <c r="A1340" s="9">
        <v>45083</v>
      </c>
      <c r="B1340" s="1" t="s">
        <v>22</v>
      </c>
      <c r="C1340" s="1">
        <v>1</v>
      </c>
      <c r="D1340" s="1">
        <v>1</v>
      </c>
      <c r="E1340" s="5">
        <v>68.09</v>
      </c>
      <c r="F1340" s="1" t="s">
        <v>16</v>
      </c>
      <c r="G1340" s="1" t="s">
        <v>16</v>
      </c>
      <c r="H1340" s="1" t="s">
        <v>16</v>
      </c>
      <c r="I1340" s="1" t="s">
        <v>16</v>
      </c>
      <c r="J1340" s="1" t="s">
        <v>16</v>
      </c>
      <c r="K1340" s="1" t="s">
        <v>17</v>
      </c>
      <c r="L1340" s="1" t="s">
        <v>17</v>
      </c>
      <c r="M1340" s="1" t="s">
        <v>17</v>
      </c>
      <c r="N1340" s="27" t="s">
        <v>605</v>
      </c>
      <c r="O1340" s="1" t="s">
        <v>16</v>
      </c>
    </row>
    <row r="1341" spans="1:15" x14ac:dyDescent="0.2">
      <c r="A1341" s="9">
        <v>45083</v>
      </c>
      <c r="B1341" s="1" t="s">
        <v>22</v>
      </c>
      <c r="C1341" s="1">
        <v>2</v>
      </c>
      <c r="D1341" s="1">
        <v>1</v>
      </c>
      <c r="E1341" s="5">
        <v>51.99</v>
      </c>
      <c r="F1341" s="1" t="s">
        <v>18</v>
      </c>
      <c r="G1341" s="1">
        <v>2</v>
      </c>
      <c r="H1341" s="1" t="s">
        <v>16</v>
      </c>
      <c r="I1341" s="1" t="s">
        <v>16</v>
      </c>
      <c r="J1341" s="1" t="s">
        <v>16</v>
      </c>
      <c r="K1341" s="1" t="s">
        <v>17</v>
      </c>
      <c r="L1341" s="1" t="s">
        <v>17</v>
      </c>
      <c r="M1341" s="1" t="s">
        <v>17</v>
      </c>
      <c r="N1341" s="27" t="s">
        <v>605</v>
      </c>
      <c r="O1341" s="1" t="s">
        <v>16</v>
      </c>
    </row>
    <row r="1342" spans="1:15" x14ac:dyDescent="0.2">
      <c r="A1342" s="9">
        <v>45083</v>
      </c>
      <c r="B1342" s="1" t="s">
        <v>22</v>
      </c>
      <c r="C1342" s="1">
        <v>3</v>
      </c>
      <c r="D1342" s="1">
        <v>1</v>
      </c>
      <c r="E1342" s="5">
        <v>40.119999999999997</v>
      </c>
      <c r="F1342" s="1" t="s">
        <v>18</v>
      </c>
      <c r="G1342" s="1">
        <v>2</v>
      </c>
      <c r="H1342" s="1" t="s">
        <v>16</v>
      </c>
      <c r="I1342" s="1" t="s">
        <v>16</v>
      </c>
      <c r="J1342" s="1" t="s">
        <v>16</v>
      </c>
      <c r="K1342" s="1" t="s">
        <v>17</v>
      </c>
      <c r="L1342" s="1" t="s">
        <v>17</v>
      </c>
      <c r="M1342" s="1" t="s">
        <v>17</v>
      </c>
      <c r="N1342" s="27" t="s">
        <v>605</v>
      </c>
      <c r="O1342" s="1" t="s">
        <v>16</v>
      </c>
    </row>
    <row r="1343" spans="1:15" x14ac:dyDescent="0.2">
      <c r="A1343" s="9">
        <v>45083</v>
      </c>
      <c r="B1343" s="1" t="s">
        <v>22</v>
      </c>
      <c r="C1343" s="1">
        <v>4</v>
      </c>
      <c r="D1343" s="1">
        <v>1</v>
      </c>
      <c r="E1343" s="5">
        <v>44.46</v>
      </c>
      <c r="F1343" s="1" t="s">
        <v>18</v>
      </c>
      <c r="G1343" s="1">
        <v>2</v>
      </c>
      <c r="H1343" s="1" t="s">
        <v>16</v>
      </c>
      <c r="I1343" s="1" t="s">
        <v>16</v>
      </c>
      <c r="J1343" s="1" t="s">
        <v>16</v>
      </c>
      <c r="K1343" s="1" t="s">
        <v>17</v>
      </c>
      <c r="L1343" s="1" t="s">
        <v>17</v>
      </c>
      <c r="M1343" s="1" t="s">
        <v>17</v>
      </c>
      <c r="N1343" s="27" t="s">
        <v>605</v>
      </c>
      <c r="O1343" s="1" t="s">
        <v>16</v>
      </c>
    </row>
    <row r="1344" spans="1:15" x14ac:dyDescent="0.2">
      <c r="A1344" s="9">
        <v>45083</v>
      </c>
      <c r="B1344" s="1" t="s">
        <v>22</v>
      </c>
      <c r="C1344" s="1">
        <v>5</v>
      </c>
      <c r="D1344" s="1">
        <v>1</v>
      </c>
      <c r="E1344" s="5">
        <v>46.12</v>
      </c>
      <c r="F1344" s="1" t="s">
        <v>18</v>
      </c>
      <c r="G1344" s="1">
        <v>2</v>
      </c>
      <c r="H1344" s="1" t="s">
        <v>16</v>
      </c>
      <c r="I1344" s="1" t="s">
        <v>16</v>
      </c>
      <c r="J1344" s="1" t="s">
        <v>16</v>
      </c>
      <c r="K1344" s="1" t="s">
        <v>17</v>
      </c>
      <c r="L1344" s="1" t="s">
        <v>17</v>
      </c>
      <c r="M1344" s="1" t="s">
        <v>17</v>
      </c>
      <c r="N1344" s="27" t="s">
        <v>605</v>
      </c>
      <c r="O1344" s="1" t="s">
        <v>16</v>
      </c>
    </row>
    <row r="1345" spans="1:15" x14ac:dyDescent="0.2">
      <c r="A1345" s="9">
        <v>45083</v>
      </c>
      <c r="B1345" s="1" t="s">
        <v>22</v>
      </c>
      <c r="C1345" s="1">
        <v>6</v>
      </c>
      <c r="D1345" s="1">
        <v>2</v>
      </c>
      <c r="E1345" s="5">
        <v>47.35</v>
      </c>
      <c r="F1345" s="1" t="s">
        <v>18</v>
      </c>
      <c r="G1345" s="1">
        <v>2</v>
      </c>
      <c r="H1345" s="1" t="s">
        <v>16</v>
      </c>
      <c r="I1345" s="1" t="s">
        <v>16</v>
      </c>
      <c r="J1345" s="1" t="s">
        <v>16</v>
      </c>
      <c r="K1345" s="1" t="s">
        <v>17</v>
      </c>
      <c r="L1345" s="1" t="s">
        <v>17</v>
      </c>
      <c r="M1345" s="1" t="s">
        <v>17</v>
      </c>
      <c r="N1345" s="27" t="s">
        <v>605</v>
      </c>
      <c r="O1345" s="1" t="s">
        <v>16</v>
      </c>
    </row>
    <row r="1346" spans="1:15" x14ac:dyDescent="0.2">
      <c r="A1346" s="9">
        <v>45083</v>
      </c>
      <c r="B1346" s="1" t="s">
        <v>22</v>
      </c>
      <c r="C1346" s="1">
        <v>7</v>
      </c>
      <c r="D1346" s="1">
        <v>2</v>
      </c>
      <c r="E1346" s="5">
        <v>32.68</v>
      </c>
      <c r="F1346" s="1" t="s">
        <v>19</v>
      </c>
      <c r="G1346" s="1">
        <v>2</v>
      </c>
      <c r="H1346" s="1" t="s">
        <v>16</v>
      </c>
      <c r="I1346" s="1" t="s">
        <v>16</v>
      </c>
      <c r="J1346" s="1" t="s">
        <v>16</v>
      </c>
      <c r="K1346" s="1" t="s">
        <v>21</v>
      </c>
      <c r="L1346" s="1" t="s">
        <v>17</v>
      </c>
      <c r="M1346" s="1" t="s">
        <v>17</v>
      </c>
      <c r="N1346" s="27" t="s">
        <v>605</v>
      </c>
      <c r="O1346" s="1" t="s">
        <v>16</v>
      </c>
    </row>
    <row r="1347" spans="1:15" x14ac:dyDescent="0.2">
      <c r="A1347" s="9">
        <v>45083</v>
      </c>
      <c r="B1347" s="1" t="s">
        <v>22</v>
      </c>
      <c r="C1347" s="1">
        <v>8</v>
      </c>
      <c r="D1347" s="1">
        <v>2</v>
      </c>
      <c r="E1347" s="5">
        <v>56.36</v>
      </c>
      <c r="F1347" s="1" t="s">
        <v>18</v>
      </c>
      <c r="G1347" s="1">
        <v>2</v>
      </c>
      <c r="H1347" s="1" t="s">
        <v>16</v>
      </c>
      <c r="I1347" s="1" t="s">
        <v>16</v>
      </c>
      <c r="J1347" s="1" t="s">
        <v>16</v>
      </c>
      <c r="K1347" s="1" t="s">
        <v>17</v>
      </c>
      <c r="L1347" s="1" t="s">
        <v>17</v>
      </c>
      <c r="M1347" s="1" t="s">
        <v>17</v>
      </c>
      <c r="N1347" s="27" t="s">
        <v>605</v>
      </c>
      <c r="O1347" s="1" t="s">
        <v>16</v>
      </c>
    </row>
    <row r="1348" spans="1:15" x14ac:dyDescent="0.2">
      <c r="A1348" s="9">
        <v>45083</v>
      </c>
      <c r="B1348" s="1" t="s">
        <v>22</v>
      </c>
      <c r="C1348" s="1">
        <v>9</v>
      </c>
      <c r="D1348" s="1">
        <v>2</v>
      </c>
      <c r="E1348" s="5">
        <v>34.46</v>
      </c>
      <c r="F1348" s="1" t="s">
        <v>19</v>
      </c>
      <c r="G1348" s="1">
        <v>2</v>
      </c>
      <c r="H1348" s="1" t="s">
        <v>16</v>
      </c>
      <c r="I1348" s="1" t="s">
        <v>16</v>
      </c>
      <c r="J1348" s="1" t="s">
        <v>16</v>
      </c>
      <c r="K1348" s="1" t="s">
        <v>17</v>
      </c>
      <c r="L1348" s="1" t="s">
        <v>17</v>
      </c>
      <c r="M1348" s="1" t="s">
        <v>17</v>
      </c>
      <c r="N1348" s="27" t="s">
        <v>605</v>
      </c>
      <c r="O1348" s="1" t="s">
        <v>16</v>
      </c>
    </row>
    <row r="1349" spans="1:15" x14ac:dyDescent="0.2">
      <c r="A1349" s="9">
        <v>45083</v>
      </c>
      <c r="B1349" s="1" t="s">
        <v>22</v>
      </c>
      <c r="C1349" s="1">
        <v>10</v>
      </c>
      <c r="D1349" s="1">
        <v>2</v>
      </c>
      <c r="E1349" s="5">
        <v>72.430000000000007</v>
      </c>
      <c r="F1349" s="1" t="s">
        <v>16</v>
      </c>
      <c r="G1349" s="1" t="s">
        <v>16</v>
      </c>
      <c r="H1349" s="1" t="s">
        <v>16</v>
      </c>
      <c r="I1349" s="1" t="s">
        <v>16</v>
      </c>
      <c r="J1349" s="1" t="s">
        <v>16</v>
      </c>
      <c r="K1349" s="1" t="s">
        <v>17</v>
      </c>
      <c r="L1349" s="1" t="s">
        <v>17</v>
      </c>
      <c r="M1349" s="1" t="s">
        <v>17</v>
      </c>
      <c r="N1349" s="27" t="s">
        <v>605</v>
      </c>
      <c r="O1349" s="1" t="s">
        <v>16</v>
      </c>
    </row>
    <row r="1350" spans="1:15" x14ac:dyDescent="0.2">
      <c r="A1350" s="9">
        <v>45083</v>
      </c>
      <c r="B1350" s="1" t="s">
        <v>22</v>
      </c>
      <c r="C1350" s="1">
        <v>11</v>
      </c>
      <c r="D1350" s="1">
        <v>3</v>
      </c>
      <c r="E1350" s="5">
        <v>73.040000000000006</v>
      </c>
      <c r="F1350" s="1" t="s">
        <v>18</v>
      </c>
      <c r="G1350" s="1">
        <v>2</v>
      </c>
      <c r="H1350" s="1" t="s">
        <v>16</v>
      </c>
      <c r="I1350" s="1" t="s">
        <v>16</v>
      </c>
      <c r="J1350" s="1" t="s">
        <v>16</v>
      </c>
      <c r="K1350" s="1" t="s">
        <v>17</v>
      </c>
      <c r="L1350" s="1" t="s">
        <v>17</v>
      </c>
      <c r="M1350" s="1" t="s">
        <v>17</v>
      </c>
      <c r="N1350" s="27" t="s">
        <v>605</v>
      </c>
      <c r="O1350" s="1" t="s">
        <v>16</v>
      </c>
    </row>
    <row r="1351" spans="1:15" x14ac:dyDescent="0.2">
      <c r="A1351" s="9">
        <v>45083</v>
      </c>
      <c r="B1351" s="1" t="s">
        <v>22</v>
      </c>
      <c r="C1351" s="1">
        <v>12</v>
      </c>
      <c r="D1351" s="1">
        <v>3</v>
      </c>
      <c r="E1351" s="5">
        <v>66.760000000000005</v>
      </c>
      <c r="F1351" s="1" t="s">
        <v>18</v>
      </c>
      <c r="G1351" s="1">
        <v>2</v>
      </c>
      <c r="H1351" s="1" t="s">
        <v>16</v>
      </c>
      <c r="I1351" s="1" t="s">
        <v>16</v>
      </c>
      <c r="J1351" s="1" t="s">
        <v>16</v>
      </c>
      <c r="K1351" s="1" t="s">
        <v>17</v>
      </c>
      <c r="L1351" s="1" t="s">
        <v>17</v>
      </c>
      <c r="M1351" s="1" t="s">
        <v>17</v>
      </c>
      <c r="N1351" s="27" t="s">
        <v>605</v>
      </c>
      <c r="O1351" s="1" t="s">
        <v>16</v>
      </c>
    </row>
    <row r="1352" spans="1:15" x14ac:dyDescent="0.2">
      <c r="A1352" s="9">
        <v>45083</v>
      </c>
      <c r="B1352" s="1" t="s">
        <v>22</v>
      </c>
      <c r="C1352" s="1">
        <v>13</v>
      </c>
      <c r="D1352" s="1">
        <v>3</v>
      </c>
      <c r="E1352" s="5">
        <v>54.84</v>
      </c>
      <c r="F1352" s="1" t="s">
        <v>18</v>
      </c>
      <c r="G1352" s="1">
        <v>2</v>
      </c>
      <c r="H1352" s="1" t="s">
        <v>16</v>
      </c>
      <c r="I1352" s="1" t="s">
        <v>16</v>
      </c>
      <c r="J1352" s="1" t="s">
        <v>16</v>
      </c>
      <c r="K1352" s="1" t="s">
        <v>17</v>
      </c>
      <c r="L1352" s="1" t="s">
        <v>17</v>
      </c>
      <c r="M1352" s="1" t="s">
        <v>17</v>
      </c>
      <c r="N1352" s="27" t="s">
        <v>605</v>
      </c>
      <c r="O1352" s="1" t="s">
        <v>16</v>
      </c>
    </row>
    <row r="1353" spans="1:15" x14ac:dyDescent="0.2">
      <c r="A1353" s="9">
        <v>45083</v>
      </c>
      <c r="B1353" s="1" t="s">
        <v>22</v>
      </c>
      <c r="C1353" s="1">
        <v>14</v>
      </c>
      <c r="D1353" s="1">
        <v>3</v>
      </c>
      <c r="E1353" s="5">
        <v>53.59</v>
      </c>
      <c r="F1353" s="1" t="s">
        <v>19</v>
      </c>
      <c r="G1353" s="1">
        <v>2</v>
      </c>
      <c r="H1353" s="1" t="s">
        <v>16</v>
      </c>
      <c r="I1353" s="1" t="s">
        <v>16</v>
      </c>
      <c r="J1353" s="1" t="s">
        <v>16</v>
      </c>
      <c r="K1353" s="1" t="s">
        <v>17</v>
      </c>
      <c r="L1353" s="1" t="s">
        <v>17</v>
      </c>
      <c r="M1353" s="1" t="s">
        <v>17</v>
      </c>
      <c r="N1353" s="27" t="s">
        <v>605</v>
      </c>
      <c r="O1353" s="1" t="s">
        <v>16</v>
      </c>
    </row>
    <row r="1354" spans="1:15" x14ac:dyDescent="0.2">
      <c r="A1354" s="9">
        <v>45083</v>
      </c>
      <c r="B1354" s="1" t="s">
        <v>22</v>
      </c>
      <c r="C1354" s="1">
        <v>15</v>
      </c>
      <c r="D1354" s="1">
        <v>3</v>
      </c>
      <c r="E1354" s="5">
        <v>53.72</v>
      </c>
      <c r="F1354" s="1" t="s">
        <v>19</v>
      </c>
      <c r="G1354" s="1">
        <v>2</v>
      </c>
      <c r="H1354" s="1" t="s">
        <v>16</v>
      </c>
      <c r="I1354" s="1" t="s">
        <v>16</v>
      </c>
      <c r="J1354" s="1" t="s">
        <v>16</v>
      </c>
      <c r="K1354" s="1" t="s">
        <v>17</v>
      </c>
      <c r="L1354" s="1" t="s">
        <v>17</v>
      </c>
      <c r="M1354" s="1" t="s">
        <v>17</v>
      </c>
      <c r="N1354" s="27" t="s">
        <v>605</v>
      </c>
      <c r="O1354" s="1" t="s">
        <v>16</v>
      </c>
    </row>
    <row r="1355" spans="1:15" x14ac:dyDescent="0.2">
      <c r="A1355" s="9">
        <v>45112</v>
      </c>
      <c r="B1355" s="1" t="s">
        <v>22</v>
      </c>
      <c r="C1355" s="1">
        <v>1</v>
      </c>
      <c r="D1355" s="1">
        <v>1</v>
      </c>
      <c r="E1355" s="5">
        <v>44.65</v>
      </c>
      <c r="F1355" s="1" t="s">
        <v>19</v>
      </c>
      <c r="G1355" s="1">
        <v>2</v>
      </c>
      <c r="H1355" s="1" t="s">
        <v>16</v>
      </c>
      <c r="I1355" s="1" t="s">
        <v>16</v>
      </c>
      <c r="J1355" s="1" t="s">
        <v>16</v>
      </c>
      <c r="K1355" s="1" t="s">
        <v>21</v>
      </c>
      <c r="L1355" s="1" t="s">
        <v>17</v>
      </c>
      <c r="M1355" s="1" t="s">
        <v>17</v>
      </c>
      <c r="N1355" s="27" t="s">
        <v>605</v>
      </c>
      <c r="O1355" s="1" t="s">
        <v>16</v>
      </c>
    </row>
    <row r="1356" spans="1:15" x14ac:dyDescent="0.2">
      <c r="A1356" s="9">
        <v>45112</v>
      </c>
      <c r="B1356" s="1" t="s">
        <v>22</v>
      </c>
      <c r="C1356" s="1">
        <v>2</v>
      </c>
      <c r="D1356" s="1">
        <v>1</v>
      </c>
      <c r="E1356" s="5">
        <v>37.880000000000003</v>
      </c>
      <c r="F1356" s="1" t="s">
        <v>18</v>
      </c>
      <c r="G1356" s="1">
        <v>2</v>
      </c>
      <c r="H1356" s="1" t="s">
        <v>16</v>
      </c>
      <c r="I1356" s="1" t="s">
        <v>16</v>
      </c>
      <c r="J1356" s="1" t="s">
        <v>16</v>
      </c>
      <c r="K1356" s="1" t="s">
        <v>17</v>
      </c>
      <c r="L1356" s="1" t="s">
        <v>17</v>
      </c>
      <c r="M1356" s="1" t="s">
        <v>17</v>
      </c>
      <c r="N1356" s="27" t="s">
        <v>605</v>
      </c>
      <c r="O1356" s="1" t="s">
        <v>16</v>
      </c>
    </row>
    <row r="1357" spans="1:15" x14ac:dyDescent="0.2">
      <c r="A1357" s="9">
        <v>45112</v>
      </c>
      <c r="B1357" s="1" t="s">
        <v>22</v>
      </c>
      <c r="C1357" s="1">
        <v>3</v>
      </c>
      <c r="D1357" s="1">
        <v>1</v>
      </c>
      <c r="E1357" s="5">
        <v>51.33</v>
      </c>
      <c r="F1357" s="1" t="s">
        <v>19</v>
      </c>
      <c r="G1357" s="1">
        <v>2</v>
      </c>
      <c r="H1357" s="1" t="s">
        <v>16</v>
      </c>
      <c r="I1357" s="1" t="s">
        <v>16</v>
      </c>
      <c r="J1357" s="1" t="s">
        <v>16</v>
      </c>
      <c r="K1357" s="1" t="s">
        <v>17</v>
      </c>
      <c r="L1357" s="1" t="s">
        <v>17</v>
      </c>
      <c r="M1357" s="1" t="s">
        <v>17</v>
      </c>
      <c r="N1357" s="27" t="s">
        <v>605</v>
      </c>
      <c r="O1357" s="1" t="s">
        <v>16</v>
      </c>
    </row>
    <row r="1358" spans="1:15" x14ac:dyDescent="0.2">
      <c r="A1358" s="9">
        <v>45112</v>
      </c>
      <c r="B1358" s="1" t="s">
        <v>22</v>
      </c>
      <c r="C1358" s="1">
        <v>4</v>
      </c>
      <c r="D1358" s="1">
        <v>1</v>
      </c>
      <c r="E1358" s="5">
        <v>37.369999999999997</v>
      </c>
      <c r="F1358" s="1" t="s">
        <v>18</v>
      </c>
      <c r="G1358" s="1">
        <v>2</v>
      </c>
      <c r="H1358" s="1" t="s">
        <v>16</v>
      </c>
      <c r="I1358" s="1" t="s">
        <v>16</v>
      </c>
      <c r="J1358" s="1" t="s">
        <v>16</v>
      </c>
      <c r="K1358" s="1" t="s">
        <v>17</v>
      </c>
      <c r="L1358" s="1" t="s">
        <v>17</v>
      </c>
      <c r="M1358" s="1" t="s">
        <v>17</v>
      </c>
      <c r="N1358" s="27" t="s">
        <v>605</v>
      </c>
      <c r="O1358" s="1" t="s">
        <v>16</v>
      </c>
    </row>
    <row r="1359" spans="1:15" x14ac:dyDescent="0.2">
      <c r="A1359" s="9">
        <v>45112</v>
      </c>
      <c r="B1359" s="1" t="s">
        <v>22</v>
      </c>
      <c r="C1359" s="1">
        <v>5</v>
      </c>
      <c r="D1359" s="1">
        <v>1</v>
      </c>
      <c r="E1359" s="5">
        <v>38.85</v>
      </c>
      <c r="F1359" s="1" t="s">
        <v>19</v>
      </c>
      <c r="G1359" s="1">
        <v>2</v>
      </c>
      <c r="H1359" s="1" t="s">
        <v>16</v>
      </c>
      <c r="I1359" s="1" t="s">
        <v>16</v>
      </c>
      <c r="J1359" s="1" t="s">
        <v>16</v>
      </c>
      <c r="K1359" s="1" t="s">
        <v>17</v>
      </c>
      <c r="L1359" s="1" t="s">
        <v>17</v>
      </c>
      <c r="M1359" s="1" t="s">
        <v>17</v>
      </c>
      <c r="N1359" s="27" t="s">
        <v>605</v>
      </c>
      <c r="O1359" s="1" t="s">
        <v>16</v>
      </c>
    </row>
    <row r="1360" spans="1:15" x14ac:dyDescent="0.2">
      <c r="A1360" s="9">
        <v>45112</v>
      </c>
      <c r="B1360" s="1" t="s">
        <v>22</v>
      </c>
      <c r="C1360" s="1">
        <v>6</v>
      </c>
      <c r="D1360" s="1">
        <v>2</v>
      </c>
      <c r="E1360" s="5">
        <v>41.65</v>
      </c>
      <c r="F1360" s="1" t="s">
        <v>18</v>
      </c>
      <c r="G1360" s="1">
        <v>2</v>
      </c>
      <c r="H1360" s="1" t="s">
        <v>16</v>
      </c>
      <c r="I1360" s="1" t="s">
        <v>16</v>
      </c>
      <c r="J1360" s="1" t="s">
        <v>16</v>
      </c>
      <c r="K1360" s="1" t="s">
        <v>17</v>
      </c>
      <c r="L1360" s="1" t="s">
        <v>17</v>
      </c>
      <c r="M1360" s="1" t="s">
        <v>17</v>
      </c>
      <c r="N1360" s="27" t="s">
        <v>605</v>
      </c>
      <c r="O1360" s="1" t="s">
        <v>16</v>
      </c>
    </row>
    <row r="1361" spans="1:15" x14ac:dyDescent="0.2">
      <c r="A1361" s="9">
        <v>45112</v>
      </c>
      <c r="B1361" s="1" t="s">
        <v>22</v>
      </c>
      <c r="C1361" s="1">
        <v>7</v>
      </c>
      <c r="D1361" s="1">
        <v>2</v>
      </c>
      <c r="E1361" s="5">
        <v>48.4</v>
      </c>
      <c r="F1361" s="1" t="s">
        <v>19</v>
      </c>
      <c r="G1361" s="1">
        <v>2</v>
      </c>
      <c r="H1361" s="1" t="s">
        <v>16</v>
      </c>
      <c r="I1361" s="1" t="s">
        <v>16</v>
      </c>
      <c r="J1361" s="1" t="s">
        <v>16</v>
      </c>
      <c r="K1361" s="1" t="s">
        <v>17</v>
      </c>
      <c r="L1361" s="1" t="s">
        <v>17</v>
      </c>
      <c r="M1361" s="1" t="s">
        <v>17</v>
      </c>
      <c r="N1361" s="27" t="s">
        <v>605</v>
      </c>
      <c r="O1361" s="1" t="s">
        <v>16</v>
      </c>
    </row>
    <row r="1362" spans="1:15" x14ac:dyDescent="0.2">
      <c r="A1362" s="9">
        <v>45112</v>
      </c>
      <c r="B1362" s="1" t="s">
        <v>22</v>
      </c>
      <c r="C1362" s="1">
        <v>8</v>
      </c>
      <c r="D1362" s="1">
        <v>2</v>
      </c>
      <c r="E1362" s="5">
        <v>51.43</v>
      </c>
      <c r="F1362" s="1" t="s">
        <v>18</v>
      </c>
      <c r="G1362" s="1">
        <v>2</v>
      </c>
      <c r="H1362" s="1" t="s">
        <v>16</v>
      </c>
      <c r="I1362" s="1" t="s">
        <v>16</v>
      </c>
      <c r="J1362" s="1" t="s">
        <v>16</v>
      </c>
      <c r="K1362" s="1" t="s">
        <v>17</v>
      </c>
      <c r="L1362" s="1" t="s">
        <v>17</v>
      </c>
      <c r="M1362" s="1" t="s">
        <v>17</v>
      </c>
      <c r="N1362" s="27" t="s">
        <v>605</v>
      </c>
      <c r="O1362" s="1" t="s">
        <v>16</v>
      </c>
    </row>
    <row r="1363" spans="1:15" x14ac:dyDescent="0.2">
      <c r="A1363" s="9">
        <v>45112</v>
      </c>
      <c r="B1363" s="1" t="s">
        <v>22</v>
      </c>
      <c r="C1363" s="1">
        <v>9</v>
      </c>
      <c r="D1363" s="1">
        <v>2</v>
      </c>
      <c r="E1363" s="5">
        <v>37.97</v>
      </c>
      <c r="F1363" s="1" t="s">
        <v>19</v>
      </c>
      <c r="G1363" s="1">
        <v>2</v>
      </c>
      <c r="H1363" s="1" t="s">
        <v>16</v>
      </c>
      <c r="I1363" s="1" t="s">
        <v>16</v>
      </c>
      <c r="J1363" s="1" t="s">
        <v>16</v>
      </c>
      <c r="K1363" s="1" t="s">
        <v>17</v>
      </c>
      <c r="L1363" s="1" t="s">
        <v>17</v>
      </c>
      <c r="M1363" s="1" t="s">
        <v>17</v>
      </c>
      <c r="N1363" s="27" t="s">
        <v>605</v>
      </c>
      <c r="O1363" s="1" t="s">
        <v>16</v>
      </c>
    </row>
    <row r="1364" spans="1:15" x14ac:dyDescent="0.2">
      <c r="A1364" s="9">
        <v>45112</v>
      </c>
      <c r="B1364" s="1" t="s">
        <v>22</v>
      </c>
      <c r="C1364" s="1">
        <v>10</v>
      </c>
      <c r="D1364" s="1">
        <v>2</v>
      </c>
      <c r="E1364" s="5">
        <v>32.07</v>
      </c>
      <c r="F1364" s="1" t="s">
        <v>18</v>
      </c>
      <c r="G1364" s="1">
        <v>2</v>
      </c>
      <c r="H1364" s="1" t="s">
        <v>16</v>
      </c>
      <c r="I1364" s="1" t="s">
        <v>16</v>
      </c>
      <c r="J1364" s="1" t="s">
        <v>16</v>
      </c>
      <c r="K1364" s="1" t="s">
        <v>17</v>
      </c>
      <c r="L1364" s="1" t="s">
        <v>17</v>
      </c>
      <c r="M1364" s="1" t="s">
        <v>17</v>
      </c>
      <c r="N1364" s="27" t="s">
        <v>605</v>
      </c>
      <c r="O1364" s="1" t="s">
        <v>16</v>
      </c>
    </row>
    <row r="1365" spans="1:15" x14ac:dyDescent="0.2">
      <c r="A1365" s="9">
        <v>45112</v>
      </c>
      <c r="B1365" s="1" t="s">
        <v>22</v>
      </c>
      <c r="C1365" s="1">
        <v>11</v>
      </c>
      <c r="D1365" s="1">
        <v>3</v>
      </c>
      <c r="E1365" s="5">
        <v>58.26</v>
      </c>
      <c r="F1365" s="1" t="s">
        <v>18</v>
      </c>
      <c r="G1365" s="1">
        <v>2</v>
      </c>
      <c r="H1365" s="1" t="s">
        <v>16</v>
      </c>
      <c r="I1365" s="1" t="s">
        <v>16</v>
      </c>
      <c r="J1365" s="1" t="s">
        <v>16</v>
      </c>
      <c r="K1365" s="1" t="s">
        <v>17</v>
      </c>
      <c r="L1365" s="1" t="s">
        <v>17</v>
      </c>
      <c r="M1365" s="1" t="s">
        <v>17</v>
      </c>
      <c r="N1365" s="27" t="s">
        <v>605</v>
      </c>
      <c r="O1365" s="1" t="s">
        <v>16</v>
      </c>
    </row>
    <row r="1366" spans="1:15" x14ac:dyDescent="0.2">
      <c r="A1366" s="9">
        <v>45112</v>
      </c>
      <c r="B1366" s="1" t="s">
        <v>22</v>
      </c>
      <c r="C1366" s="1">
        <v>12</v>
      </c>
      <c r="D1366" s="1">
        <v>3</v>
      </c>
      <c r="E1366" s="5">
        <v>49.53</v>
      </c>
      <c r="F1366" s="1" t="s">
        <v>19</v>
      </c>
      <c r="G1366" s="1">
        <v>2</v>
      </c>
      <c r="H1366" s="1" t="s">
        <v>16</v>
      </c>
      <c r="I1366" s="1" t="s">
        <v>16</v>
      </c>
      <c r="J1366" s="1" t="s">
        <v>16</v>
      </c>
      <c r="K1366" s="1" t="s">
        <v>17</v>
      </c>
      <c r="L1366" s="1" t="s">
        <v>17</v>
      </c>
      <c r="M1366" s="1" t="s">
        <v>17</v>
      </c>
      <c r="N1366" s="27" t="s">
        <v>605</v>
      </c>
      <c r="O1366" s="1" t="s">
        <v>16</v>
      </c>
    </row>
    <row r="1367" spans="1:15" x14ac:dyDescent="0.2">
      <c r="A1367" s="9">
        <v>45112</v>
      </c>
      <c r="B1367" s="1" t="s">
        <v>22</v>
      </c>
      <c r="C1367" s="1">
        <v>13</v>
      </c>
      <c r="D1367" s="1">
        <v>3</v>
      </c>
      <c r="E1367" s="5">
        <v>48.97</v>
      </c>
      <c r="F1367" s="1" t="s">
        <v>19</v>
      </c>
      <c r="G1367" s="1">
        <v>2</v>
      </c>
      <c r="H1367" s="1" t="s">
        <v>16</v>
      </c>
      <c r="I1367" s="1" t="s">
        <v>16</v>
      </c>
      <c r="J1367" s="1" t="s">
        <v>16</v>
      </c>
      <c r="K1367" s="1" t="s">
        <v>17</v>
      </c>
      <c r="L1367" s="1" t="s">
        <v>17</v>
      </c>
      <c r="M1367" s="1" t="s">
        <v>17</v>
      </c>
      <c r="N1367" s="27" t="s">
        <v>605</v>
      </c>
      <c r="O1367" s="1" t="s">
        <v>16</v>
      </c>
    </row>
    <row r="1368" spans="1:15" x14ac:dyDescent="0.2">
      <c r="A1368" s="9">
        <v>45112</v>
      </c>
      <c r="B1368" s="1" t="s">
        <v>22</v>
      </c>
      <c r="C1368" s="1">
        <v>14</v>
      </c>
      <c r="D1368" s="1">
        <v>3</v>
      </c>
      <c r="E1368" s="5">
        <v>47.8</v>
      </c>
      <c r="F1368" s="1" t="s">
        <v>18</v>
      </c>
      <c r="G1368" s="1">
        <v>1</v>
      </c>
      <c r="H1368" s="1" t="s">
        <v>16</v>
      </c>
      <c r="I1368" s="1" t="s">
        <v>16</v>
      </c>
      <c r="J1368" s="1" t="s">
        <v>16</v>
      </c>
      <c r="K1368" s="1" t="s">
        <v>17</v>
      </c>
      <c r="L1368" s="1" t="s">
        <v>17</v>
      </c>
      <c r="M1368" s="1" t="s">
        <v>17</v>
      </c>
      <c r="N1368" s="27" t="s">
        <v>605</v>
      </c>
      <c r="O1368" s="1" t="s">
        <v>16</v>
      </c>
    </row>
    <row r="1369" spans="1:15" x14ac:dyDescent="0.2">
      <c r="A1369" s="9">
        <v>45112</v>
      </c>
      <c r="B1369" s="1" t="s">
        <v>22</v>
      </c>
      <c r="C1369" s="1">
        <v>15</v>
      </c>
      <c r="D1369" s="1">
        <v>3</v>
      </c>
      <c r="E1369" s="5">
        <v>48.27</v>
      </c>
      <c r="F1369" s="1" t="s">
        <v>18</v>
      </c>
      <c r="G1369" s="1">
        <v>2</v>
      </c>
      <c r="H1369" s="1" t="s">
        <v>16</v>
      </c>
      <c r="I1369" s="1" t="s">
        <v>16</v>
      </c>
      <c r="J1369" s="1" t="s">
        <v>16</v>
      </c>
      <c r="K1369" s="1" t="s">
        <v>17</v>
      </c>
      <c r="L1369" s="1" t="s">
        <v>17</v>
      </c>
      <c r="M1369" s="1" t="s">
        <v>17</v>
      </c>
      <c r="N1369" s="27" t="s">
        <v>605</v>
      </c>
      <c r="O1369" s="1" t="s">
        <v>16</v>
      </c>
    </row>
    <row r="1370" spans="1:15" x14ac:dyDescent="0.2">
      <c r="A1370" s="9">
        <v>45140</v>
      </c>
      <c r="B1370" s="1" t="s">
        <v>22</v>
      </c>
      <c r="C1370" s="1">
        <v>1</v>
      </c>
      <c r="D1370" s="1">
        <v>1</v>
      </c>
      <c r="E1370" s="5">
        <v>41.1</v>
      </c>
      <c r="F1370" s="1" t="s">
        <v>19</v>
      </c>
      <c r="G1370" s="1">
        <v>2</v>
      </c>
      <c r="H1370" s="1" t="s">
        <v>16</v>
      </c>
      <c r="I1370" s="1" t="s">
        <v>16</v>
      </c>
      <c r="J1370" s="1" t="s">
        <v>16</v>
      </c>
      <c r="K1370" s="1" t="s">
        <v>17</v>
      </c>
      <c r="L1370" s="1" t="s">
        <v>17</v>
      </c>
      <c r="M1370" s="1" t="s">
        <v>17</v>
      </c>
      <c r="N1370" s="27" t="s">
        <v>605</v>
      </c>
      <c r="O1370" s="1" t="s">
        <v>16</v>
      </c>
    </row>
    <row r="1371" spans="1:15" x14ac:dyDescent="0.2">
      <c r="A1371" s="9">
        <v>45140</v>
      </c>
      <c r="B1371" s="1" t="s">
        <v>22</v>
      </c>
      <c r="C1371" s="1">
        <v>2</v>
      </c>
      <c r="D1371" s="1">
        <v>1</v>
      </c>
      <c r="E1371" s="5">
        <v>49.89</v>
      </c>
      <c r="F1371" s="1" t="s">
        <v>18</v>
      </c>
      <c r="G1371" s="1">
        <v>2</v>
      </c>
      <c r="H1371" s="1" t="s">
        <v>16</v>
      </c>
      <c r="I1371" s="1" t="s">
        <v>16</v>
      </c>
      <c r="J1371" s="1" t="s">
        <v>16</v>
      </c>
      <c r="K1371" s="1" t="s">
        <v>17</v>
      </c>
      <c r="L1371" s="1" t="s">
        <v>17</v>
      </c>
      <c r="M1371" s="1" t="s">
        <v>17</v>
      </c>
      <c r="N1371" s="27" t="s">
        <v>605</v>
      </c>
      <c r="O1371" s="1" t="s">
        <v>16</v>
      </c>
    </row>
    <row r="1372" spans="1:15" x14ac:dyDescent="0.2">
      <c r="A1372" s="9">
        <v>45140</v>
      </c>
      <c r="B1372" s="1" t="s">
        <v>22</v>
      </c>
      <c r="C1372" s="1">
        <v>3</v>
      </c>
      <c r="D1372" s="1">
        <v>1</v>
      </c>
      <c r="E1372" s="5">
        <v>40.1</v>
      </c>
      <c r="F1372" s="1" t="s">
        <v>19</v>
      </c>
      <c r="G1372" s="1">
        <v>2</v>
      </c>
      <c r="H1372" s="1" t="s">
        <v>16</v>
      </c>
      <c r="I1372" s="1" t="s">
        <v>16</v>
      </c>
      <c r="J1372" s="1" t="s">
        <v>16</v>
      </c>
      <c r="K1372" s="1" t="s">
        <v>17</v>
      </c>
      <c r="L1372" s="1" t="s">
        <v>17</v>
      </c>
      <c r="M1372" s="1" t="s">
        <v>17</v>
      </c>
      <c r="N1372" s="27" t="s">
        <v>605</v>
      </c>
      <c r="O1372" s="1" t="s">
        <v>16</v>
      </c>
    </row>
    <row r="1373" spans="1:15" x14ac:dyDescent="0.2">
      <c r="A1373" s="9">
        <v>45140</v>
      </c>
      <c r="B1373" s="1" t="s">
        <v>22</v>
      </c>
      <c r="C1373" s="1">
        <v>4</v>
      </c>
      <c r="D1373" s="1">
        <v>1</v>
      </c>
      <c r="E1373" s="5">
        <v>59.92</v>
      </c>
      <c r="F1373" s="1" t="s">
        <v>18</v>
      </c>
      <c r="G1373" s="1">
        <v>2</v>
      </c>
      <c r="H1373" s="1" t="s">
        <v>16</v>
      </c>
      <c r="I1373" s="1" t="s">
        <v>16</v>
      </c>
      <c r="J1373" s="1" t="s">
        <v>16</v>
      </c>
      <c r="K1373" s="1" t="s">
        <v>21</v>
      </c>
      <c r="L1373" s="1" t="s">
        <v>17</v>
      </c>
      <c r="M1373" s="1" t="s">
        <v>17</v>
      </c>
      <c r="N1373" s="27" t="s">
        <v>605</v>
      </c>
      <c r="O1373" s="1" t="s">
        <v>16</v>
      </c>
    </row>
    <row r="1374" spans="1:15" x14ac:dyDescent="0.2">
      <c r="A1374" s="9">
        <v>45140</v>
      </c>
      <c r="B1374" s="1" t="s">
        <v>22</v>
      </c>
      <c r="C1374" s="1">
        <v>5</v>
      </c>
      <c r="D1374" s="1">
        <v>1</v>
      </c>
      <c r="E1374" s="5">
        <v>58.87</v>
      </c>
      <c r="F1374" s="1" t="s">
        <v>18</v>
      </c>
      <c r="G1374" s="1">
        <v>2</v>
      </c>
      <c r="H1374" s="1" t="s">
        <v>16</v>
      </c>
      <c r="I1374" s="1" t="s">
        <v>16</v>
      </c>
      <c r="J1374" s="1" t="s">
        <v>16</v>
      </c>
      <c r="K1374" s="1" t="s">
        <v>17</v>
      </c>
      <c r="L1374" s="1" t="s">
        <v>17</v>
      </c>
      <c r="M1374" s="1" t="s">
        <v>17</v>
      </c>
      <c r="N1374" s="27" t="s">
        <v>605</v>
      </c>
      <c r="O1374" s="1" t="s">
        <v>16</v>
      </c>
    </row>
    <row r="1375" spans="1:15" x14ac:dyDescent="0.2">
      <c r="A1375" s="9">
        <v>45140</v>
      </c>
      <c r="B1375" s="1" t="s">
        <v>22</v>
      </c>
      <c r="C1375" s="1">
        <v>6</v>
      </c>
      <c r="D1375" s="1">
        <v>2</v>
      </c>
      <c r="E1375" s="5">
        <v>50.51</v>
      </c>
      <c r="F1375" s="1" t="s">
        <v>18</v>
      </c>
      <c r="G1375" s="1">
        <v>2</v>
      </c>
      <c r="H1375" s="1" t="s">
        <v>16</v>
      </c>
      <c r="I1375" s="1" t="s">
        <v>16</v>
      </c>
      <c r="J1375" s="1" t="s">
        <v>16</v>
      </c>
      <c r="K1375" s="1" t="s">
        <v>17</v>
      </c>
      <c r="L1375" s="1" t="s">
        <v>17</v>
      </c>
      <c r="M1375" s="1" t="s">
        <v>17</v>
      </c>
      <c r="N1375" s="27" t="s">
        <v>605</v>
      </c>
      <c r="O1375" s="1" t="s">
        <v>16</v>
      </c>
    </row>
    <row r="1376" spans="1:15" x14ac:dyDescent="0.2">
      <c r="A1376" s="9">
        <v>45140</v>
      </c>
      <c r="B1376" s="1" t="s">
        <v>22</v>
      </c>
      <c r="C1376" s="1">
        <v>7</v>
      </c>
      <c r="D1376" s="1">
        <v>2</v>
      </c>
      <c r="E1376" s="5">
        <v>46.25</v>
      </c>
      <c r="F1376" s="1" t="s">
        <v>19</v>
      </c>
      <c r="G1376" s="1">
        <v>2</v>
      </c>
      <c r="H1376" s="1" t="s">
        <v>16</v>
      </c>
      <c r="I1376" s="1" t="s">
        <v>16</v>
      </c>
      <c r="J1376" s="1" t="s">
        <v>16</v>
      </c>
      <c r="K1376" s="1" t="s">
        <v>21</v>
      </c>
      <c r="L1376" s="1" t="s">
        <v>17</v>
      </c>
      <c r="M1376" s="1" t="s">
        <v>17</v>
      </c>
      <c r="N1376" s="27" t="s">
        <v>605</v>
      </c>
      <c r="O1376" s="1" t="s">
        <v>16</v>
      </c>
    </row>
    <row r="1377" spans="1:15" x14ac:dyDescent="0.2">
      <c r="A1377" s="9">
        <v>45140</v>
      </c>
      <c r="B1377" s="1" t="s">
        <v>22</v>
      </c>
      <c r="C1377" s="1">
        <v>8</v>
      </c>
      <c r="D1377" s="1">
        <v>2</v>
      </c>
      <c r="E1377" s="5">
        <v>48.01</v>
      </c>
      <c r="F1377" s="1" t="s">
        <v>18</v>
      </c>
      <c r="G1377" s="1">
        <v>2</v>
      </c>
      <c r="H1377" s="1" t="s">
        <v>16</v>
      </c>
      <c r="I1377" s="1" t="s">
        <v>16</v>
      </c>
      <c r="J1377" s="1" t="s">
        <v>16</v>
      </c>
      <c r="K1377" s="1" t="s">
        <v>21</v>
      </c>
      <c r="L1377" s="1" t="s">
        <v>17</v>
      </c>
      <c r="M1377" s="1" t="s">
        <v>17</v>
      </c>
      <c r="N1377" s="27" t="s">
        <v>605</v>
      </c>
      <c r="O1377" s="1" t="s">
        <v>16</v>
      </c>
    </row>
    <row r="1378" spans="1:15" x14ac:dyDescent="0.2">
      <c r="A1378" s="9">
        <v>45140</v>
      </c>
      <c r="B1378" s="1" t="s">
        <v>22</v>
      </c>
      <c r="C1378" s="1">
        <v>9</v>
      </c>
      <c r="D1378" s="1">
        <v>2</v>
      </c>
      <c r="E1378" s="5">
        <v>43.93</v>
      </c>
      <c r="F1378" s="1" t="s">
        <v>18</v>
      </c>
      <c r="G1378" s="1">
        <v>2</v>
      </c>
      <c r="H1378" s="1" t="s">
        <v>16</v>
      </c>
      <c r="I1378" s="1" t="s">
        <v>16</v>
      </c>
      <c r="J1378" s="1" t="s">
        <v>16</v>
      </c>
      <c r="K1378" s="1" t="s">
        <v>17</v>
      </c>
      <c r="L1378" s="1" t="s">
        <v>17</v>
      </c>
      <c r="M1378" s="1" t="s">
        <v>17</v>
      </c>
      <c r="N1378" s="27" t="s">
        <v>605</v>
      </c>
      <c r="O1378" s="1" t="s">
        <v>16</v>
      </c>
    </row>
    <row r="1379" spans="1:15" x14ac:dyDescent="0.2">
      <c r="A1379" s="9">
        <v>45140</v>
      </c>
      <c r="B1379" s="1" t="s">
        <v>22</v>
      </c>
      <c r="C1379" s="1">
        <v>10</v>
      </c>
      <c r="D1379" s="1">
        <v>2</v>
      </c>
      <c r="E1379" s="5">
        <v>52.59</v>
      </c>
      <c r="F1379" s="1" t="s">
        <v>18</v>
      </c>
      <c r="G1379" s="1">
        <v>2</v>
      </c>
      <c r="H1379" s="1" t="s">
        <v>16</v>
      </c>
      <c r="I1379" s="1" t="s">
        <v>16</v>
      </c>
      <c r="J1379" s="1" t="s">
        <v>16</v>
      </c>
      <c r="K1379" s="1" t="s">
        <v>17</v>
      </c>
      <c r="L1379" s="1" t="s">
        <v>17</v>
      </c>
      <c r="M1379" s="1" t="s">
        <v>17</v>
      </c>
      <c r="N1379" s="27" t="s">
        <v>605</v>
      </c>
      <c r="O1379" s="1" t="s">
        <v>16</v>
      </c>
    </row>
    <row r="1380" spans="1:15" x14ac:dyDescent="0.2">
      <c r="A1380" s="9">
        <v>45140</v>
      </c>
      <c r="B1380" s="1" t="s">
        <v>22</v>
      </c>
      <c r="C1380" s="1">
        <v>11</v>
      </c>
      <c r="D1380" s="1">
        <v>3</v>
      </c>
      <c r="E1380" s="5">
        <v>31.91</v>
      </c>
      <c r="F1380" s="1" t="s">
        <v>19</v>
      </c>
      <c r="G1380" s="1">
        <v>2</v>
      </c>
      <c r="H1380" s="1" t="s">
        <v>16</v>
      </c>
      <c r="I1380" s="1" t="s">
        <v>16</v>
      </c>
      <c r="J1380" s="1" t="s">
        <v>16</v>
      </c>
      <c r="K1380" s="1" t="s">
        <v>17</v>
      </c>
      <c r="L1380" s="1" t="s">
        <v>17</v>
      </c>
      <c r="M1380" s="1" t="s">
        <v>17</v>
      </c>
      <c r="N1380" s="27" t="s">
        <v>605</v>
      </c>
      <c r="O1380" s="1" t="s">
        <v>16</v>
      </c>
    </row>
    <row r="1381" spans="1:15" x14ac:dyDescent="0.2">
      <c r="A1381" s="9">
        <v>45140</v>
      </c>
      <c r="B1381" s="1" t="s">
        <v>22</v>
      </c>
      <c r="C1381" s="1">
        <v>12</v>
      </c>
      <c r="D1381" s="1">
        <v>3</v>
      </c>
      <c r="E1381" s="5">
        <v>50.96</v>
      </c>
      <c r="F1381" s="1" t="s">
        <v>18</v>
      </c>
      <c r="G1381" s="1">
        <v>2</v>
      </c>
      <c r="H1381" s="1" t="s">
        <v>16</v>
      </c>
      <c r="I1381" s="1" t="s">
        <v>16</v>
      </c>
      <c r="J1381" s="1" t="s">
        <v>16</v>
      </c>
      <c r="K1381" s="1" t="s">
        <v>17</v>
      </c>
      <c r="L1381" s="1" t="s">
        <v>17</v>
      </c>
      <c r="M1381" s="1" t="s">
        <v>17</v>
      </c>
      <c r="N1381" s="27" t="s">
        <v>605</v>
      </c>
      <c r="O1381" s="1" t="s">
        <v>16</v>
      </c>
    </row>
    <row r="1382" spans="1:15" x14ac:dyDescent="0.2">
      <c r="A1382" s="9">
        <v>45140</v>
      </c>
      <c r="B1382" s="1" t="s">
        <v>22</v>
      </c>
      <c r="C1382" s="1">
        <v>13</v>
      </c>
      <c r="D1382" s="1">
        <v>3</v>
      </c>
      <c r="E1382" s="5">
        <v>55.77</v>
      </c>
      <c r="F1382" s="1" t="s">
        <v>18</v>
      </c>
      <c r="G1382" s="1">
        <v>2</v>
      </c>
      <c r="H1382" s="1" t="s">
        <v>16</v>
      </c>
      <c r="I1382" s="1" t="s">
        <v>16</v>
      </c>
      <c r="J1382" s="1" t="s">
        <v>16</v>
      </c>
      <c r="K1382" s="1" t="s">
        <v>17</v>
      </c>
      <c r="L1382" s="1" t="s">
        <v>17</v>
      </c>
      <c r="M1382" s="1" t="s">
        <v>17</v>
      </c>
      <c r="N1382" s="27" t="s">
        <v>605</v>
      </c>
      <c r="O1382" s="1" t="s">
        <v>16</v>
      </c>
    </row>
    <row r="1383" spans="1:15" x14ac:dyDescent="0.2">
      <c r="A1383" s="9">
        <v>45140</v>
      </c>
      <c r="B1383" s="1" t="s">
        <v>22</v>
      </c>
      <c r="C1383" s="1">
        <v>14</v>
      </c>
      <c r="D1383" s="1">
        <v>3</v>
      </c>
      <c r="E1383" s="5">
        <v>49.32</v>
      </c>
      <c r="F1383" s="1" t="s">
        <v>18</v>
      </c>
      <c r="G1383" s="1">
        <v>2</v>
      </c>
      <c r="H1383" s="1" t="s">
        <v>16</v>
      </c>
      <c r="I1383" s="1" t="s">
        <v>16</v>
      </c>
      <c r="J1383" s="1" t="s">
        <v>16</v>
      </c>
      <c r="K1383" s="1" t="s">
        <v>17</v>
      </c>
      <c r="L1383" s="1" t="s">
        <v>17</v>
      </c>
      <c r="M1383" s="1" t="s">
        <v>17</v>
      </c>
      <c r="N1383" s="27" t="s">
        <v>605</v>
      </c>
      <c r="O1383" s="1" t="s">
        <v>16</v>
      </c>
    </row>
    <row r="1384" spans="1:15" x14ac:dyDescent="0.2">
      <c r="A1384" s="9">
        <v>45140</v>
      </c>
      <c r="B1384" s="1" t="s">
        <v>22</v>
      </c>
      <c r="C1384" s="1">
        <v>15</v>
      </c>
      <c r="D1384" s="1">
        <v>3</v>
      </c>
      <c r="E1384" s="5">
        <v>54.37</v>
      </c>
      <c r="F1384" s="1" t="s">
        <v>19</v>
      </c>
      <c r="G1384" s="1">
        <v>2</v>
      </c>
      <c r="H1384" s="1" t="s">
        <v>16</v>
      </c>
      <c r="I1384" s="1" t="s">
        <v>16</v>
      </c>
      <c r="J1384" s="1" t="s">
        <v>16</v>
      </c>
      <c r="K1384" s="1" t="s">
        <v>17</v>
      </c>
      <c r="L1384" s="1" t="s">
        <v>17</v>
      </c>
      <c r="M1384" s="1" t="s">
        <v>17</v>
      </c>
      <c r="N1384" s="27" t="s">
        <v>605</v>
      </c>
      <c r="O1384" s="1" t="s">
        <v>16</v>
      </c>
    </row>
    <row r="1385" spans="1:15" x14ac:dyDescent="0.2">
      <c r="A1385" s="9">
        <v>45175</v>
      </c>
      <c r="B1385" s="1" t="s">
        <v>22</v>
      </c>
      <c r="C1385" s="1">
        <v>1</v>
      </c>
      <c r="D1385" s="1">
        <v>1</v>
      </c>
      <c r="E1385" s="5">
        <v>47.95</v>
      </c>
      <c r="F1385" s="1" t="s">
        <v>18</v>
      </c>
      <c r="G1385" s="1">
        <v>2</v>
      </c>
      <c r="H1385" s="1" t="s">
        <v>16</v>
      </c>
      <c r="I1385" s="1" t="s">
        <v>16</v>
      </c>
      <c r="J1385" s="1" t="s">
        <v>16</v>
      </c>
      <c r="K1385" s="1" t="s">
        <v>17</v>
      </c>
      <c r="L1385" s="1" t="s">
        <v>17</v>
      </c>
      <c r="M1385" s="1" t="s">
        <v>17</v>
      </c>
      <c r="N1385" s="27" t="s">
        <v>605</v>
      </c>
      <c r="O1385" s="1" t="s">
        <v>16</v>
      </c>
    </row>
    <row r="1386" spans="1:15" x14ac:dyDescent="0.2">
      <c r="A1386" s="9">
        <v>45175</v>
      </c>
      <c r="B1386" s="1" t="s">
        <v>22</v>
      </c>
      <c r="C1386" s="1">
        <v>2</v>
      </c>
      <c r="D1386" s="1">
        <v>1</v>
      </c>
      <c r="E1386" s="5">
        <v>41.47</v>
      </c>
      <c r="F1386" s="1" t="s">
        <v>19</v>
      </c>
      <c r="G1386" s="1">
        <v>2</v>
      </c>
      <c r="H1386" s="1" t="s">
        <v>16</v>
      </c>
      <c r="I1386" s="1" t="s">
        <v>16</v>
      </c>
      <c r="J1386" s="1" t="s">
        <v>16</v>
      </c>
      <c r="K1386" s="1" t="s">
        <v>17</v>
      </c>
      <c r="L1386" s="1" t="s">
        <v>17</v>
      </c>
      <c r="M1386" s="1" t="s">
        <v>17</v>
      </c>
      <c r="N1386" s="27" t="s">
        <v>605</v>
      </c>
      <c r="O1386" s="1" t="s">
        <v>16</v>
      </c>
    </row>
    <row r="1387" spans="1:15" x14ac:dyDescent="0.2">
      <c r="A1387" s="9">
        <v>45175</v>
      </c>
      <c r="B1387" s="1" t="s">
        <v>22</v>
      </c>
      <c r="C1387" s="1">
        <v>3</v>
      </c>
      <c r="D1387" s="1">
        <v>1</v>
      </c>
      <c r="E1387" s="5">
        <v>49.08</v>
      </c>
      <c r="F1387" s="1" t="s">
        <v>19</v>
      </c>
      <c r="G1387" s="1">
        <v>2</v>
      </c>
      <c r="H1387" s="1" t="s">
        <v>16</v>
      </c>
      <c r="I1387" s="1" t="s">
        <v>16</v>
      </c>
      <c r="J1387" s="1" t="s">
        <v>16</v>
      </c>
      <c r="K1387" s="1" t="s">
        <v>17</v>
      </c>
      <c r="L1387" s="1" t="s">
        <v>17</v>
      </c>
      <c r="M1387" s="1" t="s">
        <v>17</v>
      </c>
      <c r="N1387" s="27" t="s">
        <v>605</v>
      </c>
      <c r="O1387" s="1" t="s">
        <v>16</v>
      </c>
    </row>
    <row r="1388" spans="1:15" x14ac:dyDescent="0.2">
      <c r="A1388" s="9">
        <v>45175</v>
      </c>
      <c r="B1388" s="1" t="s">
        <v>22</v>
      </c>
      <c r="C1388" s="1">
        <v>4</v>
      </c>
      <c r="D1388" s="1">
        <v>1</v>
      </c>
      <c r="E1388" s="5">
        <v>54.23</v>
      </c>
      <c r="F1388" s="1" t="s">
        <v>18</v>
      </c>
      <c r="G1388" s="1">
        <v>2</v>
      </c>
      <c r="H1388" s="1" t="s">
        <v>16</v>
      </c>
      <c r="I1388" s="1" t="s">
        <v>16</v>
      </c>
      <c r="J1388" s="1" t="s">
        <v>16</v>
      </c>
      <c r="K1388" s="1" t="s">
        <v>17</v>
      </c>
      <c r="L1388" s="1" t="s">
        <v>17</v>
      </c>
      <c r="M1388" s="1" t="s">
        <v>17</v>
      </c>
      <c r="N1388" s="27" t="s">
        <v>605</v>
      </c>
      <c r="O1388" s="1" t="s">
        <v>16</v>
      </c>
    </row>
    <row r="1389" spans="1:15" x14ac:dyDescent="0.2">
      <c r="A1389" s="9">
        <v>45175</v>
      </c>
      <c r="B1389" s="1" t="s">
        <v>22</v>
      </c>
      <c r="C1389" s="1">
        <v>5</v>
      </c>
      <c r="D1389" s="1">
        <v>1</v>
      </c>
      <c r="E1389" s="5">
        <v>44.29</v>
      </c>
      <c r="F1389" s="1" t="s">
        <v>18</v>
      </c>
      <c r="G1389" s="1">
        <v>2</v>
      </c>
      <c r="H1389" s="1" t="s">
        <v>16</v>
      </c>
      <c r="I1389" s="1" t="s">
        <v>16</v>
      </c>
      <c r="J1389" s="1" t="s">
        <v>16</v>
      </c>
      <c r="K1389" s="1" t="s">
        <v>17</v>
      </c>
      <c r="L1389" s="1" t="s">
        <v>17</v>
      </c>
      <c r="M1389" s="1" t="s">
        <v>17</v>
      </c>
      <c r="N1389" s="27" t="s">
        <v>605</v>
      </c>
      <c r="O1389" s="1" t="s">
        <v>16</v>
      </c>
    </row>
    <row r="1390" spans="1:15" x14ac:dyDescent="0.2">
      <c r="A1390" s="9">
        <v>45175</v>
      </c>
      <c r="B1390" s="1" t="s">
        <v>22</v>
      </c>
      <c r="C1390" s="1">
        <v>6</v>
      </c>
      <c r="D1390" s="1">
        <v>2</v>
      </c>
      <c r="E1390" s="5">
        <v>43.91</v>
      </c>
      <c r="F1390" s="1" t="s">
        <v>19</v>
      </c>
      <c r="G1390" s="1">
        <v>2</v>
      </c>
      <c r="H1390" s="1" t="s">
        <v>16</v>
      </c>
      <c r="I1390" s="1" t="s">
        <v>16</v>
      </c>
      <c r="J1390" s="1" t="s">
        <v>16</v>
      </c>
      <c r="K1390" s="1" t="s">
        <v>17</v>
      </c>
      <c r="L1390" s="1" t="s">
        <v>17</v>
      </c>
      <c r="M1390" s="1" t="s">
        <v>17</v>
      </c>
      <c r="N1390" s="27" t="s">
        <v>605</v>
      </c>
      <c r="O1390" s="1" t="s">
        <v>16</v>
      </c>
    </row>
    <row r="1391" spans="1:15" x14ac:dyDescent="0.2">
      <c r="A1391" s="9">
        <v>45175</v>
      </c>
      <c r="B1391" s="1" t="s">
        <v>22</v>
      </c>
      <c r="C1391" s="1">
        <v>7</v>
      </c>
      <c r="D1391" s="1">
        <v>2</v>
      </c>
      <c r="E1391" s="5">
        <v>44.53</v>
      </c>
      <c r="F1391" s="1" t="s">
        <v>18</v>
      </c>
      <c r="G1391" s="1">
        <v>2</v>
      </c>
      <c r="H1391" s="1" t="s">
        <v>16</v>
      </c>
      <c r="I1391" s="1" t="s">
        <v>16</v>
      </c>
      <c r="J1391" s="1" t="s">
        <v>16</v>
      </c>
      <c r="K1391" s="1" t="s">
        <v>17</v>
      </c>
      <c r="L1391" s="1" t="s">
        <v>17</v>
      </c>
      <c r="M1391" s="1" t="s">
        <v>17</v>
      </c>
      <c r="N1391" s="27" t="s">
        <v>605</v>
      </c>
      <c r="O1391" s="1" t="s">
        <v>16</v>
      </c>
    </row>
    <row r="1392" spans="1:15" x14ac:dyDescent="0.2">
      <c r="A1392" s="9">
        <v>45175</v>
      </c>
      <c r="B1392" s="1" t="s">
        <v>22</v>
      </c>
      <c r="C1392" s="1">
        <v>8</v>
      </c>
      <c r="D1392" s="1">
        <v>2</v>
      </c>
      <c r="E1392" s="5">
        <v>64.06</v>
      </c>
      <c r="F1392" s="1" t="s">
        <v>19</v>
      </c>
      <c r="G1392" s="1">
        <v>2</v>
      </c>
      <c r="H1392" s="1" t="s">
        <v>16</v>
      </c>
      <c r="I1392" s="1" t="s">
        <v>16</v>
      </c>
      <c r="J1392" s="1" t="s">
        <v>16</v>
      </c>
      <c r="K1392" s="1" t="s">
        <v>17</v>
      </c>
      <c r="L1392" s="1" t="s">
        <v>17</v>
      </c>
      <c r="M1392" s="1" t="s">
        <v>17</v>
      </c>
      <c r="N1392" s="27" t="s">
        <v>605</v>
      </c>
      <c r="O1392" s="1" t="s">
        <v>16</v>
      </c>
    </row>
    <row r="1393" spans="1:15" x14ac:dyDescent="0.2">
      <c r="A1393" s="9">
        <v>45175</v>
      </c>
      <c r="B1393" s="1" t="s">
        <v>22</v>
      </c>
      <c r="C1393" s="1">
        <v>9</v>
      </c>
      <c r="D1393" s="1">
        <v>2</v>
      </c>
      <c r="E1393" s="5">
        <v>39.340000000000003</v>
      </c>
      <c r="F1393" s="1" t="s">
        <v>19</v>
      </c>
      <c r="G1393" s="1">
        <v>2</v>
      </c>
      <c r="H1393" s="1" t="s">
        <v>16</v>
      </c>
      <c r="I1393" s="1" t="s">
        <v>16</v>
      </c>
      <c r="J1393" s="1" t="s">
        <v>16</v>
      </c>
      <c r="K1393" s="1" t="s">
        <v>17</v>
      </c>
      <c r="L1393" s="1" t="s">
        <v>17</v>
      </c>
      <c r="M1393" s="1" t="s">
        <v>17</v>
      </c>
      <c r="N1393" s="27" t="s">
        <v>605</v>
      </c>
      <c r="O1393" s="1" t="s">
        <v>16</v>
      </c>
    </row>
    <row r="1394" spans="1:15" x14ac:dyDescent="0.2">
      <c r="A1394" s="9">
        <v>45175</v>
      </c>
      <c r="B1394" s="1" t="s">
        <v>22</v>
      </c>
      <c r="C1394" s="1">
        <v>10</v>
      </c>
      <c r="D1394" s="1">
        <v>2</v>
      </c>
      <c r="E1394" s="5">
        <v>40.58</v>
      </c>
      <c r="F1394" s="1" t="s">
        <v>18</v>
      </c>
      <c r="G1394" s="1">
        <v>2</v>
      </c>
      <c r="H1394" s="1" t="s">
        <v>16</v>
      </c>
      <c r="I1394" s="1" t="s">
        <v>16</v>
      </c>
      <c r="J1394" s="1" t="s">
        <v>16</v>
      </c>
      <c r="K1394" s="1" t="s">
        <v>17</v>
      </c>
      <c r="L1394" s="1" t="s">
        <v>17</v>
      </c>
      <c r="M1394" s="1" t="s">
        <v>17</v>
      </c>
      <c r="N1394" s="27" t="s">
        <v>605</v>
      </c>
      <c r="O1394" s="1" t="s">
        <v>16</v>
      </c>
    </row>
    <row r="1395" spans="1:15" x14ac:dyDescent="0.2">
      <c r="A1395" s="9">
        <v>45175</v>
      </c>
      <c r="B1395" s="1" t="s">
        <v>22</v>
      </c>
      <c r="C1395" s="1">
        <v>11</v>
      </c>
      <c r="D1395" s="1">
        <v>3</v>
      </c>
      <c r="E1395" s="5">
        <v>57.37</v>
      </c>
      <c r="F1395" s="1" t="s">
        <v>19</v>
      </c>
      <c r="G1395" s="1">
        <v>2</v>
      </c>
      <c r="H1395" s="1" t="s">
        <v>16</v>
      </c>
      <c r="I1395" s="1" t="s">
        <v>16</v>
      </c>
      <c r="J1395" s="1" t="s">
        <v>16</v>
      </c>
      <c r="K1395" s="1" t="s">
        <v>17</v>
      </c>
      <c r="L1395" s="1" t="s">
        <v>17</v>
      </c>
      <c r="M1395" s="1" t="s">
        <v>17</v>
      </c>
      <c r="N1395" s="27" t="s">
        <v>605</v>
      </c>
      <c r="O1395" s="1" t="s">
        <v>16</v>
      </c>
    </row>
    <row r="1396" spans="1:15" x14ac:dyDescent="0.2">
      <c r="A1396" s="9">
        <v>45175</v>
      </c>
      <c r="B1396" s="1" t="s">
        <v>22</v>
      </c>
      <c r="C1396" s="1">
        <v>12</v>
      </c>
      <c r="D1396" s="1">
        <v>3</v>
      </c>
      <c r="E1396" s="5">
        <v>61.95</v>
      </c>
      <c r="F1396" s="1" t="s">
        <v>19</v>
      </c>
      <c r="G1396" s="1">
        <v>2</v>
      </c>
      <c r="H1396" s="1" t="s">
        <v>16</v>
      </c>
      <c r="I1396" s="1" t="s">
        <v>16</v>
      </c>
      <c r="J1396" s="1" t="s">
        <v>16</v>
      </c>
      <c r="K1396" s="1" t="s">
        <v>17</v>
      </c>
      <c r="L1396" s="1" t="s">
        <v>17</v>
      </c>
      <c r="M1396" s="1" t="s">
        <v>17</v>
      </c>
      <c r="N1396" s="27" t="s">
        <v>605</v>
      </c>
      <c r="O1396" s="1" t="s">
        <v>16</v>
      </c>
    </row>
    <row r="1397" spans="1:15" x14ac:dyDescent="0.2">
      <c r="A1397" s="9">
        <v>45175</v>
      </c>
      <c r="B1397" s="1" t="s">
        <v>22</v>
      </c>
      <c r="C1397" s="1">
        <v>13</v>
      </c>
      <c r="D1397" s="1">
        <v>3</v>
      </c>
      <c r="E1397" s="5">
        <v>57.22</v>
      </c>
      <c r="F1397" s="1" t="s">
        <v>18</v>
      </c>
      <c r="G1397" s="1">
        <v>2</v>
      </c>
      <c r="H1397" s="1" t="s">
        <v>16</v>
      </c>
      <c r="I1397" s="1" t="s">
        <v>16</v>
      </c>
      <c r="J1397" s="1" t="s">
        <v>16</v>
      </c>
      <c r="K1397" s="1" t="s">
        <v>17</v>
      </c>
      <c r="L1397" s="1" t="s">
        <v>17</v>
      </c>
      <c r="M1397" s="1" t="s">
        <v>17</v>
      </c>
      <c r="N1397" s="27" t="s">
        <v>605</v>
      </c>
      <c r="O1397" s="1" t="s">
        <v>16</v>
      </c>
    </row>
    <row r="1398" spans="1:15" x14ac:dyDescent="0.2">
      <c r="A1398" s="9">
        <v>45175</v>
      </c>
      <c r="B1398" s="1" t="s">
        <v>22</v>
      </c>
      <c r="C1398" s="1">
        <v>14</v>
      </c>
      <c r="D1398" s="1">
        <v>3</v>
      </c>
      <c r="E1398" s="5">
        <v>35.42</v>
      </c>
      <c r="F1398" s="1" t="s">
        <v>19</v>
      </c>
      <c r="G1398" s="1">
        <v>2</v>
      </c>
      <c r="H1398" s="1" t="s">
        <v>16</v>
      </c>
      <c r="I1398" s="1" t="s">
        <v>16</v>
      </c>
      <c r="J1398" s="1" t="s">
        <v>16</v>
      </c>
      <c r="K1398" s="1" t="s">
        <v>17</v>
      </c>
      <c r="L1398" s="1" t="s">
        <v>17</v>
      </c>
      <c r="M1398" s="1" t="s">
        <v>17</v>
      </c>
      <c r="N1398" s="27" t="s">
        <v>605</v>
      </c>
      <c r="O1398" s="1" t="s">
        <v>16</v>
      </c>
    </row>
    <row r="1399" spans="1:15" x14ac:dyDescent="0.2">
      <c r="A1399" s="9">
        <v>45175</v>
      </c>
      <c r="B1399" s="1" t="s">
        <v>22</v>
      </c>
      <c r="C1399" s="1">
        <v>15</v>
      </c>
      <c r="D1399" s="1">
        <v>3</v>
      </c>
      <c r="E1399" s="5">
        <v>60.64</v>
      </c>
      <c r="F1399" s="1" t="s">
        <v>16</v>
      </c>
      <c r="G1399" s="1" t="s">
        <v>16</v>
      </c>
      <c r="H1399" s="1" t="s">
        <v>16</v>
      </c>
      <c r="I1399" s="1" t="s">
        <v>16</v>
      </c>
      <c r="J1399" s="1" t="s">
        <v>16</v>
      </c>
      <c r="K1399" s="1" t="s">
        <v>17</v>
      </c>
      <c r="L1399" s="1" t="s">
        <v>21</v>
      </c>
      <c r="M1399" s="1" t="s">
        <v>17</v>
      </c>
      <c r="N1399" s="27" t="s">
        <v>605</v>
      </c>
      <c r="O1399" s="1" t="s">
        <v>16</v>
      </c>
    </row>
    <row r="1400" spans="1:15" x14ac:dyDescent="0.2">
      <c r="A1400" s="9">
        <v>45202</v>
      </c>
      <c r="B1400" s="1" t="s">
        <v>22</v>
      </c>
      <c r="C1400" s="1">
        <v>1</v>
      </c>
      <c r="D1400" s="1">
        <v>1</v>
      </c>
      <c r="E1400" s="5">
        <v>42.28</v>
      </c>
      <c r="F1400" s="1" t="s">
        <v>19</v>
      </c>
      <c r="G1400" s="1">
        <v>2</v>
      </c>
      <c r="H1400" s="1" t="s">
        <v>16</v>
      </c>
      <c r="I1400" s="1" t="s">
        <v>16</v>
      </c>
      <c r="J1400" s="1" t="s">
        <v>16</v>
      </c>
      <c r="K1400" s="1" t="s">
        <v>17</v>
      </c>
      <c r="L1400" s="1" t="s">
        <v>17</v>
      </c>
      <c r="M1400" s="1" t="s">
        <v>17</v>
      </c>
      <c r="N1400" s="27" t="s">
        <v>605</v>
      </c>
      <c r="O1400" s="1" t="s">
        <v>16</v>
      </c>
    </row>
    <row r="1401" spans="1:15" x14ac:dyDescent="0.2">
      <c r="A1401" s="9">
        <v>45202</v>
      </c>
      <c r="B1401" s="1" t="s">
        <v>22</v>
      </c>
      <c r="C1401" s="1">
        <v>2</v>
      </c>
      <c r="D1401" s="1">
        <v>1</v>
      </c>
      <c r="E1401" s="5">
        <v>66.72</v>
      </c>
      <c r="F1401" s="1" t="s">
        <v>18</v>
      </c>
      <c r="G1401" s="1">
        <v>2</v>
      </c>
      <c r="H1401" s="1" t="s">
        <v>16</v>
      </c>
      <c r="I1401" s="1" t="s">
        <v>16</v>
      </c>
      <c r="J1401" s="1" t="s">
        <v>16</v>
      </c>
      <c r="K1401" s="1" t="s">
        <v>17</v>
      </c>
      <c r="L1401" s="1" t="s">
        <v>17</v>
      </c>
      <c r="M1401" s="1" t="s">
        <v>17</v>
      </c>
      <c r="N1401" s="27" t="s">
        <v>605</v>
      </c>
      <c r="O1401" s="1" t="s">
        <v>16</v>
      </c>
    </row>
    <row r="1402" spans="1:15" x14ac:dyDescent="0.2">
      <c r="A1402" s="9">
        <v>45202</v>
      </c>
      <c r="B1402" s="1" t="s">
        <v>22</v>
      </c>
      <c r="C1402" s="1">
        <v>3</v>
      </c>
      <c r="D1402" s="1">
        <v>1</v>
      </c>
      <c r="E1402" s="5">
        <v>58.78</v>
      </c>
      <c r="F1402" s="1" t="s">
        <v>18</v>
      </c>
      <c r="G1402" s="1">
        <v>2</v>
      </c>
      <c r="H1402" s="1" t="s">
        <v>16</v>
      </c>
      <c r="I1402" s="1" t="s">
        <v>16</v>
      </c>
      <c r="J1402" s="1" t="s">
        <v>16</v>
      </c>
      <c r="K1402" s="1" t="s">
        <v>17</v>
      </c>
      <c r="L1402" s="1" t="s">
        <v>17</v>
      </c>
      <c r="M1402" s="1" t="s">
        <v>17</v>
      </c>
      <c r="N1402" s="27" t="s">
        <v>605</v>
      </c>
      <c r="O1402" s="1" t="s">
        <v>16</v>
      </c>
    </row>
    <row r="1403" spans="1:15" x14ac:dyDescent="0.2">
      <c r="A1403" s="9">
        <v>45202</v>
      </c>
      <c r="B1403" s="1" t="s">
        <v>22</v>
      </c>
      <c r="C1403" s="1">
        <v>4</v>
      </c>
      <c r="D1403" s="1">
        <v>1</v>
      </c>
      <c r="E1403" s="5">
        <v>47.9</v>
      </c>
      <c r="F1403" s="1" t="s">
        <v>18</v>
      </c>
      <c r="G1403" s="1">
        <v>2</v>
      </c>
      <c r="H1403" s="1" t="s">
        <v>16</v>
      </c>
      <c r="I1403" s="1" t="s">
        <v>16</v>
      </c>
      <c r="J1403" s="1" t="s">
        <v>16</v>
      </c>
      <c r="K1403" s="1" t="s">
        <v>17</v>
      </c>
      <c r="L1403" s="1" t="s">
        <v>17</v>
      </c>
      <c r="M1403" s="1" t="s">
        <v>17</v>
      </c>
      <c r="N1403" s="27" t="s">
        <v>605</v>
      </c>
      <c r="O1403" s="1" t="s">
        <v>16</v>
      </c>
    </row>
    <row r="1404" spans="1:15" x14ac:dyDescent="0.2">
      <c r="A1404" s="9">
        <v>45202</v>
      </c>
      <c r="B1404" s="1" t="s">
        <v>22</v>
      </c>
      <c r="C1404" s="1">
        <v>5</v>
      </c>
      <c r="D1404" s="1">
        <v>1</v>
      </c>
      <c r="E1404" s="5">
        <v>46.64</v>
      </c>
      <c r="F1404" s="1" t="s">
        <v>18</v>
      </c>
      <c r="G1404" s="1">
        <v>2</v>
      </c>
      <c r="H1404" s="1" t="s">
        <v>16</v>
      </c>
      <c r="I1404" s="1" t="s">
        <v>16</v>
      </c>
      <c r="J1404" s="1" t="s">
        <v>16</v>
      </c>
      <c r="K1404" s="1" t="s">
        <v>17</v>
      </c>
      <c r="L1404" s="1" t="s">
        <v>17</v>
      </c>
      <c r="M1404" s="1" t="s">
        <v>17</v>
      </c>
      <c r="N1404" s="27" t="s">
        <v>605</v>
      </c>
      <c r="O1404" s="1" t="s">
        <v>16</v>
      </c>
    </row>
    <row r="1405" spans="1:15" x14ac:dyDescent="0.2">
      <c r="A1405" s="9">
        <v>45202</v>
      </c>
      <c r="B1405" s="1" t="s">
        <v>22</v>
      </c>
      <c r="C1405" s="1">
        <v>6</v>
      </c>
      <c r="D1405" s="1">
        <v>2</v>
      </c>
      <c r="E1405" s="5">
        <v>63.68</v>
      </c>
      <c r="F1405" s="1" t="s">
        <v>18</v>
      </c>
      <c r="G1405" s="1">
        <v>2</v>
      </c>
      <c r="H1405" s="1" t="s">
        <v>16</v>
      </c>
      <c r="I1405" s="1" t="s">
        <v>16</v>
      </c>
      <c r="J1405" s="1" t="s">
        <v>16</v>
      </c>
      <c r="K1405" s="1" t="s">
        <v>21</v>
      </c>
      <c r="L1405" s="1" t="s">
        <v>17</v>
      </c>
      <c r="M1405" s="1" t="s">
        <v>17</v>
      </c>
      <c r="N1405" s="27" t="s">
        <v>605</v>
      </c>
      <c r="O1405" s="1" t="s">
        <v>16</v>
      </c>
    </row>
    <row r="1406" spans="1:15" x14ac:dyDescent="0.2">
      <c r="A1406" s="9">
        <v>45202</v>
      </c>
      <c r="B1406" s="1" t="s">
        <v>22</v>
      </c>
      <c r="C1406" s="1">
        <v>7</v>
      </c>
      <c r="D1406" s="1">
        <v>2</v>
      </c>
      <c r="E1406" s="5">
        <v>54.22</v>
      </c>
      <c r="F1406" s="1" t="s">
        <v>18</v>
      </c>
      <c r="G1406" s="1">
        <v>2</v>
      </c>
      <c r="H1406" s="1" t="s">
        <v>16</v>
      </c>
      <c r="I1406" s="1" t="s">
        <v>16</v>
      </c>
      <c r="J1406" s="1" t="s">
        <v>16</v>
      </c>
      <c r="K1406" s="1" t="s">
        <v>17</v>
      </c>
      <c r="L1406" s="1" t="s">
        <v>17</v>
      </c>
      <c r="M1406" s="1" t="s">
        <v>17</v>
      </c>
      <c r="N1406" s="27" t="s">
        <v>605</v>
      </c>
      <c r="O1406" s="1" t="s">
        <v>16</v>
      </c>
    </row>
    <row r="1407" spans="1:15" x14ac:dyDescent="0.2">
      <c r="A1407" s="9">
        <v>45202</v>
      </c>
      <c r="B1407" s="1" t="s">
        <v>22</v>
      </c>
      <c r="C1407" s="1">
        <v>8</v>
      </c>
      <c r="D1407" s="1">
        <v>2</v>
      </c>
      <c r="E1407" s="5">
        <v>51.21</v>
      </c>
      <c r="F1407" s="1" t="s">
        <v>18</v>
      </c>
      <c r="G1407" s="1">
        <v>2</v>
      </c>
      <c r="H1407" s="1" t="s">
        <v>16</v>
      </c>
      <c r="I1407" s="1" t="s">
        <v>16</v>
      </c>
      <c r="J1407" s="1" t="s">
        <v>16</v>
      </c>
      <c r="K1407" s="1" t="s">
        <v>17</v>
      </c>
      <c r="L1407" s="1" t="s">
        <v>17</v>
      </c>
      <c r="M1407" s="1" t="s">
        <v>17</v>
      </c>
      <c r="N1407" s="27" t="s">
        <v>605</v>
      </c>
      <c r="O1407" s="1" t="s">
        <v>16</v>
      </c>
    </row>
    <row r="1408" spans="1:15" x14ac:dyDescent="0.2">
      <c r="A1408" s="9">
        <v>45202</v>
      </c>
      <c r="B1408" s="1" t="s">
        <v>22</v>
      </c>
      <c r="C1408" s="1">
        <v>9</v>
      </c>
      <c r="D1408" s="1">
        <v>2</v>
      </c>
      <c r="E1408" s="5">
        <v>44.1</v>
      </c>
      <c r="F1408" s="1" t="s">
        <v>18</v>
      </c>
      <c r="G1408" s="1">
        <v>2</v>
      </c>
      <c r="H1408" s="1" t="s">
        <v>16</v>
      </c>
      <c r="I1408" s="1" t="s">
        <v>16</v>
      </c>
      <c r="J1408" s="1" t="s">
        <v>16</v>
      </c>
      <c r="K1408" s="1" t="s">
        <v>21</v>
      </c>
      <c r="L1408" s="1" t="s">
        <v>17</v>
      </c>
      <c r="M1408" s="1" t="s">
        <v>17</v>
      </c>
      <c r="N1408" s="27" t="s">
        <v>605</v>
      </c>
      <c r="O1408" s="1" t="s">
        <v>16</v>
      </c>
    </row>
    <row r="1409" spans="1:15" x14ac:dyDescent="0.2">
      <c r="A1409" s="9">
        <v>45202</v>
      </c>
      <c r="B1409" s="1" t="s">
        <v>22</v>
      </c>
      <c r="C1409" s="1">
        <v>10</v>
      </c>
      <c r="D1409" s="1">
        <v>2</v>
      </c>
      <c r="E1409" s="5">
        <v>56.73</v>
      </c>
      <c r="F1409" s="1" t="s">
        <v>18</v>
      </c>
      <c r="G1409" s="1">
        <v>2</v>
      </c>
      <c r="H1409" s="1" t="s">
        <v>16</v>
      </c>
      <c r="I1409" s="1" t="s">
        <v>16</v>
      </c>
      <c r="J1409" s="1" t="s">
        <v>16</v>
      </c>
      <c r="K1409" s="1" t="s">
        <v>17</v>
      </c>
      <c r="L1409" s="1" t="s">
        <v>17</v>
      </c>
      <c r="M1409" s="1" t="s">
        <v>17</v>
      </c>
      <c r="N1409" s="27" t="s">
        <v>605</v>
      </c>
      <c r="O1409" s="1" t="s">
        <v>16</v>
      </c>
    </row>
    <row r="1410" spans="1:15" x14ac:dyDescent="0.2">
      <c r="A1410" s="9">
        <v>45202</v>
      </c>
      <c r="B1410" s="1" t="s">
        <v>22</v>
      </c>
      <c r="C1410" s="1">
        <v>11</v>
      </c>
      <c r="D1410" s="1">
        <v>3</v>
      </c>
      <c r="E1410" s="5">
        <v>71.989999999999995</v>
      </c>
      <c r="F1410" s="1" t="s">
        <v>18</v>
      </c>
      <c r="G1410" s="1">
        <v>2</v>
      </c>
      <c r="H1410" s="1" t="s">
        <v>16</v>
      </c>
      <c r="I1410" s="1" t="s">
        <v>16</v>
      </c>
      <c r="J1410" s="1" t="s">
        <v>16</v>
      </c>
      <c r="K1410" s="1" t="s">
        <v>17</v>
      </c>
      <c r="L1410" s="1" t="s">
        <v>17</v>
      </c>
      <c r="M1410" s="1" t="s">
        <v>17</v>
      </c>
      <c r="N1410" s="27" t="s">
        <v>605</v>
      </c>
      <c r="O1410" s="1" t="s">
        <v>16</v>
      </c>
    </row>
    <row r="1411" spans="1:15" x14ac:dyDescent="0.2">
      <c r="A1411" s="9">
        <v>45202</v>
      </c>
      <c r="B1411" s="1" t="s">
        <v>22</v>
      </c>
      <c r="C1411" s="1">
        <v>12</v>
      </c>
      <c r="D1411" s="1">
        <v>3</v>
      </c>
      <c r="E1411" s="5">
        <v>68.7</v>
      </c>
      <c r="F1411" s="1" t="s">
        <v>19</v>
      </c>
      <c r="G1411" s="1">
        <v>2</v>
      </c>
      <c r="H1411" s="1" t="s">
        <v>16</v>
      </c>
      <c r="I1411" s="1" t="s">
        <v>16</v>
      </c>
      <c r="J1411" s="1" t="s">
        <v>16</v>
      </c>
      <c r="K1411" s="1" t="s">
        <v>17</v>
      </c>
      <c r="L1411" s="1" t="s">
        <v>17</v>
      </c>
      <c r="M1411" s="1" t="s">
        <v>17</v>
      </c>
      <c r="N1411" s="27" t="s">
        <v>605</v>
      </c>
      <c r="O1411" s="1" t="s">
        <v>16</v>
      </c>
    </row>
    <row r="1412" spans="1:15" x14ac:dyDescent="0.2">
      <c r="A1412" s="9">
        <v>45202</v>
      </c>
      <c r="B1412" s="1" t="s">
        <v>22</v>
      </c>
      <c r="C1412" s="1">
        <v>13</v>
      </c>
      <c r="D1412" s="1">
        <v>3</v>
      </c>
      <c r="E1412" s="5">
        <v>71.06</v>
      </c>
      <c r="F1412" s="1" t="s">
        <v>19</v>
      </c>
      <c r="G1412" s="1">
        <v>2</v>
      </c>
      <c r="H1412" s="1" t="s">
        <v>16</v>
      </c>
      <c r="I1412" s="1" t="s">
        <v>16</v>
      </c>
      <c r="J1412" s="1" t="s">
        <v>16</v>
      </c>
      <c r="K1412" s="1" t="s">
        <v>17</v>
      </c>
      <c r="L1412" s="1" t="s">
        <v>17</v>
      </c>
      <c r="M1412" s="1" t="s">
        <v>17</v>
      </c>
      <c r="N1412" s="27" t="s">
        <v>605</v>
      </c>
      <c r="O1412" s="1" t="s">
        <v>16</v>
      </c>
    </row>
    <row r="1413" spans="1:15" x14ac:dyDescent="0.2">
      <c r="A1413" s="9">
        <v>45202</v>
      </c>
      <c r="B1413" s="1" t="s">
        <v>22</v>
      </c>
      <c r="C1413" s="1">
        <v>14</v>
      </c>
      <c r="D1413" s="1">
        <v>3</v>
      </c>
      <c r="E1413" s="5">
        <v>73.62</v>
      </c>
      <c r="F1413" s="1" t="s">
        <v>18</v>
      </c>
      <c r="G1413" s="1">
        <v>2</v>
      </c>
      <c r="H1413" s="1" t="s">
        <v>16</v>
      </c>
      <c r="I1413" s="1" t="s">
        <v>16</v>
      </c>
      <c r="J1413" s="1" t="s">
        <v>16</v>
      </c>
      <c r="K1413" s="1" t="s">
        <v>17</v>
      </c>
      <c r="L1413" s="1" t="s">
        <v>17</v>
      </c>
      <c r="M1413" s="1" t="s">
        <v>17</v>
      </c>
      <c r="N1413" s="27" t="s">
        <v>605</v>
      </c>
      <c r="O1413" s="1" t="s">
        <v>16</v>
      </c>
    </row>
    <row r="1414" spans="1:15" x14ac:dyDescent="0.2">
      <c r="A1414" s="9">
        <v>45202</v>
      </c>
      <c r="B1414" s="1" t="s">
        <v>22</v>
      </c>
      <c r="C1414" s="1">
        <v>15</v>
      </c>
      <c r="D1414" s="1">
        <v>3</v>
      </c>
      <c r="E1414" s="5">
        <v>81.99</v>
      </c>
      <c r="F1414" s="1" t="s">
        <v>18</v>
      </c>
      <c r="G1414" s="1">
        <v>2</v>
      </c>
      <c r="H1414" s="1" t="s">
        <v>16</v>
      </c>
      <c r="I1414" s="1" t="s">
        <v>16</v>
      </c>
      <c r="J1414" s="1" t="s">
        <v>16</v>
      </c>
      <c r="K1414" s="1" t="s">
        <v>21</v>
      </c>
      <c r="L1414" s="1" t="s">
        <v>17</v>
      </c>
      <c r="M1414" s="1" t="s">
        <v>17</v>
      </c>
      <c r="N1414" s="27" t="s">
        <v>605</v>
      </c>
      <c r="O1414" s="1" t="s">
        <v>16</v>
      </c>
    </row>
    <row r="1415" spans="1:15" x14ac:dyDescent="0.2">
      <c r="A1415" s="9">
        <v>45237</v>
      </c>
      <c r="B1415" s="1" t="s">
        <v>22</v>
      </c>
      <c r="C1415" s="1">
        <v>1</v>
      </c>
      <c r="D1415" s="1">
        <v>1</v>
      </c>
      <c r="E1415" s="5">
        <v>42.49</v>
      </c>
      <c r="F1415" s="1" t="s">
        <v>18</v>
      </c>
      <c r="G1415" s="1">
        <v>2</v>
      </c>
      <c r="H1415" s="1" t="s">
        <v>16</v>
      </c>
      <c r="I1415" s="1" t="s">
        <v>16</v>
      </c>
      <c r="J1415" s="1" t="s">
        <v>16</v>
      </c>
      <c r="K1415" s="1" t="s">
        <v>21</v>
      </c>
      <c r="L1415" s="1" t="s">
        <v>17</v>
      </c>
      <c r="M1415" s="1" t="s">
        <v>17</v>
      </c>
      <c r="N1415" s="27" t="s">
        <v>605</v>
      </c>
      <c r="O1415" s="1" t="s">
        <v>16</v>
      </c>
    </row>
    <row r="1416" spans="1:15" x14ac:dyDescent="0.2">
      <c r="A1416" s="9">
        <v>45237</v>
      </c>
      <c r="B1416" s="1" t="s">
        <v>22</v>
      </c>
      <c r="C1416" s="1">
        <v>2</v>
      </c>
      <c r="D1416" s="1">
        <v>1</v>
      </c>
      <c r="E1416" s="5">
        <v>32.1</v>
      </c>
      <c r="F1416" s="1" t="s">
        <v>16</v>
      </c>
      <c r="G1416" s="1">
        <v>4</v>
      </c>
      <c r="H1416" s="1" t="s">
        <v>16</v>
      </c>
      <c r="I1416" s="1" t="s">
        <v>16</v>
      </c>
      <c r="J1416" s="1" t="s">
        <v>16</v>
      </c>
      <c r="K1416" s="1" t="s">
        <v>17</v>
      </c>
      <c r="L1416" s="1" t="s">
        <v>17</v>
      </c>
      <c r="M1416" s="1" t="s">
        <v>17</v>
      </c>
      <c r="N1416" s="27" t="s">
        <v>605</v>
      </c>
      <c r="O1416" s="1" t="s">
        <v>16</v>
      </c>
    </row>
    <row r="1417" spans="1:15" x14ac:dyDescent="0.2">
      <c r="A1417" s="9">
        <v>45237</v>
      </c>
      <c r="B1417" s="1" t="s">
        <v>22</v>
      </c>
      <c r="C1417" s="1">
        <v>3</v>
      </c>
      <c r="D1417" s="1">
        <v>1</v>
      </c>
      <c r="E1417" s="5">
        <v>35.93</v>
      </c>
      <c r="F1417" s="1" t="s">
        <v>18</v>
      </c>
      <c r="G1417" s="1">
        <v>2</v>
      </c>
      <c r="H1417" s="1" t="s">
        <v>16</v>
      </c>
      <c r="I1417" s="1" t="s">
        <v>16</v>
      </c>
      <c r="J1417" s="1" t="s">
        <v>16</v>
      </c>
      <c r="K1417" s="1" t="s">
        <v>17</v>
      </c>
      <c r="L1417" s="1" t="s">
        <v>17</v>
      </c>
      <c r="M1417" s="1" t="s">
        <v>17</v>
      </c>
      <c r="N1417" s="27" t="s">
        <v>605</v>
      </c>
      <c r="O1417" s="1" t="s">
        <v>16</v>
      </c>
    </row>
    <row r="1418" spans="1:15" x14ac:dyDescent="0.2">
      <c r="A1418" s="9">
        <v>45237</v>
      </c>
      <c r="B1418" s="1" t="s">
        <v>22</v>
      </c>
      <c r="C1418" s="1">
        <v>4</v>
      </c>
      <c r="D1418" s="1">
        <v>1</v>
      </c>
      <c r="E1418" s="5">
        <v>44.23</v>
      </c>
      <c r="F1418" s="1" t="s">
        <v>18</v>
      </c>
      <c r="G1418" s="1">
        <v>2</v>
      </c>
      <c r="H1418" s="1" t="s">
        <v>16</v>
      </c>
      <c r="I1418" s="1" t="s">
        <v>16</v>
      </c>
      <c r="J1418" s="1" t="s">
        <v>16</v>
      </c>
      <c r="K1418" s="1" t="s">
        <v>17</v>
      </c>
      <c r="L1418" s="1" t="s">
        <v>17</v>
      </c>
      <c r="M1418" s="1" t="s">
        <v>17</v>
      </c>
      <c r="N1418" s="27" t="s">
        <v>605</v>
      </c>
      <c r="O1418" s="1" t="s">
        <v>16</v>
      </c>
    </row>
    <row r="1419" spans="1:15" x14ac:dyDescent="0.2">
      <c r="A1419" s="9">
        <v>45237</v>
      </c>
      <c r="B1419" s="1" t="s">
        <v>22</v>
      </c>
      <c r="C1419" s="1">
        <v>5</v>
      </c>
      <c r="D1419" s="1">
        <v>1</v>
      </c>
      <c r="E1419" s="5">
        <v>32.76</v>
      </c>
      <c r="F1419" s="1" t="s">
        <v>19</v>
      </c>
      <c r="G1419" s="1">
        <v>2</v>
      </c>
      <c r="H1419" s="1" t="s">
        <v>16</v>
      </c>
      <c r="I1419" s="1" t="s">
        <v>16</v>
      </c>
      <c r="J1419" s="1" t="s">
        <v>16</v>
      </c>
      <c r="K1419" s="1" t="s">
        <v>17</v>
      </c>
      <c r="L1419" s="1" t="s">
        <v>17</v>
      </c>
      <c r="M1419" s="1" t="s">
        <v>17</v>
      </c>
      <c r="N1419" s="27" t="s">
        <v>605</v>
      </c>
      <c r="O1419" s="1" t="s">
        <v>16</v>
      </c>
    </row>
    <row r="1420" spans="1:15" x14ac:dyDescent="0.2">
      <c r="A1420" s="9">
        <v>45237</v>
      </c>
      <c r="B1420" s="1" t="s">
        <v>22</v>
      </c>
      <c r="C1420" s="1">
        <v>6</v>
      </c>
      <c r="D1420" s="1">
        <v>2</v>
      </c>
      <c r="E1420" s="5">
        <v>34.18</v>
      </c>
      <c r="F1420" s="1" t="s">
        <v>18</v>
      </c>
      <c r="G1420" s="1">
        <v>2</v>
      </c>
      <c r="H1420" s="1" t="s">
        <v>16</v>
      </c>
      <c r="I1420" s="1" t="s">
        <v>16</v>
      </c>
      <c r="J1420" s="1" t="s">
        <v>16</v>
      </c>
      <c r="K1420" s="1" t="s">
        <v>17</v>
      </c>
      <c r="L1420" s="1" t="s">
        <v>17</v>
      </c>
      <c r="M1420" s="1" t="s">
        <v>17</v>
      </c>
      <c r="N1420" s="27" t="s">
        <v>605</v>
      </c>
      <c r="O1420" s="1" t="s">
        <v>16</v>
      </c>
    </row>
    <row r="1421" spans="1:15" x14ac:dyDescent="0.2">
      <c r="A1421" s="9">
        <v>45237</v>
      </c>
      <c r="B1421" s="1" t="s">
        <v>22</v>
      </c>
      <c r="C1421" s="1">
        <v>7</v>
      </c>
      <c r="D1421" s="1">
        <v>2</v>
      </c>
      <c r="E1421" s="5">
        <v>56.28</v>
      </c>
      <c r="F1421" s="1" t="s">
        <v>19</v>
      </c>
      <c r="G1421" s="1">
        <v>2</v>
      </c>
      <c r="H1421" s="1" t="s">
        <v>16</v>
      </c>
      <c r="I1421" s="1" t="s">
        <v>16</v>
      </c>
      <c r="J1421" s="1" t="s">
        <v>16</v>
      </c>
      <c r="K1421" s="1" t="s">
        <v>17</v>
      </c>
      <c r="L1421" s="1" t="s">
        <v>17</v>
      </c>
      <c r="M1421" s="1" t="s">
        <v>17</v>
      </c>
      <c r="N1421" s="27" t="s">
        <v>605</v>
      </c>
      <c r="O1421" s="1" t="s">
        <v>16</v>
      </c>
    </row>
    <row r="1422" spans="1:15" x14ac:dyDescent="0.2">
      <c r="A1422" s="9">
        <v>45237</v>
      </c>
      <c r="B1422" s="1" t="s">
        <v>22</v>
      </c>
      <c r="C1422" s="1">
        <v>8</v>
      </c>
      <c r="D1422" s="1">
        <v>2</v>
      </c>
      <c r="E1422" s="5">
        <v>43.38</v>
      </c>
      <c r="F1422" s="1" t="s">
        <v>18</v>
      </c>
      <c r="G1422" s="1">
        <v>2</v>
      </c>
      <c r="H1422" s="1" t="s">
        <v>16</v>
      </c>
      <c r="I1422" s="1" t="s">
        <v>16</v>
      </c>
      <c r="J1422" s="1" t="s">
        <v>16</v>
      </c>
      <c r="K1422" s="1" t="s">
        <v>17</v>
      </c>
      <c r="L1422" s="1" t="s">
        <v>17</v>
      </c>
      <c r="M1422" s="1" t="s">
        <v>17</v>
      </c>
      <c r="N1422" s="27" t="s">
        <v>605</v>
      </c>
      <c r="O1422" s="1" t="s">
        <v>16</v>
      </c>
    </row>
    <row r="1423" spans="1:15" x14ac:dyDescent="0.2">
      <c r="A1423" s="9">
        <v>45237</v>
      </c>
      <c r="B1423" s="1" t="s">
        <v>22</v>
      </c>
      <c r="C1423" s="1">
        <v>9</v>
      </c>
      <c r="D1423" s="1">
        <v>2</v>
      </c>
      <c r="E1423" s="5">
        <v>54.59</v>
      </c>
      <c r="F1423" s="1" t="s">
        <v>18</v>
      </c>
      <c r="G1423" s="1">
        <v>2</v>
      </c>
      <c r="H1423" s="1" t="s">
        <v>16</v>
      </c>
      <c r="I1423" s="1" t="s">
        <v>16</v>
      </c>
      <c r="J1423" s="1" t="s">
        <v>16</v>
      </c>
      <c r="K1423" s="1" t="s">
        <v>17</v>
      </c>
      <c r="L1423" s="1" t="s">
        <v>17</v>
      </c>
      <c r="M1423" s="1" t="s">
        <v>17</v>
      </c>
      <c r="N1423" s="27" t="s">
        <v>605</v>
      </c>
      <c r="O1423" s="1" t="s">
        <v>16</v>
      </c>
    </row>
    <row r="1424" spans="1:15" x14ac:dyDescent="0.2">
      <c r="A1424" s="9">
        <v>45237</v>
      </c>
      <c r="B1424" s="1" t="s">
        <v>22</v>
      </c>
      <c r="C1424" s="1">
        <v>10</v>
      </c>
      <c r="D1424" s="1">
        <v>2</v>
      </c>
      <c r="E1424" s="5">
        <v>37.83</v>
      </c>
      <c r="F1424" s="1" t="s">
        <v>19</v>
      </c>
      <c r="G1424" s="1">
        <v>2</v>
      </c>
      <c r="H1424" s="1" t="s">
        <v>16</v>
      </c>
      <c r="I1424" s="1" t="s">
        <v>16</v>
      </c>
      <c r="J1424" s="1" t="s">
        <v>16</v>
      </c>
      <c r="K1424" s="1" t="s">
        <v>17</v>
      </c>
      <c r="L1424" s="1" t="s">
        <v>17</v>
      </c>
      <c r="M1424" s="1" t="s">
        <v>17</v>
      </c>
      <c r="N1424" s="27" t="s">
        <v>605</v>
      </c>
      <c r="O1424" s="1" t="s">
        <v>16</v>
      </c>
    </row>
    <row r="1425" spans="1:15" x14ac:dyDescent="0.2">
      <c r="A1425" s="9">
        <v>45237</v>
      </c>
      <c r="B1425" s="1" t="s">
        <v>22</v>
      </c>
      <c r="C1425" s="1">
        <v>11</v>
      </c>
      <c r="D1425" s="1">
        <v>3</v>
      </c>
      <c r="E1425" s="5">
        <v>57.91</v>
      </c>
      <c r="F1425" s="1" t="s">
        <v>19</v>
      </c>
      <c r="G1425" s="1">
        <v>2</v>
      </c>
      <c r="H1425" s="1" t="s">
        <v>16</v>
      </c>
      <c r="I1425" s="1" t="s">
        <v>16</v>
      </c>
      <c r="J1425" s="1" t="s">
        <v>16</v>
      </c>
      <c r="K1425" s="1" t="s">
        <v>17</v>
      </c>
      <c r="L1425" s="1" t="s">
        <v>17</v>
      </c>
      <c r="M1425" s="1" t="s">
        <v>17</v>
      </c>
      <c r="N1425" s="27" t="s">
        <v>605</v>
      </c>
      <c r="O1425" s="1" t="s">
        <v>16</v>
      </c>
    </row>
    <row r="1426" spans="1:15" x14ac:dyDescent="0.2">
      <c r="A1426" s="9">
        <v>45237</v>
      </c>
      <c r="B1426" s="1" t="s">
        <v>22</v>
      </c>
      <c r="C1426" s="1">
        <v>12</v>
      </c>
      <c r="D1426" s="1">
        <v>3</v>
      </c>
      <c r="E1426" s="5">
        <v>57.12</v>
      </c>
      <c r="F1426" s="1" t="s">
        <v>16</v>
      </c>
      <c r="G1426" s="1" t="s">
        <v>16</v>
      </c>
      <c r="H1426" s="1" t="s">
        <v>16</v>
      </c>
      <c r="I1426" s="1" t="s">
        <v>16</v>
      </c>
      <c r="J1426" s="1" t="s">
        <v>16</v>
      </c>
      <c r="K1426" s="1" t="s">
        <v>17</v>
      </c>
      <c r="L1426" s="1" t="s">
        <v>21</v>
      </c>
      <c r="M1426" s="1" t="s">
        <v>17</v>
      </c>
      <c r="N1426" s="27" t="s">
        <v>605</v>
      </c>
      <c r="O1426" s="1" t="s">
        <v>16</v>
      </c>
    </row>
    <row r="1427" spans="1:15" x14ac:dyDescent="0.2">
      <c r="A1427" s="9">
        <v>45237</v>
      </c>
      <c r="B1427" s="1" t="s">
        <v>22</v>
      </c>
      <c r="C1427" s="1">
        <v>13</v>
      </c>
      <c r="D1427" s="1">
        <v>3</v>
      </c>
      <c r="E1427" s="5">
        <v>37.15</v>
      </c>
      <c r="F1427" s="1" t="s">
        <v>19</v>
      </c>
      <c r="G1427" s="1">
        <v>2</v>
      </c>
      <c r="H1427" s="1" t="s">
        <v>16</v>
      </c>
      <c r="I1427" s="1" t="s">
        <v>16</v>
      </c>
      <c r="J1427" s="1" t="s">
        <v>16</v>
      </c>
      <c r="K1427" s="1" t="s">
        <v>17</v>
      </c>
      <c r="L1427" s="1" t="s">
        <v>17</v>
      </c>
      <c r="M1427" s="1" t="s">
        <v>17</v>
      </c>
      <c r="N1427" s="27" t="s">
        <v>605</v>
      </c>
      <c r="O1427" s="1" t="s">
        <v>16</v>
      </c>
    </row>
    <row r="1428" spans="1:15" x14ac:dyDescent="0.2">
      <c r="A1428" s="9">
        <v>45237</v>
      </c>
      <c r="B1428" s="1" t="s">
        <v>22</v>
      </c>
      <c r="C1428" s="1">
        <v>14</v>
      </c>
      <c r="D1428" s="1">
        <v>3</v>
      </c>
      <c r="E1428" s="5">
        <v>63.14</v>
      </c>
      <c r="F1428" s="1" t="s">
        <v>18</v>
      </c>
      <c r="G1428" s="1">
        <v>2</v>
      </c>
      <c r="H1428" s="1" t="s">
        <v>16</v>
      </c>
      <c r="I1428" s="1" t="s">
        <v>16</v>
      </c>
      <c r="J1428" s="1" t="s">
        <v>16</v>
      </c>
      <c r="K1428" s="1" t="s">
        <v>17</v>
      </c>
      <c r="L1428" s="1" t="s">
        <v>17</v>
      </c>
      <c r="M1428" s="1" t="s">
        <v>17</v>
      </c>
      <c r="N1428" s="27" t="s">
        <v>605</v>
      </c>
      <c r="O1428" s="1" t="s">
        <v>16</v>
      </c>
    </row>
    <row r="1429" spans="1:15" x14ac:dyDescent="0.2">
      <c r="A1429" s="9">
        <v>45237</v>
      </c>
      <c r="B1429" s="1" t="s">
        <v>22</v>
      </c>
      <c r="C1429" s="1">
        <v>15</v>
      </c>
      <c r="D1429" s="1">
        <v>3</v>
      </c>
      <c r="E1429" s="5">
        <v>66.17</v>
      </c>
      <c r="F1429" s="1" t="s">
        <v>18</v>
      </c>
      <c r="G1429" s="1">
        <v>2</v>
      </c>
      <c r="H1429" s="1" t="s">
        <v>16</v>
      </c>
      <c r="I1429" s="1" t="s">
        <v>16</v>
      </c>
      <c r="J1429" s="1" t="s">
        <v>16</v>
      </c>
      <c r="K1429" s="1" t="s">
        <v>17</v>
      </c>
      <c r="L1429" s="1" t="s">
        <v>17</v>
      </c>
      <c r="M1429" s="1" t="s">
        <v>17</v>
      </c>
      <c r="N1429" s="27" t="s">
        <v>605</v>
      </c>
      <c r="O1429" s="1" t="s">
        <v>16</v>
      </c>
    </row>
    <row r="1430" spans="1:15" x14ac:dyDescent="0.2">
      <c r="A1430" s="9">
        <v>45265</v>
      </c>
      <c r="B1430" s="1" t="s">
        <v>22</v>
      </c>
      <c r="C1430" s="1">
        <v>1</v>
      </c>
      <c r="D1430" s="1">
        <v>1</v>
      </c>
      <c r="E1430" s="5">
        <v>49.83</v>
      </c>
      <c r="F1430" s="1" t="s">
        <v>16</v>
      </c>
      <c r="G1430" s="1">
        <v>4</v>
      </c>
      <c r="H1430" s="1" t="s">
        <v>16</v>
      </c>
      <c r="I1430" s="1" t="s">
        <v>16</v>
      </c>
      <c r="J1430" s="1" t="s">
        <v>16</v>
      </c>
      <c r="K1430" s="1" t="s">
        <v>21</v>
      </c>
      <c r="L1430" s="1" t="s">
        <v>17</v>
      </c>
      <c r="M1430" s="1" t="s">
        <v>17</v>
      </c>
      <c r="N1430" s="27" t="s">
        <v>605</v>
      </c>
      <c r="O1430" s="1" t="s">
        <v>16</v>
      </c>
    </row>
    <row r="1431" spans="1:15" x14ac:dyDescent="0.2">
      <c r="A1431" s="9">
        <v>45265</v>
      </c>
      <c r="B1431" s="1" t="s">
        <v>22</v>
      </c>
      <c r="C1431" s="1">
        <v>2</v>
      </c>
      <c r="D1431" s="1">
        <v>1</v>
      </c>
      <c r="E1431" s="5">
        <v>43.45</v>
      </c>
      <c r="F1431" s="1" t="s">
        <v>16</v>
      </c>
      <c r="G1431" s="1">
        <v>4</v>
      </c>
      <c r="H1431" s="1" t="s">
        <v>16</v>
      </c>
      <c r="I1431" s="1" t="s">
        <v>16</v>
      </c>
      <c r="J1431" s="1" t="s">
        <v>16</v>
      </c>
      <c r="K1431" s="1" t="s">
        <v>17</v>
      </c>
      <c r="L1431" s="1" t="s">
        <v>17</v>
      </c>
      <c r="M1431" s="1" t="s">
        <v>17</v>
      </c>
      <c r="N1431" s="27" t="s">
        <v>605</v>
      </c>
      <c r="O1431" s="1" t="s">
        <v>16</v>
      </c>
    </row>
    <row r="1432" spans="1:15" x14ac:dyDescent="0.2">
      <c r="A1432" s="9">
        <v>45265</v>
      </c>
      <c r="B1432" s="1" t="s">
        <v>22</v>
      </c>
      <c r="C1432" s="1">
        <v>3</v>
      </c>
      <c r="D1432" s="1">
        <v>1</v>
      </c>
      <c r="E1432" s="5">
        <v>42.38</v>
      </c>
      <c r="F1432" s="1" t="s">
        <v>16</v>
      </c>
      <c r="G1432" s="1">
        <v>4</v>
      </c>
      <c r="H1432" s="1" t="s">
        <v>16</v>
      </c>
      <c r="I1432" s="1" t="s">
        <v>16</v>
      </c>
      <c r="J1432" s="1" t="s">
        <v>16</v>
      </c>
      <c r="K1432" s="1" t="s">
        <v>17</v>
      </c>
      <c r="L1432" s="1" t="s">
        <v>17</v>
      </c>
      <c r="M1432" s="1" t="s">
        <v>17</v>
      </c>
      <c r="N1432" s="27" t="s">
        <v>605</v>
      </c>
      <c r="O1432" s="1" t="s">
        <v>16</v>
      </c>
    </row>
    <row r="1433" spans="1:15" x14ac:dyDescent="0.2">
      <c r="A1433" s="9">
        <v>45265</v>
      </c>
      <c r="B1433" s="1" t="s">
        <v>22</v>
      </c>
      <c r="C1433" s="1">
        <v>4</v>
      </c>
      <c r="D1433" s="1">
        <v>1</v>
      </c>
      <c r="E1433" s="5">
        <v>40.89</v>
      </c>
      <c r="F1433" s="1" t="s">
        <v>16</v>
      </c>
      <c r="G1433" s="1">
        <v>4</v>
      </c>
      <c r="H1433" s="1" t="s">
        <v>16</v>
      </c>
      <c r="I1433" s="1" t="s">
        <v>16</v>
      </c>
      <c r="J1433" s="1" t="s">
        <v>16</v>
      </c>
      <c r="K1433" s="1" t="s">
        <v>17</v>
      </c>
      <c r="L1433" s="1" t="s">
        <v>17</v>
      </c>
      <c r="M1433" s="1" t="s">
        <v>17</v>
      </c>
      <c r="N1433" s="27" t="s">
        <v>605</v>
      </c>
      <c r="O1433" s="1" t="s">
        <v>16</v>
      </c>
    </row>
    <row r="1434" spans="1:15" x14ac:dyDescent="0.2">
      <c r="A1434" s="9">
        <v>45265</v>
      </c>
      <c r="B1434" s="1" t="s">
        <v>22</v>
      </c>
      <c r="C1434" s="1">
        <v>5</v>
      </c>
      <c r="D1434" s="1">
        <v>1</v>
      </c>
      <c r="E1434" s="5">
        <v>36.47</v>
      </c>
      <c r="F1434" s="1" t="s">
        <v>16</v>
      </c>
      <c r="G1434" s="1">
        <v>4</v>
      </c>
      <c r="H1434" s="1" t="s">
        <v>16</v>
      </c>
      <c r="I1434" s="1" t="s">
        <v>16</v>
      </c>
      <c r="J1434" s="1" t="s">
        <v>16</v>
      </c>
      <c r="K1434" s="1" t="s">
        <v>17</v>
      </c>
      <c r="L1434" s="1" t="s">
        <v>17</v>
      </c>
      <c r="M1434" s="1" t="s">
        <v>17</v>
      </c>
      <c r="N1434" s="27" t="s">
        <v>605</v>
      </c>
      <c r="O1434" s="1" t="s">
        <v>16</v>
      </c>
    </row>
    <row r="1435" spans="1:15" x14ac:dyDescent="0.2">
      <c r="A1435" s="9">
        <v>45265</v>
      </c>
      <c r="B1435" s="1" t="s">
        <v>22</v>
      </c>
      <c r="C1435" s="1">
        <v>6</v>
      </c>
      <c r="D1435" s="1">
        <v>2</v>
      </c>
      <c r="E1435" s="5">
        <v>42.02</v>
      </c>
      <c r="F1435" s="1" t="s">
        <v>18</v>
      </c>
      <c r="G1435" s="1">
        <v>2</v>
      </c>
      <c r="H1435" s="1" t="s">
        <v>16</v>
      </c>
      <c r="I1435" s="1" t="s">
        <v>16</v>
      </c>
      <c r="J1435" s="1" t="s">
        <v>16</v>
      </c>
      <c r="K1435" s="1" t="s">
        <v>21</v>
      </c>
      <c r="L1435" s="1" t="s">
        <v>17</v>
      </c>
      <c r="M1435" s="1" t="s">
        <v>17</v>
      </c>
      <c r="N1435" s="27" t="s">
        <v>605</v>
      </c>
      <c r="O1435" s="1" t="s">
        <v>16</v>
      </c>
    </row>
    <row r="1436" spans="1:15" x14ac:dyDescent="0.2">
      <c r="A1436" s="9">
        <v>45265</v>
      </c>
      <c r="B1436" s="1" t="s">
        <v>22</v>
      </c>
      <c r="C1436" s="1">
        <v>7</v>
      </c>
      <c r="D1436" s="1">
        <v>2</v>
      </c>
      <c r="E1436" s="5">
        <v>48.97</v>
      </c>
      <c r="F1436" s="1" t="s">
        <v>16</v>
      </c>
      <c r="G1436" s="1">
        <v>4</v>
      </c>
      <c r="H1436" s="1" t="s">
        <v>16</v>
      </c>
      <c r="I1436" s="1" t="s">
        <v>16</v>
      </c>
      <c r="J1436" s="1" t="s">
        <v>16</v>
      </c>
      <c r="K1436" s="1" t="s">
        <v>17</v>
      </c>
      <c r="L1436" s="1" t="s">
        <v>17</v>
      </c>
      <c r="M1436" s="1" t="s">
        <v>17</v>
      </c>
      <c r="N1436" s="27" t="s">
        <v>605</v>
      </c>
      <c r="O1436" s="1" t="s">
        <v>16</v>
      </c>
    </row>
    <row r="1437" spans="1:15" x14ac:dyDescent="0.2">
      <c r="A1437" s="9">
        <v>45265</v>
      </c>
      <c r="B1437" s="1" t="s">
        <v>22</v>
      </c>
      <c r="C1437" s="1">
        <v>8</v>
      </c>
      <c r="D1437" s="1">
        <v>2</v>
      </c>
      <c r="E1437" s="5">
        <v>46.27</v>
      </c>
      <c r="F1437" s="1" t="s">
        <v>18</v>
      </c>
      <c r="G1437" s="1">
        <v>2</v>
      </c>
      <c r="H1437" s="1" t="s">
        <v>16</v>
      </c>
      <c r="I1437" s="1" t="s">
        <v>16</v>
      </c>
      <c r="J1437" s="1" t="s">
        <v>16</v>
      </c>
      <c r="K1437" s="1" t="s">
        <v>17</v>
      </c>
      <c r="L1437" s="1" t="s">
        <v>17</v>
      </c>
      <c r="M1437" s="1" t="s">
        <v>17</v>
      </c>
      <c r="N1437" s="27" t="s">
        <v>605</v>
      </c>
      <c r="O1437" s="1" t="s">
        <v>16</v>
      </c>
    </row>
    <row r="1438" spans="1:15" x14ac:dyDescent="0.2">
      <c r="A1438" s="9">
        <v>45265</v>
      </c>
      <c r="B1438" s="1" t="s">
        <v>22</v>
      </c>
      <c r="C1438" s="1">
        <v>9</v>
      </c>
      <c r="D1438" s="1">
        <v>2</v>
      </c>
      <c r="E1438" s="5">
        <v>36.9</v>
      </c>
      <c r="F1438" s="1" t="s">
        <v>19</v>
      </c>
      <c r="G1438" s="1">
        <v>2</v>
      </c>
      <c r="H1438" s="1" t="s">
        <v>16</v>
      </c>
      <c r="I1438" s="1" t="s">
        <v>16</v>
      </c>
      <c r="J1438" s="1" t="s">
        <v>16</v>
      </c>
      <c r="K1438" s="1" t="s">
        <v>17</v>
      </c>
      <c r="L1438" s="1" t="s">
        <v>17</v>
      </c>
      <c r="M1438" s="1" t="s">
        <v>17</v>
      </c>
      <c r="N1438" s="27" t="s">
        <v>605</v>
      </c>
      <c r="O1438" s="1" t="s">
        <v>16</v>
      </c>
    </row>
    <row r="1439" spans="1:15" x14ac:dyDescent="0.2">
      <c r="A1439" s="9">
        <v>45265</v>
      </c>
      <c r="B1439" s="1" t="s">
        <v>22</v>
      </c>
      <c r="C1439" s="1">
        <v>10</v>
      </c>
      <c r="D1439" s="1">
        <v>2</v>
      </c>
      <c r="E1439" s="5">
        <v>38.35</v>
      </c>
      <c r="F1439" s="1" t="s">
        <v>16</v>
      </c>
      <c r="G1439" s="1" t="s">
        <v>16</v>
      </c>
      <c r="H1439" s="1" t="s">
        <v>16</v>
      </c>
      <c r="I1439" s="1" t="s">
        <v>16</v>
      </c>
      <c r="J1439" s="1" t="s">
        <v>16</v>
      </c>
      <c r="K1439" s="1" t="s">
        <v>17</v>
      </c>
      <c r="L1439" s="1" t="s">
        <v>21</v>
      </c>
      <c r="M1439" s="1" t="s">
        <v>17</v>
      </c>
      <c r="N1439" s="27" t="s">
        <v>605</v>
      </c>
      <c r="O1439" s="1" t="s">
        <v>16</v>
      </c>
    </row>
    <row r="1440" spans="1:15" x14ac:dyDescent="0.2">
      <c r="A1440" s="9">
        <v>45265</v>
      </c>
      <c r="B1440" s="1" t="s">
        <v>22</v>
      </c>
      <c r="C1440" s="1">
        <v>11</v>
      </c>
      <c r="D1440" s="1">
        <v>3</v>
      </c>
      <c r="E1440" s="5">
        <v>75.88</v>
      </c>
      <c r="F1440" s="1" t="s">
        <v>19</v>
      </c>
      <c r="G1440" s="1">
        <v>2</v>
      </c>
      <c r="H1440" s="1" t="s">
        <v>16</v>
      </c>
      <c r="I1440" s="1" t="s">
        <v>16</v>
      </c>
      <c r="J1440" s="1" t="s">
        <v>16</v>
      </c>
      <c r="K1440" s="1" t="s">
        <v>17</v>
      </c>
      <c r="L1440" s="1" t="s">
        <v>17</v>
      </c>
      <c r="M1440" s="1" t="s">
        <v>17</v>
      </c>
      <c r="N1440" s="27" t="s">
        <v>605</v>
      </c>
      <c r="O1440" s="1" t="s">
        <v>16</v>
      </c>
    </row>
    <row r="1441" spans="1:15" x14ac:dyDescent="0.2">
      <c r="A1441" s="9">
        <v>45265</v>
      </c>
      <c r="B1441" s="1" t="s">
        <v>22</v>
      </c>
      <c r="C1441" s="1">
        <v>12</v>
      </c>
      <c r="D1441" s="1">
        <v>3</v>
      </c>
      <c r="E1441" s="5">
        <v>44.5</v>
      </c>
      <c r="F1441" s="1" t="s">
        <v>19</v>
      </c>
      <c r="G1441" s="1">
        <v>2</v>
      </c>
      <c r="H1441" s="1" t="s">
        <v>16</v>
      </c>
      <c r="I1441" s="1" t="s">
        <v>16</v>
      </c>
      <c r="J1441" s="1" t="s">
        <v>16</v>
      </c>
      <c r="K1441" s="1" t="s">
        <v>17</v>
      </c>
      <c r="L1441" s="1" t="s">
        <v>17</v>
      </c>
      <c r="M1441" s="1" t="s">
        <v>17</v>
      </c>
      <c r="N1441" s="27" t="s">
        <v>605</v>
      </c>
      <c r="O1441" s="1" t="s">
        <v>16</v>
      </c>
    </row>
    <row r="1442" spans="1:15" x14ac:dyDescent="0.2">
      <c r="A1442" s="9">
        <v>45265</v>
      </c>
      <c r="B1442" s="1" t="s">
        <v>22</v>
      </c>
      <c r="C1442" s="1">
        <v>13</v>
      </c>
      <c r="D1442" s="1">
        <v>3</v>
      </c>
      <c r="E1442" s="5">
        <v>72.64</v>
      </c>
      <c r="F1442" s="1" t="s">
        <v>16</v>
      </c>
      <c r="G1442" s="1">
        <v>4</v>
      </c>
      <c r="H1442" s="1" t="s">
        <v>16</v>
      </c>
      <c r="I1442" s="1" t="s">
        <v>16</v>
      </c>
      <c r="J1442" s="1" t="s">
        <v>16</v>
      </c>
      <c r="K1442" s="1" t="s">
        <v>21</v>
      </c>
      <c r="L1442" s="1" t="s">
        <v>17</v>
      </c>
      <c r="M1442" s="1" t="s">
        <v>17</v>
      </c>
      <c r="N1442" s="27" t="s">
        <v>605</v>
      </c>
      <c r="O1442" s="1" t="s">
        <v>16</v>
      </c>
    </row>
    <row r="1443" spans="1:15" x14ac:dyDescent="0.2">
      <c r="A1443" s="9">
        <v>45265</v>
      </c>
      <c r="B1443" s="1" t="s">
        <v>22</v>
      </c>
      <c r="C1443" s="1">
        <v>14</v>
      </c>
      <c r="D1443" s="1">
        <v>3</v>
      </c>
      <c r="E1443" s="5">
        <v>44.17</v>
      </c>
      <c r="F1443" s="1" t="s">
        <v>16</v>
      </c>
      <c r="G1443" s="1">
        <v>4</v>
      </c>
      <c r="H1443" s="1" t="s">
        <v>16</v>
      </c>
      <c r="I1443" s="1" t="s">
        <v>16</v>
      </c>
      <c r="J1443" s="1" t="s">
        <v>16</v>
      </c>
      <c r="K1443" s="1" t="s">
        <v>21</v>
      </c>
      <c r="L1443" s="1" t="s">
        <v>17</v>
      </c>
      <c r="M1443" s="1" t="s">
        <v>17</v>
      </c>
      <c r="N1443" s="27" t="s">
        <v>605</v>
      </c>
      <c r="O1443" s="1" t="s">
        <v>16</v>
      </c>
    </row>
    <row r="1444" spans="1:15" x14ac:dyDescent="0.2">
      <c r="A1444" s="9">
        <v>45265</v>
      </c>
      <c r="B1444" s="1" t="s">
        <v>22</v>
      </c>
      <c r="C1444" s="1">
        <v>15</v>
      </c>
      <c r="D1444" s="1">
        <v>3</v>
      </c>
      <c r="E1444" s="5">
        <v>32.36</v>
      </c>
      <c r="F1444" s="1" t="s">
        <v>16</v>
      </c>
      <c r="G1444" s="1">
        <v>4</v>
      </c>
      <c r="H1444" s="1" t="s">
        <v>16</v>
      </c>
      <c r="I1444" s="1" t="s">
        <v>16</v>
      </c>
      <c r="J1444" s="1" t="s">
        <v>16</v>
      </c>
      <c r="K1444" s="1" t="s">
        <v>17</v>
      </c>
      <c r="L1444" s="1" t="s">
        <v>17</v>
      </c>
      <c r="M1444" s="1" t="s">
        <v>17</v>
      </c>
      <c r="N1444" s="27" t="s">
        <v>605</v>
      </c>
      <c r="O1444" s="1" t="s">
        <v>16</v>
      </c>
    </row>
    <row r="1445" spans="1:15" x14ac:dyDescent="0.2">
      <c r="A1445" s="9">
        <v>45294</v>
      </c>
      <c r="B1445" s="1" t="s">
        <v>22</v>
      </c>
      <c r="C1445" s="1">
        <v>1</v>
      </c>
      <c r="D1445" s="1">
        <v>1</v>
      </c>
      <c r="E1445" s="5">
        <v>36.04</v>
      </c>
      <c r="F1445" s="1" t="s">
        <v>16</v>
      </c>
      <c r="G1445" s="1">
        <v>4</v>
      </c>
      <c r="H1445" s="1" t="s">
        <v>16</v>
      </c>
      <c r="I1445" s="1" t="s">
        <v>16</v>
      </c>
      <c r="J1445" s="1" t="s">
        <v>16</v>
      </c>
      <c r="K1445" s="1" t="s">
        <v>17</v>
      </c>
      <c r="L1445" s="1" t="s">
        <v>17</v>
      </c>
      <c r="M1445" s="1" t="s">
        <v>17</v>
      </c>
      <c r="N1445" s="27" t="s">
        <v>605</v>
      </c>
      <c r="O1445" s="1" t="s">
        <v>16</v>
      </c>
    </row>
    <row r="1446" spans="1:15" x14ac:dyDescent="0.2">
      <c r="A1446" s="9">
        <v>45294</v>
      </c>
      <c r="B1446" s="1" t="s">
        <v>22</v>
      </c>
      <c r="C1446" s="1">
        <v>2</v>
      </c>
      <c r="D1446" s="1">
        <v>1</v>
      </c>
      <c r="E1446" s="5">
        <v>48.17</v>
      </c>
      <c r="F1446" s="1" t="s">
        <v>16</v>
      </c>
      <c r="G1446" s="1">
        <v>4</v>
      </c>
      <c r="H1446" s="1" t="s">
        <v>16</v>
      </c>
      <c r="I1446" s="1" t="s">
        <v>16</v>
      </c>
      <c r="J1446" s="1" t="s">
        <v>16</v>
      </c>
      <c r="K1446" s="1" t="s">
        <v>17</v>
      </c>
      <c r="L1446" s="1" t="s">
        <v>17</v>
      </c>
      <c r="M1446" s="1" t="s">
        <v>21</v>
      </c>
      <c r="N1446" s="27" t="s">
        <v>605</v>
      </c>
      <c r="O1446" s="1" t="s">
        <v>16</v>
      </c>
    </row>
    <row r="1447" spans="1:15" x14ac:dyDescent="0.2">
      <c r="A1447" s="9">
        <v>45294</v>
      </c>
      <c r="B1447" s="1" t="s">
        <v>22</v>
      </c>
      <c r="C1447" s="1">
        <v>3</v>
      </c>
      <c r="D1447" s="1">
        <v>1</v>
      </c>
      <c r="E1447" s="5">
        <v>36.340000000000003</v>
      </c>
      <c r="F1447" s="1" t="s">
        <v>16</v>
      </c>
      <c r="G1447" s="1" t="s">
        <v>16</v>
      </c>
      <c r="H1447" s="1" t="s">
        <v>16</v>
      </c>
      <c r="I1447" s="1" t="s">
        <v>16</v>
      </c>
      <c r="J1447" s="1" t="s">
        <v>16</v>
      </c>
      <c r="K1447" s="1" t="s">
        <v>17</v>
      </c>
      <c r="L1447" s="1" t="s">
        <v>17</v>
      </c>
      <c r="M1447" s="1" t="s">
        <v>21</v>
      </c>
      <c r="N1447" s="27" t="s">
        <v>605</v>
      </c>
      <c r="O1447" s="1" t="s">
        <v>16</v>
      </c>
    </row>
    <row r="1448" spans="1:15" x14ac:dyDescent="0.2">
      <c r="A1448" s="9">
        <v>45294</v>
      </c>
      <c r="B1448" s="1" t="s">
        <v>22</v>
      </c>
      <c r="C1448" s="1">
        <v>4</v>
      </c>
      <c r="D1448" s="1">
        <v>1</v>
      </c>
      <c r="E1448" s="5">
        <v>26.5</v>
      </c>
      <c r="F1448" s="1" t="s">
        <v>16</v>
      </c>
      <c r="G1448" s="1" t="s">
        <v>16</v>
      </c>
      <c r="H1448" s="1" t="s">
        <v>16</v>
      </c>
      <c r="I1448" s="1" t="s">
        <v>16</v>
      </c>
      <c r="J1448" s="1" t="s">
        <v>16</v>
      </c>
      <c r="K1448" s="1" t="s">
        <v>17</v>
      </c>
      <c r="L1448" s="1" t="s">
        <v>17</v>
      </c>
      <c r="M1448" s="1" t="s">
        <v>21</v>
      </c>
      <c r="N1448" s="27" t="s">
        <v>605</v>
      </c>
      <c r="O1448" s="1" t="s">
        <v>16</v>
      </c>
    </row>
    <row r="1449" spans="1:15" x14ac:dyDescent="0.2">
      <c r="A1449" s="9">
        <v>45294</v>
      </c>
      <c r="B1449" s="1" t="s">
        <v>22</v>
      </c>
      <c r="C1449" s="1">
        <v>5</v>
      </c>
      <c r="D1449" s="1">
        <v>1</v>
      </c>
      <c r="E1449" s="5">
        <v>51.4</v>
      </c>
      <c r="F1449" s="1" t="s">
        <v>18</v>
      </c>
      <c r="G1449" s="1">
        <v>3</v>
      </c>
      <c r="H1449" s="1" t="s">
        <v>16</v>
      </c>
      <c r="I1449" s="1" t="s">
        <v>16</v>
      </c>
      <c r="J1449" s="1" t="s">
        <v>16</v>
      </c>
      <c r="K1449" s="1" t="s">
        <v>17</v>
      </c>
      <c r="L1449" s="1" t="s">
        <v>17</v>
      </c>
      <c r="M1449" s="1" t="s">
        <v>17</v>
      </c>
      <c r="N1449" s="27" t="s">
        <v>605</v>
      </c>
      <c r="O1449" s="1" t="s">
        <v>16</v>
      </c>
    </row>
    <row r="1450" spans="1:15" x14ac:dyDescent="0.2">
      <c r="A1450" s="9">
        <v>45294</v>
      </c>
      <c r="B1450" s="1" t="s">
        <v>22</v>
      </c>
      <c r="C1450" s="1">
        <v>6</v>
      </c>
      <c r="D1450" s="1">
        <v>2</v>
      </c>
      <c r="E1450" s="5">
        <v>63.25</v>
      </c>
      <c r="F1450" s="1" t="s">
        <v>18</v>
      </c>
      <c r="G1450" s="1">
        <v>2</v>
      </c>
      <c r="H1450" s="1" t="s">
        <v>16</v>
      </c>
      <c r="I1450" s="1" t="s">
        <v>16</v>
      </c>
      <c r="J1450" s="1" t="s">
        <v>16</v>
      </c>
      <c r="K1450" s="1" t="s">
        <v>17</v>
      </c>
      <c r="L1450" s="1" t="s">
        <v>17</v>
      </c>
      <c r="M1450" s="1" t="s">
        <v>17</v>
      </c>
      <c r="N1450" s="27" t="s">
        <v>605</v>
      </c>
      <c r="O1450" s="1" t="s">
        <v>16</v>
      </c>
    </row>
    <row r="1451" spans="1:15" x14ac:dyDescent="0.2">
      <c r="A1451" s="9">
        <v>45294</v>
      </c>
      <c r="B1451" s="1" t="s">
        <v>22</v>
      </c>
      <c r="C1451" s="1">
        <v>7</v>
      </c>
      <c r="D1451" s="1">
        <v>2</v>
      </c>
      <c r="E1451" s="5">
        <v>55.08</v>
      </c>
      <c r="F1451" s="1" t="s">
        <v>19</v>
      </c>
      <c r="G1451" s="1">
        <v>2</v>
      </c>
      <c r="H1451" s="1" t="s">
        <v>16</v>
      </c>
      <c r="I1451" s="1" t="s">
        <v>16</v>
      </c>
      <c r="J1451" s="1" t="s">
        <v>16</v>
      </c>
      <c r="K1451" s="1" t="s">
        <v>17</v>
      </c>
      <c r="L1451" s="1" t="s">
        <v>17</v>
      </c>
      <c r="M1451" s="1" t="s">
        <v>17</v>
      </c>
      <c r="N1451" s="27" t="s">
        <v>605</v>
      </c>
      <c r="O1451" s="1" t="s">
        <v>16</v>
      </c>
    </row>
    <row r="1452" spans="1:15" x14ac:dyDescent="0.2">
      <c r="A1452" s="9">
        <v>45294</v>
      </c>
      <c r="B1452" s="1" t="s">
        <v>22</v>
      </c>
      <c r="C1452" s="1">
        <v>8</v>
      </c>
      <c r="D1452" s="1">
        <v>2</v>
      </c>
      <c r="E1452" s="5">
        <v>67.959999999999994</v>
      </c>
      <c r="F1452" s="1" t="s">
        <v>18</v>
      </c>
      <c r="G1452" s="1">
        <v>1</v>
      </c>
      <c r="H1452" s="1" t="s">
        <v>16</v>
      </c>
      <c r="I1452" s="1" t="s">
        <v>16</v>
      </c>
      <c r="J1452" s="1" t="s">
        <v>16</v>
      </c>
      <c r="K1452" s="1" t="s">
        <v>17</v>
      </c>
      <c r="L1452" s="1" t="s">
        <v>17</v>
      </c>
      <c r="M1452" s="1" t="s">
        <v>17</v>
      </c>
      <c r="N1452" s="27" t="s">
        <v>605</v>
      </c>
      <c r="O1452" s="1" t="s">
        <v>16</v>
      </c>
    </row>
    <row r="1453" spans="1:15" x14ac:dyDescent="0.2">
      <c r="A1453" s="9">
        <v>45294</v>
      </c>
      <c r="B1453" s="1" t="s">
        <v>22</v>
      </c>
      <c r="C1453" s="1">
        <v>9</v>
      </c>
      <c r="D1453" s="1">
        <v>2</v>
      </c>
      <c r="E1453" s="5">
        <v>28.92</v>
      </c>
      <c r="F1453" s="1" t="s">
        <v>16</v>
      </c>
      <c r="G1453" s="1" t="s">
        <v>16</v>
      </c>
      <c r="H1453" s="1" t="s">
        <v>16</v>
      </c>
      <c r="I1453" s="1" t="s">
        <v>16</v>
      </c>
      <c r="J1453" s="1" t="s">
        <v>16</v>
      </c>
      <c r="K1453" s="1" t="s">
        <v>17</v>
      </c>
      <c r="L1453" s="1" t="s">
        <v>17</v>
      </c>
      <c r="M1453" s="1" t="s">
        <v>21</v>
      </c>
      <c r="N1453" s="27" t="s">
        <v>605</v>
      </c>
      <c r="O1453" s="1" t="s">
        <v>16</v>
      </c>
    </row>
    <row r="1454" spans="1:15" x14ac:dyDescent="0.2">
      <c r="A1454" s="9">
        <v>45294</v>
      </c>
      <c r="B1454" s="1" t="s">
        <v>22</v>
      </c>
      <c r="C1454" s="1">
        <v>10</v>
      </c>
      <c r="D1454" s="1">
        <v>2</v>
      </c>
      <c r="E1454" s="5">
        <v>58.86</v>
      </c>
      <c r="F1454" s="1" t="s">
        <v>19</v>
      </c>
      <c r="G1454" s="1">
        <v>2</v>
      </c>
      <c r="H1454" s="1" t="s">
        <v>16</v>
      </c>
      <c r="I1454" s="1" t="s">
        <v>16</v>
      </c>
      <c r="J1454" s="1" t="s">
        <v>16</v>
      </c>
      <c r="K1454" s="1" t="s">
        <v>17</v>
      </c>
      <c r="L1454" s="1" t="s">
        <v>17</v>
      </c>
      <c r="M1454" s="1" t="s">
        <v>17</v>
      </c>
      <c r="N1454" s="27" t="s">
        <v>605</v>
      </c>
      <c r="O1454" s="1" t="s">
        <v>16</v>
      </c>
    </row>
    <row r="1455" spans="1:15" x14ac:dyDescent="0.2">
      <c r="A1455" s="9">
        <v>45294</v>
      </c>
      <c r="B1455" s="1" t="s">
        <v>22</v>
      </c>
      <c r="C1455" s="1">
        <v>11</v>
      </c>
      <c r="D1455" s="1">
        <v>3</v>
      </c>
      <c r="E1455" s="5">
        <v>38.909999999999997</v>
      </c>
      <c r="F1455" s="1" t="s">
        <v>19</v>
      </c>
      <c r="G1455" s="1">
        <v>2</v>
      </c>
      <c r="H1455" s="1" t="s">
        <v>16</v>
      </c>
      <c r="I1455" s="1" t="s">
        <v>16</v>
      </c>
      <c r="J1455" s="1" t="s">
        <v>16</v>
      </c>
      <c r="K1455" s="1" t="s">
        <v>17</v>
      </c>
      <c r="L1455" s="1" t="s">
        <v>17</v>
      </c>
      <c r="M1455" s="1" t="s">
        <v>17</v>
      </c>
      <c r="N1455" s="27" t="s">
        <v>605</v>
      </c>
      <c r="O1455" s="1" t="s">
        <v>16</v>
      </c>
    </row>
    <row r="1456" spans="1:15" x14ac:dyDescent="0.2">
      <c r="A1456" s="9">
        <v>45294</v>
      </c>
      <c r="B1456" s="1" t="s">
        <v>22</v>
      </c>
      <c r="C1456" s="1">
        <v>12</v>
      </c>
      <c r="D1456" s="1">
        <v>3</v>
      </c>
      <c r="E1456" s="5">
        <v>34.229999999999997</v>
      </c>
      <c r="F1456" s="1" t="s">
        <v>19</v>
      </c>
      <c r="G1456" s="1">
        <v>2</v>
      </c>
      <c r="H1456" s="1" t="s">
        <v>16</v>
      </c>
      <c r="I1456" s="1" t="s">
        <v>16</v>
      </c>
      <c r="J1456" s="1" t="s">
        <v>16</v>
      </c>
      <c r="K1456" s="1" t="s">
        <v>17</v>
      </c>
      <c r="L1456" s="1" t="s">
        <v>17</v>
      </c>
      <c r="M1456" s="1" t="s">
        <v>17</v>
      </c>
      <c r="N1456" s="27" t="s">
        <v>605</v>
      </c>
      <c r="O1456" s="1" t="s">
        <v>16</v>
      </c>
    </row>
    <row r="1457" spans="1:15" x14ac:dyDescent="0.2">
      <c r="A1457" s="9">
        <v>45294</v>
      </c>
      <c r="B1457" s="1" t="s">
        <v>22</v>
      </c>
      <c r="C1457" s="1">
        <v>13</v>
      </c>
      <c r="D1457" s="1">
        <v>3</v>
      </c>
      <c r="E1457" s="5">
        <v>49.56</v>
      </c>
      <c r="F1457" s="1" t="s">
        <v>16</v>
      </c>
      <c r="G1457" s="1">
        <v>4</v>
      </c>
      <c r="H1457" s="1" t="s">
        <v>16</v>
      </c>
      <c r="I1457" s="1" t="s">
        <v>16</v>
      </c>
      <c r="J1457" s="1" t="s">
        <v>16</v>
      </c>
      <c r="K1457" s="1" t="s">
        <v>17</v>
      </c>
      <c r="L1457" s="1" t="s">
        <v>17</v>
      </c>
      <c r="M1457" s="1" t="s">
        <v>17</v>
      </c>
      <c r="N1457" s="27" t="s">
        <v>605</v>
      </c>
      <c r="O1457" s="1" t="s">
        <v>16</v>
      </c>
    </row>
    <row r="1458" spans="1:15" x14ac:dyDescent="0.2">
      <c r="A1458" s="9">
        <v>45294</v>
      </c>
      <c r="B1458" s="1" t="s">
        <v>22</v>
      </c>
      <c r="C1458" s="1">
        <v>14</v>
      </c>
      <c r="D1458" s="1">
        <v>3</v>
      </c>
      <c r="E1458" s="5">
        <v>52.96</v>
      </c>
      <c r="F1458" s="1" t="s">
        <v>16</v>
      </c>
      <c r="G1458" s="1">
        <v>4</v>
      </c>
      <c r="H1458" s="1" t="s">
        <v>16</v>
      </c>
      <c r="I1458" s="1" t="s">
        <v>16</v>
      </c>
      <c r="J1458" s="1" t="s">
        <v>16</v>
      </c>
      <c r="K1458" s="1" t="s">
        <v>17</v>
      </c>
      <c r="L1458" s="1" t="s">
        <v>17</v>
      </c>
      <c r="M1458" s="1" t="s">
        <v>17</v>
      </c>
      <c r="N1458" s="27" t="s">
        <v>605</v>
      </c>
      <c r="O1458" s="1" t="s">
        <v>16</v>
      </c>
    </row>
    <row r="1459" spans="1:15" x14ac:dyDescent="0.2">
      <c r="A1459" s="9">
        <v>45294</v>
      </c>
      <c r="B1459" s="1" t="s">
        <v>22</v>
      </c>
      <c r="C1459" s="1">
        <v>15</v>
      </c>
      <c r="D1459" s="1">
        <v>3</v>
      </c>
      <c r="E1459" s="5">
        <v>61.65</v>
      </c>
      <c r="F1459" s="1" t="s">
        <v>18</v>
      </c>
      <c r="G1459" s="1">
        <v>2</v>
      </c>
      <c r="H1459" s="1" t="s">
        <v>16</v>
      </c>
      <c r="I1459" s="1" t="s">
        <v>16</v>
      </c>
      <c r="J1459" s="1" t="s">
        <v>16</v>
      </c>
      <c r="K1459" s="1" t="s">
        <v>17</v>
      </c>
      <c r="L1459" s="1" t="s">
        <v>17</v>
      </c>
      <c r="M1459" s="1" t="s">
        <v>17</v>
      </c>
      <c r="N1459" s="27" t="s">
        <v>605</v>
      </c>
      <c r="O1459" s="1" t="s">
        <v>16</v>
      </c>
    </row>
    <row r="1460" spans="1:15" x14ac:dyDescent="0.2">
      <c r="A1460" s="9">
        <v>45334</v>
      </c>
      <c r="B1460" s="1" t="s">
        <v>22</v>
      </c>
      <c r="C1460" s="1">
        <v>1</v>
      </c>
      <c r="D1460" s="1">
        <v>1</v>
      </c>
      <c r="E1460" s="5">
        <v>63.27</v>
      </c>
      <c r="F1460" s="1" t="s">
        <v>18</v>
      </c>
      <c r="G1460" s="1">
        <v>3</v>
      </c>
      <c r="H1460" s="1" t="s">
        <v>16</v>
      </c>
      <c r="I1460" s="1" t="s">
        <v>16</v>
      </c>
      <c r="J1460" s="1" t="s">
        <v>16</v>
      </c>
      <c r="K1460" s="1" t="s">
        <v>17</v>
      </c>
      <c r="L1460" s="1" t="s">
        <v>17</v>
      </c>
      <c r="M1460" s="1" t="s">
        <v>17</v>
      </c>
      <c r="N1460" s="27" t="s">
        <v>605</v>
      </c>
      <c r="O1460" s="1" t="s">
        <v>16</v>
      </c>
    </row>
    <row r="1461" spans="1:15" x14ac:dyDescent="0.2">
      <c r="A1461" s="9">
        <v>45334</v>
      </c>
      <c r="B1461" s="1" t="s">
        <v>22</v>
      </c>
      <c r="C1461" s="1">
        <v>2</v>
      </c>
      <c r="D1461" s="1">
        <v>1</v>
      </c>
      <c r="E1461" s="5">
        <v>54.91</v>
      </c>
      <c r="F1461" s="1" t="s">
        <v>19</v>
      </c>
      <c r="G1461" s="1">
        <v>1</v>
      </c>
      <c r="H1461" s="1" t="s">
        <v>16</v>
      </c>
      <c r="I1461" s="1" t="s">
        <v>16</v>
      </c>
      <c r="J1461" s="1" t="s">
        <v>16</v>
      </c>
      <c r="K1461" s="1" t="s">
        <v>17</v>
      </c>
      <c r="L1461" s="1" t="s">
        <v>17</v>
      </c>
      <c r="M1461" s="1" t="s">
        <v>17</v>
      </c>
      <c r="N1461" s="27" t="s">
        <v>605</v>
      </c>
      <c r="O1461" s="1" t="s">
        <v>16</v>
      </c>
    </row>
    <row r="1462" spans="1:15" x14ac:dyDescent="0.2">
      <c r="A1462" s="9">
        <v>45334</v>
      </c>
      <c r="B1462" s="1" t="s">
        <v>22</v>
      </c>
      <c r="C1462" s="1">
        <v>3</v>
      </c>
      <c r="D1462" s="1">
        <v>1</v>
      </c>
      <c r="E1462" s="5">
        <v>59.63</v>
      </c>
      <c r="F1462" s="1" t="s">
        <v>18</v>
      </c>
      <c r="G1462" s="1">
        <v>2</v>
      </c>
      <c r="H1462" s="1" t="s">
        <v>16</v>
      </c>
      <c r="I1462" s="1" t="s">
        <v>16</v>
      </c>
      <c r="J1462" s="1" t="s">
        <v>16</v>
      </c>
      <c r="K1462" s="1" t="s">
        <v>17</v>
      </c>
      <c r="L1462" s="1" t="s">
        <v>17</v>
      </c>
      <c r="M1462" s="1" t="s">
        <v>17</v>
      </c>
      <c r="N1462" s="27" t="s">
        <v>605</v>
      </c>
      <c r="O1462" s="1" t="s">
        <v>16</v>
      </c>
    </row>
    <row r="1463" spans="1:15" x14ac:dyDescent="0.2">
      <c r="A1463" s="9">
        <v>45334</v>
      </c>
      <c r="B1463" s="1" t="s">
        <v>22</v>
      </c>
      <c r="C1463" s="1">
        <v>4</v>
      </c>
      <c r="D1463" s="1">
        <v>1</v>
      </c>
      <c r="E1463" s="5">
        <v>50.48</v>
      </c>
      <c r="F1463" s="1" t="s">
        <v>18</v>
      </c>
      <c r="G1463" s="1">
        <v>1</v>
      </c>
      <c r="H1463" s="1" t="s">
        <v>16</v>
      </c>
      <c r="I1463" s="1" t="s">
        <v>16</v>
      </c>
      <c r="J1463" s="1" t="s">
        <v>16</v>
      </c>
      <c r="K1463" s="1" t="s">
        <v>17</v>
      </c>
      <c r="L1463" s="1" t="s">
        <v>17</v>
      </c>
      <c r="M1463" s="1" t="s">
        <v>17</v>
      </c>
      <c r="N1463" s="27" t="s">
        <v>605</v>
      </c>
      <c r="O1463" s="1" t="s">
        <v>16</v>
      </c>
    </row>
    <row r="1464" spans="1:15" x14ac:dyDescent="0.2">
      <c r="A1464" s="9">
        <v>45334</v>
      </c>
      <c r="B1464" s="1" t="s">
        <v>22</v>
      </c>
      <c r="C1464" s="1">
        <v>5</v>
      </c>
      <c r="D1464" s="1">
        <v>1</v>
      </c>
      <c r="E1464" s="5">
        <v>54.77</v>
      </c>
      <c r="F1464" s="1" t="s">
        <v>18</v>
      </c>
      <c r="G1464" s="1">
        <v>3</v>
      </c>
      <c r="H1464" s="1" t="s">
        <v>16</v>
      </c>
      <c r="I1464" s="1" t="s">
        <v>16</v>
      </c>
      <c r="J1464" s="1" t="s">
        <v>16</v>
      </c>
      <c r="K1464" s="1" t="s">
        <v>17</v>
      </c>
      <c r="L1464" s="1" t="s">
        <v>17</v>
      </c>
      <c r="M1464" s="1" t="s">
        <v>17</v>
      </c>
      <c r="N1464" s="27" t="s">
        <v>605</v>
      </c>
      <c r="O1464" s="1" t="s">
        <v>16</v>
      </c>
    </row>
    <row r="1465" spans="1:15" x14ac:dyDescent="0.2">
      <c r="A1465" s="9">
        <v>45334</v>
      </c>
      <c r="B1465" s="1" t="s">
        <v>22</v>
      </c>
      <c r="C1465" s="1">
        <v>6</v>
      </c>
      <c r="D1465" s="1">
        <v>2</v>
      </c>
      <c r="E1465" s="5">
        <v>65.67</v>
      </c>
      <c r="F1465" s="1" t="s">
        <v>16</v>
      </c>
      <c r="G1465" s="1">
        <v>4</v>
      </c>
      <c r="H1465" s="1" t="s">
        <v>16</v>
      </c>
      <c r="I1465" s="1" t="s">
        <v>16</v>
      </c>
      <c r="J1465" s="1" t="s">
        <v>16</v>
      </c>
      <c r="K1465" s="1" t="s">
        <v>17</v>
      </c>
      <c r="L1465" s="1" t="s">
        <v>17</v>
      </c>
      <c r="M1465" s="1" t="s">
        <v>17</v>
      </c>
      <c r="N1465" s="27" t="s">
        <v>605</v>
      </c>
      <c r="O1465" s="1" t="s">
        <v>16</v>
      </c>
    </row>
    <row r="1466" spans="1:15" x14ac:dyDescent="0.2">
      <c r="A1466" s="9">
        <v>45334</v>
      </c>
      <c r="B1466" s="1" t="s">
        <v>22</v>
      </c>
      <c r="C1466" s="1">
        <v>7</v>
      </c>
      <c r="D1466" s="1">
        <v>2</v>
      </c>
      <c r="E1466" s="5">
        <v>55.42</v>
      </c>
      <c r="F1466" s="1" t="s">
        <v>19</v>
      </c>
      <c r="G1466" s="1">
        <v>2</v>
      </c>
      <c r="H1466" s="1" t="s">
        <v>16</v>
      </c>
      <c r="I1466" s="1" t="s">
        <v>16</v>
      </c>
      <c r="J1466" s="1" t="s">
        <v>16</v>
      </c>
      <c r="K1466" s="1" t="s">
        <v>17</v>
      </c>
      <c r="L1466" s="1" t="s">
        <v>17</v>
      </c>
      <c r="M1466" s="1" t="s">
        <v>17</v>
      </c>
      <c r="N1466" s="27" t="s">
        <v>605</v>
      </c>
      <c r="O1466" s="1" t="s">
        <v>16</v>
      </c>
    </row>
    <row r="1467" spans="1:15" x14ac:dyDescent="0.2">
      <c r="A1467" s="9">
        <v>45334</v>
      </c>
      <c r="B1467" s="1" t="s">
        <v>22</v>
      </c>
      <c r="C1467" s="1">
        <v>8</v>
      </c>
      <c r="D1467" s="1">
        <v>2</v>
      </c>
      <c r="E1467" s="5">
        <v>44.36</v>
      </c>
      <c r="F1467" s="1" t="s">
        <v>18</v>
      </c>
      <c r="G1467" s="1">
        <v>2</v>
      </c>
      <c r="H1467" s="1" t="s">
        <v>16</v>
      </c>
      <c r="I1467" s="1" t="s">
        <v>16</v>
      </c>
      <c r="J1467" s="1" t="s">
        <v>16</v>
      </c>
      <c r="K1467" s="1" t="s">
        <v>17</v>
      </c>
      <c r="L1467" s="1" t="s">
        <v>17</v>
      </c>
      <c r="M1467" s="1" t="s">
        <v>17</v>
      </c>
      <c r="N1467" s="27" t="s">
        <v>605</v>
      </c>
      <c r="O1467" s="1" t="s">
        <v>16</v>
      </c>
    </row>
    <row r="1468" spans="1:15" x14ac:dyDescent="0.2">
      <c r="A1468" s="9">
        <v>45334</v>
      </c>
      <c r="B1468" s="1" t="s">
        <v>22</v>
      </c>
      <c r="C1468" s="1">
        <v>9</v>
      </c>
      <c r="D1468" s="1">
        <v>2</v>
      </c>
      <c r="E1468" s="5">
        <v>73.790000000000006</v>
      </c>
      <c r="F1468" s="1" t="s">
        <v>18</v>
      </c>
      <c r="G1468" s="1">
        <v>2</v>
      </c>
      <c r="H1468" s="1" t="s">
        <v>16</v>
      </c>
      <c r="I1468" s="1" t="s">
        <v>16</v>
      </c>
      <c r="J1468" s="1" t="s">
        <v>16</v>
      </c>
      <c r="K1468" s="1" t="s">
        <v>17</v>
      </c>
      <c r="L1468" s="1" t="s">
        <v>17</v>
      </c>
      <c r="M1468" s="1" t="s">
        <v>17</v>
      </c>
      <c r="N1468" s="27" t="s">
        <v>605</v>
      </c>
      <c r="O1468" s="1" t="s">
        <v>16</v>
      </c>
    </row>
    <row r="1469" spans="1:15" x14ac:dyDescent="0.2">
      <c r="A1469" s="9">
        <v>45334</v>
      </c>
      <c r="B1469" s="1" t="s">
        <v>22</v>
      </c>
      <c r="C1469" s="1">
        <v>10</v>
      </c>
      <c r="D1469" s="1">
        <v>2</v>
      </c>
      <c r="E1469" s="5">
        <v>50.94</v>
      </c>
      <c r="F1469" s="1" t="s">
        <v>16</v>
      </c>
      <c r="G1469" s="1">
        <v>4</v>
      </c>
      <c r="H1469" s="1" t="s">
        <v>16</v>
      </c>
      <c r="I1469" s="1" t="s">
        <v>16</v>
      </c>
      <c r="J1469" s="1" t="s">
        <v>16</v>
      </c>
      <c r="K1469" s="1" t="s">
        <v>17</v>
      </c>
      <c r="L1469" s="1" t="s">
        <v>17</v>
      </c>
      <c r="M1469" s="1" t="s">
        <v>17</v>
      </c>
      <c r="N1469" s="27" t="s">
        <v>605</v>
      </c>
      <c r="O1469" s="1" t="s">
        <v>16</v>
      </c>
    </row>
    <row r="1470" spans="1:15" x14ac:dyDescent="0.2">
      <c r="A1470" s="9">
        <v>45334</v>
      </c>
      <c r="B1470" s="1" t="s">
        <v>22</v>
      </c>
      <c r="C1470" s="1">
        <v>11</v>
      </c>
      <c r="D1470" s="1">
        <v>3</v>
      </c>
      <c r="E1470" s="5">
        <v>81.819999999999993</v>
      </c>
      <c r="F1470" s="1" t="s">
        <v>18</v>
      </c>
      <c r="G1470" s="1">
        <v>2</v>
      </c>
      <c r="H1470" s="1" t="s">
        <v>16</v>
      </c>
      <c r="I1470" s="1" t="s">
        <v>16</v>
      </c>
      <c r="J1470" s="1" t="s">
        <v>16</v>
      </c>
      <c r="K1470" s="1" t="s">
        <v>17</v>
      </c>
      <c r="L1470" s="1" t="s">
        <v>17</v>
      </c>
      <c r="M1470" s="1" t="s">
        <v>17</v>
      </c>
      <c r="N1470" s="27" t="s">
        <v>605</v>
      </c>
      <c r="O1470" s="1" t="s">
        <v>16</v>
      </c>
    </row>
    <row r="1471" spans="1:15" x14ac:dyDescent="0.2">
      <c r="A1471" s="9">
        <v>45334</v>
      </c>
      <c r="B1471" s="1" t="s">
        <v>22</v>
      </c>
      <c r="C1471" s="1">
        <v>12</v>
      </c>
      <c r="D1471" s="1">
        <v>3</v>
      </c>
      <c r="E1471" s="5">
        <v>88.81</v>
      </c>
      <c r="F1471" s="1" t="s">
        <v>18</v>
      </c>
      <c r="G1471" s="1">
        <v>2</v>
      </c>
      <c r="H1471" s="1" t="s">
        <v>16</v>
      </c>
      <c r="I1471" s="1" t="s">
        <v>16</v>
      </c>
      <c r="J1471" s="1" t="s">
        <v>16</v>
      </c>
      <c r="K1471" s="1" t="s">
        <v>17</v>
      </c>
      <c r="L1471" s="1" t="s">
        <v>17</v>
      </c>
      <c r="M1471" s="1" t="s">
        <v>17</v>
      </c>
      <c r="N1471" s="27" t="s">
        <v>605</v>
      </c>
      <c r="O1471" s="1" t="s">
        <v>16</v>
      </c>
    </row>
    <row r="1472" spans="1:15" x14ac:dyDescent="0.2">
      <c r="A1472" s="9">
        <v>45334</v>
      </c>
      <c r="B1472" s="1" t="s">
        <v>22</v>
      </c>
      <c r="C1472" s="1">
        <v>13</v>
      </c>
      <c r="D1472" s="1">
        <v>3</v>
      </c>
      <c r="E1472" s="5">
        <v>90.52</v>
      </c>
      <c r="F1472" s="1" t="s">
        <v>18</v>
      </c>
      <c r="G1472" s="1">
        <v>2</v>
      </c>
      <c r="H1472" s="1" t="s">
        <v>16</v>
      </c>
      <c r="I1472" s="1" t="s">
        <v>16</v>
      </c>
      <c r="J1472" s="1" t="s">
        <v>16</v>
      </c>
      <c r="K1472" s="1" t="s">
        <v>17</v>
      </c>
      <c r="L1472" s="1" t="s">
        <v>17</v>
      </c>
      <c r="M1472" s="1" t="s">
        <v>17</v>
      </c>
      <c r="N1472" s="27" t="s">
        <v>605</v>
      </c>
      <c r="O1472" s="1" t="s">
        <v>16</v>
      </c>
    </row>
    <row r="1473" spans="1:15" x14ac:dyDescent="0.2">
      <c r="A1473" s="9">
        <v>45334</v>
      </c>
      <c r="B1473" s="1" t="s">
        <v>22</v>
      </c>
      <c r="C1473" s="1">
        <v>14</v>
      </c>
      <c r="D1473" s="1">
        <v>3</v>
      </c>
      <c r="E1473" s="5">
        <v>48.15</v>
      </c>
      <c r="F1473" s="1" t="s">
        <v>18</v>
      </c>
      <c r="G1473" s="1">
        <v>1</v>
      </c>
      <c r="H1473" s="1" t="s">
        <v>16</v>
      </c>
      <c r="I1473" s="1" t="s">
        <v>16</v>
      </c>
      <c r="J1473" s="1" t="s">
        <v>16</v>
      </c>
      <c r="K1473" s="1" t="s">
        <v>17</v>
      </c>
      <c r="L1473" s="1" t="s">
        <v>17</v>
      </c>
      <c r="M1473" s="1" t="s">
        <v>17</v>
      </c>
      <c r="N1473" s="27" t="s">
        <v>605</v>
      </c>
      <c r="O1473" s="1" t="s">
        <v>16</v>
      </c>
    </row>
    <row r="1474" spans="1:15" x14ac:dyDescent="0.2">
      <c r="A1474" s="9">
        <v>45334</v>
      </c>
      <c r="B1474" s="1" t="s">
        <v>22</v>
      </c>
      <c r="C1474" s="1">
        <v>15</v>
      </c>
      <c r="D1474" s="1">
        <v>3</v>
      </c>
      <c r="E1474" s="5">
        <v>56.95</v>
      </c>
      <c r="F1474" s="1" t="s">
        <v>18</v>
      </c>
      <c r="G1474" s="1">
        <v>2</v>
      </c>
      <c r="H1474" s="1" t="s">
        <v>16</v>
      </c>
      <c r="I1474" s="1" t="s">
        <v>16</v>
      </c>
      <c r="J1474" s="1" t="s">
        <v>16</v>
      </c>
      <c r="K1474" s="1" t="s">
        <v>17</v>
      </c>
      <c r="L1474" s="1" t="s">
        <v>17</v>
      </c>
      <c r="M1474" s="1" t="s">
        <v>17</v>
      </c>
      <c r="N1474" s="27" t="s">
        <v>605</v>
      </c>
      <c r="O1474" s="1" t="s">
        <v>16</v>
      </c>
    </row>
    <row r="1475" spans="1:15" x14ac:dyDescent="0.2">
      <c r="A1475" s="9">
        <v>45357</v>
      </c>
      <c r="B1475" s="1" t="s">
        <v>22</v>
      </c>
      <c r="C1475" s="1">
        <v>1</v>
      </c>
      <c r="D1475" s="1">
        <v>1</v>
      </c>
      <c r="E1475" s="5">
        <v>61.06</v>
      </c>
      <c r="F1475" s="1" t="s">
        <v>19</v>
      </c>
      <c r="G1475" s="1">
        <v>2</v>
      </c>
      <c r="H1475" s="1" t="s">
        <v>16</v>
      </c>
      <c r="I1475" s="1" t="s">
        <v>16</v>
      </c>
      <c r="J1475" s="1" t="s">
        <v>16</v>
      </c>
      <c r="K1475" s="1" t="s">
        <v>17</v>
      </c>
      <c r="L1475" s="1" t="s">
        <v>17</v>
      </c>
      <c r="M1475" s="1" t="s">
        <v>17</v>
      </c>
      <c r="N1475" s="27" t="s">
        <v>605</v>
      </c>
      <c r="O1475" s="1" t="s">
        <v>16</v>
      </c>
    </row>
    <row r="1476" spans="1:15" x14ac:dyDescent="0.2">
      <c r="A1476" s="9">
        <v>45357</v>
      </c>
      <c r="B1476" s="1" t="s">
        <v>22</v>
      </c>
      <c r="C1476" s="1">
        <v>2</v>
      </c>
      <c r="D1476" s="1">
        <v>1</v>
      </c>
      <c r="E1476" s="5">
        <v>54.87</v>
      </c>
      <c r="F1476" s="1" t="s">
        <v>16</v>
      </c>
      <c r="G1476" s="1" t="s">
        <v>16</v>
      </c>
      <c r="H1476" s="1" t="s">
        <v>16</v>
      </c>
      <c r="I1476" s="1" t="s">
        <v>16</v>
      </c>
      <c r="J1476" s="1" t="s">
        <v>16</v>
      </c>
      <c r="K1476" s="1" t="s">
        <v>25</v>
      </c>
      <c r="L1476" s="1" t="s">
        <v>17</v>
      </c>
      <c r="M1476" s="1" t="s">
        <v>17</v>
      </c>
      <c r="N1476" s="27" t="s">
        <v>605</v>
      </c>
      <c r="O1476" s="1" t="s">
        <v>16</v>
      </c>
    </row>
    <row r="1477" spans="1:15" x14ac:dyDescent="0.2">
      <c r="A1477" s="9">
        <v>45357</v>
      </c>
      <c r="B1477" s="1" t="s">
        <v>22</v>
      </c>
      <c r="C1477" s="1">
        <v>3</v>
      </c>
      <c r="D1477" s="1">
        <v>1</v>
      </c>
      <c r="E1477" s="5">
        <v>77.150000000000006</v>
      </c>
      <c r="F1477" s="1" t="s">
        <v>19</v>
      </c>
      <c r="G1477" s="1">
        <v>2</v>
      </c>
      <c r="H1477" s="1" t="s">
        <v>16</v>
      </c>
      <c r="I1477" s="1" t="s">
        <v>16</v>
      </c>
      <c r="J1477" s="1" t="s">
        <v>16</v>
      </c>
      <c r="K1477" s="1" t="s">
        <v>17</v>
      </c>
      <c r="L1477" s="1" t="s">
        <v>17</v>
      </c>
      <c r="M1477" s="1" t="s">
        <v>17</v>
      </c>
      <c r="N1477" s="27" t="s">
        <v>605</v>
      </c>
      <c r="O1477" s="1" t="s">
        <v>16</v>
      </c>
    </row>
    <row r="1478" spans="1:15" x14ac:dyDescent="0.2">
      <c r="A1478" s="9">
        <v>45357</v>
      </c>
      <c r="B1478" s="1" t="s">
        <v>22</v>
      </c>
      <c r="C1478" s="1">
        <v>4</v>
      </c>
      <c r="D1478" s="1">
        <v>1</v>
      </c>
      <c r="E1478" s="5">
        <v>62.13</v>
      </c>
      <c r="F1478" s="1" t="s">
        <v>16</v>
      </c>
      <c r="G1478" s="1">
        <v>4</v>
      </c>
      <c r="H1478" s="1" t="s">
        <v>16</v>
      </c>
      <c r="I1478" s="1" t="s">
        <v>16</v>
      </c>
      <c r="J1478" s="1" t="s">
        <v>16</v>
      </c>
      <c r="K1478" s="1" t="s">
        <v>17</v>
      </c>
      <c r="L1478" s="1" t="s">
        <v>17</v>
      </c>
      <c r="M1478" s="1" t="s">
        <v>17</v>
      </c>
      <c r="N1478" s="27" t="s">
        <v>605</v>
      </c>
      <c r="O1478" s="1" t="s">
        <v>16</v>
      </c>
    </row>
    <row r="1479" spans="1:15" x14ac:dyDescent="0.2">
      <c r="A1479" s="9">
        <v>45357</v>
      </c>
      <c r="B1479" s="1" t="s">
        <v>22</v>
      </c>
      <c r="C1479" s="1">
        <v>5</v>
      </c>
      <c r="D1479" s="1">
        <v>1</v>
      </c>
      <c r="E1479" s="5">
        <v>42.72</v>
      </c>
      <c r="F1479" s="1" t="s">
        <v>18</v>
      </c>
      <c r="G1479" s="1">
        <v>2</v>
      </c>
      <c r="H1479" s="1" t="s">
        <v>16</v>
      </c>
      <c r="I1479" s="1" t="s">
        <v>16</v>
      </c>
      <c r="J1479" s="1" t="s">
        <v>16</v>
      </c>
      <c r="K1479" s="1" t="s">
        <v>17</v>
      </c>
      <c r="L1479" s="1" t="s">
        <v>17</v>
      </c>
      <c r="M1479" s="1" t="s">
        <v>17</v>
      </c>
      <c r="N1479" s="27" t="s">
        <v>605</v>
      </c>
      <c r="O1479" s="1" t="s">
        <v>16</v>
      </c>
    </row>
    <row r="1480" spans="1:15" x14ac:dyDescent="0.2">
      <c r="A1480" s="9">
        <v>45357</v>
      </c>
      <c r="B1480" s="1" t="s">
        <v>22</v>
      </c>
      <c r="C1480" s="1">
        <v>6</v>
      </c>
      <c r="D1480" s="1">
        <v>2</v>
      </c>
      <c r="E1480" s="5">
        <v>78.11</v>
      </c>
      <c r="F1480" s="1" t="s">
        <v>18</v>
      </c>
      <c r="G1480" s="1">
        <v>2</v>
      </c>
      <c r="H1480" s="1" t="s">
        <v>16</v>
      </c>
      <c r="I1480" s="1" t="s">
        <v>16</v>
      </c>
      <c r="J1480" s="1" t="s">
        <v>16</v>
      </c>
      <c r="K1480" s="1" t="s">
        <v>17</v>
      </c>
      <c r="L1480" s="1" t="s">
        <v>17</v>
      </c>
      <c r="M1480" s="1" t="s">
        <v>17</v>
      </c>
      <c r="N1480" s="27" t="s">
        <v>605</v>
      </c>
      <c r="O1480" s="1" t="s">
        <v>16</v>
      </c>
    </row>
    <row r="1481" spans="1:15" x14ac:dyDescent="0.2">
      <c r="A1481" s="9">
        <v>45357</v>
      </c>
      <c r="B1481" s="1" t="s">
        <v>22</v>
      </c>
      <c r="C1481" s="1">
        <v>7</v>
      </c>
      <c r="D1481" s="1">
        <v>2</v>
      </c>
      <c r="E1481" s="5">
        <v>45</v>
      </c>
      <c r="F1481" s="1" t="s">
        <v>18</v>
      </c>
      <c r="G1481" s="1">
        <v>2</v>
      </c>
      <c r="H1481" s="1" t="s">
        <v>16</v>
      </c>
      <c r="I1481" s="1" t="s">
        <v>16</v>
      </c>
      <c r="J1481" s="1" t="s">
        <v>16</v>
      </c>
      <c r="K1481" s="1" t="s">
        <v>17</v>
      </c>
      <c r="L1481" s="1" t="s">
        <v>17</v>
      </c>
      <c r="M1481" s="1" t="s">
        <v>17</v>
      </c>
      <c r="N1481" s="27" t="s">
        <v>605</v>
      </c>
      <c r="O1481" s="1" t="s">
        <v>16</v>
      </c>
    </row>
    <row r="1482" spans="1:15" x14ac:dyDescent="0.2">
      <c r="A1482" s="9">
        <v>45357</v>
      </c>
      <c r="B1482" s="1" t="s">
        <v>22</v>
      </c>
      <c r="C1482" s="1">
        <v>8</v>
      </c>
      <c r="D1482" s="1">
        <v>2</v>
      </c>
      <c r="E1482" s="5">
        <v>55.11</v>
      </c>
      <c r="F1482" s="1" t="s">
        <v>18</v>
      </c>
      <c r="G1482" s="1">
        <v>2</v>
      </c>
      <c r="H1482" s="1" t="s">
        <v>16</v>
      </c>
      <c r="I1482" s="1" t="s">
        <v>16</v>
      </c>
      <c r="J1482" s="1" t="s">
        <v>16</v>
      </c>
      <c r="K1482" s="1" t="s">
        <v>17</v>
      </c>
      <c r="L1482" s="1" t="s">
        <v>17</v>
      </c>
      <c r="M1482" s="1" t="s">
        <v>17</v>
      </c>
      <c r="N1482" s="27" t="s">
        <v>605</v>
      </c>
      <c r="O1482" s="1" t="s">
        <v>16</v>
      </c>
    </row>
    <row r="1483" spans="1:15" x14ac:dyDescent="0.2">
      <c r="A1483" s="9">
        <v>45357</v>
      </c>
      <c r="B1483" s="1" t="s">
        <v>22</v>
      </c>
      <c r="C1483" s="1">
        <v>9</v>
      </c>
      <c r="D1483" s="1">
        <v>2</v>
      </c>
      <c r="E1483" s="5">
        <v>41</v>
      </c>
      <c r="F1483" s="1" t="s">
        <v>19</v>
      </c>
      <c r="G1483" s="1">
        <v>2</v>
      </c>
      <c r="H1483" s="1" t="s">
        <v>16</v>
      </c>
      <c r="I1483" s="1" t="s">
        <v>16</v>
      </c>
      <c r="J1483" s="1" t="s">
        <v>16</v>
      </c>
      <c r="K1483" s="1" t="s">
        <v>17</v>
      </c>
      <c r="L1483" s="1" t="s">
        <v>17</v>
      </c>
      <c r="M1483" s="1" t="s">
        <v>17</v>
      </c>
      <c r="N1483" s="27" t="s">
        <v>605</v>
      </c>
      <c r="O1483" s="1" t="s">
        <v>16</v>
      </c>
    </row>
    <row r="1484" spans="1:15" x14ac:dyDescent="0.2">
      <c r="A1484" s="9">
        <v>45357</v>
      </c>
      <c r="B1484" s="1" t="s">
        <v>22</v>
      </c>
      <c r="C1484" s="1">
        <v>10</v>
      </c>
      <c r="D1484" s="1">
        <v>2</v>
      </c>
      <c r="E1484" s="5">
        <v>37.68</v>
      </c>
      <c r="F1484" s="1" t="s">
        <v>19</v>
      </c>
      <c r="G1484" s="1">
        <v>2</v>
      </c>
      <c r="H1484" s="1" t="s">
        <v>16</v>
      </c>
      <c r="I1484" s="1" t="s">
        <v>16</v>
      </c>
      <c r="J1484" s="1" t="s">
        <v>16</v>
      </c>
      <c r="K1484" s="1" t="s">
        <v>17</v>
      </c>
      <c r="L1484" s="1" t="s">
        <v>17</v>
      </c>
      <c r="M1484" s="1" t="s">
        <v>17</v>
      </c>
      <c r="N1484" s="27" t="s">
        <v>605</v>
      </c>
      <c r="O1484" s="1" t="s">
        <v>16</v>
      </c>
    </row>
    <row r="1485" spans="1:15" x14ac:dyDescent="0.2">
      <c r="A1485" s="9">
        <v>45357</v>
      </c>
      <c r="B1485" s="1" t="s">
        <v>22</v>
      </c>
      <c r="C1485" s="1">
        <v>11</v>
      </c>
      <c r="D1485" s="1">
        <v>3</v>
      </c>
      <c r="E1485" s="5">
        <v>54.35</v>
      </c>
      <c r="F1485" s="1" t="s">
        <v>19</v>
      </c>
      <c r="G1485" s="1">
        <v>2</v>
      </c>
      <c r="H1485" s="1" t="s">
        <v>16</v>
      </c>
      <c r="I1485" s="1" t="s">
        <v>16</v>
      </c>
      <c r="J1485" s="1" t="s">
        <v>16</v>
      </c>
      <c r="K1485" s="1" t="s">
        <v>17</v>
      </c>
      <c r="L1485" s="1" t="s">
        <v>17</v>
      </c>
      <c r="M1485" s="1" t="s">
        <v>17</v>
      </c>
      <c r="N1485" s="27" t="s">
        <v>605</v>
      </c>
      <c r="O1485" s="1" t="s">
        <v>16</v>
      </c>
    </row>
    <row r="1486" spans="1:15" x14ac:dyDescent="0.2">
      <c r="A1486" s="9">
        <v>45357</v>
      </c>
      <c r="B1486" s="1" t="s">
        <v>22</v>
      </c>
      <c r="C1486" s="1">
        <v>12</v>
      </c>
      <c r="D1486" s="1">
        <v>3</v>
      </c>
      <c r="E1486" s="5">
        <v>51.28</v>
      </c>
      <c r="F1486" s="1" t="s">
        <v>18</v>
      </c>
      <c r="G1486" s="1">
        <v>2</v>
      </c>
      <c r="H1486" s="1" t="s">
        <v>16</v>
      </c>
      <c r="I1486" s="1" t="s">
        <v>16</v>
      </c>
      <c r="J1486" s="1" t="s">
        <v>16</v>
      </c>
      <c r="K1486" s="1" t="s">
        <v>17</v>
      </c>
      <c r="L1486" s="1" t="s">
        <v>17</v>
      </c>
      <c r="M1486" s="1" t="s">
        <v>17</v>
      </c>
      <c r="N1486" s="27" t="s">
        <v>605</v>
      </c>
      <c r="O1486" s="1" t="s">
        <v>16</v>
      </c>
    </row>
    <row r="1487" spans="1:15" x14ac:dyDescent="0.2">
      <c r="A1487" s="9">
        <v>45357</v>
      </c>
      <c r="B1487" s="1" t="s">
        <v>22</v>
      </c>
      <c r="C1487" s="1">
        <v>13</v>
      </c>
      <c r="D1487" s="1">
        <v>3</v>
      </c>
      <c r="E1487" s="5">
        <v>35.85</v>
      </c>
      <c r="F1487" s="1" t="s">
        <v>18</v>
      </c>
      <c r="G1487" s="1">
        <v>1</v>
      </c>
      <c r="H1487" s="1" t="s">
        <v>16</v>
      </c>
      <c r="I1487" s="1" t="s">
        <v>16</v>
      </c>
      <c r="J1487" s="1" t="s">
        <v>16</v>
      </c>
      <c r="K1487" s="1" t="s">
        <v>17</v>
      </c>
      <c r="L1487" s="1" t="s">
        <v>17</v>
      </c>
      <c r="M1487" s="1" t="s">
        <v>17</v>
      </c>
      <c r="N1487" s="27" t="s">
        <v>605</v>
      </c>
      <c r="O1487" s="1" t="s">
        <v>16</v>
      </c>
    </row>
    <row r="1488" spans="1:15" x14ac:dyDescent="0.2">
      <c r="A1488" s="9">
        <v>45357</v>
      </c>
      <c r="B1488" s="1" t="s">
        <v>22</v>
      </c>
      <c r="C1488" s="1">
        <v>14</v>
      </c>
      <c r="D1488" s="1">
        <v>3</v>
      </c>
      <c r="E1488" s="5">
        <v>54.04</v>
      </c>
      <c r="F1488" s="1" t="s">
        <v>18</v>
      </c>
      <c r="G1488" s="1">
        <v>2</v>
      </c>
      <c r="H1488" s="1" t="s">
        <v>16</v>
      </c>
      <c r="I1488" s="1" t="s">
        <v>16</v>
      </c>
      <c r="J1488" s="1" t="s">
        <v>16</v>
      </c>
      <c r="K1488" s="1" t="s">
        <v>17</v>
      </c>
      <c r="L1488" s="1" t="s">
        <v>17</v>
      </c>
      <c r="M1488" s="1" t="s">
        <v>17</v>
      </c>
      <c r="N1488" s="27" t="s">
        <v>605</v>
      </c>
      <c r="O1488" s="1" t="s">
        <v>16</v>
      </c>
    </row>
    <row r="1489" spans="1:15" x14ac:dyDescent="0.2">
      <c r="A1489" s="9">
        <v>45357</v>
      </c>
      <c r="B1489" s="1" t="s">
        <v>22</v>
      </c>
      <c r="C1489" s="1">
        <v>15</v>
      </c>
      <c r="D1489" s="1">
        <v>3</v>
      </c>
      <c r="E1489" s="5">
        <v>84.08</v>
      </c>
      <c r="F1489" s="1" t="s">
        <v>18</v>
      </c>
      <c r="G1489" s="1">
        <v>2</v>
      </c>
      <c r="H1489" s="1" t="s">
        <v>16</v>
      </c>
      <c r="I1489" s="1" t="s">
        <v>16</v>
      </c>
      <c r="J1489" s="1" t="s">
        <v>16</v>
      </c>
      <c r="K1489" s="1" t="s">
        <v>17</v>
      </c>
      <c r="L1489" s="1" t="s">
        <v>17</v>
      </c>
      <c r="M1489" s="1" t="s">
        <v>17</v>
      </c>
      <c r="N1489" s="27" t="s">
        <v>605</v>
      </c>
      <c r="O1489" s="1" t="s">
        <v>16</v>
      </c>
    </row>
    <row r="1490" spans="1:15" x14ac:dyDescent="0.2">
      <c r="A1490" s="9">
        <v>45391</v>
      </c>
      <c r="B1490" s="1" t="s">
        <v>22</v>
      </c>
      <c r="C1490" s="1">
        <v>1</v>
      </c>
      <c r="D1490" s="1">
        <v>1</v>
      </c>
      <c r="E1490" s="5">
        <v>56.1</v>
      </c>
      <c r="F1490" s="1" t="s">
        <v>18</v>
      </c>
      <c r="G1490" s="1">
        <v>2</v>
      </c>
      <c r="H1490" s="1" t="s">
        <v>16</v>
      </c>
      <c r="I1490" s="1" t="s">
        <v>16</v>
      </c>
      <c r="J1490" s="1" t="s">
        <v>16</v>
      </c>
      <c r="K1490" s="1" t="s">
        <v>21</v>
      </c>
      <c r="L1490" s="1" t="s">
        <v>17</v>
      </c>
      <c r="M1490" s="1" t="s">
        <v>17</v>
      </c>
      <c r="N1490" s="27" t="s">
        <v>605</v>
      </c>
      <c r="O1490" s="1" t="s">
        <v>16</v>
      </c>
    </row>
    <row r="1491" spans="1:15" x14ac:dyDescent="0.2">
      <c r="A1491" s="9">
        <v>45391</v>
      </c>
      <c r="B1491" s="1" t="s">
        <v>22</v>
      </c>
      <c r="C1491" s="1">
        <v>2</v>
      </c>
      <c r="D1491" s="1">
        <v>1</v>
      </c>
      <c r="E1491" s="5">
        <v>46.75</v>
      </c>
      <c r="F1491" s="1" t="s">
        <v>19</v>
      </c>
      <c r="G1491" s="1">
        <v>2</v>
      </c>
      <c r="H1491" s="1" t="s">
        <v>16</v>
      </c>
      <c r="I1491" s="1" t="s">
        <v>16</v>
      </c>
      <c r="J1491" s="1" t="s">
        <v>16</v>
      </c>
      <c r="K1491" s="1" t="s">
        <v>17</v>
      </c>
      <c r="L1491" s="1" t="s">
        <v>17</v>
      </c>
      <c r="M1491" s="1" t="s">
        <v>17</v>
      </c>
      <c r="N1491" s="27" t="s">
        <v>605</v>
      </c>
      <c r="O1491" s="1" t="s">
        <v>16</v>
      </c>
    </row>
    <row r="1492" spans="1:15" x14ac:dyDescent="0.2">
      <c r="A1492" s="9">
        <v>45391</v>
      </c>
      <c r="B1492" s="1" t="s">
        <v>22</v>
      </c>
      <c r="C1492" s="1">
        <v>3</v>
      </c>
      <c r="D1492" s="1">
        <v>1</v>
      </c>
      <c r="E1492" s="5">
        <v>48.32</v>
      </c>
      <c r="F1492" s="1" t="s">
        <v>18</v>
      </c>
      <c r="G1492" s="1">
        <v>2</v>
      </c>
      <c r="H1492" s="1" t="s">
        <v>16</v>
      </c>
      <c r="I1492" s="1" t="s">
        <v>16</v>
      </c>
      <c r="J1492" s="1" t="s">
        <v>16</v>
      </c>
      <c r="K1492" s="1" t="s">
        <v>17</v>
      </c>
      <c r="L1492" s="1" t="s">
        <v>17</v>
      </c>
      <c r="M1492" s="1" t="s">
        <v>17</v>
      </c>
      <c r="N1492" s="27" t="s">
        <v>605</v>
      </c>
      <c r="O1492" s="1" t="s">
        <v>16</v>
      </c>
    </row>
    <row r="1493" spans="1:15" x14ac:dyDescent="0.2">
      <c r="A1493" s="9">
        <v>45391</v>
      </c>
      <c r="B1493" s="1" t="s">
        <v>22</v>
      </c>
      <c r="C1493" s="1">
        <v>4</v>
      </c>
      <c r="D1493" s="1">
        <v>1</v>
      </c>
      <c r="E1493" s="5">
        <v>39.630000000000003</v>
      </c>
      <c r="F1493" s="1" t="s">
        <v>16</v>
      </c>
      <c r="G1493" s="1">
        <v>4</v>
      </c>
      <c r="H1493" s="1" t="s">
        <v>16</v>
      </c>
      <c r="I1493" s="1" t="s">
        <v>16</v>
      </c>
      <c r="J1493" s="1" t="s">
        <v>16</v>
      </c>
      <c r="K1493" s="1" t="s">
        <v>17</v>
      </c>
      <c r="L1493" s="1" t="s">
        <v>17</v>
      </c>
      <c r="M1493" s="1" t="s">
        <v>17</v>
      </c>
      <c r="N1493" s="27" t="s">
        <v>605</v>
      </c>
      <c r="O1493" s="1" t="s">
        <v>16</v>
      </c>
    </row>
    <row r="1494" spans="1:15" x14ac:dyDescent="0.2">
      <c r="A1494" s="9">
        <v>45391</v>
      </c>
      <c r="B1494" s="1" t="s">
        <v>22</v>
      </c>
      <c r="C1494" s="1">
        <v>5</v>
      </c>
      <c r="D1494" s="1">
        <v>1</v>
      </c>
      <c r="E1494" s="5">
        <v>44.06</v>
      </c>
      <c r="F1494" s="1" t="s">
        <v>16</v>
      </c>
      <c r="G1494" s="1">
        <v>4</v>
      </c>
      <c r="H1494" s="1" t="s">
        <v>16</v>
      </c>
      <c r="I1494" s="1" t="s">
        <v>16</v>
      </c>
      <c r="J1494" s="1" t="s">
        <v>16</v>
      </c>
      <c r="K1494" s="1" t="s">
        <v>17</v>
      </c>
      <c r="L1494" s="1" t="s">
        <v>17</v>
      </c>
      <c r="M1494" s="1" t="s">
        <v>17</v>
      </c>
      <c r="N1494" s="27" t="s">
        <v>605</v>
      </c>
      <c r="O1494" s="1" t="s">
        <v>16</v>
      </c>
    </row>
    <row r="1495" spans="1:15" x14ac:dyDescent="0.2">
      <c r="A1495" s="9">
        <v>45391</v>
      </c>
      <c r="B1495" s="1" t="s">
        <v>22</v>
      </c>
      <c r="C1495" s="1">
        <v>6</v>
      </c>
      <c r="D1495" s="1">
        <v>2</v>
      </c>
      <c r="E1495" s="5">
        <v>59.26</v>
      </c>
      <c r="F1495" s="1" t="s">
        <v>18</v>
      </c>
      <c r="G1495" s="1">
        <v>2</v>
      </c>
      <c r="H1495" s="1" t="s">
        <v>16</v>
      </c>
      <c r="I1495" s="1" t="s">
        <v>16</v>
      </c>
      <c r="J1495" s="1" t="s">
        <v>16</v>
      </c>
      <c r="K1495" s="1" t="s">
        <v>17</v>
      </c>
      <c r="L1495" s="1" t="s">
        <v>17</v>
      </c>
      <c r="M1495" s="1" t="s">
        <v>17</v>
      </c>
      <c r="N1495" s="27" t="s">
        <v>605</v>
      </c>
      <c r="O1495" s="1" t="s">
        <v>16</v>
      </c>
    </row>
    <row r="1496" spans="1:15" x14ac:dyDescent="0.2">
      <c r="A1496" s="9">
        <v>45391</v>
      </c>
      <c r="B1496" s="1" t="s">
        <v>22</v>
      </c>
      <c r="C1496" s="1">
        <v>7</v>
      </c>
      <c r="D1496" s="1">
        <v>2</v>
      </c>
      <c r="E1496" s="5">
        <v>47.77</v>
      </c>
      <c r="F1496" s="1" t="s">
        <v>19</v>
      </c>
      <c r="G1496" s="1">
        <v>2</v>
      </c>
      <c r="H1496" s="1" t="s">
        <v>16</v>
      </c>
      <c r="I1496" s="1" t="s">
        <v>16</v>
      </c>
      <c r="J1496" s="1" t="s">
        <v>16</v>
      </c>
      <c r="K1496" s="1" t="s">
        <v>17</v>
      </c>
      <c r="L1496" s="1" t="s">
        <v>17</v>
      </c>
      <c r="M1496" s="1" t="s">
        <v>17</v>
      </c>
      <c r="N1496" s="27" t="s">
        <v>605</v>
      </c>
      <c r="O1496" s="1" t="s">
        <v>16</v>
      </c>
    </row>
    <row r="1497" spans="1:15" x14ac:dyDescent="0.2">
      <c r="A1497" s="9">
        <v>45391</v>
      </c>
      <c r="B1497" s="1" t="s">
        <v>22</v>
      </c>
      <c r="C1497" s="1">
        <v>8</v>
      </c>
      <c r="D1497" s="1">
        <v>2</v>
      </c>
      <c r="E1497" s="5">
        <v>49.5</v>
      </c>
      <c r="F1497" s="1" t="s">
        <v>18</v>
      </c>
      <c r="G1497" s="1">
        <v>2</v>
      </c>
      <c r="H1497" s="1" t="s">
        <v>16</v>
      </c>
      <c r="I1497" s="1" t="s">
        <v>16</v>
      </c>
      <c r="J1497" s="1" t="s">
        <v>16</v>
      </c>
      <c r="K1497" s="1" t="s">
        <v>17</v>
      </c>
      <c r="L1497" s="1" t="s">
        <v>17</v>
      </c>
      <c r="M1497" s="1" t="s">
        <v>17</v>
      </c>
      <c r="N1497" s="27" t="s">
        <v>605</v>
      </c>
      <c r="O1497" s="1" t="s">
        <v>16</v>
      </c>
    </row>
    <row r="1498" spans="1:15" x14ac:dyDescent="0.2">
      <c r="A1498" s="9">
        <v>45391</v>
      </c>
      <c r="B1498" s="1" t="s">
        <v>22</v>
      </c>
      <c r="C1498" s="1">
        <v>9</v>
      </c>
      <c r="D1498" s="1">
        <v>2</v>
      </c>
      <c r="E1498" s="5">
        <v>53.05</v>
      </c>
      <c r="F1498" s="1" t="s">
        <v>19</v>
      </c>
      <c r="G1498" s="1">
        <v>2</v>
      </c>
      <c r="H1498" s="1" t="s">
        <v>16</v>
      </c>
      <c r="I1498" s="1" t="s">
        <v>16</v>
      </c>
      <c r="J1498" s="1" t="s">
        <v>16</v>
      </c>
      <c r="K1498" s="1" t="s">
        <v>17</v>
      </c>
      <c r="L1498" s="1" t="s">
        <v>17</v>
      </c>
      <c r="M1498" s="1" t="s">
        <v>17</v>
      </c>
      <c r="N1498" s="27" t="s">
        <v>605</v>
      </c>
      <c r="O1498" s="1" t="s">
        <v>16</v>
      </c>
    </row>
    <row r="1499" spans="1:15" x14ac:dyDescent="0.2">
      <c r="A1499" s="9">
        <v>45391</v>
      </c>
      <c r="B1499" s="1" t="s">
        <v>22</v>
      </c>
      <c r="C1499" s="1">
        <v>10</v>
      </c>
      <c r="D1499" s="1">
        <v>2</v>
      </c>
      <c r="E1499" s="5">
        <v>44.1</v>
      </c>
      <c r="F1499" s="1" t="s">
        <v>19</v>
      </c>
      <c r="G1499" s="1">
        <v>2</v>
      </c>
      <c r="H1499" s="1" t="s">
        <v>16</v>
      </c>
      <c r="I1499" s="1" t="s">
        <v>16</v>
      </c>
      <c r="J1499" s="1" t="s">
        <v>16</v>
      </c>
      <c r="K1499" s="1" t="s">
        <v>21</v>
      </c>
      <c r="L1499" s="1" t="s">
        <v>17</v>
      </c>
      <c r="M1499" s="1" t="s">
        <v>17</v>
      </c>
      <c r="N1499" s="27" t="s">
        <v>605</v>
      </c>
      <c r="O1499" s="1" t="s">
        <v>16</v>
      </c>
    </row>
    <row r="1500" spans="1:15" x14ac:dyDescent="0.2">
      <c r="A1500" s="9">
        <v>45391</v>
      </c>
      <c r="B1500" s="1" t="s">
        <v>22</v>
      </c>
      <c r="C1500" s="1">
        <v>11</v>
      </c>
      <c r="D1500" s="1">
        <v>3</v>
      </c>
      <c r="E1500" s="5">
        <v>38.51</v>
      </c>
      <c r="F1500" s="1" t="s">
        <v>18</v>
      </c>
      <c r="G1500" s="1">
        <v>2</v>
      </c>
      <c r="H1500" s="1" t="s">
        <v>16</v>
      </c>
      <c r="I1500" s="1" t="s">
        <v>16</v>
      </c>
      <c r="J1500" s="1" t="s">
        <v>16</v>
      </c>
      <c r="K1500" s="1" t="s">
        <v>17</v>
      </c>
      <c r="L1500" s="1" t="s">
        <v>17</v>
      </c>
      <c r="M1500" s="1" t="s">
        <v>17</v>
      </c>
      <c r="N1500" s="27" t="s">
        <v>605</v>
      </c>
      <c r="O1500" s="1" t="s">
        <v>16</v>
      </c>
    </row>
    <row r="1501" spans="1:15" x14ac:dyDescent="0.2">
      <c r="A1501" s="9">
        <v>45391</v>
      </c>
      <c r="B1501" s="1" t="s">
        <v>22</v>
      </c>
      <c r="C1501" s="1">
        <v>12</v>
      </c>
      <c r="D1501" s="1">
        <v>3</v>
      </c>
      <c r="E1501" s="5">
        <v>47.56</v>
      </c>
      <c r="F1501" s="1" t="s">
        <v>18</v>
      </c>
      <c r="G1501" s="1">
        <v>2</v>
      </c>
      <c r="H1501" s="1" t="s">
        <v>16</v>
      </c>
      <c r="I1501" s="1" t="s">
        <v>16</v>
      </c>
      <c r="J1501" s="1" t="s">
        <v>16</v>
      </c>
      <c r="K1501" s="1" t="s">
        <v>17</v>
      </c>
      <c r="L1501" s="1" t="s">
        <v>17</v>
      </c>
      <c r="M1501" s="1" t="s">
        <v>17</v>
      </c>
      <c r="N1501" s="27" t="s">
        <v>605</v>
      </c>
      <c r="O1501" s="1" t="s">
        <v>16</v>
      </c>
    </row>
    <row r="1502" spans="1:15" x14ac:dyDescent="0.2">
      <c r="A1502" s="9">
        <v>45391</v>
      </c>
      <c r="B1502" s="1" t="s">
        <v>22</v>
      </c>
      <c r="C1502" s="1">
        <v>13</v>
      </c>
      <c r="D1502" s="1">
        <v>3</v>
      </c>
      <c r="E1502" s="5">
        <v>42.77</v>
      </c>
      <c r="F1502" s="1" t="s">
        <v>18</v>
      </c>
      <c r="G1502" s="1">
        <v>2</v>
      </c>
      <c r="H1502" s="1" t="s">
        <v>16</v>
      </c>
      <c r="I1502" s="1" t="s">
        <v>16</v>
      </c>
      <c r="J1502" s="1" t="s">
        <v>16</v>
      </c>
      <c r="K1502" s="1" t="s">
        <v>21</v>
      </c>
      <c r="L1502" s="1" t="s">
        <v>17</v>
      </c>
      <c r="M1502" s="1" t="s">
        <v>17</v>
      </c>
      <c r="N1502" s="27" t="s">
        <v>605</v>
      </c>
      <c r="O1502" s="1" t="s">
        <v>16</v>
      </c>
    </row>
    <row r="1503" spans="1:15" x14ac:dyDescent="0.2">
      <c r="A1503" s="9">
        <v>45391</v>
      </c>
      <c r="B1503" s="1" t="s">
        <v>22</v>
      </c>
      <c r="C1503" s="1">
        <v>14</v>
      </c>
      <c r="D1503" s="1">
        <v>3</v>
      </c>
      <c r="E1503" s="5">
        <v>49.83</v>
      </c>
      <c r="F1503" s="1" t="s">
        <v>18</v>
      </c>
      <c r="G1503" s="1">
        <v>2</v>
      </c>
      <c r="H1503" s="1" t="s">
        <v>16</v>
      </c>
      <c r="I1503" s="1" t="s">
        <v>16</v>
      </c>
      <c r="J1503" s="1" t="s">
        <v>16</v>
      </c>
      <c r="K1503" s="1" t="s">
        <v>17</v>
      </c>
      <c r="L1503" s="1" t="s">
        <v>17</v>
      </c>
      <c r="M1503" s="1" t="s">
        <v>17</v>
      </c>
      <c r="N1503" s="27" t="s">
        <v>605</v>
      </c>
      <c r="O1503" s="1" t="s">
        <v>16</v>
      </c>
    </row>
    <row r="1504" spans="1:15" x14ac:dyDescent="0.2">
      <c r="A1504" s="9">
        <v>45391</v>
      </c>
      <c r="B1504" s="1" t="s">
        <v>22</v>
      </c>
      <c r="C1504" s="1">
        <v>15</v>
      </c>
      <c r="D1504" s="1">
        <v>3</v>
      </c>
      <c r="E1504" s="5">
        <v>35.700000000000003</v>
      </c>
      <c r="F1504" s="1" t="s">
        <v>19</v>
      </c>
      <c r="G1504" s="1">
        <v>2</v>
      </c>
      <c r="H1504" s="1" t="s">
        <v>16</v>
      </c>
      <c r="I1504" s="1" t="s">
        <v>16</v>
      </c>
      <c r="J1504" s="1" t="s">
        <v>16</v>
      </c>
      <c r="K1504" s="1" t="s">
        <v>17</v>
      </c>
      <c r="L1504" s="1" t="s">
        <v>17</v>
      </c>
      <c r="M1504" s="1" t="s">
        <v>17</v>
      </c>
      <c r="N1504" s="27" t="s">
        <v>605</v>
      </c>
      <c r="O1504" s="1" t="s">
        <v>16</v>
      </c>
    </row>
    <row r="1505" spans="1:15" x14ac:dyDescent="0.2">
      <c r="A1505" s="9">
        <v>45418</v>
      </c>
      <c r="B1505" s="1" t="str">
        <f>IFERROR(VLOOKUP(MID(INDEX(Database_dermo!$A:$I, MATCH($O1505, Database_dermo!$A:$A, 0), 2),20,3),Notes!A$1:C$9,3,TRUE), "Not Found")</f>
        <v>LX-N</v>
      </c>
      <c r="C1505" s="1" t="str">
        <f>IFERROR(RIGHT(INDEX(Database_dermo!$A:$I, MATCH($O1505, Database_dermo!$A:$A, 0), 1),2), "Not Found")</f>
        <v>01</v>
      </c>
      <c r="D1505" s="1">
        <f>IFERROR(VLOOKUP(MID(INDEX(Database_dermo!$A:$I, MATCH($O1505, Database_dermo!$A:$A, 0), 2),20,3),Notes!A$1:C$9,2,TRUE), "Not Found")</f>
        <v>1</v>
      </c>
      <c r="E1505" s="1">
        <f>IFERROR(INDEX(Database_dermo!$A:$I, MATCH($O1505, Database_dermo!$A:$A, 0), 3), "Not Found")</f>
        <v>66.599999999999994</v>
      </c>
      <c r="F1505" s="1" t="str">
        <f>IFERROR(INDEX(Database_repro!$A:$F, MATCH($O1505, Database_repro!$A:$A, 0), 3), "Not Found")</f>
        <v>F</v>
      </c>
      <c r="G1505" s="1">
        <f>IFERROR(INDEX(Database_repro!$A:$F, MATCH($O1505, Database_repro!$A:$A, 0), 4), "Not Found")</f>
        <v>2</v>
      </c>
      <c r="H1505" s="1" t="s">
        <v>16</v>
      </c>
      <c r="I1505" s="1" t="s">
        <v>16</v>
      </c>
      <c r="J1505" s="1" t="s">
        <v>16</v>
      </c>
      <c r="K1505" s="1" t="str">
        <f>IFERROR(INDEX(Database_repro!$A:$F, MATCH($O1505, Database_repro!$A:$A, 0), 5), "Not Found")</f>
        <v>Yes</v>
      </c>
      <c r="L1505" s="4" t="s">
        <v>17</v>
      </c>
      <c r="M1505" s="1" t="str">
        <f>IFERROR(IF(INDEX(Database_repro!$A:$F, MATCH($O1505, Database_repro!$A:$A, 0), 6)="N","No",IF(INDEX(Database_repro!$A:$F, MATCH($O1505, Database_repro!$A:$A, 0), 6)="Y","Yes","Z")), "Not Found")</f>
        <v>No</v>
      </c>
      <c r="N1505" s="27" t="s">
        <v>605</v>
      </c>
      <c r="O1505" t="s">
        <v>50</v>
      </c>
    </row>
    <row r="1506" spans="1:15" x14ac:dyDescent="0.2">
      <c r="A1506" s="9">
        <v>45418</v>
      </c>
      <c r="B1506" s="1" t="str">
        <f>IFERROR(VLOOKUP(MID(INDEX(Database_dermo!$A:$I, MATCH($O1506, Database_dermo!$A:$A, 0), 2),20,3),Notes!A$1:C$9,3,TRUE), "Not Found")</f>
        <v>LX-N</v>
      </c>
      <c r="C1506" s="1" t="str">
        <f>IFERROR(RIGHT(INDEX(Database_dermo!$A:$I, MATCH($O1506, Database_dermo!$A:$A, 0), 1),2), "Not Found")</f>
        <v>02</v>
      </c>
      <c r="D1506" s="1">
        <f>IFERROR(VLOOKUP(MID(INDEX(Database_dermo!$A:$I, MATCH($O1506, Database_dermo!$A:$A, 0), 2),20,3),Notes!A$1:C$9,2,TRUE), "Not Found")</f>
        <v>1</v>
      </c>
      <c r="E1506" s="1">
        <f>IFERROR(INDEX(Database_dermo!$A:$I, MATCH($O1506, Database_dermo!$A:$A, 0), 3), "Not Found")</f>
        <v>69.069999999999993</v>
      </c>
      <c r="F1506" s="1" t="str">
        <f>IFERROR(INDEX(Database_repro!$A:$F, MATCH($O1506, Database_repro!$A:$A, 0), 3), "Not Found")</f>
        <v>F</v>
      </c>
      <c r="G1506" s="1">
        <f>IFERROR(INDEX(Database_repro!$A:$F, MATCH($O1506, Database_repro!$A:$A, 0), 4), "Not Found")</f>
        <v>2</v>
      </c>
      <c r="H1506" s="1" t="s">
        <v>16</v>
      </c>
      <c r="I1506" s="1" t="s">
        <v>16</v>
      </c>
      <c r="J1506" s="1" t="s">
        <v>16</v>
      </c>
      <c r="K1506" s="1" t="str">
        <f>IFERROR(INDEX(Database_repro!$A:$F, MATCH($O1506, Database_repro!$A:$A, 0), 5), "Not Found")</f>
        <v>No</v>
      </c>
      <c r="L1506" s="4" t="s">
        <v>17</v>
      </c>
      <c r="M1506" s="1" t="str">
        <f>IFERROR(IF(INDEX(Database_repro!$A:$F, MATCH($O1506, Database_repro!$A:$A, 0), 6)="N","No",IF(INDEX(Database_repro!$A:$F, MATCH($O1506, Database_repro!$A:$A, 0), 6)="Y","Yes","Z")), "Not Found")</f>
        <v>No</v>
      </c>
      <c r="N1506" s="27" t="s">
        <v>605</v>
      </c>
      <c r="O1506" t="s">
        <v>53</v>
      </c>
    </row>
    <row r="1507" spans="1:15" x14ac:dyDescent="0.2">
      <c r="A1507" s="9">
        <v>45418</v>
      </c>
      <c r="B1507" s="1" t="str">
        <f>IFERROR(VLOOKUP(MID(INDEX(Database_dermo!$A:$I, MATCH($O1507, Database_dermo!$A:$A, 0), 2),20,3),Notes!A$1:C$9,3,TRUE), "Not Found")</f>
        <v>LX-N</v>
      </c>
      <c r="C1507" s="1" t="str">
        <f>IFERROR(RIGHT(INDEX(Database_dermo!$A:$I, MATCH($O1507, Database_dermo!$A:$A, 0), 1),2), "Not Found")</f>
        <v>03</v>
      </c>
      <c r="D1507" s="1">
        <f>IFERROR(VLOOKUP(MID(INDEX(Database_dermo!$A:$I, MATCH($O1507, Database_dermo!$A:$A, 0), 2),20,3),Notes!A$1:C$9,2,TRUE), "Not Found")</f>
        <v>1</v>
      </c>
      <c r="E1507" s="1">
        <f>IFERROR(INDEX(Database_dermo!$A:$I, MATCH($O1507, Database_dermo!$A:$A, 0), 3), "Not Found")</f>
        <v>59.71</v>
      </c>
      <c r="F1507" s="1" t="str">
        <f>IFERROR(INDEX(Database_repro!$A:$F, MATCH($O1507, Database_repro!$A:$A, 0), 3), "Not Found")</f>
        <v>M</v>
      </c>
      <c r="G1507" s="1">
        <f>IFERROR(INDEX(Database_repro!$A:$F, MATCH($O1507, Database_repro!$A:$A, 0), 4), "Not Found")</f>
        <v>2</v>
      </c>
      <c r="H1507" s="1" t="s">
        <v>16</v>
      </c>
      <c r="I1507" s="1" t="s">
        <v>16</v>
      </c>
      <c r="J1507" s="1" t="s">
        <v>16</v>
      </c>
      <c r="K1507" s="1" t="str">
        <f>IFERROR(INDEX(Database_repro!$A:$F, MATCH($O1507, Database_repro!$A:$A, 0), 5), "Not Found")</f>
        <v>Yes</v>
      </c>
      <c r="L1507" s="4" t="s">
        <v>17</v>
      </c>
      <c r="M1507" s="1" t="str">
        <f>IFERROR(IF(INDEX(Database_repro!$A:$F, MATCH($O1507, Database_repro!$A:$A, 0), 6)="N","No",IF(INDEX(Database_repro!$A:$F, MATCH($O1507, Database_repro!$A:$A, 0), 6)="Y","Yes","Z")), "Not Found")</f>
        <v>No</v>
      </c>
      <c r="N1507" s="27" t="s">
        <v>605</v>
      </c>
      <c r="O1507" t="s">
        <v>54</v>
      </c>
    </row>
    <row r="1508" spans="1:15" x14ac:dyDescent="0.2">
      <c r="A1508" s="9">
        <v>45418</v>
      </c>
      <c r="B1508" s="1" t="str">
        <f>IFERROR(VLOOKUP(MID(INDEX(Database_dermo!$A:$I, MATCH($O1508, Database_dermo!$A:$A, 0), 2),20,3),Notes!A$1:C$9,3,TRUE), "Not Found")</f>
        <v>LX-N</v>
      </c>
      <c r="C1508" s="1" t="str">
        <f>IFERROR(RIGHT(INDEX(Database_dermo!$A:$I, MATCH($O1508, Database_dermo!$A:$A, 0), 1),2), "Not Found")</f>
        <v>04</v>
      </c>
      <c r="D1508" s="1">
        <f>IFERROR(VLOOKUP(MID(INDEX(Database_dermo!$A:$I, MATCH($O1508, Database_dermo!$A:$A, 0), 2),20,3),Notes!A$1:C$9,2,TRUE), "Not Found")</f>
        <v>1</v>
      </c>
      <c r="E1508" s="1">
        <f>IFERROR(INDEX(Database_dermo!$A:$I, MATCH($O1508, Database_dermo!$A:$A, 0), 3), "Not Found")</f>
        <v>38.619999999999997</v>
      </c>
      <c r="F1508" s="1" t="str">
        <f>IFERROR(INDEX(Database_repro!$A:$F, MATCH($O1508, Database_repro!$A:$A, 0), 3), "Not Found")</f>
        <v>M</v>
      </c>
      <c r="G1508" s="1">
        <f>IFERROR(INDEX(Database_repro!$A:$F, MATCH($O1508, Database_repro!$A:$A, 0), 4), "Not Found")</f>
        <v>2</v>
      </c>
      <c r="H1508" s="1" t="s">
        <v>16</v>
      </c>
      <c r="I1508" s="1" t="s">
        <v>16</v>
      </c>
      <c r="J1508" s="1" t="s">
        <v>16</v>
      </c>
      <c r="K1508" s="1" t="str">
        <f>IFERROR(INDEX(Database_repro!$A:$F, MATCH($O1508, Database_repro!$A:$A, 0), 5), "Not Found")</f>
        <v>Yes</v>
      </c>
      <c r="L1508" s="4" t="s">
        <v>17</v>
      </c>
      <c r="M1508" s="1" t="str">
        <f>IFERROR(IF(INDEX(Database_repro!$A:$F, MATCH($O1508, Database_repro!$A:$A, 0), 6)="N","No",IF(INDEX(Database_repro!$A:$F, MATCH($O1508, Database_repro!$A:$A, 0), 6)="Y","Yes","Z")), "Not Found")</f>
        <v>No</v>
      </c>
      <c r="N1508" s="27" t="s">
        <v>605</v>
      </c>
      <c r="O1508" t="s">
        <v>55</v>
      </c>
    </row>
    <row r="1509" spans="1:15" x14ac:dyDescent="0.2">
      <c r="A1509" s="9">
        <v>45418</v>
      </c>
      <c r="B1509" s="1" t="str">
        <f>IFERROR(VLOOKUP(MID(INDEX(Database_dermo!$A:$I, MATCH($O1509, Database_dermo!$A:$A, 0), 2),20,3),Notes!A$1:C$9,3,TRUE), "Not Found")</f>
        <v>LX-N</v>
      </c>
      <c r="C1509" s="1" t="str">
        <f>IFERROR(RIGHT(INDEX(Database_dermo!$A:$I, MATCH($O1509, Database_dermo!$A:$A, 0), 1),2), "Not Found")</f>
        <v>05</v>
      </c>
      <c r="D1509" s="1">
        <f>IFERROR(VLOOKUP(MID(INDEX(Database_dermo!$A:$I, MATCH($O1509, Database_dermo!$A:$A, 0), 2),20,3),Notes!A$1:C$9,2,TRUE), "Not Found")</f>
        <v>1</v>
      </c>
      <c r="E1509" s="1">
        <f>IFERROR(INDEX(Database_dermo!$A:$I, MATCH($O1509, Database_dermo!$A:$A, 0), 3), "Not Found")</f>
        <v>33.44</v>
      </c>
      <c r="F1509" s="1" t="str">
        <f>IFERROR(INDEX(Database_repro!$A:$F, MATCH($O1509, Database_repro!$A:$A, 0), 3), "Not Found")</f>
        <v>M</v>
      </c>
      <c r="G1509" s="1">
        <f>IFERROR(INDEX(Database_repro!$A:$F, MATCH($O1509, Database_repro!$A:$A, 0), 4), "Not Found")</f>
        <v>2</v>
      </c>
      <c r="H1509" s="1" t="s">
        <v>16</v>
      </c>
      <c r="I1509" s="1" t="s">
        <v>16</v>
      </c>
      <c r="J1509" s="1" t="s">
        <v>16</v>
      </c>
      <c r="K1509" s="1" t="str">
        <f>IFERROR(INDEX(Database_repro!$A:$F, MATCH($O1509, Database_repro!$A:$A, 0), 5), "Not Found")</f>
        <v>No</v>
      </c>
      <c r="L1509" s="4" t="s">
        <v>17</v>
      </c>
      <c r="M1509" s="1" t="str">
        <f>IFERROR(IF(INDEX(Database_repro!$A:$F, MATCH($O1509, Database_repro!$A:$A, 0), 6)="N","No",IF(INDEX(Database_repro!$A:$F, MATCH($O1509, Database_repro!$A:$A, 0), 6)="Y","Yes","Z")), "Not Found")</f>
        <v>No</v>
      </c>
      <c r="N1509" s="27" t="s">
        <v>605</v>
      </c>
      <c r="O1509" t="s">
        <v>56</v>
      </c>
    </row>
    <row r="1510" spans="1:15" x14ac:dyDescent="0.2">
      <c r="A1510" s="9">
        <v>45418</v>
      </c>
      <c r="B1510" s="1" t="str">
        <f>IFERROR(VLOOKUP(MID(INDEX(Database_dermo!$A:$I, MATCH($O1510, Database_dermo!$A:$A, 0), 2),20,3),Notes!A$1:C$9,3,TRUE), "Not Found")</f>
        <v>LX-N</v>
      </c>
      <c r="C1510" s="1" t="str">
        <f>IFERROR(RIGHT(INDEX(Database_dermo!$A:$I, MATCH($O1510, Database_dermo!$A:$A, 0), 1),2), "Not Found")</f>
        <v>06</v>
      </c>
      <c r="D1510" s="1">
        <f>IFERROR(VLOOKUP(MID(INDEX(Database_dermo!$A:$I, MATCH($O1510, Database_dermo!$A:$A, 0), 2),20,3),Notes!A$1:C$9,2,TRUE), "Not Found")</f>
        <v>2</v>
      </c>
      <c r="E1510" s="1">
        <f>IFERROR(INDEX(Database_dermo!$A:$I, MATCH($O1510, Database_dermo!$A:$A, 0), 3), "Not Found")</f>
        <v>44.37</v>
      </c>
      <c r="F1510" s="1" t="str">
        <f>IFERROR(INDEX(Database_repro!$A:$F, MATCH($O1510, Database_repro!$A:$A, 0), 3), "Not Found")</f>
        <v>F</v>
      </c>
      <c r="G1510" s="1">
        <f>IFERROR(INDEX(Database_repro!$A:$F, MATCH($O1510, Database_repro!$A:$A, 0), 4), "Not Found")</f>
        <v>2</v>
      </c>
      <c r="H1510" s="1" t="s">
        <v>16</v>
      </c>
      <c r="I1510" s="1" t="s">
        <v>16</v>
      </c>
      <c r="J1510" s="1" t="s">
        <v>16</v>
      </c>
      <c r="K1510" s="1" t="str">
        <f>IFERROR(INDEX(Database_repro!$A:$F, MATCH($O1510, Database_repro!$A:$A, 0), 5), "Not Found")</f>
        <v>No</v>
      </c>
      <c r="L1510" s="4" t="s">
        <v>17</v>
      </c>
      <c r="M1510" s="1" t="str">
        <f>IFERROR(IF(INDEX(Database_repro!$A:$F, MATCH($O1510, Database_repro!$A:$A, 0), 6)="N","No",IF(INDEX(Database_repro!$A:$F, MATCH($O1510, Database_repro!$A:$A, 0), 6)="Y","Yes","Z")), "Not Found")</f>
        <v>No</v>
      </c>
      <c r="N1510" s="27" t="s">
        <v>605</v>
      </c>
      <c r="O1510" t="s">
        <v>57</v>
      </c>
    </row>
    <row r="1511" spans="1:15" x14ac:dyDescent="0.2">
      <c r="A1511" s="9">
        <v>45418</v>
      </c>
      <c r="B1511" s="1" t="str">
        <f>IFERROR(VLOOKUP(MID(INDEX(Database_dermo!$A:$I, MATCH($O1511, Database_dermo!$A:$A, 0), 2),20,3),Notes!A$1:C$9,3,TRUE), "Not Found")</f>
        <v>LX-N</v>
      </c>
      <c r="C1511" s="1" t="str">
        <f>IFERROR(RIGHT(INDEX(Database_dermo!$A:$I, MATCH($O1511, Database_dermo!$A:$A, 0), 1),2), "Not Found")</f>
        <v>07</v>
      </c>
      <c r="D1511" s="1">
        <f>IFERROR(VLOOKUP(MID(INDEX(Database_dermo!$A:$I, MATCH($O1511, Database_dermo!$A:$A, 0), 2),20,3),Notes!A$1:C$9,2,TRUE), "Not Found")</f>
        <v>2</v>
      </c>
      <c r="E1511" s="1">
        <f>IFERROR(INDEX(Database_dermo!$A:$I, MATCH($O1511, Database_dermo!$A:$A, 0), 3), "Not Found")</f>
        <v>47.51</v>
      </c>
      <c r="F1511" s="1" t="str">
        <f>IFERROR(INDEX(Database_repro!$A:$F, MATCH($O1511, Database_repro!$A:$A, 0), 3), "Not Found")</f>
        <v>F</v>
      </c>
      <c r="G1511" s="1">
        <f>IFERROR(INDEX(Database_repro!$A:$F, MATCH($O1511, Database_repro!$A:$A, 0), 4), "Not Found")</f>
        <v>2</v>
      </c>
      <c r="H1511" s="1" t="s">
        <v>16</v>
      </c>
      <c r="I1511" s="1" t="s">
        <v>16</v>
      </c>
      <c r="J1511" s="1" t="s">
        <v>16</v>
      </c>
      <c r="K1511" s="1" t="str">
        <f>IFERROR(INDEX(Database_repro!$A:$F, MATCH($O1511, Database_repro!$A:$A, 0), 5), "Not Found")</f>
        <v>No</v>
      </c>
      <c r="L1511" s="4" t="s">
        <v>17</v>
      </c>
      <c r="M1511" s="1" t="str">
        <f>IFERROR(IF(INDEX(Database_repro!$A:$F, MATCH($O1511, Database_repro!$A:$A, 0), 6)="N","No",IF(INDEX(Database_repro!$A:$F, MATCH($O1511, Database_repro!$A:$A, 0), 6)="Y","Yes","Z")), "Not Found")</f>
        <v>No</v>
      </c>
      <c r="N1511" s="27" t="s">
        <v>605</v>
      </c>
      <c r="O1511" t="s">
        <v>60</v>
      </c>
    </row>
    <row r="1512" spans="1:15" x14ac:dyDescent="0.2">
      <c r="A1512" s="9">
        <v>45418</v>
      </c>
      <c r="B1512" s="1" t="str">
        <f>IFERROR(VLOOKUP(MID(INDEX(Database_dermo!$A:$I, MATCH($O1512, Database_dermo!$A:$A, 0), 2),20,3),Notes!A$1:C$9,3,TRUE), "Not Found")</f>
        <v>LX-N</v>
      </c>
      <c r="C1512" s="1" t="str">
        <f>IFERROR(RIGHT(INDEX(Database_dermo!$A:$I, MATCH($O1512, Database_dermo!$A:$A, 0), 1),2), "Not Found")</f>
        <v>08</v>
      </c>
      <c r="D1512" s="1">
        <f>IFERROR(VLOOKUP(MID(INDEX(Database_dermo!$A:$I, MATCH($O1512, Database_dermo!$A:$A, 0), 2),20,3),Notes!A$1:C$9,2,TRUE), "Not Found")</f>
        <v>2</v>
      </c>
      <c r="E1512" s="1">
        <f>IFERROR(INDEX(Database_dermo!$A:$I, MATCH($O1512, Database_dermo!$A:$A, 0), 3), "Not Found")</f>
        <v>42.9</v>
      </c>
      <c r="F1512" s="1" t="str">
        <f>IFERROR(INDEX(Database_repro!$A:$F, MATCH($O1512, Database_repro!$A:$A, 0), 3), "Not Found")</f>
        <v>M</v>
      </c>
      <c r="G1512" s="1">
        <f>IFERROR(INDEX(Database_repro!$A:$F, MATCH($O1512, Database_repro!$A:$A, 0), 4), "Not Found")</f>
        <v>2</v>
      </c>
      <c r="H1512" s="1" t="s">
        <v>16</v>
      </c>
      <c r="I1512" s="1" t="s">
        <v>16</v>
      </c>
      <c r="J1512" s="1" t="s">
        <v>16</v>
      </c>
      <c r="K1512" s="1" t="str">
        <f>IFERROR(INDEX(Database_repro!$A:$F, MATCH($O1512, Database_repro!$A:$A, 0), 5), "Not Found")</f>
        <v>No</v>
      </c>
      <c r="L1512" s="4" t="s">
        <v>17</v>
      </c>
      <c r="M1512" s="1" t="str">
        <f>IFERROR(IF(INDEX(Database_repro!$A:$F, MATCH($O1512, Database_repro!$A:$A, 0), 6)="N","No",IF(INDEX(Database_repro!$A:$F, MATCH($O1512, Database_repro!$A:$A, 0), 6)="Y","Yes","Z")), "Not Found")</f>
        <v>No</v>
      </c>
      <c r="N1512" s="27" t="s">
        <v>605</v>
      </c>
      <c r="O1512" t="s">
        <v>61</v>
      </c>
    </row>
    <row r="1513" spans="1:15" x14ac:dyDescent="0.2">
      <c r="A1513" s="9">
        <v>45418</v>
      </c>
      <c r="B1513" s="1" t="str">
        <f>IFERROR(VLOOKUP(MID(INDEX(Database_dermo!$A:$I, MATCH($O1513, Database_dermo!$A:$A, 0), 2),20,3),Notes!A$1:C$9,3,TRUE), "Not Found")</f>
        <v>LX-N</v>
      </c>
      <c r="C1513" s="1" t="str">
        <f>IFERROR(RIGHT(INDEX(Database_dermo!$A:$I, MATCH($O1513, Database_dermo!$A:$A, 0), 1),2), "Not Found")</f>
        <v>09</v>
      </c>
      <c r="D1513" s="1">
        <f>IFERROR(VLOOKUP(MID(INDEX(Database_dermo!$A:$I, MATCH($O1513, Database_dermo!$A:$A, 0), 2),20,3),Notes!A$1:C$9,2,TRUE), "Not Found")</f>
        <v>2</v>
      </c>
      <c r="E1513" s="1">
        <f>IFERROR(INDEX(Database_dermo!$A:$I, MATCH($O1513, Database_dermo!$A:$A, 0), 3), "Not Found")</f>
        <v>63.69</v>
      </c>
      <c r="F1513" s="1" t="str">
        <f>IFERROR(INDEX(Database_repro!$A:$F, MATCH($O1513, Database_repro!$A:$A, 0), 3), "Not Found")</f>
        <v>Z</v>
      </c>
      <c r="G1513" s="1">
        <f>IFERROR(INDEX(Database_repro!$A:$F, MATCH($O1513, Database_repro!$A:$A, 0), 4), "Not Found")</f>
        <v>4</v>
      </c>
      <c r="H1513" s="1" t="s">
        <v>16</v>
      </c>
      <c r="I1513" s="1" t="s">
        <v>16</v>
      </c>
      <c r="J1513" s="1" t="s">
        <v>16</v>
      </c>
      <c r="K1513" s="1" t="str">
        <f>IFERROR(INDEX(Database_repro!$A:$F, MATCH($O1513, Database_repro!$A:$A, 0), 5), "Not Found")</f>
        <v>Yes</v>
      </c>
      <c r="L1513" s="4" t="s">
        <v>17</v>
      </c>
      <c r="M1513" s="1" t="str">
        <f>IFERROR(IF(INDEX(Database_repro!$A:$F, MATCH($O1513, Database_repro!$A:$A, 0), 6)="N","No",IF(INDEX(Database_repro!$A:$F, MATCH($O1513, Database_repro!$A:$A, 0), 6)="Y","Yes","Z")), "Not Found")</f>
        <v>No</v>
      </c>
      <c r="N1513" s="27" t="s">
        <v>605</v>
      </c>
      <c r="O1513" t="s">
        <v>62</v>
      </c>
    </row>
    <row r="1514" spans="1:15" x14ac:dyDescent="0.2">
      <c r="A1514" s="9">
        <v>45418</v>
      </c>
      <c r="B1514" s="1" t="str">
        <f>IFERROR(VLOOKUP(MID(INDEX(Database_dermo!$A:$I, MATCH($O1514, Database_dermo!$A:$A, 0), 2),20,3),Notes!A$1:C$9,3,TRUE), "Not Found")</f>
        <v>LX-N</v>
      </c>
      <c r="C1514" s="1" t="str">
        <f>IFERROR(RIGHT(INDEX(Database_dermo!$A:$I, MATCH($O1514, Database_dermo!$A:$A, 0), 1),2), "Not Found")</f>
        <v>10</v>
      </c>
      <c r="D1514" s="1">
        <f>IFERROR(VLOOKUP(MID(INDEX(Database_dermo!$A:$I, MATCH($O1514, Database_dermo!$A:$A, 0), 2),20,3),Notes!A$1:C$9,2,TRUE), "Not Found")</f>
        <v>2</v>
      </c>
      <c r="E1514" s="1">
        <f>IFERROR(INDEX(Database_dermo!$A:$I, MATCH($O1514, Database_dermo!$A:$A, 0), 3), "Not Found")</f>
        <v>49.96</v>
      </c>
      <c r="F1514" s="1" t="str">
        <f>IFERROR(INDEX(Database_repro!$A:$F, MATCH($O1514, Database_repro!$A:$A, 0), 3), "Not Found")</f>
        <v>Z</v>
      </c>
      <c r="G1514" s="1">
        <f>IFERROR(INDEX(Database_repro!$A:$F, MATCH($O1514, Database_repro!$A:$A, 0), 4), "Not Found")</f>
        <v>4</v>
      </c>
      <c r="H1514" s="1" t="s">
        <v>16</v>
      </c>
      <c r="I1514" s="1" t="s">
        <v>16</v>
      </c>
      <c r="J1514" s="1" t="s">
        <v>16</v>
      </c>
      <c r="K1514" s="1" t="str">
        <f>IFERROR(INDEX(Database_repro!$A:$F, MATCH($O1514, Database_repro!$A:$A, 0), 5), "Not Found")</f>
        <v>Yes</v>
      </c>
      <c r="L1514" s="4" t="s">
        <v>17</v>
      </c>
      <c r="M1514" s="1" t="str">
        <f>IFERROR(IF(INDEX(Database_repro!$A:$F, MATCH($O1514, Database_repro!$A:$A, 0), 6)="N","No",IF(INDEX(Database_repro!$A:$F, MATCH($O1514, Database_repro!$A:$A, 0), 6)="Y","Yes","Z")), "Not Found")</f>
        <v>No</v>
      </c>
      <c r="N1514" s="27" t="s">
        <v>605</v>
      </c>
      <c r="O1514" t="s">
        <v>64</v>
      </c>
    </row>
    <row r="1515" spans="1:15" x14ac:dyDescent="0.2">
      <c r="A1515" s="9">
        <v>45418</v>
      </c>
      <c r="B1515" s="1" t="str">
        <f>IFERROR(VLOOKUP(MID(INDEX(Database_dermo!$A:$I, MATCH($O1515, Database_dermo!$A:$A, 0), 2),20,3),Notes!A$1:C$9,3,TRUE), "Not Found")</f>
        <v>LX-N</v>
      </c>
      <c r="C1515" s="1" t="str">
        <f>IFERROR(RIGHT(INDEX(Database_dermo!$A:$I, MATCH($O1515, Database_dermo!$A:$A, 0), 1),2), "Not Found")</f>
        <v>11</v>
      </c>
      <c r="D1515" s="1">
        <f>IFERROR(VLOOKUP(MID(INDEX(Database_dermo!$A:$I, MATCH($O1515, Database_dermo!$A:$A, 0), 2),20,3),Notes!A$1:C$9,2,TRUE), "Not Found")</f>
        <v>3</v>
      </c>
      <c r="E1515" s="1">
        <f>IFERROR(INDEX(Database_dermo!$A:$I, MATCH($O1515, Database_dermo!$A:$A, 0), 3), "Not Found")</f>
        <v>53.12</v>
      </c>
      <c r="F1515" s="1" t="str">
        <f>IFERROR(INDEX(Database_repro!$A:$F, MATCH($O1515, Database_repro!$A:$A, 0), 3), "Not Found")</f>
        <v>M</v>
      </c>
      <c r="G1515" s="1">
        <f>IFERROR(INDEX(Database_repro!$A:$F, MATCH($O1515, Database_repro!$A:$A, 0), 4), "Not Found")</f>
        <v>2</v>
      </c>
      <c r="H1515" s="1" t="s">
        <v>16</v>
      </c>
      <c r="I1515" s="1" t="s">
        <v>16</v>
      </c>
      <c r="J1515" s="1" t="s">
        <v>16</v>
      </c>
      <c r="K1515" s="1" t="str">
        <f>IFERROR(INDEX(Database_repro!$A:$F, MATCH($O1515, Database_repro!$A:$A, 0), 5), "Not Found")</f>
        <v>No</v>
      </c>
      <c r="L1515" s="4" t="s">
        <v>17</v>
      </c>
      <c r="M1515" s="1" t="str">
        <f>IFERROR(IF(INDEX(Database_repro!$A:$F, MATCH($O1515, Database_repro!$A:$A, 0), 6)="N","No",IF(INDEX(Database_repro!$A:$F, MATCH($O1515, Database_repro!$A:$A, 0), 6)="Y","Yes","Z")), "Not Found")</f>
        <v>No</v>
      </c>
      <c r="N1515" s="27" t="s">
        <v>605</v>
      </c>
      <c r="O1515" t="s">
        <v>66</v>
      </c>
    </row>
    <row r="1516" spans="1:15" x14ac:dyDescent="0.2">
      <c r="A1516" s="9">
        <v>45418</v>
      </c>
      <c r="B1516" s="1" t="str">
        <f>IFERROR(VLOOKUP(MID(INDEX(Database_dermo!$A:$I, MATCH($O1516, Database_dermo!$A:$A, 0), 2),20,3),Notes!A$1:C$9,3,TRUE), "Not Found")</f>
        <v>LX-N</v>
      </c>
      <c r="C1516" s="1" t="str">
        <f>IFERROR(RIGHT(INDEX(Database_dermo!$A:$I, MATCH($O1516, Database_dermo!$A:$A, 0), 1),2), "Not Found")</f>
        <v>12</v>
      </c>
      <c r="D1516" s="1">
        <f>IFERROR(VLOOKUP(MID(INDEX(Database_dermo!$A:$I, MATCH($O1516, Database_dermo!$A:$A, 0), 2),20,3),Notes!A$1:C$9,2,TRUE), "Not Found")</f>
        <v>3</v>
      </c>
      <c r="E1516" s="1">
        <f>IFERROR(INDEX(Database_dermo!$A:$I, MATCH($O1516, Database_dermo!$A:$A, 0), 3), "Not Found")</f>
        <v>50.64</v>
      </c>
      <c r="F1516" s="1" t="str">
        <f>IFERROR(INDEX(Database_repro!$A:$F, MATCH($O1516, Database_repro!$A:$A, 0), 3), "Not Found")</f>
        <v>F</v>
      </c>
      <c r="G1516" s="1">
        <f>IFERROR(INDEX(Database_repro!$A:$F, MATCH($O1516, Database_repro!$A:$A, 0), 4), "Not Found")</f>
        <v>2</v>
      </c>
      <c r="H1516" s="1" t="s">
        <v>16</v>
      </c>
      <c r="I1516" s="1" t="s">
        <v>16</v>
      </c>
      <c r="J1516" s="1" t="s">
        <v>16</v>
      </c>
      <c r="K1516" s="1" t="str">
        <f>IFERROR(INDEX(Database_repro!$A:$F, MATCH($O1516, Database_repro!$A:$A, 0), 5), "Not Found")</f>
        <v>No</v>
      </c>
      <c r="L1516" s="4" t="s">
        <v>17</v>
      </c>
      <c r="M1516" s="1" t="str">
        <f>IFERROR(IF(INDEX(Database_repro!$A:$F, MATCH($O1516, Database_repro!$A:$A, 0), 6)="N","No",IF(INDEX(Database_repro!$A:$F, MATCH($O1516, Database_repro!$A:$A, 0), 6)="Y","Yes","Z")), "Not Found")</f>
        <v>No</v>
      </c>
      <c r="N1516" s="27" t="s">
        <v>605</v>
      </c>
      <c r="O1516" t="s">
        <v>68</v>
      </c>
    </row>
    <row r="1517" spans="1:15" x14ac:dyDescent="0.2">
      <c r="A1517" s="9">
        <v>45418</v>
      </c>
      <c r="B1517" s="1" t="str">
        <f>IFERROR(VLOOKUP(MID(INDEX(Database_dermo!$A:$I, MATCH($O1517, Database_dermo!$A:$A, 0), 2),20,3),Notes!A$1:C$9,3,TRUE), "Not Found")</f>
        <v>LX-N</v>
      </c>
      <c r="C1517" s="1" t="str">
        <f>IFERROR(RIGHT(INDEX(Database_dermo!$A:$I, MATCH($O1517, Database_dermo!$A:$A, 0), 1),2), "Not Found")</f>
        <v>13</v>
      </c>
      <c r="D1517" s="1">
        <f>IFERROR(VLOOKUP(MID(INDEX(Database_dermo!$A:$I, MATCH($O1517, Database_dermo!$A:$A, 0), 2),20,3),Notes!A$1:C$9,2,TRUE), "Not Found")</f>
        <v>3</v>
      </c>
      <c r="E1517" s="1">
        <f>IFERROR(INDEX(Database_dermo!$A:$I, MATCH($O1517, Database_dermo!$A:$A, 0), 3), "Not Found")</f>
        <v>48.4</v>
      </c>
      <c r="F1517" s="1" t="str">
        <f>IFERROR(INDEX(Database_repro!$A:$F, MATCH($O1517, Database_repro!$A:$A, 0), 3), "Not Found")</f>
        <v>F</v>
      </c>
      <c r="G1517" s="1">
        <f>IFERROR(INDEX(Database_repro!$A:$F, MATCH($O1517, Database_repro!$A:$A, 0), 4), "Not Found")</f>
        <v>2</v>
      </c>
      <c r="H1517" s="1" t="s">
        <v>16</v>
      </c>
      <c r="I1517" s="1" t="s">
        <v>16</v>
      </c>
      <c r="J1517" s="1" t="s">
        <v>16</v>
      </c>
      <c r="K1517" s="1" t="str">
        <f>IFERROR(INDEX(Database_repro!$A:$F, MATCH($O1517, Database_repro!$A:$A, 0), 5), "Not Found")</f>
        <v>No</v>
      </c>
      <c r="L1517" s="4" t="s">
        <v>17</v>
      </c>
      <c r="M1517" s="1" t="str">
        <f>IFERROR(IF(INDEX(Database_repro!$A:$F, MATCH($O1517, Database_repro!$A:$A, 0), 6)="N","No",IF(INDEX(Database_repro!$A:$F, MATCH($O1517, Database_repro!$A:$A, 0), 6)="Y","Yes","Z")), "Not Found")</f>
        <v>No</v>
      </c>
      <c r="N1517" s="27" t="s">
        <v>605</v>
      </c>
      <c r="O1517" t="s">
        <v>69</v>
      </c>
    </row>
    <row r="1518" spans="1:15" x14ac:dyDescent="0.2">
      <c r="A1518" s="9">
        <v>45418</v>
      </c>
      <c r="B1518" s="1" t="str">
        <f>IFERROR(VLOOKUP(MID(INDEX(Database_dermo!$A:$I, MATCH($O1518, Database_dermo!$A:$A, 0), 2),20,3),Notes!A$1:C$9,3,TRUE), "Not Found")</f>
        <v>LX-N</v>
      </c>
      <c r="C1518" s="1" t="str">
        <f>IFERROR(RIGHT(INDEX(Database_dermo!$A:$I, MATCH($O1518, Database_dermo!$A:$A, 0), 1),2), "Not Found")</f>
        <v>14</v>
      </c>
      <c r="D1518" s="1">
        <f>IFERROR(VLOOKUP(MID(INDEX(Database_dermo!$A:$I, MATCH($O1518, Database_dermo!$A:$A, 0), 2),20,3),Notes!A$1:C$9,2,TRUE), "Not Found")</f>
        <v>3</v>
      </c>
      <c r="E1518" s="1">
        <f>IFERROR(INDEX(Database_dermo!$A:$I, MATCH($O1518, Database_dermo!$A:$A, 0), 3), "Not Found")</f>
        <v>36.880000000000003</v>
      </c>
      <c r="F1518" s="1" t="str">
        <f>IFERROR(INDEX(Database_repro!$A:$F, MATCH($O1518, Database_repro!$A:$A, 0), 3), "Not Found")</f>
        <v>F</v>
      </c>
      <c r="G1518" s="1">
        <f>IFERROR(INDEX(Database_repro!$A:$F, MATCH($O1518, Database_repro!$A:$A, 0), 4), "Not Found")</f>
        <v>2</v>
      </c>
      <c r="H1518" s="1" t="s">
        <v>16</v>
      </c>
      <c r="I1518" s="1" t="s">
        <v>16</v>
      </c>
      <c r="J1518" s="1" t="s">
        <v>16</v>
      </c>
      <c r="K1518" s="1" t="str">
        <f>IFERROR(INDEX(Database_repro!$A:$F, MATCH($O1518, Database_repro!$A:$A, 0), 5), "Not Found")</f>
        <v>No</v>
      </c>
      <c r="L1518" s="4" t="s">
        <v>17</v>
      </c>
      <c r="M1518" s="1" t="str">
        <f>IFERROR(IF(INDEX(Database_repro!$A:$F, MATCH($O1518, Database_repro!$A:$A, 0), 6)="N","No",IF(INDEX(Database_repro!$A:$F, MATCH($O1518, Database_repro!$A:$A, 0), 6)="Y","Yes","Z")), "Not Found")</f>
        <v>No</v>
      </c>
      <c r="N1518" s="27" t="s">
        <v>605</v>
      </c>
      <c r="O1518" t="s">
        <v>70</v>
      </c>
    </row>
    <row r="1519" spans="1:15" x14ac:dyDescent="0.2">
      <c r="A1519" s="9">
        <v>45418</v>
      </c>
      <c r="B1519" s="1" t="str">
        <f>IFERROR(VLOOKUP(MID(INDEX(Database_dermo!$A:$I, MATCH($O1519, Database_dermo!$A:$A, 0), 2),20,3),Notes!A$1:C$9,3,TRUE), "Not Found")</f>
        <v>LX-N</v>
      </c>
      <c r="C1519" s="1" t="str">
        <f>IFERROR(RIGHT(INDEX(Database_dermo!$A:$I, MATCH($O1519, Database_dermo!$A:$A, 0), 1),2), "Not Found")</f>
        <v>15</v>
      </c>
      <c r="D1519" s="1">
        <f>IFERROR(VLOOKUP(MID(INDEX(Database_dermo!$A:$I, MATCH($O1519, Database_dermo!$A:$A, 0), 2),20,3),Notes!A$1:C$9,2,TRUE), "Not Found")</f>
        <v>3</v>
      </c>
      <c r="E1519" s="1">
        <f>IFERROR(INDEX(Database_dermo!$A:$I, MATCH($O1519, Database_dermo!$A:$A, 0), 3), "Not Found")</f>
        <v>50.56</v>
      </c>
      <c r="F1519" s="1" t="str">
        <f>IFERROR(INDEX(Database_repro!$A:$F, MATCH($O1519, Database_repro!$A:$A, 0), 3), "Not Found")</f>
        <v>M</v>
      </c>
      <c r="G1519" s="1">
        <f>IFERROR(INDEX(Database_repro!$A:$F, MATCH($O1519, Database_repro!$A:$A, 0), 4), "Not Found")</f>
        <v>2</v>
      </c>
      <c r="H1519" s="1" t="s">
        <v>16</v>
      </c>
      <c r="I1519" s="1" t="s">
        <v>16</v>
      </c>
      <c r="J1519" s="1" t="s">
        <v>16</v>
      </c>
      <c r="K1519" s="1" t="str">
        <f>IFERROR(INDEX(Database_repro!$A:$F, MATCH($O1519, Database_repro!$A:$A, 0), 5), "Not Found")</f>
        <v>No</v>
      </c>
      <c r="L1519" s="4" t="s">
        <v>17</v>
      </c>
      <c r="M1519" s="1" t="str">
        <f>IFERROR(IF(INDEX(Database_repro!$A:$F, MATCH($O1519, Database_repro!$A:$A, 0), 6)="N","No",IF(INDEX(Database_repro!$A:$F, MATCH($O1519, Database_repro!$A:$A, 0), 6)="Y","Yes","Z")), "Not Found")</f>
        <v>No</v>
      </c>
      <c r="N1519" s="27" t="s">
        <v>605</v>
      </c>
      <c r="O1519" t="s">
        <v>71</v>
      </c>
    </row>
    <row r="1520" spans="1:15" x14ac:dyDescent="0.2">
      <c r="A1520" s="9">
        <v>45446</v>
      </c>
      <c r="B1520" s="1" t="str">
        <f>IFERROR(VLOOKUP(MID(INDEX(Database_dermo!$A:$I, MATCH($O1520, Database_dermo!$A:$A, 0), 2),20,3),Notes!A$1:C$9,3,TRUE), "Not Found")</f>
        <v>LX-N</v>
      </c>
      <c r="C1520" s="1" t="str">
        <f>IFERROR(RIGHT(INDEX(Database_dermo!$A:$I, MATCH($O1520, Database_dermo!$A:$A, 0), 1),2), "Not Found")</f>
        <v>01</v>
      </c>
      <c r="D1520" s="1">
        <f>IFERROR(VLOOKUP(MID(INDEX(Database_dermo!$A:$I, MATCH($O1520, Database_dermo!$A:$A, 0), 2),20,3),Notes!A$1:C$9,2,TRUE), "Not Found")</f>
        <v>1</v>
      </c>
      <c r="E1520" s="1">
        <f>IFERROR(INDEX(Database_dermo!$A:$I, MATCH($O1520, Database_dermo!$A:$A, 0), 3), "Not Found")</f>
        <v>43.56</v>
      </c>
      <c r="F1520" s="1" t="str">
        <f>IFERROR(INDEX(Database_repro!$A:$F, MATCH($O1520, Database_repro!$A:$A, 0), 3), "Not Found")</f>
        <v>F</v>
      </c>
      <c r="G1520" s="1">
        <f>IFERROR(INDEX(Database_repro!$A:$F, MATCH($O1520, Database_repro!$A:$A, 0), 4), "Not Found")</f>
        <v>2</v>
      </c>
      <c r="H1520" s="1" t="s">
        <v>16</v>
      </c>
      <c r="I1520" s="1" t="s">
        <v>16</v>
      </c>
      <c r="J1520" s="1" t="s">
        <v>16</v>
      </c>
      <c r="K1520" s="1" t="str">
        <f>IFERROR(INDEX(Database_repro!$A:$F, MATCH($O1520, Database_repro!$A:$A, 0), 5), "Not Found")</f>
        <v>No</v>
      </c>
      <c r="L1520" s="4" t="s">
        <v>17</v>
      </c>
      <c r="M1520" s="1" t="str">
        <f>IFERROR(IF(INDEX(Database_repro!$A:$F, MATCH($O1520, Database_repro!$A:$A, 0), 6)="N","No",IF(INDEX(Database_repro!$A:$F, MATCH($O1520, Database_repro!$A:$A, 0), 6)="Y","Yes","Z")), "Not Found")</f>
        <v>No</v>
      </c>
      <c r="N1520" s="27" t="s">
        <v>605</v>
      </c>
      <c r="O1520" t="s">
        <v>72</v>
      </c>
    </row>
    <row r="1521" spans="1:15" x14ac:dyDescent="0.2">
      <c r="A1521" s="9">
        <v>45446</v>
      </c>
      <c r="B1521" s="1" t="str">
        <f>IFERROR(VLOOKUP(MID(INDEX(Database_dermo!$A:$I, MATCH($O1521, Database_dermo!$A:$A, 0), 2),20,3),Notes!A$1:C$9,3,TRUE), "Not Found")</f>
        <v>LX-N</v>
      </c>
      <c r="C1521" s="1" t="str">
        <f>IFERROR(RIGHT(INDEX(Database_dermo!$A:$I, MATCH($O1521, Database_dermo!$A:$A, 0), 1),2), "Not Found")</f>
        <v>02</v>
      </c>
      <c r="D1521" s="1">
        <f>IFERROR(VLOOKUP(MID(INDEX(Database_dermo!$A:$I, MATCH($O1521, Database_dermo!$A:$A, 0), 2),20,3),Notes!A$1:C$9,2,TRUE), "Not Found")</f>
        <v>1</v>
      </c>
      <c r="E1521" s="1">
        <f>IFERROR(INDEX(Database_dermo!$A:$I, MATCH($O1521, Database_dermo!$A:$A, 0), 3), "Not Found")</f>
        <v>32.17</v>
      </c>
      <c r="F1521" s="1" t="str">
        <f>IFERROR(INDEX(Database_repro!$A:$F, MATCH($O1521, Database_repro!$A:$A, 0), 3), "Not Found")</f>
        <v>M</v>
      </c>
      <c r="G1521" s="1">
        <f>IFERROR(INDEX(Database_repro!$A:$F, MATCH($O1521, Database_repro!$A:$A, 0), 4), "Not Found")</f>
        <v>2</v>
      </c>
      <c r="H1521" s="1" t="s">
        <v>16</v>
      </c>
      <c r="I1521" s="1" t="s">
        <v>16</v>
      </c>
      <c r="J1521" s="1" t="s">
        <v>16</v>
      </c>
      <c r="K1521" s="1" t="str">
        <f>IFERROR(INDEX(Database_repro!$A:$F, MATCH($O1521, Database_repro!$A:$A, 0), 5), "Not Found")</f>
        <v>No</v>
      </c>
      <c r="L1521" s="4" t="s">
        <v>17</v>
      </c>
      <c r="M1521" s="1" t="str">
        <f>IFERROR(IF(INDEX(Database_repro!$A:$F, MATCH($O1521, Database_repro!$A:$A, 0), 6)="N","No",IF(INDEX(Database_repro!$A:$F, MATCH($O1521, Database_repro!$A:$A, 0), 6)="Y","Yes","Z")), "Not Found")</f>
        <v>No</v>
      </c>
      <c r="N1521" s="27" t="s">
        <v>605</v>
      </c>
      <c r="O1521" t="s">
        <v>74</v>
      </c>
    </row>
    <row r="1522" spans="1:15" x14ac:dyDescent="0.2">
      <c r="A1522" s="9">
        <v>45446</v>
      </c>
      <c r="B1522" s="1" t="str">
        <f>IFERROR(VLOOKUP(MID(INDEX(Database_dermo!$A:$I, MATCH($O1522, Database_dermo!$A:$A, 0), 2),20,3),Notes!A$1:C$9,3,TRUE), "Not Found")</f>
        <v>LX-N</v>
      </c>
      <c r="C1522" s="1" t="str">
        <f>IFERROR(RIGHT(INDEX(Database_dermo!$A:$I, MATCH($O1522, Database_dermo!$A:$A, 0), 1),2), "Not Found")</f>
        <v>03</v>
      </c>
      <c r="D1522" s="1">
        <f>IFERROR(VLOOKUP(MID(INDEX(Database_dermo!$A:$I, MATCH($O1522, Database_dermo!$A:$A, 0), 2),20,3),Notes!A$1:C$9,2,TRUE), "Not Found")</f>
        <v>1</v>
      </c>
      <c r="E1522" s="1">
        <f>IFERROR(INDEX(Database_dermo!$A:$I, MATCH($O1522, Database_dermo!$A:$A, 0), 3), "Not Found")</f>
        <v>36.57</v>
      </c>
      <c r="F1522" s="1" t="str">
        <f>IFERROR(INDEX(Database_repro!$A:$F, MATCH($O1522, Database_repro!$A:$A, 0), 3), "Not Found")</f>
        <v>F</v>
      </c>
      <c r="G1522" s="1">
        <f>IFERROR(INDEX(Database_repro!$A:$F, MATCH($O1522, Database_repro!$A:$A, 0), 4), "Not Found")</f>
        <v>2</v>
      </c>
      <c r="H1522" s="1" t="s">
        <v>16</v>
      </c>
      <c r="I1522" s="1" t="s">
        <v>16</v>
      </c>
      <c r="J1522" s="1" t="s">
        <v>16</v>
      </c>
      <c r="K1522" s="1" t="str">
        <f>IFERROR(INDEX(Database_repro!$A:$F, MATCH($O1522, Database_repro!$A:$A, 0), 5), "Not Found")</f>
        <v>No</v>
      </c>
      <c r="L1522" s="4" t="s">
        <v>17</v>
      </c>
      <c r="M1522" s="1" t="str">
        <f>IFERROR(IF(INDEX(Database_repro!$A:$F, MATCH($O1522, Database_repro!$A:$A, 0), 6)="N","No",IF(INDEX(Database_repro!$A:$F, MATCH($O1522, Database_repro!$A:$A, 0), 6)="Y","Yes","Z")), "Not Found")</f>
        <v>No</v>
      </c>
      <c r="N1522" s="27" t="s">
        <v>605</v>
      </c>
      <c r="O1522" t="s">
        <v>76</v>
      </c>
    </row>
    <row r="1523" spans="1:15" x14ac:dyDescent="0.2">
      <c r="A1523" s="9">
        <v>45446</v>
      </c>
      <c r="B1523" s="1" t="str">
        <f>IFERROR(VLOOKUP(MID(INDEX(Database_dermo!$A:$I, MATCH($O1523, Database_dermo!$A:$A, 0), 2),20,3),Notes!A$1:C$9,3,TRUE), "Not Found")</f>
        <v>LX-N</v>
      </c>
      <c r="C1523" s="1" t="str">
        <f>IFERROR(RIGHT(INDEX(Database_dermo!$A:$I, MATCH($O1523, Database_dermo!$A:$A, 0), 1),2), "Not Found")</f>
        <v>04</v>
      </c>
      <c r="D1523" s="1">
        <f>IFERROR(VLOOKUP(MID(INDEX(Database_dermo!$A:$I, MATCH($O1523, Database_dermo!$A:$A, 0), 2),20,3),Notes!A$1:C$9,2,TRUE), "Not Found")</f>
        <v>1</v>
      </c>
      <c r="E1523" s="1">
        <f>IFERROR(INDEX(Database_dermo!$A:$I, MATCH($O1523, Database_dermo!$A:$A, 0), 3), "Not Found")</f>
        <v>43.82</v>
      </c>
      <c r="F1523" s="1" t="str">
        <f>IFERROR(INDEX(Database_repro!$A:$F, MATCH($O1523, Database_repro!$A:$A, 0), 3), "Not Found")</f>
        <v>M</v>
      </c>
      <c r="G1523" s="1">
        <f>IFERROR(INDEX(Database_repro!$A:$F, MATCH($O1523, Database_repro!$A:$A, 0), 4), "Not Found")</f>
        <v>2</v>
      </c>
      <c r="H1523" s="1" t="s">
        <v>16</v>
      </c>
      <c r="I1523" s="1" t="s">
        <v>16</v>
      </c>
      <c r="J1523" s="1" t="s">
        <v>16</v>
      </c>
      <c r="K1523" s="1" t="str">
        <f>IFERROR(INDEX(Database_repro!$A:$F, MATCH($O1523, Database_repro!$A:$A, 0), 5), "Not Found")</f>
        <v>Yes</v>
      </c>
      <c r="L1523" s="4" t="s">
        <v>17</v>
      </c>
      <c r="M1523" s="1" t="str">
        <f>IFERROR(IF(INDEX(Database_repro!$A:$F, MATCH($O1523, Database_repro!$A:$A, 0), 6)="N","No",IF(INDEX(Database_repro!$A:$F, MATCH($O1523, Database_repro!$A:$A, 0), 6)="Y","Yes","Z")), "Not Found")</f>
        <v>No</v>
      </c>
      <c r="N1523" s="27" t="s">
        <v>605</v>
      </c>
      <c r="O1523" t="s">
        <v>77</v>
      </c>
    </row>
    <row r="1524" spans="1:15" x14ac:dyDescent="0.2">
      <c r="A1524" s="9">
        <v>45446</v>
      </c>
      <c r="B1524" s="1" t="str">
        <f>IFERROR(VLOOKUP(MID(INDEX(Database_dermo!$A:$I, MATCH($O1524, Database_dermo!$A:$A, 0), 2),20,3),Notes!A$1:C$9,3,TRUE), "Not Found")</f>
        <v>LX-N</v>
      </c>
      <c r="C1524" s="1" t="str">
        <f>IFERROR(RIGHT(INDEX(Database_dermo!$A:$I, MATCH($O1524, Database_dermo!$A:$A, 0), 1),2), "Not Found")</f>
        <v>05</v>
      </c>
      <c r="D1524" s="1">
        <f>IFERROR(VLOOKUP(MID(INDEX(Database_dermo!$A:$I, MATCH($O1524, Database_dermo!$A:$A, 0), 2),20,3),Notes!A$1:C$9,2,TRUE), "Not Found")</f>
        <v>1</v>
      </c>
      <c r="E1524" s="1">
        <f>IFERROR(INDEX(Database_dermo!$A:$I, MATCH($O1524, Database_dermo!$A:$A, 0), 3), "Not Found")</f>
        <v>52.81</v>
      </c>
      <c r="F1524" s="1" t="str">
        <f>IFERROR(INDEX(Database_repro!$A:$F, MATCH($O1524, Database_repro!$A:$A, 0), 3), "Not Found")</f>
        <v>F</v>
      </c>
      <c r="G1524" s="1">
        <f>IFERROR(INDEX(Database_repro!$A:$F, MATCH($O1524, Database_repro!$A:$A, 0), 4), "Not Found")</f>
        <v>2</v>
      </c>
      <c r="H1524" s="1" t="s">
        <v>16</v>
      </c>
      <c r="I1524" s="1" t="s">
        <v>16</v>
      </c>
      <c r="J1524" s="1" t="s">
        <v>16</v>
      </c>
      <c r="K1524" s="1" t="str">
        <f>IFERROR(INDEX(Database_repro!$A:$F, MATCH($O1524, Database_repro!$A:$A, 0), 5), "Not Found")</f>
        <v>No</v>
      </c>
      <c r="L1524" s="4" t="s">
        <v>17</v>
      </c>
      <c r="M1524" s="1" t="str">
        <f>IFERROR(IF(INDEX(Database_repro!$A:$F, MATCH($O1524, Database_repro!$A:$A, 0), 6)="N","No",IF(INDEX(Database_repro!$A:$F, MATCH($O1524, Database_repro!$A:$A, 0), 6)="Y","Yes","Z")), "Not Found")</f>
        <v>No</v>
      </c>
      <c r="N1524" s="27" t="s">
        <v>605</v>
      </c>
      <c r="O1524" t="s">
        <v>78</v>
      </c>
    </row>
    <row r="1525" spans="1:15" x14ac:dyDescent="0.2">
      <c r="A1525" s="9">
        <v>45446</v>
      </c>
      <c r="B1525" s="1" t="str">
        <f>IFERROR(VLOOKUP(MID(INDEX(Database_dermo!$A:$I, MATCH($O1525, Database_dermo!$A:$A, 0), 2),20,3),Notes!A$1:C$9,3,TRUE), "Not Found")</f>
        <v>LX-N</v>
      </c>
      <c r="C1525" s="1" t="str">
        <f>IFERROR(RIGHT(INDEX(Database_dermo!$A:$I, MATCH($O1525, Database_dermo!$A:$A, 0), 1),2), "Not Found")</f>
        <v>06</v>
      </c>
      <c r="D1525" s="1">
        <f>IFERROR(VLOOKUP(MID(INDEX(Database_dermo!$A:$I, MATCH($O1525, Database_dermo!$A:$A, 0), 2),20,3),Notes!A$1:C$9,2,TRUE), "Not Found")</f>
        <v>2</v>
      </c>
      <c r="E1525" s="1">
        <f>IFERROR(INDEX(Database_dermo!$A:$I, MATCH($O1525, Database_dermo!$A:$A, 0), 3), "Not Found")</f>
        <v>53.39</v>
      </c>
      <c r="F1525" s="1" t="str">
        <f>IFERROR(INDEX(Database_repro!$A:$F, MATCH($O1525, Database_repro!$A:$A, 0), 3), "Not Found")</f>
        <v>M</v>
      </c>
      <c r="G1525" s="1">
        <f>IFERROR(INDEX(Database_repro!$A:$F, MATCH($O1525, Database_repro!$A:$A, 0), 4), "Not Found")</f>
        <v>2</v>
      </c>
      <c r="H1525" s="1" t="s">
        <v>16</v>
      </c>
      <c r="I1525" s="1" t="s">
        <v>16</v>
      </c>
      <c r="J1525" s="1" t="s">
        <v>16</v>
      </c>
      <c r="K1525" s="1" t="str">
        <f>IFERROR(INDEX(Database_repro!$A:$F, MATCH($O1525, Database_repro!$A:$A, 0), 5), "Not Found")</f>
        <v>Yes</v>
      </c>
      <c r="L1525" s="4" t="s">
        <v>17</v>
      </c>
      <c r="M1525" s="1" t="str">
        <f>IFERROR(IF(INDEX(Database_repro!$A:$F, MATCH($O1525, Database_repro!$A:$A, 0), 6)="N","No",IF(INDEX(Database_repro!$A:$F, MATCH($O1525, Database_repro!$A:$A, 0), 6)="Y","Yes","Z")), "Not Found")</f>
        <v>No</v>
      </c>
      <c r="N1525" s="27" t="s">
        <v>605</v>
      </c>
      <c r="O1525" t="s">
        <v>79</v>
      </c>
    </row>
    <row r="1526" spans="1:15" x14ac:dyDescent="0.2">
      <c r="A1526" s="9">
        <v>45446</v>
      </c>
      <c r="B1526" s="1" t="str">
        <f>IFERROR(VLOOKUP(MID(INDEX(Database_dermo!$A:$I, MATCH($O1526, Database_dermo!$A:$A, 0), 2),20,3),Notes!A$1:C$9,3,TRUE), "Not Found")</f>
        <v>LX-N</v>
      </c>
      <c r="C1526" s="1" t="str">
        <f>IFERROR(RIGHT(INDEX(Database_dermo!$A:$I, MATCH($O1526, Database_dermo!$A:$A, 0), 1),2), "Not Found")</f>
        <v>07</v>
      </c>
      <c r="D1526" s="1">
        <f>IFERROR(VLOOKUP(MID(INDEX(Database_dermo!$A:$I, MATCH($O1526, Database_dermo!$A:$A, 0), 2),20,3),Notes!A$1:C$9,2,TRUE), "Not Found")</f>
        <v>2</v>
      </c>
      <c r="E1526" s="1">
        <f>IFERROR(INDEX(Database_dermo!$A:$I, MATCH($O1526, Database_dermo!$A:$A, 0), 3), "Not Found")</f>
        <v>51.36</v>
      </c>
      <c r="F1526" s="1" t="str">
        <f>IFERROR(INDEX(Database_repro!$A:$F, MATCH($O1526, Database_repro!$A:$A, 0), 3), "Not Found")</f>
        <v>F</v>
      </c>
      <c r="G1526" s="1">
        <f>IFERROR(INDEX(Database_repro!$A:$F, MATCH($O1526, Database_repro!$A:$A, 0), 4), "Not Found")</f>
        <v>2</v>
      </c>
      <c r="H1526" s="1" t="s">
        <v>16</v>
      </c>
      <c r="I1526" s="1" t="s">
        <v>16</v>
      </c>
      <c r="J1526" s="1" t="s">
        <v>16</v>
      </c>
      <c r="K1526" s="1" t="str">
        <f>IFERROR(INDEX(Database_repro!$A:$F, MATCH($O1526, Database_repro!$A:$A, 0), 5), "Not Found")</f>
        <v>No</v>
      </c>
      <c r="L1526" s="4" t="s">
        <v>17</v>
      </c>
      <c r="M1526" s="1" t="str">
        <f>IFERROR(IF(INDEX(Database_repro!$A:$F, MATCH($O1526, Database_repro!$A:$A, 0), 6)="N","No",IF(INDEX(Database_repro!$A:$F, MATCH($O1526, Database_repro!$A:$A, 0), 6)="Y","Yes","Z")), "Not Found")</f>
        <v>No</v>
      </c>
      <c r="N1526" s="27" t="s">
        <v>605</v>
      </c>
      <c r="O1526" t="s">
        <v>81</v>
      </c>
    </row>
    <row r="1527" spans="1:15" x14ac:dyDescent="0.2">
      <c r="A1527" s="9">
        <v>45446</v>
      </c>
      <c r="B1527" s="1" t="str">
        <f>IFERROR(VLOOKUP(MID(INDEX(Database_dermo!$A:$I, MATCH($O1527, Database_dermo!$A:$A, 0), 2),20,3),Notes!A$1:C$9,3,TRUE), "Not Found")</f>
        <v>LX-N</v>
      </c>
      <c r="C1527" s="1" t="str">
        <f>IFERROR(RIGHT(INDEX(Database_dermo!$A:$I, MATCH($O1527, Database_dermo!$A:$A, 0), 1),2), "Not Found")</f>
        <v>08</v>
      </c>
      <c r="D1527" s="1">
        <f>IFERROR(VLOOKUP(MID(INDEX(Database_dermo!$A:$I, MATCH($O1527, Database_dermo!$A:$A, 0), 2),20,3),Notes!A$1:C$9,2,TRUE), "Not Found")</f>
        <v>2</v>
      </c>
      <c r="E1527" s="1">
        <f>IFERROR(INDEX(Database_dermo!$A:$I, MATCH($O1527, Database_dermo!$A:$A, 0), 3), "Not Found")</f>
        <v>49.6</v>
      </c>
      <c r="F1527" s="1" t="str">
        <f>IFERROR(INDEX(Database_repro!$A:$F, MATCH($O1527, Database_repro!$A:$A, 0), 3), "Not Found")</f>
        <v>M</v>
      </c>
      <c r="G1527" s="1">
        <f>IFERROR(INDEX(Database_repro!$A:$F, MATCH($O1527, Database_repro!$A:$A, 0), 4), "Not Found")</f>
        <v>3</v>
      </c>
      <c r="H1527" s="1" t="s">
        <v>16</v>
      </c>
      <c r="I1527" s="1" t="s">
        <v>16</v>
      </c>
      <c r="J1527" s="1" t="s">
        <v>16</v>
      </c>
      <c r="K1527" s="1" t="str">
        <f>IFERROR(INDEX(Database_repro!$A:$F, MATCH($O1527, Database_repro!$A:$A, 0), 5), "Not Found")</f>
        <v>No</v>
      </c>
      <c r="L1527" s="4" t="s">
        <v>17</v>
      </c>
      <c r="M1527" s="1" t="str">
        <f>IFERROR(IF(INDEX(Database_repro!$A:$F, MATCH($O1527, Database_repro!$A:$A, 0), 6)="N","No",IF(INDEX(Database_repro!$A:$F, MATCH($O1527, Database_repro!$A:$A, 0), 6)="Y","Yes","Z")), "Not Found")</f>
        <v>No</v>
      </c>
      <c r="N1527" s="27" t="s">
        <v>605</v>
      </c>
      <c r="O1527" t="s">
        <v>82</v>
      </c>
    </row>
    <row r="1528" spans="1:15" x14ac:dyDescent="0.2">
      <c r="A1528" s="9">
        <v>45446</v>
      </c>
      <c r="B1528" s="1" t="str">
        <f>IFERROR(VLOOKUP(MID(INDEX(Database_dermo!$A:$I, MATCH($O1528, Database_dermo!$A:$A, 0), 2),20,3),Notes!A$1:C$9,3,TRUE), "Not Found")</f>
        <v>LX-N</v>
      </c>
      <c r="C1528" s="1" t="str">
        <f>IFERROR(RIGHT(INDEX(Database_dermo!$A:$I, MATCH($O1528, Database_dermo!$A:$A, 0), 1),2), "Not Found")</f>
        <v>09</v>
      </c>
      <c r="D1528" s="1">
        <f>IFERROR(VLOOKUP(MID(INDEX(Database_dermo!$A:$I, MATCH($O1528, Database_dermo!$A:$A, 0), 2),20,3),Notes!A$1:C$9,2,TRUE), "Not Found")</f>
        <v>2</v>
      </c>
      <c r="E1528" s="1">
        <f>IFERROR(INDEX(Database_dermo!$A:$I, MATCH($O1528, Database_dermo!$A:$A, 0), 3), "Not Found")</f>
        <v>54.95</v>
      </c>
      <c r="F1528" s="1" t="str">
        <f>IFERROR(INDEX(Database_repro!$A:$F, MATCH($O1528, Database_repro!$A:$A, 0), 3), "Not Found")</f>
        <v>F</v>
      </c>
      <c r="G1528" s="1">
        <f>IFERROR(INDEX(Database_repro!$A:$F, MATCH($O1528, Database_repro!$A:$A, 0), 4), "Not Found")</f>
        <v>2</v>
      </c>
      <c r="H1528" s="1" t="s">
        <v>16</v>
      </c>
      <c r="I1528" s="1" t="s">
        <v>16</v>
      </c>
      <c r="J1528" s="1" t="s">
        <v>16</v>
      </c>
      <c r="K1528" s="1" t="str">
        <f>IFERROR(INDEX(Database_repro!$A:$F, MATCH($O1528, Database_repro!$A:$A, 0), 5), "Not Found")</f>
        <v>No</v>
      </c>
      <c r="L1528" s="4" t="s">
        <v>17</v>
      </c>
      <c r="M1528" s="1" t="str">
        <f>IFERROR(IF(INDEX(Database_repro!$A:$F, MATCH($O1528, Database_repro!$A:$A, 0), 6)="N","No",IF(INDEX(Database_repro!$A:$F, MATCH($O1528, Database_repro!$A:$A, 0), 6)="Y","Yes","Z")), "Not Found")</f>
        <v>No</v>
      </c>
      <c r="N1528" s="27" t="s">
        <v>605</v>
      </c>
      <c r="O1528" t="s">
        <v>84</v>
      </c>
    </row>
    <row r="1529" spans="1:15" x14ac:dyDescent="0.2">
      <c r="A1529" s="9">
        <v>45446</v>
      </c>
      <c r="B1529" s="1" t="str">
        <f>IFERROR(VLOOKUP(MID(INDEX(Database_dermo!$A:$I, MATCH($O1529, Database_dermo!$A:$A, 0), 2),20,3),Notes!A$1:C$9,3,TRUE), "Not Found")</f>
        <v>LX-N</v>
      </c>
      <c r="C1529" s="1" t="str">
        <f>IFERROR(RIGHT(INDEX(Database_dermo!$A:$I, MATCH($O1529, Database_dermo!$A:$A, 0), 1),2), "Not Found")</f>
        <v>10</v>
      </c>
      <c r="D1529" s="1">
        <f>IFERROR(VLOOKUP(MID(INDEX(Database_dermo!$A:$I, MATCH($O1529, Database_dermo!$A:$A, 0), 2),20,3),Notes!A$1:C$9,2,TRUE), "Not Found")</f>
        <v>2</v>
      </c>
      <c r="E1529" s="1">
        <f>IFERROR(INDEX(Database_dermo!$A:$I, MATCH($O1529, Database_dermo!$A:$A, 0), 3), "Not Found")</f>
        <v>56.46</v>
      </c>
      <c r="F1529" s="1" t="str">
        <f>IFERROR(INDEX(Database_repro!$A:$F, MATCH($O1529, Database_repro!$A:$A, 0), 3), "Not Found")</f>
        <v>F</v>
      </c>
      <c r="G1529" s="1">
        <f>IFERROR(INDEX(Database_repro!$A:$F, MATCH($O1529, Database_repro!$A:$A, 0), 4), "Not Found")</f>
        <v>2</v>
      </c>
      <c r="H1529" s="1" t="s">
        <v>16</v>
      </c>
      <c r="I1529" s="1" t="s">
        <v>16</v>
      </c>
      <c r="J1529" s="1" t="s">
        <v>16</v>
      </c>
      <c r="K1529" s="1" t="str">
        <f>IFERROR(INDEX(Database_repro!$A:$F, MATCH($O1529, Database_repro!$A:$A, 0), 5), "Not Found")</f>
        <v>Yes</v>
      </c>
      <c r="L1529" s="4" t="s">
        <v>17</v>
      </c>
      <c r="M1529" s="1" t="str">
        <f>IFERROR(IF(INDEX(Database_repro!$A:$F, MATCH($O1529, Database_repro!$A:$A, 0), 6)="N","No",IF(INDEX(Database_repro!$A:$F, MATCH($O1529, Database_repro!$A:$A, 0), 6)="Y","Yes","Z")), "Not Found")</f>
        <v>No</v>
      </c>
      <c r="N1529" s="27" t="s">
        <v>605</v>
      </c>
      <c r="O1529" t="s">
        <v>85</v>
      </c>
    </row>
    <row r="1530" spans="1:15" x14ac:dyDescent="0.2">
      <c r="A1530" s="9">
        <v>45446</v>
      </c>
      <c r="B1530" s="1" t="str">
        <f>IFERROR(VLOOKUP(MID(INDEX(Database_dermo!$A:$I, MATCH($O1530, Database_dermo!$A:$A, 0), 2),20,3),Notes!A$1:C$9,3,TRUE), "Not Found")</f>
        <v>LX-N</v>
      </c>
      <c r="C1530" s="1" t="str">
        <f>IFERROR(RIGHT(INDEX(Database_dermo!$A:$I, MATCH($O1530, Database_dermo!$A:$A, 0), 1),2), "Not Found")</f>
        <v>11</v>
      </c>
      <c r="D1530" s="1">
        <f>IFERROR(VLOOKUP(MID(INDEX(Database_dermo!$A:$I, MATCH($O1530, Database_dermo!$A:$A, 0), 2),20,3),Notes!A$1:C$9,2,TRUE), "Not Found")</f>
        <v>3</v>
      </c>
      <c r="E1530" s="1">
        <f>IFERROR(INDEX(Database_dermo!$A:$I, MATCH($O1530, Database_dermo!$A:$A, 0), 3), "Not Found")</f>
        <v>58.34</v>
      </c>
      <c r="F1530" s="1" t="str">
        <f>IFERROR(INDEX(Database_repro!$A:$F, MATCH($O1530, Database_repro!$A:$A, 0), 3), "Not Found")</f>
        <v>F</v>
      </c>
      <c r="G1530" s="1">
        <f>IFERROR(INDEX(Database_repro!$A:$F, MATCH($O1530, Database_repro!$A:$A, 0), 4), "Not Found")</f>
        <v>2</v>
      </c>
      <c r="H1530" s="1" t="s">
        <v>16</v>
      </c>
      <c r="I1530" s="1" t="s">
        <v>16</v>
      </c>
      <c r="J1530" s="1" t="s">
        <v>16</v>
      </c>
      <c r="K1530" s="1" t="str">
        <f>IFERROR(INDEX(Database_repro!$A:$F, MATCH($O1530, Database_repro!$A:$A, 0), 5), "Not Found")</f>
        <v>No</v>
      </c>
      <c r="L1530" s="4" t="s">
        <v>17</v>
      </c>
      <c r="M1530" s="1" t="str">
        <f>IFERROR(IF(INDEX(Database_repro!$A:$F, MATCH($O1530, Database_repro!$A:$A, 0), 6)="N","No",IF(INDEX(Database_repro!$A:$F, MATCH($O1530, Database_repro!$A:$A, 0), 6)="Y","Yes","Z")), "Not Found")</f>
        <v>No</v>
      </c>
      <c r="N1530" s="27" t="s">
        <v>605</v>
      </c>
      <c r="O1530" t="s">
        <v>86</v>
      </c>
    </row>
    <row r="1531" spans="1:15" x14ac:dyDescent="0.2">
      <c r="A1531" s="9">
        <v>45446</v>
      </c>
      <c r="B1531" s="1" t="str">
        <f>IFERROR(VLOOKUP(MID(INDEX(Database_dermo!$A:$I, MATCH($O1531, Database_dermo!$A:$A, 0), 2),20,3),Notes!A$1:C$9,3,TRUE), "Not Found")</f>
        <v>LX-N</v>
      </c>
      <c r="C1531" s="1" t="str">
        <f>IFERROR(RIGHT(INDEX(Database_dermo!$A:$I, MATCH($O1531, Database_dermo!$A:$A, 0), 1),2), "Not Found")</f>
        <v>12</v>
      </c>
      <c r="D1531" s="1">
        <f>IFERROR(VLOOKUP(MID(INDEX(Database_dermo!$A:$I, MATCH($O1531, Database_dermo!$A:$A, 0), 2),20,3),Notes!A$1:C$9,2,TRUE), "Not Found")</f>
        <v>3</v>
      </c>
      <c r="E1531" s="1">
        <f>IFERROR(INDEX(Database_dermo!$A:$I, MATCH($O1531, Database_dermo!$A:$A, 0), 3), "Not Found")</f>
        <v>46.4</v>
      </c>
      <c r="F1531" s="1" t="str">
        <f>IFERROR(INDEX(Database_repro!$A:$F, MATCH($O1531, Database_repro!$A:$A, 0), 3), "Not Found")</f>
        <v>M</v>
      </c>
      <c r="G1531" s="1">
        <f>IFERROR(INDEX(Database_repro!$A:$F, MATCH($O1531, Database_repro!$A:$A, 0), 4), "Not Found")</f>
        <v>2</v>
      </c>
      <c r="H1531" s="1" t="s">
        <v>16</v>
      </c>
      <c r="I1531" s="1" t="s">
        <v>16</v>
      </c>
      <c r="J1531" s="1" t="s">
        <v>16</v>
      </c>
      <c r="K1531" s="1" t="str">
        <f>IFERROR(INDEX(Database_repro!$A:$F, MATCH($O1531, Database_repro!$A:$A, 0), 5), "Not Found")</f>
        <v>No</v>
      </c>
      <c r="L1531" s="4" t="s">
        <v>17</v>
      </c>
      <c r="M1531" s="1" t="str">
        <f>IFERROR(IF(INDEX(Database_repro!$A:$F, MATCH($O1531, Database_repro!$A:$A, 0), 6)="N","No",IF(INDEX(Database_repro!$A:$F, MATCH($O1531, Database_repro!$A:$A, 0), 6)="Y","Yes","Z")), "Not Found")</f>
        <v>No</v>
      </c>
      <c r="N1531" s="27" t="s">
        <v>605</v>
      </c>
      <c r="O1531" t="s">
        <v>88</v>
      </c>
    </row>
    <row r="1532" spans="1:15" x14ac:dyDescent="0.2">
      <c r="A1532" s="9">
        <v>45446</v>
      </c>
      <c r="B1532" s="1" t="str">
        <f>IFERROR(VLOOKUP(MID(INDEX(Database_dermo!$A:$I, MATCH($O1532, Database_dermo!$A:$A, 0), 2),20,3),Notes!A$1:C$9,3,TRUE), "Not Found")</f>
        <v>LX-N</v>
      </c>
      <c r="C1532" s="1" t="str">
        <f>IFERROR(RIGHT(INDEX(Database_dermo!$A:$I, MATCH($O1532, Database_dermo!$A:$A, 0), 1),2), "Not Found")</f>
        <v>13</v>
      </c>
      <c r="D1532" s="1">
        <f>IFERROR(VLOOKUP(MID(INDEX(Database_dermo!$A:$I, MATCH($O1532, Database_dermo!$A:$A, 0), 2),20,3),Notes!A$1:C$9,2,TRUE), "Not Found")</f>
        <v>3</v>
      </c>
      <c r="E1532" s="1">
        <f>IFERROR(INDEX(Database_dermo!$A:$I, MATCH($O1532, Database_dermo!$A:$A, 0), 3), "Not Found")</f>
        <v>52.94</v>
      </c>
      <c r="F1532" s="1" t="str">
        <f>IFERROR(INDEX(Database_repro!$A:$F, MATCH($O1532, Database_repro!$A:$A, 0), 3), "Not Found")</f>
        <v>F</v>
      </c>
      <c r="G1532" s="1">
        <f>IFERROR(INDEX(Database_repro!$A:$F, MATCH($O1532, Database_repro!$A:$A, 0), 4), "Not Found")</f>
        <v>2</v>
      </c>
      <c r="H1532" s="1" t="s">
        <v>16</v>
      </c>
      <c r="I1532" s="1" t="s">
        <v>16</v>
      </c>
      <c r="J1532" s="1" t="s">
        <v>16</v>
      </c>
      <c r="K1532" s="1" t="str">
        <f>IFERROR(INDEX(Database_repro!$A:$F, MATCH($O1532, Database_repro!$A:$A, 0), 5), "Not Found")</f>
        <v>Yes</v>
      </c>
      <c r="L1532" s="4" t="s">
        <v>17</v>
      </c>
      <c r="M1532" s="1" t="str">
        <f>IFERROR(IF(INDEX(Database_repro!$A:$F, MATCH($O1532, Database_repro!$A:$A, 0), 6)="N","No",IF(INDEX(Database_repro!$A:$F, MATCH($O1532, Database_repro!$A:$A, 0), 6)="Y","Yes","Z")), "Not Found")</f>
        <v>No</v>
      </c>
      <c r="N1532" s="27" t="s">
        <v>605</v>
      </c>
      <c r="O1532" t="s">
        <v>89</v>
      </c>
    </row>
    <row r="1533" spans="1:15" x14ac:dyDescent="0.2">
      <c r="A1533" s="9">
        <v>45446</v>
      </c>
      <c r="B1533" s="1" t="str">
        <f>IFERROR(VLOOKUP(MID(INDEX(Database_dermo!$A:$I, MATCH($O1533, Database_dermo!$A:$A, 0), 2),20,3),Notes!A$1:C$9,3,TRUE), "Not Found")</f>
        <v>LX-N</v>
      </c>
      <c r="C1533" s="1" t="str">
        <f>IFERROR(RIGHT(INDEX(Database_dermo!$A:$I, MATCH($O1533, Database_dermo!$A:$A, 0), 1),2), "Not Found")</f>
        <v>14</v>
      </c>
      <c r="D1533" s="1">
        <f>IFERROR(VLOOKUP(MID(INDEX(Database_dermo!$A:$I, MATCH($O1533, Database_dermo!$A:$A, 0), 2),20,3),Notes!A$1:C$9,2,TRUE), "Not Found")</f>
        <v>3</v>
      </c>
      <c r="E1533" s="1">
        <f>IFERROR(INDEX(Database_dermo!$A:$I, MATCH($O1533, Database_dermo!$A:$A, 0), 3), "Not Found")</f>
        <v>45.4</v>
      </c>
      <c r="F1533" s="1" t="str">
        <f>IFERROR(INDEX(Database_repro!$A:$F, MATCH($O1533, Database_repro!$A:$A, 0), 3), "Not Found")</f>
        <v>F</v>
      </c>
      <c r="G1533" s="1">
        <f>IFERROR(INDEX(Database_repro!$A:$F, MATCH($O1533, Database_repro!$A:$A, 0), 4), "Not Found")</f>
        <v>2</v>
      </c>
      <c r="H1533" s="1" t="s">
        <v>16</v>
      </c>
      <c r="I1533" s="1" t="s">
        <v>16</v>
      </c>
      <c r="J1533" s="1" t="s">
        <v>16</v>
      </c>
      <c r="K1533" s="1" t="str">
        <f>IFERROR(INDEX(Database_repro!$A:$F, MATCH($O1533, Database_repro!$A:$A, 0), 5), "Not Found")</f>
        <v>No</v>
      </c>
      <c r="L1533" s="4" t="s">
        <v>17</v>
      </c>
      <c r="M1533" s="1" t="str">
        <f>IFERROR(IF(INDEX(Database_repro!$A:$F, MATCH($O1533, Database_repro!$A:$A, 0), 6)="N","No",IF(INDEX(Database_repro!$A:$F, MATCH($O1533, Database_repro!$A:$A, 0), 6)="Y","Yes","Z")), "Not Found")</f>
        <v>No</v>
      </c>
      <c r="N1533" s="27" t="s">
        <v>605</v>
      </c>
      <c r="O1533" t="s">
        <v>90</v>
      </c>
    </row>
    <row r="1534" spans="1:15" x14ac:dyDescent="0.2">
      <c r="A1534" s="9">
        <v>45446</v>
      </c>
      <c r="B1534" s="1" t="str">
        <f>IFERROR(VLOOKUP(MID(INDEX(Database_dermo!$A:$I, MATCH($O1534, Database_dermo!$A:$A, 0), 2),20,3),Notes!A$1:C$9,3,TRUE), "Not Found")</f>
        <v>LX-N</v>
      </c>
      <c r="C1534" s="1" t="str">
        <f>IFERROR(RIGHT(INDEX(Database_dermo!$A:$I, MATCH($O1534, Database_dermo!$A:$A, 0), 1),2), "Not Found")</f>
        <v>15</v>
      </c>
      <c r="D1534" s="1">
        <f>IFERROR(VLOOKUP(MID(INDEX(Database_dermo!$A:$I, MATCH($O1534, Database_dermo!$A:$A, 0), 2),20,3),Notes!A$1:C$9,2,TRUE), "Not Found")</f>
        <v>3</v>
      </c>
      <c r="E1534" s="1">
        <f>IFERROR(INDEX(Database_dermo!$A:$I, MATCH($O1534, Database_dermo!$A:$A, 0), 3), "Not Found")</f>
        <v>39.020000000000003</v>
      </c>
      <c r="F1534" s="1" t="str">
        <f>IFERROR(INDEX(Database_repro!$A:$F, MATCH($O1534, Database_repro!$A:$A, 0), 3), "Not Found")</f>
        <v>F</v>
      </c>
      <c r="G1534" s="1">
        <f>IFERROR(INDEX(Database_repro!$A:$F, MATCH($O1534, Database_repro!$A:$A, 0), 4), "Not Found")</f>
        <v>2</v>
      </c>
      <c r="H1534" s="1" t="s">
        <v>16</v>
      </c>
      <c r="I1534" s="1" t="s">
        <v>16</v>
      </c>
      <c r="J1534" s="1" t="s">
        <v>16</v>
      </c>
      <c r="K1534" s="1" t="str">
        <f>IFERROR(INDEX(Database_repro!$A:$F, MATCH($O1534, Database_repro!$A:$A, 0), 5), "Not Found")</f>
        <v>No</v>
      </c>
      <c r="L1534" s="4" t="s">
        <v>17</v>
      </c>
      <c r="M1534" s="1" t="str">
        <f>IFERROR(IF(INDEX(Database_repro!$A:$F, MATCH($O1534, Database_repro!$A:$A, 0), 6)="N","No",IF(INDEX(Database_repro!$A:$F, MATCH($O1534, Database_repro!$A:$A, 0), 6)="Y","Yes","Z")), "Not Found")</f>
        <v>No</v>
      </c>
      <c r="N1534" s="27" t="s">
        <v>605</v>
      </c>
      <c r="O1534" t="s">
        <v>91</v>
      </c>
    </row>
    <row r="1535" spans="1:15" x14ac:dyDescent="0.2">
      <c r="A1535" s="9">
        <v>45482</v>
      </c>
      <c r="B1535" s="1" t="str">
        <f>IFERROR(VLOOKUP(MID(INDEX(Database_dermo!$A:$I, MATCH($O1535, Database_dermo!$A:$A, 0), 2),20,3),Notes!A$1:C$9,3,TRUE), "Not Found")</f>
        <v>LX-N</v>
      </c>
      <c r="C1535" s="1" t="str">
        <f>IFERROR(RIGHT(INDEX(Database_dermo!$A:$I, MATCH($O1535, Database_dermo!$A:$A, 0), 1),2), "Not Found")</f>
        <v>01</v>
      </c>
      <c r="D1535" s="1">
        <f>IFERROR(VLOOKUP(MID(INDEX(Database_dermo!$A:$I, MATCH($O1535, Database_dermo!$A:$A, 0), 2),20,3),Notes!A$1:C$9,2,TRUE), "Not Found")</f>
        <v>1</v>
      </c>
      <c r="E1535" s="1">
        <f>IFERROR(INDEX(Database_dermo!$A:$I, MATCH($O1535, Database_dermo!$A:$A, 0), 3), "Not Found")</f>
        <v>54.3</v>
      </c>
      <c r="F1535" s="1" t="str">
        <f>IFERROR(INDEX(Database_repro!$A:$F, MATCH($O1535, Database_repro!$A:$A, 0), 3), "Not Found")</f>
        <v>M</v>
      </c>
      <c r="G1535" s="1">
        <f>IFERROR(INDEX(Database_repro!$A:$F, MATCH($O1535, Database_repro!$A:$A, 0), 4), "Not Found")</f>
        <v>2</v>
      </c>
      <c r="H1535" s="1" t="s">
        <v>16</v>
      </c>
      <c r="I1535" s="1" t="s">
        <v>16</v>
      </c>
      <c r="J1535" s="1" t="s">
        <v>16</v>
      </c>
      <c r="K1535" s="1" t="str">
        <f>IFERROR(INDEX(Database_repro!$A:$F, MATCH($O1535, Database_repro!$A:$A, 0), 5), "Not Found")</f>
        <v>No</v>
      </c>
      <c r="L1535" s="4" t="s">
        <v>17</v>
      </c>
      <c r="M1535" s="1" t="str">
        <f>IFERROR(IF(INDEX(Database_repro!$A:$F, MATCH($O1535, Database_repro!$A:$A, 0), 6)="N","No",IF(INDEX(Database_repro!$A:$F, MATCH($O1535, Database_repro!$A:$A, 0), 6)="Y","Yes","Z")), "Not Found")</f>
        <v>No</v>
      </c>
      <c r="N1535" s="27" t="s">
        <v>605</v>
      </c>
      <c r="O1535" t="s">
        <v>92</v>
      </c>
    </row>
    <row r="1536" spans="1:15" x14ac:dyDescent="0.2">
      <c r="A1536" s="9">
        <v>45482</v>
      </c>
      <c r="B1536" s="1" t="str">
        <f>IFERROR(VLOOKUP(MID(INDEX(Database_dermo!$A:$I, MATCH($O1536, Database_dermo!$A:$A, 0), 2),20,3),Notes!A$1:C$9,3,TRUE), "Not Found")</f>
        <v>LX-N</v>
      </c>
      <c r="C1536" s="1" t="str">
        <f>IFERROR(RIGHT(INDEX(Database_dermo!$A:$I, MATCH($O1536, Database_dermo!$A:$A, 0), 1),2), "Not Found")</f>
        <v>02</v>
      </c>
      <c r="D1536" s="1">
        <f>IFERROR(VLOOKUP(MID(INDEX(Database_dermo!$A:$I, MATCH($O1536, Database_dermo!$A:$A, 0), 2),20,3),Notes!A$1:C$9,2,TRUE), "Not Found")</f>
        <v>1</v>
      </c>
      <c r="E1536" s="1">
        <f>IFERROR(INDEX(Database_dermo!$A:$I, MATCH($O1536, Database_dermo!$A:$A, 0), 3), "Not Found")</f>
        <v>55.01</v>
      </c>
      <c r="F1536" s="1" t="str">
        <f>IFERROR(INDEX(Database_repro!$A:$F, MATCH($O1536, Database_repro!$A:$A, 0), 3), "Not Found")</f>
        <v>F</v>
      </c>
      <c r="G1536" s="1">
        <f>IFERROR(INDEX(Database_repro!$A:$F, MATCH($O1536, Database_repro!$A:$A, 0), 4), "Not Found")</f>
        <v>2</v>
      </c>
      <c r="H1536" s="1" t="s">
        <v>16</v>
      </c>
      <c r="I1536" s="1" t="s">
        <v>16</v>
      </c>
      <c r="J1536" s="1" t="s">
        <v>16</v>
      </c>
      <c r="K1536" s="1" t="str">
        <f>IFERROR(INDEX(Database_repro!$A:$F, MATCH($O1536, Database_repro!$A:$A, 0), 5), "Not Found")</f>
        <v>No</v>
      </c>
      <c r="L1536" s="4" t="s">
        <v>17</v>
      </c>
      <c r="M1536" s="1" t="str">
        <f>IFERROR(IF(INDEX(Database_repro!$A:$F, MATCH($O1536, Database_repro!$A:$A, 0), 6)="N","No",IF(INDEX(Database_repro!$A:$F, MATCH($O1536, Database_repro!$A:$A, 0), 6)="Y","Yes","Z")), "Not Found")</f>
        <v>No</v>
      </c>
      <c r="N1536" s="27" t="s">
        <v>605</v>
      </c>
      <c r="O1536" t="s">
        <v>94</v>
      </c>
    </row>
    <row r="1537" spans="1:15" x14ac:dyDescent="0.2">
      <c r="A1537" s="9">
        <v>45482</v>
      </c>
      <c r="B1537" s="1" t="str">
        <f>IFERROR(VLOOKUP(MID(INDEX(Database_dermo!$A:$I, MATCH($O1537, Database_dermo!$A:$A, 0), 2),20,3),Notes!A$1:C$9,3,TRUE), "Not Found")</f>
        <v>LX-N</v>
      </c>
      <c r="C1537" s="1" t="str">
        <f>IFERROR(RIGHT(INDEX(Database_dermo!$A:$I, MATCH($O1537, Database_dermo!$A:$A, 0), 1),2), "Not Found")</f>
        <v>03</v>
      </c>
      <c r="D1537" s="1">
        <f>IFERROR(VLOOKUP(MID(INDEX(Database_dermo!$A:$I, MATCH($O1537, Database_dermo!$A:$A, 0), 2),20,3),Notes!A$1:C$9,2,TRUE), "Not Found")</f>
        <v>1</v>
      </c>
      <c r="E1537" s="1">
        <f>IFERROR(INDEX(Database_dermo!$A:$I, MATCH($O1537, Database_dermo!$A:$A, 0), 3), "Not Found")</f>
        <v>47.13</v>
      </c>
      <c r="F1537" s="1" t="str">
        <f>IFERROR(INDEX(Database_repro!$A:$F, MATCH($O1537, Database_repro!$A:$A, 0), 3), "Not Found")</f>
        <v>F</v>
      </c>
      <c r="G1537" s="1">
        <f>IFERROR(INDEX(Database_repro!$A:$F, MATCH($O1537, Database_repro!$A:$A, 0), 4), "Not Found")</f>
        <v>2</v>
      </c>
      <c r="H1537" s="1" t="s">
        <v>16</v>
      </c>
      <c r="I1537" s="1" t="s">
        <v>16</v>
      </c>
      <c r="J1537" s="1" t="s">
        <v>16</v>
      </c>
      <c r="K1537" s="1" t="str">
        <f>IFERROR(INDEX(Database_repro!$A:$F, MATCH($O1537, Database_repro!$A:$A, 0), 5), "Not Found")</f>
        <v>No</v>
      </c>
      <c r="L1537" s="4" t="s">
        <v>17</v>
      </c>
      <c r="M1537" s="1" t="str">
        <f>IFERROR(IF(INDEX(Database_repro!$A:$F, MATCH($O1537, Database_repro!$A:$A, 0), 6)="N","No",IF(INDEX(Database_repro!$A:$F, MATCH($O1537, Database_repro!$A:$A, 0), 6)="Y","Yes","Z")), "Not Found")</f>
        <v>No</v>
      </c>
      <c r="N1537" s="27" t="s">
        <v>605</v>
      </c>
      <c r="O1537" t="s">
        <v>95</v>
      </c>
    </row>
    <row r="1538" spans="1:15" x14ac:dyDescent="0.2">
      <c r="A1538" s="9">
        <v>45482</v>
      </c>
      <c r="B1538" s="1" t="str">
        <f>IFERROR(VLOOKUP(MID(INDEX(Database_dermo!$A:$I, MATCH($O1538, Database_dermo!$A:$A, 0), 2),20,3),Notes!A$1:C$9,3,TRUE), "Not Found")</f>
        <v>LX-N</v>
      </c>
      <c r="C1538" s="1" t="str">
        <f>IFERROR(RIGHT(INDEX(Database_dermo!$A:$I, MATCH($O1538, Database_dermo!$A:$A, 0), 1),2), "Not Found")</f>
        <v>04</v>
      </c>
      <c r="D1538" s="1">
        <f>IFERROR(VLOOKUP(MID(INDEX(Database_dermo!$A:$I, MATCH($O1538, Database_dermo!$A:$A, 0), 2),20,3),Notes!A$1:C$9,2,TRUE), "Not Found")</f>
        <v>1</v>
      </c>
      <c r="E1538" s="1">
        <f>IFERROR(INDEX(Database_dermo!$A:$I, MATCH($O1538, Database_dermo!$A:$A, 0), 3), "Not Found")</f>
        <v>46.65</v>
      </c>
      <c r="F1538" s="1" t="str">
        <f>IFERROR(INDEX(Database_repro!$A:$F, MATCH($O1538, Database_repro!$A:$A, 0), 3), "Not Found")</f>
        <v>F</v>
      </c>
      <c r="G1538" s="1">
        <f>IFERROR(INDEX(Database_repro!$A:$F, MATCH($O1538, Database_repro!$A:$A, 0), 4), "Not Found")</f>
        <v>2</v>
      </c>
      <c r="H1538" s="1" t="s">
        <v>16</v>
      </c>
      <c r="I1538" s="1" t="s">
        <v>16</v>
      </c>
      <c r="J1538" s="1" t="s">
        <v>16</v>
      </c>
      <c r="K1538" s="1" t="str">
        <f>IFERROR(INDEX(Database_repro!$A:$F, MATCH($O1538, Database_repro!$A:$A, 0), 5), "Not Found")</f>
        <v>No</v>
      </c>
      <c r="L1538" s="4" t="s">
        <v>17</v>
      </c>
      <c r="M1538" s="1" t="str">
        <f>IFERROR(IF(INDEX(Database_repro!$A:$F, MATCH($O1538, Database_repro!$A:$A, 0), 6)="N","No",IF(INDEX(Database_repro!$A:$F, MATCH($O1538, Database_repro!$A:$A, 0), 6)="Y","Yes","Z")), "Not Found")</f>
        <v>No</v>
      </c>
      <c r="N1538" s="27" t="s">
        <v>605</v>
      </c>
      <c r="O1538" t="s">
        <v>96</v>
      </c>
    </row>
    <row r="1539" spans="1:15" x14ac:dyDescent="0.2">
      <c r="A1539" s="9">
        <v>45482</v>
      </c>
      <c r="B1539" s="1" t="str">
        <f>IFERROR(VLOOKUP(MID(INDEX(Database_dermo!$A:$I, MATCH($O1539, Database_dermo!$A:$A, 0), 2),20,3),Notes!A$1:C$9,3,TRUE), "Not Found")</f>
        <v>LX-N</v>
      </c>
      <c r="C1539" s="1" t="str">
        <f>IFERROR(RIGHT(INDEX(Database_dermo!$A:$I, MATCH($O1539, Database_dermo!$A:$A, 0), 1),2), "Not Found")</f>
        <v>05</v>
      </c>
      <c r="D1539" s="1">
        <f>IFERROR(VLOOKUP(MID(INDEX(Database_dermo!$A:$I, MATCH($O1539, Database_dermo!$A:$A, 0), 2),20,3),Notes!A$1:C$9,2,TRUE), "Not Found")</f>
        <v>1</v>
      </c>
      <c r="E1539" s="1">
        <f>IFERROR(INDEX(Database_dermo!$A:$I, MATCH($O1539, Database_dermo!$A:$A, 0), 3), "Not Found")</f>
        <v>51.05</v>
      </c>
      <c r="F1539" s="1" t="str">
        <f>IFERROR(INDEX(Database_repro!$A:$F, MATCH($O1539, Database_repro!$A:$A, 0), 3), "Not Found")</f>
        <v>F</v>
      </c>
      <c r="G1539" s="1">
        <f>IFERROR(INDEX(Database_repro!$A:$F, MATCH($O1539, Database_repro!$A:$A, 0), 4), "Not Found")</f>
        <v>2</v>
      </c>
      <c r="H1539" s="1" t="s">
        <v>16</v>
      </c>
      <c r="I1539" s="1" t="s">
        <v>16</v>
      </c>
      <c r="J1539" s="1" t="s">
        <v>16</v>
      </c>
      <c r="K1539" s="1" t="str">
        <f>IFERROR(INDEX(Database_repro!$A:$F, MATCH($O1539, Database_repro!$A:$A, 0), 5), "Not Found")</f>
        <v>No</v>
      </c>
      <c r="L1539" s="4" t="s">
        <v>17</v>
      </c>
      <c r="M1539" s="1" t="str">
        <f>IFERROR(IF(INDEX(Database_repro!$A:$F, MATCH($O1539, Database_repro!$A:$A, 0), 6)="N","No",IF(INDEX(Database_repro!$A:$F, MATCH($O1539, Database_repro!$A:$A, 0), 6)="Y","Yes","Z")), "Not Found")</f>
        <v>No</v>
      </c>
      <c r="N1539" s="27" t="s">
        <v>605</v>
      </c>
      <c r="O1539" t="s">
        <v>98</v>
      </c>
    </row>
    <row r="1540" spans="1:15" x14ac:dyDescent="0.2">
      <c r="A1540" s="9">
        <v>45482</v>
      </c>
      <c r="B1540" s="1" t="str">
        <f>IFERROR(VLOOKUP(MID(INDEX(Database_dermo!$A:$I, MATCH($O1540, Database_dermo!$A:$A, 0), 2),20,3),Notes!A$1:C$9,3,TRUE), "Not Found")</f>
        <v>LX-N</v>
      </c>
      <c r="C1540" s="1" t="str">
        <f>IFERROR(RIGHT(INDEX(Database_dermo!$A:$I, MATCH($O1540, Database_dermo!$A:$A, 0), 1),2), "Not Found")</f>
        <v>06</v>
      </c>
      <c r="D1540" s="1">
        <f>IFERROR(VLOOKUP(MID(INDEX(Database_dermo!$A:$I, MATCH($O1540, Database_dermo!$A:$A, 0), 2),20,3),Notes!A$1:C$9,2,TRUE), "Not Found")</f>
        <v>2</v>
      </c>
      <c r="E1540" s="1">
        <f>IFERROR(INDEX(Database_dermo!$A:$I, MATCH($O1540, Database_dermo!$A:$A, 0), 3), "Not Found")</f>
        <v>39.5</v>
      </c>
      <c r="F1540" s="1" t="str">
        <f>IFERROR(INDEX(Database_repro!$A:$F, MATCH($O1540, Database_repro!$A:$A, 0), 3), "Not Found")</f>
        <v>M</v>
      </c>
      <c r="G1540" s="1">
        <f>IFERROR(INDEX(Database_repro!$A:$F, MATCH($O1540, Database_repro!$A:$A, 0), 4), "Not Found")</f>
        <v>2</v>
      </c>
      <c r="H1540" s="1" t="s">
        <v>16</v>
      </c>
      <c r="I1540" s="1" t="s">
        <v>16</v>
      </c>
      <c r="J1540" s="1" t="s">
        <v>16</v>
      </c>
      <c r="K1540" s="1" t="str">
        <f>IFERROR(INDEX(Database_repro!$A:$F, MATCH($O1540, Database_repro!$A:$A, 0), 5), "Not Found")</f>
        <v>No</v>
      </c>
      <c r="L1540" s="4" t="s">
        <v>17</v>
      </c>
      <c r="M1540" s="1" t="str">
        <f>IFERROR(IF(INDEX(Database_repro!$A:$F, MATCH($O1540, Database_repro!$A:$A, 0), 6)="N","No",IF(INDEX(Database_repro!$A:$F, MATCH($O1540, Database_repro!$A:$A, 0), 6)="Y","Yes","Z")), "Not Found")</f>
        <v>No</v>
      </c>
      <c r="N1540" s="27" t="s">
        <v>605</v>
      </c>
      <c r="O1540" t="s">
        <v>99</v>
      </c>
    </row>
    <row r="1541" spans="1:15" x14ac:dyDescent="0.2">
      <c r="A1541" s="9">
        <v>45482</v>
      </c>
      <c r="B1541" s="1" t="str">
        <f>IFERROR(VLOOKUP(MID(INDEX(Database_dermo!$A:$I, MATCH($O1541, Database_dermo!$A:$A, 0), 2),20,3),Notes!A$1:C$9,3,TRUE), "Not Found")</f>
        <v>LX-N</v>
      </c>
      <c r="C1541" s="1" t="str">
        <f>IFERROR(RIGHT(INDEX(Database_dermo!$A:$I, MATCH($O1541, Database_dermo!$A:$A, 0), 1),2), "Not Found")</f>
        <v>07</v>
      </c>
      <c r="D1541" s="1">
        <f>IFERROR(VLOOKUP(MID(INDEX(Database_dermo!$A:$I, MATCH($O1541, Database_dermo!$A:$A, 0), 2),20,3),Notes!A$1:C$9,2,TRUE), "Not Found")</f>
        <v>2</v>
      </c>
      <c r="E1541" s="1">
        <f>IFERROR(INDEX(Database_dermo!$A:$I, MATCH($O1541, Database_dermo!$A:$A, 0), 3), "Not Found")</f>
        <v>42.72</v>
      </c>
      <c r="F1541" s="1" t="str">
        <f>IFERROR(INDEX(Database_repro!$A:$F, MATCH($O1541, Database_repro!$A:$A, 0), 3), "Not Found")</f>
        <v>F</v>
      </c>
      <c r="G1541" s="1">
        <f>IFERROR(INDEX(Database_repro!$A:$F, MATCH($O1541, Database_repro!$A:$A, 0), 4), "Not Found")</f>
        <v>2</v>
      </c>
      <c r="H1541" s="1" t="s">
        <v>16</v>
      </c>
      <c r="I1541" s="1" t="s">
        <v>16</v>
      </c>
      <c r="J1541" s="1" t="s">
        <v>16</v>
      </c>
      <c r="K1541" s="1" t="str">
        <f>IFERROR(INDEX(Database_repro!$A:$F, MATCH($O1541, Database_repro!$A:$A, 0), 5), "Not Found")</f>
        <v>Yes</v>
      </c>
      <c r="L1541" s="4" t="s">
        <v>17</v>
      </c>
      <c r="M1541" s="1" t="str">
        <f>IFERROR(IF(INDEX(Database_repro!$A:$F, MATCH($O1541, Database_repro!$A:$A, 0), 6)="N","No",IF(INDEX(Database_repro!$A:$F, MATCH($O1541, Database_repro!$A:$A, 0), 6)="Y","Yes","Z")), "Not Found")</f>
        <v>No</v>
      </c>
      <c r="N1541" s="27" t="s">
        <v>605</v>
      </c>
      <c r="O1541" t="s">
        <v>101</v>
      </c>
    </row>
    <row r="1542" spans="1:15" x14ac:dyDescent="0.2">
      <c r="A1542" s="9">
        <v>45482</v>
      </c>
      <c r="B1542" s="1" t="str">
        <f>IFERROR(VLOOKUP(MID(INDEX(Database_dermo!$A:$I, MATCH($O1542, Database_dermo!$A:$A, 0), 2),20,3),Notes!A$1:C$9,3,TRUE), "Not Found")</f>
        <v>LX-N</v>
      </c>
      <c r="C1542" s="1" t="str">
        <f>IFERROR(RIGHT(INDEX(Database_dermo!$A:$I, MATCH($O1542, Database_dermo!$A:$A, 0), 1),2), "Not Found")</f>
        <v>08</v>
      </c>
      <c r="D1542" s="1">
        <f>IFERROR(VLOOKUP(MID(INDEX(Database_dermo!$A:$I, MATCH($O1542, Database_dermo!$A:$A, 0), 2),20,3),Notes!A$1:C$9,2,TRUE), "Not Found")</f>
        <v>2</v>
      </c>
      <c r="E1542" s="1">
        <f>IFERROR(INDEX(Database_dermo!$A:$I, MATCH($O1542, Database_dermo!$A:$A, 0), 3), "Not Found")</f>
        <v>40.119999999999997</v>
      </c>
      <c r="F1542" s="1" t="str">
        <f>IFERROR(INDEX(Database_repro!$A:$F, MATCH($O1542, Database_repro!$A:$A, 0), 3), "Not Found")</f>
        <v>M</v>
      </c>
      <c r="G1542" s="1">
        <f>IFERROR(INDEX(Database_repro!$A:$F, MATCH($O1542, Database_repro!$A:$A, 0), 4), "Not Found")</f>
        <v>2</v>
      </c>
      <c r="H1542" s="1" t="s">
        <v>16</v>
      </c>
      <c r="I1542" s="1" t="s">
        <v>16</v>
      </c>
      <c r="J1542" s="1" t="s">
        <v>16</v>
      </c>
      <c r="K1542" s="1" t="str">
        <f>IFERROR(INDEX(Database_repro!$A:$F, MATCH($O1542, Database_repro!$A:$A, 0), 5), "Not Found")</f>
        <v>No</v>
      </c>
      <c r="L1542" s="4" t="s">
        <v>17</v>
      </c>
      <c r="M1542" s="1" t="str">
        <f>IFERROR(IF(INDEX(Database_repro!$A:$F, MATCH($O1542, Database_repro!$A:$A, 0), 6)="N","No",IF(INDEX(Database_repro!$A:$F, MATCH($O1542, Database_repro!$A:$A, 0), 6)="Y","Yes","Z")), "Not Found")</f>
        <v>No</v>
      </c>
      <c r="N1542" s="27" t="s">
        <v>605</v>
      </c>
      <c r="O1542" t="s">
        <v>103</v>
      </c>
    </row>
    <row r="1543" spans="1:15" x14ac:dyDescent="0.2">
      <c r="A1543" s="9">
        <v>45482</v>
      </c>
      <c r="B1543" s="1" t="str">
        <f>IFERROR(VLOOKUP(MID(INDEX(Database_dermo!$A:$I, MATCH($O1543, Database_dermo!$A:$A, 0), 2),20,3),Notes!A$1:C$9,3,TRUE), "Not Found")</f>
        <v>LX-N</v>
      </c>
      <c r="C1543" s="1" t="str">
        <f>IFERROR(RIGHT(INDEX(Database_dermo!$A:$I, MATCH($O1543, Database_dermo!$A:$A, 0), 1),2), "Not Found")</f>
        <v>09</v>
      </c>
      <c r="D1543" s="1">
        <f>IFERROR(VLOOKUP(MID(INDEX(Database_dermo!$A:$I, MATCH($O1543, Database_dermo!$A:$A, 0), 2),20,3),Notes!A$1:C$9,2,TRUE), "Not Found")</f>
        <v>2</v>
      </c>
      <c r="E1543" s="1">
        <f>IFERROR(INDEX(Database_dermo!$A:$I, MATCH($O1543, Database_dermo!$A:$A, 0), 3), "Not Found")</f>
        <v>56.3</v>
      </c>
      <c r="F1543" s="1" t="str">
        <f>IFERROR(INDEX(Database_repro!$A:$F, MATCH($O1543, Database_repro!$A:$A, 0), 3), "Not Found")</f>
        <v>F</v>
      </c>
      <c r="G1543" s="1">
        <f>IFERROR(INDEX(Database_repro!$A:$F, MATCH($O1543, Database_repro!$A:$A, 0), 4), "Not Found")</f>
        <v>2</v>
      </c>
      <c r="H1543" s="1" t="s">
        <v>16</v>
      </c>
      <c r="I1543" s="1" t="s">
        <v>16</v>
      </c>
      <c r="J1543" s="1" t="s">
        <v>16</v>
      </c>
      <c r="K1543" s="1" t="str">
        <f>IFERROR(INDEX(Database_repro!$A:$F, MATCH($O1543, Database_repro!$A:$A, 0), 5), "Not Found")</f>
        <v>Yes</v>
      </c>
      <c r="L1543" s="4" t="s">
        <v>17</v>
      </c>
      <c r="M1543" s="1" t="str">
        <f>IFERROR(IF(INDEX(Database_repro!$A:$F, MATCH($O1543, Database_repro!$A:$A, 0), 6)="N","No",IF(INDEX(Database_repro!$A:$F, MATCH($O1543, Database_repro!$A:$A, 0), 6)="Y","Yes","Z")), "Not Found")</f>
        <v>No</v>
      </c>
      <c r="N1543" s="27" t="s">
        <v>605</v>
      </c>
      <c r="O1543" t="s">
        <v>104</v>
      </c>
    </row>
    <row r="1544" spans="1:15" x14ac:dyDescent="0.2">
      <c r="A1544" s="9">
        <v>45482</v>
      </c>
      <c r="B1544" s="1" t="str">
        <f>IFERROR(VLOOKUP(MID(INDEX(Database_dermo!$A:$I, MATCH($O1544, Database_dermo!$A:$A, 0), 2),20,3),Notes!A$1:C$9,3,TRUE), "Not Found")</f>
        <v>LX-N</v>
      </c>
      <c r="C1544" s="1" t="str">
        <f>IFERROR(RIGHT(INDEX(Database_dermo!$A:$I, MATCH($O1544, Database_dermo!$A:$A, 0), 1),2), "Not Found")</f>
        <v>10</v>
      </c>
      <c r="D1544" s="1">
        <f>IFERROR(VLOOKUP(MID(INDEX(Database_dermo!$A:$I, MATCH($O1544, Database_dermo!$A:$A, 0), 2),20,3),Notes!A$1:C$9,2,TRUE), "Not Found")</f>
        <v>2</v>
      </c>
      <c r="E1544" s="1">
        <f>IFERROR(INDEX(Database_dermo!$A:$I, MATCH($O1544, Database_dermo!$A:$A, 0), 3), "Not Found")</f>
        <v>48.4</v>
      </c>
      <c r="F1544" s="1" t="str">
        <f>IFERROR(INDEX(Database_repro!$A:$F, MATCH($O1544, Database_repro!$A:$A, 0), 3), "Not Found")</f>
        <v>F</v>
      </c>
      <c r="G1544" s="1">
        <f>IFERROR(INDEX(Database_repro!$A:$F, MATCH($O1544, Database_repro!$A:$A, 0), 4), "Not Found")</f>
        <v>2</v>
      </c>
      <c r="H1544" s="1" t="s">
        <v>16</v>
      </c>
      <c r="I1544" s="1" t="s">
        <v>16</v>
      </c>
      <c r="J1544" s="1" t="s">
        <v>16</v>
      </c>
      <c r="K1544" s="1" t="str">
        <f>IFERROR(INDEX(Database_repro!$A:$F, MATCH($O1544, Database_repro!$A:$A, 0), 5), "Not Found")</f>
        <v>Yes</v>
      </c>
      <c r="L1544" s="4" t="s">
        <v>17</v>
      </c>
      <c r="M1544" s="1" t="str">
        <f>IFERROR(IF(INDEX(Database_repro!$A:$F, MATCH($O1544, Database_repro!$A:$A, 0), 6)="N","No",IF(INDEX(Database_repro!$A:$F, MATCH($O1544, Database_repro!$A:$A, 0), 6)="Y","Yes","Z")), "Not Found")</f>
        <v>No</v>
      </c>
      <c r="N1544" s="27" t="s">
        <v>605</v>
      </c>
      <c r="O1544" t="s">
        <v>105</v>
      </c>
    </row>
    <row r="1545" spans="1:15" x14ac:dyDescent="0.2">
      <c r="A1545" s="9">
        <v>45482</v>
      </c>
      <c r="B1545" s="1" t="str">
        <f>IFERROR(VLOOKUP(MID(INDEX(Database_dermo!$A:$I, MATCH($O1545, Database_dermo!$A:$A, 0), 2),20,3),Notes!A$1:C$9,3,TRUE), "Not Found")</f>
        <v>LX-N</v>
      </c>
      <c r="C1545" s="1" t="str">
        <f>IFERROR(RIGHT(INDEX(Database_dermo!$A:$I, MATCH($O1545, Database_dermo!$A:$A, 0), 1),2), "Not Found")</f>
        <v>11</v>
      </c>
      <c r="D1545" s="1">
        <f>IFERROR(VLOOKUP(MID(INDEX(Database_dermo!$A:$I, MATCH($O1545, Database_dermo!$A:$A, 0), 2),20,3),Notes!A$1:C$9,2,TRUE), "Not Found")</f>
        <v>3</v>
      </c>
      <c r="E1545" s="1">
        <f>IFERROR(INDEX(Database_dermo!$A:$I, MATCH($O1545, Database_dermo!$A:$A, 0), 3), "Not Found")</f>
        <v>44.15</v>
      </c>
      <c r="F1545" s="1" t="str">
        <f>IFERROR(INDEX(Database_repro!$A:$F, MATCH($O1545, Database_repro!$A:$A, 0), 3), "Not Found")</f>
        <v>M</v>
      </c>
      <c r="G1545" s="1">
        <f>IFERROR(INDEX(Database_repro!$A:$F, MATCH($O1545, Database_repro!$A:$A, 0), 4), "Not Found")</f>
        <v>2</v>
      </c>
      <c r="H1545" s="1" t="s">
        <v>16</v>
      </c>
      <c r="I1545" s="1" t="s">
        <v>16</v>
      </c>
      <c r="J1545" s="1" t="s">
        <v>16</v>
      </c>
      <c r="K1545" s="1" t="str">
        <f>IFERROR(INDEX(Database_repro!$A:$F, MATCH($O1545, Database_repro!$A:$A, 0), 5), "Not Found")</f>
        <v>No</v>
      </c>
      <c r="L1545" s="4" t="s">
        <v>17</v>
      </c>
      <c r="M1545" s="1" t="str">
        <f>IFERROR(IF(INDEX(Database_repro!$A:$F, MATCH($O1545, Database_repro!$A:$A, 0), 6)="N","No",IF(INDEX(Database_repro!$A:$F, MATCH($O1545, Database_repro!$A:$A, 0), 6)="Y","Yes","Z")), "Not Found")</f>
        <v>No</v>
      </c>
      <c r="N1545" s="27" t="s">
        <v>605</v>
      </c>
      <c r="O1545" t="s">
        <v>106</v>
      </c>
    </row>
    <row r="1546" spans="1:15" x14ac:dyDescent="0.2">
      <c r="A1546" s="9">
        <v>45482</v>
      </c>
      <c r="B1546" s="1" t="str">
        <f>IFERROR(VLOOKUP(MID(INDEX(Database_dermo!$A:$I, MATCH($O1546, Database_dermo!$A:$A, 0), 2),20,3),Notes!A$1:C$9,3,TRUE), "Not Found")</f>
        <v>LX-N</v>
      </c>
      <c r="C1546" s="1" t="str">
        <f>IFERROR(RIGHT(INDEX(Database_dermo!$A:$I, MATCH($O1546, Database_dermo!$A:$A, 0), 1),2), "Not Found")</f>
        <v>12</v>
      </c>
      <c r="D1546" s="1">
        <f>IFERROR(VLOOKUP(MID(INDEX(Database_dermo!$A:$I, MATCH($O1546, Database_dermo!$A:$A, 0), 2),20,3),Notes!A$1:C$9,2,TRUE), "Not Found")</f>
        <v>3</v>
      </c>
      <c r="E1546" s="1">
        <f>IFERROR(INDEX(Database_dermo!$A:$I, MATCH($O1546, Database_dermo!$A:$A, 0), 3), "Not Found")</f>
        <v>38.97</v>
      </c>
      <c r="F1546" s="1" t="str">
        <f>IFERROR(INDEX(Database_repro!$A:$F, MATCH($O1546, Database_repro!$A:$A, 0), 3), "Not Found")</f>
        <v>F</v>
      </c>
      <c r="G1546" s="1">
        <f>IFERROR(INDEX(Database_repro!$A:$F, MATCH($O1546, Database_repro!$A:$A, 0), 4), "Not Found")</f>
        <v>2</v>
      </c>
      <c r="H1546" s="1" t="s">
        <v>16</v>
      </c>
      <c r="I1546" s="1" t="s">
        <v>16</v>
      </c>
      <c r="J1546" s="1" t="s">
        <v>16</v>
      </c>
      <c r="K1546" s="1" t="str">
        <f>IFERROR(INDEX(Database_repro!$A:$F, MATCH($O1546, Database_repro!$A:$A, 0), 5), "Not Found")</f>
        <v>No</v>
      </c>
      <c r="L1546" s="4" t="s">
        <v>17</v>
      </c>
      <c r="M1546" s="1" t="str">
        <f>IFERROR(IF(INDEX(Database_repro!$A:$F, MATCH($O1546, Database_repro!$A:$A, 0), 6)="N","No",IF(INDEX(Database_repro!$A:$F, MATCH($O1546, Database_repro!$A:$A, 0), 6)="Y","Yes","Z")), "Not Found")</f>
        <v>No</v>
      </c>
      <c r="N1546" s="27" t="s">
        <v>605</v>
      </c>
      <c r="O1546" t="s">
        <v>108</v>
      </c>
    </row>
    <row r="1547" spans="1:15" x14ac:dyDescent="0.2">
      <c r="A1547" s="9">
        <v>45482</v>
      </c>
      <c r="B1547" s="1" t="str">
        <f>IFERROR(VLOOKUP(MID(INDEX(Database_dermo!$A:$I, MATCH($O1547, Database_dermo!$A:$A, 0), 2),20,3),Notes!A$1:C$9,3,TRUE), "Not Found")</f>
        <v>LX-N</v>
      </c>
      <c r="C1547" s="1" t="str">
        <f>IFERROR(RIGHT(INDEX(Database_dermo!$A:$I, MATCH($O1547, Database_dermo!$A:$A, 0), 1),2), "Not Found")</f>
        <v>13</v>
      </c>
      <c r="D1547" s="1">
        <f>IFERROR(VLOOKUP(MID(INDEX(Database_dermo!$A:$I, MATCH($O1547, Database_dermo!$A:$A, 0), 2),20,3),Notes!A$1:C$9,2,TRUE), "Not Found")</f>
        <v>3</v>
      </c>
      <c r="E1547" s="1">
        <f>IFERROR(INDEX(Database_dermo!$A:$I, MATCH($O1547, Database_dermo!$A:$A, 0), 3), "Not Found")</f>
        <v>51.32</v>
      </c>
      <c r="F1547" s="1" t="str">
        <f>IFERROR(INDEX(Database_repro!$A:$F, MATCH($O1547, Database_repro!$A:$A, 0), 3), "Not Found")</f>
        <v>F</v>
      </c>
      <c r="G1547" s="1">
        <f>IFERROR(INDEX(Database_repro!$A:$F, MATCH($O1547, Database_repro!$A:$A, 0), 4), "Not Found")</f>
        <v>2</v>
      </c>
      <c r="H1547" s="1" t="s">
        <v>16</v>
      </c>
      <c r="I1547" s="1" t="s">
        <v>16</v>
      </c>
      <c r="J1547" s="1" t="s">
        <v>16</v>
      </c>
      <c r="K1547" s="1" t="str">
        <f>IFERROR(INDEX(Database_repro!$A:$F, MATCH($O1547, Database_repro!$A:$A, 0), 5), "Not Found")</f>
        <v>No</v>
      </c>
      <c r="L1547" s="4" t="s">
        <v>17</v>
      </c>
      <c r="M1547" s="1" t="str">
        <f>IFERROR(IF(INDEX(Database_repro!$A:$F, MATCH($O1547, Database_repro!$A:$A, 0), 6)="N","No",IF(INDEX(Database_repro!$A:$F, MATCH($O1547, Database_repro!$A:$A, 0), 6)="Y","Yes","Z")), "Not Found")</f>
        <v>No</v>
      </c>
      <c r="N1547" s="27" t="s">
        <v>605</v>
      </c>
      <c r="O1547" t="s">
        <v>109</v>
      </c>
    </row>
    <row r="1548" spans="1:15" x14ac:dyDescent="0.2">
      <c r="A1548" s="9">
        <v>45482</v>
      </c>
      <c r="B1548" s="1" t="str">
        <f>IFERROR(VLOOKUP(MID(INDEX(Database_dermo!$A:$I, MATCH($O1548, Database_dermo!$A:$A, 0), 2),20,3),Notes!A$1:C$9,3,TRUE), "Not Found")</f>
        <v>LX-N</v>
      </c>
      <c r="C1548" s="1" t="str">
        <f>IFERROR(RIGHT(INDEX(Database_dermo!$A:$I, MATCH($O1548, Database_dermo!$A:$A, 0), 1),2), "Not Found")</f>
        <v>14</v>
      </c>
      <c r="D1548" s="1">
        <f>IFERROR(VLOOKUP(MID(INDEX(Database_dermo!$A:$I, MATCH($O1548, Database_dermo!$A:$A, 0), 2),20,3),Notes!A$1:C$9,2,TRUE), "Not Found")</f>
        <v>3</v>
      </c>
      <c r="E1548" s="1">
        <f>IFERROR(INDEX(Database_dermo!$A:$I, MATCH($O1548, Database_dermo!$A:$A, 0), 3), "Not Found")</f>
        <v>38.69</v>
      </c>
      <c r="F1548" s="1" t="str">
        <f>IFERROR(INDEX(Database_repro!$A:$F, MATCH($O1548, Database_repro!$A:$A, 0), 3), "Not Found")</f>
        <v>M</v>
      </c>
      <c r="G1548" s="1">
        <f>IFERROR(INDEX(Database_repro!$A:$F, MATCH($O1548, Database_repro!$A:$A, 0), 4), "Not Found")</f>
        <v>2</v>
      </c>
      <c r="H1548" s="1" t="s">
        <v>16</v>
      </c>
      <c r="I1548" s="1" t="s">
        <v>16</v>
      </c>
      <c r="J1548" s="1" t="s">
        <v>16</v>
      </c>
      <c r="K1548" s="1" t="str">
        <f>IFERROR(INDEX(Database_repro!$A:$F, MATCH($O1548, Database_repro!$A:$A, 0), 5), "Not Found")</f>
        <v>No</v>
      </c>
      <c r="L1548" s="4" t="s">
        <v>17</v>
      </c>
      <c r="M1548" s="1" t="str">
        <f>IFERROR(IF(INDEX(Database_repro!$A:$F, MATCH($O1548, Database_repro!$A:$A, 0), 6)="N","No",IF(INDEX(Database_repro!$A:$F, MATCH($O1548, Database_repro!$A:$A, 0), 6)="Y","Yes","Z")), "Not Found")</f>
        <v>No</v>
      </c>
      <c r="N1548" s="27" t="s">
        <v>605</v>
      </c>
      <c r="O1548" t="s">
        <v>110</v>
      </c>
    </row>
    <row r="1549" spans="1:15" x14ac:dyDescent="0.2">
      <c r="A1549" s="9">
        <v>45482</v>
      </c>
      <c r="B1549" s="1" t="str">
        <f>IFERROR(VLOOKUP(MID(INDEX(Database_dermo!$A:$I, MATCH($O1549, Database_dermo!$A:$A, 0), 2),20,3),Notes!A$1:C$9,3,TRUE), "Not Found")</f>
        <v>LX-N</v>
      </c>
      <c r="C1549" s="1" t="str">
        <f>IFERROR(RIGHT(INDEX(Database_dermo!$A:$I, MATCH($O1549, Database_dermo!$A:$A, 0), 1),2), "Not Found")</f>
        <v>15</v>
      </c>
      <c r="D1549" s="1">
        <f>IFERROR(VLOOKUP(MID(INDEX(Database_dermo!$A:$I, MATCH($O1549, Database_dermo!$A:$A, 0), 2),20,3),Notes!A$1:C$9,2,TRUE), "Not Found")</f>
        <v>3</v>
      </c>
      <c r="E1549" s="1">
        <f>IFERROR(INDEX(Database_dermo!$A:$I, MATCH($O1549, Database_dermo!$A:$A, 0), 3), "Not Found")</f>
        <v>47.26</v>
      </c>
      <c r="F1549" s="1" t="str">
        <f>IFERROR(INDEX(Database_repro!$A:$F, MATCH($O1549, Database_repro!$A:$A, 0), 3), "Not Found")</f>
        <v>F</v>
      </c>
      <c r="G1549" s="1">
        <f>IFERROR(INDEX(Database_repro!$A:$F, MATCH($O1549, Database_repro!$A:$A, 0), 4), "Not Found")</f>
        <v>2</v>
      </c>
      <c r="H1549" s="1" t="s">
        <v>16</v>
      </c>
      <c r="I1549" s="1" t="s">
        <v>16</v>
      </c>
      <c r="J1549" s="1" t="s">
        <v>16</v>
      </c>
      <c r="K1549" s="1" t="str">
        <f>IFERROR(INDEX(Database_repro!$A:$F, MATCH($O1549, Database_repro!$A:$A, 0), 5), "Not Found")</f>
        <v>Yes</v>
      </c>
      <c r="L1549" s="4" t="s">
        <v>17</v>
      </c>
      <c r="M1549" s="1" t="str">
        <f>IFERROR(IF(INDEX(Database_repro!$A:$F, MATCH($O1549, Database_repro!$A:$A, 0), 6)="N","No",IF(INDEX(Database_repro!$A:$F, MATCH($O1549, Database_repro!$A:$A, 0), 6)="Y","Yes","Z")), "Not Found")</f>
        <v>No</v>
      </c>
      <c r="N1549" s="27" t="s">
        <v>605</v>
      </c>
      <c r="O1549" t="s">
        <v>111</v>
      </c>
    </row>
    <row r="1550" spans="1:15" x14ac:dyDescent="0.2">
      <c r="A1550" s="9">
        <v>45510</v>
      </c>
      <c r="B1550" s="1" t="str">
        <f>IFERROR(VLOOKUP(MID(INDEX(Database_dermo!$A:$I, MATCH($O1550, Database_dermo!$A:$A, 0), 2),20,3),Notes!A$1:C$9,3,TRUE), "Not Found")</f>
        <v>LX-N</v>
      </c>
      <c r="C1550" s="1" t="str">
        <f>IFERROR(RIGHT(INDEX(Database_dermo!$A:$I, MATCH($O1550, Database_dermo!$A:$A, 0), 1),2), "Not Found")</f>
        <v>01</v>
      </c>
      <c r="D1550" s="1">
        <f>IFERROR(VLOOKUP(MID(INDEX(Database_dermo!$A:$I, MATCH($O1550, Database_dermo!$A:$A, 0), 2),20,3),Notes!A$1:C$9,2,TRUE), "Not Found")</f>
        <v>1</v>
      </c>
      <c r="E1550" s="1">
        <f>IFERROR(INDEX(Database_dermo!$A:$I, MATCH($O1550, Database_dermo!$A:$A, 0), 3), "Not Found")</f>
        <v>45.08</v>
      </c>
      <c r="F1550" s="1" t="str">
        <f>IFERROR(INDEX(Database_repro!$A:$F, MATCH($O1550, Database_repro!$A:$A, 0), 3), "Not Found")</f>
        <v>F</v>
      </c>
      <c r="G1550" s="1">
        <f>IFERROR(INDEX(Database_repro!$A:$F, MATCH($O1550, Database_repro!$A:$A, 0), 4), "Not Found")</f>
        <v>2</v>
      </c>
      <c r="H1550" s="1" t="s">
        <v>16</v>
      </c>
      <c r="I1550" s="1" t="s">
        <v>16</v>
      </c>
      <c r="J1550" s="1" t="s">
        <v>16</v>
      </c>
      <c r="K1550" s="1" t="str">
        <f>IFERROR(INDEX(Database_repro!$A:$F, MATCH($O1550, Database_repro!$A:$A, 0), 5), "Not Found")</f>
        <v>No</v>
      </c>
      <c r="L1550" s="4" t="s">
        <v>17</v>
      </c>
      <c r="M1550" s="1" t="str">
        <f>IFERROR(IF(INDEX(Database_repro!$A:$F, MATCH($O1550, Database_repro!$A:$A, 0), 6)="N","No",IF(INDEX(Database_repro!$A:$F, MATCH($O1550, Database_repro!$A:$A, 0), 6)="Y","Yes","Z")), "Not Found")</f>
        <v>No</v>
      </c>
      <c r="N1550" s="27" t="s">
        <v>605</v>
      </c>
      <c r="O1550" t="s">
        <v>112</v>
      </c>
    </row>
    <row r="1551" spans="1:15" x14ac:dyDescent="0.2">
      <c r="A1551" s="9">
        <v>45510</v>
      </c>
      <c r="B1551" s="1" t="str">
        <f>IFERROR(VLOOKUP(MID(INDEX(Database_dermo!$A:$I, MATCH($O1551, Database_dermo!$A:$A, 0), 2),20,3),Notes!A$1:C$9,3,TRUE), "Not Found")</f>
        <v>LX-N</v>
      </c>
      <c r="C1551" s="1" t="str">
        <f>IFERROR(RIGHT(INDEX(Database_dermo!$A:$I, MATCH($O1551, Database_dermo!$A:$A, 0), 1),2), "Not Found")</f>
        <v>02</v>
      </c>
      <c r="D1551" s="1">
        <f>IFERROR(VLOOKUP(MID(INDEX(Database_dermo!$A:$I, MATCH($O1551, Database_dermo!$A:$A, 0), 2),20,3),Notes!A$1:C$9,2,TRUE), "Not Found")</f>
        <v>1</v>
      </c>
      <c r="E1551" s="1">
        <f>IFERROR(INDEX(Database_dermo!$A:$I, MATCH($O1551, Database_dermo!$A:$A, 0), 3), "Not Found")</f>
        <v>50.56</v>
      </c>
      <c r="F1551" s="1" t="str">
        <f>IFERROR(INDEX(Database_repro!$A:$F, MATCH($O1551, Database_repro!$A:$A, 0), 3), "Not Found")</f>
        <v>F</v>
      </c>
      <c r="G1551" s="1">
        <f>IFERROR(INDEX(Database_repro!$A:$F, MATCH($O1551, Database_repro!$A:$A, 0), 4), "Not Found")</f>
        <v>2</v>
      </c>
      <c r="H1551" s="1" t="s">
        <v>16</v>
      </c>
      <c r="I1551" s="1" t="s">
        <v>16</v>
      </c>
      <c r="J1551" s="1" t="s">
        <v>16</v>
      </c>
      <c r="K1551" s="1" t="str">
        <f>IFERROR(INDEX(Database_repro!$A:$F, MATCH($O1551, Database_repro!$A:$A, 0), 5), "Not Found")</f>
        <v>Yes</v>
      </c>
      <c r="L1551" s="4" t="s">
        <v>17</v>
      </c>
      <c r="M1551" s="1" t="str">
        <f>IFERROR(IF(INDEX(Database_repro!$A:$F, MATCH($O1551, Database_repro!$A:$A, 0), 6)="N","No",IF(INDEX(Database_repro!$A:$F, MATCH($O1551, Database_repro!$A:$A, 0), 6)="Y","Yes","Z")), "Not Found")</f>
        <v>No</v>
      </c>
      <c r="N1551" s="27" t="s">
        <v>605</v>
      </c>
      <c r="O1551" t="s">
        <v>114</v>
      </c>
    </row>
    <row r="1552" spans="1:15" x14ac:dyDescent="0.2">
      <c r="A1552" s="9">
        <v>45510</v>
      </c>
      <c r="B1552" s="1" t="str">
        <f>IFERROR(VLOOKUP(MID(INDEX(Database_dermo!$A:$I, MATCH($O1552, Database_dermo!$A:$A, 0), 2),20,3),Notes!A$1:C$9,3,TRUE), "Not Found")</f>
        <v>LX-N</v>
      </c>
      <c r="C1552" s="1" t="str">
        <f>IFERROR(RIGHT(INDEX(Database_dermo!$A:$I, MATCH($O1552, Database_dermo!$A:$A, 0), 1),2), "Not Found")</f>
        <v>03</v>
      </c>
      <c r="D1552" s="1">
        <f>IFERROR(VLOOKUP(MID(INDEX(Database_dermo!$A:$I, MATCH($O1552, Database_dermo!$A:$A, 0), 2),20,3),Notes!A$1:C$9,2,TRUE), "Not Found")</f>
        <v>1</v>
      </c>
      <c r="E1552" s="1">
        <f>IFERROR(INDEX(Database_dermo!$A:$I, MATCH($O1552, Database_dermo!$A:$A, 0), 3), "Not Found")</f>
        <v>51.43</v>
      </c>
      <c r="F1552" s="1" t="str">
        <f>IFERROR(INDEX(Database_repro!$A:$F, MATCH($O1552, Database_repro!$A:$A, 0), 3), "Not Found")</f>
        <v>M</v>
      </c>
      <c r="G1552" s="1">
        <f>IFERROR(INDEX(Database_repro!$A:$F, MATCH($O1552, Database_repro!$A:$A, 0), 4), "Not Found")</f>
        <v>2</v>
      </c>
      <c r="H1552" s="1" t="s">
        <v>16</v>
      </c>
      <c r="I1552" s="1" t="s">
        <v>16</v>
      </c>
      <c r="J1552" s="1" t="s">
        <v>16</v>
      </c>
      <c r="K1552" s="1" t="str">
        <f>IFERROR(INDEX(Database_repro!$A:$F, MATCH($O1552, Database_repro!$A:$A, 0), 5), "Not Found")</f>
        <v>No</v>
      </c>
      <c r="L1552" s="4" t="s">
        <v>17</v>
      </c>
      <c r="M1552" s="1" t="str">
        <f>IFERROR(IF(INDEX(Database_repro!$A:$F, MATCH($O1552, Database_repro!$A:$A, 0), 6)="N","No",IF(INDEX(Database_repro!$A:$F, MATCH($O1552, Database_repro!$A:$A, 0), 6)="Y","Yes","Z")), "Not Found")</f>
        <v>No</v>
      </c>
      <c r="N1552" s="27" t="s">
        <v>605</v>
      </c>
      <c r="O1552" t="s">
        <v>115</v>
      </c>
    </row>
    <row r="1553" spans="1:15" x14ac:dyDescent="0.2">
      <c r="A1553" s="9">
        <v>45510</v>
      </c>
      <c r="B1553" s="1" t="str">
        <f>IFERROR(VLOOKUP(MID(INDEX(Database_dermo!$A:$I, MATCH($O1553, Database_dermo!$A:$A, 0), 2),20,3),Notes!A$1:C$9,3,TRUE), "Not Found")</f>
        <v>LX-N</v>
      </c>
      <c r="C1553" s="1" t="str">
        <f>IFERROR(RIGHT(INDEX(Database_dermo!$A:$I, MATCH($O1553, Database_dermo!$A:$A, 0), 1),2), "Not Found")</f>
        <v>04</v>
      </c>
      <c r="D1553" s="1">
        <f>IFERROR(VLOOKUP(MID(INDEX(Database_dermo!$A:$I, MATCH($O1553, Database_dermo!$A:$A, 0), 2),20,3),Notes!A$1:C$9,2,TRUE), "Not Found")</f>
        <v>1</v>
      </c>
      <c r="E1553" s="1">
        <f>IFERROR(INDEX(Database_dermo!$A:$I, MATCH($O1553, Database_dermo!$A:$A, 0), 3), "Not Found")</f>
        <v>42.02</v>
      </c>
      <c r="F1553" s="1" t="str">
        <f>IFERROR(INDEX(Database_repro!$A:$F, MATCH($O1553, Database_repro!$A:$A, 0), 3), "Not Found")</f>
        <v>F</v>
      </c>
      <c r="G1553" s="1">
        <f>IFERROR(INDEX(Database_repro!$A:$F, MATCH($O1553, Database_repro!$A:$A, 0), 4), "Not Found")</f>
        <v>2</v>
      </c>
      <c r="H1553" s="1" t="s">
        <v>16</v>
      </c>
      <c r="I1553" s="1" t="s">
        <v>16</v>
      </c>
      <c r="J1553" s="1" t="s">
        <v>16</v>
      </c>
      <c r="K1553" s="1" t="str">
        <f>IFERROR(INDEX(Database_repro!$A:$F, MATCH($O1553, Database_repro!$A:$A, 0), 5), "Not Found")</f>
        <v>Yes</v>
      </c>
      <c r="L1553" s="4" t="s">
        <v>17</v>
      </c>
      <c r="M1553" s="1" t="str">
        <f>IFERROR(IF(INDEX(Database_repro!$A:$F, MATCH($O1553, Database_repro!$A:$A, 0), 6)="N","No",IF(INDEX(Database_repro!$A:$F, MATCH($O1553, Database_repro!$A:$A, 0), 6)="Y","Yes","Z")), "Not Found")</f>
        <v>No</v>
      </c>
      <c r="N1553" s="27" t="s">
        <v>605</v>
      </c>
      <c r="O1553" t="s">
        <v>116</v>
      </c>
    </row>
    <row r="1554" spans="1:15" x14ac:dyDescent="0.2">
      <c r="A1554" s="9">
        <v>45510</v>
      </c>
      <c r="B1554" s="1" t="str">
        <f>IFERROR(VLOOKUP(MID(INDEX(Database_dermo!$A:$I, MATCH($O1554, Database_dermo!$A:$A, 0), 2),20,3),Notes!A$1:C$9,3,TRUE), "Not Found")</f>
        <v>LX-N</v>
      </c>
      <c r="C1554" s="1" t="str">
        <f>IFERROR(RIGHT(INDEX(Database_dermo!$A:$I, MATCH($O1554, Database_dermo!$A:$A, 0), 1),2), "Not Found")</f>
        <v>05</v>
      </c>
      <c r="D1554" s="1">
        <f>IFERROR(VLOOKUP(MID(INDEX(Database_dermo!$A:$I, MATCH($O1554, Database_dermo!$A:$A, 0), 2),20,3),Notes!A$1:C$9,2,TRUE), "Not Found")</f>
        <v>1</v>
      </c>
      <c r="E1554" s="1">
        <f>IFERROR(INDEX(Database_dermo!$A:$I, MATCH($O1554, Database_dermo!$A:$A, 0), 3), "Not Found")</f>
        <v>35.53</v>
      </c>
      <c r="F1554" s="1" t="str">
        <f>IFERROR(INDEX(Database_repro!$A:$F, MATCH($O1554, Database_repro!$A:$A, 0), 3), "Not Found")</f>
        <v>M</v>
      </c>
      <c r="G1554" s="1">
        <f>IFERROR(INDEX(Database_repro!$A:$F, MATCH($O1554, Database_repro!$A:$A, 0), 4), "Not Found")</f>
        <v>2</v>
      </c>
      <c r="H1554" s="1" t="s">
        <v>16</v>
      </c>
      <c r="I1554" s="1" t="s">
        <v>16</v>
      </c>
      <c r="J1554" s="1" t="s">
        <v>16</v>
      </c>
      <c r="K1554" s="1" t="str">
        <f>IFERROR(INDEX(Database_repro!$A:$F, MATCH($O1554, Database_repro!$A:$A, 0), 5), "Not Found")</f>
        <v>No</v>
      </c>
      <c r="L1554" s="4" t="s">
        <v>17</v>
      </c>
      <c r="M1554" s="1" t="str">
        <f>IFERROR(IF(INDEX(Database_repro!$A:$F, MATCH($O1554, Database_repro!$A:$A, 0), 6)="N","No",IF(INDEX(Database_repro!$A:$F, MATCH($O1554, Database_repro!$A:$A, 0), 6)="Y","Yes","Z")), "Not Found")</f>
        <v>No</v>
      </c>
      <c r="N1554" s="27" t="s">
        <v>605</v>
      </c>
      <c r="O1554" t="s">
        <v>117</v>
      </c>
    </row>
    <row r="1555" spans="1:15" x14ac:dyDescent="0.2">
      <c r="A1555" s="9">
        <v>45510</v>
      </c>
      <c r="B1555" s="1" t="str">
        <f>IFERROR(VLOOKUP(MID(INDEX(Database_dermo!$A:$I, MATCH($O1555, Database_dermo!$A:$A, 0), 2),20,3),Notes!A$1:C$9,3,TRUE), "Not Found")</f>
        <v>LX-N</v>
      </c>
      <c r="C1555" s="1" t="str">
        <f>IFERROR(RIGHT(INDEX(Database_dermo!$A:$I, MATCH($O1555, Database_dermo!$A:$A, 0), 1),2), "Not Found")</f>
        <v>06</v>
      </c>
      <c r="D1555" s="1">
        <f>IFERROR(VLOOKUP(MID(INDEX(Database_dermo!$A:$I, MATCH($O1555, Database_dermo!$A:$A, 0), 2),20,3),Notes!A$1:C$9,2,TRUE), "Not Found")</f>
        <v>2</v>
      </c>
      <c r="E1555" s="1">
        <f>IFERROR(INDEX(Database_dermo!$A:$I, MATCH($O1555, Database_dermo!$A:$A, 0), 3), "Not Found")</f>
        <v>58.48</v>
      </c>
      <c r="F1555" s="1" t="str">
        <f>IFERROR(INDEX(Database_repro!$A:$F, MATCH($O1555, Database_repro!$A:$A, 0), 3), "Not Found")</f>
        <v>M</v>
      </c>
      <c r="G1555" s="1">
        <f>IFERROR(INDEX(Database_repro!$A:$F, MATCH($O1555, Database_repro!$A:$A, 0), 4), "Not Found")</f>
        <v>2</v>
      </c>
      <c r="H1555" s="1" t="s">
        <v>16</v>
      </c>
      <c r="I1555" s="1" t="s">
        <v>16</v>
      </c>
      <c r="J1555" s="1" t="s">
        <v>16</v>
      </c>
      <c r="K1555" s="1" t="str">
        <f>IFERROR(INDEX(Database_repro!$A:$F, MATCH($O1555, Database_repro!$A:$A, 0), 5), "Not Found")</f>
        <v>No</v>
      </c>
      <c r="L1555" s="4" t="s">
        <v>17</v>
      </c>
      <c r="M1555" s="1" t="str">
        <f>IFERROR(IF(INDEX(Database_repro!$A:$F, MATCH($O1555, Database_repro!$A:$A, 0), 6)="N","No",IF(INDEX(Database_repro!$A:$F, MATCH($O1555, Database_repro!$A:$A, 0), 6)="Y","Yes","Z")), "Not Found")</f>
        <v>No</v>
      </c>
      <c r="N1555" s="27" t="s">
        <v>605</v>
      </c>
      <c r="O1555" t="s">
        <v>119</v>
      </c>
    </row>
    <row r="1556" spans="1:15" x14ac:dyDescent="0.2">
      <c r="A1556" s="9">
        <v>45510</v>
      </c>
      <c r="B1556" s="1" t="str">
        <f>IFERROR(VLOOKUP(MID(INDEX(Database_dermo!$A:$I, MATCH($O1556, Database_dermo!$A:$A, 0), 2),20,3),Notes!A$1:C$9,3,TRUE), "Not Found")</f>
        <v>LX-N</v>
      </c>
      <c r="C1556" s="1" t="str">
        <f>IFERROR(RIGHT(INDEX(Database_dermo!$A:$I, MATCH($O1556, Database_dermo!$A:$A, 0), 1),2), "Not Found")</f>
        <v>07</v>
      </c>
      <c r="D1556" s="1">
        <f>IFERROR(VLOOKUP(MID(INDEX(Database_dermo!$A:$I, MATCH($O1556, Database_dermo!$A:$A, 0), 2),20,3),Notes!A$1:C$9,2,TRUE), "Not Found")</f>
        <v>2</v>
      </c>
      <c r="E1556" s="1">
        <f>IFERROR(INDEX(Database_dermo!$A:$I, MATCH($O1556, Database_dermo!$A:$A, 0), 3), "Not Found")</f>
        <v>53.8</v>
      </c>
      <c r="F1556" s="1" t="str">
        <f>IFERROR(INDEX(Database_repro!$A:$F, MATCH($O1556, Database_repro!$A:$A, 0), 3), "Not Found")</f>
        <v>F</v>
      </c>
      <c r="G1556" s="1">
        <f>IFERROR(INDEX(Database_repro!$A:$F, MATCH($O1556, Database_repro!$A:$A, 0), 4), "Not Found")</f>
        <v>2</v>
      </c>
      <c r="H1556" s="1" t="s">
        <v>16</v>
      </c>
      <c r="I1556" s="1" t="s">
        <v>16</v>
      </c>
      <c r="J1556" s="1" t="s">
        <v>16</v>
      </c>
      <c r="K1556" s="1" t="str">
        <f>IFERROR(INDEX(Database_repro!$A:$F, MATCH($O1556, Database_repro!$A:$A, 0), 5), "Not Found")</f>
        <v>No</v>
      </c>
      <c r="L1556" s="4" t="s">
        <v>17</v>
      </c>
      <c r="M1556" s="1" t="str">
        <f>IFERROR(IF(INDEX(Database_repro!$A:$F, MATCH($O1556, Database_repro!$A:$A, 0), 6)="N","No",IF(INDEX(Database_repro!$A:$F, MATCH($O1556, Database_repro!$A:$A, 0), 6)="Y","Yes","Z")), "Not Found")</f>
        <v>No</v>
      </c>
      <c r="N1556" s="27" t="s">
        <v>605</v>
      </c>
      <c r="O1556" t="s">
        <v>121</v>
      </c>
    </row>
    <row r="1557" spans="1:15" x14ac:dyDescent="0.2">
      <c r="A1557" s="9">
        <v>45510</v>
      </c>
      <c r="B1557" s="1" t="str">
        <f>IFERROR(VLOOKUP(MID(INDEX(Database_dermo!$A:$I, MATCH($O1557, Database_dermo!$A:$A, 0), 2),20,3),Notes!A$1:C$9,3,TRUE), "Not Found")</f>
        <v>LX-N</v>
      </c>
      <c r="C1557" s="1" t="str">
        <f>IFERROR(RIGHT(INDEX(Database_dermo!$A:$I, MATCH($O1557, Database_dermo!$A:$A, 0), 1),2), "Not Found")</f>
        <v>08</v>
      </c>
      <c r="D1557" s="1">
        <f>IFERROR(VLOOKUP(MID(INDEX(Database_dermo!$A:$I, MATCH($O1557, Database_dermo!$A:$A, 0), 2),20,3),Notes!A$1:C$9,2,TRUE), "Not Found")</f>
        <v>2</v>
      </c>
      <c r="E1557" s="1">
        <f>IFERROR(INDEX(Database_dermo!$A:$I, MATCH($O1557, Database_dermo!$A:$A, 0), 3), "Not Found")</f>
        <v>44.84</v>
      </c>
      <c r="F1557" s="1" t="str">
        <f>IFERROR(INDEX(Database_repro!$A:$F, MATCH($O1557, Database_repro!$A:$A, 0), 3), "Not Found")</f>
        <v>M</v>
      </c>
      <c r="G1557" s="1">
        <f>IFERROR(INDEX(Database_repro!$A:$F, MATCH($O1557, Database_repro!$A:$A, 0), 4), "Not Found")</f>
        <v>2</v>
      </c>
      <c r="H1557" s="1" t="s">
        <v>16</v>
      </c>
      <c r="I1557" s="1" t="s">
        <v>16</v>
      </c>
      <c r="J1557" s="1" t="s">
        <v>16</v>
      </c>
      <c r="K1557" s="1" t="str">
        <f>IFERROR(INDEX(Database_repro!$A:$F, MATCH($O1557, Database_repro!$A:$A, 0), 5), "Not Found")</f>
        <v>No</v>
      </c>
      <c r="L1557" s="4" t="s">
        <v>17</v>
      </c>
      <c r="M1557" s="1" t="str">
        <f>IFERROR(IF(INDEX(Database_repro!$A:$F, MATCH($O1557, Database_repro!$A:$A, 0), 6)="N","No",IF(INDEX(Database_repro!$A:$F, MATCH($O1557, Database_repro!$A:$A, 0), 6)="Y","Yes","Z")), "Not Found")</f>
        <v>No</v>
      </c>
      <c r="N1557" s="27" t="s">
        <v>605</v>
      </c>
      <c r="O1557" t="s">
        <v>122</v>
      </c>
    </row>
    <row r="1558" spans="1:15" x14ac:dyDescent="0.2">
      <c r="A1558" s="9">
        <v>45510</v>
      </c>
      <c r="B1558" s="1" t="str">
        <f>IFERROR(VLOOKUP(MID(INDEX(Database_dermo!$A:$I, MATCH($O1558, Database_dermo!$A:$A, 0), 2),20,3),Notes!A$1:C$9,3,TRUE), "Not Found")</f>
        <v>LX-N</v>
      </c>
      <c r="C1558" s="1" t="str">
        <f>IFERROR(RIGHT(INDEX(Database_dermo!$A:$I, MATCH($O1558, Database_dermo!$A:$A, 0), 1),2), "Not Found")</f>
        <v>09</v>
      </c>
      <c r="D1558" s="1">
        <f>IFERROR(VLOOKUP(MID(INDEX(Database_dermo!$A:$I, MATCH($O1558, Database_dermo!$A:$A, 0), 2),20,3),Notes!A$1:C$9,2,TRUE), "Not Found")</f>
        <v>2</v>
      </c>
      <c r="E1558" s="1">
        <f>IFERROR(INDEX(Database_dermo!$A:$I, MATCH($O1558, Database_dermo!$A:$A, 0), 3), "Not Found")</f>
        <v>53.86</v>
      </c>
      <c r="F1558" s="1" t="str">
        <f>IFERROR(INDEX(Database_repro!$A:$F, MATCH($O1558, Database_repro!$A:$A, 0), 3), "Not Found")</f>
        <v>F</v>
      </c>
      <c r="G1558" s="1">
        <f>IFERROR(INDEX(Database_repro!$A:$F, MATCH($O1558, Database_repro!$A:$A, 0), 4), "Not Found")</f>
        <v>2</v>
      </c>
      <c r="H1558" s="1" t="s">
        <v>16</v>
      </c>
      <c r="I1558" s="1" t="s">
        <v>16</v>
      </c>
      <c r="J1558" s="1" t="s">
        <v>16</v>
      </c>
      <c r="K1558" s="1" t="str">
        <f>IFERROR(INDEX(Database_repro!$A:$F, MATCH($O1558, Database_repro!$A:$A, 0), 5), "Not Found")</f>
        <v>Yes</v>
      </c>
      <c r="L1558" s="4" t="s">
        <v>17</v>
      </c>
      <c r="M1558" s="1" t="str">
        <f>IFERROR(IF(INDEX(Database_repro!$A:$F, MATCH($O1558, Database_repro!$A:$A, 0), 6)="N","No",IF(INDEX(Database_repro!$A:$F, MATCH($O1558, Database_repro!$A:$A, 0), 6)="Y","Yes","Z")), "Not Found")</f>
        <v>No</v>
      </c>
      <c r="N1558" s="27" t="s">
        <v>605</v>
      </c>
      <c r="O1558" t="s">
        <v>123</v>
      </c>
    </row>
    <row r="1559" spans="1:15" x14ac:dyDescent="0.2">
      <c r="A1559" s="9">
        <v>45510</v>
      </c>
      <c r="B1559" s="1" t="str">
        <f>IFERROR(VLOOKUP(MID(INDEX(Database_dermo!$A:$I, MATCH($O1559, Database_dermo!$A:$A, 0), 2),20,3),Notes!A$1:C$9,3,TRUE), "Not Found")</f>
        <v>LX-N</v>
      </c>
      <c r="C1559" s="1" t="str">
        <f>IFERROR(RIGHT(INDEX(Database_dermo!$A:$I, MATCH($O1559, Database_dermo!$A:$A, 0), 1),2), "Not Found")</f>
        <v>10</v>
      </c>
      <c r="D1559" s="1">
        <f>IFERROR(VLOOKUP(MID(INDEX(Database_dermo!$A:$I, MATCH($O1559, Database_dermo!$A:$A, 0), 2),20,3),Notes!A$1:C$9,2,TRUE), "Not Found")</f>
        <v>2</v>
      </c>
      <c r="E1559" s="1">
        <f>IFERROR(INDEX(Database_dermo!$A:$I, MATCH($O1559, Database_dermo!$A:$A, 0), 3), "Not Found")</f>
        <v>43.51</v>
      </c>
      <c r="F1559" s="1" t="str">
        <f>IFERROR(INDEX(Database_repro!$A:$F, MATCH($O1559, Database_repro!$A:$A, 0), 3), "Not Found")</f>
        <v>M</v>
      </c>
      <c r="G1559" s="1">
        <f>IFERROR(INDEX(Database_repro!$A:$F, MATCH($O1559, Database_repro!$A:$A, 0), 4), "Not Found")</f>
        <v>2</v>
      </c>
      <c r="H1559" s="1" t="s">
        <v>16</v>
      </c>
      <c r="I1559" s="1" t="s">
        <v>16</v>
      </c>
      <c r="J1559" s="1" t="s">
        <v>16</v>
      </c>
      <c r="K1559" s="1" t="str">
        <f>IFERROR(INDEX(Database_repro!$A:$F, MATCH($O1559, Database_repro!$A:$A, 0), 5), "Not Found")</f>
        <v>No</v>
      </c>
      <c r="L1559" s="4" t="s">
        <v>17</v>
      </c>
      <c r="M1559" s="1" t="str">
        <f>IFERROR(IF(INDEX(Database_repro!$A:$F, MATCH($O1559, Database_repro!$A:$A, 0), 6)="N","No",IF(INDEX(Database_repro!$A:$F, MATCH($O1559, Database_repro!$A:$A, 0), 6)="Y","Yes","Z")), "Not Found")</f>
        <v>No</v>
      </c>
      <c r="N1559" s="27" t="s">
        <v>605</v>
      </c>
      <c r="O1559" t="s">
        <v>124</v>
      </c>
    </row>
    <row r="1560" spans="1:15" x14ac:dyDescent="0.2">
      <c r="A1560" s="9">
        <v>45510</v>
      </c>
      <c r="B1560" s="1" t="str">
        <f>IFERROR(VLOOKUP(MID(INDEX(Database_dermo!$A:$I, MATCH($O1560, Database_dermo!$A:$A, 0), 2),20,3),Notes!A$1:C$9,3,TRUE), "Not Found")</f>
        <v>LX-N</v>
      </c>
      <c r="C1560" s="1" t="str">
        <f>IFERROR(RIGHT(INDEX(Database_dermo!$A:$I, MATCH($O1560, Database_dermo!$A:$A, 0), 1),2), "Not Found")</f>
        <v>11</v>
      </c>
      <c r="D1560" s="1">
        <f>IFERROR(VLOOKUP(MID(INDEX(Database_dermo!$A:$I, MATCH($O1560, Database_dermo!$A:$A, 0), 2),20,3),Notes!A$1:C$9,2,TRUE), "Not Found")</f>
        <v>3</v>
      </c>
      <c r="E1560" s="1">
        <f>IFERROR(INDEX(Database_dermo!$A:$I, MATCH($O1560, Database_dermo!$A:$A, 0), 3), "Not Found")</f>
        <v>66.28</v>
      </c>
      <c r="F1560" s="1" t="str">
        <f>IFERROR(INDEX(Database_repro!$A:$F, MATCH($O1560, Database_repro!$A:$A, 0), 3), "Not Found")</f>
        <v>Z</v>
      </c>
      <c r="G1560" s="1">
        <f>IFERROR(INDEX(Database_repro!$A:$F, MATCH($O1560, Database_repro!$A:$A, 0), 4), "Not Found")</f>
        <v>4</v>
      </c>
      <c r="H1560" s="1" t="s">
        <v>16</v>
      </c>
      <c r="I1560" s="1" t="s">
        <v>16</v>
      </c>
      <c r="J1560" s="1" t="s">
        <v>16</v>
      </c>
      <c r="K1560" s="1" t="str">
        <f>IFERROR(INDEX(Database_repro!$A:$F, MATCH($O1560, Database_repro!$A:$A, 0), 5), "Not Found")</f>
        <v>Yes</v>
      </c>
      <c r="L1560" s="4" t="s">
        <v>17</v>
      </c>
      <c r="M1560" s="1" t="str">
        <f>IFERROR(IF(INDEX(Database_repro!$A:$F, MATCH($O1560, Database_repro!$A:$A, 0), 6)="N","No",IF(INDEX(Database_repro!$A:$F, MATCH($O1560, Database_repro!$A:$A, 0), 6)="Y","Yes","Z")), "Not Found")</f>
        <v>No</v>
      </c>
      <c r="N1560" s="27" t="s">
        <v>605</v>
      </c>
      <c r="O1560" t="s">
        <v>126</v>
      </c>
    </row>
    <row r="1561" spans="1:15" x14ac:dyDescent="0.2">
      <c r="A1561" s="9">
        <v>45510</v>
      </c>
      <c r="B1561" s="1" t="str">
        <f>IFERROR(VLOOKUP(MID(INDEX(Database_dermo!$A:$I, MATCH($O1561, Database_dermo!$A:$A, 0), 2),20,3),Notes!A$1:C$9,3,TRUE), "Not Found")</f>
        <v>LX-N</v>
      </c>
      <c r="C1561" s="1" t="str">
        <f>IFERROR(RIGHT(INDEX(Database_dermo!$A:$I, MATCH($O1561, Database_dermo!$A:$A, 0), 1),2), "Not Found")</f>
        <v>12</v>
      </c>
      <c r="D1561" s="1">
        <f>IFERROR(VLOOKUP(MID(INDEX(Database_dermo!$A:$I, MATCH($O1561, Database_dermo!$A:$A, 0), 2),20,3),Notes!A$1:C$9,2,TRUE), "Not Found")</f>
        <v>3</v>
      </c>
      <c r="E1561" s="1">
        <f>IFERROR(INDEX(Database_dermo!$A:$I, MATCH($O1561, Database_dermo!$A:$A, 0), 3), "Not Found")</f>
        <v>37.54</v>
      </c>
      <c r="F1561" s="1" t="str">
        <f>IFERROR(INDEX(Database_repro!$A:$F, MATCH($O1561, Database_repro!$A:$A, 0), 3), "Not Found")</f>
        <v>Z</v>
      </c>
      <c r="G1561" s="1" t="str">
        <f>IFERROR(INDEX(Database_repro!$A:$F, MATCH($O1561, Database_repro!$A:$A, 0), 4), "Not Found")</f>
        <v>Z</v>
      </c>
      <c r="H1561" s="1" t="s">
        <v>16</v>
      </c>
      <c r="I1561" s="1" t="s">
        <v>16</v>
      </c>
      <c r="J1561" s="1" t="s">
        <v>16</v>
      </c>
      <c r="K1561" s="1" t="str">
        <f>IFERROR(INDEX(Database_repro!$A:$F, MATCH($O1561, Database_repro!$A:$A, 0), 5), "Not Found")</f>
        <v>Buceph</v>
      </c>
      <c r="L1561" s="4" t="s">
        <v>17</v>
      </c>
      <c r="M1561" s="1" t="str">
        <f>IFERROR(IF(INDEX(Database_repro!$A:$F, MATCH($O1561, Database_repro!$A:$A, 0), 6)="N","No",IF(INDEX(Database_repro!$A:$F, MATCH($O1561, Database_repro!$A:$A, 0), 6)="Y","Yes","Z")), "Not Found")</f>
        <v>No</v>
      </c>
      <c r="N1561" s="27" t="s">
        <v>605</v>
      </c>
      <c r="O1561" t="s">
        <v>129</v>
      </c>
    </row>
    <row r="1562" spans="1:15" x14ac:dyDescent="0.2">
      <c r="A1562" s="9">
        <v>45510</v>
      </c>
      <c r="B1562" s="1" t="str">
        <f>IFERROR(VLOOKUP(MID(INDEX(Database_dermo!$A:$I, MATCH($O1562, Database_dermo!$A:$A, 0), 2),20,3),Notes!A$1:C$9,3,TRUE), "Not Found")</f>
        <v>LX-N</v>
      </c>
      <c r="C1562" s="1" t="str">
        <f>IFERROR(RIGHT(INDEX(Database_dermo!$A:$I, MATCH($O1562, Database_dermo!$A:$A, 0), 1),2), "Not Found")</f>
        <v>13</v>
      </c>
      <c r="D1562" s="1">
        <f>IFERROR(VLOOKUP(MID(INDEX(Database_dermo!$A:$I, MATCH($O1562, Database_dermo!$A:$A, 0), 2),20,3),Notes!A$1:C$9,2,TRUE), "Not Found")</f>
        <v>3</v>
      </c>
      <c r="E1562" s="1">
        <f>IFERROR(INDEX(Database_dermo!$A:$I, MATCH($O1562, Database_dermo!$A:$A, 0), 3), "Not Found")</f>
        <v>36.71</v>
      </c>
      <c r="F1562" s="1" t="str">
        <f>IFERROR(INDEX(Database_repro!$A:$F, MATCH($O1562, Database_repro!$A:$A, 0), 3), "Not Found")</f>
        <v>M</v>
      </c>
      <c r="G1562" s="1">
        <f>IFERROR(INDEX(Database_repro!$A:$F, MATCH($O1562, Database_repro!$A:$A, 0), 4), "Not Found")</f>
        <v>2</v>
      </c>
      <c r="H1562" s="1" t="s">
        <v>16</v>
      </c>
      <c r="I1562" s="1" t="s">
        <v>16</v>
      </c>
      <c r="J1562" s="1" t="s">
        <v>16</v>
      </c>
      <c r="K1562" s="1" t="str">
        <f>IFERROR(INDEX(Database_repro!$A:$F, MATCH($O1562, Database_repro!$A:$A, 0), 5), "Not Found")</f>
        <v>No</v>
      </c>
      <c r="L1562" s="4" t="s">
        <v>17</v>
      </c>
      <c r="M1562" s="1" t="str">
        <f>IFERROR(IF(INDEX(Database_repro!$A:$F, MATCH($O1562, Database_repro!$A:$A, 0), 6)="N","No",IF(INDEX(Database_repro!$A:$F, MATCH($O1562, Database_repro!$A:$A, 0), 6)="Y","Yes","Z")), "Not Found")</f>
        <v>No</v>
      </c>
      <c r="N1562" s="27" t="s">
        <v>605</v>
      </c>
      <c r="O1562" t="s">
        <v>130</v>
      </c>
    </row>
    <row r="1563" spans="1:15" x14ac:dyDescent="0.2">
      <c r="A1563" s="9">
        <v>45510</v>
      </c>
      <c r="B1563" s="1" t="str">
        <f>IFERROR(VLOOKUP(MID(INDEX(Database_dermo!$A:$I, MATCH($O1563, Database_dermo!$A:$A, 0), 2),20,3),Notes!A$1:C$9,3,TRUE), "Not Found")</f>
        <v>LX-N</v>
      </c>
      <c r="C1563" s="1" t="str">
        <f>IFERROR(RIGHT(INDEX(Database_dermo!$A:$I, MATCH($O1563, Database_dermo!$A:$A, 0), 1),2), "Not Found")</f>
        <v>14</v>
      </c>
      <c r="D1563" s="1">
        <f>IFERROR(VLOOKUP(MID(INDEX(Database_dermo!$A:$I, MATCH($O1563, Database_dermo!$A:$A, 0), 2),20,3),Notes!A$1:C$9,2,TRUE), "Not Found")</f>
        <v>3</v>
      </c>
      <c r="E1563" s="1">
        <f>IFERROR(INDEX(Database_dermo!$A:$I, MATCH($O1563, Database_dermo!$A:$A, 0), 3), "Not Found")</f>
        <v>44.38</v>
      </c>
      <c r="F1563" s="1" t="str">
        <f>IFERROR(INDEX(Database_repro!$A:$F, MATCH($O1563, Database_repro!$A:$A, 0), 3), "Not Found")</f>
        <v>F</v>
      </c>
      <c r="G1563" s="1">
        <f>IFERROR(INDEX(Database_repro!$A:$F, MATCH($O1563, Database_repro!$A:$A, 0), 4), "Not Found")</f>
        <v>2</v>
      </c>
      <c r="H1563" s="1" t="s">
        <v>16</v>
      </c>
      <c r="I1563" s="1" t="s">
        <v>16</v>
      </c>
      <c r="J1563" s="1" t="s">
        <v>16</v>
      </c>
      <c r="K1563" s="1" t="str">
        <f>IFERROR(INDEX(Database_repro!$A:$F, MATCH($O1563, Database_repro!$A:$A, 0), 5), "Not Found")</f>
        <v>No</v>
      </c>
      <c r="L1563" s="4" t="s">
        <v>17</v>
      </c>
      <c r="M1563" s="1" t="str">
        <f>IFERROR(IF(INDEX(Database_repro!$A:$F, MATCH($O1563, Database_repro!$A:$A, 0), 6)="N","No",IF(INDEX(Database_repro!$A:$F, MATCH($O1563, Database_repro!$A:$A, 0), 6)="Y","Yes","Z")), "Not Found")</f>
        <v>No</v>
      </c>
      <c r="N1563" s="27" t="s">
        <v>605</v>
      </c>
      <c r="O1563" t="s">
        <v>132</v>
      </c>
    </row>
    <row r="1564" spans="1:15" x14ac:dyDescent="0.2">
      <c r="A1564" s="9">
        <v>45510</v>
      </c>
      <c r="B1564" s="1" t="str">
        <f>IFERROR(VLOOKUP(MID(INDEX(Database_dermo!$A:$I, MATCH($O1564, Database_dermo!$A:$A, 0), 2),20,3),Notes!A$1:C$9,3,TRUE), "Not Found")</f>
        <v>LX-N</v>
      </c>
      <c r="C1564" s="1" t="str">
        <f>IFERROR(RIGHT(INDEX(Database_dermo!$A:$I, MATCH($O1564, Database_dermo!$A:$A, 0), 1),2), "Not Found")</f>
        <v>15</v>
      </c>
      <c r="D1564" s="1">
        <f>IFERROR(VLOOKUP(MID(INDEX(Database_dermo!$A:$I, MATCH($O1564, Database_dermo!$A:$A, 0), 2),20,3),Notes!A$1:C$9,2,TRUE), "Not Found")</f>
        <v>3</v>
      </c>
      <c r="E1564" s="1">
        <f>IFERROR(INDEX(Database_dermo!$A:$I, MATCH($O1564, Database_dermo!$A:$A, 0), 3), "Not Found")</f>
        <v>33.25</v>
      </c>
      <c r="F1564" s="1" t="str">
        <f>IFERROR(INDEX(Database_repro!$A:$F, MATCH($O1564, Database_repro!$A:$A, 0), 3), "Not Found")</f>
        <v>F</v>
      </c>
      <c r="G1564" s="1">
        <f>IFERROR(INDEX(Database_repro!$A:$F, MATCH($O1564, Database_repro!$A:$A, 0), 4), "Not Found")</f>
        <v>2</v>
      </c>
      <c r="H1564" s="1" t="s">
        <v>16</v>
      </c>
      <c r="I1564" s="1" t="s">
        <v>16</v>
      </c>
      <c r="J1564" s="1" t="s">
        <v>16</v>
      </c>
      <c r="K1564" s="1" t="str">
        <f>IFERROR(INDEX(Database_repro!$A:$F, MATCH($O1564, Database_repro!$A:$A, 0), 5), "Not Found")</f>
        <v>Yes</v>
      </c>
      <c r="L1564" s="4" t="s">
        <v>17</v>
      </c>
      <c r="M1564" s="1" t="str">
        <f>IFERROR(IF(INDEX(Database_repro!$A:$F, MATCH($O1564, Database_repro!$A:$A, 0), 6)="N","No",IF(INDEX(Database_repro!$A:$F, MATCH($O1564, Database_repro!$A:$A, 0), 6)="Y","Yes","Z")), "Not Found")</f>
        <v>No</v>
      </c>
      <c r="N1564" s="27" t="s">
        <v>605</v>
      </c>
      <c r="O1564" t="s">
        <v>133</v>
      </c>
    </row>
    <row r="1565" spans="1:15" x14ac:dyDescent="0.2">
      <c r="A1565" s="9">
        <v>45539</v>
      </c>
      <c r="B1565" s="1" t="str">
        <f>IFERROR(VLOOKUP(MID(INDEX(Database_dermo!$A:$I, MATCH($O1565, Database_dermo!$A:$A, 0), 2),20,3),Notes!A$1:C$9,3,TRUE), "Not Found")</f>
        <v>LX-N</v>
      </c>
      <c r="C1565" s="1" t="str">
        <f>IFERROR(RIGHT(INDEX(Database_dermo!$A:$I, MATCH($O1565, Database_dermo!$A:$A, 0), 1),2), "Not Found")</f>
        <v>01</v>
      </c>
      <c r="D1565" s="1">
        <f>IFERROR(VLOOKUP(MID(INDEX(Database_dermo!$A:$I, MATCH($O1565, Database_dermo!$A:$A, 0), 2),20,3),Notes!A$1:C$9,2,TRUE), "Not Found")</f>
        <v>1</v>
      </c>
      <c r="E1565" s="1">
        <f>IFERROR(INDEX(Database_dermo!$A:$I, MATCH($O1565, Database_dermo!$A:$A, 0), 3), "Not Found")</f>
        <v>56.59</v>
      </c>
      <c r="F1565" s="1" t="str">
        <f>IFERROR(INDEX(Database_repro!$A:$F, MATCH($O1565, Database_repro!$A:$A, 0), 3), "Not Found")</f>
        <v>M</v>
      </c>
      <c r="G1565" s="1">
        <f>IFERROR(INDEX(Database_repro!$A:$F, MATCH($O1565, Database_repro!$A:$A, 0), 4), "Not Found")</f>
        <v>2</v>
      </c>
      <c r="H1565" s="1" t="s">
        <v>16</v>
      </c>
      <c r="I1565" s="1" t="s">
        <v>16</v>
      </c>
      <c r="J1565" s="1" t="s">
        <v>16</v>
      </c>
      <c r="K1565" s="1" t="str">
        <f>IFERROR(INDEX(Database_repro!$A:$F, MATCH($O1565, Database_repro!$A:$A, 0), 5), "Not Found")</f>
        <v>No</v>
      </c>
      <c r="L1565" s="4" t="s">
        <v>17</v>
      </c>
      <c r="M1565" s="1" t="str">
        <f>IFERROR(IF(INDEX(Database_repro!$A:$F, MATCH($O1565, Database_repro!$A:$A, 0), 6)="N","No",IF(INDEX(Database_repro!$A:$F, MATCH($O1565, Database_repro!$A:$A, 0), 6)="Y","Yes","Z")), "Not Found")</f>
        <v>No</v>
      </c>
      <c r="N1565" s="27" t="s">
        <v>605</v>
      </c>
      <c r="O1565" t="s">
        <v>134</v>
      </c>
    </row>
    <row r="1566" spans="1:15" x14ac:dyDescent="0.2">
      <c r="A1566" s="9">
        <v>45539</v>
      </c>
      <c r="B1566" s="1" t="str">
        <f>IFERROR(VLOOKUP(MID(INDEX(Database_dermo!$A:$I, MATCH($O1566, Database_dermo!$A:$A, 0), 2),20,3),Notes!A$1:C$9,3,TRUE), "Not Found")</f>
        <v>LX-N</v>
      </c>
      <c r="C1566" s="1" t="str">
        <f>IFERROR(RIGHT(INDEX(Database_dermo!$A:$I, MATCH($O1566, Database_dermo!$A:$A, 0), 1),2), "Not Found")</f>
        <v>02</v>
      </c>
      <c r="D1566" s="1">
        <f>IFERROR(VLOOKUP(MID(INDEX(Database_dermo!$A:$I, MATCH($O1566, Database_dermo!$A:$A, 0), 2),20,3),Notes!A$1:C$9,2,TRUE), "Not Found")</f>
        <v>1</v>
      </c>
      <c r="E1566" s="1">
        <f>IFERROR(INDEX(Database_dermo!$A:$I, MATCH($O1566, Database_dermo!$A:$A, 0), 3), "Not Found")</f>
        <v>49.83</v>
      </c>
      <c r="F1566" s="1" t="str">
        <f>IFERROR(INDEX(Database_repro!$A:$F, MATCH($O1566, Database_repro!$A:$A, 0), 3), "Not Found")</f>
        <v>F</v>
      </c>
      <c r="G1566" s="1">
        <f>IFERROR(INDEX(Database_repro!$A:$F, MATCH($O1566, Database_repro!$A:$A, 0), 4), "Not Found")</f>
        <v>2</v>
      </c>
      <c r="H1566" s="1" t="s">
        <v>16</v>
      </c>
      <c r="I1566" s="1" t="s">
        <v>16</v>
      </c>
      <c r="J1566" s="1" t="s">
        <v>16</v>
      </c>
      <c r="K1566" s="1" t="str">
        <f>IFERROR(INDEX(Database_repro!$A:$F, MATCH($O1566, Database_repro!$A:$A, 0), 5), "Not Found")</f>
        <v>No</v>
      </c>
      <c r="L1566" s="4" t="s">
        <v>17</v>
      </c>
      <c r="M1566" s="1" t="str">
        <f>IFERROR(IF(INDEX(Database_repro!$A:$F, MATCH($O1566, Database_repro!$A:$A, 0), 6)="N","No",IF(INDEX(Database_repro!$A:$F, MATCH($O1566, Database_repro!$A:$A, 0), 6)="Y","Yes","Z")), "Not Found")</f>
        <v>No</v>
      </c>
      <c r="N1566" s="27" t="s">
        <v>605</v>
      </c>
      <c r="O1566" t="s">
        <v>137</v>
      </c>
    </row>
    <row r="1567" spans="1:15" x14ac:dyDescent="0.2">
      <c r="A1567" s="9">
        <v>45539</v>
      </c>
      <c r="B1567" s="1" t="str">
        <f>IFERROR(VLOOKUP(MID(INDEX(Database_dermo!$A:$I, MATCH($O1567, Database_dermo!$A:$A, 0), 2),20,3),Notes!A$1:C$9,3,TRUE), "Not Found")</f>
        <v>LX-N</v>
      </c>
      <c r="C1567" s="1" t="str">
        <f>IFERROR(RIGHT(INDEX(Database_dermo!$A:$I, MATCH($O1567, Database_dermo!$A:$A, 0), 1),2), "Not Found")</f>
        <v>03</v>
      </c>
      <c r="D1567" s="1">
        <f>IFERROR(VLOOKUP(MID(INDEX(Database_dermo!$A:$I, MATCH($O1567, Database_dermo!$A:$A, 0), 2),20,3),Notes!A$1:C$9,2,TRUE), "Not Found")</f>
        <v>1</v>
      </c>
      <c r="E1567" s="1">
        <f>IFERROR(INDEX(Database_dermo!$A:$I, MATCH($O1567, Database_dermo!$A:$A, 0), 3), "Not Found")</f>
        <v>35</v>
      </c>
      <c r="F1567" s="1" t="str">
        <f>IFERROR(INDEX(Database_repro!$A:$F, MATCH($O1567, Database_repro!$A:$A, 0), 3), "Not Found")</f>
        <v>M</v>
      </c>
      <c r="G1567" s="1">
        <f>IFERROR(INDEX(Database_repro!$A:$F, MATCH($O1567, Database_repro!$A:$A, 0), 4), "Not Found")</f>
        <v>2</v>
      </c>
      <c r="H1567" s="1" t="s">
        <v>16</v>
      </c>
      <c r="I1567" s="1" t="s">
        <v>16</v>
      </c>
      <c r="J1567" s="1" t="s">
        <v>16</v>
      </c>
      <c r="K1567" s="1" t="str">
        <f>IFERROR(INDEX(Database_repro!$A:$F, MATCH($O1567, Database_repro!$A:$A, 0), 5), "Not Found")</f>
        <v>No</v>
      </c>
      <c r="L1567" s="4" t="s">
        <v>17</v>
      </c>
      <c r="M1567" s="1" t="str">
        <f>IFERROR(IF(INDEX(Database_repro!$A:$F, MATCH($O1567, Database_repro!$A:$A, 0), 6)="N","No",IF(INDEX(Database_repro!$A:$F, MATCH($O1567, Database_repro!$A:$A, 0), 6)="Y","Yes","Z")), "Not Found")</f>
        <v>No</v>
      </c>
      <c r="N1567" s="27" t="s">
        <v>605</v>
      </c>
      <c r="O1567" t="s">
        <v>139</v>
      </c>
    </row>
    <row r="1568" spans="1:15" x14ac:dyDescent="0.2">
      <c r="A1568" s="9">
        <v>45539</v>
      </c>
      <c r="B1568" s="1" t="str">
        <f>IFERROR(VLOOKUP(MID(INDEX(Database_dermo!$A:$I, MATCH($O1568, Database_dermo!$A:$A, 0), 2),20,3),Notes!A$1:C$9,3,TRUE), "Not Found")</f>
        <v>LX-N</v>
      </c>
      <c r="C1568" s="1" t="str">
        <f>IFERROR(RIGHT(INDEX(Database_dermo!$A:$I, MATCH($O1568, Database_dermo!$A:$A, 0), 1),2), "Not Found")</f>
        <v>04</v>
      </c>
      <c r="D1568" s="1">
        <f>IFERROR(VLOOKUP(MID(INDEX(Database_dermo!$A:$I, MATCH($O1568, Database_dermo!$A:$A, 0), 2),20,3),Notes!A$1:C$9,2,TRUE), "Not Found")</f>
        <v>1</v>
      </c>
      <c r="E1568" s="1">
        <f>IFERROR(INDEX(Database_dermo!$A:$I, MATCH($O1568, Database_dermo!$A:$A, 0), 3), "Not Found")</f>
        <v>37.5</v>
      </c>
      <c r="F1568" s="1" t="str">
        <f>IFERROR(INDEX(Database_repro!$A:$F, MATCH($O1568, Database_repro!$A:$A, 0), 3), "Not Found")</f>
        <v>M</v>
      </c>
      <c r="G1568" s="1">
        <f>IFERROR(INDEX(Database_repro!$A:$F, MATCH($O1568, Database_repro!$A:$A, 0), 4), "Not Found")</f>
        <v>2</v>
      </c>
      <c r="H1568" s="1" t="s">
        <v>16</v>
      </c>
      <c r="I1568" s="1" t="s">
        <v>16</v>
      </c>
      <c r="J1568" s="1" t="s">
        <v>16</v>
      </c>
      <c r="K1568" s="1" t="str">
        <f>IFERROR(INDEX(Database_repro!$A:$F, MATCH($O1568, Database_repro!$A:$A, 0), 5), "Not Found")</f>
        <v>No</v>
      </c>
      <c r="L1568" s="4" t="s">
        <v>17</v>
      </c>
      <c r="M1568" s="1" t="str">
        <f>IFERROR(IF(INDEX(Database_repro!$A:$F, MATCH($O1568, Database_repro!$A:$A, 0), 6)="N","No",IF(INDEX(Database_repro!$A:$F, MATCH($O1568, Database_repro!$A:$A, 0), 6)="Y","Yes","Z")), "Not Found")</f>
        <v>No</v>
      </c>
      <c r="N1568" s="27" t="s">
        <v>605</v>
      </c>
      <c r="O1568" t="s">
        <v>140</v>
      </c>
    </row>
    <row r="1569" spans="1:15" x14ac:dyDescent="0.2">
      <c r="A1569" s="9">
        <v>45539</v>
      </c>
      <c r="B1569" s="1" t="str">
        <f>IFERROR(VLOOKUP(MID(INDEX(Database_dermo!$A:$I, MATCH($O1569, Database_dermo!$A:$A, 0), 2),20,3),Notes!A$1:C$9,3,TRUE), "Not Found")</f>
        <v>LX-N</v>
      </c>
      <c r="C1569" s="1" t="str">
        <f>IFERROR(RIGHT(INDEX(Database_dermo!$A:$I, MATCH($O1569, Database_dermo!$A:$A, 0), 1),2), "Not Found")</f>
        <v>05</v>
      </c>
      <c r="D1569" s="1">
        <f>IFERROR(VLOOKUP(MID(INDEX(Database_dermo!$A:$I, MATCH($O1569, Database_dermo!$A:$A, 0), 2),20,3),Notes!A$1:C$9,2,TRUE), "Not Found")</f>
        <v>1</v>
      </c>
      <c r="E1569" s="1">
        <f>IFERROR(INDEX(Database_dermo!$A:$I, MATCH($O1569, Database_dermo!$A:$A, 0), 3), "Not Found")</f>
        <v>37.340000000000003</v>
      </c>
      <c r="F1569" s="1" t="str">
        <f>IFERROR(INDEX(Database_repro!$A:$F, MATCH($O1569, Database_repro!$A:$A, 0), 3), "Not Found")</f>
        <v>F</v>
      </c>
      <c r="G1569" s="1">
        <f>IFERROR(INDEX(Database_repro!$A:$F, MATCH($O1569, Database_repro!$A:$A, 0), 4), "Not Found")</f>
        <v>2</v>
      </c>
      <c r="H1569" s="1" t="s">
        <v>16</v>
      </c>
      <c r="I1569" s="1" t="s">
        <v>16</v>
      </c>
      <c r="J1569" s="1" t="s">
        <v>16</v>
      </c>
      <c r="K1569" s="1" t="str">
        <f>IFERROR(INDEX(Database_repro!$A:$F, MATCH($O1569, Database_repro!$A:$A, 0), 5), "Not Found")</f>
        <v>No</v>
      </c>
      <c r="L1569" s="4" t="s">
        <v>17</v>
      </c>
      <c r="M1569" s="1" t="str">
        <f>IFERROR(IF(INDEX(Database_repro!$A:$F, MATCH($O1569, Database_repro!$A:$A, 0), 6)="N","No",IF(INDEX(Database_repro!$A:$F, MATCH($O1569, Database_repro!$A:$A, 0), 6)="Y","Yes","Z")), "Not Found")</f>
        <v>No</v>
      </c>
      <c r="N1569" s="27" t="s">
        <v>605</v>
      </c>
      <c r="O1569" t="s">
        <v>141</v>
      </c>
    </row>
    <row r="1570" spans="1:15" x14ac:dyDescent="0.2">
      <c r="A1570" s="9">
        <v>45539</v>
      </c>
      <c r="B1570" s="1" t="str">
        <f>IFERROR(VLOOKUP(MID(INDEX(Database_dermo!$A:$I, MATCH($O1570, Database_dermo!$A:$A, 0), 2),20,3),Notes!A$1:C$9,3,TRUE), "Not Found")</f>
        <v>LX-N</v>
      </c>
      <c r="C1570" s="1" t="str">
        <f>IFERROR(RIGHT(INDEX(Database_dermo!$A:$I, MATCH($O1570, Database_dermo!$A:$A, 0), 1),2), "Not Found")</f>
        <v>06</v>
      </c>
      <c r="D1570" s="1">
        <f>IFERROR(VLOOKUP(MID(INDEX(Database_dermo!$A:$I, MATCH($O1570, Database_dermo!$A:$A, 0), 2),20,3),Notes!A$1:C$9,2,TRUE), "Not Found")</f>
        <v>2</v>
      </c>
      <c r="E1570" s="1">
        <f>IFERROR(INDEX(Database_dermo!$A:$I, MATCH($O1570, Database_dermo!$A:$A, 0), 3), "Not Found")</f>
        <v>71.209999999999994</v>
      </c>
      <c r="F1570" s="1" t="str">
        <f>IFERROR(INDEX(Database_repro!$A:$F, MATCH($O1570, Database_repro!$A:$A, 0), 3), "Not Found")</f>
        <v>F</v>
      </c>
      <c r="G1570" s="1">
        <f>IFERROR(INDEX(Database_repro!$A:$F, MATCH($O1570, Database_repro!$A:$A, 0), 4), "Not Found")</f>
        <v>2</v>
      </c>
      <c r="H1570" s="1" t="s">
        <v>16</v>
      </c>
      <c r="I1570" s="1" t="s">
        <v>16</v>
      </c>
      <c r="J1570" s="1" t="s">
        <v>16</v>
      </c>
      <c r="K1570" s="1" t="str">
        <f>IFERROR(INDEX(Database_repro!$A:$F, MATCH($O1570, Database_repro!$A:$A, 0), 5), "Not Found")</f>
        <v>No</v>
      </c>
      <c r="L1570" s="4" t="s">
        <v>17</v>
      </c>
      <c r="M1570" s="1" t="str">
        <f>IFERROR(IF(INDEX(Database_repro!$A:$F, MATCH($O1570, Database_repro!$A:$A, 0), 6)="N","No",IF(INDEX(Database_repro!$A:$F, MATCH($O1570, Database_repro!$A:$A, 0), 6)="Y","Yes","Z")), "Not Found")</f>
        <v>No</v>
      </c>
      <c r="N1570" s="27" t="s">
        <v>605</v>
      </c>
      <c r="O1570" t="s">
        <v>142</v>
      </c>
    </row>
    <row r="1571" spans="1:15" x14ac:dyDescent="0.2">
      <c r="A1571" s="9">
        <v>45539</v>
      </c>
      <c r="B1571" s="1" t="str">
        <f>IFERROR(VLOOKUP(MID(INDEX(Database_dermo!$A:$I, MATCH($O1571, Database_dermo!$A:$A, 0), 2),20,3),Notes!A$1:C$9,3,TRUE), "Not Found")</f>
        <v>LX-N</v>
      </c>
      <c r="C1571" s="1" t="str">
        <f>IFERROR(RIGHT(INDEX(Database_dermo!$A:$I, MATCH($O1571, Database_dermo!$A:$A, 0), 1),2), "Not Found")</f>
        <v>07</v>
      </c>
      <c r="D1571" s="1">
        <f>IFERROR(VLOOKUP(MID(INDEX(Database_dermo!$A:$I, MATCH($O1571, Database_dermo!$A:$A, 0), 2),20,3),Notes!A$1:C$9,2,TRUE), "Not Found")</f>
        <v>2</v>
      </c>
      <c r="E1571" s="1">
        <f>IFERROR(INDEX(Database_dermo!$A:$I, MATCH($O1571, Database_dermo!$A:$A, 0), 3), "Not Found")</f>
        <v>53.56</v>
      </c>
      <c r="F1571" s="1" t="str">
        <f>IFERROR(INDEX(Database_repro!$A:$F, MATCH($O1571, Database_repro!$A:$A, 0), 3), "Not Found")</f>
        <v>F</v>
      </c>
      <c r="G1571" s="1">
        <f>IFERROR(INDEX(Database_repro!$A:$F, MATCH($O1571, Database_repro!$A:$A, 0), 4), "Not Found")</f>
        <v>2</v>
      </c>
      <c r="H1571" s="1" t="s">
        <v>16</v>
      </c>
      <c r="I1571" s="1" t="s">
        <v>16</v>
      </c>
      <c r="J1571" s="1" t="s">
        <v>16</v>
      </c>
      <c r="K1571" s="1" t="str">
        <f>IFERROR(INDEX(Database_repro!$A:$F, MATCH($O1571, Database_repro!$A:$A, 0), 5), "Not Found")</f>
        <v>Yes</v>
      </c>
      <c r="L1571" s="4" t="s">
        <v>17</v>
      </c>
      <c r="M1571" s="1" t="str">
        <f>IFERROR(IF(INDEX(Database_repro!$A:$F, MATCH($O1571, Database_repro!$A:$A, 0), 6)="N","No",IF(INDEX(Database_repro!$A:$F, MATCH($O1571, Database_repro!$A:$A, 0), 6)="Y","Yes","Z")), "Not Found")</f>
        <v>No</v>
      </c>
      <c r="N1571" s="27" t="s">
        <v>605</v>
      </c>
      <c r="O1571" t="s">
        <v>145</v>
      </c>
    </row>
    <row r="1572" spans="1:15" x14ac:dyDescent="0.2">
      <c r="A1572" s="9">
        <v>45539</v>
      </c>
      <c r="B1572" s="1" t="str">
        <f>IFERROR(VLOOKUP(MID(INDEX(Database_dermo!$A:$I, MATCH($O1572, Database_dermo!$A:$A, 0), 2),20,3),Notes!A$1:C$9,3,TRUE), "Not Found")</f>
        <v>LX-N</v>
      </c>
      <c r="C1572" s="1" t="str">
        <f>IFERROR(RIGHT(INDEX(Database_dermo!$A:$I, MATCH($O1572, Database_dermo!$A:$A, 0), 1),2), "Not Found")</f>
        <v>08</v>
      </c>
      <c r="D1572" s="1">
        <f>IFERROR(VLOOKUP(MID(INDEX(Database_dermo!$A:$I, MATCH($O1572, Database_dermo!$A:$A, 0), 2),20,3),Notes!A$1:C$9,2,TRUE), "Not Found")</f>
        <v>2</v>
      </c>
      <c r="E1572" s="1">
        <f>IFERROR(INDEX(Database_dermo!$A:$I, MATCH($O1572, Database_dermo!$A:$A, 0), 3), "Not Found")</f>
        <v>71.599999999999994</v>
      </c>
      <c r="F1572" s="1" t="str">
        <f>IFERROR(INDEX(Database_repro!$A:$F, MATCH($O1572, Database_repro!$A:$A, 0), 3), "Not Found")</f>
        <v>F</v>
      </c>
      <c r="G1572" s="1">
        <f>IFERROR(INDEX(Database_repro!$A:$F, MATCH($O1572, Database_repro!$A:$A, 0), 4), "Not Found")</f>
        <v>2</v>
      </c>
      <c r="H1572" s="1" t="s">
        <v>16</v>
      </c>
      <c r="I1572" s="1" t="s">
        <v>16</v>
      </c>
      <c r="J1572" s="1" t="s">
        <v>16</v>
      </c>
      <c r="K1572" s="1" t="str">
        <f>IFERROR(INDEX(Database_repro!$A:$F, MATCH($O1572, Database_repro!$A:$A, 0), 5), "Not Found")</f>
        <v>No</v>
      </c>
      <c r="L1572" s="4" t="s">
        <v>17</v>
      </c>
      <c r="M1572" s="1" t="str">
        <f>IFERROR(IF(INDEX(Database_repro!$A:$F, MATCH($O1572, Database_repro!$A:$A, 0), 6)="N","No",IF(INDEX(Database_repro!$A:$F, MATCH($O1572, Database_repro!$A:$A, 0), 6)="Y","Yes","Z")), "Not Found")</f>
        <v>No</v>
      </c>
      <c r="N1572" s="27" t="s">
        <v>605</v>
      </c>
      <c r="O1572" t="s">
        <v>146</v>
      </c>
    </row>
    <row r="1573" spans="1:15" x14ac:dyDescent="0.2">
      <c r="A1573" s="9">
        <v>45539</v>
      </c>
      <c r="B1573" s="1" t="str">
        <f>IFERROR(VLOOKUP(MID(INDEX(Database_dermo!$A:$I, MATCH($O1573, Database_dermo!$A:$A, 0), 2),20,3),Notes!A$1:C$9,3,TRUE), "Not Found")</f>
        <v>LX-N</v>
      </c>
      <c r="C1573" s="1" t="str">
        <f>IFERROR(RIGHT(INDEX(Database_dermo!$A:$I, MATCH($O1573, Database_dermo!$A:$A, 0), 1),2), "Not Found")</f>
        <v>09</v>
      </c>
      <c r="D1573" s="1">
        <f>IFERROR(VLOOKUP(MID(INDEX(Database_dermo!$A:$I, MATCH($O1573, Database_dermo!$A:$A, 0), 2),20,3),Notes!A$1:C$9,2,TRUE), "Not Found")</f>
        <v>2</v>
      </c>
      <c r="E1573" s="1">
        <f>IFERROR(INDEX(Database_dermo!$A:$I, MATCH($O1573, Database_dermo!$A:$A, 0), 3), "Not Found")</f>
        <v>58.29</v>
      </c>
      <c r="F1573" s="1" t="str">
        <f>IFERROR(INDEX(Database_repro!$A:$F, MATCH($O1573, Database_repro!$A:$A, 0), 3), "Not Found")</f>
        <v>F</v>
      </c>
      <c r="G1573" s="1">
        <f>IFERROR(INDEX(Database_repro!$A:$F, MATCH($O1573, Database_repro!$A:$A, 0), 4), "Not Found")</f>
        <v>2</v>
      </c>
      <c r="H1573" s="1" t="s">
        <v>16</v>
      </c>
      <c r="I1573" s="1" t="s">
        <v>16</v>
      </c>
      <c r="J1573" s="1" t="s">
        <v>16</v>
      </c>
      <c r="K1573" s="1" t="str">
        <f>IFERROR(INDEX(Database_repro!$A:$F, MATCH($O1573, Database_repro!$A:$A, 0), 5), "Not Found")</f>
        <v>No</v>
      </c>
      <c r="L1573" s="4" t="s">
        <v>17</v>
      </c>
      <c r="M1573" s="1" t="str">
        <f>IFERROR(IF(INDEX(Database_repro!$A:$F, MATCH($O1573, Database_repro!$A:$A, 0), 6)="N","No",IF(INDEX(Database_repro!$A:$F, MATCH($O1573, Database_repro!$A:$A, 0), 6)="Y","Yes","Z")), "Not Found")</f>
        <v>No</v>
      </c>
      <c r="N1573" s="27" t="s">
        <v>605</v>
      </c>
      <c r="O1573" t="s">
        <v>147</v>
      </c>
    </row>
    <row r="1574" spans="1:15" x14ac:dyDescent="0.2">
      <c r="A1574" s="9">
        <v>45539</v>
      </c>
      <c r="B1574" s="1" t="str">
        <f>IFERROR(VLOOKUP(MID(INDEX(Database_dermo!$A:$I, MATCH($O1574, Database_dermo!$A:$A, 0), 2),20,3),Notes!A$1:C$9,3,TRUE), "Not Found")</f>
        <v>LX-N</v>
      </c>
      <c r="C1574" s="1" t="str">
        <f>IFERROR(RIGHT(INDEX(Database_dermo!$A:$I, MATCH($O1574, Database_dermo!$A:$A, 0), 1),2), "Not Found")</f>
        <v>10</v>
      </c>
      <c r="D1574" s="1">
        <f>IFERROR(VLOOKUP(MID(INDEX(Database_dermo!$A:$I, MATCH($O1574, Database_dermo!$A:$A, 0), 2),20,3),Notes!A$1:C$9,2,TRUE), "Not Found")</f>
        <v>2</v>
      </c>
      <c r="E1574" s="1">
        <f>IFERROR(INDEX(Database_dermo!$A:$I, MATCH($O1574, Database_dermo!$A:$A, 0), 3), "Not Found")</f>
        <v>48.09</v>
      </c>
      <c r="F1574" s="1" t="str">
        <f>IFERROR(INDEX(Database_repro!$A:$F, MATCH($O1574, Database_repro!$A:$A, 0), 3), "Not Found")</f>
        <v>F</v>
      </c>
      <c r="G1574" s="1">
        <f>IFERROR(INDEX(Database_repro!$A:$F, MATCH($O1574, Database_repro!$A:$A, 0), 4), "Not Found")</f>
        <v>2</v>
      </c>
      <c r="H1574" s="1" t="s">
        <v>16</v>
      </c>
      <c r="I1574" s="1" t="s">
        <v>16</v>
      </c>
      <c r="J1574" s="1" t="s">
        <v>16</v>
      </c>
      <c r="K1574" s="1" t="str">
        <f>IFERROR(INDEX(Database_repro!$A:$F, MATCH($O1574, Database_repro!$A:$A, 0), 5), "Not Found")</f>
        <v>No</v>
      </c>
      <c r="L1574" s="4" t="s">
        <v>17</v>
      </c>
      <c r="M1574" s="1" t="str">
        <f>IFERROR(IF(INDEX(Database_repro!$A:$F, MATCH($O1574, Database_repro!$A:$A, 0), 6)="N","No",IF(INDEX(Database_repro!$A:$F, MATCH($O1574, Database_repro!$A:$A, 0), 6)="Y","Yes","Z")), "Not Found")</f>
        <v>No</v>
      </c>
      <c r="N1574" s="27" t="s">
        <v>605</v>
      </c>
      <c r="O1574" t="s">
        <v>148</v>
      </c>
    </row>
    <row r="1575" spans="1:15" x14ac:dyDescent="0.2">
      <c r="A1575" s="9">
        <v>45539</v>
      </c>
      <c r="B1575" s="1" t="str">
        <f>IFERROR(VLOOKUP(MID(INDEX(Database_dermo!$A:$I, MATCH($O1575, Database_dermo!$A:$A, 0), 2),20,3),Notes!A$1:C$9,3,TRUE), "Not Found")</f>
        <v>LX-N</v>
      </c>
      <c r="C1575" s="1" t="str">
        <f>IFERROR(RIGHT(INDEX(Database_dermo!$A:$I, MATCH($O1575, Database_dermo!$A:$A, 0), 1),2), "Not Found")</f>
        <v>11</v>
      </c>
      <c r="D1575" s="1">
        <f>IFERROR(VLOOKUP(MID(INDEX(Database_dermo!$A:$I, MATCH($O1575, Database_dermo!$A:$A, 0), 2),20,3),Notes!A$1:C$9,2,TRUE), "Not Found")</f>
        <v>3</v>
      </c>
      <c r="E1575" s="1">
        <f>IFERROR(INDEX(Database_dermo!$A:$I, MATCH($O1575, Database_dermo!$A:$A, 0), 3), "Not Found")</f>
        <v>50.47</v>
      </c>
      <c r="F1575" s="1" t="str">
        <f>IFERROR(INDEX(Database_repro!$A:$F, MATCH($O1575, Database_repro!$A:$A, 0), 3), "Not Found")</f>
        <v>F</v>
      </c>
      <c r="G1575" s="1">
        <f>IFERROR(INDEX(Database_repro!$A:$F, MATCH($O1575, Database_repro!$A:$A, 0), 4), "Not Found")</f>
        <v>2</v>
      </c>
      <c r="H1575" s="1" t="s">
        <v>16</v>
      </c>
      <c r="I1575" s="1" t="s">
        <v>16</v>
      </c>
      <c r="J1575" s="1" t="s">
        <v>16</v>
      </c>
      <c r="K1575" s="1" t="str">
        <f>IFERROR(INDEX(Database_repro!$A:$F, MATCH($O1575, Database_repro!$A:$A, 0), 5), "Not Found")</f>
        <v>No</v>
      </c>
      <c r="L1575" s="4" t="s">
        <v>17</v>
      </c>
      <c r="M1575" s="1" t="str">
        <f>IFERROR(IF(INDEX(Database_repro!$A:$F, MATCH($O1575, Database_repro!$A:$A, 0), 6)="N","No",IF(INDEX(Database_repro!$A:$F, MATCH($O1575, Database_repro!$A:$A, 0), 6)="Y","Yes","Z")), "Not Found")</f>
        <v>No</v>
      </c>
      <c r="N1575" s="27" t="s">
        <v>605</v>
      </c>
      <c r="O1575" t="s">
        <v>149</v>
      </c>
    </row>
    <row r="1576" spans="1:15" x14ac:dyDescent="0.2">
      <c r="A1576" s="9">
        <v>45539</v>
      </c>
      <c r="B1576" s="1" t="str">
        <f>IFERROR(VLOOKUP(MID(INDEX(Database_dermo!$A:$I, MATCH($O1576, Database_dermo!$A:$A, 0), 2),20,3),Notes!A$1:C$9,3,TRUE), "Not Found")</f>
        <v>LX-N</v>
      </c>
      <c r="C1576" s="1" t="str">
        <f>IFERROR(RIGHT(INDEX(Database_dermo!$A:$I, MATCH($O1576, Database_dermo!$A:$A, 0), 1),2), "Not Found")</f>
        <v>12</v>
      </c>
      <c r="D1576" s="1">
        <f>IFERROR(VLOOKUP(MID(INDEX(Database_dermo!$A:$I, MATCH($O1576, Database_dermo!$A:$A, 0), 2),20,3),Notes!A$1:C$9,2,TRUE), "Not Found")</f>
        <v>3</v>
      </c>
      <c r="E1576" s="1">
        <f>IFERROR(INDEX(Database_dermo!$A:$I, MATCH($O1576, Database_dermo!$A:$A, 0), 3), "Not Found")</f>
        <v>53.47</v>
      </c>
      <c r="F1576" s="1" t="str">
        <f>IFERROR(INDEX(Database_repro!$A:$F, MATCH($O1576, Database_repro!$A:$A, 0), 3), "Not Found")</f>
        <v>M</v>
      </c>
      <c r="G1576" s="1">
        <f>IFERROR(INDEX(Database_repro!$A:$F, MATCH($O1576, Database_repro!$A:$A, 0), 4), "Not Found")</f>
        <v>2</v>
      </c>
      <c r="H1576" s="1" t="s">
        <v>16</v>
      </c>
      <c r="I1576" s="1" t="s">
        <v>16</v>
      </c>
      <c r="J1576" s="1" t="s">
        <v>16</v>
      </c>
      <c r="K1576" s="1" t="str">
        <f>IFERROR(INDEX(Database_repro!$A:$F, MATCH($O1576, Database_repro!$A:$A, 0), 5), "Not Found")</f>
        <v>No</v>
      </c>
      <c r="L1576" s="4" t="s">
        <v>17</v>
      </c>
      <c r="M1576" s="1" t="str">
        <f>IFERROR(IF(INDEX(Database_repro!$A:$F, MATCH($O1576, Database_repro!$A:$A, 0), 6)="N","No",IF(INDEX(Database_repro!$A:$F, MATCH($O1576, Database_repro!$A:$A, 0), 6)="Y","Yes","Z")), "Not Found")</f>
        <v>No</v>
      </c>
      <c r="N1576" s="27" t="s">
        <v>605</v>
      </c>
      <c r="O1576" t="s">
        <v>151</v>
      </c>
    </row>
    <row r="1577" spans="1:15" x14ac:dyDescent="0.2">
      <c r="A1577" s="9">
        <v>45539</v>
      </c>
      <c r="B1577" s="1" t="str">
        <f>IFERROR(VLOOKUP(MID(INDEX(Database_dermo!$A:$I, MATCH($O1577, Database_dermo!$A:$A, 0), 2),20,3),Notes!A$1:C$9,3,TRUE), "Not Found")</f>
        <v>LX-N</v>
      </c>
      <c r="C1577" s="1" t="str">
        <f>IFERROR(RIGHT(INDEX(Database_dermo!$A:$I, MATCH($O1577, Database_dermo!$A:$A, 0), 1),2), "Not Found")</f>
        <v>13</v>
      </c>
      <c r="D1577" s="1">
        <f>IFERROR(VLOOKUP(MID(INDEX(Database_dermo!$A:$I, MATCH($O1577, Database_dermo!$A:$A, 0), 2),20,3),Notes!A$1:C$9,2,TRUE), "Not Found")</f>
        <v>3</v>
      </c>
      <c r="E1577" s="1">
        <f>IFERROR(INDEX(Database_dermo!$A:$I, MATCH($O1577, Database_dermo!$A:$A, 0), 3), "Not Found")</f>
        <v>53.94</v>
      </c>
      <c r="F1577" s="1" t="str">
        <f>IFERROR(INDEX(Database_repro!$A:$F, MATCH($O1577, Database_repro!$A:$A, 0), 3), "Not Found")</f>
        <v>F</v>
      </c>
      <c r="G1577" s="1">
        <f>IFERROR(INDEX(Database_repro!$A:$F, MATCH($O1577, Database_repro!$A:$A, 0), 4), "Not Found")</f>
        <v>2</v>
      </c>
      <c r="H1577" s="1" t="s">
        <v>16</v>
      </c>
      <c r="I1577" s="1" t="s">
        <v>16</v>
      </c>
      <c r="J1577" s="1" t="s">
        <v>16</v>
      </c>
      <c r="K1577" s="1" t="str">
        <f>IFERROR(INDEX(Database_repro!$A:$F, MATCH($O1577, Database_repro!$A:$A, 0), 5), "Not Found")</f>
        <v>No</v>
      </c>
      <c r="L1577" s="4" t="s">
        <v>17</v>
      </c>
      <c r="M1577" s="1" t="str">
        <f>IFERROR(IF(INDEX(Database_repro!$A:$F, MATCH($O1577, Database_repro!$A:$A, 0), 6)="N","No",IF(INDEX(Database_repro!$A:$F, MATCH($O1577, Database_repro!$A:$A, 0), 6)="Y","Yes","Z")), "Not Found")</f>
        <v>No</v>
      </c>
      <c r="N1577" s="27" t="s">
        <v>605</v>
      </c>
      <c r="O1577" t="s">
        <v>153</v>
      </c>
    </row>
    <row r="1578" spans="1:15" x14ac:dyDescent="0.2">
      <c r="A1578" s="9">
        <v>45539</v>
      </c>
      <c r="B1578" s="1" t="str">
        <f>IFERROR(VLOOKUP(MID(INDEX(Database_dermo!$A:$I, MATCH($O1578, Database_dermo!$A:$A, 0), 2),20,3),Notes!A$1:C$9,3,TRUE), "Not Found")</f>
        <v>LX-N</v>
      </c>
      <c r="C1578" s="1" t="str">
        <f>IFERROR(RIGHT(INDEX(Database_dermo!$A:$I, MATCH($O1578, Database_dermo!$A:$A, 0), 1),2), "Not Found")</f>
        <v>14</v>
      </c>
      <c r="D1578" s="1">
        <f>IFERROR(VLOOKUP(MID(INDEX(Database_dermo!$A:$I, MATCH($O1578, Database_dermo!$A:$A, 0), 2),20,3),Notes!A$1:C$9,2,TRUE), "Not Found")</f>
        <v>3</v>
      </c>
      <c r="E1578" s="1">
        <f>IFERROR(INDEX(Database_dermo!$A:$I, MATCH($O1578, Database_dermo!$A:$A, 0), 3), "Not Found")</f>
        <v>56.72</v>
      </c>
      <c r="F1578" s="1" t="str">
        <f>IFERROR(INDEX(Database_repro!$A:$F, MATCH($O1578, Database_repro!$A:$A, 0), 3), "Not Found")</f>
        <v>F</v>
      </c>
      <c r="G1578" s="1">
        <f>IFERROR(INDEX(Database_repro!$A:$F, MATCH($O1578, Database_repro!$A:$A, 0), 4), "Not Found")</f>
        <v>2</v>
      </c>
      <c r="H1578" s="1" t="s">
        <v>16</v>
      </c>
      <c r="I1578" s="1" t="s">
        <v>16</v>
      </c>
      <c r="J1578" s="1" t="s">
        <v>16</v>
      </c>
      <c r="K1578" s="1" t="str">
        <f>IFERROR(INDEX(Database_repro!$A:$F, MATCH($O1578, Database_repro!$A:$A, 0), 5), "Not Found")</f>
        <v>No</v>
      </c>
      <c r="L1578" s="4" t="s">
        <v>17</v>
      </c>
      <c r="M1578" s="1" t="str">
        <f>IFERROR(IF(INDEX(Database_repro!$A:$F, MATCH($O1578, Database_repro!$A:$A, 0), 6)="N","No",IF(INDEX(Database_repro!$A:$F, MATCH($O1578, Database_repro!$A:$A, 0), 6)="Y","Yes","Z")), "Not Found")</f>
        <v>No</v>
      </c>
      <c r="N1578" s="27" t="s">
        <v>605</v>
      </c>
      <c r="O1578" t="s">
        <v>154</v>
      </c>
    </row>
    <row r="1579" spans="1:15" x14ac:dyDescent="0.2">
      <c r="A1579" s="9">
        <v>45539</v>
      </c>
      <c r="B1579" s="1" t="str">
        <f>IFERROR(VLOOKUP(MID(INDEX(Database_dermo!$A:$I, MATCH($O1579, Database_dermo!$A:$A, 0), 2),20,3),Notes!A$1:C$9,3,TRUE), "Not Found")</f>
        <v>LX-N</v>
      </c>
      <c r="C1579" s="1" t="str">
        <f>IFERROR(RIGHT(INDEX(Database_dermo!$A:$I, MATCH($O1579, Database_dermo!$A:$A, 0), 1),2), "Not Found")</f>
        <v>15</v>
      </c>
      <c r="D1579" s="1">
        <f>IFERROR(VLOOKUP(MID(INDEX(Database_dermo!$A:$I, MATCH($O1579, Database_dermo!$A:$A, 0), 2),20,3),Notes!A$1:C$9,2,TRUE), "Not Found")</f>
        <v>3</v>
      </c>
      <c r="E1579" s="1">
        <f>IFERROR(INDEX(Database_dermo!$A:$I, MATCH($O1579, Database_dermo!$A:$A, 0), 3), "Not Found")</f>
        <v>39.909999999999997</v>
      </c>
      <c r="F1579" s="1" t="str">
        <f>IFERROR(INDEX(Database_repro!$A:$F, MATCH($O1579, Database_repro!$A:$A, 0), 3), "Not Found")</f>
        <v>F</v>
      </c>
      <c r="G1579" s="1">
        <f>IFERROR(INDEX(Database_repro!$A:$F, MATCH($O1579, Database_repro!$A:$A, 0), 4), "Not Found")</f>
        <v>2</v>
      </c>
      <c r="H1579" s="1" t="s">
        <v>16</v>
      </c>
      <c r="I1579" s="1" t="s">
        <v>16</v>
      </c>
      <c r="J1579" s="1" t="s">
        <v>16</v>
      </c>
      <c r="K1579" s="1" t="str">
        <f>IFERROR(INDEX(Database_repro!$A:$F, MATCH($O1579, Database_repro!$A:$A, 0), 5), "Not Found")</f>
        <v>No</v>
      </c>
      <c r="L1579" s="4" t="s">
        <v>17</v>
      </c>
      <c r="M1579" s="1" t="str">
        <f>IFERROR(IF(INDEX(Database_repro!$A:$F, MATCH($O1579, Database_repro!$A:$A, 0), 6)="N","No",IF(INDEX(Database_repro!$A:$F, MATCH($O1579, Database_repro!$A:$A, 0), 6)="Y","Yes","Z")), "Not Found")</f>
        <v>No</v>
      </c>
      <c r="N1579" s="27" t="s">
        <v>605</v>
      </c>
      <c r="O1579" t="s">
        <v>155</v>
      </c>
    </row>
    <row r="1580" spans="1:15" x14ac:dyDescent="0.2">
      <c r="A1580" s="9">
        <v>45567</v>
      </c>
      <c r="B1580" s="1" t="str">
        <f>IFERROR(VLOOKUP(MID(INDEX(Database_dermo!$A:$I, MATCH($O1580, Database_dermo!$A:$A, 0), 2),20,3),Notes!A$1:C$9,3,TRUE), "Not Found")</f>
        <v>LX-N</v>
      </c>
      <c r="C1580" s="1" t="str">
        <f>IFERROR(RIGHT(INDEX(Database_dermo!$A:$I, MATCH($O1580, Database_dermo!$A:$A, 0), 1),2), "Not Found")</f>
        <v>01</v>
      </c>
      <c r="D1580" s="1">
        <f>IFERROR(VLOOKUP(MID(INDEX(Database_dermo!$A:$I, MATCH($O1580, Database_dermo!$A:$A, 0), 2),20,3),Notes!A$1:C$9,2,TRUE), "Not Found")</f>
        <v>1</v>
      </c>
      <c r="E1580" s="1">
        <f>IFERROR(INDEX(Database_dermo!$A:$I, MATCH($O1580, Database_dermo!$A:$A, 0), 3), "Not Found")</f>
        <v>65.099999999999994</v>
      </c>
      <c r="F1580" s="1" t="str">
        <f>IFERROR(INDEX(Database_repro!$A:$F, MATCH($O1580, Database_repro!$A:$A, 0), 3), "Not Found")</f>
        <v>F</v>
      </c>
      <c r="G1580" s="1">
        <f>IFERROR(INDEX(Database_repro!$A:$F, MATCH($O1580, Database_repro!$A:$A, 0), 4), "Not Found")</f>
        <v>3</v>
      </c>
      <c r="H1580" s="1" t="s">
        <v>16</v>
      </c>
      <c r="I1580" s="1" t="s">
        <v>16</v>
      </c>
      <c r="J1580" s="1" t="s">
        <v>16</v>
      </c>
      <c r="K1580" s="1" t="str">
        <f>IFERROR(INDEX(Database_repro!$A:$F, MATCH($O1580, Database_repro!$A:$A, 0), 5), "Not Found")</f>
        <v>No</v>
      </c>
      <c r="L1580" s="4" t="s">
        <v>17</v>
      </c>
      <c r="M1580" s="1" t="str">
        <f>IFERROR(IF(INDEX(Database_repro!$A:$F, MATCH($O1580, Database_repro!$A:$A, 0), 6)="N","No",IF(INDEX(Database_repro!$A:$F, MATCH($O1580, Database_repro!$A:$A, 0), 6)="Y","Yes","Z")), "Not Found")</f>
        <v>No</v>
      </c>
      <c r="N1580" s="27" t="s">
        <v>605</v>
      </c>
      <c r="O1580" t="s">
        <v>156</v>
      </c>
    </row>
    <row r="1581" spans="1:15" x14ac:dyDescent="0.2">
      <c r="A1581" s="9">
        <v>45567</v>
      </c>
      <c r="B1581" s="1" t="str">
        <f>IFERROR(VLOOKUP(MID(INDEX(Database_dermo!$A:$I, MATCH($O1581, Database_dermo!$A:$A, 0), 2),20,3),Notes!A$1:C$9,3,TRUE), "Not Found")</f>
        <v>LX-N</v>
      </c>
      <c r="C1581" s="1" t="str">
        <f>IFERROR(RIGHT(INDEX(Database_dermo!$A:$I, MATCH($O1581, Database_dermo!$A:$A, 0), 1),2), "Not Found")</f>
        <v>02</v>
      </c>
      <c r="D1581" s="1">
        <f>IFERROR(VLOOKUP(MID(INDEX(Database_dermo!$A:$I, MATCH($O1581, Database_dermo!$A:$A, 0), 2),20,3),Notes!A$1:C$9,2,TRUE), "Not Found")</f>
        <v>1</v>
      </c>
      <c r="E1581" s="1">
        <f>IFERROR(INDEX(Database_dermo!$A:$I, MATCH($O1581, Database_dermo!$A:$A, 0), 3), "Not Found")</f>
        <v>46.46</v>
      </c>
      <c r="F1581" s="1" t="str">
        <f>IFERROR(INDEX(Database_repro!$A:$F, MATCH($O1581, Database_repro!$A:$A, 0), 3), "Not Found")</f>
        <v>M</v>
      </c>
      <c r="G1581" s="1">
        <f>IFERROR(INDEX(Database_repro!$A:$F, MATCH($O1581, Database_repro!$A:$A, 0), 4), "Not Found")</f>
        <v>2</v>
      </c>
      <c r="H1581" s="1" t="s">
        <v>16</v>
      </c>
      <c r="I1581" s="1" t="s">
        <v>16</v>
      </c>
      <c r="J1581" s="1" t="s">
        <v>16</v>
      </c>
      <c r="K1581" s="1" t="str">
        <f>IFERROR(INDEX(Database_repro!$A:$F, MATCH($O1581, Database_repro!$A:$A, 0), 5), "Not Found")</f>
        <v>Yes</v>
      </c>
      <c r="L1581" s="4" t="s">
        <v>17</v>
      </c>
      <c r="M1581" s="1" t="str">
        <f>IFERROR(IF(INDEX(Database_repro!$A:$F, MATCH($O1581, Database_repro!$A:$A, 0), 6)="N","No",IF(INDEX(Database_repro!$A:$F, MATCH($O1581, Database_repro!$A:$A, 0), 6)="Y","Yes","Z")), "Not Found")</f>
        <v>No</v>
      </c>
      <c r="N1581" s="27" t="s">
        <v>605</v>
      </c>
      <c r="O1581" t="s">
        <v>158</v>
      </c>
    </row>
    <row r="1582" spans="1:15" x14ac:dyDescent="0.2">
      <c r="A1582" s="9">
        <v>45567</v>
      </c>
      <c r="B1582" s="1" t="str">
        <f>IFERROR(VLOOKUP(MID(INDEX(Database_dermo!$A:$I, MATCH($O1582, Database_dermo!$A:$A, 0), 2),20,3),Notes!A$1:C$9,3,TRUE), "Not Found")</f>
        <v>LX-N</v>
      </c>
      <c r="C1582" s="1" t="str">
        <f>IFERROR(RIGHT(INDEX(Database_dermo!$A:$I, MATCH($O1582, Database_dermo!$A:$A, 0), 1),2), "Not Found")</f>
        <v>03</v>
      </c>
      <c r="D1582" s="1">
        <f>IFERROR(VLOOKUP(MID(INDEX(Database_dermo!$A:$I, MATCH($O1582, Database_dermo!$A:$A, 0), 2),20,3),Notes!A$1:C$9,2,TRUE), "Not Found")</f>
        <v>1</v>
      </c>
      <c r="E1582" s="1">
        <f>IFERROR(INDEX(Database_dermo!$A:$I, MATCH($O1582, Database_dermo!$A:$A, 0), 3), "Not Found")</f>
        <v>45.23</v>
      </c>
      <c r="F1582" s="1" t="str">
        <f>IFERROR(INDEX(Database_repro!$A:$F, MATCH($O1582, Database_repro!$A:$A, 0), 3), "Not Found")</f>
        <v>M</v>
      </c>
      <c r="G1582" s="1">
        <f>IFERROR(INDEX(Database_repro!$A:$F, MATCH($O1582, Database_repro!$A:$A, 0), 4), "Not Found")</f>
        <v>2</v>
      </c>
      <c r="H1582" s="1" t="s">
        <v>16</v>
      </c>
      <c r="I1582" s="1" t="s">
        <v>16</v>
      </c>
      <c r="J1582" s="1" t="s">
        <v>16</v>
      </c>
      <c r="K1582" s="1" t="str">
        <f>IFERROR(INDEX(Database_repro!$A:$F, MATCH($O1582, Database_repro!$A:$A, 0), 5), "Not Found")</f>
        <v>No</v>
      </c>
      <c r="L1582" s="4" t="s">
        <v>17</v>
      </c>
      <c r="M1582" s="1" t="str">
        <f>IFERROR(IF(INDEX(Database_repro!$A:$F, MATCH($O1582, Database_repro!$A:$A, 0), 6)="N","No",IF(INDEX(Database_repro!$A:$F, MATCH($O1582, Database_repro!$A:$A, 0), 6)="Y","Yes","Z")), "Not Found")</f>
        <v>No</v>
      </c>
      <c r="N1582" s="27" t="s">
        <v>605</v>
      </c>
      <c r="O1582" t="s">
        <v>160</v>
      </c>
    </row>
    <row r="1583" spans="1:15" x14ac:dyDescent="0.2">
      <c r="A1583" s="9">
        <v>45567</v>
      </c>
      <c r="B1583" s="1" t="str">
        <f>IFERROR(VLOOKUP(MID(INDEX(Database_dermo!$A:$I, MATCH($O1583, Database_dermo!$A:$A, 0), 2),20,3),Notes!A$1:C$9,3,TRUE), "Not Found")</f>
        <v>LX-N</v>
      </c>
      <c r="C1583" s="1" t="str">
        <f>IFERROR(RIGHT(INDEX(Database_dermo!$A:$I, MATCH($O1583, Database_dermo!$A:$A, 0), 1),2), "Not Found")</f>
        <v>04</v>
      </c>
      <c r="D1583" s="1">
        <f>IFERROR(VLOOKUP(MID(INDEX(Database_dermo!$A:$I, MATCH($O1583, Database_dermo!$A:$A, 0), 2),20,3),Notes!A$1:C$9,2,TRUE), "Not Found")</f>
        <v>1</v>
      </c>
      <c r="E1583" s="1">
        <f>IFERROR(INDEX(Database_dermo!$A:$I, MATCH($O1583, Database_dermo!$A:$A, 0), 3), "Not Found")</f>
        <v>74.11</v>
      </c>
      <c r="F1583" s="1" t="str">
        <f>IFERROR(INDEX(Database_repro!$A:$F, MATCH($O1583, Database_repro!$A:$A, 0), 3), "Not Found")</f>
        <v>F</v>
      </c>
      <c r="G1583" s="1">
        <f>IFERROR(INDEX(Database_repro!$A:$F, MATCH($O1583, Database_repro!$A:$A, 0), 4), "Not Found")</f>
        <v>2</v>
      </c>
      <c r="H1583" s="1" t="s">
        <v>16</v>
      </c>
      <c r="I1583" s="1" t="s">
        <v>16</v>
      </c>
      <c r="J1583" s="1" t="s">
        <v>16</v>
      </c>
      <c r="K1583" s="1" t="str">
        <f>IFERROR(INDEX(Database_repro!$A:$F, MATCH($O1583, Database_repro!$A:$A, 0), 5), "Not Found")</f>
        <v>No</v>
      </c>
      <c r="L1583" s="4" t="s">
        <v>17</v>
      </c>
      <c r="M1583" s="1" t="str">
        <f>IFERROR(IF(INDEX(Database_repro!$A:$F, MATCH($O1583, Database_repro!$A:$A, 0), 6)="N","No",IF(INDEX(Database_repro!$A:$F, MATCH($O1583, Database_repro!$A:$A, 0), 6)="Y","Yes","Z")), "Not Found")</f>
        <v>No</v>
      </c>
      <c r="N1583" s="27" t="s">
        <v>605</v>
      </c>
      <c r="O1583" t="s">
        <v>162</v>
      </c>
    </row>
    <row r="1584" spans="1:15" x14ac:dyDescent="0.2">
      <c r="A1584" s="9">
        <v>45567</v>
      </c>
      <c r="B1584" s="1" t="str">
        <f>IFERROR(VLOOKUP(MID(INDEX(Database_dermo!$A:$I, MATCH($O1584, Database_dermo!$A:$A, 0), 2),20,3),Notes!A$1:C$9,3,TRUE), "Not Found")</f>
        <v>LX-N</v>
      </c>
      <c r="C1584" s="1" t="str">
        <f>IFERROR(RIGHT(INDEX(Database_dermo!$A:$I, MATCH($O1584, Database_dermo!$A:$A, 0), 1),2), "Not Found")</f>
        <v>05</v>
      </c>
      <c r="D1584" s="1">
        <f>IFERROR(VLOOKUP(MID(INDEX(Database_dermo!$A:$I, MATCH($O1584, Database_dermo!$A:$A, 0), 2),20,3),Notes!A$1:C$9,2,TRUE), "Not Found")</f>
        <v>1</v>
      </c>
      <c r="E1584" s="1">
        <f>IFERROR(INDEX(Database_dermo!$A:$I, MATCH($O1584, Database_dermo!$A:$A, 0), 3), "Not Found")</f>
        <v>43.4</v>
      </c>
      <c r="F1584" s="1" t="str">
        <f>IFERROR(INDEX(Database_repro!$A:$F, MATCH($O1584, Database_repro!$A:$A, 0), 3), "Not Found")</f>
        <v>F</v>
      </c>
      <c r="G1584" s="1">
        <f>IFERROR(INDEX(Database_repro!$A:$F, MATCH($O1584, Database_repro!$A:$A, 0), 4), "Not Found")</f>
        <v>2</v>
      </c>
      <c r="H1584" s="1" t="s">
        <v>16</v>
      </c>
      <c r="I1584" s="1" t="s">
        <v>16</v>
      </c>
      <c r="J1584" s="1" t="s">
        <v>16</v>
      </c>
      <c r="K1584" s="1" t="str">
        <f>IFERROR(INDEX(Database_repro!$A:$F, MATCH($O1584, Database_repro!$A:$A, 0), 5), "Not Found")</f>
        <v>No</v>
      </c>
      <c r="L1584" s="4" t="s">
        <v>17</v>
      </c>
      <c r="M1584" s="1" t="str">
        <f>IFERROR(IF(INDEX(Database_repro!$A:$F, MATCH($O1584, Database_repro!$A:$A, 0), 6)="N","No",IF(INDEX(Database_repro!$A:$F, MATCH($O1584, Database_repro!$A:$A, 0), 6)="Y","Yes","Z")), "Not Found")</f>
        <v>No</v>
      </c>
      <c r="N1584" s="27" t="s">
        <v>605</v>
      </c>
      <c r="O1584" t="s">
        <v>163</v>
      </c>
    </row>
    <row r="1585" spans="1:15" x14ac:dyDescent="0.2">
      <c r="A1585" s="9">
        <v>45567</v>
      </c>
      <c r="B1585" s="1" t="str">
        <f>IFERROR(VLOOKUP(MID(INDEX(Database_dermo!$A:$I, MATCH($O1585, Database_dermo!$A:$A, 0), 2),20,3),Notes!A$1:C$9,3,TRUE), "Not Found")</f>
        <v>LX-N</v>
      </c>
      <c r="C1585" s="1" t="str">
        <f>IFERROR(RIGHT(INDEX(Database_dermo!$A:$I, MATCH($O1585, Database_dermo!$A:$A, 0), 1),2), "Not Found")</f>
        <v>06</v>
      </c>
      <c r="D1585" s="1">
        <f>IFERROR(VLOOKUP(MID(INDEX(Database_dermo!$A:$I, MATCH($O1585, Database_dermo!$A:$A, 0), 2),20,3),Notes!A$1:C$9,2,TRUE), "Not Found")</f>
        <v>2</v>
      </c>
      <c r="E1585" s="1">
        <f>IFERROR(INDEX(Database_dermo!$A:$I, MATCH($O1585, Database_dermo!$A:$A, 0), 3), "Not Found")</f>
        <v>52.93</v>
      </c>
      <c r="F1585" s="1" t="str">
        <f>IFERROR(INDEX(Database_repro!$A:$F, MATCH($O1585, Database_repro!$A:$A, 0), 3), "Not Found")</f>
        <v>F</v>
      </c>
      <c r="G1585" s="1">
        <f>IFERROR(INDEX(Database_repro!$A:$F, MATCH($O1585, Database_repro!$A:$A, 0), 4), "Not Found")</f>
        <v>2</v>
      </c>
      <c r="H1585" s="1" t="s">
        <v>16</v>
      </c>
      <c r="I1585" s="1" t="s">
        <v>16</v>
      </c>
      <c r="J1585" s="1" t="s">
        <v>16</v>
      </c>
      <c r="K1585" s="1" t="str">
        <f>IFERROR(INDEX(Database_repro!$A:$F, MATCH($O1585, Database_repro!$A:$A, 0), 5), "Not Found")</f>
        <v>No</v>
      </c>
      <c r="L1585" s="4" t="s">
        <v>17</v>
      </c>
      <c r="M1585" s="1" t="str">
        <f>IFERROR(IF(INDEX(Database_repro!$A:$F, MATCH($O1585, Database_repro!$A:$A, 0), 6)="N","No",IF(INDEX(Database_repro!$A:$F, MATCH($O1585, Database_repro!$A:$A, 0), 6)="Y","Yes","Z")), "Not Found")</f>
        <v>No</v>
      </c>
      <c r="N1585" s="27" t="s">
        <v>605</v>
      </c>
      <c r="O1585" t="s">
        <v>164</v>
      </c>
    </row>
    <row r="1586" spans="1:15" x14ac:dyDescent="0.2">
      <c r="A1586" s="9">
        <v>45567</v>
      </c>
      <c r="B1586" s="1" t="str">
        <f>IFERROR(VLOOKUP(MID(INDEX(Database_dermo!$A:$I, MATCH($O1586, Database_dermo!$A:$A, 0), 2),20,3),Notes!A$1:C$9,3,TRUE), "Not Found")</f>
        <v>LX-N</v>
      </c>
      <c r="C1586" s="1" t="str">
        <f>IFERROR(RIGHT(INDEX(Database_dermo!$A:$I, MATCH($O1586, Database_dermo!$A:$A, 0), 1),2), "Not Found")</f>
        <v>07</v>
      </c>
      <c r="D1586" s="1">
        <f>IFERROR(VLOOKUP(MID(INDEX(Database_dermo!$A:$I, MATCH($O1586, Database_dermo!$A:$A, 0), 2),20,3),Notes!A$1:C$9,2,TRUE), "Not Found")</f>
        <v>2</v>
      </c>
      <c r="E1586" s="1">
        <f>IFERROR(INDEX(Database_dermo!$A:$I, MATCH($O1586, Database_dermo!$A:$A, 0), 3), "Not Found")</f>
        <v>58.39</v>
      </c>
      <c r="F1586" s="1" t="str">
        <f>IFERROR(INDEX(Database_repro!$A:$F, MATCH($O1586, Database_repro!$A:$A, 0), 3), "Not Found")</f>
        <v>F</v>
      </c>
      <c r="G1586" s="1">
        <f>IFERROR(INDEX(Database_repro!$A:$F, MATCH($O1586, Database_repro!$A:$A, 0), 4), "Not Found")</f>
        <v>2</v>
      </c>
      <c r="H1586" s="1" t="s">
        <v>16</v>
      </c>
      <c r="I1586" s="1" t="s">
        <v>16</v>
      </c>
      <c r="J1586" s="1" t="s">
        <v>16</v>
      </c>
      <c r="K1586" s="1" t="str">
        <f>IFERROR(INDEX(Database_repro!$A:$F, MATCH($O1586, Database_repro!$A:$A, 0), 5), "Not Found")</f>
        <v>No</v>
      </c>
      <c r="L1586" s="4" t="s">
        <v>17</v>
      </c>
      <c r="M1586" s="1" t="str">
        <f>IFERROR(IF(INDEX(Database_repro!$A:$F, MATCH($O1586, Database_repro!$A:$A, 0), 6)="N","No",IF(INDEX(Database_repro!$A:$F, MATCH($O1586, Database_repro!$A:$A, 0), 6)="Y","Yes","Z")), "Not Found")</f>
        <v>No</v>
      </c>
      <c r="N1586" s="27" t="s">
        <v>605</v>
      </c>
      <c r="O1586" t="s">
        <v>166</v>
      </c>
    </row>
    <row r="1587" spans="1:15" x14ac:dyDescent="0.2">
      <c r="A1587" s="9">
        <v>45567</v>
      </c>
      <c r="B1587" s="1" t="str">
        <f>IFERROR(VLOOKUP(MID(INDEX(Database_dermo!$A:$I, MATCH($O1587, Database_dermo!$A:$A, 0), 2),20,3),Notes!A$1:C$9,3,TRUE), "Not Found")</f>
        <v>LX-N</v>
      </c>
      <c r="C1587" s="1" t="str">
        <f>IFERROR(RIGHT(INDEX(Database_dermo!$A:$I, MATCH($O1587, Database_dermo!$A:$A, 0), 1),2), "Not Found")</f>
        <v>08</v>
      </c>
      <c r="D1587" s="1">
        <f>IFERROR(VLOOKUP(MID(INDEX(Database_dermo!$A:$I, MATCH($O1587, Database_dermo!$A:$A, 0), 2),20,3),Notes!A$1:C$9,2,TRUE), "Not Found")</f>
        <v>2</v>
      </c>
      <c r="E1587" s="1">
        <f>IFERROR(INDEX(Database_dermo!$A:$I, MATCH($O1587, Database_dermo!$A:$A, 0), 3), "Not Found")</f>
        <v>55.7</v>
      </c>
      <c r="F1587" s="1" t="str">
        <f>IFERROR(INDEX(Database_repro!$A:$F, MATCH($O1587, Database_repro!$A:$A, 0), 3), "Not Found")</f>
        <v>M</v>
      </c>
      <c r="G1587" s="1">
        <f>IFERROR(INDEX(Database_repro!$A:$F, MATCH($O1587, Database_repro!$A:$A, 0), 4), "Not Found")</f>
        <v>2</v>
      </c>
      <c r="H1587" s="1" t="s">
        <v>16</v>
      </c>
      <c r="I1587" s="1" t="s">
        <v>16</v>
      </c>
      <c r="J1587" s="1" t="s">
        <v>16</v>
      </c>
      <c r="K1587" s="1" t="str">
        <f>IFERROR(INDEX(Database_repro!$A:$F, MATCH($O1587, Database_repro!$A:$A, 0), 5), "Not Found")</f>
        <v>No</v>
      </c>
      <c r="L1587" s="4" t="s">
        <v>17</v>
      </c>
      <c r="M1587" s="1" t="str">
        <f>IFERROR(IF(INDEX(Database_repro!$A:$F, MATCH($O1587, Database_repro!$A:$A, 0), 6)="N","No",IF(INDEX(Database_repro!$A:$F, MATCH($O1587, Database_repro!$A:$A, 0), 6)="Y","Yes","Z")), "Not Found")</f>
        <v>No</v>
      </c>
      <c r="N1587" s="27" t="s">
        <v>605</v>
      </c>
      <c r="O1587" t="s">
        <v>167</v>
      </c>
    </row>
    <row r="1588" spans="1:15" x14ac:dyDescent="0.2">
      <c r="A1588" s="9">
        <v>45567</v>
      </c>
      <c r="B1588" s="1" t="str">
        <f>IFERROR(VLOOKUP(MID(INDEX(Database_dermo!$A:$I, MATCH($O1588, Database_dermo!$A:$A, 0), 2),20,3),Notes!A$1:C$9,3,TRUE), "Not Found")</f>
        <v>LX-N</v>
      </c>
      <c r="C1588" s="1" t="str">
        <f>IFERROR(RIGHT(INDEX(Database_dermo!$A:$I, MATCH($O1588, Database_dermo!$A:$A, 0), 1),2), "Not Found")</f>
        <v>09</v>
      </c>
      <c r="D1588" s="1">
        <f>IFERROR(VLOOKUP(MID(INDEX(Database_dermo!$A:$I, MATCH($O1588, Database_dermo!$A:$A, 0), 2),20,3),Notes!A$1:C$9,2,TRUE), "Not Found")</f>
        <v>2</v>
      </c>
      <c r="E1588" s="1">
        <f>IFERROR(INDEX(Database_dermo!$A:$I, MATCH($O1588, Database_dermo!$A:$A, 0), 3), "Not Found")</f>
        <v>57.77</v>
      </c>
      <c r="F1588" s="1" t="str">
        <f>IFERROR(INDEX(Database_repro!$A:$F, MATCH($O1588, Database_repro!$A:$A, 0), 3), "Not Found")</f>
        <v>F</v>
      </c>
      <c r="G1588" s="1">
        <f>IFERROR(INDEX(Database_repro!$A:$F, MATCH($O1588, Database_repro!$A:$A, 0), 4), "Not Found")</f>
        <v>2</v>
      </c>
      <c r="H1588" s="1" t="s">
        <v>16</v>
      </c>
      <c r="I1588" s="1" t="s">
        <v>16</v>
      </c>
      <c r="J1588" s="1" t="s">
        <v>16</v>
      </c>
      <c r="K1588" s="1" t="str">
        <f>IFERROR(INDEX(Database_repro!$A:$F, MATCH($O1588, Database_repro!$A:$A, 0), 5), "Not Found")</f>
        <v>No</v>
      </c>
      <c r="L1588" s="4" t="s">
        <v>17</v>
      </c>
      <c r="M1588" s="1" t="str">
        <f>IFERROR(IF(INDEX(Database_repro!$A:$F, MATCH($O1588, Database_repro!$A:$A, 0), 6)="N","No",IF(INDEX(Database_repro!$A:$F, MATCH($O1588, Database_repro!$A:$A, 0), 6)="Y","Yes","Z")), "Not Found")</f>
        <v>No</v>
      </c>
      <c r="N1588" s="27" t="s">
        <v>605</v>
      </c>
      <c r="O1588" t="s">
        <v>169</v>
      </c>
    </row>
    <row r="1589" spans="1:15" x14ac:dyDescent="0.2">
      <c r="A1589" s="9">
        <v>45567</v>
      </c>
      <c r="B1589" s="1" t="str">
        <f>IFERROR(VLOOKUP(MID(INDEX(Database_dermo!$A:$I, MATCH($O1589, Database_dermo!$A:$A, 0), 2),20,3),Notes!A$1:C$9,3,TRUE), "Not Found")</f>
        <v>LX-N</v>
      </c>
      <c r="C1589" s="1" t="str">
        <f>IFERROR(RIGHT(INDEX(Database_dermo!$A:$I, MATCH($O1589, Database_dermo!$A:$A, 0), 1),2), "Not Found")</f>
        <v>10</v>
      </c>
      <c r="D1589" s="1">
        <f>IFERROR(VLOOKUP(MID(INDEX(Database_dermo!$A:$I, MATCH($O1589, Database_dermo!$A:$A, 0), 2),20,3),Notes!A$1:C$9,2,TRUE), "Not Found")</f>
        <v>2</v>
      </c>
      <c r="E1589" s="1">
        <f>IFERROR(INDEX(Database_dermo!$A:$I, MATCH($O1589, Database_dermo!$A:$A, 0), 3), "Not Found")</f>
        <v>62.11</v>
      </c>
      <c r="F1589" s="1" t="str">
        <f>IFERROR(INDEX(Database_repro!$A:$F, MATCH($O1589, Database_repro!$A:$A, 0), 3), "Not Found")</f>
        <v>F</v>
      </c>
      <c r="G1589" s="1">
        <f>IFERROR(INDEX(Database_repro!$A:$F, MATCH($O1589, Database_repro!$A:$A, 0), 4), "Not Found")</f>
        <v>2</v>
      </c>
      <c r="H1589" s="1" t="s">
        <v>16</v>
      </c>
      <c r="I1589" s="1" t="s">
        <v>16</v>
      </c>
      <c r="J1589" s="1" t="s">
        <v>16</v>
      </c>
      <c r="K1589" s="1" t="str">
        <f>IFERROR(INDEX(Database_repro!$A:$F, MATCH($O1589, Database_repro!$A:$A, 0), 5), "Not Found")</f>
        <v>No</v>
      </c>
      <c r="L1589" s="4" t="s">
        <v>17</v>
      </c>
      <c r="M1589" s="1" t="str">
        <f>IFERROR(IF(INDEX(Database_repro!$A:$F, MATCH($O1589, Database_repro!$A:$A, 0), 6)="N","No",IF(INDEX(Database_repro!$A:$F, MATCH($O1589, Database_repro!$A:$A, 0), 6)="Y","Yes","Z")), "Not Found")</f>
        <v>No</v>
      </c>
      <c r="N1589" s="27" t="s">
        <v>605</v>
      </c>
      <c r="O1589" t="s">
        <v>170</v>
      </c>
    </row>
    <row r="1590" spans="1:15" x14ac:dyDescent="0.2">
      <c r="A1590" s="9">
        <v>45567</v>
      </c>
      <c r="B1590" s="1" t="str">
        <f>IFERROR(VLOOKUP(MID(INDEX(Database_dermo!$A:$I, MATCH($O1590, Database_dermo!$A:$A, 0), 2),20,3),Notes!A$1:C$9,3,TRUE), "Not Found")</f>
        <v>LX-N</v>
      </c>
      <c r="C1590" s="1" t="str">
        <f>IFERROR(RIGHT(INDEX(Database_dermo!$A:$I, MATCH($O1590, Database_dermo!$A:$A, 0), 1),2), "Not Found")</f>
        <v>11</v>
      </c>
      <c r="D1590" s="1">
        <f>IFERROR(VLOOKUP(MID(INDEX(Database_dermo!$A:$I, MATCH($O1590, Database_dermo!$A:$A, 0), 2),20,3),Notes!A$1:C$9,2,TRUE), "Not Found")</f>
        <v>3</v>
      </c>
      <c r="E1590" s="1">
        <f>IFERROR(INDEX(Database_dermo!$A:$I, MATCH($O1590, Database_dermo!$A:$A, 0), 3), "Not Found")</f>
        <v>48.7</v>
      </c>
      <c r="F1590" s="1" t="str">
        <f>IFERROR(INDEX(Database_repro!$A:$F, MATCH($O1590, Database_repro!$A:$A, 0), 3), "Not Found")</f>
        <v>F</v>
      </c>
      <c r="G1590" s="1">
        <f>IFERROR(INDEX(Database_repro!$A:$F, MATCH($O1590, Database_repro!$A:$A, 0), 4), "Not Found")</f>
        <v>2</v>
      </c>
      <c r="H1590" s="1" t="s">
        <v>16</v>
      </c>
      <c r="I1590" s="1" t="s">
        <v>16</v>
      </c>
      <c r="J1590" s="1" t="s">
        <v>16</v>
      </c>
      <c r="K1590" s="1" t="str">
        <f>IFERROR(INDEX(Database_repro!$A:$F, MATCH($O1590, Database_repro!$A:$A, 0), 5), "Not Found")</f>
        <v>No</v>
      </c>
      <c r="L1590" s="4" t="s">
        <v>17</v>
      </c>
      <c r="M1590" s="1" t="str">
        <f>IFERROR(IF(INDEX(Database_repro!$A:$F, MATCH($O1590, Database_repro!$A:$A, 0), 6)="N","No",IF(INDEX(Database_repro!$A:$F, MATCH($O1590, Database_repro!$A:$A, 0), 6)="Y","Yes","Z")), "Not Found")</f>
        <v>No</v>
      </c>
      <c r="N1590" s="27" t="s">
        <v>605</v>
      </c>
      <c r="O1590" t="s">
        <v>171</v>
      </c>
    </row>
    <row r="1591" spans="1:15" x14ac:dyDescent="0.2">
      <c r="A1591" s="9">
        <v>45567</v>
      </c>
      <c r="B1591" s="1" t="str">
        <f>IFERROR(VLOOKUP(MID(INDEX(Database_dermo!$A:$I, MATCH($O1591, Database_dermo!$A:$A, 0), 2),20,3),Notes!A$1:C$9,3,TRUE), "Not Found")</f>
        <v>LX-N</v>
      </c>
      <c r="C1591" s="1" t="str">
        <f>IFERROR(RIGHT(INDEX(Database_dermo!$A:$I, MATCH($O1591, Database_dermo!$A:$A, 0), 1),2), "Not Found")</f>
        <v>12</v>
      </c>
      <c r="D1591" s="1">
        <f>IFERROR(VLOOKUP(MID(INDEX(Database_dermo!$A:$I, MATCH($O1591, Database_dermo!$A:$A, 0), 2),20,3),Notes!A$1:C$9,2,TRUE), "Not Found")</f>
        <v>3</v>
      </c>
      <c r="E1591" s="1">
        <f>IFERROR(INDEX(Database_dermo!$A:$I, MATCH($O1591, Database_dermo!$A:$A, 0), 3), "Not Found")</f>
        <v>36.299999999999997</v>
      </c>
      <c r="F1591" s="1" t="str">
        <f>IFERROR(INDEX(Database_repro!$A:$F, MATCH($O1591, Database_repro!$A:$A, 0), 3), "Not Found")</f>
        <v>M</v>
      </c>
      <c r="G1591" s="1">
        <f>IFERROR(INDEX(Database_repro!$A:$F, MATCH($O1591, Database_repro!$A:$A, 0), 4), "Not Found")</f>
        <v>2</v>
      </c>
      <c r="H1591" s="1" t="s">
        <v>16</v>
      </c>
      <c r="I1591" s="1" t="s">
        <v>16</v>
      </c>
      <c r="J1591" s="1" t="s">
        <v>16</v>
      </c>
      <c r="K1591" s="1" t="str">
        <f>IFERROR(INDEX(Database_repro!$A:$F, MATCH($O1591, Database_repro!$A:$A, 0), 5), "Not Found")</f>
        <v>No</v>
      </c>
      <c r="L1591" s="4" t="s">
        <v>17</v>
      </c>
      <c r="M1591" s="1" t="str">
        <f>IFERROR(IF(INDEX(Database_repro!$A:$F, MATCH($O1591, Database_repro!$A:$A, 0), 6)="N","No",IF(INDEX(Database_repro!$A:$F, MATCH($O1591, Database_repro!$A:$A, 0), 6)="Y","Yes","Z")), "Not Found")</f>
        <v>No</v>
      </c>
      <c r="N1591" s="27" t="s">
        <v>605</v>
      </c>
      <c r="O1591" t="s">
        <v>173</v>
      </c>
    </row>
    <row r="1592" spans="1:15" x14ac:dyDescent="0.2">
      <c r="A1592" s="9">
        <v>45567</v>
      </c>
      <c r="B1592" s="1" t="str">
        <f>IFERROR(VLOOKUP(MID(INDEX(Database_dermo!$A:$I, MATCH($O1592, Database_dermo!$A:$A, 0), 2),20,3),Notes!A$1:C$9,3,TRUE), "Not Found")</f>
        <v>LX-N</v>
      </c>
      <c r="C1592" s="1" t="str">
        <f>IFERROR(RIGHT(INDEX(Database_dermo!$A:$I, MATCH($O1592, Database_dermo!$A:$A, 0), 1),2), "Not Found")</f>
        <v>13</v>
      </c>
      <c r="D1592" s="1">
        <f>IFERROR(VLOOKUP(MID(INDEX(Database_dermo!$A:$I, MATCH($O1592, Database_dermo!$A:$A, 0), 2),20,3),Notes!A$1:C$9,2,TRUE), "Not Found")</f>
        <v>3</v>
      </c>
      <c r="E1592" s="1">
        <f>IFERROR(INDEX(Database_dermo!$A:$I, MATCH($O1592, Database_dermo!$A:$A, 0), 3), "Not Found")</f>
        <v>39.11</v>
      </c>
      <c r="F1592" s="1" t="str">
        <f>IFERROR(INDEX(Database_repro!$A:$F, MATCH($O1592, Database_repro!$A:$A, 0), 3), "Not Found")</f>
        <v>F</v>
      </c>
      <c r="G1592" s="1">
        <f>IFERROR(INDEX(Database_repro!$A:$F, MATCH($O1592, Database_repro!$A:$A, 0), 4), "Not Found")</f>
        <v>3</v>
      </c>
      <c r="H1592" s="1" t="s">
        <v>16</v>
      </c>
      <c r="I1592" s="1" t="s">
        <v>16</v>
      </c>
      <c r="J1592" s="1" t="s">
        <v>16</v>
      </c>
      <c r="K1592" s="1" t="str">
        <f>IFERROR(INDEX(Database_repro!$A:$F, MATCH($O1592, Database_repro!$A:$A, 0), 5), "Not Found")</f>
        <v>No</v>
      </c>
      <c r="L1592" s="4" t="s">
        <v>17</v>
      </c>
      <c r="M1592" s="1" t="str">
        <f>IFERROR(IF(INDEX(Database_repro!$A:$F, MATCH($O1592, Database_repro!$A:$A, 0), 6)="N","No",IF(INDEX(Database_repro!$A:$F, MATCH($O1592, Database_repro!$A:$A, 0), 6)="Y","Yes","Z")), "Not Found")</f>
        <v>No</v>
      </c>
      <c r="N1592" s="27" t="s">
        <v>605</v>
      </c>
      <c r="O1592" t="s">
        <v>174</v>
      </c>
    </row>
    <row r="1593" spans="1:15" x14ac:dyDescent="0.2">
      <c r="A1593" s="9">
        <v>45567</v>
      </c>
      <c r="B1593" s="1" t="str">
        <f>IFERROR(VLOOKUP(MID(INDEX(Database_dermo!$A:$I, MATCH($O1593, Database_dermo!$A:$A, 0), 2),20,3),Notes!A$1:C$9,3,TRUE), "Not Found")</f>
        <v>LX-N</v>
      </c>
      <c r="C1593" s="1" t="str">
        <f>IFERROR(RIGHT(INDEX(Database_dermo!$A:$I, MATCH($O1593, Database_dermo!$A:$A, 0), 1),2), "Not Found")</f>
        <v>14</v>
      </c>
      <c r="D1593" s="1">
        <f>IFERROR(VLOOKUP(MID(INDEX(Database_dermo!$A:$I, MATCH($O1593, Database_dermo!$A:$A, 0), 2),20,3),Notes!A$1:C$9,2,TRUE), "Not Found")</f>
        <v>3</v>
      </c>
      <c r="E1593" s="1">
        <f>IFERROR(INDEX(Database_dermo!$A:$I, MATCH($O1593, Database_dermo!$A:$A, 0), 3), "Not Found")</f>
        <v>40.94</v>
      </c>
      <c r="F1593" s="1" t="str">
        <f>IFERROR(INDEX(Database_repro!$A:$F, MATCH($O1593, Database_repro!$A:$A, 0), 3), "Not Found")</f>
        <v>M</v>
      </c>
      <c r="G1593" s="1">
        <f>IFERROR(INDEX(Database_repro!$A:$F, MATCH($O1593, Database_repro!$A:$A, 0), 4), "Not Found")</f>
        <v>2</v>
      </c>
      <c r="H1593" s="1" t="s">
        <v>16</v>
      </c>
      <c r="I1593" s="1" t="s">
        <v>16</v>
      </c>
      <c r="J1593" s="1" t="s">
        <v>16</v>
      </c>
      <c r="K1593" s="1" t="str">
        <f>IFERROR(INDEX(Database_repro!$A:$F, MATCH($O1593, Database_repro!$A:$A, 0), 5), "Not Found")</f>
        <v>No</v>
      </c>
      <c r="L1593" s="4" t="s">
        <v>17</v>
      </c>
      <c r="M1593" s="1" t="str">
        <f>IFERROR(IF(INDEX(Database_repro!$A:$F, MATCH($O1593, Database_repro!$A:$A, 0), 6)="N","No",IF(INDEX(Database_repro!$A:$F, MATCH($O1593, Database_repro!$A:$A, 0), 6)="Y","Yes","Z")), "Not Found")</f>
        <v>No</v>
      </c>
      <c r="N1593" s="27" t="s">
        <v>605</v>
      </c>
      <c r="O1593" t="s">
        <v>175</v>
      </c>
    </row>
    <row r="1594" spans="1:15" x14ac:dyDescent="0.2">
      <c r="A1594" s="9">
        <v>45567</v>
      </c>
      <c r="B1594" s="1" t="str">
        <f>IFERROR(VLOOKUP(MID(INDEX(Database_dermo!$A:$I, MATCH($O1594, Database_dermo!$A:$A, 0), 2),20,3),Notes!A$1:C$9,3,TRUE), "Not Found")</f>
        <v>LX-N</v>
      </c>
      <c r="C1594" s="1" t="str">
        <f>IFERROR(RIGHT(INDEX(Database_dermo!$A:$I, MATCH($O1594, Database_dermo!$A:$A, 0), 1),2), "Not Found")</f>
        <v>15</v>
      </c>
      <c r="D1594" s="1">
        <f>IFERROR(VLOOKUP(MID(INDEX(Database_dermo!$A:$I, MATCH($O1594, Database_dermo!$A:$A, 0), 2),20,3),Notes!A$1:C$9,2,TRUE), "Not Found")</f>
        <v>3</v>
      </c>
      <c r="E1594" s="1">
        <f>IFERROR(INDEX(Database_dermo!$A:$I, MATCH($O1594, Database_dermo!$A:$A, 0), 3), "Not Found")</f>
        <v>45.15</v>
      </c>
      <c r="F1594" s="1" t="str">
        <f>IFERROR(INDEX(Database_repro!$A:$F, MATCH($O1594, Database_repro!$A:$A, 0), 3), "Not Found")</f>
        <v>F</v>
      </c>
      <c r="G1594" s="1">
        <f>IFERROR(INDEX(Database_repro!$A:$F, MATCH($O1594, Database_repro!$A:$A, 0), 4), "Not Found")</f>
        <v>2</v>
      </c>
      <c r="H1594" s="1" t="s">
        <v>16</v>
      </c>
      <c r="I1594" s="1" t="s">
        <v>16</v>
      </c>
      <c r="J1594" s="1" t="s">
        <v>16</v>
      </c>
      <c r="K1594" s="1" t="str">
        <f>IFERROR(INDEX(Database_repro!$A:$F, MATCH($O1594, Database_repro!$A:$A, 0), 5), "Not Found")</f>
        <v>No</v>
      </c>
      <c r="L1594" s="4" t="s">
        <v>17</v>
      </c>
      <c r="M1594" s="1" t="str">
        <f>IFERROR(IF(INDEX(Database_repro!$A:$F, MATCH($O1594, Database_repro!$A:$A, 0), 6)="N","No",IF(INDEX(Database_repro!$A:$F, MATCH($O1594, Database_repro!$A:$A, 0), 6)="Y","Yes","Z")), "Not Found")</f>
        <v>No</v>
      </c>
      <c r="N1594" s="27" t="s">
        <v>605</v>
      </c>
      <c r="O1594" t="s">
        <v>176</v>
      </c>
    </row>
    <row r="1595" spans="1:15" x14ac:dyDescent="0.2">
      <c r="A1595" s="9">
        <v>45601</v>
      </c>
      <c r="B1595" s="1" t="str">
        <f>IFERROR(VLOOKUP(MID(INDEX(Database_dermo!$A:$I, MATCH($O1595, Database_dermo!$A:$A, 0), 2),20,3),Notes!A$1:C$9,3,TRUE), "Not Found")</f>
        <v>LX-N</v>
      </c>
      <c r="C1595" s="1" t="str">
        <f>IFERROR(RIGHT(INDEX(Database_dermo!$A:$I, MATCH($O1595, Database_dermo!$A:$A, 0), 1),2), "Not Found")</f>
        <v>01</v>
      </c>
      <c r="D1595" s="1">
        <f>IFERROR(VLOOKUP(MID(INDEX(Database_dermo!$A:$I, MATCH($O1595, Database_dermo!$A:$A, 0), 2),20,3),Notes!A$1:C$9,2,TRUE), "Not Found")</f>
        <v>1</v>
      </c>
      <c r="E1595" s="1">
        <f>IFERROR(INDEX(Database_dermo!$A:$I, MATCH($O1595, Database_dermo!$A:$A, 0), 3), "Not Found")</f>
        <v>46.15</v>
      </c>
      <c r="F1595" s="1" t="str">
        <f>IFERROR(INDEX(Database_repro!$A:$F, MATCH($O1595, Database_repro!$A:$A, 0), 3), "Not Found")</f>
        <v>F</v>
      </c>
      <c r="G1595" s="1">
        <f>IFERROR(INDEX(Database_repro!$A:$F, MATCH($O1595, Database_repro!$A:$A, 0), 4), "Not Found")</f>
        <v>1</v>
      </c>
      <c r="H1595" s="1" t="s">
        <v>16</v>
      </c>
      <c r="I1595" s="1" t="s">
        <v>16</v>
      </c>
      <c r="J1595" s="1" t="s">
        <v>16</v>
      </c>
      <c r="K1595" s="1" t="str">
        <f>IFERROR(INDEX(Database_repro!$A:$F, MATCH($O1595, Database_repro!$A:$A, 0), 5), "Not Found")</f>
        <v>No</v>
      </c>
      <c r="L1595" s="4" t="s">
        <v>17</v>
      </c>
      <c r="M1595" s="1" t="str">
        <f>IFERROR(IF(INDEX(Database_repro!$A:$F, MATCH($O1595, Database_repro!$A:$A, 0), 6)="N","No",IF(INDEX(Database_repro!$A:$F, MATCH($O1595, Database_repro!$A:$A, 0), 6)="Y","Yes","Z")), "Not Found")</f>
        <v>No</v>
      </c>
      <c r="N1595" s="27" t="s">
        <v>605</v>
      </c>
      <c r="O1595" t="s">
        <v>177</v>
      </c>
    </row>
    <row r="1596" spans="1:15" x14ac:dyDescent="0.2">
      <c r="A1596" s="9">
        <v>45601</v>
      </c>
      <c r="B1596" s="1" t="str">
        <f>IFERROR(VLOOKUP(MID(INDEX(Database_dermo!$A:$I, MATCH($O1596, Database_dermo!$A:$A, 0), 2),20,3),Notes!A$1:C$9,3,TRUE), "Not Found")</f>
        <v>LX-N</v>
      </c>
      <c r="C1596" s="1" t="str">
        <f>IFERROR(RIGHT(INDEX(Database_dermo!$A:$I, MATCH($O1596, Database_dermo!$A:$A, 0), 1),2), "Not Found")</f>
        <v>02</v>
      </c>
      <c r="D1596" s="1">
        <f>IFERROR(VLOOKUP(MID(INDEX(Database_dermo!$A:$I, MATCH($O1596, Database_dermo!$A:$A, 0), 2),20,3),Notes!A$1:C$9,2,TRUE), "Not Found")</f>
        <v>1</v>
      </c>
      <c r="E1596" s="1">
        <f>IFERROR(INDEX(Database_dermo!$A:$I, MATCH($O1596, Database_dermo!$A:$A, 0), 3), "Not Found")</f>
        <v>44.99</v>
      </c>
      <c r="F1596" s="1" t="str">
        <f>IFERROR(INDEX(Database_repro!$A:$F, MATCH($O1596, Database_repro!$A:$A, 0), 3), "Not Found")</f>
        <v>F</v>
      </c>
      <c r="G1596" s="1">
        <f>IFERROR(INDEX(Database_repro!$A:$F, MATCH($O1596, Database_repro!$A:$A, 0), 4), "Not Found")</f>
        <v>3</v>
      </c>
      <c r="H1596" s="1" t="s">
        <v>16</v>
      </c>
      <c r="I1596" s="1" t="s">
        <v>16</v>
      </c>
      <c r="J1596" s="1" t="s">
        <v>16</v>
      </c>
      <c r="K1596" s="1" t="str">
        <f>IFERROR(INDEX(Database_repro!$A:$F, MATCH($O1596, Database_repro!$A:$A, 0), 5), "Not Found")</f>
        <v>No</v>
      </c>
      <c r="L1596" s="4" t="s">
        <v>17</v>
      </c>
      <c r="M1596" s="1" t="str">
        <f>IFERROR(IF(INDEX(Database_repro!$A:$F, MATCH($O1596, Database_repro!$A:$A, 0), 6)="N","No",IF(INDEX(Database_repro!$A:$F, MATCH($O1596, Database_repro!$A:$A, 0), 6)="Y","Yes","Z")), "Not Found")</f>
        <v>No</v>
      </c>
      <c r="N1596" s="27" t="s">
        <v>605</v>
      </c>
      <c r="O1596" t="s">
        <v>179</v>
      </c>
    </row>
    <row r="1597" spans="1:15" x14ac:dyDescent="0.2">
      <c r="A1597" s="9">
        <v>45601</v>
      </c>
      <c r="B1597" s="1" t="str">
        <f>IFERROR(VLOOKUP(MID(INDEX(Database_dermo!$A:$I, MATCH($O1597, Database_dermo!$A:$A, 0), 2),20,3),Notes!A$1:C$9,3,TRUE), "Not Found")</f>
        <v>LX-N</v>
      </c>
      <c r="C1597" s="1" t="str">
        <f>IFERROR(RIGHT(INDEX(Database_dermo!$A:$I, MATCH($O1597, Database_dermo!$A:$A, 0), 1),2), "Not Found")</f>
        <v>03</v>
      </c>
      <c r="D1597" s="1">
        <f>IFERROR(VLOOKUP(MID(INDEX(Database_dermo!$A:$I, MATCH($O1597, Database_dermo!$A:$A, 0), 2),20,3),Notes!A$1:C$9,2,TRUE), "Not Found")</f>
        <v>1</v>
      </c>
      <c r="E1597" s="1">
        <f>IFERROR(INDEX(Database_dermo!$A:$I, MATCH($O1597, Database_dermo!$A:$A, 0), 3), "Not Found")</f>
        <v>59.03</v>
      </c>
      <c r="F1597" s="1" t="str">
        <f>IFERROR(INDEX(Database_repro!$A:$F, MATCH($O1597, Database_repro!$A:$A, 0), 3), "Not Found")</f>
        <v>F</v>
      </c>
      <c r="G1597" s="1">
        <f>IFERROR(INDEX(Database_repro!$A:$F, MATCH($O1597, Database_repro!$A:$A, 0), 4), "Not Found")</f>
        <v>2</v>
      </c>
      <c r="H1597" s="1" t="s">
        <v>16</v>
      </c>
      <c r="I1597" s="1" t="s">
        <v>16</v>
      </c>
      <c r="J1597" s="1" t="s">
        <v>16</v>
      </c>
      <c r="K1597" s="1" t="str">
        <f>IFERROR(INDEX(Database_repro!$A:$F, MATCH($O1597, Database_repro!$A:$A, 0), 5), "Not Found")</f>
        <v>No</v>
      </c>
      <c r="L1597" s="4" t="s">
        <v>17</v>
      </c>
      <c r="M1597" s="1" t="str">
        <f>IFERROR(IF(INDEX(Database_repro!$A:$F, MATCH($O1597, Database_repro!$A:$A, 0), 6)="N","No",IF(INDEX(Database_repro!$A:$F, MATCH($O1597, Database_repro!$A:$A, 0), 6)="Y","Yes","Z")), "Not Found")</f>
        <v>No</v>
      </c>
      <c r="N1597" s="27" t="s">
        <v>605</v>
      </c>
      <c r="O1597" t="s">
        <v>180</v>
      </c>
    </row>
    <row r="1598" spans="1:15" x14ac:dyDescent="0.2">
      <c r="A1598" s="9">
        <v>45601</v>
      </c>
      <c r="B1598" s="1" t="str">
        <f>IFERROR(VLOOKUP(MID(INDEX(Database_dermo!$A:$I, MATCH($O1598, Database_dermo!$A:$A, 0), 2),20,3),Notes!A$1:C$9,3,TRUE), "Not Found")</f>
        <v>LX-N</v>
      </c>
      <c r="C1598" s="1" t="str">
        <f>IFERROR(RIGHT(INDEX(Database_dermo!$A:$I, MATCH($O1598, Database_dermo!$A:$A, 0), 1),2), "Not Found")</f>
        <v>04</v>
      </c>
      <c r="D1598" s="1">
        <f>IFERROR(VLOOKUP(MID(INDEX(Database_dermo!$A:$I, MATCH($O1598, Database_dermo!$A:$A, 0), 2),20,3),Notes!A$1:C$9,2,TRUE), "Not Found")</f>
        <v>1</v>
      </c>
      <c r="E1598" s="1">
        <f>IFERROR(INDEX(Database_dermo!$A:$I, MATCH($O1598, Database_dermo!$A:$A, 0), 3), "Not Found")</f>
        <v>50.96</v>
      </c>
      <c r="F1598" s="1" t="str">
        <f>IFERROR(INDEX(Database_repro!$A:$F, MATCH($O1598, Database_repro!$A:$A, 0), 3), "Not Found")</f>
        <v>F</v>
      </c>
      <c r="G1598" s="1">
        <f>IFERROR(INDEX(Database_repro!$A:$F, MATCH($O1598, Database_repro!$A:$A, 0), 4), "Not Found")</f>
        <v>2</v>
      </c>
      <c r="H1598" s="1" t="s">
        <v>16</v>
      </c>
      <c r="I1598" s="1" t="s">
        <v>16</v>
      </c>
      <c r="J1598" s="1" t="s">
        <v>16</v>
      </c>
      <c r="K1598" s="1" t="str">
        <f>IFERROR(INDEX(Database_repro!$A:$F, MATCH($O1598, Database_repro!$A:$A, 0), 5), "Not Found")</f>
        <v>No</v>
      </c>
      <c r="L1598" s="4" t="s">
        <v>17</v>
      </c>
      <c r="M1598" s="1" t="str">
        <f>IFERROR(IF(INDEX(Database_repro!$A:$F, MATCH($O1598, Database_repro!$A:$A, 0), 6)="N","No",IF(INDEX(Database_repro!$A:$F, MATCH($O1598, Database_repro!$A:$A, 0), 6)="Y","Yes","Z")), "Not Found")</f>
        <v>No</v>
      </c>
      <c r="N1598" s="27" t="s">
        <v>605</v>
      </c>
      <c r="O1598" t="s">
        <v>181</v>
      </c>
    </row>
    <row r="1599" spans="1:15" x14ac:dyDescent="0.2">
      <c r="A1599" s="9">
        <v>45601</v>
      </c>
      <c r="B1599" s="1" t="str">
        <f>IFERROR(VLOOKUP(MID(INDEX(Database_dermo!$A:$I, MATCH($O1599, Database_dermo!$A:$A, 0), 2),20,3),Notes!A$1:C$9,3,TRUE), "Not Found")</f>
        <v>LX-N</v>
      </c>
      <c r="C1599" s="1" t="str">
        <f>IFERROR(RIGHT(INDEX(Database_dermo!$A:$I, MATCH($O1599, Database_dermo!$A:$A, 0), 1),2), "Not Found")</f>
        <v>05</v>
      </c>
      <c r="D1599" s="1">
        <f>IFERROR(VLOOKUP(MID(INDEX(Database_dermo!$A:$I, MATCH($O1599, Database_dermo!$A:$A, 0), 2),20,3),Notes!A$1:C$9,2,TRUE), "Not Found")</f>
        <v>1</v>
      </c>
      <c r="E1599" s="1">
        <f>IFERROR(INDEX(Database_dermo!$A:$I, MATCH($O1599, Database_dermo!$A:$A, 0), 3), "Not Found")</f>
        <v>37.11</v>
      </c>
      <c r="F1599" s="1" t="str">
        <f>IFERROR(INDEX(Database_repro!$A:$F, MATCH($O1599, Database_repro!$A:$A, 0), 3), "Not Found")</f>
        <v>M</v>
      </c>
      <c r="G1599" s="1">
        <f>IFERROR(INDEX(Database_repro!$A:$F, MATCH($O1599, Database_repro!$A:$A, 0), 4), "Not Found")</f>
        <v>2</v>
      </c>
      <c r="H1599" s="1" t="s">
        <v>16</v>
      </c>
      <c r="I1599" s="1" t="s">
        <v>16</v>
      </c>
      <c r="J1599" s="1" t="s">
        <v>16</v>
      </c>
      <c r="K1599" s="1" t="str">
        <f>IFERROR(INDEX(Database_repro!$A:$F, MATCH($O1599, Database_repro!$A:$A, 0), 5), "Not Found")</f>
        <v>No</v>
      </c>
      <c r="L1599" s="4" t="s">
        <v>17</v>
      </c>
      <c r="M1599" s="1" t="str">
        <f>IFERROR(IF(INDEX(Database_repro!$A:$F, MATCH($O1599, Database_repro!$A:$A, 0), 6)="N","No",IF(INDEX(Database_repro!$A:$F, MATCH($O1599, Database_repro!$A:$A, 0), 6)="Y","Yes","Z")), "Not Found")</f>
        <v>No</v>
      </c>
      <c r="N1599" s="27" t="s">
        <v>605</v>
      </c>
      <c r="O1599" t="s">
        <v>182</v>
      </c>
    </row>
    <row r="1600" spans="1:15" x14ac:dyDescent="0.2">
      <c r="A1600" s="9">
        <v>45601</v>
      </c>
      <c r="B1600" s="1" t="str">
        <f>IFERROR(VLOOKUP(MID(INDEX(Database_dermo!$A:$I, MATCH($O1600, Database_dermo!$A:$A, 0), 2),20,3),Notes!A$1:C$9,3,TRUE), "Not Found")</f>
        <v>LX-N</v>
      </c>
      <c r="C1600" s="1" t="str">
        <f>IFERROR(RIGHT(INDEX(Database_dermo!$A:$I, MATCH($O1600, Database_dermo!$A:$A, 0), 1),2), "Not Found")</f>
        <v>06</v>
      </c>
      <c r="D1600" s="1">
        <f>IFERROR(VLOOKUP(MID(INDEX(Database_dermo!$A:$I, MATCH($O1600, Database_dermo!$A:$A, 0), 2),20,3),Notes!A$1:C$9,2,TRUE), "Not Found")</f>
        <v>2</v>
      </c>
      <c r="E1600" s="1">
        <f>IFERROR(INDEX(Database_dermo!$A:$I, MATCH($O1600, Database_dermo!$A:$A, 0), 3), "Not Found")</f>
        <v>58.94</v>
      </c>
      <c r="F1600" s="1" t="str">
        <f>IFERROR(INDEX(Database_repro!$A:$F, MATCH($O1600, Database_repro!$A:$A, 0), 3), "Not Found")</f>
        <v>F</v>
      </c>
      <c r="G1600" s="1" t="str">
        <f>IFERROR(INDEX(Database_repro!$A:$F, MATCH($O1600, Database_repro!$A:$A, 0), 4), "Not Found")</f>
        <v>Z</v>
      </c>
      <c r="H1600" s="1" t="s">
        <v>16</v>
      </c>
      <c r="I1600" s="1" t="s">
        <v>16</v>
      </c>
      <c r="J1600" s="1" t="s">
        <v>16</v>
      </c>
      <c r="K1600" s="1" t="str">
        <f>IFERROR(INDEX(Database_repro!$A:$F, MATCH($O1600, Database_repro!$A:$A, 0), 5), "Not Found")</f>
        <v>No</v>
      </c>
      <c r="L1600" s="4" t="s">
        <v>17</v>
      </c>
      <c r="M1600" s="1" t="str">
        <f>IFERROR(IF(INDEX(Database_repro!$A:$F, MATCH($O1600, Database_repro!$A:$A, 0), 6)="N","No",IF(INDEX(Database_repro!$A:$F, MATCH($O1600, Database_repro!$A:$A, 0), 6)="Y","Yes","Z")), "Not Found")</f>
        <v>Yes</v>
      </c>
      <c r="N1600" s="27" t="s">
        <v>605</v>
      </c>
      <c r="O1600" t="s">
        <v>183</v>
      </c>
    </row>
    <row r="1601" spans="1:15" x14ac:dyDescent="0.2">
      <c r="A1601" s="9">
        <v>45601</v>
      </c>
      <c r="B1601" s="1" t="str">
        <f>IFERROR(VLOOKUP(MID(INDEX(Database_dermo!$A:$I, MATCH($O1601, Database_dermo!$A:$A, 0), 2),20,3),Notes!A$1:C$9,3,TRUE), "Not Found")</f>
        <v>LX-N</v>
      </c>
      <c r="C1601" s="1" t="str">
        <f>IFERROR(RIGHT(INDEX(Database_dermo!$A:$I, MATCH($O1601, Database_dermo!$A:$A, 0), 1),2), "Not Found")</f>
        <v>07</v>
      </c>
      <c r="D1601" s="1">
        <f>IFERROR(VLOOKUP(MID(INDEX(Database_dermo!$A:$I, MATCH($O1601, Database_dermo!$A:$A, 0), 2),20,3),Notes!A$1:C$9,2,TRUE), "Not Found")</f>
        <v>2</v>
      </c>
      <c r="E1601" s="1">
        <f>IFERROR(INDEX(Database_dermo!$A:$I, MATCH($O1601, Database_dermo!$A:$A, 0), 3), "Not Found")</f>
        <v>53.04</v>
      </c>
      <c r="F1601" s="1" t="str">
        <f>IFERROR(INDEX(Database_repro!$A:$F, MATCH($O1601, Database_repro!$A:$A, 0), 3), "Not Found")</f>
        <v>F</v>
      </c>
      <c r="G1601" s="1">
        <f>IFERROR(INDEX(Database_repro!$A:$F, MATCH($O1601, Database_repro!$A:$A, 0), 4), "Not Found")</f>
        <v>3</v>
      </c>
      <c r="H1601" s="1" t="s">
        <v>16</v>
      </c>
      <c r="I1601" s="1" t="s">
        <v>16</v>
      </c>
      <c r="J1601" s="1" t="s">
        <v>16</v>
      </c>
      <c r="K1601" s="1" t="str">
        <f>IFERROR(INDEX(Database_repro!$A:$F, MATCH($O1601, Database_repro!$A:$A, 0), 5), "Not Found")</f>
        <v>No</v>
      </c>
      <c r="L1601" s="4" t="s">
        <v>17</v>
      </c>
      <c r="M1601" s="1" t="str">
        <f>IFERROR(IF(INDEX(Database_repro!$A:$F, MATCH($O1601, Database_repro!$A:$A, 0), 6)="N","No",IF(INDEX(Database_repro!$A:$F, MATCH($O1601, Database_repro!$A:$A, 0), 6)="Y","Yes","Z")), "Not Found")</f>
        <v>No</v>
      </c>
      <c r="N1601" s="27" t="s">
        <v>605</v>
      </c>
      <c r="O1601" t="s">
        <v>185</v>
      </c>
    </row>
    <row r="1602" spans="1:15" x14ac:dyDescent="0.2">
      <c r="A1602" s="9">
        <v>45601</v>
      </c>
      <c r="B1602" s="1" t="str">
        <f>IFERROR(VLOOKUP(MID(INDEX(Database_dermo!$A:$I, MATCH($O1602, Database_dermo!$A:$A, 0), 2),20,3),Notes!A$1:C$9,3,TRUE), "Not Found")</f>
        <v>LX-N</v>
      </c>
      <c r="C1602" s="1" t="str">
        <f>IFERROR(RIGHT(INDEX(Database_dermo!$A:$I, MATCH($O1602, Database_dermo!$A:$A, 0), 1),2), "Not Found")</f>
        <v>08</v>
      </c>
      <c r="D1602" s="1">
        <f>IFERROR(VLOOKUP(MID(INDEX(Database_dermo!$A:$I, MATCH($O1602, Database_dermo!$A:$A, 0), 2),20,3),Notes!A$1:C$9,2,TRUE), "Not Found")</f>
        <v>2</v>
      </c>
      <c r="E1602" s="1">
        <f>IFERROR(INDEX(Database_dermo!$A:$I, MATCH($O1602, Database_dermo!$A:$A, 0), 3), "Not Found")</f>
        <v>39.99</v>
      </c>
      <c r="F1602" s="1" t="str">
        <f>IFERROR(INDEX(Database_repro!$A:$F, MATCH($O1602, Database_repro!$A:$A, 0), 3), "Not Found")</f>
        <v>F</v>
      </c>
      <c r="G1602" s="1">
        <f>IFERROR(INDEX(Database_repro!$A:$F, MATCH($O1602, Database_repro!$A:$A, 0), 4), "Not Found")</f>
        <v>3</v>
      </c>
      <c r="H1602" s="1" t="s">
        <v>16</v>
      </c>
      <c r="I1602" s="1" t="s">
        <v>16</v>
      </c>
      <c r="J1602" s="1" t="s">
        <v>16</v>
      </c>
      <c r="K1602" s="1" t="str">
        <f>IFERROR(INDEX(Database_repro!$A:$F, MATCH($O1602, Database_repro!$A:$A, 0), 5), "Not Found")</f>
        <v>No</v>
      </c>
      <c r="L1602" s="4" t="s">
        <v>17</v>
      </c>
      <c r="M1602" s="1" t="str">
        <f>IFERROR(IF(INDEX(Database_repro!$A:$F, MATCH($O1602, Database_repro!$A:$A, 0), 6)="N","No",IF(INDEX(Database_repro!$A:$F, MATCH($O1602, Database_repro!$A:$A, 0), 6)="Y","Yes","Z")), "Not Found")</f>
        <v>No</v>
      </c>
      <c r="N1602" s="27" t="s">
        <v>605</v>
      </c>
      <c r="O1602" t="s">
        <v>186</v>
      </c>
    </row>
    <row r="1603" spans="1:15" x14ac:dyDescent="0.2">
      <c r="A1603" s="9">
        <v>45601</v>
      </c>
      <c r="B1603" s="1" t="str">
        <f>IFERROR(VLOOKUP(MID(INDEX(Database_dermo!$A:$I, MATCH($O1603, Database_dermo!$A:$A, 0), 2),20,3),Notes!A$1:C$9,3,TRUE), "Not Found")</f>
        <v>LX-N</v>
      </c>
      <c r="C1603" s="1" t="str">
        <f>IFERROR(RIGHT(INDEX(Database_dermo!$A:$I, MATCH($O1603, Database_dermo!$A:$A, 0), 1),2), "Not Found")</f>
        <v>09</v>
      </c>
      <c r="D1603" s="1">
        <f>IFERROR(VLOOKUP(MID(INDEX(Database_dermo!$A:$I, MATCH($O1603, Database_dermo!$A:$A, 0), 2),20,3),Notes!A$1:C$9,2,TRUE), "Not Found")</f>
        <v>2</v>
      </c>
      <c r="E1603" s="1">
        <f>IFERROR(INDEX(Database_dermo!$A:$I, MATCH($O1603, Database_dermo!$A:$A, 0), 3), "Not Found")</f>
        <v>56.32</v>
      </c>
      <c r="F1603" s="1" t="str">
        <f>IFERROR(INDEX(Database_repro!$A:$F, MATCH($O1603, Database_repro!$A:$A, 0), 3), "Not Found")</f>
        <v>F</v>
      </c>
      <c r="G1603" s="1">
        <f>IFERROR(INDEX(Database_repro!$A:$F, MATCH($O1603, Database_repro!$A:$A, 0), 4), "Not Found")</f>
        <v>3</v>
      </c>
      <c r="H1603" s="1" t="s">
        <v>16</v>
      </c>
      <c r="I1603" s="1" t="s">
        <v>16</v>
      </c>
      <c r="J1603" s="1" t="s">
        <v>16</v>
      </c>
      <c r="K1603" s="1" t="str">
        <f>IFERROR(INDEX(Database_repro!$A:$F, MATCH($O1603, Database_repro!$A:$A, 0), 5), "Not Found")</f>
        <v>No</v>
      </c>
      <c r="L1603" s="4" t="s">
        <v>17</v>
      </c>
      <c r="M1603" s="1" t="str">
        <f>IFERROR(IF(INDEX(Database_repro!$A:$F, MATCH($O1603, Database_repro!$A:$A, 0), 6)="N","No",IF(INDEX(Database_repro!$A:$F, MATCH($O1603, Database_repro!$A:$A, 0), 6)="Y","Yes","Z")), "Not Found")</f>
        <v>No</v>
      </c>
      <c r="N1603" s="27" t="s">
        <v>605</v>
      </c>
      <c r="O1603" t="s">
        <v>187</v>
      </c>
    </row>
    <row r="1604" spans="1:15" x14ac:dyDescent="0.2">
      <c r="A1604" s="9">
        <v>45601</v>
      </c>
      <c r="B1604" s="1" t="str">
        <f>IFERROR(VLOOKUP(MID(INDEX(Database_dermo!$A:$I, MATCH($O1604, Database_dermo!$A:$A, 0), 2),20,3),Notes!A$1:C$9,3,TRUE), "Not Found")</f>
        <v>LX-N</v>
      </c>
      <c r="C1604" s="1" t="str">
        <f>IFERROR(RIGHT(INDEX(Database_dermo!$A:$I, MATCH($O1604, Database_dermo!$A:$A, 0), 1),2), "Not Found")</f>
        <v>10</v>
      </c>
      <c r="D1604" s="1">
        <f>IFERROR(VLOOKUP(MID(INDEX(Database_dermo!$A:$I, MATCH($O1604, Database_dermo!$A:$A, 0), 2),20,3),Notes!A$1:C$9,2,TRUE), "Not Found")</f>
        <v>2</v>
      </c>
      <c r="E1604" s="1">
        <f>IFERROR(INDEX(Database_dermo!$A:$I, MATCH($O1604, Database_dermo!$A:$A, 0), 3), "Not Found")</f>
        <v>48.99</v>
      </c>
      <c r="F1604" s="1" t="str">
        <f>IFERROR(INDEX(Database_repro!$A:$F, MATCH($O1604, Database_repro!$A:$A, 0), 3), "Not Found")</f>
        <v>F</v>
      </c>
      <c r="G1604" s="1">
        <f>IFERROR(INDEX(Database_repro!$A:$F, MATCH($O1604, Database_repro!$A:$A, 0), 4), "Not Found")</f>
        <v>3</v>
      </c>
      <c r="H1604" s="1" t="s">
        <v>16</v>
      </c>
      <c r="I1604" s="1" t="s">
        <v>16</v>
      </c>
      <c r="J1604" s="1" t="s">
        <v>16</v>
      </c>
      <c r="K1604" s="1" t="str">
        <f>IFERROR(INDEX(Database_repro!$A:$F, MATCH($O1604, Database_repro!$A:$A, 0), 5), "Not Found")</f>
        <v>No</v>
      </c>
      <c r="L1604" s="4" t="s">
        <v>17</v>
      </c>
      <c r="M1604" s="1" t="str">
        <f>IFERROR(IF(INDEX(Database_repro!$A:$F, MATCH($O1604, Database_repro!$A:$A, 0), 6)="N","No",IF(INDEX(Database_repro!$A:$F, MATCH($O1604, Database_repro!$A:$A, 0), 6)="Y","Yes","Z")), "Not Found")</f>
        <v>No</v>
      </c>
      <c r="N1604" s="27" t="s">
        <v>605</v>
      </c>
      <c r="O1604" t="s">
        <v>188</v>
      </c>
    </row>
    <row r="1605" spans="1:15" x14ac:dyDescent="0.2">
      <c r="A1605" s="9">
        <v>45601</v>
      </c>
      <c r="B1605" s="1" t="str">
        <f>IFERROR(VLOOKUP(MID(INDEX(Database_dermo!$A:$I, MATCH($O1605, Database_dermo!$A:$A, 0), 2),20,3),Notes!A$1:C$9,3,TRUE), "Not Found")</f>
        <v>LX-N</v>
      </c>
      <c r="C1605" s="1" t="str">
        <f>IFERROR(RIGHT(INDEX(Database_dermo!$A:$I, MATCH($O1605, Database_dermo!$A:$A, 0), 1),2), "Not Found")</f>
        <v>11</v>
      </c>
      <c r="D1605" s="1">
        <f>IFERROR(VLOOKUP(MID(INDEX(Database_dermo!$A:$I, MATCH($O1605, Database_dermo!$A:$A, 0), 2),20,3),Notes!A$1:C$9,2,TRUE), "Not Found")</f>
        <v>3</v>
      </c>
      <c r="E1605" s="1">
        <f>IFERROR(INDEX(Database_dermo!$A:$I, MATCH($O1605, Database_dermo!$A:$A, 0), 3), "Not Found")</f>
        <v>34.32</v>
      </c>
      <c r="F1605" s="1" t="str">
        <f>IFERROR(INDEX(Database_repro!$A:$F, MATCH($O1605, Database_repro!$A:$A, 0), 3), "Not Found")</f>
        <v>F</v>
      </c>
      <c r="G1605" s="1">
        <f>IFERROR(INDEX(Database_repro!$A:$F, MATCH($O1605, Database_repro!$A:$A, 0), 4), "Not Found")</f>
        <v>2</v>
      </c>
      <c r="H1605" s="1" t="s">
        <v>16</v>
      </c>
      <c r="I1605" s="1" t="s">
        <v>16</v>
      </c>
      <c r="J1605" s="1" t="s">
        <v>16</v>
      </c>
      <c r="K1605" s="1" t="str">
        <f>IFERROR(INDEX(Database_repro!$A:$F, MATCH($O1605, Database_repro!$A:$A, 0), 5), "Not Found")</f>
        <v>No</v>
      </c>
      <c r="L1605" s="4" t="s">
        <v>17</v>
      </c>
      <c r="M1605" s="1" t="str">
        <f>IFERROR(IF(INDEX(Database_repro!$A:$F, MATCH($O1605, Database_repro!$A:$A, 0), 6)="N","No",IF(INDEX(Database_repro!$A:$F, MATCH($O1605, Database_repro!$A:$A, 0), 6)="Y","Yes","Z")), "Not Found")</f>
        <v>No</v>
      </c>
      <c r="N1605" s="27" t="s">
        <v>605</v>
      </c>
      <c r="O1605" t="s">
        <v>189</v>
      </c>
    </row>
    <row r="1606" spans="1:15" x14ac:dyDescent="0.2">
      <c r="A1606" s="9">
        <v>45601</v>
      </c>
      <c r="B1606" s="1" t="str">
        <f>IFERROR(VLOOKUP(MID(INDEX(Database_dermo!$A:$I, MATCH($O1606, Database_dermo!$A:$A, 0), 2),20,3),Notes!A$1:C$9,3,TRUE), "Not Found")</f>
        <v>LX-N</v>
      </c>
      <c r="C1606" s="1" t="str">
        <f>IFERROR(RIGHT(INDEX(Database_dermo!$A:$I, MATCH($O1606, Database_dermo!$A:$A, 0), 1),2), "Not Found")</f>
        <v>12</v>
      </c>
      <c r="D1606" s="1">
        <f>IFERROR(VLOOKUP(MID(INDEX(Database_dermo!$A:$I, MATCH($O1606, Database_dermo!$A:$A, 0), 2),20,3),Notes!A$1:C$9,2,TRUE), "Not Found")</f>
        <v>3</v>
      </c>
      <c r="E1606" s="1">
        <f>IFERROR(INDEX(Database_dermo!$A:$I, MATCH($O1606, Database_dermo!$A:$A, 0), 3), "Not Found")</f>
        <v>52.8</v>
      </c>
      <c r="F1606" s="1" t="str">
        <f>IFERROR(INDEX(Database_repro!$A:$F, MATCH($O1606, Database_repro!$A:$A, 0), 3), "Not Found")</f>
        <v>F</v>
      </c>
      <c r="G1606" s="1">
        <f>IFERROR(INDEX(Database_repro!$A:$F, MATCH($O1606, Database_repro!$A:$A, 0), 4), "Not Found")</f>
        <v>1</v>
      </c>
      <c r="H1606" s="1" t="s">
        <v>16</v>
      </c>
      <c r="I1606" s="1" t="s">
        <v>16</v>
      </c>
      <c r="J1606" s="1" t="s">
        <v>16</v>
      </c>
      <c r="K1606" s="1" t="str">
        <f>IFERROR(INDEX(Database_repro!$A:$F, MATCH($O1606, Database_repro!$A:$A, 0), 5), "Not Found")</f>
        <v>No</v>
      </c>
      <c r="L1606" s="4" t="s">
        <v>17</v>
      </c>
      <c r="M1606" s="1" t="str">
        <f>IFERROR(IF(INDEX(Database_repro!$A:$F, MATCH($O1606, Database_repro!$A:$A, 0), 6)="N","No",IF(INDEX(Database_repro!$A:$F, MATCH($O1606, Database_repro!$A:$A, 0), 6)="Y","Yes","Z")), "Not Found")</f>
        <v>No</v>
      </c>
      <c r="N1606" s="27" t="s">
        <v>605</v>
      </c>
      <c r="O1606" t="s">
        <v>191</v>
      </c>
    </row>
    <row r="1607" spans="1:15" x14ac:dyDescent="0.2">
      <c r="A1607" s="9">
        <v>45601</v>
      </c>
      <c r="B1607" s="1" t="str">
        <f>IFERROR(VLOOKUP(MID(INDEX(Database_dermo!$A:$I, MATCH($O1607, Database_dermo!$A:$A, 0), 2),20,3),Notes!A$1:C$9,3,TRUE), "Not Found")</f>
        <v>LX-N</v>
      </c>
      <c r="C1607" s="1" t="str">
        <f>IFERROR(RIGHT(INDEX(Database_dermo!$A:$I, MATCH($O1607, Database_dermo!$A:$A, 0), 1),2), "Not Found")</f>
        <v>13</v>
      </c>
      <c r="D1607" s="1">
        <f>IFERROR(VLOOKUP(MID(INDEX(Database_dermo!$A:$I, MATCH($O1607, Database_dermo!$A:$A, 0), 2),20,3),Notes!A$1:C$9,2,TRUE), "Not Found")</f>
        <v>3</v>
      </c>
      <c r="E1607" s="1">
        <f>IFERROR(INDEX(Database_dermo!$A:$I, MATCH($O1607, Database_dermo!$A:$A, 0), 3), "Not Found")</f>
        <v>42.19</v>
      </c>
      <c r="F1607" s="1" t="str">
        <f>IFERROR(INDEX(Database_repro!$A:$F, MATCH($O1607, Database_repro!$A:$A, 0), 3), "Not Found")</f>
        <v>F</v>
      </c>
      <c r="G1607" s="1">
        <f>IFERROR(INDEX(Database_repro!$A:$F, MATCH($O1607, Database_repro!$A:$A, 0), 4), "Not Found")</f>
        <v>3</v>
      </c>
      <c r="H1607" s="1" t="s">
        <v>16</v>
      </c>
      <c r="I1607" s="1" t="s">
        <v>16</v>
      </c>
      <c r="J1607" s="1" t="s">
        <v>16</v>
      </c>
      <c r="K1607" s="1" t="str">
        <f>IFERROR(INDEX(Database_repro!$A:$F, MATCH($O1607, Database_repro!$A:$A, 0), 5), "Not Found")</f>
        <v>No</v>
      </c>
      <c r="L1607" s="4" t="s">
        <v>17</v>
      </c>
      <c r="M1607" s="1" t="str">
        <f>IFERROR(IF(INDEX(Database_repro!$A:$F, MATCH($O1607, Database_repro!$A:$A, 0), 6)="N","No",IF(INDEX(Database_repro!$A:$F, MATCH($O1607, Database_repro!$A:$A, 0), 6)="Y","Yes","Z")), "Not Found")</f>
        <v>No</v>
      </c>
      <c r="N1607" s="27" t="s">
        <v>605</v>
      </c>
      <c r="O1607" t="s">
        <v>192</v>
      </c>
    </row>
    <row r="1608" spans="1:15" x14ac:dyDescent="0.2">
      <c r="A1608" s="9">
        <v>45601</v>
      </c>
      <c r="B1608" s="1" t="str">
        <f>IFERROR(VLOOKUP(MID(INDEX(Database_dermo!$A:$I, MATCH($O1608, Database_dermo!$A:$A, 0), 2),20,3),Notes!A$1:C$9,3,TRUE), "Not Found")</f>
        <v>LX-N</v>
      </c>
      <c r="C1608" s="1" t="str">
        <f>IFERROR(RIGHT(INDEX(Database_dermo!$A:$I, MATCH($O1608, Database_dermo!$A:$A, 0), 1),2), "Not Found")</f>
        <v>14</v>
      </c>
      <c r="D1608" s="1">
        <f>IFERROR(VLOOKUP(MID(INDEX(Database_dermo!$A:$I, MATCH($O1608, Database_dermo!$A:$A, 0), 2),20,3),Notes!A$1:C$9,2,TRUE), "Not Found")</f>
        <v>3</v>
      </c>
      <c r="E1608" s="1">
        <f>IFERROR(INDEX(Database_dermo!$A:$I, MATCH($O1608, Database_dermo!$A:$A, 0), 3), "Not Found")</f>
        <v>47.59</v>
      </c>
      <c r="F1608" s="1" t="str">
        <f>IFERROR(INDEX(Database_repro!$A:$F, MATCH($O1608, Database_repro!$A:$A, 0), 3), "Not Found")</f>
        <v>F</v>
      </c>
      <c r="G1608" s="1">
        <f>IFERROR(INDEX(Database_repro!$A:$F, MATCH($O1608, Database_repro!$A:$A, 0), 4), "Not Found")</f>
        <v>3</v>
      </c>
      <c r="H1608" s="1" t="s">
        <v>16</v>
      </c>
      <c r="I1608" s="1" t="s">
        <v>16</v>
      </c>
      <c r="J1608" s="1" t="s">
        <v>16</v>
      </c>
      <c r="K1608" s="1" t="str">
        <f>IFERROR(INDEX(Database_repro!$A:$F, MATCH($O1608, Database_repro!$A:$A, 0), 5), "Not Found")</f>
        <v>No</v>
      </c>
      <c r="L1608" s="4" t="s">
        <v>17</v>
      </c>
      <c r="M1608" s="1" t="str">
        <f>IFERROR(IF(INDEX(Database_repro!$A:$F, MATCH($O1608, Database_repro!$A:$A, 0), 6)="N","No",IF(INDEX(Database_repro!$A:$F, MATCH($O1608, Database_repro!$A:$A, 0), 6)="Y","Yes","Z")), "Not Found")</f>
        <v>No</v>
      </c>
      <c r="N1608" s="27" t="s">
        <v>605</v>
      </c>
      <c r="O1608" t="s">
        <v>193</v>
      </c>
    </row>
    <row r="1609" spans="1:15" x14ac:dyDescent="0.2">
      <c r="A1609" s="9">
        <v>45601</v>
      </c>
      <c r="B1609" s="1" t="str">
        <f>IFERROR(VLOOKUP(MID(INDEX(Database_dermo!$A:$I, MATCH($O1609, Database_dermo!$A:$A, 0), 2),20,3),Notes!A$1:C$9,3,TRUE), "Not Found")</f>
        <v>LX-N</v>
      </c>
      <c r="C1609" s="1" t="str">
        <f>IFERROR(RIGHT(INDEX(Database_dermo!$A:$I, MATCH($O1609, Database_dermo!$A:$A, 0), 1),2), "Not Found")</f>
        <v>15</v>
      </c>
      <c r="D1609" s="1">
        <f>IFERROR(VLOOKUP(MID(INDEX(Database_dermo!$A:$I, MATCH($O1609, Database_dermo!$A:$A, 0), 2),20,3),Notes!A$1:C$9,2,TRUE), "Not Found")</f>
        <v>3</v>
      </c>
      <c r="E1609" s="1">
        <f>IFERROR(INDEX(Database_dermo!$A:$I, MATCH($O1609, Database_dermo!$A:$A, 0), 3), "Not Found")</f>
        <v>42.53</v>
      </c>
      <c r="F1609" s="1" t="str">
        <f>IFERROR(INDEX(Database_repro!$A:$F, MATCH($O1609, Database_repro!$A:$A, 0), 3), "Not Found")</f>
        <v>F</v>
      </c>
      <c r="G1609" s="1">
        <f>IFERROR(INDEX(Database_repro!$A:$F, MATCH($O1609, Database_repro!$A:$A, 0), 4), "Not Found")</f>
        <v>2</v>
      </c>
      <c r="H1609" s="1" t="s">
        <v>16</v>
      </c>
      <c r="I1609" s="1" t="s">
        <v>16</v>
      </c>
      <c r="J1609" s="1" t="s">
        <v>16</v>
      </c>
      <c r="K1609" s="1" t="str">
        <f>IFERROR(INDEX(Database_repro!$A:$F, MATCH($O1609, Database_repro!$A:$A, 0), 5), "Not Found")</f>
        <v>No</v>
      </c>
      <c r="L1609" s="4" t="s">
        <v>17</v>
      </c>
      <c r="M1609" s="1" t="str">
        <f>IFERROR(IF(INDEX(Database_repro!$A:$F, MATCH($O1609, Database_repro!$A:$A, 0), 6)="N","No",IF(INDEX(Database_repro!$A:$F, MATCH($O1609, Database_repro!$A:$A, 0), 6)="Y","Yes","Z")), "Not Found")</f>
        <v>No</v>
      </c>
      <c r="N1609" s="27" t="s">
        <v>605</v>
      </c>
      <c r="O1609" t="s">
        <v>194</v>
      </c>
    </row>
    <row r="1610" spans="1:15" x14ac:dyDescent="0.2">
      <c r="A1610" s="9">
        <v>45630</v>
      </c>
      <c r="B1610" s="1" t="str">
        <f>IFERROR(VLOOKUP(MID(INDEX(Database_dermo!$A:$I, MATCH($O1610, Database_dermo!$A:$A, 0), 2),20,3),Notes!A$1:C$9,3,TRUE), "Not Found")</f>
        <v>LX-N</v>
      </c>
      <c r="C1610" s="1" t="str">
        <f>IFERROR(RIGHT(INDEX(Database_dermo!$A:$I, MATCH($O1610, Database_dermo!$A:$A, 0), 1),2), "Not Found")</f>
        <v>01</v>
      </c>
      <c r="D1610" s="1">
        <f>IFERROR(VLOOKUP(MID(INDEX(Database_dermo!$A:$I, MATCH($O1610, Database_dermo!$A:$A, 0), 2),20,3),Notes!A$1:C$9,2,TRUE), "Not Found")</f>
        <v>1</v>
      </c>
      <c r="E1610" s="1">
        <f>IFERROR(INDEX(Database_dermo!$A:$I, MATCH($O1610, Database_dermo!$A:$A, 0), 3), "Not Found")</f>
        <v>56.23</v>
      </c>
      <c r="F1610" s="1" t="str">
        <f>IFERROR(INDEX(Database_repro!$A:$F, MATCH($O1610, Database_repro!$A:$A, 0), 3), "Not Found")</f>
        <v>Z</v>
      </c>
      <c r="G1610" s="1">
        <f>IFERROR(INDEX(Database_repro!$A:$F, MATCH($O1610, Database_repro!$A:$A, 0), 4), "Not Found")</f>
        <v>4</v>
      </c>
      <c r="H1610" s="1" t="s">
        <v>16</v>
      </c>
      <c r="I1610" s="1" t="s">
        <v>16</v>
      </c>
      <c r="J1610" s="1" t="s">
        <v>16</v>
      </c>
      <c r="K1610" s="1" t="str">
        <f>IFERROR(INDEX(Database_repro!$A:$F, MATCH($O1610, Database_repro!$A:$A, 0), 5), "Not Found")</f>
        <v>No</v>
      </c>
      <c r="L1610" s="4" t="s">
        <v>17</v>
      </c>
      <c r="M1610" s="1" t="str">
        <f>IFERROR(IF(INDEX(Database_repro!$A:$F, MATCH($O1610, Database_repro!$A:$A, 0), 6)="N","No",IF(INDEX(Database_repro!$A:$F, MATCH($O1610, Database_repro!$A:$A, 0), 6)="Y","Yes","Z")), "Not Found")</f>
        <v>No</v>
      </c>
      <c r="N1610" s="27" t="s">
        <v>605</v>
      </c>
      <c r="O1610" t="s">
        <v>195</v>
      </c>
    </row>
    <row r="1611" spans="1:15" x14ac:dyDescent="0.2">
      <c r="A1611" s="9">
        <v>45630</v>
      </c>
      <c r="B1611" s="1" t="str">
        <f>IFERROR(VLOOKUP(MID(INDEX(Database_dermo!$A:$I, MATCH($O1611, Database_dermo!$A:$A, 0), 2),20,3),Notes!A$1:C$9,3,TRUE), "Not Found")</f>
        <v>LX-N</v>
      </c>
      <c r="C1611" s="1" t="str">
        <f>IFERROR(RIGHT(INDEX(Database_dermo!$A:$I, MATCH($O1611, Database_dermo!$A:$A, 0), 1),2), "Not Found")</f>
        <v>02</v>
      </c>
      <c r="D1611" s="1">
        <f>IFERROR(VLOOKUP(MID(INDEX(Database_dermo!$A:$I, MATCH($O1611, Database_dermo!$A:$A, 0), 2),20,3),Notes!A$1:C$9,2,TRUE), "Not Found")</f>
        <v>1</v>
      </c>
      <c r="E1611" s="1">
        <f>IFERROR(INDEX(Database_dermo!$A:$I, MATCH($O1611, Database_dermo!$A:$A, 0), 3), "Not Found")</f>
        <v>41.22</v>
      </c>
      <c r="F1611" s="1" t="str">
        <f>IFERROR(INDEX(Database_repro!$A:$F, MATCH($O1611, Database_repro!$A:$A, 0), 3), "Not Found")</f>
        <v>M</v>
      </c>
      <c r="G1611" s="1">
        <f>IFERROR(INDEX(Database_repro!$A:$F, MATCH($O1611, Database_repro!$A:$A, 0), 4), "Not Found")</f>
        <v>2</v>
      </c>
      <c r="H1611" s="1" t="s">
        <v>16</v>
      </c>
      <c r="I1611" s="1" t="s">
        <v>16</v>
      </c>
      <c r="J1611" s="1" t="s">
        <v>16</v>
      </c>
      <c r="K1611" s="1" t="str">
        <f>IFERROR(INDEX(Database_repro!$A:$F, MATCH($O1611, Database_repro!$A:$A, 0), 5), "Not Found")</f>
        <v>No</v>
      </c>
      <c r="L1611" s="4" t="s">
        <v>17</v>
      </c>
      <c r="M1611" s="1" t="str">
        <f>IFERROR(IF(INDEX(Database_repro!$A:$F, MATCH($O1611, Database_repro!$A:$A, 0), 6)="N","No",IF(INDEX(Database_repro!$A:$F, MATCH($O1611, Database_repro!$A:$A, 0), 6)="Y","Yes","Z")), "Not Found")</f>
        <v>No</v>
      </c>
      <c r="N1611" s="27" t="s">
        <v>605</v>
      </c>
      <c r="O1611" t="s">
        <v>197</v>
      </c>
    </row>
    <row r="1612" spans="1:15" x14ac:dyDescent="0.2">
      <c r="A1612" s="9">
        <v>45630</v>
      </c>
      <c r="B1612" s="1" t="str">
        <f>IFERROR(VLOOKUP(MID(INDEX(Database_dermo!$A:$I, MATCH($O1612, Database_dermo!$A:$A, 0), 2),20,3),Notes!A$1:C$9,3,TRUE), "Not Found")</f>
        <v>LX-N</v>
      </c>
      <c r="C1612" s="1" t="str">
        <f>IFERROR(RIGHT(INDEX(Database_dermo!$A:$I, MATCH($O1612, Database_dermo!$A:$A, 0), 1),2), "Not Found")</f>
        <v>03</v>
      </c>
      <c r="D1612" s="1">
        <f>IFERROR(VLOOKUP(MID(INDEX(Database_dermo!$A:$I, MATCH($O1612, Database_dermo!$A:$A, 0), 2),20,3),Notes!A$1:C$9,2,TRUE), "Not Found")</f>
        <v>1</v>
      </c>
      <c r="E1612" s="1">
        <f>IFERROR(INDEX(Database_dermo!$A:$I, MATCH($O1612, Database_dermo!$A:$A, 0), 3), "Not Found")</f>
        <v>43.01</v>
      </c>
      <c r="F1612" s="1" t="str">
        <f>IFERROR(INDEX(Database_repro!$A:$F, MATCH($O1612, Database_repro!$A:$A, 0), 3), "Not Found")</f>
        <v>Z</v>
      </c>
      <c r="G1612" s="1">
        <f>IFERROR(INDEX(Database_repro!$A:$F, MATCH($O1612, Database_repro!$A:$A, 0), 4), "Not Found")</f>
        <v>4</v>
      </c>
      <c r="H1612" s="1" t="s">
        <v>16</v>
      </c>
      <c r="I1612" s="1" t="s">
        <v>16</v>
      </c>
      <c r="J1612" s="1" t="s">
        <v>16</v>
      </c>
      <c r="K1612" s="1" t="str">
        <f>IFERROR(INDEX(Database_repro!$A:$F, MATCH($O1612, Database_repro!$A:$A, 0), 5), "Not Found")</f>
        <v>No</v>
      </c>
      <c r="L1612" s="4" t="s">
        <v>17</v>
      </c>
      <c r="M1612" s="1" t="str">
        <f>IFERROR(IF(INDEX(Database_repro!$A:$F, MATCH($O1612, Database_repro!$A:$A, 0), 6)="N","No",IF(INDEX(Database_repro!$A:$F, MATCH($O1612, Database_repro!$A:$A, 0), 6)="Y","Yes","Z")), "Not Found")</f>
        <v>No</v>
      </c>
      <c r="N1612" s="27" t="s">
        <v>605</v>
      </c>
      <c r="O1612" t="s">
        <v>198</v>
      </c>
    </row>
    <row r="1613" spans="1:15" x14ac:dyDescent="0.2">
      <c r="A1613" s="9">
        <v>45630</v>
      </c>
      <c r="B1613" s="1" t="str">
        <f>IFERROR(VLOOKUP(MID(INDEX(Database_dermo!$A:$I, MATCH($O1613, Database_dermo!$A:$A, 0), 2),20,3),Notes!A$1:C$9,3,TRUE), "Not Found")</f>
        <v>LX-N</v>
      </c>
      <c r="C1613" s="1" t="str">
        <f>IFERROR(RIGHT(INDEX(Database_dermo!$A:$I, MATCH($O1613, Database_dermo!$A:$A, 0), 1),2), "Not Found")</f>
        <v>04</v>
      </c>
      <c r="D1613" s="1">
        <f>IFERROR(VLOOKUP(MID(INDEX(Database_dermo!$A:$I, MATCH($O1613, Database_dermo!$A:$A, 0), 2),20,3),Notes!A$1:C$9,2,TRUE), "Not Found")</f>
        <v>1</v>
      </c>
      <c r="E1613" s="1">
        <f>IFERROR(INDEX(Database_dermo!$A:$I, MATCH($O1613, Database_dermo!$A:$A, 0), 3), "Not Found")</f>
        <v>46.44</v>
      </c>
      <c r="F1613" s="1" t="str">
        <f>IFERROR(INDEX(Database_repro!$A:$F, MATCH($O1613, Database_repro!$A:$A, 0), 3), "Not Found")</f>
        <v>Z</v>
      </c>
      <c r="G1613" s="1">
        <f>IFERROR(INDEX(Database_repro!$A:$F, MATCH($O1613, Database_repro!$A:$A, 0), 4), "Not Found")</f>
        <v>4</v>
      </c>
      <c r="H1613" s="1" t="s">
        <v>16</v>
      </c>
      <c r="I1613" s="1" t="s">
        <v>16</v>
      </c>
      <c r="J1613" s="1" t="s">
        <v>16</v>
      </c>
      <c r="K1613" s="1" t="str">
        <f>IFERROR(INDEX(Database_repro!$A:$F, MATCH($O1613, Database_repro!$A:$A, 0), 5), "Not Found")</f>
        <v>No</v>
      </c>
      <c r="L1613" s="4" t="s">
        <v>17</v>
      </c>
      <c r="M1613" s="1" t="str">
        <f>IFERROR(IF(INDEX(Database_repro!$A:$F, MATCH($O1613, Database_repro!$A:$A, 0), 6)="N","No",IF(INDEX(Database_repro!$A:$F, MATCH($O1613, Database_repro!$A:$A, 0), 6)="Y","Yes","Z")), "Not Found")</f>
        <v>No</v>
      </c>
      <c r="N1613" s="27" t="s">
        <v>605</v>
      </c>
      <c r="O1613" t="s">
        <v>199</v>
      </c>
    </row>
    <row r="1614" spans="1:15" x14ac:dyDescent="0.2">
      <c r="A1614" s="9">
        <v>45630</v>
      </c>
      <c r="B1614" s="1" t="str">
        <f>IFERROR(VLOOKUP(MID(INDEX(Database_dermo!$A:$I, MATCH($O1614, Database_dermo!$A:$A, 0), 2),20,3),Notes!A$1:C$9,3,TRUE), "Not Found")</f>
        <v>LX-N</v>
      </c>
      <c r="C1614" s="1" t="str">
        <f>IFERROR(RIGHT(INDEX(Database_dermo!$A:$I, MATCH($O1614, Database_dermo!$A:$A, 0), 1),2), "Not Found")</f>
        <v>05</v>
      </c>
      <c r="D1614" s="1">
        <f>IFERROR(VLOOKUP(MID(INDEX(Database_dermo!$A:$I, MATCH($O1614, Database_dermo!$A:$A, 0), 2),20,3),Notes!A$1:C$9,2,TRUE), "Not Found")</f>
        <v>1</v>
      </c>
      <c r="E1614" s="1">
        <f>IFERROR(INDEX(Database_dermo!$A:$I, MATCH($O1614, Database_dermo!$A:$A, 0), 3), "Not Found")</f>
        <v>49.25</v>
      </c>
      <c r="F1614" s="1" t="str">
        <f>IFERROR(INDEX(Database_repro!$A:$F, MATCH($O1614, Database_repro!$A:$A, 0), 3), "Not Found")</f>
        <v>Z</v>
      </c>
      <c r="G1614" s="1">
        <f>IFERROR(INDEX(Database_repro!$A:$F, MATCH($O1614, Database_repro!$A:$A, 0), 4), "Not Found")</f>
        <v>4</v>
      </c>
      <c r="H1614" s="1" t="s">
        <v>16</v>
      </c>
      <c r="I1614" s="1" t="s">
        <v>16</v>
      </c>
      <c r="J1614" s="1" t="s">
        <v>16</v>
      </c>
      <c r="K1614" s="1" t="str">
        <f>IFERROR(INDEX(Database_repro!$A:$F, MATCH($O1614, Database_repro!$A:$A, 0), 5), "Not Found")</f>
        <v>Yes</v>
      </c>
      <c r="L1614" s="4" t="s">
        <v>17</v>
      </c>
      <c r="M1614" s="1" t="str">
        <f>IFERROR(IF(INDEX(Database_repro!$A:$F, MATCH($O1614, Database_repro!$A:$A, 0), 6)="N","No",IF(INDEX(Database_repro!$A:$F, MATCH($O1614, Database_repro!$A:$A, 0), 6)="Y","Yes","Z")), "Not Found")</f>
        <v>No</v>
      </c>
      <c r="N1614" s="27" t="s">
        <v>605</v>
      </c>
      <c r="O1614" t="s">
        <v>200</v>
      </c>
    </row>
    <row r="1615" spans="1:15" x14ac:dyDescent="0.2">
      <c r="A1615" s="9">
        <v>45630</v>
      </c>
      <c r="B1615" s="1" t="str">
        <f>IFERROR(VLOOKUP(MID(INDEX(Database_dermo!$A:$I, MATCH($O1615, Database_dermo!$A:$A, 0), 2),20,3),Notes!A$1:C$9,3,TRUE), "Not Found")</f>
        <v>LX-N</v>
      </c>
      <c r="C1615" s="1" t="str">
        <f>IFERROR(RIGHT(INDEX(Database_dermo!$A:$I, MATCH($O1615, Database_dermo!$A:$A, 0), 1),2), "Not Found")</f>
        <v>06</v>
      </c>
      <c r="D1615" s="1">
        <f>IFERROR(VLOOKUP(MID(INDEX(Database_dermo!$A:$I, MATCH($O1615, Database_dermo!$A:$A, 0), 2),20,3),Notes!A$1:C$9,2,TRUE), "Not Found")</f>
        <v>2</v>
      </c>
      <c r="E1615" s="1">
        <f>IFERROR(INDEX(Database_dermo!$A:$I, MATCH($O1615, Database_dermo!$A:$A, 0), 3), "Not Found")</f>
        <v>69.069999999999993</v>
      </c>
      <c r="F1615" s="1" t="str">
        <f>IFERROR(INDEX(Database_repro!$A:$F, MATCH($O1615, Database_repro!$A:$A, 0), 3), "Not Found")</f>
        <v>Z</v>
      </c>
      <c r="G1615" s="1">
        <f>IFERROR(INDEX(Database_repro!$A:$F, MATCH($O1615, Database_repro!$A:$A, 0), 4), "Not Found")</f>
        <v>4</v>
      </c>
      <c r="H1615" s="1" t="s">
        <v>16</v>
      </c>
      <c r="I1615" s="1" t="s">
        <v>16</v>
      </c>
      <c r="J1615" s="1" t="s">
        <v>16</v>
      </c>
      <c r="K1615" s="1" t="str">
        <f>IFERROR(INDEX(Database_repro!$A:$F, MATCH($O1615, Database_repro!$A:$A, 0), 5), "Not Found")</f>
        <v>No</v>
      </c>
      <c r="L1615" s="4" t="s">
        <v>17</v>
      </c>
      <c r="M1615" s="1" t="str">
        <f>IFERROR(IF(INDEX(Database_repro!$A:$F, MATCH($O1615, Database_repro!$A:$A, 0), 6)="N","No",IF(INDEX(Database_repro!$A:$F, MATCH($O1615, Database_repro!$A:$A, 0), 6)="Y","Yes","Z")), "Not Found")</f>
        <v>No</v>
      </c>
      <c r="N1615" s="27" t="s">
        <v>605</v>
      </c>
      <c r="O1615" t="s">
        <v>201</v>
      </c>
    </row>
    <row r="1616" spans="1:15" x14ac:dyDescent="0.2">
      <c r="A1616" s="9">
        <v>45630</v>
      </c>
      <c r="B1616" s="1" t="str">
        <f>IFERROR(VLOOKUP(MID(INDEX(Database_dermo!$A:$I, MATCH($O1616, Database_dermo!$A:$A, 0), 2),20,3),Notes!A$1:C$9,3,TRUE), "Not Found")</f>
        <v>LX-N</v>
      </c>
      <c r="C1616" s="1" t="str">
        <f>IFERROR(RIGHT(INDEX(Database_dermo!$A:$I, MATCH($O1616, Database_dermo!$A:$A, 0), 1),2), "Not Found")</f>
        <v>07</v>
      </c>
      <c r="D1616" s="1">
        <f>IFERROR(VLOOKUP(MID(INDEX(Database_dermo!$A:$I, MATCH($O1616, Database_dermo!$A:$A, 0), 2),20,3),Notes!A$1:C$9,2,TRUE), "Not Found")</f>
        <v>2</v>
      </c>
      <c r="E1616" s="1">
        <f>IFERROR(INDEX(Database_dermo!$A:$I, MATCH($O1616, Database_dermo!$A:$A, 0), 3), "Not Found")</f>
        <v>59.46</v>
      </c>
      <c r="F1616" s="1" t="str">
        <f>IFERROR(INDEX(Database_repro!$A:$F, MATCH($O1616, Database_repro!$A:$A, 0), 3), "Not Found")</f>
        <v>F</v>
      </c>
      <c r="G1616" s="1">
        <f>IFERROR(INDEX(Database_repro!$A:$F, MATCH($O1616, Database_repro!$A:$A, 0), 4), "Not Found")</f>
        <v>3</v>
      </c>
      <c r="H1616" s="1" t="s">
        <v>16</v>
      </c>
      <c r="I1616" s="1" t="s">
        <v>16</v>
      </c>
      <c r="J1616" s="1" t="s">
        <v>16</v>
      </c>
      <c r="K1616" s="1" t="str">
        <f>IFERROR(INDEX(Database_repro!$A:$F, MATCH($O1616, Database_repro!$A:$A, 0), 5), "Not Found")</f>
        <v>No</v>
      </c>
      <c r="L1616" s="4" t="s">
        <v>17</v>
      </c>
      <c r="M1616" s="1" t="str">
        <f>IFERROR(IF(INDEX(Database_repro!$A:$F, MATCH($O1616, Database_repro!$A:$A, 0), 6)="N","No",IF(INDEX(Database_repro!$A:$F, MATCH($O1616, Database_repro!$A:$A, 0), 6)="Y","Yes","Z")), "Not Found")</f>
        <v>No</v>
      </c>
      <c r="N1616" s="27" t="s">
        <v>605</v>
      </c>
      <c r="O1616" t="s">
        <v>204</v>
      </c>
    </row>
    <row r="1617" spans="1:15" x14ac:dyDescent="0.2">
      <c r="A1617" s="9">
        <v>45630</v>
      </c>
      <c r="B1617" s="1" t="str">
        <f>IFERROR(VLOOKUP(MID(INDEX(Database_dermo!$A:$I, MATCH($O1617, Database_dermo!$A:$A, 0), 2),20,3),Notes!A$1:C$9,3,TRUE), "Not Found")</f>
        <v>LX-N</v>
      </c>
      <c r="C1617" s="1" t="str">
        <f>IFERROR(RIGHT(INDEX(Database_dermo!$A:$I, MATCH($O1617, Database_dermo!$A:$A, 0), 1),2), "Not Found")</f>
        <v>08</v>
      </c>
      <c r="D1617" s="1">
        <f>IFERROR(VLOOKUP(MID(INDEX(Database_dermo!$A:$I, MATCH($O1617, Database_dermo!$A:$A, 0), 2),20,3),Notes!A$1:C$9,2,TRUE), "Not Found")</f>
        <v>2</v>
      </c>
      <c r="E1617" s="1">
        <f>IFERROR(INDEX(Database_dermo!$A:$I, MATCH($O1617, Database_dermo!$A:$A, 0), 3), "Not Found")</f>
        <v>53.8</v>
      </c>
      <c r="F1617" s="1" t="str">
        <f>IFERROR(INDEX(Database_repro!$A:$F, MATCH($O1617, Database_repro!$A:$A, 0), 3), "Not Found")</f>
        <v>M</v>
      </c>
      <c r="G1617" s="1">
        <f>IFERROR(INDEX(Database_repro!$A:$F, MATCH($O1617, Database_repro!$A:$A, 0), 4), "Not Found")</f>
        <v>2</v>
      </c>
      <c r="H1617" s="1" t="s">
        <v>16</v>
      </c>
      <c r="I1617" s="1" t="s">
        <v>16</v>
      </c>
      <c r="J1617" s="1" t="s">
        <v>16</v>
      </c>
      <c r="K1617" s="1" t="str">
        <f>IFERROR(INDEX(Database_repro!$A:$F, MATCH($O1617, Database_repro!$A:$A, 0), 5), "Not Found")</f>
        <v>No</v>
      </c>
      <c r="L1617" s="4" t="s">
        <v>17</v>
      </c>
      <c r="M1617" s="1" t="str">
        <f>IFERROR(IF(INDEX(Database_repro!$A:$F, MATCH($O1617, Database_repro!$A:$A, 0), 6)="N","No",IF(INDEX(Database_repro!$A:$F, MATCH($O1617, Database_repro!$A:$A, 0), 6)="Y","Yes","Z")), "Not Found")</f>
        <v>No</v>
      </c>
      <c r="N1617" s="27" t="s">
        <v>605</v>
      </c>
      <c r="O1617" t="s">
        <v>205</v>
      </c>
    </row>
    <row r="1618" spans="1:15" x14ac:dyDescent="0.2">
      <c r="A1618" s="9">
        <v>45630</v>
      </c>
      <c r="B1618" s="1" t="str">
        <f>IFERROR(VLOOKUP(MID(INDEX(Database_dermo!$A:$I, MATCH($O1618, Database_dermo!$A:$A, 0), 2),20,3),Notes!A$1:C$9,3,TRUE), "Not Found")</f>
        <v>LX-N</v>
      </c>
      <c r="C1618" s="1" t="str">
        <f>IFERROR(RIGHT(INDEX(Database_dermo!$A:$I, MATCH($O1618, Database_dermo!$A:$A, 0), 1),2), "Not Found")</f>
        <v>09</v>
      </c>
      <c r="D1618" s="1">
        <f>IFERROR(VLOOKUP(MID(INDEX(Database_dermo!$A:$I, MATCH($O1618, Database_dermo!$A:$A, 0), 2),20,3),Notes!A$1:C$9,2,TRUE), "Not Found")</f>
        <v>2</v>
      </c>
      <c r="E1618" s="1">
        <f>IFERROR(INDEX(Database_dermo!$A:$I, MATCH($O1618, Database_dermo!$A:$A, 0), 3), "Not Found")</f>
        <v>48.7</v>
      </c>
      <c r="F1618" s="1" t="str">
        <f>IFERROR(INDEX(Database_repro!$A:$F, MATCH($O1618, Database_repro!$A:$A, 0), 3), "Not Found")</f>
        <v>F</v>
      </c>
      <c r="G1618" s="1">
        <f>IFERROR(INDEX(Database_repro!$A:$F, MATCH($O1618, Database_repro!$A:$A, 0), 4), "Not Found")</f>
        <v>2</v>
      </c>
      <c r="H1618" s="1" t="s">
        <v>16</v>
      </c>
      <c r="I1618" s="1" t="s">
        <v>16</v>
      </c>
      <c r="J1618" s="1" t="s">
        <v>16</v>
      </c>
      <c r="K1618" s="1" t="str">
        <f>IFERROR(INDEX(Database_repro!$A:$F, MATCH($O1618, Database_repro!$A:$A, 0), 5), "Not Found")</f>
        <v>No</v>
      </c>
      <c r="L1618" s="4" t="s">
        <v>17</v>
      </c>
      <c r="M1618" s="1" t="str">
        <f>IFERROR(IF(INDEX(Database_repro!$A:$F, MATCH($O1618, Database_repro!$A:$A, 0), 6)="N","No",IF(INDEX(Database_repro!$A:$F, MATCH($O1618, Database_repro!$A:$A, 0), 6)="Y","Yes","Z")), "Not Found")</f>
        <v>No</v>
      </c>
      <c r="N1618" s="27" t="s">
        <v>605</v>
      </c>
      <c r="O1618" t="s">
        <v>207</v>
      </c>
    </row>
    <row r="1619" spans="1:15" x14ac:dyDescent="0.2">
      <c r="A1619" s="9">
        <v>45630</v>
      </c>
      <c r="B1619" s="1" t="str">
        <f>IFERROR(VLOOKUP(MID(INDEX(Database_dermo!$A:$I, MATCH($O1619, Database_dermo!$A:$A, 0), 2),20,3),Notes!A$1:C$9,3,TRUE), "Not Found")</f>
        <v>LX-N</v>
      </c>
      <c r="C1619" s="1" t="str">
        <f>IFERROR(RIGHT(INDEX(Database_dermo!$A:$I, MATCH($O1619, Database_dermo!$A:$A, 0), 1),2), "Not Found")</f>
        <v>10</v>
      </c>
      <c r="D1619" s="1">
        <f>IFERROR(VLOOKUP(MID(INDEX(Database_dermo!$A:$I, MATCH($O1619, Database_dermo!$A:$A, 0), 2),20,3),Notes!A$1:C$9,2,TRUE), "Not Found")</f>
        <v>2</v>
      </c>
      <c r="E1619" s="1">
        <f>IFERROR(INDEX(Database_dermo!$A:$I, MATCH($O1619, Database_dermo!$A:$A, 0), 3), "Not Found")</f>
        <v>46.33</v>
      </c>
      <c r="F1619" s="1" t="str">
        <f>IFERROR(INDEX(Database_repro!$A:$F, MATCH($O1619, Database_repro!$A:$A, 0), 3), "Not Found")</f>
        <v>F</v>
      </c>
      <c r="G1619" s="1">
        <f>IFERROR(INDEX(Database_repro!$A:$F, MATCH($O1619, Database_repro!$A:$A, 0), 4), "Not Found")</f>
        <v>3</v>
      </c>
      <c r="H1619" s="1" t="s">
        <v>16</v>
      </c>
      <c r="I1619" s="1" t="s">
        <v>16</v>
      </c>
      <c r="J1619" s="1" t="s">
        <v>16</v>
      </c>
      <c r="K1619" s="1" t="str">
        <f>IFERROR(INDEX(Database_repro!$A:$F, MATCH($O1619, Database_repro!$A:$A, 0), 5), "Not Found")</f>
        <v>No</v>
      </c>
      <c r="L1619" s="4" t="s">
        <v>17</v>
      </c>
      <c r="M1619" s="1" t="str">
        <f>IFERROR(IF(INDEX(Database_repro!$A:$F, MATCH($O1619, Database_repro!$A:$A, 0), 6)="N","No",IF(INDEX(Database_repro!$A:$F, MATCH($O1619, Database_repro!$A:$A, 0), 6)="Y","Yes","Z")), "Not Found")</f>
        <v>No</v>
      </c>
      <c r="N1619" s="27" t="s">
        <v>605</v>
      </c>
      <c r="O1619" t="s">
        <v>208</v>
      </c>
    </row>
    <row r="1620" spans="1:15" x14ac:dyDescent="0.2">
      <c r="A1620" s="9">
        <v>45630</v>
      </c>
      <c r="B1620" s="1" t="str">
        <f>IFERROR(VLOOKUP(MID(INDEX(Database_dermo!$A:$I, MATCH($O1620, Database_dermo!$A:$A, 0), 2),20,3),Notes!A$1:C$9,3,TRUE), "Not Found")</f>
        <v>LX-N</v>
      </c>
      <c r="C1620" s="1" t="str">
        <f>IFERROR(RIGHT(INDEX(Database_dermo!$A:$I, MATCH($O1620, Database_dermo!$A:$A, 0), 1),2), "Not Found")</f>
        <v>11</v>
      </c>
      <c r="D1620" s="1">
        <f>IFERROR(VLOOKUP(MID(INDEX(Database_dermo!$A:$I, MATCH($O1620, Database_dermo!$A:$A, 0), 2),20,3),Notes!A$1:C$9,2,TRUE), "Not Found")</f>
        <v>3</v>
      </c>
      <c r="E1620" s="1">
        <f>IFERROR(INDEX(Database_dermo!$A:$I, MATCH($O1620, Database_dermo!$A:$A, 0), 3), "Not Found")</f>
        <v>40.880000000000003</v>
      </c>
      <c r="F1620" s="1" t="str">
        <f>IFERROR(INDEX(Database_repro!$A:$F, MATCH($O1620, Database_repro!$A:$A, 0), 3), "Not Found")</f>
        <v>Z</v>
      </c>
      <c r="G1620" s="1">
        <f>IFERROR(INDEX(Database_repro!$A:$F, MATCH($O1620, Database_repro!$A:$A, 0), 4), "Not Found")</f>
        <v>4</v>
      </c>
      <c r="H1620" s="1" t="s">
        <v>16</v>
      </c>
      <c r="I1620" s="1" t="s">
        <v>16</v>
      </c>
      <c r="J1620" s="1" t="s">
        <v>16</v>
      </c>
      <c r="K1620" s="1" t="str">
        <f>IFERROR(INDEX(Database_repro!$A:$F, MATCH($O1620, Database_repro!$A:$A, 0), 5), "Not Found")</f>
        <v>No</v>
      </c>
      <c r="L1620" s="4" t="s">
        <v>17</v>
      </c>
      <c r="M1620" s="1" t="str">
        <f>IFERROR(IF(INDEX(Database_repro!$A:$F, MATCH($O1620, Database_repro!$A:$A, 0), 6)="N","No",IF(INDEX(Database_repro!$A:$F, MATCH($O1620, Database_repro!$A:$A, 0), 6)="Y","Yes","Z")), "Not Found")</f>
        <v>No</v>
      </c>
      <c r="N1620" s="27" t="s">
        <v>605</v>
      </c>
      <c r="O1620" t="s">
        <v>209</v>
      </c>
    </row>
    <row r="1621" spans="1:15" x14ac:dyDescent="0.2">
      <c r="A1621" s="9">
        <v>45630</v>
      </c>
      <c r="B1621" s="1" t="str">
        <f>IFERROR(VLOOKUP(MID(INDEX(Database_dermo!$A:$I, MATCH($O1621, Database_dermo!$A:$A, 0), 2),20,3),Notes!A$1:C$9,3,TRUE), "Not Found")</f>
        <v>LX-N</v>
      </c>
      <c r="C1621" s="1" t="str">
        <f>IFERROR(RIGHT(INDEX(Database_dermo!$A:$I, MATCH($O1621, Database_dermo!$A:$A, 0), 1),2), "Not Found")</f>
        <v>12</v>
      </c>
      <c r="D1621" s="1">
        <f>IFERROR(VLOOKUP(MID(INDEX(Database_dermo!$A:$I, MATCH($O1621, Database_dermo!$A:$A, 0), 2),20,3),Notes!A$1:C$9,2,TRUE), "Not Found")</f>
        <v>3</v>
      </c>
      <c r="E1621" s="1">
        <f>IFERROR(INDEX(Database_dermo!$A:$I, MATCH($O1621, Database_dermo!$A:$A, 0), 3), "Not Found")</f>
        <v>41.86</v>
      </c>
      <c r="F1621" s="1" t="str">
        <f>IFERROR(INDEX(Database_repro!$A:$F, MATCH($O1621, Database_repro!$A:$A, 0), 3), "Not Found")</f>
        <v>M</v>
      </c>
      <c r="G1621" s="1">
        <f>IFERROR(INDEX(Database_repro!$A:$F, MATCH($O1621, Database_repro!$A:$A, 0), 4), "Not Found")</f>
        <v>2</v>
      </c>
      <c r="H1621" s="1" t="s">
        <v>16</v>
      </c>
      <c r="I1621" s="1" t="s">
        <v>16</v>
      </c>
      <c r="J1621" s="1" t="s">
        <v>16</v>
      </c>
      <c r="K1621" s="1" t="str">
        <f>IFERROR(INDEX(Database_repro!$A:$F, MATCH($O1621, Database_repro!$A:$A, 0), 5), "Not Found")</f>
        <v>No</v>
      </c>
      <c r="L1621" s="4" t="s">
        <v>17</v>
      </c>
      <c r="M1621" s="1" t="str">
        <f>IFERROR(IF(INDEX(Database_repro!$A:$F, MATCH($O1621, Database_repro!$A:$A, 0), 6)="N","No",IF(INDEX(Database_repro!$A:$F, MATCH($O1621, Database_repro!$A:$A, 0), 6)="Y","Yes","Z")), "Not Found")</f>
        <v>No</v>
      </c>
      <c r="N1621" s="27" t="s">
        <v>605</v>
      </c>
      <c r="O1621" t="s">
        <v>211</v>
      </c>
    </row>
    <row r="1622" spans="1:15" x14ac:dyDescent="0.2">
      <c r="A1622" s="9">
        <v>45630</v>
      </c>
      <c r="B1622" s="1" t="str">
        <f>IFERROR(VLOOKUP(MID(INDEX(Database_dermo!$A:$I, MATCH($O1622, Database_dermo!$A:$A, 0), 2),20,3),Notes!A$1:C$9,3,TRUE), "Not Found")</f>
        <v>LX-N</v>
      </c>
      <c r="C1622" s="1" t="str">
        <f>IFERROR(RIGHT(INDEX(Database_dermo!$A:$I, MATCH($O1622, Database_dermo!$A:$A, 0), 1),2), "Not Found")</f>
        <v>13</v>
      </c>
      <c r="D1622" s="1">
        <f>IFERROR(VLOOKUP(MID(INDEX(Database_dermo!$A:$I, MATCH($O1622, Database_dermo!$A:$A, 0), 2),20,3),Notes!A$1:C$9,2,TRUE), "Not Found")</f>
        <v>3</v>
      </c>
      <c r="E1622" s="1">
        <f>IFERROR(INDEX(Database_dermo!$A:$I, MATCH($O1622, Database_dermo!$A:$A, 0), 3), "Not Found")</f>
        <v>45.18</v>
      </c>
      <c r="F1622" s="1" t="str">
        <f>IFERROR(INDEX(Database_repro!$A:$F, MATCH($O1622, Database_repro!$A:$A, 0), 3), "Not Found")</f>
        <v>Z</v>
      </c>
      <c r="G1622" s="1">
        <f>IFERROR(INDEX(Database_repro!$A:$F, MATCH($O1622, Database_repro!$A:$A, 0), 4), "Not Found")</f>
        <v>4</v>
      </c>
      <c r="H1622" s="1" t="s">
        <v>16</v>
      </c>
      <c r="I1622" s="1" t="s">
        <v>16</v>
      </c>
      <c r="J1622" s="1" t="s">
        <v>16</v>
      </c>
      <c r="K1622" s="1" t="str">
        <f>IFERROR(INDEX(Database_repro!$A:$F, MATCH($O1622, Database_repro!$A:$A, 0), 5), "Not Found")</f>
        <v>No</v>
      </c>
      <c r="L1622" s="4" t="s">
        <v>17</v>
      </c>
      <c r="M1622" s="1" t="str">
        <f>IFERROR(IF(INDEX(Database_repro!$A:$F, MATCH($O1622, Database_repro!$A:$A, 0), 6)="N","No",IF(INDEX(Database_repro!$A:$F, MATCH($O1622, Database_repro!$A:$A, 0), 6)="Y","Yes","Z")), "Not Found")</f>
        <v>No</v>
      </c>
      <c r="N1622" s="27" t="s">
        <v>605</v>
      </c>
      <c r="O1622" t="s">
        <v>212</v>
      </c>
    </row>
    <row r="1623" spans="1:15" x14ac:dyDescent="0.2">
      <c r="A1623" s="9">
        <v>45630</v>
      </c>
      <c r="B1623" s="1" t="str">
        <f>IFERROR(VLOOKUP(MID(INDEX(Database_dermo!$A:$I, MATCH($O1623, Database_dermo!$A:$A, 0), 2),20,3),Notes!A$1:C$9,3,TRUE), "Not Found")</f>
        <v>LX-N</v>
      </c>
      <c r="C1623" s="1" t="str">
        <f>IFERROR(RIGHT(INDEX(Database_dermo!$A:$I, MATCH($O1623, Database_dermo!$A:$A, 0), 1),2), "Not Found")</f>
        <v>14</v>
      </c>
      <c r="D1623" s="1">
        <f>IFERROR(VLOOKUP(MID(INDEX(Database_dermo!$A:$I, MATCH($O1623, Database_dermo!$A:$A, 0), 2),20,3),Notes!A$1:C$9,2,TRUE), "Not Found")</f>
        <v>3</v>
      </c>
      <c r="E1623" s="1">
        <f>IFERROR(INDEX(Database_dermo!$A:$I, MATCH($O1623, Database_dermo!$A:$A, 0), 3), "Not Found")</f>
        <v>39.799999999999997</v>
      </c>
      <c r="F1623" s="1" t="str">
        <f>IFERROR(INDEX(Database_repro!$A:$F, MATCH($O1623, Database_repro!$A:$A, 0), 3), "Not Found")</f>
        <v>Z</v>
      </c>
      <c r="G1623" s="1">
        <f>IFERROR(INDEX(Database_repro!$A:$F, MATCH($O1623, Database_repro!$A:$A, 0), 4), "Not Found")</f>
        <v>4</v>
      </c>
      <c r="H1623" s="1" t="s">
        <v>16</v>
      </c>
      <c r="I1623" s="1" t="s">
        <v>16</v>
      </c>
      <c r="J1623" s="1" t="s">
        <v>16</v>
      </c>
      <c r="K1623" s="1" t="str">
        <f>IFERROR(INDEX(Database_repro!$A:$F, MATCH($O1623, Database_repro!$A:$A, 0), 5), "Not Found")</f>
        <v>No</v>
      </c>
      <c r="L1623" s="4" t="s">
        <v>17</v>
      </c>
      <c r="M1623" s="1" t="str">
        <f>IFERROR(IF(INDEX(Database_repro!$A:$F, MATCH($O1623, Database_repro!$A:$A, 0), 6)="N","No",IF(INDEX(Database_repro!$A:$F, MATCH($O1623, Database_repro!$A:$A, 0), 6)="Y","Yes","Z")), "Not Found")</f>
        <v>No</v>
      </c>
      <c r="N1623" s="27" t="s">
        <v>605</v>
      </c>
      <c r="O1623" t="s">
        <v>213</v>
      </c>
    </row>
    <row r="1624" spans="1:15" x14ac:dyDescent="0.2">
      <c r="A1624" s="9">
        <v>45630</v>
      </c>
      <c r="B1624" s="1" t="str">
        <f>IFERROR(VLOOKUP(MID(INDEX(Database_dermo!$A:$I, MATCH($O1624, Database_dermo!$A:$A, 0), 2),20,3),Notes!A$1:C$9,3,TRUE), "Not Found")</f>
        <v>LX-N</v>
      </c>
      <c r="C1624" s="1" t="str">
        <f>IFERROR(RIGHT(INDEX(Database_dermo!$A:$I, MATCH($O1624, Database_dermo!$A:$A, 0), 1),2), "Not Found")</f>
        <v>15</v>
      </c>
      <c r="D1624" s="1">
        <f>IFERROR(VLOOKUP(MID(INDEX(Database_dermo!$A:$I, MATCH($O1624, Database_dermo!$A:$A, 0), 2),20,3),Notes!A$1:C$9,2,TRUE), "Not Found")</f>
        <v>3</v>
      </c>
      <c r="E1624" s="1">
        <f>IFERROR(INDEX(Database_dermo!$A:$I, MATCH($O1624, Database_dermo!$A:$A, 0), 3), "Not Found")</f>
        <v>38.29</v>
      </c>
      <c r="F1624" s="1" t="str">
        <f>IFERROR(INDEX(Database_repro!$A:$F, MATCH($O1624, Database_repro!$A:$A, 0), 3), "Not Found")</f>
        <v>Z</v>
      </c>
      <c r="G1624" s="1">
        <f>IFERROR(INDEX(Database_repro!$A:$F, MATCH($O1624, Database_repro!$A:$A, 0), 4), "Not Found")</f>
        <v>4</v>
      </c>
      <c r="H1624" s="1" t="s">
        <v>16</v>
      </c>
      <c r="I1624" s="1" t="s">
        <v>16</v>
      </c>
      <c r="J1624" s="1" t="s">
        <v>16</v>
      </c>
      <c r="K1624" s="1" t="str">
        <f>IFERROR(INDEX(Database_repro!$A:$F, MATCH($O1624, Database_repro!$A:$A, 0), 5), "Not Found")</f>
        <v>No</v>
      </c>
      <c r="L1624" s="4" t="s">
        <v>17</v>
      </c>
      <c r="M1624" s="1" t="str">
        <f>IFERROR(IF(INDEX(Database_repro!$A:$F, MATCH($O1624, Database_repro!$A:$A, 0), 6)="N","No",IF(INDEX(Database_repro!$A:$F, MATCH($O1624, Database_repro!$A:$A, 0), 6)="Y","Yes","Z")), "Not Found")</f>
        <v>No</v>
      </c>
      <c r="N1624" s="27" t="s">
        <v>605</v>
      </c>
      <c r="O1624" t="s">
        <v>214</v>
      </c>
    </row>
    <row r="1625" spans="1:15" x14ac:dyDescent="0.2">
      <c r="A1625" s="9">
        <v>45418</v>
      </c>
      <c r="B1625" s="1" t="str">
        <f>IFERROR(VLOOKUP(MID(INDEX(Database_dermo!$A:$I, MATCH($O1625, Database_dermo!$A:$A, 0), 2),20,3),Notes!A$1:C$9,3,TRUE), "Not Found")</f>
        <v>LX-S</v>
      </c>
      <c r="C1625" s="1" t="str">
        <f>IFERROR(RIGHT(INDEX(Database_dermo!$A:$I, MATCH($O1625, Database_dermo!$A:$A, 0), 1),2), "Not Found")</f>
        <v>01</v>
      </c>
      <c r="D1625" s="1">
        <f>IFERROR(VLOOKUP(MID(INDEX(Database_dermo!$A:$I, MATCH($O1625, Database_dermo!$A:$A, 0), 2),20,3),Notes!A$1:C$9,2,TRUE), "Not Found")</f>
        <v>1</v>
      </c>
      <c r="E1625" s="1">
        <f>IFERROR(INDEX(Database_dermo!$A:$I, MATCH($O1625, Database_dermo!$A:$A, 0), 3), "Not Found")</f>
        <v>47.84</v>
      </c>
      <c r="F1625" s="1" t="str">
        <f>IFERROR(INDEX(Database_repro!$A:$F, MATCH($O1625, Database_repro!$A:$A, 0), 3), "Not Found")</f>
        <v>Z</v>
      </c>
      <c r="G1625" s="1">
        <f>IFERROR(INDEX(Database_repro!$A:$F, MATCH($O1625, Database_repro!$A:$A, 0), 4), "Not Found")</f>
        <v>4</v>
      </c>
      <c r="H1625" s="1" t="s">
        <v>16</v>
      </c>
      <c r="I1625" s="1" t="s">
        <v>16</v>
      </c>
      <c r="J1625" s="1" t="s">
        <v>16</v>
      </c>
      <c r="K1625" s="1" t="str">
        <f>IFERROR(INDEX(Database_repro!$A:$F, MATCH($O1625, Database_repro!$A:$A, 0), 5), "Not Found")</f>
        <v>No</v>
      </c>
      <c r="L1625" s="4" t="s">
        <v>17</v>
      </c>
      <c r="M1625" s="1" t="str">
        <f>IFERROR(IF(INDEX(Database_repro!$A:$F, MATCH($O1625, Database_repro!$A:$A, 0), 6)="N","No",IF(INDEX(Database_repro!$A:$F, MATCH($O1625, Database_repro!$A:$A, 0), 6)="Y","Yes","Z")), "Not Found")</f>
        <v>No</v>
      </c>
      <c r="N1625" s="27" t="s">
        <v>605</v>
      </c>
      <c r="O1625" t="s">
        <v>215</v>
      </c>
    </row>
    <row r="1626" spans="1:15" x14ac:dyDescent="0.2">
      <c r="A1626" s="9">
        <v>45418</v>
      </c>
      <c r="B1626" s="1" t="str">
        <f>IFERROR(VLOOKUP(MID(INDEX(Database_dermo!$A:$I, MATCH($O1626, Database_dermo!$A:$A, 0), 2),20,3),Notes!A$1:C$9,3,TRUE), "Not Found")</f>
        <v>LX-S</v>
      </c>
      <c r="C1626" s="1" t="str">
        <f>IFERROR(RIGHT(INDEX(Database_dermo!$A:$I, MATCH($O1626, Database_dermo!$A:$A, 0), 1),2), "Not Found")</f>
        <v>02</v>
      </c>
      <c r="D1626" s="1">
        <f>IFERROR(VLOOKUP(MID(INDEX(Database_dermo!$A:$I, MATCH($O1626, Database_dermo!$A:$A, 0), 2),20,3),Notes!A$1:C$9,2,TRUE), "Not Found")</f>
        <v>1</v>
      </c>
      <c r="E1626" s="1">
        <f>IFERROR(INDEX(Database_dermo!$A:$I, MATCH($O1626, Database_dermo!$A:$A, 0), 3), "Not Found")</f>
        <v>52.6</v>
      </c>
      <c r="F1626" s="1" t="str">
        <f>IFERROR(INDEX(Database_repro!$A:$F, MATCH($O1626, Database_repro!$A:$A, 0), 3), "Not Found")</f>
        <v>F</v>
      </c>
      <c r="G1626" s="1">
        <f>IFERROR(INDEX(Database_repro!$A:$F, MATCH($O1626, Database_repro!$A:$A, 0), 4), "Not Found")</f>
        <v>1</v>
      </c>
      <c r="H1626" s="1" t="s">
        <v>16</v>
      </c>
      <c r="I1626" s="1" t="s">
        <v>16</v>
      </c>
      <c r="J1626" s="1" t="s">
        <v>16</v>
      </c>
      <c r="K1626" s="1" t="str">
        <f>IFERROR(INDEX(Database_repro!$A:$F, MATCH($O1626, Database_repro!$A:$A, 0), 5), "Not Found")</f>
        <v>Yes</v>
      </c>
      <c r="L1626" s="4" t="s">
        <v>17</v>
      </c>
      <c r="M1626" s="1" t="str">
        <f>IFERROR(IF(INDEX(Database_repro!$A:$F, MATCH($O1626, Database_repro!$A:$A, 0), 6)="N","No",IF(INDEX(Database_repro!$A:$F, MATCH($O1626, Database_repro!$A:$A, 0), 6)="Y","Yes","Z")), "Not Found")</f>
        <v>No</v>
      </c>
      <c r="N1626" s="27" t="s">
        <v>605</v>
      </c>
      <c r="O1626" t="s">
        <v>217</v>
      </c>
    </row>
    <row r="1627" spans="1:15" x14ac:dyDescent="0.2">
      <c r="A1627" s="9">
        <v>45418</v>
      </c>
      <c r="B1627" s="1" t="str">
        <f>IFERROR(VLOOKUP(MID(INDEX(Database_dermo!$A:$I, MATCH($O1627, Database_dermo!$A:$A, 0), 2),20,3),Notes!A$1:C$9,3,TRUE), "Not Found")</f>
        <v>LX-S</v>
      </c>
      <c r="C1627" s="1" t="str">
        <f>IFERROR(RIGHT(INDEX(Database_dermo!$A:$I, MATCH($O1627, Database_dermo!$A:$A, 0), 1),2), "Not Found")</f>
        <v>03</v>
      </c>
      <c r="D1627" s="1">
        <f>IFERROR(VLOOKUP(MID(INDEX(Database_dermo!$A:$I, MATCH($O1627, Database_dermo!$A:$A, 0), 2),20,3),Notes!A$1:C$9,2,TRUE), "Not Found")</f>
        <v>1</v>
      </c>
      <c r="E1627" s="1">
        <f>IFERROR(INDEX(Database_dermo!$A:$I, MATCH($O1627, Database_dermo!$A:$A, 0), 3), "Not Found")</f>
        <v>52.35</v>
      </c>
      <c r="F1627" s="1" t="str">
        <f>IFERROR(INDEX(Database_repro!$A:$F, MATCH($O1627, Database_repro!$A:$A, 0), 3), "Not Found")</f>
        <v>F</v>
      </c>
      <c r="G1627" s="1">
        <f>IFERROR(INDEX(Database_repro!$A:$F, MATCH($O1627, Database_repro!$A:$A, 0), 4), "Not Found")</f>
        <v>2</v>
      </c>
      <c r="H1627" s="1" t="s">
        <v>16</v>
      </c>
      <c r="I1627" s="1" t="s">
        <v>16</v>
      </c>
      <c r="J1627" s="1" t="s">
        <v>16</v>
      </c>
      <c r="K1627" s="1" t="str">
        <f>IFERROR(INDEX(Database_repro!$A:$F, MATCH($O1627, Database_repro!$A:$A, 0), 5), "Not Found")</f>
        <v>No</v>
      </c>
      <c r="L1627" s="4" t="s">
        <v>17</v>
      </c>
      <c r="M1627" s="1" t="str">
        <f>IFERROR(IF(INDEX(Database_repro!$A:$F, MATCH($O1627, Database_repro!$A:$A, 0), 6)="N","No",IF(INDEX(Database_repro!$A:$F, MATCH($O1627, Database_repro!$A:$A, 0), 6)="Y","Yes","Z")), "Not Found")</f>
        <v>No</v>
      </c>
      <c r="N1627" s="27" t="s">
        <v>605</v>
      </c>
      <c r="O1627" t="s">
        <v>218</v>
      </c>
    </row>
    <row r="1628" spans="1:15" x14ac:dyDescent="0.2">
      <c r="A1628" s="9">
        <v>45418</v>
      </c>
      <c r="B1628" s="1" t="str">
        <f>IFERROR(VLOOKUP(MID(INDEX(Database_dermo!$A:$I, MATCH($O1628, Database_dermo!$A:$A, 0), 2),20,3),Notes!A$1:C$9,3,TRUE), "Not Found")</f>
        <v>LX-S</v>
      </c>
      <c r="C1628" s="1" t="str">
        <f>IFERROR(RIGHT(INDEX(Database_dermo!$A:$I, MATCH($O1628, Database_dermo!$A:$A, 0), 1),2), "Not Found")</f>
        <v>04</v>
      </c>
      <c r="D1628" s="1">
        <f>IFERROR(VLOOKUP(MID(INDEX(Database_dermo!$A:$I, MATCH($O1628, Database_dermo!$A:$A, 0), 2),20,3),Notes!A$1:C$9,2,TRUE), "Not Found")</f>
        <v>1</v>
      </c>
      <c r="E1628" s="1">
        <f>IFERROR(INDEX(Database_dermo!$A:$I, MATCH($O1628, Database_dermo!$A:$A, 0), 3), "Not Found")</f>
        <v>57.14</v>
      </c>
      <c r="F1628" s="1" t="str">
        <f>IFERROR(INDEX(Database_repro!$A:$F, MATCH($O1628, Database_repro!$A:$A, 0), 3), "Not Found")</f>
        <v>F</v>
      </c>
      <c r="G1628" s="1">
        <f>IFERROR(INDEX(Database_repro!$A:$F, MATCH($O1628, Database_repro!$A:$A, 0), 4), "Not Found")</f>
        <v>1</v>
      </c>
      <c r="H1628" s="1" t="s">
        <v>16</v>
      </c>
      <c r="I1628" s="1" t="s">
        <v>16</v>
      </c>
      <c r="J1628" s="1" t="s">
        <v>16</v>
      </c>
      <c r="K1628" s="1" t="str">
        <f>IFERROR(INDEX(Database_repro!$A:$F, MATCH($O1628, Database_repro!$A:$A, 0), 5), "Not Found")</f>
        <v>No</v>
      </c>
      <c r="L1628" s="4" t="s">
        <v>17</v>
      </c>
      <c r="M1628" s="1" t="str">
        <f>IFERROR(IF(INDEX(Database_repro!$A:$F, MATCH($O1628, Database_repro!$A:$A, 0), 6)="N","No",IF(INDEX(Database_repro!$A:$F, MATCH($O1628, Database_repro!$A:$A, 0), 6)="Y","Yes","Z")), "Not Found")</f>
        <v>No</v>
      </c>
      <c r="N1628" s="27" t="s">
        <v>605</v>
      </c>
      <c r="O1628" t="s">
        <v>219</v>
      </c>
    </row>
    <row r="1629" spans="1:15" x14ac:dyDescent="0.2">
      <c r="A1629" s="9">
        <v>45418</v>
      </c>
      <c r="B1629" s="1" t="str">
        <f>IFERROR(VLOOKUP(MID(INDEX(Database_dermo!$A:$I, MATCH($O1629, Database_dermo!$A:$A, 0), 2),20,3),Notes!A$1:C$9,3,TRUE), "Not Found")</f>
        <v>LX-S</v>
      </c>
      <c r="C1629" s="1" t="str">
        <f>IFERROR(RIGHT(INDEX(Database_dermo!$A:$I, MATCH($O1629, Database_dermo!$A:$A, 0), 1),2), "Not Found")</f>
        <v>05</v>
      </c>
      <c r="D1629" s="1">
        <f>IFERROR(VLOOKUP(MID(INDEX(Database_dermo!$A:$I, MATCH($O1629, Database_dermo!$A:$A, 0), 2),20,3),Notes!A$1:C$9,2,TRUE), "Not Found")</f>
        <v>1</v>
      </c>
      <c r="E1629" s="1">
        <f>IFERROR(INDEX(Database_dermo!$A:$I, MATCH($O1629, Database_dermo!$A:$A, 0), 3), "Not Found")</f>
        <v>43.77</v>
      </c>
      <c r="F1629" s="1" t="str">
        <f>IFERROR(INDEX(Database_repro!$A:$F, MATCH($O1629, Database_repro!$A:$A, 0), 3), "Not Found")</f>
        <v>M</v>
      </c>
      <c r="G1629" s="1">
        <f>IFERROR(INDEX(Database_repro!$A:$F, MATCH($O1629, Database_repro!$A:$A, 0), 4), "Not Found")</f>
        <v>2</v>
      </c>
      <c r="H1629" s="1" t="s">
        <v>16</v>
      </c>
      <c r="I1629" s="1" t="s">
        <v>16</v>
      </c>
      <c r="J1629" s="1" t="s">
        <v>16</v>
      </c>
      <c r="K1629" s="1" t="str">
        <f>IFERROR(INDEX(Database_repro!$A:$F, MATCH($O1629, Database_repro!$A:$A, 0), 5), "Not Found")</f>
        <v>No</v>
      </c>
      <c r="L1629" s="4" t="s">
        <v>17</v>
      </c>
      <c r="M1629" s="1" t="str">
        <f>IFERROR(IF(INDEX(Database_repro!$A:$F, MATCH($O1629, Database_repro!$A:$A, 0), 6)="N","No",IF(INDEX(Database_repro!$A:$F, MATCH($O1629, Database_repro!$A:$A, 0), 6)="Y","Yes","Z")), "Not Found")</f>
        <v>No</v>
      </c>
      <c r="N1629" s="27" t="s">
        <v>605</v>
      </c>
      <c r="O1629" t="s">
        <v>220</v>
      </c>
    </row>
    <row r="1630" spans="1:15" x14ac:dyDescent="0.2">
      <c r="A1630" s="9">
        <v>45418</v>
      </c>
      <c r="B1630" s="1" t="str">
        <f>IFERROR(VLOOKUP(MID(INDEX(Database_dermo!$A:$I, MATCH($O1630, Database_dermo!$A:$A, 0), 2),20,3),Notes!A$1:C$9,3,TRUE), "Not Found")</f>
        <v>LX-S</v>
      </c>
      <c r="C1630" s="1" t="str">
        <f>IFERROR(RIGHT(INDEX(Database_dermo!$A:$I, MATCH($O1630, Database_dermo!$A:$A, 0), 1),2), "Not Found")</f>
        <v>06</v>
      </c>
      <c r="D1630" s="1">
        <f>IFERROR(VLOOKUP(MID(INDEX(Database_dermo!$A:$I, MATCH($O1630, Database_dermo!$A:$A, 0), 2),20,3),Notes!A$1:C$9,2,TRUE), "Not Found")</f>
        <v>2</v>
      </c>
      <c r="E1630" s="1">
        <f>IFERROR(INDEX(Database_dermo!$A:$I, MATCH($O1630, Database_dermo!$A:$A, 0), 3), "Not Found")</f>
        <v>65.83</v>
      </c>
      <c r="F1630" s="1" t="str">
        <f>IFERROR(INDEX(Database_repro!$A:$F, MATCH($O1630, Database_repro!$A:$A, 0), 3), "Not Found")</f>
        <v>M</v>
      </c>
      <c r="G1630" s="1">
        <f>IFERROR(INDEX(Database_repro!$A:$F, MATCH($O1630, Database_repro!$A:$A, 0), 4), "Not Found")</f>
        <v>2</v>
      </c>
      <c r="H1630" s="1" t="s">
        <v>16</v>
      </c>
      <c r="I1630" s="1" t="s">
        <v>16</v>
      </c>
      <c r="J1630" s="1" t="s">
        <v>16</v>
      </c>
      <c r="K1630" s="1" t="str">
        <f>IFERROR(INDEX(Database_repro!$A:$F, MATCH($O1630, Database_repro!$A:$A, 0), 5), "Not Found")</f>
        <v>No</v>
      </c>
      <c r="L1630" s="4" t="s">
        <v>17</v>
      </c>
      <c r="M1630" s="1" t="str">
        <f>IFERROR(IF(INDEX(Database_repro!$A:$F, MATCH($O1630, Database_repro!$A:$A, 0), 6)="N","No",IF(INDEX(Database_repro!$A:$F, MATCH($O1630, Database_repro!$A:$A, 0), 6)="Y","Yes","Z")), "Not Found")</f>
        <v>No</v>
      </c>
      <c r="N1630" s="27" t="s">
        <v>605</v>
      </c>
      <c r="O1630" t="s">
        <v>221</v>
      </c>
    </row>
    <row r="1631" spans="1:15" x14ac:dyDescent="0.2">
      <c r="A1631" s="9">
        <v>45418</v>
      </c>
      <c r="B1631" s="1" t="str">
        <f>IFERROR(VLOOKUP(MID(INDEX(Database_dermo!$A:$I, MATCH($O1631, Database_dermo!$A:$A, 0), 2),20,3),Notes!A$1:C$9,3,TRUE), "Not Found")</f>
        <v>LX-S</v>
      </c>
      <c r="C1631" s="1" t="str">
        <f>IFERROR(RIGHT(INDEX(Database_dermo!$A:$I, MATCH($O1631, Database_dermo!$A:$A, 0), 1),2), "Not Found")</f>
        <v>07</v>
      </c>
      <c r="D1631" s="1">
        <f>IFERROR(VLOOKUP(MID(INDEX(Database_dermo!$A:$I, MATCH($O1631, Database_dermo!$A:$A, 0), 2),20,3),Notes!A$1:C$9,2,TRUE), "Not Found")</f>
        <v>2</v>
      </c>
      <c r="E1631" s="1">
        <f>IFERROR(INDEX(Database_dermo!$A:$I, MATCH($O1631, Database_dermo!$A:$A, 0), 3), "Not Found")</f>
        <v>34.97</v>
      </c>
      <c r="F1631" s="1" t="str">
        <f>IFERROR(INDEX(Database_repro!$A:$F, MATCH($O1631, Database_repro!$A:$A, 0), 3), "Not Found")</f>
        <v>M</v>
      </c>
      <c r="G1631" s="1">
        <f>IFERROR(INDEX(Database_repro!$A:$F, MATCH($O1631, Database_repro!$A:$A, 0), 4), "Not Found")</f>
        <v>2</v>
      </c>
      <c r="H1631" s="1" t="s">
        <v>16</v>
      </c>
      <c r="I1631" s="1" t="s">
        <v>16</v>
      </c>
      <c r="J1631" s="1" t="s">
        <v>16</v>
      </c>
      <c r="K1631" s="1" t="str">
        <f>IFERROR(INDEX(Database_repro!$A:$F, MATCH($O1631, Database_repro!$A:$A, 0), 5), "Not Found")</f>
        <v>No</v>
      </c>
      <c r="L1631" s="4" t="s">
        <v>17</v>
      </c>
      <c r="M1631" s="1" t="str">
        <f>IFERROR(IF(INDEX(Database_repro!$A:$F, MATCH($O1631, Database_repro!$A:$A, 0), 6)="N","No",IF(INDEX(Database_repro!$A:$F, MATCH($O1631, Database_repro!$A:$A, 0), 6)="Y","Yes","Z")), "Not Found")</f>
        <v>No</v>
      </c>
      <c r="N1631" s="27" t="s">
        <v>605</v>
      </c>
      <c r="O1631" t="s">
        <v>223</v>
      </c>
    </row>
    <row r="1632" spans="1:15" x14ac:dyDescent="0.2">
      <c r="A1632" s="9">
        <v>45418</v>
      </c>
      <c r="B1632" s="1" t="str">
        <f>IFERROR(VLOOKUP(MID(INDEX(Database_dermo!$A:$I, MATCH($O1632, Database_dermo!$A:$A, 0), 2),20,3),Notes!A$1:C$9,3,TRUE), "Not Found")</f>
        <v>LX-S</v>
      </c>
      <c r="C1632" s="1" t="str">
        <f>IFERROR(RIGHT(INDEX(Database_dermo!$A:$I, MATCH($O1632, Database_dermo!$A:$A, 0), 1),2), "Not Found")</f>
        <v>08</v>
      </c>
      <c r="D1632" s="1">
        <f>IFERROR(VLOOKUP(MID(INDEX(Database_dermo!$A:$I, MATCH($O1632, Database_dermo!$A:$A, 0), 2),20,3),Notes!A$1:C$9,2,TRUE), "Not Found")</f>
        <v>2</v>
      </c>
      <c r="E1632" s="1">
        <f>IFERROR(INDEX(Database_dermo!$A:$I, MATCH($O1632, Database_dermo!$A:$A, 0), 3), "Not Found")</f>
        <v>62.38</v>
      </c>
      <c r="F1632" s="1" t="str">
        <f>IFERROR(INDEX(Database_repro!$A:$F, MATCH($O1632, Database_repro!$A:$A, 0), 3), "Not Found")</f>
        <v>F</v>
      </c>
      <c r="G1632" s="1">
        <f>IFERROR(INDEX(Database_repro!$A:$F, MATCH($O1632, Database_repro!$A:$A, 0), 4), "Not Found")</f>
        <v>2</v>
      </c>
      <c r="H1632" s="1" t="s">
        <v>16</v>
      </c>
      <c r="I1632" s="1" t="s">
        <v>16</v>
      </c>
      <c r="J1632" s="1" t="s">
        <v>16</v>
      </c>
      <c r="K1632" s="1" t="str">
        <f>IFERROR(INDEX(Database_repro!$A:$F, MATCH($O1632, Database_repro!$A:$A, 0), 5), "Not Found")</f>
        <v>No</v>
      </c>
      <c r="L1632" s="4" t="s">
        <v>17</v>
      </c>
      <c r="M1632" s="1" t="str">
        <f>IFERROR(IF(INDEX(Database_repro!$A:$F, MATCH($O1632, Database_repro!$A:$A, 0), 6)="N","No",IF(INDEX(Database_repro!$A:$F, MATCH($O1632, Database_repro!$A:$A, 0), 6)="Y","Yes","Z")), "Not Found")</f>
        <v>No</v>
      </c>
      <c r="N1632" s="27" t="s">
        <v>605</v>
      </c>
      <c r="O1632" t="s">
        <v>225</v>
      </c>
    </row>
    <row r="1633" spans="1:15" x14ac:dyDescent="0.2">
      <c r="A1633" s="9">
        <v>45418</v>
      </c>
      <c r="B1633" s="1" t="str">
        <f>IFERROR(VLOOKUP(MID(INDEX(Database_dermo!$A:$I, MATCH($O1633, Database_dermo!$A:$A, 0), 2),20,3),Notes!A$1:C$9,3,TRUE), "Not Found")</f>
        <v>LX-S</v>
      </c>
      <c r="C1633" s="1" t="str">
        <f>IFERROR(RIGHT(INDEX(Database_dermo!$A:$I, MATCH($O1633, Database_dermo!$A:$A, 0), 1),2), "Not Found")</f>
        <v>09</v>
      </c>
      <c r="D1633" s="1">
        <f>IFERROR(VLOOKUP(MID(INDEX(Database_dermo!$A:$I, MATCH($O1633, Database_dermo!$A:$A, 0), 2),20,3),Notes!A$1:C$9,2,TRUE), "Not Found")</f>
        <v>2</v>
      </c>
      <c r="E1633" s="1">
        <f>IFERROR(INDEX(Database_dermo!$A:$I, MATCH($O1633, Database_dermo!$A:$A, 0), 3), "Not Found")</f>
        <v>61.94</v>
      </c>
      <c r="F1633" s="1" t="str">
        <f>IFERROR(INDEX(Database_repro!$A:$F, MATCH($O1633, Database_repro!$A:$A, 0), 3), "Not Found")</f>
        <v>Z</v>
      </c>
      <c r="G1633" s="1">
        <f>IFERROR(INDEX(Database_repro!$A:$F, MATCH($O1633, Database_repro!$A:$A, 0), 4), "Not Found")</f>
        <v>4</v>
      </c>
      <c r="H1633" s="1" t="s">
        <v>16</v>
      </c>
      <c r="I1633" s="1" t="s">
        <v>16</v>
      </c>
      <c r="J1633" s="1" t="s">
        <v>16</v>
      </c>
      <c r="K1633" s="1" t="str">
        <f>IFERROR(INDEX(Database_repro!$A:$F, MATCH($O1633, Database_repro!$A:$A, 0), 5), "Not Found")</f>
        <v>No</v>
      </c>
      <c r="L1633" s="4" t="s">
        <v>17</v>
      </c>
      <c r="M1633" s="1" t="str">
        <f>IFERROR(IF(INDEX(Database_repro!$A:$F, MATCH($O1633, Database_repro!$A:$A, 0), 6)="N","No",IF(INDEX(Database_repro!$A:$F, MATCH($O1633, Database_repro!$A:$A, 0), 6)="Y","Yes","Z")), "Not Found")</f>
        <v>No</v>
      </c>
      <c r="N1633" s="27" t="s">
        <v>605</v>
      </c>
      <c r="O1633" t="s">
        <v>226</v>
      </c>
    </row>
    <row r="1634" spans="1:15" x14ac:dyDescent="0.2">
      <c r="A1634" s="9">
        <v>45418</v>
      </c>
      <c r="B1634" s="1" t="str">
        <f>IFERROR(VLOOKUP(MID(INDEX(Database_dermo!$A:$I, MATCH($O1634, Database_dermo!$A:$A, 0), 2),20,3),Notes!A$1:C$9,3,TRUE), "Not Found")</f>
        <v>LX-S</v>
      </c>
      <c r="C1634" s="1" t="str">
        <f>IFERROR(RIGHT(INDEX(Database_dermo!$A:$I, MATCH($O1634, Database_dermo!$A:$A, 0), 1),2), "Not Found")</f>
        <v>10</v>
      </c>
      <c r="D1634" s="1">
        <f>IFERROR(VLOOKUP(MID(INDEX(Database_dermo!$A:$I, MATCH($O1634, Database_dermo!$A:$A, 0), 2),20,3),Notes!A$1:C$9,2,TRUE), "Not Found")</f>
        <v>2</v>
      </c>
      <c r="E1634" s="1">
        <f>IFERROR(INDEX(Database_dermo!$A:$I, MATCH($O1634, Database_dermo!$A:$A, 0), 3), "Not Found")</f>
        <v>50.44</v>
      </c>
      <c r="F1634" s="1" t="str">
        <f>IFERROR(INDEX(Database_repro!$A:$F, MATCH($O1634, Database_repro!$A:$A, 0), 3), "Not Found")</f>
        <v>Z</v>
      </c>
      <c r="G1634" s="1" t="str">
        <f>IFERROR(INDEX(Database_repro!$A:$F, MATCH($O1634, Database_repro!$A:$A, 0), 4), "Not Found")</f>
        <v>Z</v>
      </c>
      <c r="H1634" s="1" t="s">
        <v>16</v>
      </c>
      <c r="I1634" s="1" t="s">
        <v>16</v>
      </c>
      <c r="J1634" s="1" t="s">
        <v>16</v>
      </c>
      <c r="K1634" s="1" t="str">
        <f>IFERROR(INDEX(Database_repro!$A:$F, MATCH($O1634, Database_repro!$A:$A, 0), 5), "Not Found")</f>
        <v>Buceph</v>
      </c>
      <c r="L1634" s="4" t="s">
        <v>17</v>
      </c>
      <c r="M1634" s="1" t="str">
        <f>IFERROR(IF(INDEX(Database_repro!$A:$F, MATCH($O1634, Database_repro!$A:$A, 0), 6)="N","No",IF(INDEX(Database_repro!$A:$F, MATCH($O1634, Database_repro!$A:$A, 0), 6)="Y","Yes","Z")), "Not Found")</f>
        <v>No</v>
      </c>
      <c r="N1634" s="27" t="s">
        <v>605</v>
      </c>
      <c r="O1634" t="s">
        <v>228</v>
      </c>
    </row>
    <row r="1635" spans="1:15" x14ac:dyDescent="0.2">
      <c r="A1635" s="9">
        <v>45418</v>
      </c>
      <c r="B1635" s="1" t="str">
        <f>IFERROR(VLOOKUP(MID(INDEX(Database_dermo!$A:$I, MATCH($O1635, Database_dermo!$A:$A, 0), 2),20,3),Notes!A$1:C$9,3,TRUE), "Not Found")</f>
        <v>LX-S</v>
      </c>
      <c r="C1635" s="1" t="str">
        <f>IFERROR(RIGHT(INDEX(Database_dermo!$A:$I, MATCH($O1635, Database_dermo!$A:$A, 0), 1),2), "Not Found")</f>
        <v>11</v>
      </c>
      <c r="D1635" s="1">
        <f>IFERROR(VLOOKUP(MID(INDEX(Database_dermo!$A:$I, MATCH($O1635, Database_dermo!$A:$A, 0), 2),20,3),Notes!A$1:C$9,2,TRUE), "Not Found")</f>
        <v>3</v>
      </c>
      <c r="E1635" s="1">
        <f>IFERROR(INDEX(Database_dermo!$A:$I, MATCH($O1635, Database_dermo!$A:$A, 0), 3), "Not Found")</f>
        <v>37.24</v>
      </c>
      <c r="F1635" s="1" t="str">
        <f>IFERROR(INDEX(Database_repro!$A:$F, MATCH($O1635, Database_repro!$A:$A, 0), 3), "Not Found")</f>
        <v>M</v>
      </c>
      <c r="G1635" s="1">
        <f>IFERROR(INDEX(Database_repro!$A:$F, MATCH($O1635, Database_repro!$A:$A, 0), 4), "Not Found")</f>
        <v>2</v>
      </c>
      <c r="H1635" s="1" t="s">
        <v>16</v>
      </c>
      <c r="I1635" s="1" t="s">
        <v>16</v>
      </c>
      <c r="J1635" s="1" t="s">
        <v>16</v>
      </c>
      <c r="K1635" s="1" t="str">
        <f>IFERROR(INDEX(Database_repro!$A:$F, MATCH($O1635, Database_repro!$A:$A, 0), 5), "Not Found")</f>
        <v>No</v>
      </c>
      <c r="L1635" s="4" t="s">
        <v>17</v>
      </c>
      <c r="M1635" s="1" t="str">
        <f>IFERROR(IF(INDEX(Database_repro!$A:$F, MATCH($O1635, Database_repro!$A:$A, 0), 6)="N","No",IF(INDEX(Database_repro!$A:$F, MATCH($O1635, Database_repro!$A:$A, 0), 6)="Y","Yes","Z")), "Not Found")</f>
        <v>No</v>
      </c>
      <c r="N1635" s="27" t="s">
        <v>605</v>
      </c>
      <c r="O1635" t="s">
        <v>229</v>
      </c>
    </row>
    <row r="1636" spans="1:15" x14ac:dyDescent="0.2">
      <c r="A1636" s="9">
        <v>45418</v>
      </c>
      <c r="B1636" s="1" t="str">
        <f>IFERROR(VLOOKUP(MID(INDEX(Database_dermo!$A:$I, MATCH($O1636, Database_dermo!$A:$A, 0), 2),20,3),Notes!A$1:C$9,3,TRUE), "Not Found")</f>
        <v>LX-S</v>
      </c>
      <c r="C1636" s="1" t="str">
        <f>IFERROR(RIGHT(INDEX(Database_dermo!$A:$I, MATCH($O1636, Database_dermo!$A:$A, 0), 1),2), "Not Found")</f>
        <v>12</v>
      </c>
      <c r="D1636" s="1">
        <f>IFERROR(VLOOKUP(MID(INDEX(Database_dermo!$A:$I, MATCH($O1636, Database_dermo!$A:$A, 0), 2),20,3),Notes!A$1:C$9,2,TRUE), "Not Found")</f>
        <v>3</v>
      </c>
      <c r="E1636" s="1">
        <f>IFERROR(INDEX(Database_dermo!$A:$I, MATCH($O1636, Database_dermo!$A:$A, 0), 3), "Not Found")</f>
        <v>76.12</v>
      </c>
      <c r="F1636" s="1" t="str">
        <f>IFERROR(INDEX(Database_repro!$A:$F, MATCH($O1636, Database_repro!$A:$A, 0), 3), "Not Found")</f>
        <v>F</v>
      </c>
      <c r="G1636" s="1">
        <f>IFERROR(INDEX(Database_repro!$A:$F, MATCH($O1636, Database_repro!$A:$A, 0), 4), "Not Found")</f>
        <v>2</v>
      </c>
      <c r="H1636" s="1" t="s">
        <v>16</v>
      </c>
      <c r="I1636" s="1" t="s">
        <v>16</v>
      </c>
      <c r="J1636" s="1" t="s">
        <v>16</v>
      </c>
      <c r="K1636" s="1" t="str">
        <f>IFERROR(INDEX(Database_repro!$A:$F, MATCH($O1636, Database_repro!$A:$A, 0), 5), "Not Found")</f>
        <v>No</v>
      </c>
      <c r="L1636" s="4" t="s">
        <v>17</v>
      </c>
      <c r="M1636" s="1" t="str">
        <f>IFERROR(IF(INDEX(Database_repro!$A:$F, MATCH($O1636, Database_repro!$A:$A, 0), 6)="N","No",IF(INDEX(Database_repro!$A:$F, MATCH($O1636, Database_repro!$A:$A, 0), 6)="Y","Yes","Z")), "Not Found")</f>
        <v>No</v>
      </c>
      <c r="N1636" s="27" t="s">
        <v>605</v>
      </c>
      <c r="O1636" t="s">
        <v>232</v>
      </c>
    </row>
    <row r="1637" spans="1:15" x14ac:dyDescent="0.2">
      <c r="A1637" s="9">
        <v>45418</v>
      </c>
      <c r="B1637" s="1" t="str">
        <f>IFERROR(VLOOKUP(MID(INDEX(Database_dermo!$A:$I, MATCH($O1637, Database_dermo!$A:$A, 0), 2),20,3),Notes!A$1:C$9,3,TRUE), "Not Found")</f>
        <v>LX-S</v>
      </c>
      <c r="C1637" s="1" t="str">
        <f>IFERROR(RIGHT(INDEX(Database_dermo!$A:$I, MATCH($O1637, Database_dermo!$A:$A, 0), 1),2), "Not Found")</f>
        <v>13</v>
      </c>
      <c r="D1637" s="1">
        <f>IFERROR(VLOOKUP(MID(INDEX(Database_dermo!$A:$I, MATCH($O1637, Database_dermo!$A:$A, 0), 2),20,3),Notes!A$1:C$9,2,TRUE), "Not Found")</f>
        <v>3</v>
      </c>
      <c r="E1637" s="1">
        <f>IFERROR(INDEX(Database_dermo!$A:$I, MATCH($O1637, Database_dermo!$A:$A, 0), 3), "Not Found")</f>
        <v>51.89</v>
      </c>
      <c r="F1637" s="1" t="str">
        <f>IFERROR(INDEX(Database_repro!$A:$F, MATCH($O1637, Database_repro!$A:$A, 0), 3), "Not Found")</f>
        <v>M</v>
      </c>
      <c r="G1637" s="1">
        <f>IFERROR(INDEX(Database_repro!$A:$F, MATCH($O1637, Database_repro!$A:$A, 0), 4), "Not Found")</f>
        <v>2</v>
      </c>
      <c r="H1637" s="1" t="s">
        <v>16</v>
      </c>
      <c r="I1637" s="1" t="s">
        <v>16</v>
      </c>
      <c r="J1637" s="1" t="s">
        <v>16</v>
      </c>
      <c r="K1637" s="1" t="str">
        <f>IFERROR(INDEX(Database_repro!$A:$F, MATCH($O1637, Database_repro!$A:$A, 0), 5), "Not Found")</f>
        <v>No</v>
      </c>
      <c r="L1637" s="4" t="s">
        <v>17</v>
      </c>
      <c r="M1637" s="1" t="str">
        <f>IFERROR(IF(INDEX(Database_repro!$A:$F, MATCH($O1637, Database_repro!$A:$A, 0), 6)="N","No",IF(INDEX(Database_repro!$A:$F, MATCH($O1637, Database_repro!$A:$A, 0), 6)="Y","Yes","Z")), "Not Found")</f>
        <v>No</v>
      </c>
      <c r="N1637" s="27" t="s">
        <v>605</v>
      </c>
      <c r="O1637" t="s">
        <v>233</v>
      </c>
    </row>
    <row r="1638" spans="1:15" x14ac:dyDescent="0.2">
      <c r="A1638" s="9">
        <v>45418</v>
      </c>
      <c r="B1638" s="1" t="str">
        <f>IFERROR(VLOOKUP(MID(INDEX(Database_dermo!$A:$I, MATCH($O1638, Database_dermo!$A:$A, 0), 2),20,3),Notes!A$1:C$9,3,TRUE), "Not Found")</f>
        <v>LX-S</v>
      </c>
      <c r="C1638" s="1" t="str">
        <f>IFERROR(RIGHT(INDEX(Database_dermo!$A:$I, MATCH($O1638, Database_dermo!$A:$A, 0), 1),2), "Not Found")</f>
        <v>14</v>
      </c>
      <c r="D1638" s="1">
        <f>IFERROR(VLOOKUP(MID(INDEX(Database_dermo!$A:$I, MATCH($O1638, Database_dermo!$A:$A, 0), 2),20,3),Notes!A$1:C$9,2,TRUE), "Not Found")</f>
        <v>3</v>
      </c>
      <c r="E1638" s="1">
        <f>IFERROR(INDEX(Database_dermo!$A:$I, MATCH($O1638, Database_dermo!$A:$A, 0), 3), "Not Found")</f>
        <v>40.11</v>
      </c>
      <c r="F1638" s="1" t="str">
        <f>IFERROR(INDEX(Database_repro!$A:$F, MATCH($O1638, Database_repro!$A:$A, 0), 3), "Not Found")</f>
        <v>M</v>
      </c>
      <c r="G1638" s="1">
        <f>IFERROR(INDEX(Database_repro!$A:$F, MATCH($O1638, Database_repro!$A:$A, 0), 4), "Not Found")</f>
        <v>2</v>
      </c>
      <c r="H1638" s="1" t="s">
        <v>16</v>
      </c>
      <c r="I1638" s="1" t="s">
        <v>16</v>
      </c>
      <c r="J1638" s="1" t="s">
        <v>16</v>
      </c>
      <c r="K1638" s="1" t="str">
        <f>IFERROR(INDEX(Database_repro!$A:$F, MATCH($O1638, Database_repro!$A:$A, 0), 5), "Not Found")</f>
        <v>No</v>
      </c>
      <c r="L1638" s="4" t="s">
        <v>17</v>
      </c>
      <c r="M1638" s="1" t="str">
        <f>IFERROR(IF(INDEX(Database_repro!$A:$F, MATCH($O1638, Database_repro!$A:$A, 0), 6)="N","No",IF(INDEX(Database_repro!$A:$F, MATCH($O1638, Database_repro!$A:$A, 0), 6)="Y","Yes","Z")), "Not Found")</f>
        <v>No</v>
      </c>
      <c r="N1638" s="27" t="s">
        <v>605</v>
      </c>
      <c r="O1638" t="s">
        <v>234</v>
      </c>
    </row>
    <row r="1639" spans="1:15" x14ac:dyDescent="0.2">
      <c r="A1639" s="9">
        <v>45418</v>
      </c>
      <c r="B1639" s="1" t="str">
        <f>IFERROR(VLOOKUP(MID(INDEX(Database_dermo!$A:$I, MATCH($O1639, Database_dermo!$A:$A, 0), 2),20,3),Notes!A$1:C$9,3,TRUE), "Not Found")</f>
        <v>LX-S</v>
      </c>
      <c r="C1639" s="1" t="str">
        <f>IFERROR(RIGHT(INDEX(Database_dermo!$A:$I, MATCH($O1639, Database_dermo!$A:$A, 0), 1),2), "Not Found")</f>
        <v>15</v>
      </c>
      <c r="D1639" s="1">
        <f>IFERROR(VLOOKUP(MID(INDEX(Database_dermo!$A:$I, MATCH($O1639, Database_dermo!$A:$A, 0), 2),20,3),Notes!A$1:C$9,2,TRUE), "Not Found")</f>
        <v>3</v>
      </c>
      <c r="E1639" s="1">
        <f>IFERROR(INDEX(Database_dermo!$A:$I, MATCH($O1639, Database_dermo!$A:$A, 0), 3), "Not Found")</f>
        <v>57.81</v>
      </c>
      <c r="F1639" s="1" t="str">
        <f>IFERROR(INDEX(Database_repro!$A:$F, MATCH($O1639, Database_repro!$A:$A, 0), 3), "Not Found")</f>
        <v>F</v>
      </c>
      <c r="G1639" s="1">
        <f>IFERROR(INDEX(Database_repro!$A:$F, MATCH($O1639, Database_repro!$A:$A, 0), 4), "Not Found")</f>
        <v>2</v>
      </c>
      <c r="H1639" s="1" t="s">
        <v>16</v>
      </c>
      <c r="I1639" s="1" t="s">
        <v>16</v>
      </c>
      <c r="J1639" s="1" t="s">
        <v>16</v>
      </c>
      <c r="K1639" s="1" t="str">
        <f>IFERROR(INDEX(Database_repro!$A:$F, MATCH($O1639, Database_repro!$A:$A, 0), 5), "Not Found")</f>
        <v>No</v>
      </c>
      <c r="L1639" s="4" t="s">
        <v>17</v>
      </c>
      <c r="M1639" s="1" t="str">
        <f>IFERROR(IF(INDEX(Database_repro!$A:$F, MATCH($O1639, Database_repro!$A:$A, 0), 6)="N","No",IF(INDEX(Database_repro!$A:$F, MATCH($O1639, Database_repro!$A:$A, 0), 6)="Y","Yes","Z")), "Not Found")</f>
        <v>No</v>
      </c>
      <c r="N1639" s="27" t="s">
        <v>605</v>
      </c>
      <c r="O1639" t="s">
        <v>235</v>
      </c>
    </row>
    <row r="1640" spans="1:15" x14ac:dyDescent="0.2">
      <c r="A1640" s="9">
        <v>45446</v>
      </c>
      <c r="B1640" s="1" t="str">
        <f>IFERROR(VLOOKUP(MID(INDEX(Database_dermo!$A:$I, MATCH($O1640, Database_dermo!$A:$A, 0), 2),20,3),Notes!A$1:C$9,3,TRUE), "Not Found")</f>
        <v>LX-S</v>
      </c>
      <c r="C1640" s="1" t="str">
        <f>IFERROR(RIGHT(INDEX(Database_dermo!$A:$I, MATCH($O1640, Database_dermo!$A:$A, 0), 1),2), "Not Found")</f>
        <v>01</v>
      </c>
      <c r="D1640" s="1">
        <f>IFERROR(VLOOKUP(MID(INDEX(Database_dermo!$A:$I, MATCH($O1640, Database_dermo!$A:$A, 0), 2),20,3),Notes!A$1:C$9,2,TRUE), "Not Found")</f>
        <v>1</v>
      </c>
      <c r="E1640" s="1">
        <f>IFERROR(INDEX(Database_dermo!$A:$I, MATCH($O1640, Database_dermo!$A:$A, 0), 3), "Not Found")</f>
        <v>38.76</v>
      </c>
      <c r="F1640" s="1" t="str">
        <f>IFERROR(INDEX(Database_repro!$A:$F, MATCH($O1640, Database_repro!$A:$A, 0), 3), "Not Found")</f>
        <v>M</v>
      </c>
      <c r="G1640" s="1">
        <f>IFERROR(INDEX(Database_repro!$A:$F, MATCH($O1640, Database_repro!$A:$A, 0), 4), "Not Found")</f>
        <v>2</v>
      </c>
      <c r="H1640" s="1" t="s">
        <v>16</v>
      </c>
      <c r="I1640" s="1" t="s">
        <v>16</v>
      </c>
      <c r="J1640" s="1" t="s">
        <v>16</v>
      </c>
      <c r="K1640" s="1" t="str">
        <f>IFERROR(INDEX(Database_repro!$A:$F, MATCH($O1640, Database_repro!$A:$A, 0), 5), "Not Found")</f>
        <v>No</v>
      </c>
      <c r="L1640" s="4" t="s">
        <v>17</v>
      </c>
      <c r="M1640" s="1" t="str">
        <f>IFERROR(IF(INDEX(Database_repro!$A:$F, MATCH($O1640, Database_repro!$A:$A, 0), 6)="N","No",IF(INDEX(Database_repro!$A:$F, MATCH($O1640, Database_repro!$A:$A, 0), 6)="Y","Yes","Z")), "Not Found")</f>
        <v>No</v>
      </c>
      <c r="N1640" s="27" t="s">
        <v>605</v>
      </c>
      <c r="O1640" t="s">
        <v>236</v>
      </c>
    </row>
    <row r="1641" spans="1:15" x14ac:dyDescent="0.2">
      <c r="A1641" s="9">
        <v>45446</v>
      </c>
      <c r="B1641" s="1" t="str">
        <f>IFERROR(VLOOKUP(MID(INDEX(Database_dermo!$A:$I, MATCH($O1641, Database_dermo!$A:$A, 0), 2),20,3),Notes!A$1:C$9,3,TRUE), "Not Found")</f>
        <v>LX-S</v>
      </c>
      <c r="C1641" s="1" t="str">
        <f>IFERROR(RIGHT(INDEX(Database_dermo!$A:$I, MATCH($O1641, Database_dermo!$A:$A, 0), 1),2), "Not Found")</f>
        <v>02</v>
      </c>
      <c r="D1641" s="1">
        <f>IFERROR(VLOOKUP(MID(INDEX(Database_dermo!$A:$I, MATCH($O1641, Database_dermo!$A:$A, 0), 2),20,3),Notes!A$1:C$9,2,TRUE), "Not Found")</f>
        <v>1</v>
      </c>
      <c r="E1641" s="1">
        <f>IFERROR(INDEX(Database_dermo!$A:$I, MATCH($O1641, Database_dermo!$A:$A, 0), 3), "Not Found")</f>
        <v>60.18</v>
      </c>
      <c r="F1641" s="1" t="str">
        <f>IFERROR(INDEX(Database_repro!$A:$F, MATCH($O1641, Database_repro!$A:$A, 0), 3), "Not Found")</f>
        <v>M</v>
      </c>
      <c r="G1641" s="1">
        <f>IFERROR(INDEX(Database_repro!$A:$F, MATCH($O1641, Database_repro!$A:$A, 0), 4), "Not Found")</f>
        <v>2</v>
      </c>
      <c r="H1641" s="1" t="s">
        <v>16</v>
      </c>
      <c r="I1641" s="1" t="s">
        <v>16</v>
      </c>
      <c r="J1641" s="1" t="s">
        <v>16</v>
      </c>
      <c r="K1641" s="1" t="str">
        <f>IFERROR(INDEX(Database_repro!$A:$F, MATCH($O1641, Database_repro!$A:$A, 0), 5), "Not Found")</f>
        <v>No</v>
      </c>
      <c r="L1641" s="4" t="s">
        <v>17</v>
      </c>
      <c r="M1641" s="1" t="str">
        <f>IFERROR(IF(INDEX(Database_repro!$A:$F, MATCH($O1641, Database_repro!$A:$A, 0), 6)="N","No",IF(INDEX(Database_repro!$A:$F, MATCH($O1641, Database_repro!$A:$A, 0), 6)="Y","Yes","Z")), "Not Found")</f>
        <v>No</v>
      </c>
      <c r="N1641" s="27" t="s">
        <v>605</v>
      </c>
      <c r="O1641" t="s">
        <v>238</v>
      </c>
    </row>
    <row r="1642" spans="1:15" x14ac:dyDescent="0.2">
      <c r="A1642" s="9">
        <v>45446</v>
      </c>
      <c r="B1642" s="1" t="str">
        <f>IFERROR(VLOOKUP(MID(INDEX(Database_dermo!$A:$I, MATCH($O1642, Database_dermo!$A:$A, 0), 2),20,3),Notes!A$1:C$9,3,TRUE), "Not Found")</f>
        <v>LX-S</v>
      </c>
      <c r="C1642" s="1" t="str">
        <f>IFERROR(RIGHT(INDEX(Database_dermo!$A:$I, MATCH($O1642, Database_dermo!$A:$A, 0), 1),2), "Not Found")</f>
        <v>03</v>
      </c>
      <c r="D1642" s="1">
        <f>IFERROR(VLOOKUP(MID(INDEX(Database_dermo!$A:$I, MATCH($O1642, Database_dermo!$A:$A, 0), 2),20,3),Notes!A$1:C$9,2,TRUE), "Not Found")</f>
        <v>1</v>
      </c>
      <c r="E1642" s="1">
        <f>IFERROR(INDEX(Database_dermo!$A:$I, MATCH($O1642, Database_dermo!$A:$A, 0), 3), "Not Found")</f>
        <v>41.42</v>
      </c>
      <c r="F1642" s="1" t="str">
        <f>IFERROR(INDEX(Database_repro!$A:$F, MATCH($O1642, Database_repro!$A:$A, 0), 3), "Not Found")</f>
        <v>Z</v>
      </c>
      <c r="G1642" s="1">
        <f>IFERROR(INDEX(Database_repro!$A:$F, MATCH($O1642, Database_repro!$A:$A, 0), 4), "Not Found")</f>
        <v>4</v>
      </c>
      <c r="H1642" s="1" t="s">
        <v>16</v>
      </c>
      <c r="I1642" s="1" t="s">
        <v>16</v>
      </c>
      <c r="J1642" s="1" t="s">
        <v>16</v>
      </c>
      <c r="K1642" s="1" t="str">
        <f>IFERROR(INDEX(Database_repro!$A:$F, MATCH($O1642, Database_repro!$A:$A, 0), 5), "Not Found")</f>
        <v>No</v>
      </c>
      <c r="L1642" s="4" t="s">
        <v>17</v>
      </c>
      <c r="M1642" s="1" t="str">
        <f>IFERROR(IF(INDEX(Database_repro!$A:$F, MATCH($O1642, Database_repro!$A:$A, 0), 6)="N","No",IF(INDEX(Database_repro!$A:$F, MATCH($O1642, Database_repro!$A:$A, 0), 6)="Y","Yes","Z")), "Not Found")</f>
        <v>No</v>
      </c>
      <c r="N1642" s="27" t="s">
        <v>605</v>
      </c>
      <c r="O1642" t="s">
        <v>239</v>
      </c>
    </row>
    <row r="1643" spans="1:15" x14ac:dyDescent="0.2">
      <c r="A1643" s="9">
        <v>45446</v>
      </c>
      <c r="B1643" s="1" t="str">
        <f>IFERROR(VLOOKUP(MID(INDEX(Database_dermo!$A:$I, MATCH($O1643, Database_dermo!$A:$A, 0), 2),20,3),Notes!A$1:C$9,3,TRUE), "Not Found")</f>
        <v>LX-S</v>
      </c>
      <c r="C1643" s="1" t="str">
        <f>IFERROR(RIGHT(INDEX(Database_dermo!$A:$I, MATCH($O1643, Database_dermo!$A:$A, 0), 1),2), "Not Found")</f>
        <v>04</v>
      </c>
      <c r="D1643" s="1">
        <f>IFERROR(VLOOKUP(MID(INDEX(Database_dermo!$A:$I, MATCH($O1643, Database_dermo!$A:$A, 0), 2),20,3),Notes!A$1:C$9,2,TRUE), "Not Found")</f>
        <v>1</v>
      </c>
      <c r="E1643" s="1">
        <f>IFERROR(INDEX(Database_dermo!$A:$I, MATCH($O1643, Database_dermo!$A:$A, 0), 3), "Not Found")</f>
        <v>54.62</v>
      </c>
      <c r="F1643" s="1" t="str">
        <f>IFERROR(INDEX(Database_repro!$A:$F, MATCH($O1643, Database_repro!$A:$A, 0), 3), "Not Found")</f>
        <v>F</v>
      </c>
      <c r="G1643" s="1">
        <f>IFERROR(INDEX(Database_repro!$A:$F, MATCH($O1643, Database_repro!$A:$A, 0), 4), "Not Found")</f>
        <v>2</v>
      </c>
      <c r="H1643" s="1" t="s">
        <v>16</v>
      </c>
      <c r="I1643" s="1" t="s">
        <v>16</v>
      </c>
      <c r="J1643" s="1" t="s">
        <v>16</v>
      </c>
      <c r="K1643" s="1" t="str">
        <f>IFERROR(INDEX(Database_repro!$A:$F, MATCH($O1643, Database_repro!$A:$A, 0), 5), "Not Found")</f>
        <v>Yes</v>
      </c>
      <c r="L1643" s="4" t="s">
        <v>17</v>
      </c>
      <c r="M1643" s="1" t="str">
        <f>IFERROR(IF(INDEX(Database_repro!$A:$F, MATCH($O1643, Database_repro!$A:$A, 0), 6)="N","No",IF(INDEX(Database_repro!$A:$F, MATCH($O1643, Database_repro!$A:$A, 0), 6)="Y","Yes","Z")), "Not Found")</f>
        <v>No</v>
      </c>
      <c r="N1643" s="27" t="s">
        <v>605</v>
      </c>
      <c r="O1643" t="s">
        <v>241</v>
      </c>
    </row>
    <row r="1644" spans="1:15" x14ac:dyDescent="0.2">
      <c r="A1644" s="9">
        <v>45446</v>
      </c>
      <c r="B1644" s="1" t="str">
        <f>IFERROR(VLOOKUP(MID(INDEX(Database_dermo!$A:$I, MATCH($O1644, Database_dermo!$A:$A, 0), 2),20,3),Notes!A$1:C$9,3,TRUE), "Not Found")</f>
        <v>LX-S</v>
      </c>
      <c r="C1644" s="1" t="str">
        <f>IFERROR(RIGHT(INDEX(Database_dermo!$A:$I, MATCH($O1644, Database_dermo!$A:$A, 0), 1),2), "Not Found")</f>
        <v>05</v>
      </c>
      <c r="D1644" s="1">
        <f>IFERROR(VLOOKUP(MID(INDEX(Database_dermo!$A:$I, MATCH($O1644, Database_dermo!$A:$A, 0), 2),20,3),Notes!A$1:C$9,2,TRUE), "Not Found")</f>
        <v>1</v>
      </c>
      <c r="E1644" s="1">
        <f>IFERROR(INDEX(Database_dermo!$A:$I, MATCH($O1644, Database_dermo!$A:$A, 0), 3), "Not Found")</f>
        <v>43.48</v>
      </c>
      <c r="F1644" s="1" t="str">
        <f>IFERROR(INDEX(Database_repro!$A:$F, MATCH($O1644, Database_repro!$A:$A, 0), 3), "Not Found")</f>
        <v>Z</v>
      </c>
      <c r="G1644" s="1">
        <f>IFERROR(INDEX(Database_repro!$A:$F, MATCH($O1644, Database_repro!$A:$A, 0), 4), "Not Found")</f>
        <v>4</v>
      </c>
      <c r="H1644" s="1" t="s">
        <v>16</v>
      </c>
      <c r="I1644" s="1" t="s">
        <v>16</v>
      </c>
      <c r="J1644" s="1" t="s">
        <v>16</v>
      </c>
      <c r="K1644" s="1" t="str">
        <f>IFERROR(INDEX(Database_repro!$A:$F, MATCH($O1644, Database_repro!$A:$A, 0), 5), "Not Found")</f>
        <v>No</v>
      </c>
      <c r="L1644" s="4" t="s">
        <v>17</v>
      </c>
      <c r="M1644" s="1" t="str">
        <f>IFERROR(IF(INDEX(Database_repro!$A:$F, MATCH($O1644, Database_repro!$A:$A, 0), 6)="N","No",IF(INDEX(Database_repro!$A:$F, MATCH($O1644, Database_repro!$A:$A, 0), 6)="Y","Yes","Z")), "Not Found")</f>
        <v>No</v>
      </c>
      <c r="N1644" s="27" t="s">
        <v>605</v>
      </c>
      <c r="O1644" t="s">
        <v>242</v>
      </c>
    </row>
    <row r="1645" spans="1:15" x14ac:dyDescent="0.2">
      <c r="A1645" s="9">
        <v>45446</v>
      </c>
      <c r="B1645" s="1" t="str">
        <f>IFERROR(VLOOKUP(MID(INDEX(Database_dermo!$A:$I, MATCH($O1645, Database_dermo!$A:$A, 0), 2),20,3),Notes!A$1:C$9,3,TRUE), "Not Found")</f>
        <v>LX-S</v>
      </c>
      <c r="C1645" s="1" t="str">
        <f>IFERROR(RIGHT(INDEX(Database_dermo!$A:$I, MATCH($O1645, Database_dermo!$A:$A, 0), 1),2), "Not Found")</f>
        <v>06</v>
      </c>
      <c r="D1645" s="1">
        <f>IFERROR(VLOOKUP(MID(INDEX(Database_dermo!$A:$I, MATCH($O1645, Database_dermo!$A:$A, 0), 2),20,3),Notes!A$1:C$9,2,TRUE), "Not Found")</f>
        <v>2</v>
      </c>
      <c r="E1645" s="1">
        <f>IFERROR(INDEX(Database_dermo!$A:$I, MATCH($O1645, Database_dermo!$A:$A, 0), 3), "Not Found")</f>
        <v>53.36</v>
      </c>
      <c r="F1645" s="1" t="str">
        <f>IFERROR(INDEX(Database_repro!$A:$F, MATCH($O1645, Database_repro!$A:$A, 0), 3), "Not Found")</f>
        <v>F</v>
      </c>
      <c r="G1645" s="1">
        <f>IFERROR(INDEX(Database_repro!$A:$F, MATCH($O1645, Database_repro!$A:$A, 0), 4), "Not Found")</f>
        <v>2</v>
      </c>
      <c r="H1645" s="1" t="s">
        <v>16</v>
      </c>
      <c r="I1645" s="1" t="s">
        <v>16</v>
      </c>
      <c r="J1645" s="1" t="s">
        <v>16</v>
      </c>
      <c r="K1645" s="1" t="str">
        <f>IFERROR(INDEX(Database_repro!$A:$F, MATCH($O1645, Database_repro!$A:$A, 0), 5), "Not Found")</f>
        <v>No</v>
      </c>
      <c r="L1645" s="4" t="s">
        <v>17</v>
      </c>
      <c r="M1645" s="1" t="str">
        <f>IFERROR(IF(INDEX(Database_repro!$A:$F, MATCH($O1645, Database_repro!$A:$A, 0), 6)="N","No",IF(INDEX(Database_repro!$A:$F, MATCH($O1645, Database_repro!$A:$A, 0), 6)="Y","Yes","Z")), "Not Found")</f>
        <v>No</v>
      </c>
      <c r="N1645" s="27" t="s">
        <v>605</v>
      </c>
      <c r="O1645" t="s">
        <v>244</v>
      </c>
    </row>
    <row r="1646" spans="1:15" x14ac:dyDescent="0.2">
      <c r="A1646" s="9">
        <v>45446</v>
      </c>
      <c r="B1646" s="1" t="str">
        <f>IFERROR(VLOOKUP(MID(INDEX(Database_dermo!$A:$I, MATCH($O1646, Database_dermo!$A:$A, 0), 2),20,3),Notes!A$1:C$9,3,TRUE), "Not Found")</f>
        <v>LX-S</v>
      </c>
      <c r="C1646" s="1" t="str">
        <f>IFERROR(RIGHT(INDEX(Database_dermo!$A:$I, MATCH($O1646, Database_dermo!$A:$A, 0), 1),2), "Not Found")</f>
        <v>07</v>
      </c>
      <c r="D1646" s="1">
        <f>IFERROR(VLOOKUP(MID(INDEX(Database_dermo!$A:$I, MATCH($O1646, Database_dermo!$A:$A, 0), 2),20,3),Notes!A$1:C$9,2,TRUE), "Not Found")</f>
        <v>2</v>
      </c>
      <c r="E1646" s="1">
        <f>IFERROR(INDEX(Database_dermo!$A:$I, MATCH($O1646, Database_dermo!$A:$A, 0), 3), "Not Found")</f>
        <v>52.74</v>
      </c>
      <c r="F1646" s="1" t="str">
        <f>IFERROR(INDEX(Database_repro!$A:$F, MATCH($O1646, Database_repro!$A:$A, 0), 3), "Not Found")</f>
        <v>M</v>
      </c>
      <c r="G1646" s="1">
        <f>IFERROR(INDEX(Database_repro!$A:$F, MATCH($O1646, Database_repro!$A:$A, 0), 4), "Not Found")</f>
        <v>2</v>
      </c>
      <c r="H1646" s="1" t="s">
        <v>16</v>
      </c>
      <c r="I1646" s="1" t="s">
        <v>16</v>
      </c>
      <c r="J1646" s="1" t="s">
        <v>16</v>
      </c>
      <c r="K1646" s="1" t="str">
        <f>IFERROR(INDEX(Database_repro!$A:$F, MATCH($O1646, Database_repro!$A:$A, 0), 5), "Not Found")</f>
        <v>No</v>
      </c>
      <c r="L1646" s="4" t="s">
        <v>17</v>
      </c>
      <c r="M1646" s="1" t="str">
        <f>IFERROR(IF(INDEX(Database_repro!$A:$F, MATCH($O1646, Database_repro!$A:$A, 0), 6)="N","No",IF(INDEX(Database_repro!$A:$F, MATCH($O1646, Database_repro!$A:$A, 0), 6)="Y","Yes","Z")), "Not Found")</f>
        <v>No</v>
      </c>
      <c r="N1646" s="27" t="s">
        <v>605</v>
      </c>
      <c r="O1646" t="s">
        <v>246</v>
      </c>
    </row>
    <row r="1647" spans="1:15" x14ac:dyDescent="0.2">
      <c r="A1647" s="9">
        <v>45446</v>
      </c>
      <c r="B1647" s="1" t="str">
        <f>IFERROR(VLOOKUP(MID(INDEX(Database_dermo!$A:$I, MATCH($O1647, Database_dermo!$A:$A, 0), 2),20,3),Notes!A$1:C$9,3,TRUE), "Not Found")</f>
        <v>LX-S</v>
      </c>
      <c r="C1647" s="1" t="str">
        <f>IFERROR(RIGHT(INDEX(Database_dermo!$A:$I, MATCH($O1647, Database_dermo!$A:$A, 0), 1),2), "Not Found")</f>
        <v>08</v>
      </c>
      <c r="D1647" s="1">
        <f>IFERROR(VLOOKUP(MID(INDEX(Database_dermo!$A:$I, MATCH($O1647, Database_dermo!$A:$A, 0), 2),20,3),Notes!A$1:C$9,2,TRUE), "Not Found")</f>
        <v>2</v>
      </c>
      <c r="E1647" s="1">
        <f>IFERROR(INDEX(Database_dermo!$A:$I, MATCH($O1647, Database_dermo!$A:$A, 0), 3), "Not Found")</f>
        <v>50.07</v>
      </c>
      <c r="F1647" s="1" t="str">
        <f>IFERROR(INDEX(Database_repro!$A:$F, MATCH($O1647, Database_repro!$A:$A, 0), 3), "Not Found")</f>
        <v>M</v>
      </c>
      <c r="G1647" s="1">
        <f>IFERROR(INDEX(Database_repro!$A:$F, MATCH($O1647, Database_repro!$A:$A, 0), 4), "Not Found")</f>
        <v>2</v>
      </c>
      <c r="H1647" s="1" t="s">
        <v>16</v>
      </c>
      <c r="I1647" s="1" t="s">
        <v>16</v>
      </c>
      <c r="J1647" s="1" t="s">
        <v>16</v>
      </c>
      <c r="K1647" s="1" t="str">
        <f>IFERROR(INDEX(Database_repro!$A:$F, MATCH($O1647, Database_repro!$A:$A, 0), 5), "Not Found")</f>
        <v>No</v>
      </c>
      <c r="L1647" s="4" t="s">
        <v>17</v>
      </c>
      <c r="M1647" s="1" t="str">
        <f>IFERROR(IF(INDEX(Database_repro!$A:$F, MATCH($O1647, Database_repro!$A:$A, 0), 6)="N","No",IF(INDEX(Database_repro!$A:$F, MATCH($O1647, Database_repro!$A:$A, 0), 6)="Y","Yes","Z")), "Not Found")</f>
        <v>No</v>
      </c>
      <c r="N1647" s="27" t="s">
        <v>605</v>
      </c>
      <c r="O1647" t="s">
        <v>247</v>
      </c>
    </row>
    <row r="1648" spans="1:15" x14ac:dyDescent="0.2">
      <c r="A1648" s="9">
        <v>45446</v>
      </c>
      <c r="B1648" s="1" t="str">
        <f>IFERROR(VLOOKUP(MID(INDEX(Database_dermo!$A:$I, MATCH($O1648, Database_dermo!$A:$A, 0), 2),20,3),Notes!A$1:C$9,3,TRUE), "Not Found")</f>
        <v>LX-S</v>
      </c>
      <c r="C1648" s="1" t="str">
        <f>IFERROR(RIGHT(INDEX(Database_dermo!$A:$I, MATCH($O1648, Database_dermo!$A:$A, 0), 1),2), "Not Found")</f>
        <v>09</v>
      </c>
      <c r="D1648" s="1">
        <f>IFERROR(VLOOKUP(MID(INDEX(Database_dermo!$A:$I, MATCH($O1648, Database_dermo!$A:$A, 0), 2),20,3),Notes!A$1:C$9,2,TRUE), "Not Found")</f>
        <v>2</v>
      </c>
      <c r="E1648" s="1">
        <f>IFERROR(INDEX(Database_dermo!$A:$I, MATCH($O1648, Database_dermo!$A:$A, 0), 3), "Not Found")</f>
        <v>51.35</v>
      </c>
      <c r="F1648" s="1" t="str">
        <f>IFERROR(INDEX(Database_repro!$A:$F, MATCH($O1648, Database_repro!$A:$A, 0), 3), "Not Found")</f>
        <v>F</v>
      </c>
      <c r="G1648" s="1">
        <f>IFERROR(INDEX(Database_repro!$A:$F, MATCH($O1648, Database_repro!$A:$A, 0), 4), "Not Found")</f>
        <v>2</v>
      </c>
      <c r="H1648" s="1" t="s">
        <v>16</v>
      </c>
      <c r="I1648" s="1" t="s">
        <v>16</v>
      </c>
      <c r="J1648" s="1" t="s">
        <v>16</v>
      </c>
      <c r="K1648" s="1" t="str">
        <f>IFERROR(INDEX(Database_repro!$A:$F, MATCH($O1648, Database_repro!$A:$A, 0), 5), "Not Found")</f>
        <v>No</v>
      </c>
      <c r="L1648" s="4" t="s">
        <v>17</v>
      </c>
      <c r="M1648" s="1" t="str">
        <f>IFERROR(IF(INDEX(Database_repro!$A:$F, MATCH($O1648, Database_repro!$A:$A, 0), 6)="N","No",IF(INDEX(Database_repro!$A:$F, MATCH($O1648, Database_repro!$A:$A, 0), 6)="Y","Yes","Z")), "Not Found")</f>
        <v>No</v>
      </c>
      <c r="N1648" s="27" t="s">
        <v>605</v>
      </c>
      <c r="O1648" t="s">
        <v>248</v>
      </c>
    </row>
    <row r="1649" spans="1:15" x14ac:dyDescent="0.2">
      <c r="A1649" s="9">
        <v>45446</v>
      </c>
      <c r="B1649" s="1" t="str">
        <f>IFERROR(VLOOKUP(MID(INDEX(Database_dermo!$A:$I, MATCH($O1649, Database_dermo!$A:$A, 0), 2),20,3),Notes!A$1:C$9,3,TRUE), "Not Found")</f>
        <v>LX-S</v>
      </c>
      <c r="C1649" s="1" t="str">
        <f>IFERROR(RIGHT(INDEX(Database_dermo!$A:$I, MATCH($O1649, Database_dermo!$A:$A, 0), 1),2), "Not Found")</f>
        <v>10</v>
      </c>
      <c r="D1649" s="1">
        <f>IFERROR(VLOOKUP(MID(INDEX(Database_dermo!$A:$I, MATCH($O1649, Database_dermo!$A:$A, 0), 2),20,3),Notes!A$1:C$9,2,TRUE), "Not Found")</f>
        <v>2</v>
      </c>
      <c r="E1649" s="1">
        <f>IFERROR(INDEX(Database_dermo!$A:$I, MATCH($O1649, Database_dermo!$A:$A, 0), 3), "Not Found")</f>
        <v>32.08</v>
      </c>
      <c r="F1649" s="1" t="str">
        <f>IFERROR(INDEX(Database_repro!$A:$F, MATCH($O1649, Database_repro!$A:$A, 0), 3), "Not Found")</f>
        <v>M</v>
      </c>
      <c r="G1649" s="1">
        <f>IFERROR(INDEX(Database_repro!$A:$F, MATCH($O1649, Database_repro!$A:$A, 0), 4), "Not Found")</f>
        <v>2</v>
      </c>
      <c r="H1649" s="1" t="s">
        <v>16</v>
      </c>
      <c r="I1649" s="1" t="s">
        <v>16</v>
      </c>
      <c r="J1649" s="1" t="s">
        <v>16</v>
      </c>
      <c r="K1649" s="1" t="str">
        <f>IFERROR(INDEX(Database_repro!$A:$F, MATCH($O1649, Database_repro!$A:$A, 0), 5), "Not Found")</f>
        <v>No</v>
      </c>
      <c r="L1649" s="4" t="s">
        <v>17</v>
      </c>
      <c r="M1649" s="1" t="str">
        <f>IFERROR(IF(INDEX(Database_repro!$A:$F, MATCH($O1649, Database_repro!$A:$A, 0), 6)="N","No",IF(INDEX(Database_repro!$A:$F, MATCH($O1649, Database_repro!$A:$A, 0), 6)="Y","Yes","Z")), "Not Found")</f>
        <v>No</v>
      </c>
      <c r="N1649" s="27" t="s">
        <v>605</v>
      </c>
      <c r="O1649" t="s">
        <v>249</v>
      </c>
    </row>
    <row r="1650" spans="1:15" x14ac:dyDescent="0.2">
      <c r="A1650" s="9">
        <v>45446</v>
      </c>
      <c r="B1650" s="1" t="str">
        <f>IFERROR(VLOOKUP(MID(INDEX(Database_dermo!$A:$I, MATCH($O1650, Database_dermo!$A:$A, 0), 2),20,3),Notes!A$1:C$9,3,TRUE), "Not Found")</f>
        <v>LX-S</v>
      </c>
      <c r="C1650" s="1" t="str">
        <f>IFERROR(RIGHT(INDEX(Database_dermo!$A:$I, MATCH($O1650, Database_dermo!$A:$A, 0), 1),2), "Not Found")</f>
        <v>11</v>
      </c>
      <c r="D1650" s="1">
        <f>IFERROR(VLOOKUP(MID(INDEX(Database_dermo!$A:$I, MATCH($O1650, Database_dermo!$A:$A, 0), 2),20,3),Notes!A$1:C$9,2,TRUE), "Not Found")</f>
        <v>3</v>
      </c>
      <c r="E1650" s="1">
        <f>IFERROR(INDEX(Database_dermo!$A:$I, MATCH($O1650, Database_dermo!$A:$A, 0), 3), "Not Found")</f>
        <v>43.43</v>
      </c>
      <c r="F1650" s="1" t="str">
        <f>IFERROR(INDEX(Database_repro!$A:$F, MATCH($O1650, Database_repro!$A:$A, 0), 3), "Not Found")</f>
        <v>M</v>
      </c>
      <c r="G1650" s="1">
        <f>IFERROR(INDEX(Database_repro!$A:$F, MATCH($O1650, Database_repro!$A:$A, 0), 4), "Not Found")</f>
        <v>2</v>
      </c>
      <c r="H1650" s="1" t="s">
        <v>16</v>
      </c>
      <c r="I1650" s="1" t="s">
        <v>16</v>
      </c>
      <c r="J1650" s="1" t="s">
        <v>16</v>
      </c>
      <c r="K1650" s="1" t="str">
        <f>IFERROR(INDEX(Database_repro!$A:$F, MATCH($O1650, Database_repro!$A:$A, 0), 5), "Not Found")</f>
        <v>No</v>
      </c>
      <c r="L1650" s="4" t="s">
        <v>17</v>
      </c>
      <c r="M1650" s="1" t="str">
        <f>IFERROR(IF(INDEX(Database_repro!$A:$F, MATCH($O1650, Database_repro!$A:$A, 0), 6)="N","No",IF(INDEX(Database_repro!$A:$F, MATCH($O1650, Database_repro!$A:$A, 0), 6)="Y","Yes","Z")), "Not Found")</f>
        <v>No</v>
      </c>
      <c r="N1650" s="27" t="s">
        <v>605</v>
      </c>
      <c r="O1650" t="s">
        <v>250</v>
      </c>
    </row>
    <row r="1651" spans="1:15" x14ac:dyDescent="0.2">
      <c r="A1651" s="9">
        <v>45446</v>
      </c>
      <c r="B1651" s="1" t="str">
        <f>IFERROR(VLOOKUP(MID(INDEX(Database_dermo!$A:$I, MATCH($O1651, Database_dermo!$A:$A, 0), 2),20,3),Notes!A$1:C$9,3,TRUE), "Not Found")</f>
        <v>LX-S</v>
      </c>
      <c r="C1651" s="1" t="str">
        <f>IFERROR(RIGHT(INDEX(Database_dermo!$A:$I, MATCH($O1651, Database_dermo!$A:$A, 0), 1),2), "Not Found")</f>
        <v>12</v>
      </c>
      <c r="D1651" s="1">
        <f>IFERROR(VLOOKUP(MID(INDEX(Database_dermo!$A:$I, MATCH($O1651, Database_dermo!$A:$A, 0), 2),20,3),Notes!A$1:C$9,2,TRUE), "Not Found")</f>
        <v>3</v>
      </c>
      <c r="E1651" s="1">
        <f>IFERROR(INDEX(Database_dermo!$A:$I, MATCH($O1651, Database_dermo!$A:$A, 0), 3), "Not Found")</f>
        <v>45.3</v>
      </c>
      <c r="F1651" s="1" t="str">
        <f>IFERROR(INDEX(Database_repro!$A:$F, MATCH($O1651, Database_repro!$A:$A, 0), 3), "Not Found")</f>
        <v>M</v>
      </c>
      <c r="G1651" s="1">
        <f>IFERROR(INDEX(Database_repro!$A:$F, MATCH($O1651, Database_repro!$A:$A, 0), 4), "Not Found")</f>
        <v>2</v>
      </c>
      <c r="H1651" s="1" t="s">
        <v>16</v>
      </c>
      <c r="I1651" s="1" t="s">
        <v>16</v>
      </c>
      <c r="J1651" s="1" t="s">
        <v>16</v>
      </c>
      <c r="K1651" s="1" t="str">
        <f>IFERROR(INDEX(Database_repro!$A:$F, MATCH($O1651, Database_repro!$A:$A, 0), 5), "Not Found")</f>
        <v>No</v>
      </c>
      <c r="L1651" s="4" t="s">
        <v>17</v>
      </c>
      <c r="M1651" s="1" t="str">
        <f>IFERROR(IF(INDEX(Database_repro!$A:$F, MATCH($O1651, Database_repro!$A:$A, 0), 6)="N","No",IF(INDEX(Database_repro!$A:$F, MATCH($O1651, Database_repro!$A:$A, 0), 6)="Y","Yes","Z")), "Not Found")</f>
        <v>No</v>
      </c>
      <c r="N1651" s="27" t="s">
        <v>605</v>
      </c>
      <c r="O1651" t="s">
        <v>252</v>
      </c>
    </row>
    <row r="1652" spans="1:15" x14ac:dyDescent="0.2">
      <c r="A1652" s="9">
        <v>45446</v>
      </c>
      <c r="B1652" s="1" t="str">
        <f>IFERROR(VLOOKUP(MID(INDEX(Database_dermo!$A:$I, MATCH($O1652, Database_dermo!$A:$A, 0), 2),20,3),Notes!A$1:C$9,3,TRUE), "Not Found")</f>
        <v>LX-S</v>
      </c>
      <c r="C1652" s="1" t="str">
        <f>IFERROR(RIGHT(INDEX(Database_dermo!$A:$I, MATCH($O1652, Database_dermo!$A:$A, 0), 1),2), "Not Found")</f>
        <v>13</v>
      </c>
      <c r="D1652" s="1">
        <f>IFERROR(VLOOKUP(MID(INDEX(Database_dermo!$A:$I, MATCH($O1652, Database_dermo!$A:$A, 0), 2),20,3),Notes!A$1:C$9,2,TRUE), "Not Found")</f>
        <v>3</v>
      </c>
      <c r="E1652" s="1">
        <f>IFERROR(INDEX(Database_dermo!$A:$I, MATCH($O1652, Database_dermo!$A:$A, 0), 3), "Not Found")</f>
        <v>30.71</v>
      </c>
      <c r="F1652" s="1" t="str">
        <f>IFERROR(INDEX(Database_repro!$A:$F, MATCH($O1652, Database_repro!$A:$A, 0), 3), "Not Found")</f>
        <v>M</v>
      </c>
      <c r="G1652" s="1">
        <f>IFERROR(INDEX(Database_repro!$A:$F, MATCH($O1652, Database_repro!$A:$A, 0), 4), "Not Found")</f>
        <v>2</v>
      </c>
      <c r="H1652" s="1" t="s">
        <v>16</v>
      </c>
      <c r="I1652" s="1" t="s">
        <v>16</v>
      </c>
      <c r="J1652" s="1" t="s">
        <v>16</v>
      </c>
      <c r="K1652" s="1" t="str">
        <f>IFERROR(INDEX(Database_repro!$A:$F, MATCH($O1652, Database_repro!$A:$A, 0), 5), "Not Found")</f>
        <v>No</v>
      </c>
      <c r="L1652" s="4" t="s">
        <v>17</v>
      </c>
      <c r="M1652" s="1" t="str">
        <f>IFERROR(IF(INDEX(Database_repro!$A:$F, MATCH($O1652, Database_repro!$A:$A, 0), 6)="N","No",IF(INDEX(Database_repro!$A:$F, MATCH($O1652, Database_repro!$A:$A, 0), 6)="Y","Yes","Z")), "Not Found")</f>
        <v>No</v>
      </c>
      <c r="N1652" s="27" t="s">
        <v>605</v>
      </c>
      <c r="O1652" t="s">
        <v>253</v>
      </c>
    </row>
    <row r="1653" spans="1:15" x14ac:dyDescent="0.2">
      <c r="A1653" s="9">
        <v>45446</v>
      </c>
      <c r="B1653" s="1" t="str">
        <f>IFERROR(VLOOKUP(MID(INDEX(Database_dermo!$A:$I, MATCH($O1653, Database_dermo!$A:$A, 0), 2),20,3),Notes!A$1:C$9,3,TRUE), "Not Found")</f>
        <v>LX-S</v>
      </c>
      <c r="C1653" s="1" t="str">
        <f>IFERROR(RIGHT(INDEX(Database_dermo!$A:$I, MATCH($O1653, Database_dermo!$A:$A, 0), 1),2), "Not Found")</f>
        <v>14</v>
      </c>
      <c r="D1653" s="1">
        <f>IFERROR(VLOOKUP(MID(INDEX(Database_dermo!$A:$I, MATCH($O1653, Database_dermo!$A:$A, 0), 2),20,3),Notes!A$1:C$9,2,TRUE), "Not Found")</f>
        <v>3</v>
      </c>
      <c r="E1653" s="1">
        <f>IFERROR(INDEX(Database_dermo!$A:$I, MATCH($O1653, Database_dermo!$A:$A, 0), 3), "Not Found")</f>
        <v>46.84</v>
      </c>
      <c r="F1653" s="1" t="str">
        <f>IFERROR(INDEX(Database_repro!$A:$F, MATCH($O1653, Database_repro!$A:$A, 0), 3), "Not Found")</f>
        <v>M</v>
      </c>
      <c r="G1653" s="1">
        <f>IFERROR(INDEX(Database_repro!$A:$F, MATCH($O1653, Database_repro!$A:$A, 0), 4), "Not Found")</f>
        <v>2</v>
      </c>
      <c r="H1653" s="1" t="s">
        <v>16</v>
      </c>
      <c r="I1653" s="1" t="s">
        <v>16</v>
      </c>
      <c r="J1653" s="1" t="s">
        <v>16</v>
      </c>
      <c r="K1653" s="1" t="str">
        <f>IFERROR(INDEX(Database_repro!$A:$F, MATCH($O1653, Database_repro!$A:$A, 0), 5), "Not Found")</f>
        <v>No</v>
      </c>
      <c r="L1653" s="4" t="s">
        <v>17</v>
      </c>
      <c r="M1653" s="1" t="str">
        <f>IFERROR(IF(INDEX(Database_repro!$A:$F, MATCH($O1653, Database_repro!$A:$A, 0), 6)="N","No",IF(INDEX(Database_repro!$A:$F, MATCH($O1653, Database_repro!$A:$A, 0), 6)="Y","Yes","Z")), "Not Found")</f>
        <v>No</v>
      </c>
      <c r="N1653" s="27" t="s">
        <v>605</v>
      </c>
      <c r="O1653" t="s">
        <v>254</v>
      </c>
    </row>
    <row r="1654" spans="1:15" x14ac:dyDescent="0.2">
      <c r="A1654" s="9">
        <v>45446</v>
      </c>
      <c r="B1654" s="1" t="str">
        <f>IFERROR(VLOOKUP(MID(INDEX(Database_dermo!$A:$I, MATCH($O1654, Database_dermo!$A:$A, 0), 2),20,3),Notes!A$1:C$9,3,TRUE), "Not Found")</f>
        <v>LX-S</v>
      </c>
      <c r="C1654" s="1" t="str">
        <f>IFERROR(RIGHT(INDEX(Database_dermo!$A:$I, MATCH($O1654, Database_dermo!$A:$A, 0), 1),2), "Not Found")</f>
        <v>15</v>
      </c>
      <c r="D1654" s="1">
        <f>IFERROR(VLOOKUP(MID(INDEX(Database_dermo!$A:$I, MATCH($O1654, Database_dermo!$A:$A, 0), 2),20,3),Notes!A$1:C$9,2,TRUE), "Not Found")</f>
        <v>3</v>
      </c>
      <c r="E1654" s="1">
        <f>IFERROR(INDEX(Database_dermo!$A:$I, MATCH($O1654, Database_dermo!$A:$A, 0), 3), "Not Found")</f>
        <v>74.040000000000006</v>
      </c>
      <c r="F1654" s="1" t="str">
        <f>IFERROR(INDEX(Database_repro!$A:$F, MATCH($O1654, Database_repro!$A:$A, 0), 3), "Not Found")</f>
        <v>F</v>
      </c>
      <c r="G1654" s="1">
        <f>IFERROR(INDEX(Database_repro!$A:$F, MATCH($O1654, Database_repro!$A:$A, 0), 4), "Not Found")</f>
        <v>2</v>
      </c>
      <c r="H1654" s="1" t="s">
        <v>16</v>
      </c>
      <c r="I1654" s="1" t="s">
        <v>16</v>
      </c>
      <c r="J1654" s="1" t="s">
        <v>16</v>
      </c>
      <c r="K1654" s="1" t="str">
        <f>IFERROR(INDEX(Database_repro!$A:$F, MATCH($O1654, Database_repro!$A:$A, 0), 5), "Not Found")</f>
        <v>No</v>
      </c>
      <c r="L1654" s="4" t="s">
        <v>17</v>
      </c>
      <c r="M1654" s="1" t="str">
        <f>IFERROR(IF(INDEX(Database_repro!$A:$F, MATCH($O1654, Database_repro!$A:$A, 0), 6)="N","No",IF(INDEX(Database_repro!$A:$F, MATCH($O1654, Database_repro!$A:$A, 0), 6)="Y","Yes","Z")), "Not Found")</f>
        <v>No</v>
      </c>
      <c r="N1654" s="27" t="s">
        <v>605</v>
      </c>
      <c r="O1654" t="s">
        <v>255</v>
      </c>
    </row>
    <row r="1655" spans="1:15" x14ac:dyDescent="0.2">
      <c r="A1655" s="9">
        <v>45482</v>
      </c>
      <c r="B1655" s="1" t="str">
        <f>IFERROR(VLOOKUP(MID(INDEX(Database_dermo!$A:$I, MATCH($O1655, Database_dermo!$A:$A, 0), 2),20,3),Notes!A$1:C$9,3,TRUE), "Not Found")</f>
        <v>LX-S</v>
      </c>
      <c r="C1655" s="1" t="str">
        <f>IFERROR(RIGHT(INDEX(Database_dermo!$A:$I, MATCH($O1655, Database_dermo!$A:$A, 0), 1),2), "Not Found")</f>
        <v>01</v>
      </c>
      <c r="D1655" s="1">
        <f>IFERROR(VLOOKUP(MID(INDEX(Database_dermo!$A:$I, MATCH($O1655, Database_dermo!$A:$A, 0), 2),20,3),Notes!A$1:C$9,2,TRUE), "Not Found")</f>
        <v>1</v>
      </c>
      <c r="E1655" s="1">
        <f>IFERROR(INDEX(Database_dermo!$A:$I, MATCH($O1655, Database_dermo!$A:$A, 0), 3), "Not Found")</f>
        <v>67.88</v>
      </c>
      <c r="F1655" s="1" t="str">
        <f>IFERROR(INDEX(Database_repro!$A:$F, MATCH($O1655, Database_repro!$A:$A, 0), 3), "Not Found")</f>
        <v>F</v>
      </c>
      <c r="G1655" s="1">
        <f>IFERROR(INDEX(Database_repro!$A:$F, MATCH($O1655, Database_repro!$A:$A, 0), 4), "Not Found")</f>
        <v>1</v>
      </c>
      <c r="H1655" s="1" t="s">
        <v>16</v>
      </c>
      <c r="I1655" s="1" t="s">
        <v>16</v>
      </c>
      <c r="J1655" s="1" t="s">
        <v>16</v>
      </c>
      <c r="K1655" s="1" t="str">
        <f>IFERROR(INDEX(Database_repro!$A:$F, MATCH($O1655, Database_repro!$A:$A, 0), 5), "Not Found")</f>
        <v>No</v>
      </c>
      <c r="L1655" s="4" t="s">
        <v>17</v>
      </c>
      <c r="M1655" s="1" t="str">
        <f>IFERROR(IF(INDEX(Database_repro!$A:$F, MATCH($O1655, Database_repro!$A:$A, 0), 6)="N","No",IF(INDEX(Database_repro!$A:$F, MATCH($O1655, Database_repro!$A:$A, 0), 6)="Y","Yes","Z")), "Not Found")</f>
        <v>No</v>
      </c>
      <c r="N1655" s="27" t="s">
        <v>605</v>
      </c>
      <c r="O1655" t="s">
        <v>257</v>
      </c>
    </row>
    <row r="1656" spans="1:15" x14ac:dyDescent="0.2">
      <c r="A1656" s="9">
        <v>45482</v>
      </c>
      <c r="B1656" s="1" t="str">
        <f>IFERROR(VLOOKUP(MID(INDEX(Database_dermo!$A:$I, MATCH($O1656, Database_dermo!$A:$A, 0), 2),20,3),Notes!A$1:C$9,3,TRUE), "Not Found")</f>
        <v>LX-S</v>
      </c>
      <c r="C1656" s="1" t="str">
        <f>IFERROR(RIGHT(INDEX(Database_dermo!$A:$I, MATCH($O1656, Database_dermo!$A:$A, 0), 1),2), "Not Found")</f>
        <v>02</v>
      </c>
      <c r="D1656" s="1">
        <f>IFERROR(VLOOKUP(MID(INDEX(Database_dermo!$A:$I, MATCH($O1656, Database_dermo!$A:$A, 0), 2),20,3),Notes!A$1:C$9,2,TRUE), "Not Found")</f>
        <v>1</v>
      </c>
      <c r="E1656" s="1">
        <f>IFERROR(INDEX(Database_dermo!$A:$I, MATCH($O1656, Database_dermo!$A:$A, 0), 3), "Not Found")</f>
        <v>68.739999999999995</v>
      </c>
      <c r="F1656" s="1" t="str">
        <f>IFERROR(INDEX(Database_repro!$A:$F, MATCH($O1656, Database_repro!$A:$A, 0), 3), "Not Found")</f>
        <v>F</v>
      </c>
      <c r="G1656" s="1">
        <f>IFERROR(INDEX(Database_repro!$A:$F, MATCH($O1656, Database_repro!$A:$A, 0), 4), "Not Found")</f>
        <v>1</v>
      </c>
      <c r="H1656" s="1" t="s">
        <v>16</v>
      </c>
      <c r="I1656" s="1" t="s">
        <v>16</v>
      </c>
      <c r="J1656" s="1" t="s">
        <v>16</v>
      </c>
      <c r="K1656" s="1" t="str">
        <f>IFERROR(INDEX(Database_repro!$A:$F, MATCH($O1656, Database_repro!$A:$A, 0), 5), "Not Found")</f>
        <v>No</v>
      </c>
      <c r="L1656" s="4" t="s">
        <v>17</v>
      </c>
      <c r="M1656" s="1" t="str">
        <f>IFERROR(IF(INDEX(Database_repro!$A:$F, MATCH($O1656, Database_repro!$A:$A, 0), 6)="N","No",IF(INDEX(Database_repro!$A:$F, MATCH($O1656, Database_repro!$A:$A, 0), 6)="Y","Yes","Z")), "Not Found")</f>
        <v>No</v>
      </c>
      <c r="N1656" s="27" t="s">
        <v>605</v>
      </c>
      <c r="O1656" t="s">
        <v>259</v>
      </c>
    </row>
    <row r="1657" spans="1:15" x14ac:dyDescent="0.2">
      <c r="A1657" s="9">
        <v>45482</v>
      </c>
      <c r="B1657" s="1" t="str">
        <f>IFERROR(VLOOKUP(MID(INDEX(Database_dermo!$A:$I, MATCH($O1657, Database_dermo!$A:$A, 0), 2),20,3),Notes!A$1:C$9,3,TRUE), "Not Found")</f>
        <v>LX-S</v>
      </c>
      <c r="C1657" s="1" t="str">
        <f>IFERROR(RIGHT(INDEX(Database_dermo!$A:$I, MATCH($O1657, Database_dermo!$A:$A, 0), 1),2), "Not Found")</f>
        <v>03</v>
      </c>
      <c r="D1657" s="1">
        <f>IFERROR(VLOOKUP(MID(INDEX(Database_dermo!$A:$I, MATCH($O1657, Database_dermo!$A:$A, 0), 2),20,3),Notes!A$1:C$9,2,TRUE), "Not Found")</f>
        <v>1</v>
      </c>
      <c r="E1657" s="1">
        <f>IFERROR(INDEX(Database_dermo!$A:$I, MATCH($O1657, Database_dermo!$A:$A, 0), 3), "Not Found")</f>
        <v>59.33</v>
      </c>
      <c r="F1657" s="1" t="str">
        <f>IFERROR(INDEX(Database_repro!$A:$F, MATCH($O1657, Database_repro!$A:$A, 0), 3), "Not Found")</f>
        <v>M</v>
      </c>
      <c r="G1657" s="1">
        <f>IFERROR(INDEX(Database_repro!$A:$F, MATCH($O1657, Database_repro!$A:$A, 0), 4), "Not Found")</f>
        <v>2</v>
      </c>
      <c r="H1657" s="1" t="s">
        <v>16</v>
      </c>
      <c r="I1657" s="1" t="s">
        <v>16</v>
      </c>
      <c r="J1657" s="1" t="s">
        <v>16</v>
      </c>
      <c r="K1657" s="1" t="str">
        <f>IFERROR(INDEX(Database_repro!$A:$F, MATCH($O1657, Database_repro!$A:$A, 0), 5), "Not Found")</f>
        <v>No</v>
      </c>
      <c r="L1657" s="4" t="s">
        <v>17</v>
      </c>
      <c r="M1657" s="1" t="str">
        <f>IFERROR(IF(INDEX(Database_repro!$A:$F, MATCH($O1657, Database_repro!$A:$A, 0), 6)="N","No",IF(INDEX(Database_repro!$A:$F, MATCH($O1657, Database_repro!$A:$A, 0), 6)="Y","Yes","Z")), "Not Found")</f>
        <v>No</v>
      </c>
      <c r="N1657" s="27" t="s">
        <v>605</v>
      </c>
      <c r="O1657" t="s">
        <v>260</v>
      </c>
    </row>
    <row r="1658" spans="1:15" x14ac:dyDescent="0.2">
      <c r="A1658" s="9">
        <v>45482</v>
      </c>
      <c r="B1658" s="1" t="str">
        <f>IFERROR(VLOOKUP(MID(INDEX(Database_dermo!$A:$I, MATCH($O1658, Database_dermo!$A:$A, 0), 2),20,3),Notes!A$1:C$9,3,TRUE), "Not Found")</f>
        <v>LX-S</v>
      </c>
      <c r="C1658" s="1" t="str">
        <f>IFERROR(RIGHT(INDEX(Database_dermo!$A:$I, MATCH($O1658, Database_dermo!$A:$A, 0), 1),2), "Not Found")</f>
        <v>04</v>
      </c>
      <c r="D1658" s="1">
        <f>IFERROR(VLOOKUP(MID(INDEX(Database_dermo!$A:$I, MATCH($O1658, Database_dermo!$A:$A, 0), 2),20,3),Notes!A$1:C$9,2,TRUE), "Not Found")</f>
        <v>1</v>
      </c>
      <c r="E1658" s="1">
        <f>IFERROR(INDEX(Database_dermo!$A:$I, MATCH($O1658, Database_dermo!$A:$A, 0), 3), "Not Found")</f>
        <v>50.5</v>
      </c>
      <c r="F1658" s="1" t="str">
        <f>IFERROR(INDEX(Database_repro!$A:$F, MATCH($O1658, Database_repro!$A:$A, 0), 3), "Not Found")</f>
        <v>F</v>
      </c>
      <c r="G1658" s="1">
        <f>IFERROR(INDEX(Database_repro!$A:$F, MATCH($O1658, Database_repro!$A:$A, 0), 4), "Not Found")</f>
        <v>2</v>
      </c>
      <c r="H1658" s="1" t="s">
        <v>16</v>
      </c>
      <c r="I1658" s="1" t="s">
        <v>16</v>
      </c>
      <c r="J1658" s="1" t="s">
        <v>16</v>
      </c>
      <c r="K1658" s="1" t="str">
        <f>IFERROR(INDEX(Database_repro!$A:$F, MATCH($O1658, Database_repro!$A:$A, 0), 5), "Not Found")</f>
        <v>No</v>
      </c>
      <c r="L1658" s="4" t="s">
        <v>17</v>
      </c>
      <c r="M1658" s="1" t="str">
        <f>IFERROR(IF(INDEX(Database_repro!$A:$F, MATCH($O1658, Database_repro!$A:$A, 0), 6)="N","No",IF(INDEX(Database_repro!$A:$F, MATCH($O1658, Database_repro!$A:$A, 0), 6)="Y","Yes","Z")), "Not Found")</f>
        <v>No</v>
      </c>
      <c r="N1658" s="27" t="s">
        <v>605</v>
      </c>
      <c r="O1658" t="s">
        <v>261</v>
      </c>
    </row>
    <row r="1659" spans="1:15" x14ac:dyDescent="0.2">
      <c r="A1659" s="9">
        <v>45482</v>
      </c>
      <c r="B1659" s="1" t="str">
        <f>IFERROR(VLOOKUP(MID(INDEX(Database_dermo!$A:$I, MATCH($O1659, Database_dermo!$A:$A, 0), 2),20,3),Notes!A$1:C$9,3,TRUE), "Not Found")</f>
        <v>LX-S</v>
      </c>
      <c r="C1659" s="1" t="str">
        <f>IFERROR(RIGHT(INDEX(Database_dermo!$A:$I, MATCH($O1659, Database_dermo!$A:$A, 0), 1),2), "Not Found")</f>
        <v>05</v>
      </c>
      <c r="D1659" s="1">
        <f>IFERROR(VLOOKUP(MID(INDEX(Database_dermo!$A:$I, MATCH($O1659, Database_dermo!$A:$A, 0), 2),20,3),Notes!A$1:C$9,2,TRUE), "Not Found")</f>
        <v>1</v>
      </c>
      <c r="E1659" s="1">
        <f>IFERROR(INDEX(Database_dermo!$A:$I, MATCH($O1659, Database_dermo!$A:$A, 0), 3), "Not Found")</f>
        <v>57.8</v>
      </c>
      <c r="F1659" s="1" t="str">
        <f>IFERROR(INDEX(Database_repro!$A:$F, MATCH($O1659, Database_repro!$A:$A, 0), 3), "Not Found")</f>
        <v>F</v>
      </c>
      <c r="G1659" s="1">
        <f>IFERROR(INDEX(Database_repro!$A:$F, MATCH($O1659, Database_repro!$A:$A, 0), 4), "Not Found")</f>
        <v>2</v>
      </c>
      <c r="H1659" s="1" t="s">
        <v>16</v>
      </c>
      <c r="I1659" s="1" t="s">
        <v>16</v>
      </c>
      <c r="J1659" s="1" t="s">
        <v>16</v>
      </c>
      <c r="K1659" s="1" t="str">
        <f>IFERROR(INDEX(Database_repro!$A:$F, MATCH($O1659, Database_repro!$A:$A, 0), 5), "Not Found")</f>
        <v>No</v>
      </c>
      <c r="L1659" s="4" t="s">
        <v>17</v>
      </c>
      <c r="M1659" s="1" t="str">
        <f>IFERROR(IF(INDEX(Database_repro!$A:$F, MATCH($O1659, Database_repro!$A:$A, 0), 6)="N","No",IF(INDEX(Database_repro!$A:$F, MATCH($O1659, Database_repro!$A:$A, 0), 6)="Y","Yes","Z")), "Not Found")</f>
        <v>No</v>
      </c>
      <c r="N1659" s="27" t="s">
        <v>605</v>
      </c>
      <c r="O1659" t="s">
        <v>262</v>
      </c>
    </row>
    <row r="1660" spans="1:15" x14ac:dyDescent="0.2">
      <c r="A1660" s="9">
        <v>45482</v>
      </c>
      <c r="B1660" s="1" t="str">
        <f>IFERROR(VLOOKUP(MID(INDEX(Database_dermo!$A:$I, MATCH($O1660, Database_dermo!$A:$A, 0), 2),20,3),Notes!A$1:C$9,3,TRUE), "Not Found")</f>
        <v>LX-S</v>
      </c>
      <c r="C1660" s="1" t="str">
        <f>IFERROR(RIGHT(INDEX(Database_dermo!$A:$I, MATCH($O1660, Database_dermo!$A:$A, 0), 1),2), "Not Found")</f>
        <v>06</v>
      </c>
      <c r="D1660" s="1">
        <f>IFERROR(VLOOKUP(MID(INDEX(Database_dermo!$A:$I, MATCH($O1660, Database_dermo!$A:$A, 0), 2),20,3),Notes!A$1:C$9,2,TRUE), "Not Found")</f>
        <v>2</v>
      </c>
      <c r="E1660" s="1">
        <f>IFERROR(INDEX(Database_dermo!$A:$I, MATCH($O1660, Database_dermo!$A:$A, 0), 3), "Not Found")</f>
        <v>86.28</v>
      </c>
      <c r="F1660" s="1" t="str">
        <f>IFERROR(INDEX(Database_repro!$A:$F, MATCH($O1660, Database_repro!$A:$A, 0), 3), "Not Found")</f>
        <v>M</v>
      </c>
      <c r="G1660" s="1">
        <f>IFERROR(INDEX(Database_repro!$A:$F, MATCH($O1660, Database_repro!$A:$A, 0), 4), "Not Found")</f>
        <v>2</v>
      </c>
      <c r="H1660" s="1" t="s">
        <v>16</v>
      </c>
      <c r="I1660" s="1" t="s">
        <v>16</v>
      </c>
      <c r="J1660" s="1" t="s">
        <v>16</v>
      </c>
      <c r="K1660" s="1" t="str">
        <f>IFERROR(INDEX(Database_repro!$A:$F, MATCH($O1660, Database_repro!$A:$A, 0), 5), "Not Found")</f>
        <v>No</v>
      </c>
      <c r="L1660" s="4" t="s">
        <v>17</v>
      </c>
      <c r="M1660" s="1" t="str">
        <f>IFERROR(IF(INDEX(Database_repro!$A:$F, MATCH($O1660, Database_repro!$A:$A, 0), 6)="N","No",IF(INDEX(Database_repro!$A:$F, MATCH($O1660, Database_repro!$A:$A, 0), 6)="Y","Yes","Z")), "Not Found")</f>
        <v>No</v>
      </c>
      <c r="N1660" s="27" t="s">
        <v>605</v>
      </c>
      <c r="O1660" t="s">
        <v>263</v>
      </c>
    </row>
    <row r="1661" spans="1:15" x14ac:dyDescent="0.2">
      <c r="A1661" s="9">
        <v>45482</v>
      </c>
      <c r="B1661" s="1" t="str">
        <f>IFERROR(VLOOKUP(MID(INDEX(Database_dermo!$A:$I, MATCH($O1661, Database_dermo!$A:$A, 0), 2),20,3),Notes!A$1:C$9,3,TRUE), "Not Found")</f>
        <v>LX-S</v>
      </c>
      <c r="C1661" s="1" t="str">
        <f>IFERROR(RIGHT(INDEX(Database_dermo!$A:$I, MATCH($O1661, Database_dermo!$A:$A, 0), 1),2), "Not Found")</f>
        <v>07</v>
      </c>
      <c r="D1661" s="1">
        <f>IFERROR(VLOOKUP(MID(INDEX(Database_dermo!$A:$I, MATCH($O1661, Database_dermo!$A:$A, 0), 2),20,3),Notes!A$1:C$9,2,TRUE), "Not Found")</f>
        <v>2</v>
      </c>
      <c r="E1661" s="1">
        <f>IFERROR(INDEX(Database_dermo!$A:$I, MATCH($O1661, Database_dermo!$A:$A, 0), 3), "Not Found")</f>
        <v>61.71</v>
      </c>
      <c r="F1661" s="1" t="str">
        <f>IFERROR(INDEX(Database_repro!$A:$F, MATCH($O1661, Database_repro!$A:$A, 0), 3), "Not Found")</f>
        <v>F</v>
      </c>
      <c r="G1661" s="1">
        <f>IFERROR(INDEX(Database_repro!$A:$F, MATCH($O1661, Database_repro!$A:$A, 0), 4), "Not Found")</f>
        <v>2</v>
      </c>
      <c r="H1661" s="1" t="s">
        <v>16</v>
      </c>
      <c r="I1661" s="1" t="s">
        <v>16</v>
      </c>
      <c r="J1661" s="1" t="s">
        <v>16</v>
      </c>
      <c r="K1661" s="1" t="str">
        <f>IFERROR(INDEX(Database_repro!$A:$F, MATCH($O1661, Database_repro!$A:$A, 0), 5), "Not Found")</f>
        <v>No</v>
      </c>
      <c r="L1661" s="4" t="s">
        <v>17</v>
      </c>
      <c r="M1661" s="1" t="str">
        <f>IFERROR(IF(INDEX(Database_repro!$A:$F, MATCH($O1661, Database_repro!$A:$A, 0), 6)="N","No",IF(INDEX(Database_repro!$A:$F, MATCH($O1661, Database_repro!$A:$A, 0), 6)="Y","Yes","Z")), "Not Found")</f>
        <v>No</v>
      </c>
      <c r="N1661" s="27" t="s">
        <v>605</v>
      </c>
      <c r="O1661" t="s">
        <v>265</v>
      </c>
    </row>
    <row r="1662" spans="1:15" x14ac:dyDescent="0.2">
      <c r="A1662" s="9">
        <v>45482</v>
      </c>
      <c r="B1662" s="1" t="str">
        <f>IFERROR(VLOOKUP(MID(INDEX(Database_dermo!$A:$I, MATCH($O1662, Database_dermo!$A:$A, 0), 2),20,3),Notes!A$1:C$9,3,TRUE), "Not Found")</f>
        <v>LX-S</v>
      </c>
      <c r="C1662" s="1" t="str">
        <f>IFERROR(RIGHT(INDEX(Database_dermo!$A:$I, MATCH($O1662, Database_dermo!$A:$A, 0), 1),2), "Not Found")</f>
        <v>08</v>
      </c>
      <c r="D1662" s="1">
        <f>IFERROR(VLOOKUP(MID(INDEX(Database_dermo!$A:$I, MATCH($O1662, Database_dermo!$A:$A, 0), 2),20,3),Notes!A$1:C$9,2,TRUE), "Not Found")</f>
        <v>2</v>
      </c>
      <c r="E1662" s="1">
        <f>IFERROR(INDEX(Database_dermo!$A:$I, MATCH($O1662, Database_dermo!$A:$A, 0), 3), "Not Found")</f>
        <v>61.14</v>
      </c>
      <c r="F1662" s="1" t="str">
        <f>IFERROR(INDEX(Database_repro!$A:$F, MATCH($O1662, Database_repro!$A:$A, 0), 3), "Not Found")</f>
        <v>M</v>
      </c>
      <c r="G1662" s="1">
        <f>IFERROR(INDEX(Database_repro!$A:$F, MATCH($O1662, Database_repro!$A:$A, 0), 4), "Not Found")</f>
        <v>2</v>
      </c>
      <c r="H1662" s="1" t="s">
        <v>16</v>
      </c>
      <c r="I1662" s="1" t="s">
        <v>16</v>
      </c>
      <c r="J1662" s="1" t="s">
        <v>16</v>
      </c>
      <c r="K1662" s="1" t="str">
        <f>IFERROR(INDEX(Database_repro!$A:$F, MATCH($O1662, Database_repro!$A:$A, 0), 5), "Not Found")</f>
        <v>No</v>
      </c>
      <c r="L1662" s="4" t="s">
        <v>17</v>
      </c>
      <c r="M1662" s="1" t="str">
        <f>IFERROR(IF(INDEX(Database_repro!$A:$F, MATCH($O1662, Database_repro!$A:$A, 0), 6)="N","No",IF(INDEX(Database_repro!$A:$F, MATCH($O1662, Database_repro!$A:$A, 0), 6)="Y","Yes","Z")), "Not Found")</f>
        <v>No</v>
      </c>
      <c r="N1662" s="27" t="s">
        <v>605</v>
      </c>
      <c r="O1662" t="s">
        <v>266</v>
      </c>
    </row>
    <row r="1663" spans="1:15" x14ac:dyDescent="0.2">
      <c r="A1663" s="9">
        <v>45482</v>
      </c>
      <c r="B1663" s="1" t="str">
        <f>IFERROR(VLOOKUP(MID(INDEX(Database_dermo!$A:$I, MATCH($O1663, Database_dermo!$A:$A, 0), 2),20,3),Notes!A$1:C$9,3,TRUE), "Not Found")</f>
        <v>LX-S</v>
      </c>
      <c r="C1663" s="1" t="str">
        <f>IFERROR(RIGHT(INDEX(Database_dermo!$A:$I, MATCH($O1663, Database_dermo!$A:$A, 0), 1),2), "Not Found")</f>
        <v>09</v>
      </c>
      <c r="D1663" s="1">
        <f>IFERROR(VLOOKUP(MID(INDEX(Database_dermo!$A:$I, MATCH($O1663, Database_dermo!$A:$A, 0), 2),20,3),Notes!A$1:C$9,2,TRUE), "Not Found")</f>
        <v>2</v>
      </c>
      <c r="E1663" s="1">
        <f>IFERROR(INDEX(Database_dermo!$A:$I, MATCH($O1663, Database_dermo!$A:$A, 0), 3), "Not Found")</f>
        <v>68.92</v>
      </c>
      <c r="F1663" s="1" t="str">
        <f>IFERROR(INDEX(Database_repro!$A:$F, MATCH($O1663, Database_repro!$A:$A, 0), 3), "Not Found")</f>
        <v>F</v>
      </c>
      <c r="G1663" s="1">
        <f>IFERROR(INDEX(Database_repro!$A:$F, MATCH($O1663, Database_repro!$A:$A, 0), 4), "Not Found")</f>
        <v>2</v>
      </c>
      <c r="H1663" s="1" t="s">
        <v>16</v>
      </c>
      <c r="I1663" s="1" t="s">
        <v>16</v>
      </c>
      <c r="J1663" s="1" t="s">
        <v>16</v>
      </c>
      <c r="K1663" s="1" t="str">
        <f>IFERROR(INDEX(Database_repro!$A:$F, MATCH($O1663, Database_repro!$A:$A, 0), 5), "Not Found")</f>
        <v>No</v>
      </c>
      <c r="L1663" s="4" t="s">
        <v>17</v>
      </c>
      <c r="M1663" s="1" t="str">
        <f>IFERROR(IF(INDEX(Database_repro!$A:$F, MATCH($O1663, Database_repro!$A:$A, 0), 6)="N","No",IF(INDEX(Database_repro!$A:$F, MATCH($O1663, Database_repro!$A:$A, 0), 6)="Y","Yes","Z")), "Not Found")</f>
        <v>No</v>
      </c>
      <c r="N1663" s="27" t="s">
        <v>605</v>
      </c>
      <c r="O1663" t="s">
        <v>267</v>
      </c>
    </row>
    <row r="1664" spans="1:15" x14ac:dyDescent="0.2">
      <c r="A1664" s="9">
        <v>45482</v>
      </c>
      <c r="B1664" s="1" t="str">
        <f>IFERROR(VLOOKUP(MID(INDEX(Database_dermo!$A:$I, MATCH($O1664, Database_dermo!$A:$A, 0), 2),20,3),Notes!A$1:C$9,3,TRUE), "Not Found")</f>
        <v>LX-S</v>
      </c>
      <c r="C1664" s="1" t="str">
        <f>IFERROR(RIGHT(INDEX(Database_dermo!$A:$I, MATCH($O1664, Database_dermo!$A:$A, 0), 1),2), "Not Found")</f>
        <v>10</v>
      </c>
      <c r="D1664" s="1">
        <f>IFERROR(VLOOKUP(MID(INDEX(Database_dermo!$A:$I, MATCH($O1664, Database_dermo!$A:$A, 0), 2),20,3),Notes!A$1:C$9,2,TRUE), "Not Found")</f>
        <v>2</v>
      </c>
      <c r="E1664" s="1">
        <f>IFERROR(INDEX(Database_dermo!$A:$I, MATCH($O1664, Database_dermo!$A:$A, 0), 3), "Not Found")</f>
        <v>70.11</v>
      </c>
      <c r="F1664" s="1" t="str">
        <f>IFERROR(INDEX(Database_repro!$A:$F, MATCH($O1664, Database_repro!$A:$A, 0), 3), "Not Found")</f>
        <v>F</v>
      </c>
      <c r="G1664" s="1">
        <f>IFERROR(INDEX(Database_repro!$A:$F, MATCH($O1664, Database_repro!$A:$A, 0), 4), "Not Found")</f>
        <v>2</v>
      </c>
      <c r="H1664" s="1" t="s">
        <v>16</v>
      </c>
      <c r="I1664" s="1" t="s">
        <v>16</v>
      </c>
      <c r="J1664" s="1" t="s">
        <v>16</v>
      </c>
      <c r="K1664" s="1" t="str">
        <f>IFERROR(INDEX(Database_repro!$A:$F, MATCH($O1664, Database_repro!$A:$A, 0), 5), "Not Found")</f>
        <v>No</v>
      </c>
      <c r="L1664" s="4" t="s">
        <v>17</v>
      </c>
      <c r="M1664" s="1" t="str">
        <f>IFERROR(IF(INDEX(Database_repro!$A:$F, MATCH($O1664, Database_repro!$A:$A, 0), 6)="N","No",IF(INDEX(Database_repro!$A:$F, MATCH($O1664, Database_repro!$A:$A, 0), 6)="Y","Yes","Z")), "Not Found")</f>
        <v>No</v>
      </c>
      <c r="N1664" s="27" t="s">
        <v>605</v>
      </c>
      <c r="O1664" t="s">
        <v>268</v>
      </c>
    </row>
    <row r="1665" spans="1:15" x14ac:dyDescent="0.2">
      <c r="A1665" s="9">
        <v>45482</v>
      </c>
      <c r="B1665" s="1" t="str">
        <f>IFERROR(VLOOKUP(MID(INDEX(Database_dermo!$A:$I, MATCH($O1665, Database_dermo!$A:$A, 0), 2),20,3),Notes!A$1:C$9,3,TRUE), "Not Found")</f>
        <v>LX-S</v>
      </c>
      <c r="C1665" s="1" t="str">
        <f>IFERROR(RIGHT(INDEX(Database_dermo!$A:$I, MATCH($O1665, Database_dermo!$A:$A, 0), 1),2), "Not Found")</f>
        <v>11</v>
      </c>
      <c r="D1665" s="1">
        <f>IFERROR(VLOOKUP(MID(INDEX(Database_dermo!$A:$I, MATCH($O1665, Database_dermo!$A:$A, 0), 2),20,3),Notes!A$1:C$9,2,TRUE), "Not Found")</f>
        <v>3</v>
      </c>
      <c r="E1665" s="1">
        <f>IFERROR(INDEX(Database_dermo!$A:$I, MATCH($O1665, Database_dermo!$A:$A, 0), 3), "Not Found")</f>
        <v>78.209999999999994</v>
      </c>
      <c r="F1665" s="1" t="str">
        <f>IFERROR(INDEX(Database_repro!$A:$F, MATCH($O1665, Database_repro!$A:$A, 0), 3), "Not Found")</f>
        <v>M</v>
      </c>
      <c r="G1665" s="1">
        <f>IFERROR(INDEX(Database_repro!$A:$F, MATCH($O1665, Database_repro!$A:$A, 0), 4), "Not Found")</f>
        <v>2</v>
      </c>
      <c r="H1665" s="1" t="s">
        <v>16</v>
      </c>
      <c r="I1665" s="1" t="s">
        <v>16</v>
      </c>
      <c r="J1665" s="1" t="s">
        <v>16</v>
      </c>
      <c r="K1665" s="1" t="str">
        <f>IFERROR(INDEX(Database_repro!$A:$F, MATCH($O1665, Database_repro!$A:$A, 0), 5), "Not Found")</f>
        <v>No</v>
      </c>
      <c r="L1665" s="4" t="s">
        <v>17</v>
      </c>
      <c r="M1665" s="1" t="str">
        <f>IFERROR(IF(INDEX(Database_repro!$A:$F, MATCH($O1665, Database_repro!$A:$A, 0), 6)="N","No",IF(INDEX(Database_repro!$A:$F, MATCH($O1665, Database_repro!$A:$A, 0), 6)="Y","Yes","Z")), "Not Found")</f>
        <v>No</v>
      </c>
      <c r="N1665" s="27" t="s">
        <v>605</v>
      </c>
      <c r="O1665" t="s">
        <v>269</v>
      </c>
    </row>
    <row r="1666" spans="1:15" x14ac:dyDescent="0.2">
      <c r="A1666" s="9">
        <v>45482</v>
      </c>
      <c r="B1666" s="1" t="str">
        <f>IFERROR(VLOOKUP(MID(INDEX(Database_dermo!$A:$I, MATCH($O1666, Database_dermo!$A:$A, 0), 2),20,3),Notes!A$1:C$9,3,TRUE), "Not Found")</f>
        <v>LX-S</v>
      </c>
      <c r="C1666" s="1" t="str">
        <f>IFERROR(RIGHT(INDEX(Database_dermo!$A:$I, MATCH($O1666, Database_dermo!$A:$A, 0), 1),2), "Not Found")</f>
        <v>12</v>
      </c>
      <c r="D1666" s="1">
        <f>IFERROR(VLOOKUP(MID(INDEX(Database_dermo!$A:$I, MATCH($O1666, Database_dermo!$A:$A, 0), 2),20,3),Notes!A$1:C$9,2,TRUE), "Not Found")</f>
        <v>3</v>
      </c>
      <c r="E1666" s="1">
        <f>IFERROR(INDEX(Database_dermo!$A:$I, MATCH($O1666, Database_dermo!$A:$A, 0), 3), "Not Found")</f>
        <v>61.92</v>
      </c>
      <c r="F1666" s="1" t="str">
        <f>IFERROR(INDEX(Database_repro!$A:$F, MATCH($O1666, Database_repro!$A:$A, 0), 3), "Not Found")</f>
        <v>F</v>
      </c>
      <c r="G1666" s="1">
        <f>IFERROR(INDEX(Database_repro!$A:$F, MATCH($O1666, Database_repro!$A:$A, 0), 4), "Not Found")</f>
        <v>3</v>
      </c>
      <c r="H1666" s="1" t="s">
        <v>16</v>
      </c>
      <c r="I1666" s="1" t="s">
        <v>16</v>
      </c>
      <c r="J1666" s="1" t="s">
        <v>16</v>
      </c>
      <c r="K1666" s="1" t="str">
        <f>IFERROR(INDEX(Database_repro!$A:$F, MATCH($O1666, Database_repro!$A:$A, 0), 5), "Not Found")</f>
        <v>No</v>
      </c>
      <c r="L1666" s="4" t="s">
        <v>17</v>
      </c>
      <c r="M1666" s="1" t="str">
        <f>IFERROR(IF(INDEX(Database_repro!$A:$F, MATCH($O1666, Database_repro!$A:$A, 0), 6)="N","No",IF(INDEX(Database_repro!$A:$F, MATCH($O1666, Database_repro!$A:$A, 0), 6)="Y","Yes","Z")), "Not Found")</f>
        <v>No</v>
      </c>
      <c r="N1666" s="27" t="s">
        <v>605</v>
      </c>
      <c r="O1666" t="s">
        <v>271</v>
      </c>
    </row>
    <row r="1667" spans="1:15" x14ac:dyDescent="0.2">
      <c r="A1667" s="9">
        <v>45482</v>
      </c>
      <c r="B1667" s="1" t="str">
        <f>IFERROR(VLOOKUP(MID(INDEX(Database_dermo!$A:$I, MATCH($O1667, Database_dermo!$A:$A, 0), 2),20,3),Notes!A$1:C$9,3,TRUE), "Not Found")</f>
        <v>LX-S</v>
      </c>
      <c r="C1667" s="1" t="str">
        <f>IFERROR(RIGHT(INDEX(Database_dermo!$A:$I, MATCH($O1667, Database_dermo!$A:$A, 0), 1),2), "Not Found")</f>
        <v>13</v>
      </c>
      <c r="D1667" s="1">
        <f>IFERROR(VLOOKUP(MID(INDEX(Database_dermo!$A:$I, MATCH($O1667, Database_dermo!$A:$A, 0), 2),20,3),Notes!A$1:C$9,2,TRUE), "Not Found")</f>
        <v>3</v>
      </c>
      <c r="E1667" s="1">
        <f>IFERROR(INDEX(Database_dermo!$A:$I, MATCH($O1667, Database_dermo!$A:$A, 0), 3), "Not Found")</f>
        <v>57.18</v>
      </c>
      <c r="F1667" s="1" t="str">
        <f>IFERROR(INDEX(Database_repro!$A:$F, MATCH($O1667, Database_repro!$A:$A, 0), 3), "Not Found")</f>
        <v>F</v>
      </c>
      <c r="G1667" s="1">
        <f>IFERROR(INDEX(Database_repro!$A:$F, MATCH($O1667, Database_repro!$A:$A, 0), 4), "Not Found")</f>
        <v>2</v>
      </c>
      <c r="H1667" s="1" t="s">
        <v>16</v>
      </c>
      <c r="I1667" s="1" t="s">
        <v>16</v>
      </c>
      <c r="J1667" s="1" t="s">
        <v>16</v>
      </c>
      <c r="K1667" s="1" t="str">
        <f>IFERROR(INDEX(Database_repro!$A:$F, MATCH($O1667, Database_repro!$A:$A, 0), 5), "Not Found")</f>
        <v>No</v>
      </c>
      <c r="L1667" s="4" t="s">
        <v>17</v>
      </c>
      <c r="M1667" s="1" t="str">
        <f>IFERROR(IF(INDEX(Database_repro!$A:$F, MATCH($O1667, Database_repro!$A:$A, 0), 6)="N","No",IF(INDEX(Database_repro!$A:$F, MATCH($O1667, Database_repro!$A:$A, 0), 6)="Y","Yes","Z")), "Not Found")</f>
        <v>No</v>
      </c>
      <c r="N1667" s="27" t="s">
        <v>605</v>
      </c>
      <c r="O1667" t="s">
        <v>272</v>
      </c>
    </row>
    <row r="1668" spans="1:15" x14ac:dyDescent="0.2">
      <c r="A1668" s="9">
        <v>45482</v>
      </c>
      <c r="B1668" s="1" t="str">
        <f>IFERROR(VLOOKUP(MID(INDEX(Database_dermo!$A:$I, MATCH($O1668, Database_dermo!$A:$A, 0), 2),20,3),Notes!A$1:C$9,3,TRUE), "Not Found")</f>
        <v>LX-S</v>
      </c>
      <c r="C1668" s="1" t="str">
        <f>IFERROR(RIGHT(INDEX(Database_dermo!$A:$I, MATCH($O1668, Database_dermo!$A:$A, 0), 1),2), "Not Found")</f>
        <v>14</v>
      </c>
      <c r="D1668" s="1">
        <f>IFERROR(VLOOKUP(MID(INDEX(Database_dermo!$A:$I, MATCH($O1668, Database_dermo!$A:$A, 0), 2),20,3),Notes!A$1:C$9,2,TRUE), "Not Found")</f>
        <v>3</v>
      </c>
      <c r="E1668" s="1">
        <f>IFERROR(INDEX(Database_dermo!$A:$I, MATCH($O1668, Database_dermo!$A:$A, 0), 3), "Not Found")</f>
        <v>49.53</v>
      </c>
      <c r="F1668" s="1" t="str">
        <f>IFERROR(INDEX(Database_repro!$A:$F, MATCH($O1668, Database_repro!$A:$A, 0), 3), "Not Found")</f>
        <v>F</v>
      </c>
      <c r="G1668" s="1">
        <f>IFERROR(INDEX(Database_repro!$A:$F, MATCH($O1668, Database_repro!$A:$A, 0), 4), "Not Found")</f>
        <v>2</v>
      </c>
      <c r="H1668" s="1" t="s">
        <v>16</v>
      </c>
      <c r="I1668" s="1" t="s">
        <v>16</v>
      </c>
      <c r="J1668" s="1" t="s">
        <v>16</v>
      </c>
      <c r="K1668" s="1" t="str">
        <f>IFERROR(INDEX(Database_repro!$A:$F, MATCH($O1668, Database_repro!$A:$A, 0), 5), "Not Found")</f>
        <v>No</v>
      </c>
      <c r="L1668" s="4" t="s">
        <v>17</v>
      </c>
      <c r="M1668" s="1" t="str">
        <f>IFERROR(IF(INDEX(Database_repro!$A:$F, MATCH($O1668, Database_repro!$A:$A, 0), 6)="N","No",IF(INDEX(Database_repro!$A:$F, MATCH($O1668, Database_repro!$A:$A, 0), 6)="Y","Yes","Z")), "Not Found")</f>
        <v>No</v>
      </c>
      <c r="N1668" s="27" t="s">
        <v>605</v>
      </c>
      <c r="O1668" t="s">
        <v>273</v>
      </c>
    </row>
    <row r="1669" spans="1:15" x14ac:dyDescent="0.2">
      <c r="A1669" s="9">
        <v>45482</v>
      </c>
      <c r="B1669" s="1" t="str">
        <f>IFERROR(VLOOKUP(MID(INDEX(Database_dermo!$A:$I, MATCH($O1669, Database_dermo!$A:$A, 0), 2),20,3),Notes!A$1:C$9,3,TRUE), "Not Found")</f>
        <v>LX-S</v>
      </c>
      <c r="C1669" s="1" t="str">
        <f>IFERROR(RIGHT(INDEX(Database_dermo!$A:$I, MATCH($O1669, Database_dermo!$A:$A, 0), 1),2), "Not Found")</f>
        <v>15</v>
      </c>
      <c r="D1669" s="1">
        <f>IFERROR(VLOOKUP(MID(INDEX(Database_dermo!$A:$I, MATCH($O1669, Database_dermo!$A:$A, 0), 2),20,3),Notes!A$1:C$9,2,TRUE), "Not Found")</f>
        <v>3</v>
      </c>
      <c r="E1669" s="1">
        <f>IFERROR(INDEX(Database_dermo!$A:$I, MATCH($O1669, Database_dermo!$A:$A, 0), 3), "Not Found")</f>
        <v>37.869999999999997</v>
      </c>
      <c r="F1669" s="1" t="str">
        <f>IFERROR(INDEX(Database_repro!$A:$F, MATCH($O1669, Database_repro!$A:$A, 0), 3), "Not Found")</f>
        <v>F</v>
      </c>
      <c r="G1669" s="1">
        <f>IFERROR(INDEX(Database_repro!$A:$F, MATCH($O1669, Database_repro!$A:$A, 0), 4), "Not Found")</f>
        <v>2</v>
      </c>
      <c r="H1669" s="1" t="s">
        <v>16</v>
      </c>
      <c r="I1669" s="1" t="s">
        <v>16</v>
      </c>
      <c r="J1669" s="1" t="s">
        <v>16</v>
      </c>
      <c r="K1669" s="1" t="str">
        <f>IFERROR(INDEX(Database_repro!$A:$F, MATCH($O1669, Database_repro!$A:$A, 0), 5), "Not Found")</f>
        <v>No</v>
      </c>
      <c r="L1669" s="4" t="s">
        <v>17</v>
      </c>
      <c r="M1669" s="1" t="str">
        <f>IFERROR(IF(INDEX(Database_repro!$A:$F, MATCH($O1669, Database_repro!$A:$A, 0), 6)="N","No",IF(INDEX(Database_repro!$A:$F, MATCH($O1669, Database_repro!$A:$A, 0), 6)="Y","Yes","Z")), "Not Found")</f>
        <v>No</v>
      </c>
      <c r="N1669" s="27" t="s">
        <v>605</v>
      </c>
      <c r="O1669" t="s">
        <v>274</v>
      </c>
    </row>
    <row r="1670" spans="1:15" x14ac:dyDescent="0.2">
      <c r="A1670" s="9">
        <v>45510</v>
      </c>
      <c r="B1670" s="1" t="str">
        <f>IFERROR(VLOOKUP(MID(INDEX(Database_dermo!$A:$I, MATCH($O1670, Database_dermo!$A:$A, 0), 2),20,3),Notes!A$1:C$9,3,TRUE), "Not Found")</f>
        <v>LX-S</v>
      </c>
      <c r="C1670" s="1" t="str">
        <f>IFERROR(RIGHT(INDEX(Database_dermo!$A:$I, MATCH($O1670, Database_dermo!$A:$A, 0), 1),2), "Not Found")</f>
        <v>01</v>
      </c>
      <c r="D1670" s="1">
        <f>IFERROR(VLOOKUP(MID(INDEX(Database_dermo!$A:$I, MATCH($O1670, Database_dermo!$A:$A, 0), 2),20,3),Notes!A$1:C$9,2,TRUE), "Not Found")</f>
        <v>1</v>
      </c>
      <c r="E1670" s="1">
        <f>IFERROR(INDEX(Database_dermo!$A:$I, MATCH($O1670, Database_dermo!$A:$A, 0), 3), "Not Found")</f>
        <v>64.02</v>
      </c>
      <c r="F1670" s="1" t="str">
        <f>IFERROR(INDEX(Database_repro!$A:$F, MATCH($O1670, Database_repro!$A:$A, 0), 3), "Not Found")</f>
        <v>M</v>
      </c>
      <c r="G1670" s="1">
        <f>IFERROR(INDEX(Database_repro!$A:$F, MATCH($O1670, Database_repro!$A:$A, 0), 4), "Not Found")</f>
        <v>2</v>
      </c>
      <c r="H1670" s="1" t="s">
        <v>16</v>
      </c>
      <c r="I1670" s="1" t="s">
        <v>16</v>
      </c>
      <c r="J1670" s="1" t="s">
        <v>16</v>
      </c>
      <c r="K1670" s="1" t="str">
        <f>IFERROR(INDEX(Database_repro!$A:$F, MATCH($O1670, Database_repro!$A:$A, 0), 5), "Not Found")</f>
        <v>No</v>
      </c>
      <c r="L1670" s="4" t="s">
        <v>17</v>
      </c>
      <c r="M1670" s="1" t="str">
        <f>IFERROR(IF(INDEX(Database_repro!$A:$F, MATCH($O1670, Database_repro!$A:$A, 0), 6)="N","No",IF(INDEX(Database_repro!$A:$F, MATCH($O1670, Database_repro!$A:$A, 0), 6)="Y","Yes","Z")), "Not Found")</f>
        <v>No</v>
      </c>
      <c r="N1670" s="27" t="s">
        <v>605</v>
      </c>
      <c r="O1670" t="s">
        <v>275</v>
      </c>
    </row>
    <row r="1671" spans="1:15" x14ac:dyDescent="0.2">
      <c r="A1671" s="9">
        <v>45510</v>
      </c>
      <c r="B1671" s="1" t="str">
        <f>IFERROR(VLOOKUP(MID(INDEX(Database_dermo!$A:$I, MATCH($O1671, Database_dermo!$A:$A, 0), 2),20,3),Notes!A$1:C$9,3,TRUE), "Not Found")</f>
        <v>LX-S</v>
      </c>
      <c r="C1671" s="1" t="str">
        <f>IFERROR(RIGHT(INDEX(Database_dermo!$A:$I, MATCH($O1671, Database_dermo!$A:$A, 0), 1),2), "Not Found")</f>
        <v>02</v>
      </c>
      <c r="D1671" s="1">
        <f>IFERROR(VLOOKUP(MID(INDEX(Database_dermo!$A:$I, MATCH($O1671, Database_dermo!$A:$A, 0), 2),20,3),Notes!A$1:C$9,2,TRUE), "Not Found")</f>
        <v>1</v>
      </c>
      <c r="E1671" s="1">
        <f>IFERROR(INDEX(Database_dermo!$A:$I, MATCH($O1671, Database_dermo!$A:$A, 0), 3), "Not Found")</f>
        <v>63.7</v>
      </c>
      <c r="F1671" s="1" t="str">
        <f>IFERROR(INDEX(Database_repro!$A:$F, MATCH($O1671, Database_repro!$A:$A, 0), 3), "Not Found")</f>
        <v>F</v>
      </c>
      <c r="G1671" s="1">
        <f>IFERROR(INDEX(Database_repro!$A:$F, MATCH($O1671, Database_repro!$A:$A, 0), 4), "Not Found")</f>
        <v>2</v>
      </c>
      <c r="H1671" s="1" t="s">
        <v>16</v>
      </c>
      <c r="I1671" s="1" t="s">
        <v>16</v>
      </c>
      <c r="J1671" s="1" t="s">
        <v>16</v>
      </c>
      <c r="K1671" s="1" t="str">
        <f>IFERROR(INDEX(Database_repro!$A:$F, MATCH($O1671, Database_repro!$A:$A, 0), 5), "Not Found")</f>
        <v>No</v>
      </c>
      <c r="L1671" s="4" t="s">
        <v>17</v>
      </c>
      <c r="M1671" s="1" t="str">
        <f>IFERROR(IF(INDEX(Database_repro!$A:$F, MATCH($O1671, Database_repro!$A:$A, 0), 6)="N","No",IF(INDEX(Database_repro!$A:$F, MATCH($O1671, Database_repro!$A:$A, 0), 6)="Y","Yes","Z")), "Not Found")</f>
        <v>No</v>
      </c>
      <c r="N1671" s="27" t="s">
        <v>605</v>
      </c>
      <c r="O1671" t="s">
        <v>278</v>
      </c>
    </row>
    <row r="1672" spans="1:15" x14ac:dyDescent="0.2">
      <c r="A1672" s="9">
        <v>45510</v>
      </c>
      <c r="B1672" s="1" t="str">
        <f>IFERROR(VLOOKUP(MID(INDEX(Database_dermo!$A:$I, MATCH($O1672, Database_dermo!$A:$A, 0), 2),20,3),Notes!A$1:C$9,3,TRUE), "Not Found")</f>
        <v>LX-S</v>
      </c>
      <c r="C1672" s="1" t="str">
        <f>IFERROR(RIGHT(INDEX(Database_dermo!$A:$I, MATCH($O1672, Database_dermo!$A:$A, 0), 1),2), "Not Found")</f>
        <v>03</v>
      </c>
      <c r="D1672" s="1">
        <f>IFERROR(VLOOKUP(MID(INDEX(Database_dermo!$A:$I, MATCH($O1672, Database_dermo!$A:$A, 0), 2),20,3),Notes!A$1:C$9,2,TRUE), "Not Found")</f>
        <v>1</v>
      </c>
      <c r="E1672" s="1">
        <f>IFERROR(INDEX(Database_dermo!$A:$I, MATCH($O1672, Database_dermo!$A:$A, 0), 3), "Not Found")</f>
        <v>64.900000000000006</v>
      </c>
      <c r="F1672" s="1" t="str">
        <f>IFERROR(INDEX(Database_repro!$A:$F, MATCH($O1672, Database_repro!$A:$A, 0), 3), "Not Found")</f>
        <v>F</v>
      </c>
      <c r="G1672" s="1">
        <f>IFERROR(INDEX(Database_repro!$A:$F, MATCH($O1672, Database_repro!$A:$A, 0), 4), "Not Found")</f>
        <v>2</v>
      </c>
      <c r="H1672" s="1" t="s">
        <v>16</v>
      </c>
      <c r="I1672" s="1" t="s">
        <v>16</v>
      </c>
      <c r="J1672" s="1" t="s">
        <v>16</v>
      </c>
      <c r="K1672" s="1" t="str">
        <f>IFERROR(INDEX(Database_repro!$A:$F, MATCH($O1672, Database_repro!$A:$A, 0), 5), "Not Found")</f>
        <v>No</v>
      </c>
      <c r="L1672" s="4" t="s">
        <v>17</v>
      </c>
      <c r="M1672" s="1" t="str">
        <f>IFERROR(IF(INDEX(Database_repro!$A:$F, MATCH($O1672, Database_repro!$A:$A, 0), 6)="N","No",IF(INDEX(Database_repro!$A:$F, MATCH($O1672, Database_repro!$A:$A, 0), 6)="Y","Yes","Z")), "Not Found")</f>
        <v>No</v>
      </c>
      <c r="N1672" s="27" t="s">
        <v>605</v>
      </c>
      <c r="O1672" t="s">
        <v>280</v>
      </c>
    </row>
    <row r="1673" spans="1:15" x14ac:dyDescent="0.2">
      <c r="A1673" s="9">
        <v>45510</v>
      </c>
      <c r="B1673" s="1" t="str">
        <f>IFERROR(VLOOKUP(MID(INDEX(Database_dermo!$A:$I, MATCH($O1673, Database_dermo!$A:$A, 0), 2),20,3),Notes!A$1:C$9,3,TRUE), "Not Found")</f>
        <v>LX-S</v>
      </c>
      <c r="C1673" s="1" t="str">
        <f>IFERROR(RIGHT(INDEX(Database_dermo!$A:$I, MATCH($O1673, Database_dermo!$A:$A, 0), 1),2), "Not Found")</f>
        <v>04</v>
      </c>
      <c r="D1673" s="1">
        <f>IFERROR(VLOOKUP(MID(INDEX(Database_dermo!$A:$I, MATCH($O1673, Database_dermo!$A:$A, 0), 2),20,3),Notes!A$1:C$9,2,TRUE), "Not Found")</f>
        <v>1</v>
      </c>
      <c r="E1673" s="1">
        <f>IFERROR(INDEX(Database_dermo!$A:$I, MATCH($O1673, Database_dermo!$A:$A, 0), 3), "Not Found")</f>
        <v>59.3</v>
      </c>
      <c r="F1673" s="1" t="str">
        <f>IFERROR(INDEX(Database_repro!$A:$F, MATCH($O1673, Database_repro!$A:$A, 0), 3), "Not Found")</f>
        <v>M</v>
      </c>
      <c r="G1673" s="1">
        <f>IFERROR(INDEX(Database_repro!$A:$F, MATCH($O1673, Database_repro!$A:$A, 0), 4), "Not Found")</f>
        <v>2</v>
      </c>
      <c r="H1673" s="1" t="s">
        <v>16</v>
      </c>
      <c r="I1673" s="1" t="s">
        <v>16</v>
      </c>
      <c r="J1673" s="1" t="s">
        <v>16</v>
      </c>
      <c r="K1673" s="1" t="str">
        <f>IFERROR(INDEX(Database_repro!$A:$F, MATCH($O1673, Database_repro!$A:$A, 0), 5), "Not Found")</f>
        <v>No</v>
      </c>
      <c r="L1673" s="4" t="s">
        <v>17</v>
      </c>
      <c r="M1673" s="1" t="str">
        <f>IFERROR(IF(INDEX(Database_repro!$A:$F, MATCH($O1673, Database_repro!$A:$A, 0), 6)="N","No",IF(INDEX(Database_repro!$A:$F, MATCH($O1673, Database_repro!$A:$A, 0), 6)="Y","Yes","Z")), "Not Found")</f>
        <v>No</v>
      </c>
      <c r="N1673" s="27" t="s">
        <v>605</v>
      </c>
      <c r="O1673" t="s">
        <v>281</v>
      </c>
    </row>
    <row r="1674" spans="1:15" x14ac:dyDescent="0.2">
      <c r="A1674" s="9">
        <v>45510</v>
      </c>
      <c r="B1674" s="1" t="str">
        <f>IFERROR(VLOOKUP(MID(INDEX(Database_dermo!$A:$I, MATCH($O1674, Database_dermo!$A:$A, 0), 2),20,3),Notes!A$1:C$9,3,TRUE), "Not Found")</f>
        <v>LX-S</v>
      </c>
      <c r="C1674" s="1" t="str">
        <f>IFERROR(RIGHT(INDEX(Database_dermo!$A:$I, MATCH($O1674, Database_dermo!$A:$A, 0), 1),2), "Not Found")</f>
        <v>05</v>
      </c>
      <c r="D1674" s="1">
        <f>IFERROR(VLOOKUP(MID(INDEX(Database_dermo!$A:$I, MATCH($O1674, Database_dermo!$A:$A, 0), 2),20,3),Notes!A$1:C$9,2,TRUE), "Not Found")</f>
        <v>1</v>
      </c>
      <c r="E1674" s="1">
        <f>IFERROR(INDEX(Database_dermo!$A:$I, MATCH($O1674, Database_dermo!$A:$A, 0), 3), "Not Found")</f>
        <v>59.94</v>
      </c>
      <c r="F1674" s="1" t="str">
        <f>IFERROR(INDEX(Database_repro!$A:$F, MATCH($O1674, Database_repro!$A:$A, 0), 3), "Not Found")</f>
        <v>F</v>
      </c>
      <c r="G1674" s="1">
        <f>IFERROR(INDEX(Database_repro!$A:$F, MATCH($O1674, Database_repro!$A:$A, 0), 4), "Not Found")</f>
        <v>2</v>
      </c>
      <c r="H1674" s="1" t="s">
        <v>16</v>
      </c>
      <c r="I1674" s="1" t="s">
        <v>16</v>
      </c>
      <c r="J1674" s="1" t="s">
        <v>16</v>
      </c>
      <c r="K1674" s="1" t="str">
        <f>IFERROR(INDEX(Database_repro!$A:$F, MATCH($O1674, Database_repro!$A:$A, 0), 5), "Not Found")</f>
        <v>No</v>
      </c>
      <c r="L1674" s="4" t="s">
        <v>17</v>
      </c>
      <c r="M1674" s="1" t="str">
        <f>IFERROR(IF(INDEX(Database_repro!$A:$F, MATCH($O1674, Database_repro!$A:$A, 0), 6)="N","No",IF(INDEX(Database_repro!$A:$F, MATCH($O1674, Database_repro!$A:$A, 0), 6)="Y","Yes","Z")), "Not Found")</f>
        <v>No</v>
      </c>
      <c r="N1674" s="27" t="s">
        <v>605</v>
      </c>
      <c r="O1674" t="s">
        <v>282</v>
      </c>
    </row>
    <row r="1675" spans="1:15" x14ac:dyDescent="0.2">
      <c r="A1675" s="9">
        <v>45510</v>
      </c>
      <c r="B1675" s="1" t="str">
        <f>IFERROR(VLOOKUP(MID(INDEX(Database_dermo!$A:$I, MATCH($O1675, Database_dermo!$A:$A, 0), 2),20,3),Notes!A$1:C$9,3,TRUE), "Not Found")</f>
        <v>LX-S</v>
      </c>
      <c r="C1675" s="1" t="str">
        <f>IFERROR(RIGHT(INDEX(Database_dermo!$A:$I, MATCH($O1675, Database_dermo!$A:$A, 0), 1),2), "Not Found")</f>
        <v>06</v>
      </c>
      <c r="D1675" s="1">
        <f>IFERROR(VLOOKUP(MID(INDEX(Database_dermo!$A:$I, MATCH($O1675, Database_dermo!$A:$A, 0), 2),20,3),Notes!A$1:C$9,2,TRUE), "Not Found")</f>
        <v>2</v>
      </c>
      <c r="E1675" s="1">
        <f>IFERROR(INDEX(Database_dermo!$A:$I, MATCH($O1675, Database_dermo!$A:$A, 0), 3), "Not Found")</f>
        <v>55.96</v>
      </c>
      <c r="F1675" s="1" t="str">
        <f>IFERROR(INDEX(Database_repro!$A:$F, MATCH($O1675, Database_repro!$A:$A, 0), 3), "Not Found")</f>
        <v>M</v>
      </c>
      <c r="G1675" s="1">
        <f>IFERROR(INDEX(Database_repro!$A:$F, MATCH($O1675, Database_repro!$A:$A, 0), 4), "Not Found")</f>
        <v>2</v>
      </c>
      <c r="H1675" s="1" t="s">
        <v>16</v>
      </c>
      <c r="I1675" s="1" t="s">
        <v>16</v>
      </c>
      <c r="J1675" s="1" t="s">
        <v>16</v>
      </c>
      <c r="K1675" s="1" t="str">
        <f>IFERROR(INDEX(Database_repro!$A:$F, MATCH($O1675, Database_repro!$A:$A, 0), 5), "Not Found")</f>
        <v>No</v>
      </c>
      <c r="L1675" s="4" t="s">
        <v>17</v>
      </c>
      <c r="M1675" s="1" t="str">
        <f>IFERROR(IF(INDEX(Database_repro!$A:$F, MATCH($O1675, Database_repro!$A:$A, 0), 6)="N","No",IF(INDEX(Database_repro!$A:$F, MATCH($O1675, Database_repro!$A:$A, 0), 6)="Y","Yes","Z")), "Not Found")</f>
        <v>No</v>
      </c>
      <c r="N1675" s="27" t="s">
        <v>605</v>
      </c>
      <c r="O1675" t="s">
        <v>283</v>
      </c>
    </row>
    <row r="1676" spans="1:15" x14ac:dyDescent="0.2">
      <c r="A1676" s="9">
        <v>45510</v>
      </c>
      <c r="B1676" s="1" t="str">
        <f>IFERROR(VLOOKUP(MID(INDEX(Database_dermo!$A:$I, MATCH($O1676, Database_dermo!$A:$A, 0), 2),20,3),Notes!A$1:C$9,3,TRUE), "Not Found")</f>
        <v>LX-S</v>
      </c>
      <c r="C1676" s="1" t="str">
        <f>IFERROR(RIGHT(INDEX(Database_dermo!$A:$I, MATCH($O1676, Database_dermo!$A:$A, 0), 1),2), "Not Found")</f>
        <v>07</v>
      </c>
      <c r="D1676" s="1">
        <f>IFERROR(VLOOKUP(MID(INDEX(Database_dermo!$A:$I, MATCH($O1676, Database_dermo!$A:$A, 0), 2),20,3),Notes!A$1:C$9,2,TRUE), "Not Found")</f>
        <v>2</v>
      </c>
      <c r="E1676" s="1">
        <f>IFERROR(INDEX(Database_dermo!$A:$I, MATCH($O1676, Database_dermo!$A:$A, 0), 3), "Not Found")</f>
        <v>75.56</v>
      </c>
      <c r="F1676" s="1" t="str">
        <f>IFERROR(INDEX(Database_repro!$A:$F, MATCH($O1676, Database_repro!$A:$A, 0), 3), "Not Found")</f>
        <v>F</v>
      </c>
      <c r="G1676" s="1">
        <f>IFERROR(INDEX(Database_repro!$A:$F, MATCH($O1676, Database_repro!$A:$A, 0), 4), "Not Found")</f>
        <v>2</v>
      </c>
      <c r="H1676" s="1" t="s">
        <v>16</v>
      </c>
      <c r="I1676" s="1" t="s">
        <v>16</v>
      </c>
      <c r="J1676" s="1" t="s">
        <v>16</v>
      </c>
      <c r="K1676" s="1" t="str">
        <f>IFERROR(INDEX(Database_repro!$A:$F, MATCH($O1676, Database_repro!$A:$A, 0), 5), "Not Found")</f>
        <v>No</v>
      </c>
      <c r="L1676" s="4" t="s">
        <v>17</v>
      </c>
      <c r="M1676" s="1" t="str">
        <f>IFERROR(IF(INDEX(Database_repro!$A:$F, MATCH($O1676, Database_repro!$A:$A, 0), 6)="N","No",IF(INDEX(Database_repro!$A:$F, MATCH($O1676, Database_repro!$A:$A, 0), 6)="Y","Yes","Z")), "Not Found")</f>
        <v>No</v>
      </c>
      <c r="N1676" s="27" t="s">
        <v>605</v>
      </c>
      <c r="O1676" t="s">
        <v>286</v>
      </c>
    </row>
    <row r="1677" spans="1:15" x14ac:dyDescent="0.2">
      <c r="A1677" s="9">
        <v>45510</v>
      </c>
      <c r="B1677" s="1" t="str">
        <f>IFERROR(VLOOKUP(MID(INDEX(Database_dermo!$A:$I, MATCH($O1677, Database_dermo!$A:$A, 0), 2),20,3),Notes!A$1:C$9,3,TRUE), "Not Found")</f>
        <v>LX-S</v>
      </c>
      <c r="C1677" s="1" t="str">
        <f>IFERROR(RIGHT(INDEX(Database_dermo!$A:$I, MATCH($O1677, Database_dermo!$A:$A, 0), 1),2), "Not Found")</f>
        <v>08</v>
      </c>
      <c r="D1677" s="1">
        <f>IFERROR(VLOOKUP(MID(INDEX(Database_dermo!$A:$I, MATCH($O1677, Database_dermo!$A:$A, 0), 2),20,3),Notes!A$1:C$9,2,TRUE), "Not Found")</f>
        <v>2</v>
      </c>
      <c r="E1677" s="1">
        <f>IFERROR(INDEX(Database_dermo!$A:$I, MATCH($O1677, Database_dermo!$A:$A, 0), 3), "Not Found")</f>
        <v>64.44</v>
      </c>
      <c r="F1677" s="1" t="str">
        <f>IFERROR(INDEX(Database_repro!$A:$F, MATCH($O1677, Database_repro!$A:$A, 0), 3), "Not Found")</f>
        <v>F</v>
      </c>
      <c r="G1677" s="1">
        <f>IFERROR(INDEX(Database_repro!$A:$F, MATCH($O1677, Database_repro!$A:$A, 0), 4), "Not Found")</f>
        <v>2</v>
      </c>
      <c r="H1677" s="1" t="s">
        <v>16</v>
      </c>
      <c r="I1677" s="1" t="s">
        <v>16</v>
      </c>
      <c r="J1677" s="1" t="s">
        <v>16</v>
      </c>
      <c r="K1677" s="1" t="str">
        <f>IFERROR(INDEX(Database_repro!$A:$F, MATCH($O1677, Database_repro!$A:$A, 0), 5), "Not Found")</f>
        <v>Yes</v>
      </c>
      <c r="L1677" s="4" t="s">
        <v>17</v>
      </c>
      <c r="M1677" s="1" t="str">
        <f>IFERROR(IF(INDEX(Database_repro!$A:$F, MATCH($O1677, Database_repro!$A:$A, 0), 6)="N","No",IF(INDEX(Database_repro!$A:$F, MATCH($O1677, Database_repro!$A:$A, 0), 6)="Y","Yes","Z")), "Not Found")</f>
        <v>No</v>
      </c>
      <c r="N1677" s="27" t="s">
        <v>605</v>
      </c>
      <c r="O1677" t="s">
        <v>287</v>
      </c>
    </row>
    <row r="1678" spans="1:15" x14ac:dyDescent="0.2">
      <c r="A1678" s="9">
        <v>45510</v>
      </c>
      <c r="B1678" s="1" t="str">
        <f>IFERROR(VLOOKUP(MID(INDEX(Database_dermo!$A:$I, MATCH($O1678, Database_dermo!$A:$A, 0), 2),20,3),Notes!A$1:C$9,3,TRUE), "Not Found")</f>
        <v>LX-S</v>
      </c>
      <c r="C1678" s="1" t="str">
        <f>IFERROR(RIGHT(INDEX(Database_dermo!$A:$I, MATCH($O1678, Database_dermo!$A:$A, 0), 1),2), "Not Found")</f>
        <v>09</v>
      </c>
      <c r="D1678" s="1">
        <f>IFERROR(VLOOKUP(MID(INDEX(Database_dermo!$A:$I, MATCH($O1678, Database_dermo!$A:$A, 0), 2),20,3),Notes!A$1:C$9,2,TRUE), "Not Found")</f>
        <v>2</v>
      </c>
      <c r="E1678" s="1">
        <f>IFERROR(INDEX(Database_dermo!$A:$I, MATCH($O1678, Database_dermo!$A:$A, 0), 3), "Not Found")</f>
        <v>62.41</v>
      </c>
      <c r="F1678" s="1" t="str">
        <f>IFERROR(INDEX(Database_repro!$A:$F, MATCH($O1678, Database_repro!$A:$A, 0), 3), "Not Found")</f>
        <v>F</v>
      </c>
      <c r="G1678" s="1">
        <f>IFERROR(INDEX(Database_repro!$A:$F, MATCH($O1678, Database_repro!$A:$A, 0), 4), "Not Found")</f>
        <v>2</v>
      </c>
      <c r="H1678" s="1" t="s">
        <v>16</v>
      </c>
      <c r="I1678" s="1" t="s">
        <v>16</v>
      </c>
      <c r="J1678" s="1" t="s">
        <v>16</v>
      </c>
      <c r="K1678" s="1" t="str">
        <f>IFERROR(INDEX(Database_repro!$A:$F, MATCH($O1678, Database_repro!$A:$A, 0), 5), "Not Found")</f>
        <v>No</v>
      </c>
      <c r="L1678" s="4" t="s">
        <v>17</v>
      </c>
      <c r="M1678" s="1" t="str">
        <f>IFERROR(IF(INDEX(Database_repro!$A:$F, MATCH($O1678, Database_repro!$A:$A, 0), 6)="N","No",IF(INDEX(Database_repro!$A:$F, MATCH($O1678, Database_repro!$A:$A, 0), 6)="Y","Yes","Z")), "Not Found")</f>
        <v>No</v>
      </c>
      <c r="N1678" s="27" t="s">
        <v>605</v>
      </c>
      <c r="O1678" t="s">
        <v>288</v>
      </c>
    </row>
    <row r="1679" spans="1:15" x14ac:dyDescent="0.2">
      <c r="A1679" s="9">
        <v>45510</v>
      </c>
      <c r="B1679" s="1" t="str">
        <f>IFERROR(VLOOKUP(MID(INDEX(Database_dermo!$A:$I, MATCH($O1679, Database_dermo!$A:$A, 0), 2),20,3),Notes!A$1:C$9,3,TRUE), "Not Found")</f>
        <v>LX-S</v>
      </c>
      <c r="C1679" s="1" t="str">
        <f>IFERROR(RIGHT(INDEX(Database_dermo!$A:$I, MATCH($O1679, Database_dermo!$A:$A, 0), 1),2), "Not Found")</f>
        <v>10</v>
      </c>
      <c r="D1679" s="1">
        <f>IFERROR(VLOOKUP(MID(INDEX(Database_dermo!$A:$I, MATCH($O1679, Database_dermo!$A:$A, 0), 2),20,3),Notes!A$1:C$9,2,TRUE), "Not Found")</f>
        <v>2</v>
      </c>
      <c r="E1679" s="1">
        <f>IFERROR(INDEX(Database_dermo!$A:$I, MATCH($O1679, Database_dermo!$A:$A, 0), 3), "Not Found")</f>
        <v>54.11</v>
      </c>
      <c r="F1679" s="1" t="str">
        <f>IFERROR(INDEX(Database_repro!$A:$F, MATCH($O1679, Database_repro!$A:$A, 0), 3), "Not Found")</f>
        <v>F</v>
      </c>
      <c r="G1679" s="1">
        <f>IFERROR(INDEX(Database_repro!$A:$F, MATCH($O1679, Database_repro!$A:$A, 0), 4), "Not Found")</f>
        <v>2</v>
      </c>
      <c r="H1679" s="1" t="s">
        <v>16</v>
      </c>
      <c r="I1679" s="1" t="s">
        <v>16</v>
      </c>
      <c r="J1679" s="1" t="s">
        <v>16</v>
      </c>
      <c r="K1679" s="1" t="str">
        <f>IFERROR(INDEX(Database_repro!$A:$F, MATCH($O1679, Database_repro!$A:$A, 0), 5), "Not Found")</f>
        <v>No</v>
      </c>
      <c r="L1679" s="4" t="s">
        <v>17</v>
      </c>
      <c r="M1679" s="1" t="str">
        <f>IFERROR(IF(INDEX(Database_repro!$A:$F, MATCH($O1679, Database_repro!$A:$A, 0), 6)="N","No",IF(INDEX(Database_repro!$A:$F, MATCH($O1679, Database_repro!$A:$A, 0), 6)="Y","Yes","Z")), "Not Found")</f>
        <v>No</v>
      </c>
      <c r="N1679" s="27" t="s">
        <v>605</v>
      </c>
      <c r="O1679" t="s">
        <v>289</v>
      </c>
    </row>
    <row r="1680" spans="1:15" x14ac:dyDescent="0.2">
      <c r="A1680" s="9">
        <v>45510</v>
      </c>
      <c r="B1680" s="1" t="str">
        <f>IFERROR(VLOOKUP(MID(INDEX(Database_dermo!$A:$I, MATCH($O1680, Database_dermo!$A:$A, 0), 2),20,3),Notes!A$1:C$9,3,TRUE), "Not Found")</f>
        <v>LX-S</v>
      </c>
      <c r="C1680" s="1" t="str">
        <f>IFERROR(RIGHT(INDEX(Database_dermo!$A:$I, MATCH($O1680, Database_dermo!$A:$A, 0), 1),2), "Not Found")</f>
        <v>11</v>
      </c>
      <c r="D1680" s="1">
        <f>IFERROR(VLOOKUP(MID(INDEX(Database_dermo!$A:$I, MATCH($O1680, Database_dermo!$A:$A, 0), 2),20,3),Notes!A$1:C$9,2,TRUE), "Not Found")</f>
        <v>3</v>
      </c>
      <c r="E1680" s="1">
        <f>IFERROR(INDEX(Database_dermo!$A:$I, MATCH($O1680, Database_dermo!$A:$A, 0), 3), "Not Found")</f>
        <v>77.86</v>
      </c>
      <c r="F1680" s="1" t="str">
        <f>IFERROR(INDEX(Database_repro!$A:$F, MATCH($O1680, Database_repro!$A:$A, 0), 3), "Not Found")</f>
        <v>M</v>
      </c>
      <c r="G1680" s="1">
        <f>IFERROR(INDEX(Database_repro!$A:$F, MATCH($O1680, Database_repro!$A:$A, 0), 4), "Not Found")</f>
        <v>2</v>
      </c>
      <c r="H1680" s="1" t="s">
        <v>16</v>
      </c>
      <c r="I1680" s="1" t="s">
        <v>16</v>
      </c>
      <c r="J1680" s="1" t="s">
        <v>16</v>
      </c>
      <c r="K1680" s="1" t="str">
        <f>IFERROR(INDEX(Database_repro!$A:$F, MATCH($O1680, Database_repro!$A:$A, 0), 5), "Not Found")</f>
        <v>No</v>
      </c>
      <c r="L1680" s="4" t="s">
        <v>17</v>
      </c>
      <c r="M1680" s="1" t="str">
        <f>IFERROR(IF(INDEX(Database_repro!$A:$F, MATCH($O1680, Database_repro!$A:$A, 0), 6)="N","No",IF(INDEX(Database_repro!$A:$F, MATCH($O1680, Database_repro!$A:$A, 0), 6)="Y","Yes","Z")), "Not Found")</f>
        <v>No</v>
      </c>
      <c r="N1680" s="27" t="s">
        <v>605</v>
      </c>
      <c r="O1680" t="s">
        <v>290</v>
      </c>
    </row>
    <row r="1681" spans="1:15" x14ac:dyDescent="0.2">
      <c r="A1681" s="9">
        <v>45510</v>
      </c>
      <c r="B1681" s="1" t="str">
        <f>IFERROR(VLOOKUP(MID(INDEX(Database_dermo!$A:$I, MATCH($O1681, Database_dermo!$A:$A, 0), 2),20,3),Notes!A$1:C$9,3,TRUE), "Not Found")</f>
        <v>LX-S</v>
      </c>
      <c r="C1681" s="1" t="str">
        <f>IFERROR(RIGHT(INDEX(Database_dermo!$A:$I, MATCH($O1681, Database_dermo!$A:$A, 0), 1),2), "Not Found")</f>
        <v>12</v>
      </c>
      <c r="D1681" s="1">
        <f>IFERROR(VLOOKUP(MID(INDEX(Database_dermo!$A:$I, MATCH($O1681, Database_dermo!$A:$A, 0), 2),20,3),Notes!A$1:C$9,2,TRUE), "Not Found")</f>
        <v>3</v>
      </c>
      <c r="E1681" s="1">
        <f>IFERROR(INDEX(Database_dermo!$A:$I, MATCH($O1681, Database_dermo!$A:$A, 0), 3), "Not Found")</f>
        <v>99.62</v>
      </c>
      <c r="F1681" s="1" t="str">
        <f>IFERROR(INDEX(Database_repro!$A:$F, MATCH($O1681, Database_repro!$A:$A, 0), 3), "Not Found")</f>
        <v>F</v>
      </c>
      <c r="G1681" s="1">
        <f>IFERROR(INDEX(Database_repro!$A:$F, MATCH($O1681, Database_repro!$A:$A, 0), 4), "Not Found")</f>
        <v>2</v>
      </c>
      <c r="H1681" s="1" t="s">
        <v>16</v>
      </c>
      <c r="I1681" s="1" t="s">
        <v>16</v>
      </c>
      <c r="J1681" s="1" t="s">
        <v>16</v>
      </c>
      <c r="K1681" s="1" t="str">
        <f>IFERROR(INDEX(Database_repro!$A:$F, MATCH($O1681, Database_repro!$A:$A, 0), 5), "Not Found")</f>
        <v>Yes</v>
      </c>
      <c r="L1681" s="4" t="s">
        <v>17</v>
      </c>
      <c r="M1681" s="1" t="str">
        <f>IFERROR(IF(INDEX(Database_repro!$A:$F, MATCH($O1681, Database_repro!$A:$A, 0), 6)="N","No",IF(INDEX(Database_repro!$A:$F, MATCH($O1681, Database_repro!$A:$A, 0), 6)="Y","Yes","Z")), "Not Found")</f>
        <v>No</v>
      </c>
      <c r="N1681" s="27" t="s">
        <v>605</v>
      </c>
      <c r="O1681" t="s">
        <v>292</v>
      </c>
    </row>
    <row r="1682" spans="1:15" x14ac:dyDescent="0.2">
      <c r="A1682" s="9">
        <v>45510</v>
      </c>
      <c r="B1682" s="1" t="str">
        <f>IFERROR(VLOOKUP(MID(INDEX(Database_dermo!$A:$I, MATCH($O1682, Database_dermo!$A:$A, 0), 2),20,3),Notes!A$1:C$9,3,TRUE), "Not Found")</f>
        <v>LX-S</v>
      </c>
      <c r="C1682" s="1" t="str">
        <f>IFERROR(RIGHT(INDEX(Database_dermo!$A:$I, MATCH($O1682, Database_dermo!$A:$A, 0), 1),2), "Not Found")</f>
        <v>13</v>
      </c>
      <c r="D1682" s="1">
        <f>IFERROR(VLOOKUP(MID(INDEX(Database_dermo!$A:$I, MATCH($O1682, Database_dermo!$A:$A, 0), 2),20,3),Notes!A$1:C$9,2,TRUE), "Not Found")</f>
        <v>3</v>
      </c>
      <c r="E1682" s="1">
        <f>IFERROR(INDEX(Database_dermo!$A:$I, MATCH($O1682, Database_dermo!$A:$A, 0), 3), "Not Found")</f>
        <v>80.78</v>
      </c>
      <c r="F1682" s="1" t="str">
        <f>IFERROR(INDEX(Database_repro!$A:$F, MATCH($O1682, Database_repro!$A:$A, 0), 3), "Not Found")</f>
        <v>F</v>
      </c>
      <c r="G1682" s="1">
        <f>IFERROR(INDEX(Database_repro!$A:$F, MATCH($O1682, Database_repro!$A:$A, 0), 4), "Not Found")</f>
        <v>2</v>
      </c>
      <c r="H1682" s="1" t="s">
        <v>16</v>
      </c>
      <c r="I1682" s="1" t="s">
        <v>16</v>
      </c>
      <c r="J1682" s="1" t="s">
        <v>16</v>
      </c>
      <c r="K1682" s="1" t="str">
        <f>IFERROR(INDEX(Database_repro!$A:$F, MATCH($O1682, Database_repro!$A:$A, 0), 5), "Not Found")</f>
        <v>No</v>
      </c>
      <c r="L1682" s="4" t="s">
        <v>17</v>
      </c>
      <c r="M1682" s="1" t="str">
        <f>IFERROR(IF(INDEX(Database_repro!$A:$F, MATCH($O1682, Database_repro!$A:$A, 0), 6)="N","No",IF(INDEX(Database_repro!$A:$F, MATCH($O1682, Database_repro!$A:$A, 0), 6)="Y","Yes","Z")), "Not Found")</f>
        <v>No</v>
      </c>
      <c r="N1682" s="27" t="s">
        <v>605</v>
      </c>
      <c r="O1682" t="s">
        <v>293</v>
      </c>
    </row>
    <row r="1683" spans="1:15" x14ac:dyDescent="0.2">
      <c r="A1683" s="9">
        <v>45510</v>
      </c>
      <c r="B1683" s="1" t="str">
        <f>IFERROR(VLOOKUP(MID(INDEX(Database_dermo!$A:$I, MATCH($O1683, Database_dermo!$A:$A, 0), 2),20,3),Notes!A$1:C$9,3,TRUE), "Not Found")</f>
        <v>LX-S</v>
      </c>
      <c r="C1683" s="1" t="str">
        <f>IFERROR(RIGHT(INDEX(Database_dermo!$A:$I, MATCH($O1683, Database_dermo!$A:$A, 0), 1),2), "Not Found")</f>
        <v>14</v>
      </c>
      <c r="D1683" s="1">
        <f>IFERROR(VLOOKUP(MID(INDEX(Database_dermo!$A:$I, MATCH($O1683, Database_dermo!$A:$A, 0), 2),20,3),Notes!A$1:C$9,2,TRUE), "Not Found")</f>
        <v>3</v>
      </c>
      <c r="E1683" s="1">
        <f>IFERROR(INDEX(Database_dermo!$A:$I, MATCH($O1683, Database_dermo!$A:$A, 0), 3), "Not Found")</f>
        <v>67.17</v>
      </c>
      <c r="F1683" s="1" t="str">
        <f>IFERROR(INDEX(Database_repro!$A:$F, MATCH($O1683, Database_repro!$A:$A, 0), 3), "Not Found")</f>
        <v>F</v>
      </c>
      <c r="G1683" s="1">
        <f>IFERROR(INDEX(Database_repro!$A:$F, MATCH($O1683, Database_repro!$A:$A, 0), 4), "Not Found")</f>
        <v>2</v>
      </c>
      <c r="H1683" s="1" t="s">
        <v>16</v>
      </c>
      <c r="I1683" s="1" t="s">
        <v>16</v>
      </c>
      <c r="J1683" s="1" t="s">
        <v>16</v>
      </c>
      <c r="K1683" s="1" t="str">
        <f>IFERROR(INDEX(Database_repro!$A:$F, MATCH($O1683, Database_repro!$A:$A, 0), 5), "Not Found")</f>
        <v>No</v>
      </c>
      <c r="L1683" s="4" t="s">
        <v>17</v>
      </c>
      <c r="M1683" s="1" t="str">
        <f>IFERROR(IF(INDEX(Database_repro!$A:$F, MATCH($O1683, Database_repro!$A:$A, 0), 6)="N","No",IF(INDEX(Database_repro!$A:$F, MATCH($O1683, Database_repro!$A:$A, 0), 6)="Y","Yes","Z")), "Not Found")</f>
        <v>No</v>
      </c>
      <c r="N1683" s="27" t="s">
        <v>605</v>
      </c>
      <c r="O1683" t="s">
        <v>294</v>
      </c>
    </row>
    <row r="1684" spans="1:15" x14ac:dyDescent="0.2">
      <c r="A1684" s="9">
        <v>45510</v>
      </c>
      <c r="B1684" s="1" t="str">
        <f>IFERROR(VLOOKUP(MID(INDEX(Database_dermo!$A:$I, MATCH($O1684, Database_dermo!$A:$A, 0), 2),20,3),Notes!A$1:C$9,3,TRUE), "Not Found")</f>
        <v>LX-S</v>
      </c>
      <c r="C1684" s="1" t="str">
        <f>IFERROR(RIGHT(INDEX(Database_dermo!$A:$I, MATCH($O1684, Database_dermo!$A:$A, 0), 1),2), "Not Found")</f>
        <v>15</v>
      </c>
      <c r="D1684" s="1">
        <f>IFERROR(VLOOKUP(MID(INDEX(Database_dermo!$A:$I, MATCH($O1684, Database_dermo!$A:$A, 0), 2),20,3),Notes!A$1:C$9,2,TRUE), "Not Found")</f>
        <v>3</v>
      </c>
      <c r="E1684" s="1">
        <f>IFERROR(INDEX(Database_dermo!$A:$I, MATCH($O1684, Database_dermo!$A:$A, 0), 3), "Not Found")</f>
        <v>70.8</v>
      </c>
      <c r="F1684" s="1" t="str">
        <f>IFERROR(INDEX(Database_repro!$A:$F, MATCH($O1684, Database_repro!$A:$A, 0), 3), "Not Found")</f>
        <v>F</v>
      </c>
      <c r="G1684" s="1">
        <f>IFERROR(INDEX(Database_repro!$A:$F, MATCH($O1684, Database_repro!$A:$A, 0), 4), "Not Found")</f>
        <v>2</v>
      </c>
      <c r="H1684" s="1" t="s">
        <v>16</v>
      </c>
      <c r="I1684" s="1" t="s">
        <v>16</v>
      </c>
      <c r="J1684" s="1" t="s">
        <v>16</v>
      </c>
      <c r="K1684" s="1" t="str">
        <f>IFERROR(INDEX(Database_repro!$A:$F, MATCH($O1684, Database_repro!$A:$A, 0), 5), "Not Found")</f>
        <v>No</v>
      </c>
      <c r="L1684" s="4" t="s">
        <v>17</v>
      </c>
      <c r="M1684" s="1" t="str">
        <f>IFERROR(IF(INDEX(Database_repro!$A:$F, MATCH($O1684, Database_repro!$A:$A, 0), 6)="N","No",IF(INDEX(Database_repro!$A:$F, MATCH($O1684, Database_repro!$A:$A, 0), 6)="Y","Yes","Z")), "Not Found")</f>
        <v>No</v>
      </c>
      <c r="N1684" s="27" t="s">
        <v>605</v>
      </c>
      <c r="O1684" t="s">
        <v>295</v>
      </c>
    </row>
    <row r="1685" spans="1:15" x14ac:dyDescent="0.2">
      <c r="A1685" s="9">
        <v>45539</v>
      </c>
      <c r="B1685" s="1" t="str">
        <f>IFERROR(VLOOKUP(MID(INDEX(Database_dermo!$A:$I, MATCH($O1685, Database_dermo!$A:$A, 0), 2),20,3),Notes!A$1:C$9,3,TRUE), "Not Found")</f>
        <v>LX-S</v>
      </c>
      <c r="C1685" s="1" t="str">
        <f>IFERROR(RIGHT(INDEX(Database_dermo!$A:$I, MATCH($O1685, Database_dermo!$A:$A, 0), 1),2), "Not Found")</f>
        <v>01</v>
      </c>
      <c r="D1685" s="1">
        <f>IFERROR(VLOOKUP(MID(INDEX(Database_dermo!$A:$I, MATCH($O1685, Database_dermo!$A:$A, 0), 2),20,3),Notes!A$1:C$9,2,TRUE), "Not Found")</f>
        <v>1</v>
      </c>
      <c r="E1685" s="1">
        <f>IFERROR(INDEX(Database_dermo!$A:$I, MATCH($O1685, Database_dermo!$A:$A, 0), 3), "Not Found")</f>
        <v>66.459999999999994</v>
      </c>
      <c r="F1685" s="1" t="str">
        <f>IFERROR(INDEX(Database_repro!$A:$F, MATCH($O1685, Database_repro!$A:$A, 0), 3), "Not Found")</f>
        <v>F</v>
      </c>
      <c r="G1685" s="1">
        <f>IFERROR(INDEX(Database_repro!$A:$F, MATCH($O1685, Database_repro!$A:$A, 0), 4), "Not Found")</f>
        <v>2</v>
      </c>
      <c r="H1685" s="1" t="s">
        <v>16</v>
      </c>
      <c r="I1685" s="1" t="s">
        <v>16</v>
      </c>
      <c r="J1685" s="1" t="s">
        <v>16</v>
      </c>
      <c r="K1685" s="1" t="str">
        <f>IFERROR(INDEX(Database_repro!$A:$F, MATCH($O1685, Database_repro!$A:$A, 0), 5), "Not Found")</f>
        <v>Yes</v>
      </c>
      <c r="L1685" s="4" t="s">
        <v>17</v>
      </c>
      <c r="M1685" s="1" t="str">
        <f>IFERROR(IF(INDEX(Database_repro!$A:$F, MATCH($O1685, Database_repro!$A:$A, 0), 6)="N","No",IF(INDEX(Database_repro!$A:$F, MATCH($O1685, Database_repro!$A:$A, 0), 6)="Y","Yes","Z")), "Not Found")</f>
        <v>No</v>
      </c>
      <c r="N1685" s="27" t="s">
        <v>605</v>
      </c>
      <c r="O1685" t="s">
        <v>296</v>
      </c>
    </row>
    <row r="1686" spans="1:15" x14ac:dyDescent="0.2">
      <c r="A1686" s="9">
        <v>45539</v>
      </c>
      <c r="B1686" s="1" t="str">
        <f>IFERROR(VLOOKUP(MID(INDEX(Database_dermo!$A:$I, MATCH($O1686, Database_dermo!$A:$A, 0), 2),20,3),Notes!A$1:C$9,3,TRUE), "Not Found")</f>
        <v>LX-S</v>
      </c>
      <c r="C1686" s="1" t="str">
        <f>IFERROR(RIGHT(INDEX(Database_dermo!$A:$I, MATCH($O1686, Database_dermo!$A:$A, 0), 1),2), "Not Found")</f>
        <v>02</v>
      </c>
      <c r="D1686" s="1">
        <f>IFERROR(VLOOKUP(MID(INDEX(Database_dermo!$A:$I, MATCH($O1686, Database_dermo!$A:$A, 0), 2),20,3),Notes!A$1:C$9,2,TRUE), "Not Found")</f>
        <v>1</v>
      </c>
      <c r="E1686" s="1">
        <f>IFERROR(INDEX(Database_dermo!$A:$I, MATCH($O1686, Database_dermo!$A:$A, 0), 3), "Not Found")</f>
        <v>49.48</v>
      </c>
      <c r="F1686" s="1" t="str">
        <f>IFERROR(INDEX(Database_repro!$A:$F, MATCH($O1686, Database_repro!$A:$A, 0), 3), "Not Found")</f>
        <v>F</v>
      </c>
      <c r="G1686" s="1">
        <f>IFERROR(INDEX(Database_repro!$A:$F, MATCH($O1686, Database_repro!$A:$A, 0), 4), "Not Found")</f>
        <v>2</v>
      </c>
      <c r="H1686" s="1" t="s">
        <v>16</v>
      </c>
      <c r="I1686" s="1" t="s">
        <v>16</v>
      </c>
      <c r="J1686" s="1" t="s">
        <v>16</v>
      </c>
      <c r="K1686" s="1" t="str">
        <f>IFERROR(INDEX(Database_repro!$A:$F, MATCH($O1686, Database_repro!$A:$A, 0), 5), "Not Found")</f>
        <v>No</v>
      </c>
      <c r="L1686" s="4" t="s">
        <v>17</v>
      </c>
      <c r="M1686" s="1" t="str">
        <f>IFERROR(IF(INDEX(Database_repro!$A:$F, MATCH($O1686, Database_repro!$A:$A, 0), 6)="N","No",IF(INDEX(Database_repro!$A:$F, MATCH($O1686, Database_repro!$A:$A, 0), 6)="Y","Yes","Z")), "Not Found")</f>
        <v>No</v>
      </c>
      <c r="N1686" s="27" t="s">
        <v>605</v>
      </c>
      <c r="O1686" t="s">
        <v>299</v>
      </c>
    </row>
    <row r="1687" spans="1:15" x14ac:dyDescent="0.2">
      <c r="A1687" s="9">
        <v>45539</v>
      </c>
      <c r="B1687" s="1" t="str">
        <f>IFERROR(VLOOKUP(MID(INDEX(Database_dermo!$A:$I, MATCH($O1687, Database_dermo!$A:$A, 0), 2),20,3),Notes!A$1:C$9,3,TRUE), "Not Found")</f>
        <v>LX-S</v>
      </c>
      <c r="C1687" s="1" t="str">
        <f>IFERROR(RIGHT(INDEX(Database_dermo!$A:$I, MATCH($O1687, Database_dermo!$A:$A, 0), 1),2), "Not Found")</f>
        <v>03</v>
      </c>
      <c r="D1687" s="1">
        <f>IFERROR(VLOOKUP(MID(INDEX(Database_dermo!$A:$I, MATCH($O1687, Database_dermo!$A:$A, 0), 2),20,3),Notes!A$1:C$9,2,TRUE), "Not Found")</f>
        <v>1</v>
      </c>
      <c r="E1687" s="1">
        <f>IFERROR(INDEX(Database_dermo!$A:$I, MATCH($O1687, Database_dermo!$A:$A, 0), 3), "Not Found")</f>
        <v>48.47</v>
      </c>
      <c r="F1687" s="1" t="str">
        <f>IFERROR(INDEX(Database_repro!$A:$F, MATCH($O1687, Database_repro!$A:$A, 0), 3), "Not Found")</f>
        <v>F</v>
      </c>
      <c r="G1687" s="1">
        <f>IFERROR(INDEX(Database_repro!$A:$F, MATCH($O1687, Database_repro!$A:$A, 0), 4), "Not Found")</f>
        <v>2</v>
      </c>
      <c r="H1687" s="1" t="s">
        <v>16</v>
      </c>
      <c r="I1687" s="1" t="s">
        <v>16</v>
      </c>
      <c r="J1687" s="1" t="s">
        <v>16</v>
      </c>
      <c r="K1687" s="1" t="str">
        <f>IFERROR(INDEX(Database_repro!$A:$F, MATCH($O1687, Database_repro!$A:$A, 0), 5), "Not Found")</f>
        <v>No</v>
      </c>
      <c r="L1687" s="4" t="s">
        <v>17</v>
      </c>
      <c r="M1687" s="1" t="str">
        <f>IFERROR(IF(INDEX(Database_repro!$A:$F, MATCH($O1687, Database_repro!$A:$A, 0), 6)="N","No",IF(INDEX(Database_repro!$A:$F, MATCH($O1687, Database_repro!$A:$A, 0), 6)="Y","Yes","Z")), "Not Found")</f>
        <v>No</v>
      </c>
      <c r="N1687" s="27" t="s">
        <v>605</v>
      </c>
      <c r="O1687" t="s">
        <v>300</v>
      </c>
    </row>
    <row r="1688" spans="1:15" x14ac:dyDescent="0.2">
      <c r="A1688" s="9">
        <v>45539</v>
      </c>
      <c r="B1688" s="1" t="str">
        <f>IFERROR(VLOOKUP(MID(INDEX(Database_dermo!$A:$I, MATCH($O1688, Database_dermo!$A:$A, 0), 2),20,3),Notes!A$1:C$9,3,TRUE), "Not Found")</f>
        <v>LX-S</v>
      </c>
      <c r="C1688" s="1" t="str">
        <f>IFERROR(RIGHT(INDEX(Database_dermo!$A:$I, MATCH($O1688, Database_dermo!$A:$A, 0), 1),2), "Not Found")</f>
        <v>04</v>
      </c>
      <c r="D1688" s="1">
        <f>IFERROR(VLOOKUP(MID(INDEX(Database_dermo!$A:$I, MATCH($O1688, Database_dermo!$A:$A, 0), 2),20,3),Notes!A$1:C$9,2,TRUE), "Not Found")</f>
        <v>1</v>
      </c>
      <c r="E1688" s="1">
        <f>IFERROR(INDEX(Database_dermo!$A:$I, MATCH($O1688, Database_dermo!$A:$A, 0), 3), "Not Found")</f>
        <v>59.18</v>
      </c>
      <c r="F1688" s="1" t="str">
        <f>IFERROR(INDEX(Database_repro!$A:$F, MATCH($O1688, Database_repro!$A:$A, 0), 3), "Not Found")</f>
        <v>F</v>
      </c>
      <c r="G1688" s="1">
        <f>IFERROR(INDEX(Database_repro!$A:$F, MATCH($O1688, Database_repro!$A:$A, 0), 4), "Not Found")</f>
        <v>2</v>
      </c>
      <c r="H1688" s="1" t="s">
        <v>16</v>
      </c>
      <c r="I1688" s="1" t="s">
        <v>16</v>
      </c>
      <c r="J1688" s="1" t="s">
        <v>16</v>
      </c>
      <c r="K1688" s="1" t="str">
        <f>IFERROR(INDEX(Database_repro!$A:$F, MATCH($O1688, Database_repro!$A:$A, 0), 5), "Not Found")</f>
        <v>No</v>
      </c>
      <c r="L1688" s="4" t="s">
        <v>17</v>
      </c>
      <c r="M1688" s="1" t="str">
        <f>IFERROR(IF(INDEX(Database_repro!$A:$F, MATCH($O1688, Database_repro!$A:$A, 0), 6)="N","No",IF(INDEX(Database_repro!$A:$F, MATCH($O1688, Database_repro!$A:$A, 0), 6)="Y","Yes","Z")), "Not Found")</f>
        <v>No</v>
      </c>
      <c r="N1688" s="27" t="s">
        <v>605</v>
      </c>
      <c r="O1688" t="s">
        <v>301</v>
      </c>
    </row>
    <row r="1689" spans="1:15" x14ac:dyDescent="0.2">
      <c r="A1689" s="9">
        <v>45539</v>
      </c>
      <c r="B1689" s="1" t="str">
        <f>IFERROR(VLOOKUP(MID(INDEX(Database_dermo!$A:$I, MATCH($O1689, Database_dermo!$A:$A, 0), 2),20,3),Notes!A$1:C$9,3,TRUE), "Not Found")</f>
        <v>LX-S</v>
      </c>
      <c r="C1689" s="1" t="str">
        <f>IFERROR(RIGHT(INDEX(Database_dermo!$A:$I, MATCH($O1689, Database_dermo!$A:$A, 0), 1),2), "Not Found")</f>
        <v>05</v>
      </c>
      <c r="D1689" s="1">
        <f>IFERROR(VLOOKUP(MID(INDEX(Database_dermo!$A:$I, MATCH($O1689, Database_dermo!$A:$A, 0), 2),20,3),Notes!A$1:C$9,2,TRUE), "Not Found")</f>
        <v>1</v>
      </c>
      <c r="E1689" s="1">
        <f>IFERROR(INDEX(Database_dermo!$A:$I, MATCH($O1689, Database_dermo!$A:$A, 0), 3), "Not Found")</f>
        <v>49.28</v>
      </c>
      <c r="F1689" s="1" t="str">
        <f>IFERROR(INDEX(Database_repro!$A:$F, MATCH($O1689, Database_repro!$A:$A, 0), 3), "Not Found")</f>
        <v>F</v>
      </c>
      <c r="G1689" s="1">
        <f>IFERROR(INDEX(Database_repro!$A:$F, MATCH($O1689, Database_repro!$A:$A, 0), 4), "Not Found")</f>
        <v>2</v>
      </c>
      <c r="H1689" s="1" t="s">
        <v>16</v>
      </c>
      <c r="I1689" s="1" t="s">
        <v>16</v>
      </c>
      <c r="J1689" s="1" t="s">
        <v>16</v>
      </c>
      <c r="K1689" s="1" t="str">
        <f>IFERROR(INDEX(Database_repro!$A:$F, MATCH($O1689, Database_repro!$A:$A, 0), 5), "Not Found")</f>
        <v>Yes</v>
      </c>
      <c r="L1689" s="4" t="s">
        <v>17</v>
      </c>
      <c r="M1689" s="1" t="str">
        <f>IFERROR(IF(INDEX(Database_repro!$A:$F, MATCH($O1689, Database_repro!$A:$A, 0), 6)="N","No",IF(INDEX(Database_repro!$A:$F, MATCH($O1689, Database_repro!$A:$A, 0), 6)="Y","Yes","Z")), "Not Found")</f>
        <v>No</v>
      </c>
      <c r="N1689" s="27" t="s">
        <v>605</v>
      </c>
      <c r="O1689" t="s">
        <v>302</v>
      </c>
    </row>
    <row r="1690" spans="1:15" x14ac:dyDescent="0.2">
      <c r="A1690" s="9">
        <v>45539</v>
      </c>
      <c r="B1690" s="1" t="str">
        <f>IFERROR(VLOOKUP(MID(INDEX(Database_dermo!$A:$I, MATCH($O1690, Database_dermo!$A:$A, 0), 2),20,3),Notes!A$1:C$9,3,TRUE), "Not Found")</f>
        <v>LX-S</v>
      </c>
      <c r="C1690" s="1" t="str">
        <f>IFERROR(RIGHT(INDEX(Database_dermo!$A:$I, MATCH($O1690, Database_dermo!$A:$A, 0), 1),2), "Not Found")</f>
        <v>06</v>
      </c>
      <c r="D1690" s="1">
        <f>IFERROR(VLOOKUP(MID(INDEX(Database_dermo!$A:$I, MATCH($O1690, Database_dermo!$A:$A, 0), 2),20,3),Notes!A$1:C$9,2,TRUE), "Not Found")</f>
        <v>2</v>
      </c>
      <c r="E1690" s="1">
        <f>IFERROR(INDEX(Database_dermo!$A:$I, MATCH($O1690, Database_dermo!$A:$A, 0), 3), "Not Found")</f>
        <v>53.37</v>
      </c>
      <c r="F1690" s="1" t="str">
        <f>IFERROR(INDEX(Database_repro!$A:$F, MATCH($O1690, Database_repro!$A:$A, 0), 3), "Not Found")</f>
        <v>F</v>
      </c>
      <c r="G1690" s="1">
        <f>IFERROR(INDEX(Database_repro!$A:$F, MATCH($O1690, Database_repro!$A:$A, 0), 4), "Not Found")</f>
        <v>2</v>
      </c>
      <c r="H1690" s="1" t="s">
        <v>16</v>
      </c>
      <c r="I1690" s="1" t="s">
        <v>16</v>
      </c>
      <c r="J1690" s="1" t="s">
        <v>16</v>
      </c>
      <c r="K1690" s="1" t="str">
        <f>IFERROR(INDEX(Database_repro!$A:$F, MATCH($O1690, Database_repro!$A:$A, 0), 5), "Not Found")</f>
        <v>No</v>
      </c>
      <c r="L1690" s="4" t="s">
        <v>17</v>
      </c>
      <c r="M1690" s="1" t="str">
        <f>IFERROR(IF(INDEX(Database_repro!$A:$F, MATCH($O1690, Database_repro!$A:$A, 0), 6)="N","No",IF(INDEX(Database_repro!$A:$F, MATCH($O1690, Database_repro!$A:$A, 0), 6)="Y","Yes","Z")), "Not Found")</f>
        <v>No</v>
      </c>
      <c r="N1690" s="27" t="s">
        <v>605</v>
      </c>
      <c r="O1690" t="s">
        <v>303</v>
      </c>
    </row>
    <row r="1691" spans="1:15" x14ac:dyDescent="0.2">
      <c r="A1691" s="9">
        <v>45539</v>
      </c>
      <c r="B1691" s="1" t="str">
        <f>IFERROR(VLOOKUP(MID(INDEX(Database_dermo!$A:$I, MATCH($O1691, Database_dermo!$A:$A, 0), 2),20,3),Notes!A$1:C$9,3,TRUE), "Not Found")</f>
        <v>LX-S</v>
      </c>
      <c r="C1691" s="1" t="str">
        <f>IFERROR(RIGHT(INDEX(Database_dermo!$A:$I, MATCH($O1691, Database_dermo!$A:$A, 0), 1),2), "Not Found")</f>
        <v>07</v>
      </c>
      <c r="D1691" s="1">
        <f>IFERROR(VLOOKUP(MID(INDEX(Database_dermo!$A:$I, MATCH($O1691, Database_dermo!$A:$A, 0), 2),20,3),Notes!A$1:C$9,2,TRUE), "Not Found")</f>
        <v>2</v>
      </c>
      <c r="E1691" s="1">
        <f>IFERROR(INDEX(Database_dermo!$A:$I, MATCH($O1691, Database_dermo!$A:$A, 0), 3), "Not Found")</f>
        <v>58.53</v>
      </c>
      <c r="F1691" s="1" t="str">
        <f>IFERROR(INDEX(Database_repro!$A:$F, MATCH($O1691, Database_repro!$A:$A, 0), 3), "Not Found")</f>
        <v>M</v>
      </c>
      <c r="G1691" s="1">
        <f>IFERROR(INDEX(Database_repro!$A:$F, MATCH($O1691, Database_repro!$A:$A, 0), 4), "Not Found")</f>
        <v>2</v>
      </c>
      <c r="H1691" s="1" t="s">
        <v>16</v>
      </c>
      <c r="I1691" s="1" t="s">
        <v>16</v>
      </c>
      <c r="J1691" s="1" t="s">
        <v>16</v>
      </c>
      <c r="K1691" s="1" t="str">
        <f>IFERROR(INDEX(Database_repro!$A:$F, MATCH($O1691, Database_repro!$A:$A, 0), 5), "Not Found")</f>
        <v>No</v>
      </c>
      <c r="L1691" s="4" t="s">
        <v>17</v>
      </c>
      <c r="M1691" s="1" t="str">
        <f>IFERROR(IF(INDEX(Database_repro!$A:$F, MATCH($O1691, Database_repro!$A:$A, 0), 6)="N","No",IF(INDEX(Database_repro!$A:$F, MATCH($O1691, Database_repro!$A:$A, 0), 6)="Y","Yes","Z")), "Not Found")</f>
        <v>No</v>
      </c>
      <c r="N1691" s="27" t="s">
        <v>605</v>
      </c>
      <c r="O1691" t="s">
        <v>306</v>
      </c>
    </row>
    <row r="1692" spans="1:15" x14ac:dyDescent="0.2">
      <c r="A1692" s="9">
        <v>45539</v>
      </c>
      <c r="B1692" s="1" t="str">
        <f>IFERROR(VLOOKUP(MID(INDEX(Database_dermo!$A:$I, MATCH($O1692, Database_dermo!$A:$A, 0), 2),20,3),Notes!A$1:C$9,3,TRUE), "Not Found")</f>
        <v>LX-S</v>
      </c>
      <c r="C1692" s="1" t="str">
        <f>IFERROR(RIGHT(INDEX(Database_dermo!$A:$I, MATCH($O1692, Database_dermo!$A:$A, 0), 1),2), "Not Found")</f>
        <v>08</v>
      </c>
      <c r="D1692" s="1">
        <f>IFERROR(VLOOKUP(MID(INDEX(Database_dermo!$A:$I, MATCH($O1692, Database_dermo!$A:$A, 0), 2),20,3),Notes!A$1:C$9,2,TRUE), "Not Found")</f>
        <v>2</v>
      </c>
      <c r="E1692" s="1">
        <f>IFERROR(INDEX(Database_dermo!$A:$I, MATCH($O1692, Database_dermo!$A:$A, 0), 3), "Not Found")</f>
        <v>59.94</v>
      </c>
      <c r="F1692" s="1" t="str">
        <f>IFERROR(INDEX(Database_repro!$A:$F, MATCH($O1692, Database_repro!$A:$A, 0), 3), "Not Found")</f>
        <v>F</v>
      </c>
      <c r="G1692" s="1">
        <f>IFERROR(INDEX(Database_repro!$A:$F, MATCH($O1692, Database_repro!$A:$A, 0), 4), "Not Found")</f>
        <v>2</v>
      </c>
      <c r="H1692" s="1" t="s">
        <v>16</v>
      </c>
      <c r="I1692" s="1" t="s">
        <v>16</v>
      </c>
      <c r="J1692" s="1" t="s">
        <v>16</v>
      </c>
      <c r="K1692" s="1" t="str">
        <f>IFERROR(INDEX(Database_repro!$A:$F, MATCH($O1692, Database_repro!$A:$A, 0), 5), "Not Found")</f>
        <v>No</v>
      </c>
      <c r="L1692" s="4" t="s">
        <v>17</v>
      </c>
      <c r="M1692" s="1" t="str">
        <f>IFERROR(IF(INDEX(Database_repro!$A:$F, MATCH($O1692, Database_repro!$A:$A, 0), 6)="N","No",IF(INDEX(Database_repro!$A:$F, MATCH($O1692, Database_repro!$A:$A, 0), 6)="Y","Yes","Z")), "Not Found")</f>
        <v>No</v>
      </c>
      <c r="N1692" s="27" t="s">
        <v>605</v>
      </c>
      <c r="O1692" t="s">
        <v>308</v>
      </c>
    </row>
    <row r="1693" spans="1:15" x14ac:dyDescent="0.2">
      <c r="A1693" s="9">
        <v>45539</v>
      </c>
      <c r="B1693" s="1" t="str">
        <f>IFERROR(VLOOKUP(MID(INDEX(Database_dermo!$A:$I, MATCH($O1693, Database_dermo!$A:$A, 0), 2),20,3),Notes!A$1:C$9,3,TRUE), "Not Found")</f>
        <v>LX-S</v>
      </c>
      <c r="C1693" s="1" t="str">
        <f>IFERROR(RIGHT(INDEX(Database_dermo!$A:$I, MATCH($O1693, Database_dermo!$A:$A, 0), 1),2), "Not Found")</f>
        <v>09</v>
      </c>
      <c r="D1693" s="1">
        <f>IFERROR(VLOOKUP(MID(INDEX(Database_dermo!$A:$I, MATCH($O1693, Database_dermo!$A:$A, 0), 2),20,3),Notes!A$1:C$9,2,TRUE), "Not Found")</f>
        <v>2</v>
      </c>
      <c r="E1693" s="1">
        <f>IFERROR(INDEX(Database_dermo!$A:$I, MATCH($O1693, Database_dermo!$A:$A, 0), 3), "Not Found")</f>
        <v>49.64</v>
      </c>
      <c r="F1693" s="1" t="str">
        <f>IFERROR(INDEX(Database_repro!$A:$F, MATCH($O1693, Database_repro!$A:$A, 0), 3), "Not Found")</f>
        <v>M</v>
      </c>
      <c r="G1693" s="1">
        <f>IFERROR(INDEX(Database_repro!$A:$F, MATCH($O1693, Database_repro!$A:$A, 0), 4), "Not Found")</f>
        <v>2</v>
      </c>
      <c r="H1693" s="1" t="s">
        <v>16</v>
      </c>
      <c r="I1693" s="1" t="s">
        <v>16</v>
      </c>
      <c r="J1693" s="1" t="s">
        <v>16</v>
      </c>
      <c r="K1693" s="1" t="str">
        <f>IFERROR(INDEX(Database_repro!$A:$F, MATCH($O1693, Database_repro!$A:$A, 0), 5), "Not Found")</f>
        <v>No</v>
      </c>
      <c r="L1693" s="4" t="s">
        <v>17</v>
      </c>
      <c r="M1693" s="1" t="str">
        <f>IFERROR(IF(INDEX(Database_repro!$A:$F, MATCH($O1693, Database_repro!$A:$A, 0), 6)="N","No",IF(INDEX(Database_repro!$A:$F, MATCH($O1693, Database_repro!$A:$A, 0), 6)="Y","Yes","Z")), "Not Found")</f>
        <v>No</v>
      </c>
      <c r="N1693" s="27" t="s">
        <v>605</v>
      </c>
      <c r="O1693" t="s">
        <v>309</v>
      </c>
    </row>
    <row r="1694" spans="1:15" x14ac:dyDescent="0.2">
      <c r="A1694" s="9">
        <v>45539</v>
      </c>
      <c r="B1694" s="1" t="str">
        <f>IFERROR(VLOOKUP(MID(INDEX(Database_dermo!$A:$I, MATCH($O1694, Database_dermo!$A:$A, 0), 2),20,3),Notes!A$1:C$9,3,TRUE), "Not Found")</f>
        <v>LX-S</v>
      </c>
      <c r="C1694" s="1" t="str">
        <f>IFERROR(RIGHT(INDEX(Database_dermo!$A:$I, MATCH($O1694, Database_dermo!$A:$A, 0), 1),2), "Not Found")</f>
        <v>10</v>
      </c>
      <c r="D1694" s="1">
        <f>IFERROR(VLOOKUP(MID(INDEX(Database_dermo!$A:$I, MATCH($O1694, Database_dermo!$A:$A, 0), 2),20,3),Notes!A$1:C$9,2,TRUE), "Not Found")</f>
        <v>2</v>
      </c>
      <c r="E1694" s="1">
        <f>IFERROR(INDEX(Database_dermo!$A:$I, MATCH($O1694, Database_dermo!$A:$A, 0), 3), "Not Found")</f>
        <v>44.06</v>
      </c>
      <c r="F1694" s="1" t="str">
        <f>IFERROR(INDEX(Database_repro!$A:$F, MATCH($O1694, Database_repro!$A:$A, 0), 3), "Not Found")</f>
        <v>F</v>
      </c>
      <c r="G1694" s="1">
        <f>IFERROR(INDEX(Database_repro!$A:$F, MATCH($O1694, Database_repro!$A:$A, 0), 4), "Not Found")</f>
        <v>2</v>
      </c>
      <c r="H1694" s="1" t="s">
        <v>16</v>
      </c>
      <c r="I1694" s="1" t="s">
        <v>16</v>
      </c>
      <c r="J1694" s="1" t="s">
        <v>16</v>
      </c>
      <c r="K1694" s="1" t="str">
        <f>IFERROR(INDEX(Database_repro!$A:$F, MATCH($O1694, Database_repro!$A:$A, 0), 5), "Not Found")</f>
        <v>No</v>
      </c>
      <c r="L1694" s="4" t="s">
        <v>17</v>
      </c>
      <c r="M1694" s="1" t="str">
        <f>IFERROR(IF(INDEX(Database_repro!$A:$F, MATCH($O1694, Database_repro!$A:$A, 0), 6)="N","No",IF(INDEX(Database_repro!$A:$F, MATCH($O1694, Database_repro!$A:$A, 0), 6)="Y","Yes","Z")), "Not Found")</f>
        <v>No</v>
      </c>
      <c r="N1694" s="27" t="s">
        <v>605</v>
      </c>
      <c r="O1694" t="s">
        <v>310</v>
      </c>
    </row>
    <row r="1695" spans="1:15" x14ac:dyDescent="0.2">
      <c r="A1695" s="9">
        <v>45539</v>
      </c>
      <c r="B1695" s="1" t="str">
        <f>IFERROR(VLOOKUP(MID(INDEX(Database_dermo!$A:$I, MATCH($O1695, Database_dermo!$A:$A, 0), 2),20,3),Notes!A$1:C$9,3,TRUE), "Not Found")</f>
        <v>LX-S</v>
      </c>
      <c r="C1695" s="1" t="str">
        <f>IFERROR(RIGHT(INDEX(Database_dermo!$A:$I, MATCH($O1695, Database_dermo!$A:$A, 0), 1),2), "Not Found")</f>
        <v>11</v>
      </c>
      <c r="D1695" s="1">
        <f>IFERROR(VLOOKUP(MID(INDEX(Database_dermo!$A:$I, MATCH($O1695, Database_dermo!$A:$A, 0), 2),20,3),Notes!A$1:C$9,2,TRUE), "Not Found")</f>
        <v>3</v>
      </c>
      <c r="E1695" s="1">
        <f>IFERROR(INDEX(Database_dermo!$A:$I, MATCH($O1695, Database_dermo!$A:$A, 0), 3), "Not Found")</f>
        <v>63.04</v>
      </c>
      <c r="F1695" s="1" t="str">
        <f>IFERROR(INDEX(Database_repro!$A:$F, MATCH($O1695, Database_repro!$A:$A, 0), 3), "Not Found")</f>
        <v>F</v>
      </c>
      <c r="G1695" s="1">
        <f>IFERROR(INDEX(Database_repro!$A:$F, MATCH($O1695, Database_repro!$A:$A, 0), 4), "Not Found")</f>
        <v>2</v>
      </c>
      <c r="H1695" s="1" t="s">
        <v>16</v>
      </c>
      <c r="I1695" s="1" t="s">
        <v>16</v>
      </c>
      <c r="J1695" s="1" t="s">
        <v>16</v>
      </c>
      <c r="K1695" s="1" t="str">
        <f>IFERROR(INDEX(Database_repro!$A:$F, MATCH($O1695, Database_repro!$A:$A, 0), 5), "Not Found")</f>
        <v>No</v>
      </c>
      <c r="L1695" s="4" t="s">
        <v>17</v>
      </c>
      <c r="M1695" s="1" t="str">
        <f>IFERROR(IF(INDEX(Database_repro!$A:$F, MATCH($O1695, Database_repro!$A:$A, 0), 6)="N","No",IF(INDEX(Database_repro!$A:$F, MATCH($O1695, Database_repro!$A:$A, 0), 6)="Y","Yes","Z")), "Not Found")</f>
        <v>No</v>
      </c>
      <c r="N1695" s="27" t="s">
        <v>605</v>
      </c>
      <c r="O1695" t="s">
        <v>312</v>
      </c>
    </row>
    <row r="1696" spans="1:15" x14ac:dyDescent="0.2">
      <c r="A1696" s="9">
        <v>45539</v>
      </c>
      <c r="B1696" s="1" t="str">
        <f>IFERROR(VLOOKUP(MID(INDEX(Database_dermo!$A:$I, MATCH($O1696, Database_dermo!$A:$A, 0), 2),20,3),Notes!A$1:C$9,3,TRUE), "Not Found")</f>
        <v>LX-S</v>
      </c>
      <c r="C1696" s="1" t="str">
        <f>IFERROR(RIGHT(INDEX(Database_dermo!$A:$I, MATCH($O1696, Database_dermo!$A:$A, 0), 1),2), "Not Found")</f>
        <v>12</v>
      </c>
      <c r="D1696" s="1">
        <f>IFERROR(VLOOKUP(MID(INDEX(Database_dermo!$A:$I, MATCH($O1696, Database_dermo!$A:$A, 0), 2),20,3),Notes!A$1:C$9,2,TRUE), "Not Found")</f>
        <v>3</v>
      </c>
      <c r="E1696" s="1">
        <f>IFERROR(INDEX(Database_dermo!$A:$I, MATCH($O1696, Database_dermo!$A:$A, 0), 3), "Not Found")</f>
        <v>66.510000000000005</v>
      </c>
      <c r="F1696" s="1" t="str">
        <f>IFERROR(INDEX(Database_repro!$A:$F, MATCH($O1696, Database_repro!$A:$A, 0), 3), "Not Found")</f>
        <v>M</v>
      </c>
      <c r="G1696" s="1">
        <f>IFERROR(INDEX(Database_repro!$A:$F, MATCH($O1696, Database_repro!$A:$A, 0), 4), "Not Found")</f>
        <v>2</v>
      </c>
      <c r="H1696" s="1" t="s">
        <v>16</v>
      </c>
      <c r="I1696" s="1" t="s">
        <v>16</v>
      </c>
      <c r="J1696" s="1" t="s">
        <v>16</v>
      </c>
      <c r="K1696" s="1" t="str">
        <f>IFERROR(INDEX(Database_repro!$A:$F, MATCH($O1696, Database_repro!$A:$A, 0), 5), "Not Found")</f>
        <v>No</v>
      </c>
      <c r="L1696" s="4" t="s">
        <v>17</v>
      </c>
      <c r="M1696" s="1" t="str">
        <f>IFERROR(IF(INDEX(Database_repro!$A:$F, MATCH($O1696, Database_repro!$A:$A, 0), 6)="N","No",IF(INDEX(Database_repro!$A:$F, MATCH($O1696, Database_repro!$A:$A, 0), 6)="Y","Yes","Z")), "Not Found")</f>
        <v>No</v>
      </c>
      <c r="N1696" s="27" t="s">
        <v>605</v>
      </c>
      <c r="O1696" t="s">
        <v>315</v>
      </c>
    </row>
    <row r="1697" spans="1:15" x14ac:dyDescent="0.2">
      <c r="A1697" s="9">
        <v>45539</v>
      </c>
      <c r="B1697" s="1" t="str">
        <f>IFERROR(VLOOKUP(MID(INDEX(Database_dermo!$A:$I, MATCH($O1697, Database_dermo!$A:$A, 0), 2),20,3),Notes!A$1:C$9,3,TRUE), "Not Found")</f>
        <v>LX-S</v>
      </c>
      <c r="C1697" s="1" t="str">
        <f>IFERROR(RIGHT(INDEX(Database_dermo!$A:$I, MATCH($O1697, Database_dermo!$A:$A, 0), 1),2), "Not Found")</f>
        <v>13</v>
      </c>
      <c r="D1697" s="1">
        <f>IFERROR(VLOOKUP(MID(INDEX(Database_dermo!$A:$I, MATCH($O1697, Database_dermo!$A:$A, 0), 2),20,3),Notes!A$1:C$9,2,TRUE), "Not Found")</f>
        <v>3</v>
      </c>
      <c r="E1697" s="1">
        <f>IFERROR(INDEX(Database_dermo!$A:$I, MATCH($O1697, Database_dermo!$A:$A, 0), 3), "Not Found")</f>
        <v>51.48</v>
      </c>
      <c r="F1697" s="1" t="str">
        <f>IFERROR(INDEX(Database_repro!$A:$F, MATCH($O1697, Database_repro!$A:$A, 0), 3), "Not Found")</f>
        <v>F</v>
      </c>
      <c r="G1697" s="1">
        <f>IFERROR(INDEX(Database_repro!$A:$F, MATCH($O1697, Database_repro!$A:$A, 0), 4), "Not Found")</f>
        <v>2</v>
      </c>
      <c r="H1697" s="1" t="s">
        <v>16</v>
      </c>
      <c r="I1697" s="1" t="s">
        <v>16</v>
      </c>
      <c r="J1697" s="1" t="s">
        <v>16</v>
      </c>
      <c r="K1697" s="1" t="str">
        <f>IFERROR(INDEX(Database_repro!$A:$F, MATCH($O1697, Database_repro!$A:$A, 0), 5), "Not Found")</f>
        <v>No</v>
      </c>
      <c r="L1697" s="4" t="s">
        <v>17</v>
      </c>
      <c r="M1697" s="1" t="str">
        <f>IFERROR(IF(INDEX(Database_repro!$A:$F, MATCH($O1697, Database_repro!$A:$A, 0), 6)="N","No",IF(INDEX(Database_repro!$A:$F, MATCH($O1697, Database_repro!$A:$A, 0), 6)="Y","Yes","Z")), "Not Found")</f>
        <v>No</v>
      </c>
      <c r="N1697" s="27" t="s">
        <v>605</v>
      </c>
      <c r="O1697" t="s">
        <v>316</v>
      </c>
    </row>
    <row r="1698" spans="1:15" x14ac:dyDescent="0.2">
      <c r="A1698" s="9">
        <v>45539</v>
      </c>
      <c r="B1698" s="1" t="str">
        <f>IFERROR(VLOOKUP(MID(INDEX(Database_dermo!$A:$I, MATCH($O1698, Database_dermo!$A:$A, 0), 2),20,3),Notes!A$1:C$9,3,TRUE), "Not Found")</f>
        <v>LX-S</v>
      </c>
      <c r="C1698" s="1" t="str">
        <f>IFERROR(RIGHT(INDEX(Database_dermo!$A:$I, MATCH($O1698, Database_dermo!$A:$A, 0), 1),2), "Not Found")</f>
        <v>14</v>
      </c>
      <c r="D1698" s="1">
        <f>IFERROR(VLOOKUP(MID(INDEX(Database_dermo!$A:$I, MATCH($O1698, Database_dermo!$A:$A, 0), 2),20,3),Notes!A$1:C$9,2,TRUE), "Not Found")</f>
        <v>3</v>
      </c>
      <c r="E1698" s="1">
        <f>IFERROR(INDEX(Database_dermo!$A:$I, MATCH($O1698, Database_dermo!$A:$A, 0), 3), "Not Found")</f>
        <v>60.01</v>
      </c>
      <c r="F1698" s="1" t="str">
        <f>IFERROR(INDEX(Database_repro!$A:$F, MATCH($O1698, Database_repro!$A:$A, 0), 3), "Not Found")</f>
        <v>F</v>
      </c>
      <c r="G1698" s="1">
        <f>IFERROR(INDEX(Database_repro!$A:$F, MATCH($O1698, Database_repro!$A:$A, 0), 4), "Not Found")</f>
        <v>2</v>
      </c>
      <c r="H1698" s="1" t="s">
        <v>16</v>
      </c>
      <c r="I1698" s="1" t="s">
        <v>16</v>
      </c>
      <c r="J1698" s="1" t="s">
        <v>16</v>
      </c>
      <c r="K1698" s="1" t="str">
        <f>IFERROR(INDEX(Database_repro!$A:$F, MATCH($O1698, Database_repro!$A:$A, 0), 5), "Not Found")</f>
        <v>No</v>
      </c>
      <c r="L1698" s="4" t="s">
        <v>17</v>
      </c>
      <c r="M1698" s="1" t="str">
        <f>IFERROR(IF(INDEX(Database_repro!$A:$F, MATCH($O1698, Database_repro!$A:$A, 0), 6)="N","No",IF(INDEX(Database_repro!$A:$F, MATCH($O1698, Database_repro!$A:$A, 0), 6)="Y","Yes","Z")), "Not Found")</f>
        <v>No</v>
      </c>
      <c r="N1698" s="27" t="s">
        <v>605</v>
      </c>
      <c r="O1698" t="s">
        <v>317</v>
      </c>
    </row>
    <row r="1699" spans="1:15" x14ac:dyDescent="0.2">
      <c r="A1699" s="9">
        <v>45539</v>
      </c>
      <c r="B1699" s="1" t="str">
        <f>IFERROR(VLOOKUP(MID(INDEX(Database_dermo!$A:$I, MATCH($O1699, Database_dermo!$A:$A, 0), 2),20,3),Notes!A$1:C$9,3,TRUE), "Not Found")</f>
        <v>LX-S</v>
      </c>
      <c r="C1699" s="1" t="str">
        <f>IFERROR(RIGHT(INDEX(Database_dermo!$A:$I, MATCH($O1699, Database_dermo!$A:$A, 0), 1),2), "Not Found")</f>
        <v>15</v>
      </c>
      <c r="D1699" s="1">
        <f>IFERROR(VLOOKUP(MID(INDEX(Database_dermo!$A:$I, MATCH($O1699, Database_dermo!$A:$A, 0), 2),20,3),Notes!A$1:C$9,2,TRUE), "Not Found")</f>
        <v>3</v>
      </c>
      <c r="E1699" s="1">
        <f>IFERROR(INDEX(Database_dermo!$A:$I, MATCH($O1699, Database_dermo!$A:$A, 0), 3), "Not Found")</f>
        <v>42.94</v>
      </c>
      <c r="F1699" s="1" t="str">
        <f>IFERROR(INDEX(Database_repro!$A:$F, MATCH($O1699, Database_repro!$A:$A, 0), 3), "Not Found")</f>
        <v>F</v>
      </c>
      <c r="G1699" s="1">
        <f>IFERROR(INDEX(Database_repro!$A:$F, MATCH($O1699, Database_repro!$A:$A, 0), 4), "Not Found")</f>
        <v>2</v>
      </c>
      <c r="H1699" s="1" t="s">
        <v>16</v>
      </c>
      <c r="I1699" s="1" t="s">
        <v>16</v>
      </c>
      <c r="J1699" s="1" t="s">
        <v>16</v>
      </c>
      <c r="K1699" s="1" t="str">
        <f>IFERROR(INDEX(Database_repro!$A:$F, MATCH($O1699, Database_repro!$A:$A, 0), 5), "Not Found")</f>
        <v>No</v>
      </c>
      <c r="L1699" s="4" t="s">
        <v>17</v>
      </c>
      <c r="M1699" s="1" t="str">
        <f>IFERROR(IF(INDEX(Database_repro!$A:$F, MATCH($O1699, Database_repro!$A:$A, 0), 6)="N","No",IF(INDEX(Database_repro!$A:$F, MATCH($O1699, Database_repro!$A:$A, 0), 6)="Y","Yes","Z")), "Not Found")</f>
        <v>No</v>
      </c>
      <c r="N1699" s="27" t="s">
        <v>605</v>
      </c>
      <c r="O1699" t="s">
        <v>318</v>
      </c>
    </row>
    <row r="1700" spans="1:15" x14ac:dyDescent="0.2">
      <c r="A1700" s="9">
        <v>45567</v>
      </c>
      <c r="B1700" s="1" t="str">
        <f>IFERROR(VLOOKUP(MID(INDEX(Database_dermo!$A:$I, MATCH($O1700, Database_dermo!$A:$A, 0), 2),20,3),Notes!A$1:C$9,3,TRUE), "Not Found")</f>
        <v>LX-S</v>
      </c>
      <c r="C1700" s="1" t="str">
        <f>IFERROR(RIGHT(INDEX(Database_dermo!$A:$I, MATCH($O1700, Database_dermo!$A:$A, 0), 1),2), "Not Found")</f>
        <v>01</v>
      </c>
      <c r="D1700" s="1">
        <f>IFERROR(VLOOKUP(MID(INDEX(Database_dermo!$A:$I, MATCH($O1700, Database_dermo!$A:$A, 0), 2),20,3),Notes!A$1:C$9,2,TRUE), "Not Found")</f>
        <v>1</v>
      </c>
      <c r="E1700" s="1">
        <f>IFERROR(INDEX(Database_dermo!$A:$I, MATCH($O1700, Database_dermo!$A:$A, 0), 3), "Not Found")</f>
        <v>53.75</v>
      </c>
      <c r="F1700" s="1" t="str">
        <f>IFERROR(INDEX(Database_repro!$A:$F, MATCH($O1700, Database_repro!$A:$A, 0), 3), "Not Found")</f>
        <v>F</v>
      </c>
      <c r="G1700" s="1">
        <f>IFERROR(INDEX(Database_repro!$A:$F, MATCH($O1700, Database_repro!$A:$A, 0), 4), "Not Found")</f>
        <v>2</v>
      </c>
      <c r="H1700" s="1" t="s">
        <v>16</v>
      </c>
      <c r="I1700" s="1" t="s">
        <v>16</v>
      </c>
      <c r="J1700" s="1" t="s">
        <v>16</v>
      </c>
      <c r="K1700" s="1" t="str">
        <f>IFERROR(INDEX(Database_repro!$A:$F, MATCH($O1700, Database_repro!$A:$A, 0), 5), "Not Found")</f>
        <v>No</v>
      </c>
      <c r="L1700" s="4" t="s">
        <v>17</v>
      </c>
      <c r="M1700" s="1" t="str">
        <f>IFERROR(IF(INDEX(Database_repro!$A:$F, MATCH($O1700, Database_repro!$A:$A, 0), 6)="N","No",IF(INDEX(Database_repro!$A:$F, MATCH($O1700, Database_repro!$A:$A, 0), 6)="Y","Yes","Z")), "Not Found")</f>
        <v>No</v>
      </c>
      <c r="N1700" s="27" t="s">
        <v>605</v>
      </c>
      <c r="O1700" t="s">
        <v>319</v>
      </c>
    </row>
    <row r="1701" spans="1:15" x14ac:dyDescent="0.2">
      <c r="A1701" s="9">
        <v>45567</v>
      </c>
      <c r="B1701" s="1" t="str">
        <f>IFERROR(VLOOKUP(MID(INDEX(Database_dermo!$A:$I, MATCH($O1701, Database_dermo!$A:$A, 0), 2),20,3),Notes!A$1:C$9,3,TRUE), "Not Found")</f>
        <v>LX-S</v>
      </c>
      <c r="C1701" s="1" t="str">
        <f>IFERROR(RIGHT(INDEX(Database_dermo!$A:$I, MATCH($O1701, Database_dermo!$A:$A, 0), 1),2), "Not Found")</f>
        <v>02</v>
      </c>
      <c r="D1701" s="1">
        <f>IFERROR(VLOOKUP(MID(INDEX(Database_dermo!$A:$I, MATCH($O1701, Database_dermo!$A:$A, 0), 2),20,3),Notes!A$1:C$9,2,TRUE), "Not Found")</f>
        <v>1</v>
      </c>
      <c r="E1701" s="1">
        <f>IFERROR(INDEX(Database_dermo!$A:$I, MATCH($O1701, Database_dermo!$A:$A, 0), 3), "Not Found")</f>
        <v>58.29</v>
      </c>
      <c r="F1701" s="1" t="str">
        <f>IFERROR(INDEX(Database_repro!$A:$F, MATCH($O1701, Database_repro!$A:$A, 0), 3), "Not Found")</f>
        <v>F</v>
      </c>
      <c r="G1701" s="1">
        <f>IFERROR(INDEX(Database_repro!$A:$F, MATCH($O1701, Database_repro!$A:$A, 0), 4), "Not Found")</f>
        <v>2</v>
      </c>
      <c r="H1701" s="1" t="s">
        <v>16</v>
      </c>
      <c r="I1701" s="1" t="s">
        <v>16</v>
      </c>
      <c r="J1701" s="1" t="s">
        <v>16</v>
      </c>
      <c r="K1701" s="1" t="str">
        <f>IFERROR(INDEX(Database_repro!$A:$F, MATCH($O1701, Database_repro!$A:$A, 0), 5), "Not Found")</f>
        <v>Yes</v>
      </c>
      <c r="L1701" s="4" t="s">
        <v>17</v>
      </c>
      <c r="M1701" s="1" t="str">
        <f>IFERROR(IF(INDEX(Database_repro!$A:$F, MATCH($O1701, Database_repro!$A:$A, 0), 6)="N","No",IF(INDEX(Database_repro!$A:$F, MATCH($O1701, Database_repro!$A:$A, 0), 6)="Y","Yes","Z")), "Not Found")</f>
        <v>No</v>
      </c>
      <c r="N1701" s="27" t="s">
        <v>605</v>
      </c>
      <c r="O1701" t="s">
        <v>321</v>
      </c>
    </row>
    <row r="1702" spans="1:15" x14ac:dyDescent="0.2">
      <c r="A1702" s="9">
        <v>45567</v>
      </c>
      <c r="B1702" s="1" t="str">
        <f>IFERROR(VLOOKUP(MID(INDEX(Database_dermo!$A:$I, MATCH($O1702, Database_dermo!$A:$A, 0), 2),20,3),Notes!A$1:C$9,3,TRUE), "Not Found")</f>
        <v>LX-S</v>
      </c>
      <c r="C1702" s="1" t="str">
        <f>IFERROR(RIGHT(INDEX(Database_dermo!$A:$I, MATCH($O1702, Database_dermo!$A:$A, 0), 1),2), "Not Found")</f>
        <v>03</v>
      </c>
      <c r="D1702" s="1">
        <f>IFERROR(VLOOKUP(MID(INDEX(Database_dermo!$A:$I, MATCH($O1702, Database_dermo!$A:$A, 0), 2),20,3),Notes!A$1:C$9,2,TRUE), "Not Found")</f>
        <v>1</v>
      </c>
      <c r="E1702" s="1">
        <f>IFERROR(INDEX(Database_dermo!$A:$I, MATCH($O1702, Database_dermo!$A:$A, 0), 3), "Not Found")</f>
        <v>51.97</v>
      </c>
      <c r="F1702" s="1" t="str">
        <f>IFERROR(INDEX(Database_repro!$A:$F, MATCH($O1702, Database_repro!$A:$A, 0), 3), "Not Found")</f>
        <v>F</v>
      </c>
      <c r="G1702" s="1">
        <f>IFERROR(INDEX(Database_repro!$A:$F, MATCH($O1702, Database_repro!$A:$A, 0), 4), "Not Found")</f>
        <v>2</v>
      </c>
      <c r="H1702" s="1" t="s">
        <v>16</v>
      </c>
      <c r="I1702" s="1" t="s">
        <v>16</v>
      </c>
      <c r="J1702" s="1" t="s">
        <v>16</v>
      </c>
      <c r="K1702" s="1" t="str">
        <f>IFERROR(INDEX(Database_repro!$A:$F, MATCH($O1702, Database_repro!$A:$A, 0), 5), "Not Found")</f>
        <v>No</v>
      </c>
      <c r="L1702" s="4" t="s">
        <v>17</v>
      </c>
      <c r="M1702" s="1" t="str">
        <f>IFERROR(IF(INDEX(Database_repro!$A:$F, MATCH($O1702, Database_repro!$A:$A, 0), 6)="N","No",IF(INDEX(Database_repro!$A:$F, MATCH($O1702, Database_repro!$A:$A, 0), 6)="Y","Yes","Z")), "Not Found")</f>
        <v>No</v>
      </c>
      <c r="N1702" s="27" t="s">
        <v>605</v>
      </c>
      <c r="O1702" t="s">
        <v>322</v>
      </c>
    </row>
    <row r="1703" spans="1:15" x14ac:dyDescent="0.2">
      <c r="A1703" s="9">
        <v>45567</v>
      </c>
      <c r="B1703" s="1" t="str">
        <f>IFERROR(VLOOKUP(MID(INDEX(Database_dermo!$A:$I, MATCH($O1703, Database_dermo!$A:$A, 0), 2),20,3),Notes!A$1:C$9,3,TRUE), "Not Found")</f>
        <v>LX-S</v>
      </c>
      <c r="C1703" s="1" t="str">
        <f>IFERROR(RIGHT(INDEX(Database_dermo!$A:$I, MATCH($O1703, Database_dermo!$A:$A, 0), 1),2), "Not Found")</f>
        <v>04</v>
      </c>
      <c r="D1703" s="1">
        <f>IFERROR(VLOOKUP(MID(INDEX(Database_dermo!$A:$I, MATCH($O1703, Database_dermo!$A:$A, 0), 2),20,3),Notes!A$1:C$9,2,TRUE), "Not Found")</f>
        <v>1</v>
      </c>
      <c r="E1703" s="1">
        <f>IFERROR(INDEX(Database_dermo!$A:$I, MATCH($O1703, Database_dermo!$A:$A, 0), 3), "Not Found")</f>
        <v>49.76</v>
      </c>
      <c r="F1703" s="1" t="str">
        <f>IFERROR(INDEX(Database_repro!$A:$F, MATCH($O1703, Database_repro!$A:$A, 0), 3), "Not Found")</f>
        <v>F</v>
      </c>
      <c r="G1703" s="1">
        <f>IFERROR(INDEX(Database_repro!$A:$F, MATCH($O1703, Database_repro!$A:$A, 0), 4), "Not Found")</f>
        <v>2</v>
      </c>
      <c r="H1703" s="1" t="s">
        <v>16</v>
      </c>
      <c r="I1703" s="1" t="s">
        <v>16</v>
      </c>
      <c r="J1703" s="1" t="s">
        <v>16</v>
      </c>
      <c r="K1703" s="1" t="str">
        <f>IFERROR(INDEX(Database_repro!$A:$F, MATCH($O1703, Database_repro!$A:$A, 0), 5), "Not Found")</f>
        <v>No</v>
      </c>
      <c r="L1703" s="4" t="s">
        <v>17</v>
      </c>
      <c r="M1703" s="1" t="str">
        <f>IFERROR(IF(INDEX(Database_repro!$A:$F, MATCH($O1703, Database_repro!$A:$A, 0), 6)="N","No",IF(INDEX(Database_repro!$A:$F, MATCH($O1703, Database_repro!$A:$A, 0), 6)="Y","Yes","Z")), "Not Found")</f>
        <v>No</v>
      </c>
      <c r="N1703" s="27" t="s">
        <v>605</v>
      </c>
      <c r="O1703" t="s">
        <v>323</v>
      </c>
    </row>
    <row r="1704" spans="1:15" x14ac:dyDescent="0.2">
      <c r="A1704" s="9">
        <v>45567</v>
      </c>
      <c r="B1704" s="1" t="str">
        <f>IFERROR(VLOOKUP(MID(INDEX(Database_dermo!$A:$I, MATCH($O1704, Database_dermo!$A:$A, 0), 2),20,3),Notes!A$1:C$9,3,TRUE), "Not Found")</f>
        <v>LX-S</v>
      </c>
      <c r="C1704" s="1" t="str">
        <f>IFERROR(RIGHT(INDEX(Database_dermo!$A:$I, MATCH($O1704, Database_dermo!$A:$A, 0), 1),2), "Not Found")</f>
        <v>05</v>
      </c>
      <c r="D1704" s="1">
        <f>IFERROR(VLOOKUP(MID(INDEX(Database_dermo!$A:$I, MATCH($O1704, Database_dermo!$A:$A, 0), 2),20,3),Notes!A$1:C$9,2,TRUE), "Not Found")</f>
        <v>1</v>
      </c>
      <c r="E1704" s="1">
        <f>IFERROR(INDEX(Database_dermo!$A:$I, MATCH($O1704, Database_dermo!$A:$A, 0), 3), "Not Found")</f>
        <v>45.42</v>
      </c>
      <c r="F1704" s="1" t="str">
        <f>IFERROR(INDEX(Database_repro!$A:$F, MATCH($O1704, Database_repro!$A:$A, 0), 3), "Not Found")</f>
        <v>F</v>
      </c>
      <c r="G1704" s="1">
        <f>IFERROR(INDEX(Database_repro!$A:$F, MATCH($O1704, Database_repro!$A:$A, 0), 4), "Not Found")</f>
        <v>2</v>
      </c>
      <c r="H1704" s="1" t="s">
        <v>16</v>
      </c>
      <c r="I1704" s="1" t="s">
        <v>16</v>
      </c>
      <c r="J1704" s="1" t="s">
        <v>16</v>
      </c>
      <c r="K1704" s="1" t="str">
        <f>IFERROR(INDEX(Database_repro!$A:$F, MATCH($O1704, Database_repro!$A:$A, 0), 5), "Not Found")</f>
        <v>No</v>
      </c>
      <c r="L1704" s="4" t="s">
        <v>17</v>
      </c>
      <c r="M1704" s="1" t="str">
        <f>IFERROR(IF(INDEX(Database_repro!$A:$F, MATCH($O1704, Database_repro!$A:$A, 0), 6)="N","No",IF(INDEX(Database_repro!$A:$F, MATCH($O1704, Database_repro!$A:$A, 0), 6)="Y","Yes","Z")), "Not Found")</f>
        <v>No</v>
      </c>
      <c r="N1704" s="27" t="s">
        <v>605</v>
      </c>
      <c r="O1704" t="s">
        <v>324</v>
      </c>
    </row>
    <row r="1705" spans="1:15" x14ac:dyDescent="0.2">
      <c r="A1705" s="9">
        <v>45567</v>
      </c>
      <c r="B1705" s="1" t="str">
        <f>IFERROR(VLOOKUP(MID(INDEX(Database_dermo!$A:$I, MATCH($O1705, Database_dermo!$A:$A, 0), 2),20,3),Notes!A$1:C$9,3,TRUE), "Not Found")</f>
        <v>LX-S</v>
      </c>
      <c r="C1705" s="1" t="str">
        <f>IFERROR(RIGHT(INDEX(Database_dermo!$A:$I, MATCH($O1705, Database_dermo!$A:$A, 0), 1),2), "Not Found")</f>
        <v>06</v>
      </c>
      <c r="D1705" s="1">
        <f>IFERROR(VLOOKUP(MID(INDEX(Database_dermo!$A:$I, MATCH($O1705, Database_dermo!$A:$A, 0), 2),20,3),Notes!A$1:C$9,2,TRUE), "Not Found")</f>
        <v>2</v>
      </c>
      <c r="E1705" s="1">
        <f>IFERROR(INDEX(Database_dermo!$A:$I, MATCH($O1705, Database_dermo!$A:$A, 0), 3), "Not Found")</f>
        <v>46.88</v>
      </c>
      <c r="F1705" s="1" t="str">
        <f>IFERROR(INDEX(Database_repro!$A:$F, MATCH($O1705, Database_repro!$A:$A, 0), 3), "Not Found")</f>
        <v>M</v>
      </c>
      <c r="G1705" s="1">
        <f>IFERROR(INDEX(Database_repro!$A:$F, MATCH($O1705, Database_repro!$A:$A, 0), 4), "Not Found")</f>
        <v>2</v>
      </c>
      <c r="H1705" s="1" t="s">
        <v>16</v>
      </c>
      <c r="I1705" s="1" t="s">
        <v>16</v>
      </c>
      <c r="J1705" s="1" t="s">
        <v>16</v>
      </c>
      <c r="K1705" s="1" t="str">
        <f>IFERROR(INDEX(Database_repro!$A:$F, MATCH($O1705, Database_repro!$A:$A, 0), 5), "Not Found")</f>
        <v>No</v>
      </c>
      <c r="L1705" s="4" t="s">
        <v>17</v>
      </c>
      <c r="M1705" s="1" t="str">
        <f>IFERROR(IF(INDEX(Database_repro!$A:$F, MATCH($O1705, Database_repro!$A:$A, 0), 6)="N","No",IF(INDEX(Database_repro!$A:$F, MATCH($O1705, Database_repro!$A:$A, 0), 6)="Y","Yes","Z")), "Not Found")</f>
        <v>No</v>
      </c>
      <c r="N1705" s="27" t="s">
        <v>605</v>
      </c>
      <c r="O1705" t="s">
        <v>325</v>
      </c>
    </row>
    <row r="1706" spans="1:15" x14ac:dyDescent="0.2">
      <c r="A1706" s="9">
        <v>45567</v>
      </c>
      <c r="B1706" s="1" t="str">
        <f>IFERROR(VLOOKUP(MID(INDEX(Database_dermo!$A:$I, MATCH($O1706, Database_dermo!$A:$A, 0), 2),20,3),Notes!A$1:C$9,3,TRUE), "Not Found")</f>
        <v>LX-S</v>
      </c>
      <c r="C1706" s="1" t="str">
        <f>IFERROR(RIGHT(INDEX(Database_dermo!$A:$I, MATCH($O1706, Database_dermo!$A:$A, 0), 1),2), "Not Found")</f>
        <v>07</v>
      </c>
      <c r="D1706" s="1">
        <f>IFERROR(VLOOKUP(MID(INDEX(Database_dermo!$A:$I, MATCH($O1706, Database_dermo!$A:$A, 0), 2),20,3),Notes!A$1:C$9,2,TRUE), "Not Found")</f>
        <v>2</v>
      </c>
      <c r="E1706" s="1">
        <f>IFERROR(INDEX(Database_dermo!$A:$I, MATCH($O1706, Database_dermo!$A:$A, 0), 3), "Not Found")</f>
        <v>45.42</v>
      </c>
      <c r="F1706" s="1" t="str">
        <f>IFERROR(INDEX(Database_repro!$A:$F, MATCH($O1706, Database_repro!$A:$A, 0), 3), "Not Found")</f>
        <v>M</v>
      </c>
      <c r="G1706" s="1">
        <f>IFERROR(INDEX(Database_repro!$A:$F, MATCH($O1706, Database_repro!$A:$A, 0), 4), "Not Found")</f>
        <v>2</v>
      </c>
      <c r="H1706" s="1" t="s">
        <v>16</v>
      </c>
      <c r="I1706" s="1" t="s">
        <v>16</v>
      </c>
      <c r="J1706" s="1" t="s">
        <v>16</v>
      </c>
      <c r="K1706" s="1" t="str">
        <f>IFERROR(INDEX(Database_repro!$A:$F, MATCH($O1706, Database_repro!$A:$A, 0), 5), "Not Found")</f>
        <v>No</v>
      </c>
      <c r="L1706" s="4" t="s">
        <v>17</v>
      </c>
      <c r="M1706" s="1" t="str">
        <f>IFERROR(IF(INDEX(Database_repro!$A:$F, MATCH($O1706, Database_repro!$A:$A, 0), 6)="N","No",IF(INDEX(Database_repro!$A:$F, MATCH($O1706, Database_repro!$A:$A, 0), 6)="Y","Yes","Z")), "Not Found")</f>
        <v>No</v>
      </c>
      <c r="N1706" s="27" t="s">
        <v>605</v>
      </c>
      <c r="O1706" t="s">
        <v>327</v>
      </c>
    </row>
    <row r="1707" spans="1:15" x14ac:dyDescent="0.2">
      <c r="A1707" s="9">
        <v>45567</v>
      </c>
      <c r="B1707" s="1" t="str">
        <f>IFERROR(VLOOKUP(MID(INDEX(Database_dermo!$A:$I, MATCH($O1707, Database_dermo!$A:$A, 0), 2),20,3),Notes!A$1:C$9,3,TRUE), "Not Found")</f>
        <v>LX-S</v>
      </c>
      <c r="C1707" s="1" t="str">
        <f>IFERROR(RIGHT(INDEX(Database_dermo!$A:$I, MATCH($O1707, Database_dermo!$A:$A, 0), 1),2), "Not Found")</f>
        <v>08</v>
      </c>
      <c r="D1707" s="1">
        <f>IFERROR(VLOOKUP(MID(INDEX(Database_dermo!$A:$I, MATCH($O1707, Database_dermo!$A:$A, 0), 2),20,3),Notes!A$1:C$9,2,TRUE), "Not Found")</f>
        <v>2</v>
      </c>
      <c r="E1707" s="1">
        <f>IFERROR(INDEX(Database_dermo!$A:$I, MATCH($O1707, Database_dermo!$A:$A, 0), 3), "Not Found")</f>
        <v>40.15</v>
      </c>
      <c r="F1707" s="1" t="str">
        <f>IFERROR(INDEX(Database_repro!$A:$F, MATCH($O1707, Database_repro!$A:$A, 0), 3), "Not Found")</f>
        <v>F</v>
      </c>
      <c r="G1707" s="1">
        <f>IFERROR(INDEX(Database_repro!$A:$F, MATCH($O1707, Database_repro!$A:$A, 0), 4), "Not Found")</f>
        <v>2</v>
      </c>
      <c r="H1707" s="1" t="s">
        <v>16</v>
      </c>
      <c r="I1707" s="1" t="s">
        <v>16</v>
      </c>
      <c r="J1707" s="1" t="s">
        <v>16</v>
      </c>
      <c r="K1707" s="1" t="str">
        <f>IFERROR(INDEX(Database_repro!$A:$F, MATCH($O1707, Database_repro!$A:$A, 0), 5), "Not Found")</f>
        <v>No</v>
      </c>
      <c r="L1707" s="4" t="s">
        <v>17</v>
      </c>
      <c r="M1707" s="1" t="str">
        <f>IFERROR(IF(INDEX(Database_repro!$A:$F, MATCH($O1707, Database_repro!$A:$A, 0), 6)="N","No",IF(INDEX(Database_repro!$A:$F, MATCH($O1707, Database_repro!$A:$A, 0), 6)="Y","Yes","Z")), "Not Found")</f>
        <v>No</v>
      </c>
      <c r="N1707" s="27" t="s">
        <v>605</v>
      </c>
      <c r="O1707" t="s">
        <v>328</v>
      </c>
    </row>
    <row r="1708" spans="1:15" x14ac:dyDescent="0.2">
      <c r="A1708" s="9">
        <v>45567</v>
      </c>
      <c r="B1708" s="1" t="str">
        <f>IFERROR(VLOOKUP(MID(INDEX(Database_dermo!$A:$I, MATCH($O1708, Database_dermo!$A:$A, 0), 2),20,3),Notes!A$1:C$9,3,TRUE), "Not Found")</f>
        <v>LX-S</v>
      </c>
      <c r="C1708" s="1" t="str">
        <f>IFERROR(RIGHT(INDEX(Database_dermo!$A:$I, MATCH($O1708, Database_dermo!$A:$A, 0), 1),2), "Not Found")</f>
        <v>09</v>
      </c>
      <c r="D1708" s="1">
        <f>IFERROR(VLOOKUP(MID(INDEX(Database_dermo!$A:$I, MATCH($O1708, Database_dermo!$A:$A, 0), 2),20,3),Notes!A$1:C$9,2,TRUE), "Not Found")</f>
        <v>2</v>
      </c>
      <c r="E1708" s="1">
        <f>IFERROR(INDEX(Database_dermo!$A:$I, MATCH($O1708, Database_dermo!$A:$A, 0), 3), "Not Found")</f>
        <v>39.5</v>
      </c>
      <c r="F1708" s="1" t="str">
        <f>IFERROR(INDEX(Database_repro!$A:$F, MATCH($O1708, Database_repro!$A:$A, 0), 3), "Not Found")</f>
        <v>M</v>
      </c>
      <c r="G1708" s="1">
        <f>IFERROR(INDEX(Database_repro!$A:$F, MATCH($O1708, Database_repro!$A:$A, 0), 4), "Not Found")</f>
        <v>2</v>
      </c>
      <c r="H1708" s="1" t="s">
        <v>16</v>
      </c>
      <c r="I1708" s="1" t="s">
        <v>16</v>
      </c>
      <c r="J1708" s="1" t="s">
        <v>16</v>
      </c>
      <c r="K1708" s="1" t="str">
        <f>IFERROR(INDEX(Database_repro!$A:$F, MATCH($O1708, Database_repro!$A:$A, 0), 5), "Not Found")</f>
        <v>No</v>
      </c>
      <c r="L1708" s="4" t="s">
        <v>17</v>
      </c>
      <c r="M1708" s="1" t="str">
        <f>IFERROR(IF(INDEX(Database_repro!$A:$F, MATCH($O1708, Database_repro!$A:$A, 0), 6)="N","No",IF(INDEX(Database_repro!$A:$F, MATCH($O1708, Database_repro!$A:$A, 0), 6)="Y","Yes","Z")), "Not Found")</f>
        <v>No</v>
      </c>
      <c r="N1708" s="27" t="s">
        <v>605</v>
      </c>
      <c r="O1708" t="s">
        <v>329</v>
      </c>
    </row>
    <row r="1709" spans="1:15" x14ac:dyDescent="0.2">
      <c r="A1709" s="9">
        <v>45567</v>
      </c>
      <c r="B1709" s="1" t="str">
        <f>IFERROR(VLOOKUP(MID(INDEX(Database_dermo!$A:$I, MATCH($O1709, Database_dermo!$A:$A, 0), 2),20,3),Notes!A$1:C$9,3,TRUE), "Not Found")</f>
        <v>LX-S</v>
      </c>
      <c r="C1709" s="1" t="str">
        <f>IFERROR(RIGHT(INDEX(Database_dermo!$A:$I, MATCH($O1709, Database_dermo!$A:$A, 0), 1),2), "Not Found")</f>
        <v>10</v>
      </c>
      <c r="D1709" s="1">
        <f>IFERROR(VLOOKUP(MID(INDEX(Database_dermo!$A:$I, MATCH($O1709, Database_dermo!$A:$A, 0), 2),20,3),Notes!A$1:C$9,2,TRUE), "Not Found")</f>
        <v>2</v>
      </c>
      <c r="E1709" s="1">
        <f>IFERROR(INDEX(Database_dermo!$A:$I, MATCH($O1709, Database_dermo!$A:$A, 0), 3), "Not Found")</f>
        <v>45.69</v>
      </c>
      <c r="F1709" s="1" t="str">
        <f>IFERROR(INDEX(Database_repro!$A:$F, MATCH($O1709, Database_repro!$A:$A, 0), 3), "Not Found")</f>
        <v>F</v>
      </c>
      <c r="G1709" s="1">
        <f>IFERROR(INDEX(Database_repro!$A:$F, MATCH($O1709, Database_repro!$A:$A, 0), 4), "Not Found")</f>
        <v>2</v>
      </c>
      <c r="H1709" s="1" t="s">
        <v>16</v>
      </c>
      <c r="I1709" s="1" t="s">
        <v>16</v>
      </c>
      <c r="J1709" s="1" t="s">
        <v>16</v>
      </c>
      <c r="K1709" s="1" t="str">
        <f>IFERROR(INDEX(Database_repro!$A:$F, MATCH($O1709, Database_repro!$A:$A, 0), 5), "Not Found")</f>
        <v>No</v>
      </c>
      <c r="L1709" s="4" t="s">
        <v>17</v>
      </c>
      <c r="M1709" s="1" t="str">
        <f>IFERROR(IF(INDEX(Database_repro!$A:$F, MATCH($O1709, Database_repro!$A:$A, 0), 6)="N","No",IF(INDEX(Database_repro!$A:$F, MATCH($O1709, Database_repro!$A:$A, 0), 6)="Y","Yes","Z")), "Not Found")</f>
        <v>No</v>
      </c>
      <c r="N1709" s="27" t="s">
        <v>605</v>
      </c>
      <c r="O1709" t="s">
        <v>330</v>
      </c>
    </row>
    <row r="1710" spans="1:15" x14ac:dyDescent="0.2">
      <c r="A1710" s="9">
        <v>45567</v>
      </c>
      <c r="B1710" s="1" t="str">
        <f>IFERROR(VLOOKUP(MID(INDEX(Database_dermo!$A:$I, MATCH($O1710, Database_dermo!$A:$A, 0), 2),20,3),Notes!A$1:C$9,3,TRUE), "Not Found")</f>
        <v>LX-S</v>
      </c>
      <c r="C1710" s="1" t="str">
        <f>IFERROR(RIGHT(INDEX(Database_dermo!$A:$I, MATCH($O1710, Database_dermo!$A:$A, 0), 1),2), "Not Found")</f>
        <v>11</v>
      </c>
      <c r="D1710" s="1">
        <f>IFERROR(VLOOKUP(MID(INDEX(Database_dermo!$A:$I, MATCH($O1710, Database_dermo!$A:$A, 0), 2),20,3),Notes!A$1:C$9,2,TRUE), "Not Found")</f>
        <v>3</v>
      </c>
      <c r="E1710" s="1">
        <f>IFERROR(INDEX(Database_dermo!$A:$I, MATCH($O1710, Database_dermo!$A:$A, 0), 3), "Not Found")</f>
        <v>37.33</v>
      </c>
      <c r="F1710" s="1" t="str">
        <f>IFERROR(INDEX(Database_repro!$A:$F, MATCH($O1710, Database_repro!$A:$A, 0), 3), "Not Found")</f>
        <v>M</v>
      </c>
      <c r="G1710" s="1">
        <f>IFERROR(INDEX(Database_repro!$A:$F, MATCH($O1710, Database_repro!$A:$A, 0), 4), "Not Found")</f>
        <v>2</v>
      </c>
      <c r="H1710" s="1" t="s">
        <v>16</v>
      </c>
      <c r="I1710" s="1" t="s">
        <v>16</v>
      </c>
      <c r="J1710" s="1" t="s">
        <v>16</v>
      </c>
      <c r="K1710" s="1" t="str">
        <f>IFERROR(INDEX(Database_repro!$A:$F, MATCH($O1710, Database_repro!$A:$A, 0), 5), "Not Found")</f>
        <v>No</v>
      </c>
      <c r="L1710" s="4" t="s">
        <v>17</v>
      </c>
      <c r="M1710" s="1" t="str">
        <f>IFERROR(IF(INDEX(Database_repro!$A:$F, MATCH($O1710, Database_repro!$A:$A, 0), 6)="N","No",IF(INDEX(Database_repro!$A:$F, MATCH($O1710, Database_repro!$A:$A, 0), 6)="Y","Yes","Z")), "Not Found")</f>
        <v>No</v>
      </c>
      <c r="N1710" s="27" t="s">
        <v>605</v>
      </c>
      <c r="O1710" t="s">
        <v>331</v>
      </c>
    </row>
    <row r="1711" spans="1:15" x14ac:dyDescent="0.2">
      <c r="A1711" s="9">
        <v>45567</v>
      </c>
      <c r="B1711" s="1" t="str">
        <f>IFERROR(VLOOKUP(MID(INDEX(Database_dermo!$A:$I, MATCH($O1711, Database_dermo!$A:$A, 0), 2),20,3),Notes!A$1:C$9,3,TRUE), "Not Found")</f>
        <v>LX-S</v>
      </c>
      <c r="C1711" s="1" t="str">
        <f>IFERROR(RIGHT(INDEX(Database_dermo!$A:$I, MATCH($O1711, Database_dermo!$A:$A, 0), 1),2), "Not Found")</f>
        <v>12</v>
      </c>
      <c r="D1711" s="1">
        <f>IFERROR(VLOOKUP(MID(INDEX(Database_dermo!$A:$I, MATCH($O1711, Database_dermo!$A:$A, 0), 2),20,3),Notes!A$1:C$9,2,TRUE), "Not Found")</f>
        <v>3</v>
      </c>
      <c r="E1711" s="1">
        <f>IFERROR(INDEX(Database_dermo!$A:$I, MATCH($O1711, Database_dermo!$A:$A, 0), 3), "Not Found")</f>
        <v>39.51</v>
      </c>
      <c r="F1711" s="1" t="str">
        <f>IFERROR(INDEX(Database_repro!$A:$F, MATCH($O1711, Database_repro!$A:$A, 0), 3), "Not Found")</f>
        <v>M</v>
      </c>
      <c r="G1711" s="1">
        <f>IFERROR(INDEX(Database_repro!$A:$F, MATCH($O1711, Database_repro!$A:$A, 0), 4), "Not Found")</f>
        <v>2</v>
      </c>
      <c r="H1711" s="1" t="s">
        <v>16</v>
      </c>
      <c r="I1711" s="1" t="s">
        <v>16</v>
      </c>
      <c r="J1711" s="1" t="s">
        <v>16</v>
      </c>
      <c r="K1711" s="1" t="str">
        <f>IFERROR(INDEX(Database_repro!$A:$F, MATCH($O1711, Database_repro!$A:$A, 0), 5), "Not Found")</f>
        <v>No</v>
      </c>
      <c r="L1711" s="4" t="s">
        <v>17</v>
      </c>
      <c r="M1711" s="1" t="str">
        <f>IFERROR(IF(INDEX(Database_repro!$A:$F, MATCH($O1711, Database_repro!$A:$A, 0), 6)="N","No",IF(INDEX(Database_repro!$A:$F, MATCH($O1711, Database_repro!$A:$A, 0), 6)="Y","Yes","Z")), "Not Found")</f>
        <v>No</v>
      </c>
      <c r="N1711" s="27" t="s">
        <v>605</v>
      </c>
      <c r="O1711" t="s">
        <v>333</v>
      </c>
    </row>
    <row r="1712" spans="1:15" x14ac:dyDescent="0.2">
      <c r="A1712" s="9">
        <v>45567</v>
      </c>
      <c r="B1712" s="1" t="str">
        <f>IFERROR(VLOOKUP(MID(INDEX(Database_dermo!$A:$I, MATCH($O1712, Database_dermo!$A:$A, 0), 2),20,3),Notes!A$1:C$9,3,TRUE), "Not Found")</f>
        <v>LX-S</v>
      </c>
      <c r="C1712" s="1" t="str">
        <f>IFERROR(RIGHT(INDEX(Database_dermo!$A:$I, MATCH($O1712, Database_dermo!$A:$A, 0), 1),2), "Not Found")</f>
        <v>13</v>
      </c>
      <c r="D1712" s="1">
        <f>IFERROR(VLOOKUP(MID(INDEX(Database_dermo!$A:$I, MATCH($O1712, Database_dermo!$A:$A, 0), 2),20,3),Notes!A$1:C$9,2,TRUE), "Not Found")</f>
        <v>3</v>
      </c>
      <c r="E1712" s="1">
        <f>IFERROR(INDEX(Database_dermo!$A:$I, MATCH($O1712, Database_dermo!$A:$A, 0), 3), "Not Found")</f>
        <v>33.99</v>
      </c>
      <c r="F1712" s="1" t="str">
        <f>IFERROR(INDEX(Database_repro!$A:$F, MATCH($O1712, Database_repro!$A:$A, 0), 3), "Not Found")</f>
        <v>F</v>
      </c>
      <c r="G1712" s="1">
        <f>IFERROR(INDEX(Database_repro!$A:$F, MATCH($O1712, Database_repro!$A:$A, 0), 4), "Not Found")</f>
        <v>2</v>
      </c>
      <c r="H1712" s="1" t="s">
        <v>16</v>
      </c>
      <c r="I1712" s="1" t="s">
        <v>16</v>
      </c>
      <c r="J1712" s="1" t="s">
        <v>16</v>
      </c>
      <c r="K1712" s="1" t="str">
        <f>IFERROR(INDEX(Database_repro!$A:$F, MATCH($O1712, Database_repro!$A:$A, 0), 5), "Not Found")</f>
        <v>No</v>
      </c>
      <c r="L1712" s="4" t="s">
        <v>17</v>
      </c>
      <c r="M1712" s="1" t="str">
        <f>IFERROR(IF(INDEX(Database_repro!$A:$F, MATCH($O1712, Database_repro!$A:$A, 0), 6)="N","No",IF(INDEX(Database_repro!$A:$F, MATCH($O1712, Database_repro!$A:$A, 0), 6)="Y","Yes","Z")), "Not Found")</f>
        <v>No</v>
      </c>
      <c r="N1712" s="27" t="s">
        <v>605</v>
      </c>
      <c r="O1712" t="s">
        <v>334</v>
      </c>
    </row>
    <row r="1713" spans="1:15" x14ac:dyDescent="0.2">
      <c r="A1713" s="9">
        <v>45567</v>
      </c>
      <c r="B1713" s="1" t="str">
        <f>IFERROR(VLOOKUP(MID(INDEX(Database_dermo!$A:$I, MATCH($O1713, Database_dermo!$A:$A, 0), 2),20,3),Notes!A$1:C$9,3,TRUE), "Not Found")</f>
        <v>LX-S</v>
      </c>
      <c r="C1713" s="1" t="str">
        <f>IFERROR(RIGHT(INDEX(Database_dermo!$A:$I, MATCH($O1713, Database_dermo!$A:$A, 0), 1),2), "Not Found")</f>
        <v>14</v>
      </c>
      <c r="D1713" s="1">
        <f>IFERROR(VLOOKUP(MID(INDEX(Database_dermo!$A:$I, MATCH($O1713, Database_dermo!$A:$A, 0), 2),20,3),Notes!A$1:C$9,2,TRUE), "Not Found")</f>
        <v>3</v>
      </c>
      <c r="E1713" s="1">
        <f>IFERROR(INDEX(Database_dermo!$A:$I, MATCH($O1713, Database_dermo!$A:$A, 0), 3), "Not Found")</f>
        <v>34.79</v>
      </c>
      <c r="F1713" s="1" t="str">
        <f>IFERROR(INDEX(Database_repro!$A:$F, MATCH($O1713, Database_repro!$A:$A, 0), 3), "Not Found")</f>
        <v>F</v>
      </c>
      <c r="G1713" s="1">
        <f>IFERROR(INDEX(Database_repro!$A:$F, MATCH($O1713, Database_repro!$A:$A, 0), 4), "Not Found")</f>
        <v>2</v>
      </c>
      <c r="H1713" s="1" t="s">
        <v>16</v>
      </c>
      <c r="I1713" s="1" t="s">
        <v>16</v>
      </c>
      <c r="J1713" s="1" t="s">
        <v>16</v>
      </c>
      <c r="K1713" s="1" t="str">
        <f>IFERROR(INDEX(Database_repro!$A:$F, MATCH($O1713, Database_repro!$A:$A, 0), 5), "Not Found")</f>
        <v>No</v>
      </c>
      <c r="L1713" s="4" t="s">
        <v>17</v>
      </c>
      <c r="M1713" s="1" t="str">
        <f>IFERROR(IF(INDEX(Database_repro!$A:$F, MATCH($O1713, Database_repro!$A:$A, 0), 6)="N","No",IF(INDEX(Database_repro!$A:$F, MATCH($O1713, Database_repro!$A:$A, 0), 6)="Y","Yes","Z")), "Not Found")</f>
        <v>No</v>
      </c>
      <c r="N1713" s="27" t="s">
        <v>605</v>
      </c>
      <c r="O1713" t="s">
        <v>335</v>
      </c>
    </row>
    <row r="1714" spans="1:15" x14ac:dyDescent="0.2">
      <c r="A1714" s="9">
        <v>45567</v>
      </c>
      <c r="B1714" s="1" t="str">
        <f>IFERROR(VLOOKUP(MID(INDEX(Database_dermo!$A:$I, MATCH($O1714, Database_dermo!$A:$A, 0), 2),20,3),Notes!A$1:C$9,3,TRUE), "Not Found")</f>
        <v>LX-S</v>
      </c>
      <c r="C1714" s="1" t="str">
        <f>IFERROR(RIGHT(INDEX(Database_dermo!$A:$I, MATCH($O1714, Database_dermo!$A:$A, 0), 1),2), "Not Found")</f>
        <v>15</v>
      </c>
      <c r="D1714" s="1">
        <f>IFERROR(VLOOKUP(MID(INDEX(Database_dermo!$A:$I, MATCH($O1714, Database_dermo!$A:$A, 0), 2),20,3),Notes!A$1:C$9,2,TRUE), "Not Found")</f>
        <v>3</v>
      </c>
      <c r="E1714" s="1">
        <f>IFERROR(INDEX(Database_dermo!$A:$I, MATCH($O1714, Database_dermo!$A:$A, 0), 3), "Not Found")</f>
        <v>43.72</v>
      </c>
      <c r="F1714" s="1" t="str">
        <f>IFERROR(INDEX(Database_repro!$A:$F, MATCH($O1714, Database_repro!$A:$A, 0), 3), "Not Found")</f>
        <v>M</v>
      </c>
      <c r="G1714" s="1">
        <f>IFERROR(INDEX(Database_repro!$A:$F, MATCH($O1714, Database_repro!$A:$A, 0), 4), "Not Found")</f>
        <v>2</v>
      </c>
      <c r="H1714" s="1" t="s">
        <v>16</v>
      </c>
      <c r="I1714" s="1" t="s">
        <v>16</v>
      </c>
      <c r="J1714" s="1" t="s">
        <v>16</v>
      </c>
      <c r="K1714" s="1" t="str">
        <f>IFERROR(INDEX(Database_repro!$A:$F, MATCH($O1714, Database_repro!$A:$A, 0), 5), "Not Found")</f>
        <v>No</v>
      </c>
      <c r="L1714" s="4" t="s">
        <v>17</v>
      </c>
      <c r="M1714" s="1" t="str">
        <f>IFERROR(IF(INDEX(Database_repro!$A:$F, MATCH($O1714, Database_repro!$A:$A, 0), 6)="N","No",IF(INDEX(Database_repro!$A:$F, MATCH($O1714, Database_repro!$A:$A, 0), 6)="Y","Yes","Z")), "Not Found")</f>
        <v>No</v>
      </c>
      <c r="N1714" s="27" t="s">
        <v>605</v>
      </c>
      <c r="O1714" t="s">
        <v>336</v>
      </c>
    </row>
    <row r="1715" spans="1:15" x14ac:dyDescent="0.2">
      <c r="A1715" s="9">
        <v>45601</v>
      </c>
      <c r="B1715" s="1" t="str">
        <f>IFERROR(VLOOKUP(MID(INDEX(Database_dermo!$A:$I, MATCH($O1715, Database_dermo!$A:$A, 0), 2),20,3),Notes!A$1:C$9,3,TRUE), "Not Found")</f>
        <v>LX-S</v>
      </c>
      <c r="C1715" s="1" t="str">
        <f>IFERROR(RIGHT(INDEX(Database_dermo!$A:$I, MATCH($O1715, Database_dermo!$A:$A, 0), 1),2), "Not Found")</f>
        <v>01</v>
      </c>
      <c r="D1715" s="1">
        <f>IFERROR(VLOOKUP(MID(INDEX(Database_dermo!$A:$I, MATCH($O1715, Database_dermo!$A:$A, 0), 2),20,3),Notes!A$1:C$9,2,TRUE), "Not Found")</f>
        <v>1</v>
      </c>
      <c r="E1715" s="1">
        <f>IFERROR(INDEX(Database_dermo!$A:$I, MATCH($O1715, Database_dermo!$A:$A, 0), 3), "Not Found")</f>
        <v>55</v>
      </c>
      <c r="F1715" s="1" t="str">
        <f>IFERROR(INDEX(Database_repro!$A:$F, MATCH($O1715, Database_repro!$A:$A, 0), 3), "Not Found")</f>
        <v>F</v>
      </c>
      <c r="G1715" s="1">
        <f>IFERROR(INDEX(Database_repro!$A:$F, MATCH($O1715, Database_repro!$A:$A, 0), 4), "Not Found")</f>
        <v>3</v>
      </c>
      <c r="H1715" s="1" t="s">
        <v>16</v>
      </c>
      <c r="I1715" s="1" t="s">
        <v>16</v>
      </c>
      <c r="J1715" s="1" t="s">
        <v>16</v>
      </c>
      <c r="K1715" s="1" t="str">
        <f>IFERROR(INDEX(Database_repro!$A:$F, MATCH($O1715, Database_repro!$A:$A, 0), 5), "Not Found")</f>
        <v>No</v>
      </c>
      <c r="L1715" s="4" t="s">
        <v>17</v>
      </c>
      <c r="M1715" s="1" t="str">
        <f>IFERROR(IF(INDEX(Database_repro!$A:$F, MATCH($O1715, Database_repro!$A:$A, 0), 6)="N","No",IF(INDEX(Database_repro!$A:$F, MATCH($O1715, Database_repro!$A:$A, 0), 6)="Y","Yes","Z")), "Not Found")</f>
        <v>No</v>
      </c>
      <c r="N1715" s="27" t="s">
        <v>605</v>
      </c>
      <c r="O1715" t="s">
        <v>337</v>
      </c>
    </row>
    <row r="1716" spans="1:15" x14ac:dyDescent="0.2">
      <c r="A1716" s="9">
        <v>45601</v>
      </c>
      <c r="B1716" s="1" t="str">
        <f>IFERROR(VLOOKUP(MID(INDEX(Database_dermo!$A:$I, MATCH($O1716, Database_dermo!$A:$A, 0), 2),20,3),Notes!A$1:C$9,3,TRUE), "Not Found")</f>
        <v>LX-S</v>
      </c>
      <c r="C1716" s="1" t="str">
        <f>IFERROR(RIGHT(INDEX(Database_dermo!$A:$I, MATCH($O1716, Database_dermo!$A:$A, 0), 1),2), "Not Found")</f>
        <v>02</v>
      </c>
      <c r="D1716" s="1">
        <f>IFERROR(VLOOKUP(MID(INDEX(Database_dermo!$A:$I, MATCH($O1716, Database_dermo!$A:$A, 0), 2),20,3),Notes!A$1:C$9,2,TRUE), "Not Found")</f>
        <v>1</v>
      </c>
      <c r="E1716" s="1">
        <f>IFERROR(INDEX(Database_dermo!$A:$I, MATCH($O1716, Database_dermo!$A:$A, 0), 3), "Not Found")</f>
        <v>65.680000000000007</v>
      </c>
      <c r="F1716" s="1" t="str">
        <f>IFERROR(INDEX(Database_repro!$A:$F, MATCH($O1716, Database_repro!$A:$A, 0), 3), "Not Found")</f>
        <v>F</v>
      </c>
      <c r="G1716" s="1">
        <f>IFERROR(INDEX(Database_repro!$A:$F, MATCH($O1716, Database_repro!$A:$A, 0), 4), "Not Found")</f>
        <v>1</v>
      </c>
      <c r="H1716" s="1" t="s">
        <v>16</v>
      </c>
      <c r="I1716" s="1" t="s">
        <v>16</v>
      </c>
      <c r="J1716" s="1" t="s">
        <v>16</v>
      </c>
      <c r="K1716" s="1" t="str">
        <f>IFERROR(INDEX(Database_repro!$A:$F, MATCH($O1716, Database_repro!$A:$A, 0), 5), "Not Found")</f>
        <v>No</v>
      </c>
      <c r="L1716" s="4" t="s">
        <v>17</v>
      </c>
      <c r="M1716" s="1" t="str">
        <f>IFERROR(IF(INDEX(Database_repro!$A:$F, MATCH($O1716, Database_repro!$A:$A, 0), 6)="N","No",IF(INDEX(Database_repro!$A:$F, MATCH($O1716, Database_repro!$A:$A, 0), 6)="Y","Yes","Z")), "Not Found")</f>
        <v>No</v>
      </c>
      <c r="N1716" s="27" t="s">
        <v>605</v>
      </c>
      <c r="O1716" t="s">
        <v>339</v>
      </c>
    </row>
    <row r="1717" spans="1:15" x14ac:dyDescent="0.2">
      <c r="A1717" s="9">
        <v>45601</v>
      </c>
      <c r="B1717" s="1" t="str">
        <f>IFERROR(VLOOKUP(MID(INDEX(Database_dermo!$A:$I, MATCH($O1717, Database_dermo!$A:$A, 0), 2),20,3),Notes!A$1:C$9,3,TRUE), "Not Found")</f>
        <v>LX-S</v>
      </c>
      <c r="C1717" s="1" t="str">
        <f>IFERROR(RIGHT(INDEX(Database_dermo!$A:$I, MATCH($O1717, Database_dermo!$A:$A, 0), 1),2), "Not Found")</f>
        <v>03</v>
      </c>
      <c r="D1717" s="1">
        <f>IFERROR(VLOOKUP(MID(INDEX(Database_dermo!$A:$I, MATCH($O1717, Database_dermo!$A:$A, 0), 2),20,3),Notes!A$1:C$9,2,TRUE), "Not Found")</f>
        <v>1</v>
      </c>
      <c r="E1717" s="1">
        <f>IFERROR(INDEX(Database_dermo!$A:$I, MATCH($O1717, Database_dermo!$A:$A, 0), 3), "Not Found")</f>
        <v>46.99</v>
      </c>
      <c r="F1717" s="1" t="str">
        <f>IFERROR(INDEX(Database_repro!$A:$F, MATCH($O1717, Database_repro!$A:$A, 0), 3), "Not Found")</f>
        <v>M</v>
      </c>
      <c r="G1717" s="1">
        <f>IFERROR(INDEX(Database_repro!$A:$F, MATCH($O1717, Database_repro!$A:$A, 0), 4), "Not Found")</f>
        <v>2</v>
      </c>
      <c r="H1717" s="1" t="s">
        <v>16</v>
      </c>
      <c r="I1717" s="1" t="s">
        <v>16</v>
      </c>
      <c r="J1717" s="1" t="s">
        <v>16</v>
      </c>
      <c r="K1717" s="1" t="str">
        <f>IFERROR(INDEX(Database_repro!$A:$F, MATCH($O1717, Database_repro!$A:$A, 0), 5), "Not Found")</f>
        <v>No</v>
      </c>
      <c r="L1717" s="4" t="s">
        <v>17</v>
      </c>
      <c r="M1717" s="1" t="str">
        <f>IFERROR(IF(INDEX(Database_repro!$A:$F, MATCH($O1717, Database_repro!$A:$A, 0), 6)="N","No",IF(INDEX(Database_repro!$A:$F, MATCH($O1717, Database_repro!$A:$A, 0), 6)="Y","Yes","Z")), "Not Found")</f>
        <v>No</v>
      </c>
      <c r="N1717" s="27" t="s">
        <v>605</v>
      </c>
      <c r="O1717" t="s">
        <v>340</v>
      </c>
    </row>
    <row r="1718" spans="1:15" x14ac:dyDescent="0.2">
      <c r="A1718" s="9">
        <v>45601</v>
      </c>
      <c r="B1718" s="1" t="str">
        <f>IFERROR(VLOOKUP(MID(INDEX(Database_dermo!$A:$I, MATCH($O1718, Database_dermo!$A:$A, 0), 2),20,3),Notes!A$1:C$9,3,TRUE), "Not Found")</f>
        <v>LX-S</v>
      </c>
      <c r="C1718" s="1" t="str">
        <f>IFERROR(RIGHT(INDEX(Database_dermo!$A:$I, MATCH($O1718, Database_dermo!$A:$A, 0), 1),2), "Not Found")</f>
        <v>04</v>
      </c>
      <c r="D1718" s="1">
        <f>IFERROR(VLOOKUP(MID(INDEX(Database_dermo!$A:$I, MATCH($O1718, Database_dermo!$A:$A, 0), 2),20,3),Notes!A$1:C$9,2,TRUE), "Not Found")</f>
        <v>1</v>
      </c>
      <c r="E1718" s="1">
        <f>IFERROR(INDEX(Database_dermo!$A:$I, MATCH($O1718, Database_dermo!$A:$A, 0), 3), "Not Found")</f>
        <v>52.54</v>
      </c>
      <c r="F1718" s="1" t="str">
        <f>IFERROR(INDEX(Database_repro!$A:$F, MATCH($O1718, Database_repro!$A:$A, 0), 3), "Not Found")</f>
        <v>Z</v>
      </c>
      <c r="G1718" s="1">
        <f>IFERROR(INDEX(Database_repro!$A:$F, MATCH($O1718, Database_repro!$A:$A, 0), 4), "Not Found")</f>
        <v>4</v>
      </c>
      <c r="H1718" s="1" t="s">
        <v>16</v>
      </c>
      <c r="I1718" s="1" t="s">
        <v>16</v>
      </c>
      <c r="J1718" s="1" t="s">
        <v>16</v>
      </c>
      <c r="K1718" s="1" t="str">
        <f>IFERROR(INDEX(Database_repro!$A:$F, MATCH($O1718, Database_repro!$A:$A, 0), 5), "Not Found")</f>
        <v>Yes</v>
      </c>
      <c r="L1718" s="4" t="s">
        <v>17</v>
      </c>
      <c r="M1718" s="1" t="str">
        <f>IFERROR(IF(INDEX(Database_repro!$A:$F, MATCH($O1718, Database_repro!$A:$A, 0), 6)="N","No",IF(INDEX(Database_repro!$A:$F, MATCH($O1718, Database_repro!$A:$A, 0), 6)="Y","Yes","Z")), "Not Found")</f>
        <v>No</v>
      </c>
      <c r="N1718" s="27" t="s">
        <v>605</v>
      </c>
      <c r="O1718" t="s">
        <v>341</v>
      </c>
    </row>
    <row r="1719" spans="1:15" x14ac:dyDescent="0.2">
      <c r="A1719" s="9">
        <v>45601</v>
      </c>
      <c r="B1719" s="1" t="str">
        <f>IFERROR(VLOOKUP(MID(INDEX(Database_dermo!$A:$I, MATCH($O1719, Database_dermo!$A:$A, 0), 2),20,3),Notes!A$1:C$9,3,TRUE), "Not Found")</f>
        <v>LX-S</v>
      </c>
      <c r="C1719" s="1" t="str">
        <f>IFERROR(RIGHT(INDEX(Database_dermo!$A:$I, MATCH($O1719, Database_dermo!$A:$A, 0), 1),2), "Not Found")</f>
        <v>05</v>
      </c>
      <c r="D1719" s="1">
        <f>IFERROR(VLOOKUP(MID(INDEX(Database_dermo!$A:$I, MATCH($O1719, Database_dermo!$A:$A, 0), 2),20,3),Notes!A$1:C$9,2,TRUE), "Not Found")</f>
        <v>1</v>
      </c>
      <c r="E1719" s="1">
        <f>IFERROR(INDEX(Database_dermo!$A:$I, MATCH($O1719, Database_dermo!$A:$A, 0), 3), "Not Found")</f>
        <v>44.8</v>
      </c>
      <c r="F1719" s="1" t="str">
        <f>IFERROR(INDEX(Database_repro!$A:$F, MATCH($O1719, Database_repro!$A:$A, 0), 3), "Not Found")</f>
        <v>F</v>
      </c>
      <c r="G1719" s="1">
        <f>IFERROR(INDEX(Database_repro!$A:$F, MATCH($O1719, Database_repro!$A:$A, 0), 4), "Not Found")</f>
        <v>3</v>
      </c>
      <c r="H1719" s="1" t="s">
        <v>16</v>
      </c>
      <c r="I1719" s="1" t="s">
        <v>16</v>
      </c>
      <c r="J1719" s="1" t="s">
        <v>16</v>
      </c>
      <c r="K1719" s="1" t="str">
        <f>IFERROR(INDEX(Database_repro!$A:$F, MATCH($O1719, Database_repro!$A:$A, 0), 5), "Not Found")</f>
        <v>No</v>
      </c>
      <c r="L1719" s="4" t="s">
        <v>17</v>
      </c>
      <c r="M1719" s="1" t="str">
        <f>IFERROR(IF(INDEX(Database_repro!$A:$F, MATCH($O1719, Database_repro!$A:$A, 0), 6)="N","No",IF(INDEX(Database_repro!$A:$F, MATCH($O1719, Database_repro!$A:$A, 0), 6)="Y","Yes","Z")), "Not Found")</f>
        <v>No</v>
      </c>
      <c r="N1719" s="27" t="s">
        <v>605</v>
      </c>
      <c r="O1719" t="s">
        <v>343</v>
      </c>
    </row>
    <row r="1720" spans="1:15" x14ac:dyDescent="0.2">
      <c r="A1720" s="9">
        <v>45601</v>
      </c>
      <c r="B1720" s="1" t="str">
        <f>IFERROR(VLOOKUP(MID(INDEX(Database_dermo!$A:$I, MATCH($O1720, Database_dermo!$A:$A, 0), 2),20,3),Notes!A$1:C$9,3,TRUE), "Not Found")</f>
        <v>LX-S</v>
      </c>
      <c r="C1720" s="1" t="str">
        <f>IFERROR(RIGHT(INDEX(Database_dermo!$A:$I, MATCH($O1720, Database_dermo!$A:$A, 0), 1),2), "Not Found")</f>
        <v>06</v>
      </c>
      <c r="D1720" s="1">
        <f>IFERROR(VLOOKUP(MID(INDEX(Database_dermo!$A:$I, MATCH($O1720, Database_dermo!$A:$A, 0), 2),20,3),Notes!A$1:C$9,2,TRUE), "Not Found")</f>
        <v>2</v>
      </c>
      <c r="E1720" s="1">
        <f>IFERROR(INDEX(Database_dermo!$A:$I, MATCH($O1720, Database_dermo!$A:$A, 0), 3), "Not Found")</f>
        <v>57.3</v>
      </c>
      <c r="F1720" s="1" t="str">
        <f>IFERROR(INDEX(Database_repro!$A:$F, MATCH($O1720, Database_repro!$A:$A, 0), 3), "Not Found")</f>
        <v>F</v>
      </c>
      <c r="G1720" s="1">
        <f>IFERROR(INDEX(Database_repro!$A:$F, MATCH($O1720, Database_repro!$A:$A, 0), 4), "Not Found")</f>
        <v>2</v>
      </c>
      <c r="H1720" s="1" t="s">
        <v>16</v>
      </c>
      <c r="I1720" s="1" t="s">
        <v>16</v>
      </c>
      <c r="J1720" s="1" t="s">
        <v>16</v>
      </c>
      <c r="K1720" s="1" t="str">
        <f>IFERROR(INDEX(Database_repro!$A:$F, MATCH($O1720, Database_repro!$A:$A, 0), 5), "Not Found")</f>
        <v>No</v>
      </c>
      <c r="L1720" s="4" t="s">
        <v>17</v>
      </c>
      <c r="M1720" s="1" t="str">
        <f>IFERROR(IF(INDEX(Database_repro!$A:$F, MATCH($O1720, Database_repro!$A:$A, 0), 6)="N","No",IF(INDEX(Database_repro!$A:$F, MATCH($O1720, Database_repro!$A:$A, 0), 6)="Y","Yes","Z")), "Not Found")</f>
        <v>No</v>
      </c>
      <c r="N1720" s="27" t="s">
        <v>605</v>
      </c>
      <c r="O1720" t="s">
        <v>344</v>
      </c>
    </row>
    <row r="1721" spans="1:15" x14ac:dyDescent="0.2">
      <c r="A1721" s="9">
        <v>45601</v>
      </c>
      <c r="B1721" s="1" t="str">
        <f>IFERROR(VLOOKUP(MID(INDEX(Database_dermo!$A:$I, MATCH($O1721, Database_dermo!$A:$A, 0), 2),20,3),Notes!A$1:C$9,3,TRUE), "Not Found")</f>
        <v>LX-S</v>
      </c>
      <c r="C1721" s="1" t="str">
        <f>IFERROR(RIGHT(INDEX(Database_dermo!$A:$I, MATCH($O1721, Database_dermo!$A:$A, 0), 1),2), "Not Found")</f>
        <v>07</v>
      </c>
      <c r="D1721" s="1">
        <f>IFERROR(VLOOKUP(MID(INDEX(Database_dermo!$A:$I, MATCH($O1721, Database_dermo!$A:$A, 0), 2),20,3),Notes!A$1:C$9,2,TRUE), "Not Found")</f>
        <v>2</v>
      </c>
      <c r="E1721" s="1">
        <f>IFERROR(INDEX(Database_dermo!$A:$I, MATCH($O1721, Database_dermo!$A:$A, 0), 3), "Not Found")</f>
        <v>54.89</v>
      </c>
      <c r="F1721" s="1" t="str">
        <f>IFERROR(INDEX(Database_repro!$A:$F, MATCH($O1721, Database_repro!$A:$A, 0), 3), "Not Found")</f>
        <v>M</v>
      </c>
      <c r="G1721" s="1">
        <f>IFERROR(INDEX(Database_repro!$A:$F, MATCH($O1721, Database_repro!$A:$A, 0), 4), "Not Found")</f>
        <v>2</v>
      </c>
      <c r="H1721" s="1" t="s">
        <v>16</v>
      </c>
      <c r="I1721" s="1" t="s">
        <v>16</v>
      </c>
      <c r="J1721" s="1" t="s">
        <v>16</v>
      </c>
      <c r="K1721" s="1" t="str">
        <f>IFERROR(INDEX(Database_repro!$A:$F, MATCH($O1721, Database_repro!$A:$A, 0), 5), "Not Found")</f>
        <v>No</v>
      </c>
      <c r="L1721" s="4" t="s">
        <v>17</v>
      </c>
      <c r="M1721" s="1" t="str">
        <f>IFERROR(IF(INDEX(Database_repro!$A:$F, MATCH($O1721, Database_repro!$A:$A, 0), 6)="N","No",IF(INDEX(Database_repro!$A:$F, MATCH($O1721, Database_repro!$A:$A, 0), 6)="Y","Yes","Z")), "Not Found")</f>
        <v>No</v>
      </c>
      <c r="N1721" s="27" t="s">
        <v>605</v>
      </c>
      <c r="O1721" t="s">
        <v>346</v>
      </c>
    </row>
    <row r="1722" spans="1:15" x14ac:dyDescent="0.2">
      <c r="A1722" s="9">
        <v>45601</v>
      </c>
      <c r="B1722" s="1" t="str">
        <f>IFERROR(VLOOKUP(MID(INDEX(Database_dermo!$A:$I, MATCH($O1722, Database_dermo!$A:$A, 0), 2),20,3),Notes!A$1:C$9,3,TRUE), "Not Found")</f>
        <v>LX-S</v>
      </c>
      <c r="C1722" s="1" t="str">
        <f>IFERROR(RIGHT(INDEX(Database_dermo!$A:$I, MATCH($O1722, Database_dermo!$A:$A, 0), 1),2), "Not Found")</f>
        <v>08</v>
      </c>
      <c r="D1722" s="1">
        <f>IFERROR(VLOOKUP(MID(INDEX(Database_dermo!$A:$I, MATCH($O1722, Database_dermo!$A:$A, 0), 2),20,3),Notes!A$1:C$9,2,TRUE), "Not Found")</f>
        <v>2</v>
      </c>
      <c r="E1722" s="1">
        <f>IFERROR(INDEX(Database_dermo!$A:$I, MATCH($O1722, Database_dermo!$A:$A, 0), 3), "Not Found")</f>
        <v>53.42</v>
      </c>
      <c r="F1722" s="1" t="str">
        <f>IFERROR(INDEX(Database_repro!$A:$F, MATCH($O1722, Database_repro!$A:$A, 0), 3), "Not Found")</f>
        <v>F</v>
      </c>
      <c r="G1722" s="1">
        <f>IFERROR(INDEX(Database_repro!$A:$F, MATCH($O1722, Database_repro!$A:$A, 0), 4), "Not Found")</f>
        <v>2</v>
      </c>
      <c r="H1722" s="1" t="s">
        <v>16</v>
      </c>
      <c r="I1722" s="1" t="s">
        <v>16</v>
      </c>
      <c r="J1722" s="1" t="s">
        <v>16</v>
      </c>
      <c r="K1722" s="1" t="str">
        <f>IFERROR(INDEX(Database_repro!$A:$F, MATCH($O1722, Database_repro!$A:$A, 0), 5), "Not Found")</f>
        <v>No</v>
      </c>
      <c r="L1722" s="4" t="s">
        <v>17</v>
      </c>
      <c r="M1722" s="1" t="str">
        <f>IFERROR(IF(INDEX(Database_repro!$A:$F, MATCH($O1722, Database_repro!$A:$A, 0), 6)="N","No",IF(INDEX(Database_repro!$A:$F, MATCH($O1722, Database_repro!$A:$A, 0), 6)="Y","Yes","Z")), "Not Found")</f>
        <v>No</v>
      </c>
      <c r="N1722" s="27" t="s">
        <v>605</v>
      </c>
      <c r="O1722" t="s">
        <v>347</v>
      </c>
    </row>
    <row r="1723" spans="1:15" x14ac:dyDescent="0.2">
      <c r="A1723" s="9">
        <v>45601</v>
      </c>
      <c r="B1723" s="1" t="str">
        <f>IFERROR(VLOOKUP(MID(INDEX(Database_dermo!$A:$I, MATCH($O1723, Database_dermo!$A:$A, 0), 2),20,3),Notes!A$1:C$9,3,TRUE), "Not Found")</f>
        <v>LX-S</v>
      </c>
      <c r="C1723" s="1" t="str">
        <f>IFERROR(RIGHT(INDEX(Database_dermo!$A:$I, MATCH($O1723, Database_dermo!$A:$A, 0), 1),2), "Not Found")</f>
        <v>09</v>
      </c>
      <c r="D1723" s="1">
        <f>IFERROR(VLOOKUP(MID(INDEX(Database_dermo!$A:$I, MATCH($O1723, Database_dermo!$A:$A, 0), 2),20,3),Notes!A$1:C$9,2,TRUE), "Not Found")</f>
        <v>2</v>
      </c>
      <c r="E1723" s="1">
        <f>IFERROR(INDEX(Database_dermo!$A:$I, MATCH($O1723, Database_dermo!$A:$A, 0), 3), "Not Found")</f>
        <v>41.01</v>
      </c>
      <c r="F1723" s="1" t="str">
        <f>IFERROR(INDEX(Database_repro!$A:$F, MATCH($O1723, Database_repro!$A:$A, 0), 3), "Not Found")</f>
        <v>F</v>
      </c>
      <c r="G1723" s="1">
        <f>IFERROR(INDEX(Database_repro!$A:$F, MATCH($O1723, Database_repro!$A:$A, 0), 4), "Not Found")</f>
        <v>2</v>
      </c>
      <c r="H1723" s="1" t="s">
        <v>16</v>
      </c>
      <c r="I1723" s="1" t="s">
        <v>16</v>
      </c>
      <c r="J1723" s="1" t="s">
        <v>16</v>
      </c>
      <c r="K1723" s="1" t="str">
        <f>IFERROR(INDEX(Database_repro!$A:$F, MATCH($O1723, Database_repro!$A:$A, 0), 5), "Not Found")</f>
        <v>No</v>
      </c>
      <c r="L1723" s="4" t="s">
        <v>17</v>
      </c>
      <c r="M1723" s="1" t="str">
        <f>IFERROR(IF(INDEX(Database_repro!$A:$F, MATCH($O1723, Database_repro!$A:$A, 0), 6)="N","No",IF(INDEX(Database_repro!$A:$F, MATCH($O1723, Database_repro!$A:$A, 0), 6)="Y","Yes","Z")), "Not Found")</f>
        <v>No</v>
      </c>
      <c r="N1723" s="27" t="s">
        <v>605</v>
      </c>
      <c r="O1723" t="s">
        <v>348</v>
      </c>
    </row>
    <row r="1724" spans="1:15" x14ac:dyDescent="0.2">
      <c r="A1724" s="9">
        <v>45601</v>
      </c>
      <c r="B1724" s="1" t="str">
        <f>IFERROR(VLOOKUP(MID(INDEX(Database_dermo!$A:$I, MATCH($O1724, Database_dermo!$A:$A, 0), 2),20,3),Notes!A$1:C$9,3,TRUE), "Not Found")</f>
        <v>LX-S</v>
      </c>
      <c r="C1724" s="1" t="str">
        <f>IFERROR(RIGHT(INDEX(Database_dermo!$A:$I, MATCH($O1724, Database_dermo!$A:$A, 0), 1),2), "Not Found")</f>
        <v>10</v>
      </c>
      <c r="D1724" s="1">
        <f>IFERROR(VLOOKUP(MID(INDEX(Database_dermo!$A:$I, MATCH($O1724, Database_dermo!$A:$A, 0), 2),20,3),Notes!A$1:C$9,2,TRUE), "Not Found")</f>
        <v>2</v>
      </c>
      <c r="E1724" s="1">
        <f>IFERROR(INDEX(Database_dermo!$A:$I, MATCH($O1724, Database_dermo!$A:$A, 0), 3), "Not Found")</f>
        <v>51.89</v>
      </c>
      <c r="F1724" s="1" t="str">
        <f>IFERROR(INDEX(Database_repro!$A:$F, MATCH($O1724, Database_repro!$A:$A, 0), 3), "Not Found")</f>
        <v>F</v>
      </c>
      <c r="G1724" s="1">
        <f>IFERROR(INDEX(Database_repro!$A:$F, MATCH($O1724, Database_repro!$A:$A, 0), 4), "Not Found")</f>
        <v>2</v>
      </c>
      <c r="H1724" s="1" t="s">
        <v>16</v>
      </c>
      <c r="I1724" s="1" t="s">
        <v>16</v>
      </c>
      <c r="J1724" s="1" t="s">
        <v>16</v>
      </c>
      <c r="K1724" s="1" t="str">
        <f>IFERROR(INDEX(Database_repro!$A:$F, MATCH($O1724, Database_repro!$A:$A, 0), 5), "Not Found")</f>
        <v>No</v>
      </c>
      <c r="L1724" s="4" t="s">
        <v>17</v>
      </c>
      <c r="M1724" s="1" t="str">
        <f>IFERROR(IF(INDEX(Database_repro!$A:$F, MATCH($O1724, Database_repro!$A:$A, 0), 6)="N","No",IF(INDEX(Database_repro!$A:$F, MATCH($O1724, Database_repro!$A:$A, 0), 6)="Y","Yes","Z")), "Not Found")</f>
        <v>No</v>
      </c>
      <c r="N1724" s="27" t="s">
        <v>605</v>
      </c>
      <c r="O1724" t="s">
        <v>349</v>
      </c>
    </row>
    <row r="1725" spans="1:15" x14ac:dyDescent="0.2">
      <c r="A1725" s="9">
        <v>45601</v>
      </c>
      <c r="B1725" s="1" t="str">
        <f>IFERROR(VLOOKUP(MID(INDEX(Database_dermo!$A:$I, MATCH($O1725, Database_dermo!$A:$A, 0), 2),20,3),Notes!A$1:C$9,3,TRUE), "Not Found")</f>
        <v>LX-S</v>
      </c>
      <c r="C1725" s="1" t="str">
        <f>IFERROR(RIGHT(INDEX(Database_dermo!$A:$I, MATCH($O1725, Database_dermo!$A:$A, 0), 1),2), "Not Found")</f>
        <v>11</v>
      </c>
      <c r="D1725" s="1">
        <f>IFERROR(VLOOKUP(MID(INDEX(Database_dermo!$A:$I, MATCH($O1725, Database_dermo!$A:$A, 0), 2),20,3),Notes!A$1:C$9,2,TRUE), "Not Found")</f>
        <v>3</v>
      </c>
      <c r="E1725" s="1">
        <f>IFERROR(INDEX(Database_dermo!$A:$I, MATCH($O1725, Database_dermo!$A:$A, 0), 3), "Not Found")</f>
        <v>68.19</v>
      </c>
      <c r="F1725" s="1" t="str">
        <f>IFERROR(INDEX(Database_repro!$A:$F, MATCH($O1725, Database_repro!$A:$A, 0), 3), "Not Found")</f>
        <v>F</v>
      </c>
      <c r="G1725" s="1">
        <f>IFERROR(INDEX(Database_repro!$A:$F, MATCH($O1725, Database_repro!$A:$A, 0), 4), "Not Found")</f>
        <v>2</v>
      </c>
      <c r="H1725" s="1" t="s">
        <v>16</v>
      </c>
      <c r="I1725" s="1" t="s">
        <v>16</v>
      </c>
      <c r="J1725" s="1" t="s">
        <v>16</v>
      </c>
      <c r="K1725" s="1" t="str">
        <f>IFERROR(INDEX(Database_repro!$A:$F, MATCH($O1725, Database_repro!$A:$A, 0), 5), "Not Found")</f>
        <v>No</v>
      </c>
      <c r="L1725" s="4" t="s">
        <v>17</v>
      </c>
      <c r="M1725" s="1" t="str">
        <f>IFERROR(IF(INDEX(Database_repro!$A:$F, MATCH($O1725, Database_repro!$A:$A, 0), 6)="N","No",IF(INDEX(Database_repro!$A:$F, MATCH($O1725, Database_repro!$A:$A, 0), 6)="Y","Yes","Z")), "Not Found")</f>
        <v>No</v>
      </c>
      <c r="N1725" s="27" t="s">
        <v>605</v>
      </c>
      <c r="O1725" t="s">
        <v>350</v>
      </c>
    </row>
    <row r="1726" spans="1:15" x14ac:dyDescent="0.2">
      <c r="A1726" s="9">
        <v>45601</v>
      </c>
      <c r="B1726" s="1" t="str">
        <f>IFERROR(VLOOKUP(MID(INDEX(Database_dermo!$A:$I, MATCH($O1726, Database_dermo!$A:$A, 0), 2),20,3),Notes!A$1:C$9,3,TRUE), "Not Found")</f>
        <v>LX-S</v>
      </c>
      <c r="C1726" s="1" t="str">
        <f>IFERROR(RIGHT(INDEX(Database_dermo!$A:$I, MATCH($O1726, Database_dermo!$A:$A, 0), 1),2), "Not Found")</f>
        <v>12</v>
      </c>
      <c r="D1726" s="1">
        <f>IFERROR(VLOOKUP(MID(INDEX(Database_dermo!$A:$I, MATCH($O1726, Database_dermo!$A:$A, 0), 2),20,3),Notes!A$1:C$9,2,TRUE), "Not Found")</f>
        <v>3</v>
      </c>
      <c r="E1726" s="1">
        <f>IFERROR(INDEX(Database_dermo!$A:$I, MATCH($O1726, Database_dermo!$A:$A, 0), 3), "Not Found")</f>
        <v>40.97</v>
      </c>
      <c r="F1726" s="1" t="str">
        <f>IFERROR(INDEX(Database_repro!$A:$F, MATCH($O1726, Database_repro!$A:$A, 0), 3), "Not Found")</f>
        <v>M</v>
      </c>
      <c r="G1726" s="1">
        <f>IFERROR(INDEX(Database_repro!$A:$F, MATCH($O1726, Database_repro!$A:$A, 0), 4), "Not Found")</f>
        <v>2</v>
      </c>
      <c r="H1726" s="1" t="s">
        <v>16</v>
      </c>
      <c r="I1726" s="1" t="s">
        <v>16</v>
      </c>
      <c r="J1726" s="1" t="s">
        <v>16</v>
      </c>
      <c r="K1726" s="1" t="str">
        <f>IFERROR(INDEX(Database_repro!$A:$F, MATCH($O1726, Database_repro!$A:$A, 0), 5), "Not Found")</f>
        <v>No</v>
      </c>
      <c r="L1726" s="4" t="s">
        <v>17</v>
      </c>
      <c r="M1726" s="1" t="str">
        <f>IFERROR(IF(INDEX(Database_repro!$A:$F, MATCH($O1726, Database_repro!$A:$A, 0), 6)="N","No",IF(INDEX(Database_repro!$A:$F, MATCH($O1726, Database_repro!$A:$A, 0), 6)="Y","Yes","Z")), "Not Found")</f>
        <v>No</v>
      </c>
      <c r="N1726" s="27" t="s">
        <v>605</v>
      </c>
      <c r="O1726" t="s">
        <v>352</v>
      </c>
    </row>
    <row r="1727" spans="1:15" x14ac:dyDescent="0.2">
      <c r="A1727" s="9">
        <v>45601</v>
      </c>
      <c r="B1727" s="1" t="str">
        <f>IFERROR(VLOOKUP(MID(INDEX(Database_dermo!$A:$I, MATCH($O1727, Database_dermo!$A:$A, 0), 2),20,3),Notes!A$1:C$9,3,TRUE), "Not Found")</f>
        <v>LX-S</v>
      </c>
      <c r="C1727" s="1" t="str">
        <f>IFERROR(RIGHT(INDEX(Database_dermo!$A:$I, MATCH($O1727, Database_dermo!$A:$A, 0), 1),2), "Not Found")</f>
        <v>13</v>
      </c>
      <c r="D1727" s="1">
        <f>IFERROR(VLOOKUP(MID(INDEX(Database_dermo!$A:$I, MATCH($O1727, Database_dermo!$A:$A, 0), 2),20,3),Notes!A$1:C$9,2,TRUE), "Not Found")</f>
        <v>3</v>
      </c>
      <c r="E1727" s="1">
        <f>IFERROR(INDEX(Database_dermo!$A:$I, MATCH($O1727, Database_dermo!$A:$A, 0), 3), "Not Found")</f>
        <v>51.13</v>
      </c>
      <c r="F1727" s="1" t="str">
        <f>IFERROR(INDEX(Database_repro!$A:$F, MATCH($O1727, Database_repro!$A:$A, 0), 3), "Not Found")</f>
        <v>F</v>
      </c>
      <c r="G1727" s="1">
        <f>IFERROR(INDEX(Database_repro!$A:$F, MATCH($O1727, Database_repro!$A:$A, 0), 4), "Not Found")</f>
        <v>2</v>
      </c>
      <c r="H1727" s="1" t="s">
        <v>16</v>
      </c>
      <c r="I1727" s="1" t="s">
        <v>16</v>
      </c>
      <c r="J1727" s="1" t="s">
        <v>16</v>
      </c>
      <c r="K1727" s="1" t="str">
        <f>IFERROR(INDEX(Database_repro!$A:$F, MATCH($O1727, Database_repro!$A:$A, 0), 5), "Not Found")</f>
        <v>No</v>
      </c>
      <c r="L1727" s="4" t="s">
        <v>17</v>
      </c>
      <c r="M1727" s="1" t="str">
        <f>IFERROR(IF(INDEX(Database_repro!$A:$F, MATCH($O1727, Database_repro!$A:$A, 0), 6)="N","No",IF(INDEX(Database_repro!$A:$F, MATCH($O1727, Database_repro!$A:$A, 0), 6)="Y","Yes","Z")), "Not Found")</f>
        <v>No</v>
      </c>
      <c r="N1727" s="27" t="s">
        <v>605</v>
      </c>
      <c r="O1727" t="s">
        <v>353</v>
      </c>
    </row>
    <row r="1728" spans="1:15" x14ac:dyDescent="0.2">
      <c r="A1728" s="9">
        <v>45601</v>
      </c>
      <c r="B1728" s="1" t="str">
        <f>IFERROR(VLOOKUP(MID(INDEX(Database_dermo!$A:$I, MATCH($O1728, Database_dermo!$A:$A, 0), 2),20,3),Notes!A$1:C$9,3,TRUE), "Not Found")</f>
        <v>LX-S</v>
      </c>
      <c r="C1728" s="1" t="str">
        <f>IFERROR(RIGHT(INDEX(Database_dermo!$A:$I, MATCH($O1728, Database_dermo!$A:$A, 0), 1),2), "Not Found")</f>
        <v>14</v>
      </c>
      <c r="D1728" s="1">
        <f>IFERROR(VLOOKUP(MID(INDEX(Database_dermo!$A:$I, MATCH($O1728, Database_dermo!$A:$A, 0), 2),20,3),Notes!A$1:C$9,2,TRUE), "Not Found")</f>
        <v>3</v>
      </c>
      <c r="E1728" s="1">
        <f>IFERROR(INDEX(Database_dermo!$A:$I, MATCH($O1728, Database_dermo!$A:$A, 0), 3), "Not Found")</f>
        <v>72.17</v>
      </c>
      <c r="F1728" s="1" t="str">
        <f>IFERROR(INDEX(Database_repro!$A:$F, MATCH($O1728, Database_repro!$A:$A, 0), 3), "Not Found")</f>
        <v>F</v>
      </c>
      <c r="G1728" s="1">
        <f>IFERROR(INDEX(Database_repro!$A:$F, MATCH($O1728, Database_repro!$A:$A, 0), 4), "Not Found")</f>
        <v>2</v>
      </c>
      <c r="H1728" s="1" t="s">
        <v>16</v>
      </c>
      <c r="I1728" s="1" t="s">
        <v>16</v>
      </c>
      <c r="J1728" s="1" t="s">
        <v>16</v>
      </c>
      <c r="K1728" s="1" t="str">
        <f>IFERROR(INDEX(Database_repro!$A:$F, MATCH($O1728, Database_repro!$A:$A, 0), 5), "Not Found")</f>
        <v>No</v>
      </c>
      <c r="L1728" s="4" t="s">
        <v>17</v>
      </c>
      <c r="M1728" s="1" t="str">
        <f>IFERROR(IF(INDEX(Database_repro!$A:$F, MATCH($O1728, Database_repro!$A:$A, 0), 6)="N","No",IF(INDEX(Database_repro!$A:$F, MATCH($O1728, Database_repro!$A:$A, 0), 6)="Y","Yes","Z")), "Not Found")</f>
        <v>No</v>
      </c>
      <c r="N1728" s="27" t="s">
        <v>605</v>
      </c>
      <c r="O1728" t="s">
        <v>354</v>
      </c>
    </row>
    <row r="1729" spans="1:15" x14ac:dyDescent="0.2">
      <c r="A1729" s="9">
        <v>45601</v>
      </c>
      <c r="B1729" s="1" t="str">
        <f>IFERROR(VLOOKUP(MID(INDEX(Database_dermo!$A:$I, MATCH($O1729, Database_dermo!$A:$A, 0), 2),20,3),Notes!A$1:C$9,3,TRUE), "Not Found")</f>
        <v>LX-S</v>
      </c>
      <c r="C1729" s="1" t="str">
        <f>IFERROR(RIGHT(INDEX(Database_dermo!$A:$I, MATCH($O1729, Database_dermo!$A:$A, 0), 1),2), "Not Found")</f>
        <v>15</v>
      </c>
      <c r="D1729" s="1">
        <f>IFERROR(VLOOKUP(MID(INDEX(Database_dermo!$A:$I, MATCH($O1729, Database_dermo!$A:$A, 0), 2),20,3),Notes!A$1:C$9,2,TRUE), "Not Found")</f>
        <v>3</v>
      </c>
      <c r="E1729" s="1">
        <f>IFERROR(INDEX(Database_dermo!$A:$I, MATCH($O1729, Database_dermo!$A:$A, 0), 3), "Not Found")</f>
        <v>65.430000000000007</v>
      </c>
      <c r="F1729" s="1" t="str">
        <f>IFERROR(INDEX(Database_repro!$A:$F, MATCH($O1729, Database_repro!$A:$A, 0), 3), "Not Found")</f>
        <v>F</v>
      </c>
      <c r="G1729" s="1">
        <f>IFERROR(INDEX(Database_repro!$A:$F, MATCH($O1729, Database_repro!$A:$A, 0), 4), "Not Found")</f>
        <v>2</v>
      </c>
      <c r="H1729" s="1" t="s">
        <v>16</v>
      </c>
      <c r="I1729" s="1" t="s">
        <v>16</v>
      </c>
      <c r="J1729" s="1" t="s">
        <v>16</v>
      </c>
      <c r="K1729" s="1" t="str">
        <f>IFERROR(INDEX(Database_repro!$A:$F, MATCH($O1729, Database_repro!$A:$A, 0), 5), "Not Found")</f>
        <v>No</v>
      </c>
      <c r="L1729" s="4" t="s">
        <v>17</v>
      </c>
      <c r="M1729" s="1" t="str">
        <f>IFERROR(IF(INDEX(Database_repro!$A:$F, MATCH($O1729, Database_repro!$A:$A, 0), 6)="N","No",IF(INDEX(Database_repro!$A:$F, MATCH($O1729, Database_repro!$A:$A, 0), 6)="Y","Yes","Z")), "Not Found")</f>
        <v>No</v>
      </c>
      <c r="N1729" s="27" t="s">
        <v>605</v>
      </c>
      <c r="O1729" t="s">
        <v>355</v>
      </c>
    </row>
    <row r="1730" spans="1:15" x14ac:dyDescent="0.2">
      <c r="A1730" s="9">
        <v>45630</v>
      </c>
      <c r="B1730" s="1" t="str">
        <f>IFERROR(VLOOKUP(MID(INDEX(Database_dermo!$A:$I, MATCH($O1730, Database_dermo!$A:$A, 0), 2),20,3),Notes!A$1:C$9,3,TRUE), "Not Found")</f>
        <v>LX-S</v>
      </c>
      <c r="C1730" s="1" t="str">
        <f>IFERROR(RIGHT(INDEX(Database_dermo!$A:$I, MATCH($O1730, Database_dermo!$A:$A, 0), 1),2), "Not Found")</f>
        <v>01</v>
      </c>
      <c r="D1730" s="1">
        <f>IFERROR(VLOOKUP(MID(INDEX(Database_dermo!$A:$I, MATCH($O1730, Database_dermo!$A:$A, 0), 2),20,3),Notes!A$1:C$9,2,TRUE), "Not Found")</f>
        <v>1</v>
      </c>
      <c r="E1730" s="1">
        <f>IFERROR(INDEX(Database_dermo!$A:$I, MATCH($O1730, Database_dermo!$A:$A, 0), 3), "Not Found")</f>
        <v>59.26</v>
      </c>
      <c r="F1730" s="1" t="str">
        <f>IFERROR(INDEX(Database_repro!$A:$F, MATCH($O1730, Database_repro!$A:$A, 0), 3), "Not Found")</f>
        <v>M</v>
      </c>
      <c r="G1730" s="1">
        <f>IFERROR(INDEX(Database_repro!$A:$F, MATCH($O1730, Database_repro!$A:$A, 0), 4), "Not Found")</f>
        <v>2</v>
      </c>
      <c r="H1730" s="1" t="s">
        <v>16</v>
      </c>
      <c r="I1730" s="1" t="s">
        <v>16</v>
      </c>
      <c r="J1730" s="1" t="s">
        <v>16</v>
      </c>
      <c r="K1730" s="1" t="str">
        <f>IFERROR(INDEX(Database_repro!$A:$F, MATCH($O1730, Database_repro!$A:$A, 0), 5), "Not Found")</f>
        <v>No</v>
      </c>
      <c r="L1730" s="4" t="s">
        <v>17</v>
      </c>
      <c r="M1730" s="1" t="str">
        <f>IFERROR(IF(INDEX(Database_repro!$A:$F, MATCH($O1730, Database_repro!$A:$A, 0), 6)="N","No",IF(INDEX(Database_repro!$A:$F, MATCH($O1730, Database_repro!$A:$A, 0), 6)="Y","Yes","Z")), "Not Found")</f>
        <v>No</v>
      </c>
      <c r="N1730" s="27" t="s">
        <v>605</v>
      </c>
      <c r="O1730" t="s">
        <v>356</v>
      </c>
    </row>
    <row r="1731" spans="1:15" x14ac:dyDescent="0.2">
      <c r="A1731" s="9">
        <v>45630</v>
      </c>
      <c r="B1731" s="1" t="str">
        <f>IFERROR(VLOOKUP(MID(INDEX(Database_dermo!$A:$I, MATCH($O1731, Database_dermo!$A:$A, 0), 2),20,3),Notes!A$1:C$9,3,TRUE), "Not Found")</f>
        <v>LX-S</v>
      </c>
      <c r="C1731" s="1" t="str">
        <f>IFERROR(RIGHT(INDEX(Database_dermo!$A:$I, MATCH($O1731, Database_dermo!$A:$A, 0), 1),2), "Not Found")</f>
        <v>02</v>
      </c>
      <c r="D1731" s="1">
        <f>IFERROR(VLOOKUP(MID(INDEX(Database_dermo!$A:$I, MATCH($O1731, Database_dermo!$A:$A, 0), 2),20,3),Notes!A$1:C$9,2,TRUE), "Not Found")</f>
        <v>1</v>
      </c>
      <c r="E1731" s="1">
        <f>IFERROR(INDEX(Database_dermo!$A:$I, MATCH($O1731, Database_dermo!$A:$A, 0), 3), "Not Found")</f>
        <v>49.69</v>
      </c>
      <c r="F1731" s="1" t="str">
        <f>IFERROR(INDEX(Database_repro!$A:$F, MATCH($O1731, Database_repro!$A:$A, 0), 3), "Not Found")</f>
        <v>F</v>
      </c>
      <c r="G1731" s="1">
        <f>IFERROR(INDEX(Database_repro!$A:$F, MATCH($O1731, Database_repro!$A:$A, 0), 4), "Not Found")</f>
        <v>1</v>
      </c>
      <c r="H1731" s="1" t="s">
        <v>16</v>
      </c>
      <c r="I1731" s="1" t="s">
        <v>16</v>
      </c>
      <c r="J1731" s="1" t="s">
        <v>16</v>
      </c>
      <c r="K1731" s="1" t="str">
        <f>IFERROR(INDEX(Database_repro!$A:$F, MATCH($O1731, Database_repro!$A:$A, 0), 5), "Not Found")</f>
        <v>No</v>
      </c>
      <c r="L1731" s="4" t="s">
        <v>17</v>
      </c>
      <c r="M1731" s="1" t="str">
        <f>IFERROR(IF(INDEX(Database_repro!$A:$F, MATCH($O1731, Database_repro!$A:$A, 0), 6)="N","No",IF(INDEX(Database_repro!$A:$F, MATCH($O1731, Database_repro!$A:$A, 0), 6)="Y","Yes","Z")), "Not Found")</f>
        <v>No</v>
      </c>
      <c r="N1731" s="27" t="s">
        <v>605</v>
      </c>
      <c r="O1731" t="s">
        <v>358</v>
      </c>
    </row>
    <row r="1732" spans="1:15" x14ac:dyDescent="0.2">
      <c r="A1732" s="9">
        <v>45630</v>
      </c>
      <c r="B1732" s="1" t="str">
        <f>IFERROR(VLOOKUP(MID(INDEX(Database_dermo!$A:$I, MATCH($O1732, Database_dermo!$A:$A, 0), 2),20,3),Notes!A$1:C$9,3,TRUE), "Not Found")</f>
        <v>LX-S</v>
      </c>
      <c r="C1732" s="1" t="str">
        <f>IFERROR(RIGHT(INDEX(Database_dermo!$A:$I, MATCH($O1732, Database_dermo!$A:$A, 0), 1),2), "Not Found")</f>
        <v>03</v>
      </c>
      <c r="D1732" s="1">
        <f>IFERROR(VLOOKUP(MID(INDEX(Database_dermo!$A:$I, MATCH($O1732, Database_dermo!$A:$A, 0), 2),20,3),Notes!A$1:C$9,2,TRUE), "Not Found")</f>
        <v>1</v>
      </c>
      <c r="E1732" s="1">
        <f>IFERROR(INDEX(Database_dermo!$A:$I, MATCH($O1732, Database_dermo!$A:$A, 0), 3), "Not Found")</f>
        <v>46.91</v>
      </c>
      <c r="F1732" s="1" t="str">
        <f>IFERROR(INDEX(Database_repro!$A:$F, MATCH($O1732, Database_repro!$A:$A, 0), 3), "Not Found")</f>
        <v>M</v>
      </c>
      <c r="G1732" s="1">
        <f>IFERROR(INDEX(Database_repro!$A:$F, MATCH($O1732, Database_repro!$A:$A, 0), 4), "Not Found")</f>
        <v>3</v>
      </c>
      <c r="H1732" s="1" t="s">
        <v>16</v>
      </c>
      <c r="I1732" s="1" t="s">
        <v>16</v>
      </c>
      <c r="J1732" s="1" t="s">
        <v>16</v>
      </c>
      <c r="K1732" s="1" t="str">
        <f>IFERROR(INDEX(Database_repro!$A:$F, MATCH($O1732, Database_repro!$A:$A, 0), 5), "Not Found")</f>
        <v>No</v>
      </c>
      <c r="L1732" s="4" t="s">
        <v>17</v>
      </c>
      <c r="M1732" s="1" t="str">
        <f>IFERROR(IF(INDEX(Database_repro!$A:$F, MATCH($O1732, Database_repro!$A:$A, 0), 6)="N","No",IF(INDEX(Database_repro!$A:$F, MATCH($O1732, Database_repro!$A:$A, 0), 6)="Y","Yes","Z")), "Not Found")</f>
        <v>No</v>
      </c>
      <c r="N1732" s="27" t="s">
        <v>605</v>
      </c>
      <c r="O1732" t="s">
        <v>359</v>
      </c>
    </row>
    <row r="1733" spans="1:15" x14ac:dyDescent="0.2">
      <c r="A1733" s="9">
        <v>45630</v>
      </c>
      <c r="B1733" s="1" t="str">
        <f>IFERROR(VLOOKUP(MID(INDEX(Database_dermo!$A:$I, MATCH($O1733, Database_dermo!$A:$A, 0), 2),20,3),Notes!A$1:C$9,3,TRUE), "Not Found")</f>
        <v>LX-S</v>
      </c>
      <c r="C1733" s="1" t="str">
        <f>IFERROR(RIGHT(INDEX(Database_dermo!$A:$I, MATCH($O1733, Database_dermo!$A:$A, 0), 1),2), "Not Found")</f>
        <v>04</v>
      </c>
      <c r="D1733" s="1">
        <f>IFERROR(VLOOKUP(MID(INDEX(Database_dermo!$A:$I, MATCH($O1733, Database_dermo!$A:$A, 0), 2),20,3),Notes!A$1:C$9,2,TRUE), "Not Found")</f>
        <v>1</v>
      </c>
      <c r="E1733" s="1">
        <f>IFERROR(INDEX(Database_dermo!$A:$I, MATCH($O1733, Database_dermo!$A:$A, 0), 3), "Not Found")</f>
        <v>54.57</v>
      </c>
      <c r="F1733" s="1" t="str">
        <f>IFERROR(INDEX(Database_repro!$A:$F, MATCH($O1733, Database_repro!$A:$A, 0), 3), "Not Found")</f>
        <v>F</v>
      </c>
      <c r="G1733" s="1">
        <f>IFERROR(INDEX(Database_repro!$A:$F, MATCH($O1733, Database_repro!$A:$A, 0), 4), "Not Found")</f>
        <v>2</v>
      </c>
      <c r="H1733" s="1" t="s">
        <v>16</v>
      </c>
      <c r="I1733" s="1" t="s">
        <v>16</v>
      </c>
      <c r="J1733" s="1" t="s">
        <v>16</v>
      </c>
      <c r="K1733" s="1" t="str">
        <f>IFERROR(INDEX(Database_repro!$A:$F, MATCH($O1733, Database_repro!$A:$A, 0), 5), "Not Found")</f>
        <v>No</v>
      </c>
      <c r="L1733" s="4" t="s">
        <v>17</v>
      </c>
      <c r="M1733" s="1" t="str">
        <f>IFERROR(IF(INDEX(Database_repro!$A:$F, MATCH($O1733, Database_repro!$A:$A, 0), 6)="N","No",IF(INDEX(Database_repro!$A:$F, MATCH($O1733, Database_repro!$A:$A, 0), 6)="Y","Yes","Z")), "Not Found")</f>
        <v>No</v>
      </c>
      <c r="N1733" s="27" t="s">
        <v>605</v>
      </c>
      <c r="O1733" t="s">
        <v>360</v>
      </c>
    </row>
    <row r="1734" spans="1:15" x14ac:dyDescent="0.2">
      <c r="A1734" s="9">
        <v>45630</v>
      </c>
      <c r="B1734" s="1" t="str">
        <f>IFERROR(VLOOKUP(MID(INDEX(Database_dermo!$A:$I, MATCH($O1734, Database_dermo!$A:$A, 0), 2),20,3),Notes!A$1:C$9,3,TRUE), "Not Found")</f>
        <v>LX-S</v>
      </c>
      <c r="C1734" s="1" t="str">
        <f>IFERROR(RIGHT(INDEX(Database_dermo!$A:$I, MATCH($O1734, Database_dermo!$A:$A, 0), 1),2), "Not Found")</f>
        <v>05</v>
      </c>
      <c r="D1734" s="1">
        <f>IFERROR(VLOOKUP(MID(INDEX(Database_dermo!$A:$I, MATCH($O1734, Database_dermo!$A:$A, 0), 2),20,3),Notes!A$1:C$9,2,TRUE), "Not Found")</f>
        <v>1</v>
      </c>
      <c r="E1734" s="1">
        <f>IFERROR(INDEX(Database_dermo!$A:$I, MATCH($O1734, Database_dermo!$A:$A, 0), 3), "Not Found")</f>
        <v>55.33</v>
      </c>
      <c r="F1734" s="1" t="str">
        <f>IFERROR(INDEX(Database_repro!$A:$F, MATCH($O1734, Database_repro!$A:$A, 0), 3), "Not Found")</f>
        <v>Z</v>
      </c>
      <c r="G1734" s="1">
        <f>IFERROR(INDEX(Database_repro!$A:$F, MATCH($O1734, Database_repro!$A:$A, 0), 4), "Not Found")</f>
        <v>4</v>
      </c>
      <c r="H1734" s="1" t="s">
        <v>16</v>
      </c>
      <c r="I1734" s="1" t="s">
        <v>16</v>
      </c>
      <c r="J1734" s="1" t="s">
        <v>16</v>
      </c>
      <c r="K1734" s="1" t="str">
        <f>IFERROR(INDEX(Database_repro!$A:$F, MATCH($O1734, Database_repro!$A:$A, 0), 5), "Not Found")</f>
        <v>No</v>
      </c>
      <c r="L1734" s="4" t="s">
        <v>17</v>
      </c>
      <c r="M1734" s="1" t="str">
        <f>IFERROR(IF(INDEX(Database_repro!$A:$F, MATCH($O1734, Database_repro!$A:$A, 0), 6)="N","No",IF(INDEX(Database_repro!$A:$F, MATCH($O1734, Database_repro!$A:$A, 0), 6)="Y","Yes","Z")), "Not Found")</f>
        <v>No</v>
      </c>
      <c r="N1734" s="27" t="s">
        <v>605</v>
      </c>
      <c r="O1734" t="s">
        <v>361</v>
      </c>
    </row>
    <row r="1735" spans="1:15" x14ac:dyDescent="0.2">
      <c r="A1735" s="9">
        <v>45630</v>
      </c>
      <c r="B1735" s="1" t="str">
        <f>IFERROR(VLOOKUP(MID(INDEX(Database_dermo!$A:$I, MATCH($O1735, Database_dermo!$A:$A, 0), 2),20,3),Notes!A$1:C$9,3,TRUE), "Not Found")</f>
        <v>LX-S</v>
      </c>
      <c r="C1735" s="1" t="str">
        <f>IFERROR(RIGHT(INDEX(Database_dermo!$A:$I, MATCH($O1735, Database_dermo!$A:$A, 0), 1),2), "Not Found")</f>
        <v>06</v>
      </c>
      <c r="D1735" s="1">
        <f>IFERROR(VLOOKUP(MID(INDEX(Database_dermo!$A:$I, MATCH($O1735, Database_dermo!$A:$A, 0), 2),20,3),Notes!A$1:C$9,2,TRUE), "Not Found")</f>
        <v>2</v>
      </c>
      <c r="E1735" s="1">
        <f>IFERROR(INDEX(Database_dermo!$A:$I, MATCH($O1735, Database_dermo!$A:$A, 0), 3), "Not Found")</f>
        <v>63.71</v>
      </c>
      <c r="F1735" s="1" t="str">
        <f>IFERROR(INDEX(Database_repro!$A:$F, MATCH($O1735, Database_repro!$A:$A, 0), 3), "Not Found")</f>
        <v>Z</v>
      </c>
      <c r="G1735" s="1">
        <f>IFERROR(INDEX(Database_repro!$A:$F, MATCH($O1735, Database_repro!$A:$A, 0), 4), "Not Found")</f>
        <v>4</v>
      </c>
      <c r="H1735" s="1" t="s">
        <v>16</v>
      </c>
      <c r="I1735" s="1" t="s">
        <v>16</v>
      </c>
      <c r="J1735" s="1" t="s">
        <v>16</v>
      </c>
      <c r="K1735" s="1" t="str">
        <f>IFERROR(INDEX(Database_repro!$A:$F, MATCH($O1735, Database_repro!$A:$A, 0), 5), "Not Found")</f>
        <v>No</v>
      </c>
      <c r="L1735" s="4" t="s">
        <v>17</v>
      </c>
      <c r="M1735" s="1" t="str">
        <f>IFERROR(IF(INDEX(Database_repro!$A:$F, MATCH($O1735, Database_repro!$A:$A, 0), 6)="N","No",IF(INDEX(Database_repro!$A:$F, MATCH($O1735, Database_repro!$A:$A, 0), 6)="Y","Yes","Z")), "Not Found")</f>
        <v>No</v>
      </c>
      <c r="N1735" s="27" t="s">
        <v>605</v>
      </c>
      <c r="O1735" t="s">
        <v>362</v>
      </c>
    </row>
    <row r="1736" spans="1:15" x14ac:dyDescent="0.2">
      <c r="A1736" s="9">
        <v>45630</v>
      </c>
      <c r="B1736" s="1" t="str">
        <f>IFERROR(VLOOKUP(MID(INDEX(Database_dermo!$A:$I, MATCH($O1736, Database_dermo!$A:$A, 0), 2),20,3),Notes!A$1:C$9,3,TRUE), "Not Found")</f>
        <v>LX-S</v>
      </c>
      <c r="C1736" s="1" t="str">
        <f>IFERROR(RIGHT(INDEX(Database_dermo!$A:$I, MATCH($O1736, Database_dermo!$A:$A, 0), 1),2), "Not Found")</f>
        <v>07</v>
      </c>
      <c r="D1736" s="1">
        <f>IFERROR(VLOOKUP(MID(INDEX(Database_dermo!$A:$I, MATCH($O1736, Database_dermo!$A:$A, 0), 2),20,3),Notes!A$1:C$9,2,TRUE), "Not Found")</f>
        <v>2</v>
      </c>
      <c r="E1736" s="1">
        <f>IFERROR(INDEX(Database_dermo!$A:$I, MATCH($O1736, Database_dermo!$A:$A, 0), 3), "Not Found")</f>
        <v>64.7</v>
      </c>
      <c r="F1736" s="1" t="str">
        <f>IFERROR(INDEX(Database_repro!$A:$F, MATCH($O1736, Database_repro!$A:$A, 0), 3), "Not Found")</f>
        <v>Z</v>
      </c>
      <c r="G1736" s="1">
        <f>IFERROR(INDEX(Database_repro!$A:$F, MATCH($O1736, Database_repro!$A:$A, 0), 4), "Not Found")</f>
        <v>4</v>
      </c>
      <c r="H1736" s="1" t="s">
        <v>16</v>
      </c>
      <c r="I1736" s="1" t="s">
        <v>16</v>
      </c>
      <c r="J1736" s="1" t="s">
        <v>16</v>
      </c>
      <c r="K1736" s="1" t="str">
        <f>IFERROR(INDEX(Database_repro!$A:$F, MATCH($O1736, Database_repro!$A:$A, 0), 5), "Not Found")</f>
        <v>Yes</v>
      </c>
      <c r="L1736" s="4" t="s">
        <v>17</v>
      </c>
      <c r="M1736" s="1" t="str">
        <f>IFERROR(IF(INDEX(Database_repro!$A:$F, MATCH($O1736, Database_repro!$A:$A, 0), 6)="N","No",IF(INDEX(Database_repro!$A:$F, MATCH($O1736, Database_repro!$A:$A, 0), 6)="Y","Yes","Z")), "Not Found")</f>
        <v>No</v>
      </c>
      <c r="N1736" s="27" t="s">
        <v>605</v>
      </c>
      <c r="O1736" t="s">
        <v>364</v>
      </c>
    </row>
    <row r="1737" spans="1:15" x14ac:dyDescent="0.2">
      <c r="A1737" s="9">
        <v>45630</v>
      </c>
      <c r="B1737" s="1" t="str">
        <f>IFERROR(VLOOKUP(MID(INDEX(Database_dermo!$A:$I, MATCH($O1737, Database_dermo!$A:$A, 0), 2),20,3),Notes!A$1:C$9,3,TRUE), "Not Found")</f>
        <v>LX-S</v>
      </c>
      <c r="C1737" s="1" t="str">
        <f>IFERROR(RIGHT(INDEX(Database_dermo!$A:$I, MATCH($O1737, Database_dermo!$A:$A, 0), 1),2), "Not Found")</f>
        <v>08</v>
      </c>
      <c r="D1737" s="1">
        <f>IFERROR(VLOOKUP(MID(INDEX(Database_dermo!$A:$I, MATCH($O1737, Database_dermo!$A:$A, 0), 2),20,3),Notes!A$1:C$9,2,TRUE), "Not Found")</f>
        <v>2</v>
      </c>
      <c r="E1737" s="1">
        <f>IFERROR(INDEX(Database_dermo!$A:$I, MATCH($O1737, Database_dermo!$A:$A, 0), 3), "Not Found")</f>
        <v>54.25</v>
      </c>
      <c r="F1737" s="1" t="str">
        <f>IFERROR(INDEX(Database_repro!$A:$F, MATCH($O1737, Database_repro!$A:$A, 0), 3), "Not Found")</f>
        <v>Z</v>
      </c>
      <c r="G1737" s="1">
        <f>IFERROR(INDEX(Database_repro!$A:$F, MATCH($O1737, Database_repro!$A:$A, 0), 4), "Not Found")</f>
        <v>4</v>
      </c>
      <c r="H1737" s="1" t="s">
        <v>16</v>
      </c>
      <c r="I1737" s="1" t="s">
        <v>16</v>
      </c>
      <c r="J1737" s="1" t="s">
        <v>16</v>
      </c>
      <c r="K1737" s="1" t="str">
        <f>IFERROR(INDEX(Database_repro!$A:$F, MATCH($O1737, Database_repro!$A:$A, 0), 5), "Not Found")</f>
        <v>No</v>
      </c>
      <c r="L1737" s="4" t="s">
        <v>17</v>
      </c>
      <c r="M1737" s="1" t="str">
        <f>IFERROR(IF(INDEX(Database_repro!$A:$F, MATCH($O1737, Database_repro!$A:$A, 0), 6)="N","No",IF(INDEX(Database_repro!$A:$F, MATCH($O1737, Database_repro!$A:$A, 0), 6)="Y","Yes","Z")), "Not Found")</f>
        <v>No</v>
      </c>
      <c r="N1737" s="27" t="s">
        <v>605</v>
      </c>
      <c r="O1737" t="s">
        <v>366</v>
      </c>
    </row>
    <row r="1738" spans="1:15" x14ac:dyDescent="0.2">
      <c r="A1738" s="9">
        <v>45630</v>
      </c>
      <c r="B1738" s="1" t="str">
        <f>IFERROR(VLOOKUP(MID(INDEX(Database_dermo!$A:$I, MATCH($O1738, Database_dermo!$A:$A, 0), 2),20,3),Notes!A$1:C$9,3,TRUE), "Not Found")</f>
        <v>LX-S</v>
      </c>
      <c r="C1738" s="1" t="str">
        <f>IFERROR(RIGHT(INDEX(Database_dermo!$A:$I, MATCH($O1738, Database_dermo!$A:$A, 0), 1),2), "Not Found")</f>
        <v>09</v>
      </c>
      <c r="D1738" s="1">
        <f>IFERROR(VLOOKUP(MID(INDEX(Database_dermo!$A:$I, MATCH($O1738, Database_dermo!$A:$A, 0), 2),20,3),Notes!A$1:C$9,2,TRUE), "Not Found")</f>
        <v>2</v>
      </c>
      <c r="E1738" s="1">
        <f>IFERROR(INDEX(Database_dermo!$A:$I, MATCH($O1738, Database_dermo!$A:$A, 0), 3), "Not Found")</f>
        <v>66.52</v>
      </c>
      <c r="F1738" s="1" t="str">
        <f>IFERROR(INDEX(Database_repro!$A:$F, MATCH($O1738, Database_repro!$A:$A, 0), 3), "Not Found")</f>
        <v>M</v>
      </c>
      <c r="G1738" s="1">
        <f>IFERROR(INDEX(Database_repro!$A:$F, MATCH($O1738, Database_repro!$A:$A, 0), 4), "Not Found")</f>
        <v>2</v>
      </c>
      <c r="H1738" s="1" t="s">
        <v>16</v>
      </c>
      <c r="I1738" s="1" t="s">
        <v>16</v>
      </c>
      <c r="J1738" s="1" t="s">
        <v>16</v>
      </c>
      <c r="K1738" s="1" t="str">
        <f>IFERROR(INDEX(Database_repro!$A:$F, MATCH($O1738, Database_repro!$A:$A, 0), 5), "Not Found")</f>
        <v>No</v>
      </c>
      <c r="L1738" s="4" t="s">
        <v>17</v>
      </c>
      <c r="M1738" s="1" t="str">
        <f>IFERROR(IF(INDEX(Database_repro!$A:$F, MATCH($O1738, Database_repro!$A:$A, 0), 6)="N","No",IF(INDEX(Database_repro!$A:$F, MATCH($O1738, Database_repro!$A:$A, 0), 6)="Y","Yes","Z")), "Not Found")</f>
        <v>No</v>
      </c>
      <c r="N1738" s="27" t="s">
        <v>605</v>
      </c>
      <c r="O1738" t="s">
        <v>368</v>
      </c>
    </row>
    <row r="1739" spans="1:15" x14ac:dyDescent="0.2">
      <c r="A1739" s="9">
        <v>45630</v>
      </c>
      <c r="B1739" s="1" t="str">
        <f>IFERROR(VLOOKUP(MID(INDEX(Database_dermo!$A:$I, MATCH($O1739, Database_dermo!$A:$A, 0), 2),20,3),Notes!A$1:C$9,3,TRUE), "Not Found")</f>
        <v>LX-S</v>
      </c>
      <c r="C1739" s="1" t="str">
        <f>IFERROR(RIGHT(INDEX(Database_dermo!$A:$I, MATCH($O1739, Database_dermo!$A:$A, 0), 1),2), "Not Found")</f>
        <v>10</v>
      </c>
      <c r="D1739" s="1">
        <f>IFERROR(VLOOKUP(MID(INDEX(Database_dermo!$A:$I, MATCH($O1739, Database_dermo!$A:$A, 0), 2),20,3),Notes!A$1:C$9,2,TRUE), "Not Found")</f>
        <v>2</v>
      </c>
      <c r="E1739" s="1">
        <f>IFERROR(INDEX(Database_dermo!$A:$I, MATCH($O1739, Database_dermo!$A:$A, 0), 3), "Not Found")</f>
        <v>36.56</v>
      </c>
      <c r="F1739" s="1" t="str">
        <f>IFERROR(INDEX(Database_repro!$A:$F, MATCH($O1739, Database_repro!$A:$A, 0), 3), "Not Found")</f>
        <v>Z</v>
      </c>
      <c r="G1739" s="1" t="str">
        <f>IFERROR(INDEX(Database_repro!$A:$F, MATCH($O1739, Database_repro!$A:$A, 0), 4), "Not Found")</f>
        <v>Z</v>
      </c>
      <c r="H1739" s="1" t="s">
        <v>16</v>
      </c>
      <c r="I1739" s="1" t="s">
        <v>16</v>
      </c>
      <c r="J1739" s="1" t="s">
        <v>16</v>
      </c>
      <c r="K1739" s="1" t="str">
        <f>IFERROR(INDEX(Database_repro!$A:$F, MATCH($O1739, Database_repro!$A:$A, 0), 5), "Not Found")</f>
        <v>No</v>
      </c>
      <c r="L1739" s="4" t="s">
        <v>17</v>
      </c>
      <c r="M1739" s="1" t="str">
        <f>IFERROR(IF(INDEX(Database_repro!$A:$F, MATCH($O1739, Database_repro!$A:$A, 0), 6)="N","No",IF(INDEX(Database_repro!$A:$F, MATCH($O1739, Database_repro!$A:$A, 0), 6)="Y","Yes","Z")), "Not Found")</f>
        <v>Yes</v>
      </c>
      <c r="N1739" s="27" t="s">
        <v>605</v>
      </c>
      <c r="O1739" t="s">
        <v>369</v>
      </c>
    </row>
    <row r="1740" spans="1:15" x14ac:dyDescent="0.2">
      <c r="A1740" s="9">
        <v>45630</v>
      </c>
      <c r="B1740" s="1" t="str">
        <f>IFERROR(VLOOKUP(MID(INDEX(Database_dermo!$A:$I, MATCH($O1740, Database_dermo!$A:$A, 0), 2),20,3),Notes!A$1:C$9,3,TRUE), "Not Found")</f>
        <v>LX-S</v>
      </c>
      <c r="C1740" s="1" t="str">
        <f>IFERROR(RIGHT(INDEX(Database_dermo!$A:$I, MATCH($O1740, Database_dermo!$A:$A, 0), 1),2), "Not Found")</f>
        <v>11</v>
      </c>
      <c r="D1740" s="1">
        <f>IFERROR(VLOOKUP(MID(INDEX(Database_dermo!$A:$I, MATCH($O1740, Database_dermo!$A:$A, 0), 2),20,3),Notes!A$1:C$9,2,TRUE), "Not Found")</f>
        <v>3</v>
      </c>
      <c r="E1740" s="1">
        <f>IFERROR(INDEX(Database_dermo!$A:$I, MATCH($O1740, Database_dermo!$A:$A, 0), 3), "Not Found")</f>
        <v>90.98</v>
      </c>
      <c r="F1740" s="1" t="str">
        <f>IFERROR(INDEX(Database_repro!$A:$F, MATCH($O1740, Database_repro!$A:$A, 0), 3), "Not Found")</f>
        <v>F</v>
      </c>
      <c r="G1740" s="1">
        <f>IFERROR(INDEX(Database_repro!$A:$F, MATCH($O1740, Database_repro!$A:$A, 0), 4), "Not Found")</f>
        <v>2</v>
      </c>
      <c r="H1740" s="1" t="s">
        <v>16</v>
      </c>
      <c r="I1740" s="1" t="s">
        <v>16</v>
      </c>
      <c r="J1740" s="1" t="s">
        <v>16</v>
      </c>
      <c r="K1740" s="1" t="str">
        <f>IFERROR(INDEX(Database_repro!$A:$F, MATCH($O1740, Database_repro!$A:$A, 0), 5), "Not Found")</f>
        <v>No</v>
      </c>
      <c r="L1740" s="4" t="s">
        <v>17</v>
      </c>
      <c r="M1740" s="1" t="str">
        <f>IFERROR(IF(INDEX(Database_repro!$A:$F, MATCH($O1740, Database_repro!$A:$A, 0), 6)="N","No",IF(INDEX(Database_repro!$A:$F, MATCH($O1740, Database_repro!$A:$A, 0), 6)="Y","Yes","Z")), "Not Found")</f>
        <v>No</v>
      </c>
      <c r="N1740" s="27" t="s">
        <v>605</v>
      </c>
      <c r="O1740" t="s">
        <v>371</v>
      </c>
    </row>
    <row r="1741" spans="1:15" x14ac:dyDescent="0.2">
      <c r="A1741" s="9">
        <v>45630</v>
      </c>
      <c r="B1741" s="1" t="str">
        <f>IFERROR(VLOOKUP(MID(INDEX(Database_dermo!$A:$I, MATCH($O1741, Database_dermo!$A:$A, 0), 2),20,3),Notes!A$1:C$9,3,TRUE), "Not Found")</f>
        <v>LX-S</v>
      </c>
      <c r="C1741" s="1" t="str">
        <f>IFERROR(RIGHT(INDEX(Database_dermo!$A:$I, MATCH($O1741, Database_dermo!$A:$A, 0), 1),2), "Not Found")</f>
        <v>12</v>
      </c>
      <c r="D1741" s="1">
        <f>IFERROR(VLOOKUP(MID(INDEX(Database_dermo!$A:$I, MATCH($O1741, Database_dermo!$A:$A, 0), 2),20,3),Notes!A$1:C$9,2,TRUE), "Not Found")</f>
        <v>3</v>
      </c>
      <c r="E1741" s="1">
        <f>IFERROR(INDEX(Database_dermo!$A:$I, MATCH($O1741, Database_dermo!$A:$A, 0), 3), "Not Found")</f>
        <v>91.03</v>
      </c>
      <c r="F1741" s="1" t="str">
        <f>IFERROR(INDEX(Database_repro!$A:$F, MATCH($O1741, Database_repro!$A:$A, 0), 3), "Not Found")</f>
        <v>F</v>
      </c>
      <c r="G1741" s="1">
        <f>IFERROR(INDEX(Database_repro!$A:$F, MATCH($O1741, Database_repro!$A:$A, 0), 4), "Not Found")</f>
        <v>2</v>
      </c>
      <c r="H1741" s="1" t="s">
        <v>16</v>
      </c>
      <c r="I1741" s="1" t="s">
        <v>16</v>
      </c>
      <c r="J1741" s="1" t="s">
        <v>16</v>
      </c>
      <c r="K1741" s="1" t="str">
        <f>IFERROR(INDEX(Database_repro!$A:$F, MATCH($O1741, Database_repro!$A:$A, 0), 5), "Not Found")</f>
        <v>No</v>
      </c>
      <c r="L1741" s="4" t="s">
        <v>17</v>
      </c>
      <c r="M1741" s="1" t="str">
        <f>IFERROR(IF(INDEX(Database_repro!$A:$F, MATCH($O1741, Database_repro!$A:$A, 0), 6)="N","No",IF(INDEX(Database_repro!$A:$F, MATCH($O1741, Database_repro!$A:$A, 0), 6)="Y","Yes","Z")), "Not Found")</f>
        <v>No</v>
      </c>
      <c r="N1741" s="27" t="s">
        <v>605</v>
      </c>
      <c r="O1741" t="s">
        <v>373</v>
      </c>
    </row>
    <row r="1742" spans="1:15" x14ac:dyDescent="0.2">
      <c r="A1742" s="9">
        <v>45630</v>
      </c>
      <c r="B1742" s="1" t="str">
        <f>IFERROR(VLOOKUP(MID(INDEX(Database_dermo!$A:$I, MATCH($O1742, Database_dermo!$A:$A, 0), 2),20,3),Notes!A$1:C$9,3,TRUE), "Not Found")</f>
        <v>LX-S</v>
      </c>
      <c r="C1742" s="1" t="str">
        <f>IFERROR(RIGHT(INDEX(Database_dermo!$A:$I, MATCH($O1742, Database_dermo!$A:$A, 0), 1),2), "Not Found")</f>
        <v>13</v>
      </c>
      <c r="D1742" s="1">
        <f>IFERROR(VLOOKUP(MID(INDEX(Database_dermo!$A:$I, MATCH($O1742, Database_dermo!$A:$A, 0), 2),20,3),Notes!A$1:C$9,2,TRUE), "Not Found")</f>
        <v>3</v>
      </c>
      <c r="E1742" s="1">
        <f>IFERROR(INDEX(Database_dermo!$A:$I, MATCH($O1742, Database_dermo!$A:$A, 0), 3), "Not Found")</f>
        <v>81.31</v>
      </c>
      <c r="F1742" s="1" t="str">
        <f>IFERROR(INDEX(Database_repro!$A:$F, MATCH($O1742, Database_repro!$A:$A, 0), 3), "Not Found")</f>
        <v>F</v>
      </c>
      <c r="G1742" s="1">
        <f>IFERROR(INDEX(Database_repro!$A:$F, MATCH($O1742, Database_repro!$A:$A, 0), 4), "Not Found")</f>
        <v>2</v>
      </c>
      <c r="H1742" s="1" t="s">
        <v>16</v>
      </c>
      <c r="I1742" s="1" t="s">
        <v>16</v>
      </c>
      <c r="J1742" s="1" t="s">
        <v>16</v>
      </c>
      <c r="K1742" s="1" t="str">
        <f>IFERROR(INDEX(Database_repro!$A:$F, MATCH($O1742, Database_repro!$A:$A, 0), 5), "Not Found")</f>
        <v>Yes</v>
      </c>
      <c r="L1742" s="4" t="s">
        <v>17</v>
      </c>
      <c r="M1742" s="1" t="str">
        <f>IFERROR(IF(INDEX(Database_repro!$A:$F, MATCH($O1742, Database_repro!$A:$A, 0), 6)="N","No",IF(INDEX(Database_repro!$A:$F, MATCH($O1742, Database_repro!$A:$A, 0), 6)="Y","Yes","Z")), "Not Found")</f>
        <v>No</v>
      </c>
      <c r="N1742" s="27" t="s">
        <v>605</v>
      </c>
      <c r="O1742" t="s">
        <v>374</v>
      </c>
    </row>
    <row r="1743" spans="1:15" x14ac:dyDescent="0.2">
      <c r="A1743" s="9">
        <v>45630</v>
      </c>
      <c r="B1743" s="1" t="str">
        <f>IFERROR(VLOOKUP(MID(INDEX(Database_dermo!$A:$I, MATCH($O1743, Database_dermo!$A:$A, 0), 2),20,3),Notes!A$1:C$9,3,TRUE), "Not Found")</f>
        <v>LX-S</v>
      </c>
      <c r="C1743" s="1" t="str">
        <f>IFERROR(RIGHT(INDEX(Database_dermo!$A:$I, MATCH($O1743, Database_dermo!$A:$A, 0), 1),2), "Not Found")</f>
        <v>14</v>
      </c>
      <c r="D1743" s="1">
        <f>IFERROR(VLOOKUP(MID(INDEX(Database_dermo!$A:$I, MATCH($O1743, Database_dermo!$A:$A, 0), 2),20,3),Notes!A$1:C$9,2,TRUE), "Not Found")</f>
        <v>3</v>
      </c>
      <c r="E1743" s="1">
        <f>IFERROR(INDEX(Database_dermo!$A:$I, MATCH($O1743, Database_dermo!$A:$A, 0), 3), "Not Found")</f>
        <v>45.75</v>
      </c>
      <c r="F1743" s="1" t="str">
        <f>IFERROR(INDEX(Database_repro!$A:$F, MATCH($O1743, Database_repro!$A:$A, 0), 3), "Not Found")</f>
        <v>F</v>
      </c>
      <c r="G1743" s="1">
        <f>IFERROR(INDEX(Database_repro!$A:$F, MATCH($O1743, Database_repro!$A:$A, 0), 4), "Not Found")</f>
        <v>1</v>
      </c>
      <c r="H1743" s="1" t="s">
        <v>16</v>
      </c>
      <c r="I1743" s="1" t="s">
        <v>16</v>
      </c>
      <c r="J1743" s="1" t="s">
        <v>16</v>
      </c>
      <c r="K1743" s="1" t="str">
        <f>IFERROR(INDEX(Database_repro!$A:$F, MATCH($O1743, Database_repro!$A:$A, 0), 5), "Not Found")</f>
        <v>No</v>
      </c>
      <c r="L1743" s="4" t="s">
        <v>17</v>
      </c>
      <c r="M1743" s="1" t="str">
        <f>IFERROR(IF(INDEX(Database_repro!$A:$F, MATCH($O1743, Database_repro!$A:$A, 0), 6)="N","No",IF(INDEX(Database_repro!$A:$F, MATCH($O1743, Database_repro!$A:$A, 0), 6)="Y","Yes","Z")), "Not Found")</f>
        <v>No</v>
      </c>
      <c r="N1743" s="27" t="s">
        <v>605</v>
      </c>
      <c r="O1743" t="s">
        <v>375</v>
      </c>
    </row>
    <row r="1744" spans="1:15" x14ac:dyDescent="0.2">
      <c r="A1744" s="9">
        <v>45630</v>
      </c>
      <c r="B1744" s="1" t="str">
        <f>IFERROR(VLOOKUP(MID(INDEX(Database_dermo!$A:$I, MATCH($O1744, Database_dermo!$A:$A, 0), 2),20,3),Notes!A$1:C$9,3,TRUE), "Not Found")</f>
        <v>LX-S</v>
      </c>
      <c r="C1744" s="1" t="str">
        <f>IFERROR(RIGHT(INDEX(Database_dermo!$A:$I, MATCH($O1744, Database_dermo!$A:$A, 0), 1),2), "Not Found")</f>
        <v>15</v>
      </c>
      <c r="D1744" s="1">
        <f>IFERROR(VLOOKUP(MID(INDEX(Database_dermo!$A:$I, MATCH($O1744, Database_dermo!$A:$A, 0), 2),20,3),Notes!A$1:C$9,2,TRUE), "Not Found")</f>
        <v>3</v>
      </c>
      <c r="E1744" s="1">
        <f>IFERROR(INDEX(Database_dermo!$A:$I, MATCH($O1744, Database_dermo!$A:$A, 0), 3), "Not Found")</f>
        <v>68.36</v>
      </c>
      <c r="F1744" s="1" t="str">
        <f>IFERROR(INDEX(Database_repro!$A:$F, MATCH($O1744, Database_repro!$A:$A, 0), 3), "Not Found")</f>
        <v>F</v>
      </c>
      <c r="G1744" s="1">
        <f>IFERROR(INDEX(Database_repro!$A:$F, MATCH($O1744, Database_repro!$A:$A, 0), 4), "Not Found")</f>
        <v>2</v>
      </c>
      <c r="H1744" s="1" t="s">
        <v>16</v>
      </c>
      <c r="I1744" s="1" t="s">
        <v>16</v>
      </c>
      <c r="J1744" s="1" t="s">
        <v>16</v>
      </c>
      <c r="K1744" s="1" t="str">
        <f>IFERROR(INDEX(Database_repro!$A:$F, MATCH($O1744, Database_repro!$A:$A, 0), 5), "Not Found")</f>
        <v>No</v>
      </c>
      <c r="L1744" s="4" t="s">
        <v>17</v>
      </c>
      <c r="M1744" s="1" t="str">
        <f>IFERROR(IF(INDEX(Database_repro!$A:$F, MATCH($O1744, Database_repro!$A:$A, 0), 6)="N","No",IF(INDEX(Database_repro!$A:$F, MATCH($O1744, Database_repro!$A:$A, 0), 6)="Y","Yes","Z")), "Not Found")</f>
        <v>No</v>
      </c>
      <c r="N1744" s="27" t="s">
        <v>605</v>
      </c>
      <c r="O1744" t="s">
        <v>376</v>
      </c>
    </row>
    <row r="1745" spans="1:15" x14ac:dyDescent="0.2">
      <c r="A1745" s="24">
        <f>IFERROR(DATE(MID(INDEX(Database_dermo!$A:$I, MATCH($O1745, Database_dermo!$A:$A, 0), 2),8,4),MID(INDEX(Database_dermo!$A:$I, MATCH($O1745, Database_dermo!$A:$A, 0), 2),12,2),MID(INDEX(Database_dermo!$A:$I, MATCH($O1745, Database_dermo!$A:$A, 0), 2),14,2)), "Not Found")</f>
        <v>45734</v>
      </c>
      <c r="B1745" s="1" t="str">
        <f>IFERROR(VLOOKUP(MID(INDEX(Database_dermo!$A:$I, MATCH($O1745, Database_dermo!$A:$A, 0), 2),20,3),Notes!A$1:C$9,3,TRUE), "Not Found")</f>
        <v>LX-N</v>
      </c>
      <c r="C1745" s="1" t="str">
        <f>IFERROR(RIGHT(INDEX(Database_dermo!$A:$I, MATCH($O1745, Database_dermo!$A:$A, 0), 1),2), "Not Found")</f>
        <v>16</v>
      </c>
      <c r="D1745" s="1">
        <f>IFERROR(VLOOKUP(MID(INDEX(Database_dermo!$A:$I, MATCH($O1745, Database_dermo!$A:$A, 0), 2),20,3),Notes!A$1:C$9,2,TRUE), "Not Found")</f>
        <v>1</v>
      </c>
      <c r="E1745" s="1">
        <f>IFERROR(INDEX(Database_dermo!$A:$I, MATCH($O1745, Database_dermo!$A:$A, 0), 3), "Not Found")</f>
        <v>31.49</v>
      </c>
      <c r="F1745" s="1" t="str">
        <f>IFERROR(INDEX(Database_repro!$A:$F, MATCH($O1745, Database_repro!$A:$A, 0), 3), "Not Found")</f>
        <v>Z</v>
      </c>
      <c r="G1745" s="1">
        <f>IFERROR(INDEX(Database_repro!$A:$F, MATCH($O1745, Database_repro!$A:$A, 0), 4), "Not Found")</f>
        <v>4</v>
      </c>
      <c r="H1745" s="1" t="s">
        <v>16</v>
      </c>
      <c r="I1745" s="1" t="s">
        <v>16</v>
      </c>
      <c r="J1745" s="1" t="s">
        <v>16</v>
      </c>
      <c r="K1745" s="1" t="str">
        <f>IFERROR(INDEX(Database_repro!$A:$F, MATCH($O1745, Database_repro!$A:$A, 0), 5), "Not Found")</f>
        <v>Yes</v>
      </c>
      <c r="L1745" s="4" t="s">
        <v>17</v>
      </c>
      <c r="M1745" s="1" t="str">
        <f>IFERROR(IF(INDEX(Database_repro!$A:$F, MATCH($O1745, Database_repro!$A:$A, 0), 6)="N","No",IF(INDEX(Database_repro!$A:$F, MATCH($O1745, Database_repro!$A:$A, 0), 6)="Y","Yes","Z")), "Not Found")</f>
        <v>No</v>
      </c>
      <c r="N1745" s="25">
        <f>IFERROR(INDEX(Database_repro!$A:$P, MATCH($O1745, Database_repro!$A:$A, 0), 15), "Not Found")</f>
        <v>0</v>
      </c>
      <c r="O1745" t="s">
        <v>481</v>
      </c>
    </row>
    <row r="1746" spans="1:15" x14ac:dyDescent="0.2">
      <c r="A1746" s="24">
        <f>IFERROR(DATE(MID(INDEX(Database_dermo!$A:$I, MATCH($O1746, Database_dermo!$A:$A, 0), 2),8,4),MID(INDEX(Database_dermo!$A:$I, MATCH($O1746, Database_dermo!$A:$A, 0), 2),12,2),MID(INDEX(Database_dermo!$A:$I, MATCH($O1746, Database_dermo!$A:$A, 0), 2),14,2)), "Not Found")</f>
        <v>45734</v>
      </c>
      <c r="B1746" s="1" t="str">
        <f>IFERROR(VLOOKUP(MID(INDEX(Database_dermo!$A:$I, MATCH($O1746, Database_dermo!$A:$A, 0), 2),20,3),Notes!A$1:C$9,3,TRUE), "Not Found")</f>
        <v>LX-N</v>
      </c>
      <c r="C1746" s="1" t="str">
        <f>IFERROR(RIGHT(INDEX(Database_dermo!$A:$I, MATCH($O1746, Database_dermo!$A:$A, 0), 1),2), "Not Found")</f>
        <v>17</v>
      </c>
      <c r="D1746" s="1">
        <f>IFERROR(VLOOKUP(MID(INDEX(Database_dermo!$A:$I, MATCH($O1746, Database_dermo!$A:$A, 0), 2),20,3),Notes!A$1:C$9,2,TRUE), "Not Found")</f>
        <v>1</v>
      </c>
      <c r="E1746" s="1">
        <f>IFERROR(INDEX(Database_dermo!$A:$I, MATCH($O1746, Database_dermo!$A:$A, 0), 3), "Not Found")</f>
        <v>25.12</v>
      </c>
      <c r="F1746" s="1" t="str">
        <f>IFERROR(INDEX(Database_repro!$A:$F, MATCH($O1746, Database_repro!$A:$A, 0), 3), "Not Found")</f>
        <v>M</v>
      </c>
      <c r="G1746" s="1">
        <f>IFERROR(INDEX(Database_repro!$A:$F, MATCH($O1746, Database_repro!$A:$A, 0), 4), "Not Found")</f>
        <v>2</v>
      </c>
      <c r="H1746" s="1" t="s">
        <v>16</v>
      </c>
      <c r="I1746" s="1" t="s">
        <v>16</v>
      </c>
      <c r="J1746" s="1" t="s">
        <v>16</v>
      </c>
      <c r="K1746" s="1" t="str">
        <f>IFERROR(INDEX(Database_repro!$A:$F, MATCH($O1746, Database_repro!$A:$A, 0), 5), "Not Found")</f>
        <v>No</v>
      </c>
      <c r="L1746" s="4" t="s">
        <v>17</v>
      </c>
      <c r="M1746" s="1" t="str">
        <f>IFERROR(IF(INDEX(Database_repro!$A:$F, MATCH($O1746, Database_repro!$A:$A, 0), 6)="N","No",IF(INDEX(Database_repro!$A:$F, MATCH($O1746, Database_repro!$A:$A, 0), 6)="Y","Yes","Z")), "Not Found")</f>
        <v>No</v>
      </c>
      <c r="N1746" s="25">
        <f>IFERROR(INDEX(Database_repro!$A:$P, MATCH($O1746, Database_repro!$A:$A, 0), 15), "Not Found")</f>
        <v>0</v>
      </c>
      <c r="O1746" t="s">
        <v>483</v>
      </c>
    </row>
    <row r="1747" spans="1:15" x14ac:dyDescent="0.2">
      <c r="A1747" s="24">
        <f>IFERROR(DATE(MID(INDEX(Database_dermo!$A:$I, MATCH($O1747, Database_dermo!$A:$A, 0), 2),8,4),MID(INDEX(Database_dermo!$A:$I, MATCH($O1747, Database_dermo!$A:$A, 0), 2),12,2),MID(INDEX(Database_dermo!$A:$I, MATCH($O1747, Database_dermo!$A:$A, 0), 2),14,2)), "Not Found")</f>
        <v>45734</v>
      </c>
      <c r="B1747" s="1" t="str">
        <f>IFERROR(VLOOKUP(MID(INDEX(Database_dermo!$A:$I, MATCH($O1747, Database_dermo!$A:$A, 0), 2),20,3),Notes!A$1:C$9,3,TRUE), "Not Found")</f>
        <v>LX-N</v>
      </c>
      <c r="C1747" s="1" t="str">
        <f>IFERROR(RIGHT(INDEX(Database_dermo!$A:$I, MATCH($O1747, Database_dermo!$A:$A, 0), 1),2), "Not Found")</f>
        <v>18</v>
      </c>
      <c r="D1747" s="1">
        <f>IFERROR(VLOOKUP(MID(INDEX(Database_dermo!$A:$I, MATCH($O1747, Database_dermo!$A:$A, 0), 2),20,3),Notes!A$1:C$9,2,TRUE), "Not Found")</f>
        <v>1</v>
      </c>
      <c r="E1747" s="1">
        <f>IFERROR(INDEX(Database_dermo!$A:$I, MATCH($O1747, Database_dermo!$A:$A, 0), 3), "Not Found")</f>
        <v>13.9</v>
      </c>
      <c r="F1747" s="1" t="str">
        <f>IFERROR(INDEX(Database_repro!$A:$F, MATCH($O1747, Database_repro!$A:$A, 0), 3), "Not Found")</f>
        <v>Z</v>
      </c>
      <c r="G1747" s="1">
        <f>IFERROR(INDEX(Database_repro!$A:$F, MATCH($O1747, Database_repro!$A:$A, 0), 4), "Not Found")</f>
        <v>4</v>
      </c>
      <c r="H1747" s="1" t="s">
        <v>16</v>
      </c>
      <c r="I1747" s="1" t="s">
        <v>16</v>
      </c>
      <c r="J1747" s="1" t="s">
        <v>16</v>
      </c>
      <c r="K1747" s="1" t="str">
        <f>IFERROR(INDEX(Database_repro!$A:$F, MATCH($O1747, Database_repro!$A:$A, 0), 5), "Not Found")</f>
        <v>No</v>
      </c>
      <c r="L1747" s="4" t="s">
        <v>17</v>
      </c>
      <c r="M1747" s="1" t="str">
        <f>IFERROR(IF(INDEX(Database_repro!$A:$F, MATCH($O1747, Database_repro!$A:$A, 0), 6)="N","No",IF(INDEX(Database_repro!$A:$F, MATCH($O1747, Database_repro!$A:$A, 0), 6)="Y","Yes","Z")), "Not Found")</f>
        <v>No</v>
      </c>
      <c r="N1747" s="25">
        <f>IFERROR(INDEX(Database_repro!$A:$P, MATCH($O1747, Database_repro!$A:$A, 0), 15), "Not Found")</f>
        <v>0</v>
      </c>
      <c r="O1747" t="s">
        <v>484</v>
      </c>
    </row>
    <row r="1748" spans="1:15" x14ac:dyDescent="0.2">
      <c r="A1748" s="24">
        <f>IFERROR(DATE(MID(INDEX(Database_dermo!$A:$I, MATCH($O1748, Database_dermo!$A:$A, 0), 2),8,4),MID(INDEX(Database_dermo!$A:$I, MATCH($O1748, Database_dermo!$A:$A, 0), 2),12,2),MID(INDEX(Database_dermo!$A:$I, MATCH($O1748, Database_dermo!$A:$A, 0), 2),14,2)), "Not Found")</f>
        <v>45734</v>
      </c>
      <c r="B1748" s="1" t="str">
        <f>IFERROR(VLOOKUP(MID(INDEX(Database_dermo!$A:$I, MATCH($O1748, Database_dermo!$A:$A, 0), 2),20,3),Notes!A$1:C$9,3,TRUE), "Not Found")</f>
        <v>LX-N</v>
      </c>
      <c r="C1748" s="1" t="str">
        <f>IFERROR(RIGHT(INDEX(Database_dermo!$A:$I, MATCH($O1748, Database_dermo!$A:$A, 0), 1),2), "Not Found")</f>
        <v>19</v>
      </c>
      <c r="D1748" s="1">
        <f>IFERROR(VLOOKUP(MID(INDEX(Database_dermo!$A:$I, MATCH($O1748, Database_dermo!$A:$A, 0), 2),20,3),Notes!A$1:C$9,2,TRUE), "Not Found")</f>
        <v>1</v>
      </c>
      <c r="E1748" s="1">
        <f>IFERROR(INDEX(Database_dermo!$A:$I, MATCH($O1748, Database_dermo!$A:$A, 0), 3), "Not Found")</f>
        <v>35.020000000000003</v>
      </c>
      <c r="F1748" s="1" t="str">
        <f>IFERROR(INDEX(Database_repro!$A:$F, MATCH($O1748, Database_repro!$A:$A, 0), 3), "Not Found")</f>
        <v>M</v>
      </c>
      <c r="G1748" s="1">
        <f>IFERROR(INDEX(Database_repro!$A:$F, MATCH($O1748, Database_repro!$A:$A, 0), 4), "Not Found")</f>
        <v>3</v>
      </c>
      <c r="H1748" s="1" t="s">
        <v>16</v>
      </c>
      <c r="I1748" s="1" t="s">
        <v>16</v>
      </c>
      <c r="J1748" s="1" t="s">
        <v>16</v>
      </c>
      <c r="K1748" s="1" t="str">
        <f>IFERROR(INDEX(Database_repro!$A:$F, MATCH($O1748, Database_repro!$A:$A, 0), 5), "Not Found")</f>
        <v>No</v>
      </c>
      <c r="L1748" s="4" t="s">
        <v>17</v>
      </c>
      <c r="M1748" s="1" t="str">
        <f>IFERROR(IF(INDEX(Database_repro!$A:$F, MATCH($O1748, Database_repro!$A:$A, 0), 6)="N","No",IF(INDEX(Database_repro!$A:$F, MATCH($O1748, Database_repro!$A:$A, 0), 6)="Y","Yes","Z")), "Not Found")</f>
        <v>No</v>
      </c>
      <c r="N1748" s="25">
        <f>IFERROR(INDEX(Database_repro!$A:$P, MATCH($O1748, Database_repro!$A:$A, 0), 15), "Not Found")</f>
        <v>0</v>
      </c>
      <c r="O1748" t="s">
        <v>485</v>
      </c>
    </row>
    <row r="1749" spans="1:15" x14ac:dyDescent="0.2">
      <c r="A1749" s="24">
        <f>IFERROR(DATE(MID(INDEX(Database_dermo!$A:$I, MATCH($O1749, Database_dermo!$A:$A, 0), 2),8,4),MID(INDEX(Database_dermo!$A:$I, MATCH($O1749, Database_dermo!$A:$A, 0), 2),12,2),MID(INDEX(Database_dermo!$A:$I, MATCH($O1749, Database_dermo!$A:$A, 0), 2),14,2)), "Not Found")</f>
        <v>45734</v>
      </c>
      <c r="B1749" s="1" t="str">
        <f>IFERROR(VLOOKUP(MID(INDEX(Database_dermo!$A:$I, MATCH($O1749, Database_dermo!$A:$A, 0), 2),20,3),Notes!A$1:C$9,3,TRUE), "Not Found")</f>
        <v>LX-N</v>
      </c>
      <c r="C1749" s="1" t="str">
        <f>IFERROR(RIGHT(INDEX(Database_dermo!$A:$I, MATCH($O1749, Database_dermo!$A:$A, 0), 1),2), "Not Found")</f>
        <v>20</v>
      </c>
      <c r="D1749" s="1">
        <f>IFERROR(VLOOKUP(MID(INDEX(Database_dermo!$A:$I, MATCH($O1749, Database_dermo!$A:$A, 0), 2),20,3),Notes!A$1:C$9,2,TRUE), "Not Found")</f>
        <v>1</v>
      </c>
      <c r="E1749" s="1">
        <f>IFERROR(INDEX(Database_dermo!$A:$I, MATCH($O1749, Database_dermo!$A:$A, 0), 3), "Not Found")</f>
        <v>20</v>
      </c>
      <c r="F1749" s="1" t="str">
        <f>IFERROR(INDEX(Database_repro!$A:$F, MATCH($O1749, Database_repro!$A:$A, 0), 3), "Not Found")</f>
        <v>Z</v>
      </c>
      <c r="G1749" s="1" t="str">
        <f>IFERROR(INDEX(Database_repro!$A:$F, MATCH($O1749, Database_repro!$A:$A, 0), 4), "Not Found")</f>
        <v>Z</v>
      </c>
      <c r="H1749" s="1" t="s">
        <v>16</v>
      </c>
      <c r="I1749" s="1" t="s">
        <v>16</v>
      </c>
      <c r="J1749" s="1" t="s">
        <v>16</v>
      </c>
      <c r="K1749" s="1" t="str">
        <f>IFERROR(INDEX(Database_repro!$A:$F, MATCH($O1749, Database_repro!$A:$A, 0), 5), "Not Found")</f>
        <v>No</v>
      </c>
      <c r="L1749" s="4" t="s">
        <v>17</v>
      </c>
      <c r="M1749" s="1" t="str">
        <f>IFERROR(IF(INDEX(Database_repro!$A:$F, MATCH($O1749, Database_repro!$A:$A, 0), 6)="N","No",IF(INDEX(Database_repro!$A:$F, MATCH($O1749, Database_repro!$A:$A, 0), 6)="Y","Yes","Z")), "Not Found")</f>
        <v>No</v>
      </c>
      <c r="N1749" s="25">
        <f>IFERROR(INDEX(Database_repro!$A:$P, MATCH($O1749, Database_repro!$A:$A, 0), 15), "Not Found")</f>
        <v>0</v>
      </c>
      <c r="O1749" t="s">
        <v>486</v>
      </c>
    </row>
    <row r="1750" spans="1:15" x14ac:dyDescent="0.2">
      <c r="A1750" s="24">
        <f>IFERROR(DATE(MID(INDEX(Database_dermo!$A:$I, MATCH($O1750, Database_dermo!$A:$A, 0), 2),8,4),MID(INDEX(Database_dermo!$A:$I, MATCH($O1750, Database_dermo!$A:$A, 0), 2),12,2),MID(INDEX(Database_dermo!$A:$I, MATCH($O1750, Database_dermo!$A:$A, 0), 2),14,2)), "Not Found")</f>
        <v>45734</v>
      </c>
      <c r="B1750" s="1" t="str">
        <f>IFERROR(VLOOKUP(MID(INDEX(Database_dermo!$A:$I, MATCH($O1750, Database_dermo!$A:$A, 0), 2),20,3),Notes!A$1:C$9,3,TRUE), "Not Found")</f>
        <v>LX-N</v>
      </c>
      <c r="C1750" s="1" t="str">
        <f>IFERROR(RIGHT(INDEX(Database_dermo!$A:$I, MATCH($O1750, Database_dermo!$A:$A, 0), 1),2), "Not Found")</f>
        <v>21</v>
      </c>
      <c r="D1750" s="1">
        <f>IFERROR(VLOOKUP(MID(INDEX(Database_dermo!$A:$I, MATCH($O1750, Database_dermo!$A:$A, 0), 2),20,3),Notes!A$1:C$9,2,TRUE), "Not Found")</f>
        <v>1</v>
      </c>
      <c r="E1750" s="1">
        <f>IFERROR(INDEX(Database_dermo!$A:$I, MATCH($O1750, Database_dermo!$A:$A, 0), 3), "Not Found")</f>
        <v>20.51</v>
      </c>
      <c r="F1750" s="1" t="str">
        <f>IFERROR(INDEX(Database_repro!$A:$F, MATCH($O1750, Database_repro!$A:$A, 0), 3), "Not Found")</f>
        <v>M</v>
      </c>
      <c r="G1750" s="1">
        <f>IFERROR(INDEX(Database_repro!$A:$F, MATCH($O1750, Database_repro!$A:$A, 0), 4), "Not Found")</f>
        <v>2</v>
      </c>
      <c r="H1750" s="1" t="s">
        <v>16</v>
      </c>
      <c r="I1750" s="1" t="s">
        <v>16</v>
      </c>
      <c r="J1750" s="1" t="s">
        <v>16</v>
      </c>
      <c r="K1750" s="1" t="str">
        <f>IFERROR(INDEX(Database_repro!$A:$F, MATCH($O1750, Database_repro!$A:$A, 0), 5), "Not Found")</f>
        <v>No</v>
      </c>
      <c r="L1750" s="4" t="s">
        <v>17</v>
      </c>
      <c r="M1750" s="1" t="str">
        <f>IFERROR(IF(INDEX(Database_repro!$A:$F, MATCH($O1750, Database_repro!$A:$A, 0), 6)="N","No",IF(INDEX(Database_repro!$A:$F, MATCH($O1750, Database_repro!$A:$A, 0), 6)="Y","Yes","Z")), "Not Found")</f>
        <v>No</v>
      </c>
      <c r="N1750" s="25">
        <f>IFERROR(INDEX(Database_repro!$A:$P, MATCH($O1750, Database_repro!$A:$A, 0), 15), "Not Found")</f>
        <v>0</v>
      </c>
      <c r="O1750" t="s">
        <v>487</v>
      </c>
    </row>
    <row r="1751" spans="1:15" x14ac:dyDescent="0.2">
      <c r="A1751" s="24">
        <f>IFERROR(DATE(MID(INDEX(Database_dermo!$A:$I, MATCH($O1751, Database_dermo!$A:$A, 0), 2),8,4),MID(INDEX(Database_dermo!$A:$I, MATCH($O1751, Database_dermo!$A:$A, 0), 2),12,2),MID(INDEX(Database_dermo!$A:$I, MATCH($O1751, Database_dermo!$A:$A, 0), 2),14,2)), "Not Found")</f>
        <v>45734</v>
      </c>
      <c r="B1751" s="1" t="str">
        <f>IFERROR(VLOOKUP(MID(INDEX(Database_dermo!$A:$I, MATCH($O1751, Database_dermo!$A:$A, 0), 2),20,3),Notes!A$1:C$9,3,TRUE), "Not Found")</f>
        <v>LX-N</v>
      </c>
      <c r="C1751" s="1" t="str">
        <f>IFERROR(RIGHT(INDEX(Database_dermo!$A:$I, MATCH($O1751, Database_dermo!$A:$A, 0), 1),2), "Not Found")</f>
        <v>22</v>
      </c>
      <c r="D1751" s="1">
        <f>IFERROR(VLOOKUP(MID(INDEX(Database_dermo!$A:$I, MATCH($O1751, Database_dermo!$A:$A, 0), 2),20,3),Notes!A$1:C$9,2,TRUE), "Not Found")</f>
        <v>1</v>
      </c>
      <c r="E1751" s="1">
        <f>IFERROR(INDEX(Database_dermo!$A:$I, MATCH($O1751, Database_dermo!$A:$A, 0), 3), "Not Found")</f>
        <v>16.190000000000001</v>
      </c>
      <c r="F1751" s="1" t="str">
        <f>IFERROR(INDEX(Database_repro!$A:$F, MATCH($O1751, Database_repro!$A:$A, 0), 3), "Not Found")</f>
        <v>Z</v>
      </c>
      <c r="G1751" s="1" t="str">
        <f>IFERROR(INDEX(Database_repro!$A:$F, MATCH($O1751, Database_repro!$A:$A, 0), 4), "Not Found")</f>
        <v>Z</v>
      </c>
      <c r="H1751" s="1" t="s">
        <v>16</v>
      </c>
      <c r="I1751" s="1" t="s">
        <v>16</v>
      </c>
      <c r="J1751" s="1" t="s">
        <v>16</v>
      </c>
      <c r="K1751" s="1" t="str">
        <f>IFERROR(INDEX(Database_repro!$A:$F, MATCH($O1751, Database_repro!$A:$A, 0), 5), "Not Found")</f>
        <v>No</v>
      </c>
      <c r="L1751" s="4" t="s">
        <v>17</v>
      </c>
      <c r="M1751" s="1" t="str">
        <f>IFERROR(IF(INDEX(Database_repro!$A:$F, MATCH($O1751, Database_repro!$A:$A, 0), 6)="N","No",IF(INDEX(Database_repro!$A:$F, MATCH($O1751, Database_repro!$A:$A, 0), 6)="Y","Yes","Z")), "Not Found")</f>
        <v>No</v>
      </c>
      <c r="N1751" s="25">
        <f>IFERROR(INDEX(Database_repro!$A:$P, MATCH($O1751, Database_repro!$A:$A, 0), 15), "Not Found")</f>
        <v>0</v>
      </c>
      <c r="O1751" t="s">
        <v>488</v>
      </c>
    </row>
    <row r="1752" spans="1:15" x14ac:dyDescent="0.2">
      <c r="A1752" s="24">
        <f>IFERROR(DATE(MID(INDEX(Database_dermo!$A:$I, MATCH($O1752, Database_dermo!$A:$A, 0), 2),8,4),MID(INDEX(Database_dermo!$A:$I, MATCH($O1752, Database_dermo!$A:$A, 0), 2),12,2),MID(INDEX(Database_dermo!$A:$I, MATCH($O1752, Database_dermo!$A:$A, 0), 2),14,2)), "Not Found")</f>
        <v>45734</v>
      </c>
      <c r="B1752" s="1" t="str">
        <f>IFERROR(VLOOKUP(MID(INDEX(Database_dermo!$A:$I, MATCH($O1752, Database_dermo!$A:$A, 0), 2),20,3),Notes!A$1:C$9,3,TRUE), "Not Found")</f>
        <v>LX-N</v>
      </c>
      <c r="C1752" s="1" t="str">
        <f>IFERROR(RIGHT(INDEX(Database_dermo!$A:$I, MATCH($O1752, Database_dermo!$A:$A, 0), 1),2), "Not Found")</f>
        <v>23</v>
      </c>
      <c r="D1752" s="1">
        <f>IFERROR(VLOOKUP(MID(INDEX(Database_dermo!$A:$I, MATCH($O1752, Database_dermo!$A:$A, 0), 2),20,3),Notes!A$1:C$9,2,TRUE), "Not Found")</f>
        <v>1</v>
      </c>
      <c r="E1752" s="1">
        <f>IFERROR(INDEX(Database_dermo!$A:$I, MATCH($O1752, Database_dermo!$A:$A, 0), 3), "Not Found")</f>
        <v>36.729999999999997</v>
      </c>
      <c r="F1752" s="1" t="str">
        <f>IFERROR(INDEX(Database_repro!$A:$F, MATCH($O1752, Database_repro!$A:$A, 0), 3), "Not Found")</f>
        <v>F</v>
      </c>
      <c r="G1752" s="1">
        <f>IFERROR(INDEX(Database_repro!$A:$F, MATCH($O1752, Database_repro!$A:$A, 0), 4), "Not Found")</f>
        <v>2</v>
      </c>
      <c r="H1752" s="1" t="s">
        <v>16</v>
      </c>
      <c r="I1752" s="1" t="s">
        <v>16</v>
      </c>
      <c r="J1752" s="1" t="s">
        <v>16</v>
      </c>
      <c r="K1752" s="1" t="str">
        <f>IFERROR(INDEX(Database_repro!$A:$F, MATCH($O1752, Database_repro!$A:$A, 0), 5), "Not Found")</f>
        <v>No</v>
      </c>
      <c r="L1752" s="4" t="s">
        <v>17</v>
      </c>
      <c r="M1752" s="1" t="str">
        <f>IFERROR(IF(INDEX(Database_repro!$A:$F, MATCH($O1752, Database_repro!$A:$A, 0), 6)="N","No",IF(INDEX(Database_repro!$A:$F, MATCH($O1752, Database_repro!$A:$A, 0), 6)="Y","Yes","Z")), "Not Found")</f>
        <v>No</v>
      </c>
      <c r="N1752" s="25">
        <f>IFERROR(INDEX(Database_repro!$A:$P, MATCH($O1752, Database_repro!$A:$A, 0), 15), "Not Found")</f>
        <v>0</v>
      </c>
      <c r="O1752" t="s">
        <v>489</v>
      </c>
    </row>
    <row r="1753" spans="1:15" x14ac:dyDescent="0.2">
      <c r="A1753" s="24">
        <f>IFERROR(DATE(MID(INDEX(Database_dermo!$A:$I, MATCH($O1753, Database_dermo!$A:$A, 0), 2),8,4),MID(INDEX(Database_dermo!$A:$I, MATCH($O1753, Database_dermo!$A:$A, 0), 2),12,2),MID(INDEX(Database_dermo!$A:$I, MATCH($O1753, Database_dermo!$A:$A, 0), 2),14,2)), "Not Found")</f>
        <v>45734</v>
      </c>
      <c r="B1753" s="1" t="str">
        <f>IFERROR(VLOOKUP(MID(INDEX(Database_dermo!$A:$I, MATCH($O1753, Database_dermo!$A:$A, 0), 2),20,3),Notes!A$1:C$9,3,TRUE), "Not Found")</f>
        <v>LX-N</v>
      </c>
      <c r="C1753" s="1" t="str">
        <f>IFERROR(RIGHT(INDEX(Database_dermo!$A:$I, MATCH($O1753, Database_dermo!$A:$A, 0), 1),2), "Not Found")</f>
        <v>24</v>
      </c>
      <c r="D1753" s="1">
        <f>IFERROR(VLOOKUP(MID(INDEX(Database_dermo!$A:$I, MATCH($O1753, Database_dermo!$A:$A, 0), 2),20,3),Notes!A$1:C$9,2,TRUE), "Not Found")</f>
        <v>1</v>
      </c>
      <c r="E1753" s="1">
        <f>IFERROR(INDEX(Database_dermo!$A:$I, MATCH($O1753, Database_dermo!$A:$A, 0), 3), "Not Found")</f>
        <v>17.22</v>
      </c>
      <c r="F1753" s="1" t="str">
        <f>IFERROR(INDEX(Database_repro!$A:$F, MATCH($O1753, Database_repro!$A:$A, 0), 3), "Not Found")</f>
        <v>Z</v>
      </c>
      <c r="G1753" s="1" t="str">
        <f>IFERROR(INDEX(Database_repro!$A:$F, MATCH($O1753, Database_repro!$A:$A, 0), 4), "Not Found")</f>
        <v>Z</v>
      </c>
      <c r="H1753" s="1" t="s">
        <v>16</v>
      </c>
      <c r="I1753" s="1" t="s">
        <v>16</v>
      </c>
      <c r="J1753" s="1" t="s">
        <v>16</v>
      </c>
      <c r="K1753" s="1" t="str">
        <f>IFERROR(INDEX(Database_repro!$A:$F, MATCH($O1753, Database_repro!$A:$A, 0), 5), "Not Found")</f>
        <v>No</v>
      </c>
      <c r="L1753" s="4" t="s">
        <v>17</v>
      </c>
      <c r="M1753" s="1" t="str">
        <f>IFERROR(IF(INDEX(Database_repro!$A:$F, MATCH($O1753, Database_repro!$A:$A, 0), 6)="N","No",IF(INDEX(Database_repro!$A:$F, MATCH($O1753, Database_repro!$A:$A, 0), 6)="Y","Yes","Z")), "Not Found")</f>
        <v>No</v>
      </c>
      <c r="N1753" s="25">
        <f>IFERROR(INDEX(Database_repro!$A:$P, MATCH($O1753, Database_repro!$A:$A, 0), 15), "Not Found")</f>
        <v>0</v>
      </c>
      <c r="O1753" t="s">
        <v>490</v>
      </c>
    </row>
    <row r="1754" spans="1:15" x14ac:dyDescent="0.2">
      <c r="A1754" s="24">
        <f>IFERROR(DATE(MID(INDEX(Database_dermo!$A:$I, MATCH($O1754, Database_dermo!$A:$A, 0), 2),8,4),MID(INDEX(Database_dermo!$A:$I, MATCH($O1754, Database_dermo!$A:$A, 0), 2),12,2),MID(INDEX(Database_dermo!$A:$I, MATCH($O1754, Database_dermo!$A:$A, 0), 2),14,2)), "Not Found")</f>
        <v>45734</v>
      </c>
      <c r="B1754" s="1" t="str">
        <f>IFERROR(VLOOKUP(MID(INDEX(Database_dermo!$A:$I, MATCH($O1754, Database_dermo!$A:$A, 0), 2),20,3),Notes!A$1:C$9,3,TRUE), "Not Found")</f>
        <v>LX-N</v>
      </c>
      <c r="C1754" s="1" t="str">
        <f>IFERROR(RIGHT(INDEX(Database_dermo!$A:$I, MATCH($O1754, Database_dermo!$A:$A, 0), 1),2), "Not Found")</f>
        <v>25</v>
      </c>
      <c r="D1754" s="1">
        <f>IFERROR(VLOOKUP(MID(INDEX(Database_dermo!$A:$I, MATCH($O1754, Database_dermo!$A:$A, 0), 2),20,3),Notes!A$1:C$9,2,TRUE), "Not Found")</f>
        <v>1</v>
      </c>
      <c r="E1754" s="1">
        <f>IFERROR(INDEX(Database_dermo!$A:$I, MATCH($O1754, Database_dermo!$A:$A, 0), 3), "Not Found")</f>
        <v>39.89</v>
      </c>
      <c r="F1754" s="1" t="str">
        <f>IFERROR(INDEX(Database_repro!$A:$F, MATCH($O1754, Database_repro!$A:$A, 0), 3), "Not Found")</f>
        <v>F</v>
      </c>
      <c r="G1754" s="1">
        <f>IFERROR(INDEX(Database_repro!$A:$F, MATCH($O1754, Database_repro!$A:$A, 0), 4), "Not Found")</f>
        <v>2</v>
      </c>
      <c r="H1754" s="1" t="s">
        <v>16</v>
      </c>
      <c r="I1754" s="1" t="s">
        <v>16</v>
      </c>
      <c r="J1754" s="1" t="s">
        <v>16</v>
      </c>
      <c r="K1754" s="1" t="str">
        <f>IFERROR(INDEX(Database_repro!$A:$F, MATCH($O1754, Database_repro!$A:$A, 0), 5), "Not Found")</f>
        <v>No</v>
      </c>
      <c r="L1754" s="4" t="s">
        <v>17</v>
      </c>
      <c r="M1754" s="1" t="str">
        <f>IFERROR(IF(INDEX(Database_repro!$A:$F, MATCH($O1754, Database_repro!$A:$A, 0), 6)="N","No",IF(INDEX(Database_repro!$A:$F, MATCH($O1754, Database_repro!$A:$A, 0), 6)="Y","Yes","Z")), "Not Found")</f>
        <v>No</v>
      </c>
      <c r="N1754" s="25">
        <f>IFERROR(INDEX(Database_repro!$A:$P, MATCH($O1754, Database_repro!$A:$A, 0), 15), "Not Found")</f>
        <v>0</v>
      </c>
      <c r="O1754" t="s">
        <v>491</v>
      </c>
    </row>
    <row r="1755" spans="1:15" x14ac:dyDescent="0.2">
      <c r="A1755" s="24">
        <f>IFERROR(DATE(MID(INDEX(Database_dermo!$A:$I, MATCH($O1755, Database_dermo!$A:$A, 0), 2),8,4),MID(INDEX(Database_dermo!$A:$I, MATCH($O1755, Database_dermo!$A:$A, 0), 2),12,2),MID(INDEX(Database_dermo!$A:$I, MATCH($O1755, Database_dermo!$A:$A, 0), 2),14,2)), "Not Found")</f>
        <v>45734</v>
      </c>
      <c r="B1755" s="1" t="str">
        <f>IFERROR(VLOOKUP(MID(INDEX(Database_dermo!$A:$I, MATCH($O1755, Database_dermo!$A:$A, 0), 2),20,3),Notes!A$1:C$9,3,TRUE), "Not Found")</f>
        <v>LX-N</v>
      </c>
      <c r="C1755" s="1" t="str">
        <f>IFERROR(RIGHT(INDEX(Database_dermo!$A:$I, MATCH($O1755, Database_dermo!$A:$A, 0), 1),2), "Not Found")</f>
        <v>26</v>
      </c>
      <c r="D1755" s="1">
        <f>IFERROR(VLOOKUP(MID(INDEX(Database_dermo!$A:$I, MATCH($O1755, Database_dermo!$A:$A, 0), 2),20,3),Notes!A$1:C$9,2,TRUE), "Not Found")</f>
        <v>1</v>
      </c>
      <c r="E1755" s="1">
        <f>IFERROR(INDEX(Database_dermo!$A:$I, MATCH($O1755, Database_dermo!$A:$A, 0), 3), "Not Found")</f>
        <v>29.94</v>
      </c>
      <c r="F1755" s="1" t="str">
        <f>IFERROR(INDEX(Database_repro!$A:$F, MATCH($O1755, Database_repro!$A:$A, 0), 3), "Not Found")</f>
        <v>F</v>
      </c>
      <c r="G1755" s="1">
        <f>IFERROR(INDEX(Database_repro!$A:$F, MATCH($O1755, Database_repro!$A:$A, 0), 4), "Not Found")</f>
        <v>1</v>
      </c>
      <c r="H1755" s="1" t="s">
        <v>16</v>
      </c>
      <c r="I1755" s="1" t="s">
        <v>16</v>
      </c>
      <c r="J1755" s="1" t="s">
        <v>16</v>
      </c>
      <c r="K1755" s="1" t="str">
        <f>IFERROR(INDEX(Database_repro!$A:$F, MATCH($O1755, Database_repro!$A:$A, 0), 5), "Not Found")</f>
        <v>No</v>
      </c>
      <c r="L1755" s="4" t="s">
        <v>17</v>
      </c>
      <c r="M1755" s="1" t="str">
        <f>IFERROR(IF(INDEX(Database_repro!$A:$F, MATCH($O1755, Database_repro!$A:$A, 0), 6)="N","No",IF(INDEX(Database_repro!$A:$F, MATCH($O1755, Database_repro!$A:$A, 0), 6)="Y","Yes","Z")), "Not Found")</f>
        <v>No</v>
      </c>
      <c r="N1755" s="25">
        <f>IFERROR(INDEX(Database_repro!$A:$P, MATCH($O1755, Database_repro!$A:$A, 0), 15), "Not Found")</f>
        <v>0</v>
      </c>
      <c r="O1755" t="s">
        <v>492</v>
      </c>
    </row>
    <row r="1756" spans="1:15" x14ac:dyDescent="0.2">
      <c r="A1756" s="24">
        <f>IFERROR(DATE(MID(INDEX(Database_dermo!$A:$I, MATCH($O1756, Database_dermo!$A:$A, 0), 2),8,4),MID(INDEX(Database_dermo!$A:$I, MATCH($O1756, Database_dermo!$A:$A, 0), 2),12,2),MID(INDEX(Database_dermo!$A:$I, MATCH($O1756, Database_dermo!$A:$A, 0), 2),14,2)), "Not Found")</f>
        <v>45734</v>
      </c>
      <c r="B1756" s="1" t="str">
        <f>IFERROR(VLOOKUP(MID(INDEX(Database_dermo!$A:$I, MATCH($O1756, Database_dermo!$A:$A, 0), 2),20,3),Notes!A$1:C$9,3,TRUE), "Not Found")</f>
        <v>LX-N</v>
      </c>
      <c r="C1756" s="1" t="str">
        <f>IFERROR(RIGHT(INDEX(Database_dermo!$A:$I, MATCH($O1756, Database_dermo!$A:$A, 0), 1),2), "Not Found")</f>
        <v>27</v>
      </c>
      <c r="D1756" s="1">
        <f>IFERROR(VLOOKUP(MID(INDEX(Database_dermo!$A:$I, MATCH($O1756, Database_dermo!$A:$A, 0), 2),20,3),Notes!A$1:C$9,2,TRUE), "Not Found")</f>
        <v>1</v>
      </c>
      <c r="E1756" s="1">
        <f>IFERROR(INDEX(Database_dermo!$A:$I, MATCH($O1756, Database_dermo!$A:$A, 0), 3), "Not Found")</f>
        <v>23.86</v>
      </c>
      <c r="F1756" s="1" t="str">
        <f>IFERROR(INDEX(Database_repro!$A:$F, MATCH($O1756, Database_repro!$A:$A, 0), 3), "Not Found")</f>
        <v>M</v>
      </c>
      <c r="G1756" s="1">
        <f>IFERROR(INDEX(Database_repro!$A:$F, MATCH($O1756, Database_repro!$A:$A, 0), 4), "Not Found")</f>
        <v>2</v>
      </c>
      <c r="H1756" s="1" t="s">
        <v>16</v>
      </c>
      <c r="I1756" s="1" t="s">
        <v>16</v>
      </c>
      <c r="J1756" s="1" t="s">
        <v>16</v>
      </c>
      <c r="K1756" s="1" t="str">
        <f>IFERROR(INDEX(Database_repro!$A:$F, MATCH($O1756, Database_repro!$A:$A, 0), 5), "Not Found")</f>
        <v>Yes</v>
      </c>
      <c r="L1756" s="4" t="s">
        <v>17</v>
      </c>
      <c r="M1756" s="1" t="str">
        <f>IFERROR(IF(INDEX(Database_repro!$A:$F, MATCH($O1756, Database_repro!$A:$A, 0), 6)="N","No",IF(INDEX(Database_repro!$A:$F, MATCH($O1756, Database_repro!$A:$A, 0), 6)="Y","Yes","Z")), "Not Found")</f>
        <v>No</v>
      </c>
      <c r="N1756" s="25">
        <f>IFERROR(INDEX(Database_repro!$A:$P, MATCH($O1756, Database_repro!$A:$A, 0), 15), "Not Found")</f>
        <v>0</v>
      </c>
      <c r="O1756" t="s">
        <v>493</v>
      </c>
    </row>
    <row r="1757" spans="1:15" x14ac:dyDescent="0.2">
      <c r="A1757" s="24">
        <f>IFERROR(DATE(MID(INDEX(Database_dermo!$A:$I, MATCH($O1757, Database_dermo!$A:$A, 0), 2),8,4),MID(INDEX(Database_dermo!$A:$I, MATCH($O1757, Database_dermo!$A:$A, 0), 2),12,2),MID(INDEX(Database_dermo!$A:$I, MATCH($O1757, Database_dermo!$A:$A, 0), 2),14,2)), "Not Found")</f>
        <v>45734</v>
      </c>
      <c r="B1757" s="1" t="str">
        <f>IFERROR(VLOOKUP(MID(INDEX(Database_dermo!$A:$I, MATCH($O1757, Database_dermo!$A:$A, 0), 2),20,3),Notes!A$1:C$9,3,TRUE), "Not Found")</f>
        <v>LX-N</v>
      </c>
      <c r="C1757" s="1" t="str">
        <f>IFERROR(RIGHT(INDEX(Database_dermo!$A:$I, MATCH($O1757, Database_dermo!$A:$A, 0), 1),2), "Not Found")</f>
        <v>28</v>
      </c>
      <c r="D1757" s="1">
        <f>IFERROR(VLOOKUP(MID(INDEX(Database_dermo!$A:$I, MATCH($O1757, Database_dermo!$A:$A, 0), 2),20,3),Notes!A$1:C$9,2,TRUE), "Not Found")</f>
        <v>1</v>
      </c>
      <c r="E1757" s="1">
        <f>IFERROR(INDEX(Database_dermo!$A:$I, MATCH($O1757, Database_dermo!$A:$A, 0), 3), "Not Found")</f>
        <v>31.72</v>
      </c>
      <c r="F1757" s="1" t="str">
        <f>IFERROR(INDEX(Database_repro!$A:$F, MATCH($O1757, Database_repro!$A:$A, 0), 3), "Not Found")</f>
        <v>M</v>
      </c>
      <c r="G1757" s="1">
        <f>IFERROR(INDEX(Database_repro!$A:$F, MATCH($O1757, Database_repro!$A:$A, 0), 4), "Not Found")</f>
        <v>2</v>
      </c>
      <c r="H1757" s="1" t="s">
        <v>16</v>
      </c>
      <c r="I1757" s="1" t="s">
        <v>16</v>
      </c>
      <c r="J1757" s="1" t="s">
        <v>16</v>
      </c>
      <c r="K1757" s="1" t="str">
        <f>IFERROR(INDEX(Database_repro!$A:$F, MATCH($O1757, Database_repro!$A:$A, 0), 5), "Not Found")</f>
        <v>No</v>
      </c>
      <c r="L1757" s="4" t="s">
        <v>17</v>
      </c>
      <c r="M1757" s="1" t="str">
        <f>IFERROR(IF(INDEX(Database_repro!$A:$F, MATCH($O1757, Database_repro!$A:$A, 0), 6)="N","No",IF(INDEX(Database_repro!$A:$F, MATCH($O1757, Database_repro!$A:$A, 0), 6)="Y","Yes","Z")), "Not Found")</f>
        <v>No</v>
      </c>
      <c r="N1757" s="25">
        <f>IFERROR(INDEX(Database_repro!$A:$P, MATCH($O1757, Database_repro!$A:$A, 0), 15), "Not Found")</f>
        <v>0</v>
      </c>
      <c r="O1757" t="s">
        <v>494</v>
      </c>
    </row>
    <row r="1758" spans="1:15" x14ac:dyDescent="0.2">
      <c r="A1758" s="24">
        <f>IFERROR(DATE(MID(INDEX(Database_dermo!$A:$I, MATCH($O1758, Database_dermo!$A:$A, 0), 2),8,4),MID(INDEX(Database_dermo!$A:$I, MATCH($O1758, Database_dermo!$A:$A, 0), 2),12,2),MID(INDEX(Database_dermo!$A:$I, MATCH($O1758, Database_dermo!$A:$A, 0), 2),14,2)), "Not Found")</f>
        <v>45734</v>
      </c>
      <c r="B1758" s="1" t="str">
        <f>IFERROR(VLOOKUP(MID(INDEX(Database_dermo!$A:$I, MATCH($O1758, Database_dermo!$A:$A, 0), 2),20,3),Notes!A$1:C$9,3,TRUE), "Not Found")</f>
        <v>LX-N</v>
      </c>
      <c r="C1758" s="1" t="str">
        <f>IFERROR(RIGHT(INDEX(Database_dermo!$A:$I, MATCH($O1758, Database_dermo!$A:$A, 0), 1),2), "Not Found")</f>
        <v>29</v>
      </c>
      <c r="D1758" s="1">
        <f>IFERROR(VLOOKUP(MID(INDEX(Database_dermo!$A:$I, MATCH($O1758, Database_dermo!$A:$A, 0), 2),20,3),Notes!A$1:C$9,2,TRUE), "Not Found")</f>
        <v>2</v>
      </c>
      <c r="E1758" s="1">
        <f>IFERROR(INDEX(Database_dermo!$A:$I, MATCH($O1758, Database_dermo!$A:$A, 0), 3), "Not Found")</f>
        <v>43.09</v>
      </c>
      <c r="F1758" s="1" t="str">
        <f>IFERROR(INDEX(Database_repro!$A:$F, MATCH($O1758, Database_repro!$A:$A, 0), 3), "Not Found")</f>
        <v>F</v>
      </c>
      <c r="G1758" s="1">
        <f>IFERROR(INDEX(Database_repro!$A:$F, MATCH($O1758, Database_repro!$A:$A, 0), 4), "Not Found")</f>
        <v>2</v>
      </c>
      <c r="H1758" s="1" t="s">
        <v>16</v>
      </c>
      <c r="I1758" s="1" t="s">
        <v>16</v>
      </c>
      <c r="J1758" s="1" t="s">
        <v>16</v>
      </c>
      <c r="K1758" s="1" t="str">
        <f>IFERROR(INDEX(Database_repro!$A:$F, MATCH($O1758, Database_repro!$A:$A, 0), 5), "Not Found")</f>
        <v>Yes</v>
      </c>
      <c r="L1758" s="4" t="s">
        <v>17</v>
      </c>
      <c r="M1758" s="1" t="str">
        <f>IFERROR(IF(INDEX(Database_repro!$A:$F, MATCH($O1758, Database_repro!$A:$A, 0), 6)="N","No",IF(INDEX(Database_repro!$A:$F, MATCH($O1758, Database_repro!$A:$A, 0), 6)="Y","Yes","Z")), "Not Found")</f>
        <v>No</v>
      </c>
      <c r="N1758" s="25">
        <f>IFERROR(INDEX(Database_repro!$A:$P, MATCH($O1758, Database_repro!$A:$A, 0), 15), "Not Found")</f>
        <v>0</v>
      </c>
      <c r="O1758" t="s">
        <v>495</v>
      </c>
    </row>
    <row r="1759" spans="1:15" x14ac:dyDescent="0.2">
      <c r="A1759" s="24">
        <f>IFERROR(DATE(MID(INDEX(Database_dermo!$A:$I, MATCH($O1759, Database_dermo!$A:$A, 0), 2),8,4),MID(INDEX(Database_dermo!$A:$I, MATCH($O1759, Database_dermo!$A:$A, 0), 2),12,2),MID(INDEX(Database_dermo!$A:$I, MATCH($O1759, Database_dermo!$A:$A, 0), 2),14,2)), "Not Found")</f>
        <v>45734</v>
      </c>
      <c r="B1759" s="1" t="str">
        <f>IFERROR(VLOOKUP(MID(INDEX(Database_dermo!$A:$I, MATCH($O1759, Database_dermo!$A:$A, 0), 2),20,3),Notes!A$1:C$9,3,TRUE), "Not Found")</f>
        <v>LX-N</v>
      </c>
      <c r="C1759" s="1" t="str">
        <f>IFERROR(RIGHT(INDEX(Database_dermo!$A:$I, MATCH($O1759, Database_dermo!$A:$A, 0), 1),2), "Not Found")</f>
        <v>30</v>
      </c>
      <c r="D1759" s="1">
        <f>IFERROR(VLOOKUP(MID(INDEX(Database_dermo!$A:$I, MATCH($O1759, Database_dermo!$A:$A, 0), 2),20,3),Notes!A$1:C$9,2,TRUE), "Not Found")</f>
        <v>2</v>
      </c>
      <c r="E1759" s="1">
        <f>IFERROR(INDEX(Database_dermo!$A:$I, MATCH($O1759, Database_dermo!$A:$A, 0), 3), "Not Found")</f>
        <v>22.59</v>
      </c>
      <c r="F1759" s="1" t="str">
        <f>IFERROR(INDEX(Database_repro!$A:$F, MATCH($O1759, Database_repro!$A:$A, 0), 3), "Not Found")</f>
        <v>F</v>
      </c>
      <c r="G1759" s="1">
        <f>IFERROR(INDEX(Database_repro!$A:$F, MATCH($O1759, Database_repro!$A:$A, 0), 4), "Not Found")</f>
        <v>2</v>
      </c>
      <c r="H1759" s="1" t="s">
        <v>16</v>
      </c>
      <c r="I1759" s="1" t="s">
        <v>16</v>
      </c>
      <c r="J1759" s="1" t="s">
        <v>16</v>
      </c>
      <c r="K1759" s="1" t="str">
        <f>IFERROR(INDEX(Database_repro!$A:$F, MATCH($O1759, Database_repro!$A:$A, 0), 5), "Not Found")</f>
        <v>No</v>
      </c>
      <c r="L1759" s="4" t="s">
        <v>17</v>
      </c>
      <c r="M1759" s="1" t="str">
        <f>IFERROR(IF(INDEX(Database_repro!$A:$F, MATCH($O1759, Database_repro!$A:$A, 0), 6)="N","No",IF(INDEX(Database_repro!$A:$F, MATCH($O1759, Database_repro!$A:$A, 0), 6)="Y","Yes","Z")), "Not Found")</f>
        <v>No</v>
      </c>
      <c r="N1759" s="25">
        <f>IFERROR(INDEX(Database_repro!$A:$P, MATCH($O1759, Database_repro!$A:$A, 0), 15), "Not Found")</f>
        <v>0</v>
      </c>
      <c r="O1759" t="s">
        <v>497</v>
      </c>
    </row>
    <row r="1760" spans="1:15" x14ac:dyDescent="0.2">
      <c r="A1760" s="24">
        <f>IFERROR(DATE(MID(INDEX(Database_dermo!$A:$I, MATCH($O1760, Database_dermo!$A:$A, 0), 2),8,4),MID(INDEX(Database_dermo!$A:$I, MATCH($O1760, Database_dermo!$A:$A, 0), 2),12,2),MID(INDEX(Database_dermo!$A:$I, MATCH($O1760, Database_dermo!$A:$A, 0), 2),14,2)), "Not Found")</f>
        <v>45734</v>
      </c>
      <c r="B1760" s="1" t="str">
        <f>IFERROR(VLOOKUP(MID(INDEX(Database_dermo!$A:$I, MATCH($O1760, Database_dermo!$A:$A, 0), 2),20,3),Notes!A$1:C$9,3,TRUE), "Not Found")</f>
        <v>LX-N</v>
      </c>
      <c r="C1760" s="1" t="str">
        <f>IFERROR(RIGHT(INDEX(Database_dermo!$A:$I, MATCH($O1760, Database_dermo!$A:$A, 0), 1),2), "Not Found")</f>
        <v>31</v>
      </c>
      <c r="D1760" s="1">
        <f>IFERROR(VLOOKUP(MID(INDEX(Database_dermo!$A:$I, MATCH($O1760, Database_dermo!$A:$A, 0), 2),20,3),Notes!A$1:C$9,2,TRUE), "Not Found")</f>
        <v>2</v>
      </c>
      <c r="E1760" s="1">
        <f>IFERROR(INDEX(Database_dermo!$A:$I, MATCH($O1760, Database_dermo!$A:$A, 0), 3), "Not Found")</f>
        <v>32.99</v>
      </c>
      <c r="F1760" s="1" t="str">
        <f>IFERROR(INDEX(Database_repro!$A:$F, MATCH($O1760, Database_repro!$A:$A, 0), 3), "Not Found")</f>
        <v>M</v>
      </c>
      <c r="G1760" s="1">
        <f>IFERROR(INDEX(Database_repro!$A:$F, MATCH($O1760, Database_repro!$A:$A, 0), 4), "Not Found")</f>
        <v>1</v>
      </c>
      <c r="H1760" s="1" t="s">
        <v>16</v>
      </c>
      <c r="I1760" s="1" t="s">
        <v>16</v>
      </c>
      <c r="J1760" s="1" t="s">
        <v>16</v>
      </c>
      <c r="K1760" s="1" t="str">
        <f>IFERROR(INDEX(Database_repro!$A:$F, MATCH($O1760, Database_repro!$A:$A, 0), 5), "Not Found")</f>
        <v>Yes</v>
      </c>
      <c r="L1760" s="4" t="s">
        <v>17</v>
      </c>
      <c r="M1760" s="1" t="str">
        <f>IFERROR(IF(INDEX(Database_repro!$A:$F, MATCH($O1760, Database_repro!$A:$A, 0), 6)="N","No",IF(INDEX(Database_repro!$A:$F, MATCH($O1760, Database_repro!$A:$A, 0), 6)="Y","Yes","Z")), "Not Found")</f>
        <v>No</v>
      </c>
      <c r="N1760" s="25">
        <f>IFERROR(INDEX(Database_repro!$A:$P, MATCH($O1760, Database_repro!$A:$A, 0), 15), "Not Found")</f>
        <v>0</v>
      </c>
      <c r="O1760" t="s">
        <v>498</v>
      </c>
    </row>
    <row r="1761" spans="1:15" x14ac:dyDescent="0.2">
      <c r="A1761" s="24">
        <f>IFERROR(DATE(MID(INDEX(Database_dermo!$A:$I, MATCH($O1761, Database_dermo!$A:$A, 0), 2),8,4),MID(INDEX(Database_dermo!$A:$I, MATCH($O1761, Database_dermo!$A:$A, 0), 2),12,2),MID(INDEX(Database_dermo!$A:$I, MATCH($O1761, Database_dermo!$A:$A, 0), 2),14,2)), "Not Found")</f>
        <v>45734</v>
      </c>
      <c r="B1761" s="1" t="str">
        <f>IFERROR(VLOOKUP(MID(INDEX(Database_dermo!$A:$I, MATCH($O1761, Database_dermo!$A:$A, 0), 2),20,3),Notes!A$1:C$9,3,TRUE), "Not Found")</f>
        <v>LX-N</v>
      </c>
      <c r="C1761" s="1" t="str">
        <f>IFERROR(RIGHT(INDEX(Database_dermo!$A:$I, MATCH($O1761, Database_dermo!$A:$A, 0), 1),2), "Not Found")</f>
        <v>32</v>
      </c>
      <c r="D1761" s="1">
        <f>IFERROR(VLOOKUP(MID(INDEX(Database_dermo!$A:$I, MATCH($O1761, Database_dermo!$A:$A, 0), 2),20,3),Notes!A$1:C$9,2,TRUE), "Not Found")</f>
        <v>2</v>
      </c>
      <c r="E1761" s="1">
        <f>IFERROR(INDEX(Database_dermo!$A:$I, MATCH($O1761, Database_dermo!$A:$A, 0), 3), "Not Found")</f>
        <v>36.909999999999997</v>
      </c>
      <c r="F1761" s="1" t="str">
        <f>IFERROR(INDEX(Database_repro!$A:$F, MATCH($O1761, Database_repro!$A:$A, 0), 3), "Not Found")</f>
        <v>F</v>
      </c>
      <c r="G1761" s="1">
        <f>IFERROR(INDEX(Database_repro!$A:$F, MATCH($O1761, Database_repro!$A:$A, 0), 4), "Not Found")</f>
        <v>2</v>
      </c>
      <c r="H1761" s="1" t="s">
        <v>16</v>
      </c>
      <c r="I1761" s="1" t="s">
        <v>16</v>
      </c>
      <c r="J1761" s="1" t="s">
        <v>16</v>
      </c>
      <c r="K1761" s="1" t="str">
        <f>IFERROR(INDEX(Database_repro!$A:$F, MATCH($O1761, Database_repro!$A:$A, 0), 5), "Not Found")</f>
        <v>No</v>
      </c>
      <c r="L1761" s="4" t="s">
        <v>17</v>
      </c>
      <c r="M1761" s="1" t="str">
        <f>IFERROR(IF(INDEX(Database_repro!$A:$F, MATCH($O1761, Database_repro!$A:$A, 0), 6)="N","No",IF(INDEX(Database_repro!$A:$F, MATCH($O1761, Database_repro!$A:$A, 0), 6)="Y","Yes","Z")), "Not Found")</f>
        <v>No</v>
      </c>
      <c r="N1761" s="25">
        <f>IFERROR(INDEX(Database_repro!$A:$P, MATCH($O1761, Database_repro!$A:$A, 0), 15), "Not Found")</f>
        <v>0</v>
      </c>
      <c r="O1761" t="s">
        <v>499</v>
      </c>
    </row>
    <row r="1762" spans="1:15" x14ac:dyDescent="0.2">
      <c r="A1762" s="24">
        <f>IFERROR(DATE(MID(INDEX(Database_dermo!$A:$I, MATCH($O1762, Database_dermo!$A:$A, 0), 2),8,4),MID(INDEX(Database_dermo!$A:$I, MATCH($O1762, Database_dermo!$A:$A, 0), 2),12,2),MID(INDEX(Database_dermo!$A:$I, MATCH($O1762, Database_dermo!$A:$A, 0), 2),14,2)), "Not Found")</f>
        <v>45734</v>
      </c>
      <c r="B1762" s="1" t="str">
        <f>IFERROR(VLOOKUP(MID(INDEX(Database_dermo!$A:$I, MATCH($O1762, Database_dermo!$A:$A, 0), 2),20,3),Notes!A$1:C$9,3,TRUE), "Not Found")</f>
        <v>LX-N</v>
      </c>
      <c r="C1762" s="1" t="str">
        <f>IFERROR(RIGHT(INDEX(Database_dermo!$A:$I, MATCH($O1762, Database_dermo!$A:$A, 0), 1),2), "Not Found")</f>
        <v>33</v>
      </c>
      <c r="D1762" s="1">
        <f>IFERROR(VLOOKUP(MID(INDEX(Database_dermo!$A:$I, MATCH($O1762, Database_dermo!$A:$A, 0), 2),20,3),Notes!A$1:C$9,2,TRUE), "Not Found")</f>
        <v>2</v>
      </c>
      <c r="E1762" s="1">
        <f>IFERROR(INDEX(Database_dermo!$A:$I, MATCH($O1762, Database_dermo!$A:$A, 0), 3), "Not Found")</f>
        <v>19.11</v>
      </c>
      <c r="F1762" s="1" t="str">
        <f>IFERROR(INDEX(Database_repro!$A:$F, MATCH($O1762, Database_repro!$A:$A, 0), 3), "Not Found")</f>
        <v>Z</v>
      </c>
      <c r="G1762" s="1">
        <f>IFERROR(INDEX(Database_repro!$A:$F, MATCH($O1762, Database_repro!$A:$A, 0), 4), "Not Found")</f>
        <v>4</v>
      </c>
      <c r="H1762" s="1" t="s">
        <v>16</v>
      </c>
      <c r="I1762" s="1" t="s">
        <v>16</v>
      </c>
      <c r="J1762" s="1" t="s">
        <v>16</v>
      </c>
      <c r="K1762" s="1" t="str">
        <f>IFERROR(INDEX(Database_repro!$A:$F, MATCH($O1762, Database_repro!$A:$A, 0), 5), "Not Found")</f>
        <v>No</v>
      </c>
      <c r="L1762" s="4" t="s">
        <v>17</v>
      </c>
      <c r="M1762" s="1" t="str">
        <f>IFERROR(IF(INDEX(Database_repro!$A:$F, MATCH($O1762, Database_repro!$A:$A, 0), 6)="N","No",IF(INDEX(Database_repro!$A:$F, MATCH($O1762, Database_repro!$A:$A, 0), 6)="Y","Yes","Z")), "Not Found")</f>
        <v>No</v>
      </c>
      <c r="N1762" s="25">
        <f>IFERROR(INDEX(Database_repro!$A:$P, MATCH($O1762, Database_repro!$A:$A, 0), 15), "Not Found")</f>
        <v>0</v>
      </c>
      <c r="O1762" t="s">
        <v>500</v>
      </c>
    </row>
    <row r="1763" spans="1:15" x14ac:dyDescent="0.2">
      <c r="A1763" s="24">
        <f>IFERROR(DATE(MID(INDEX(Database_dermo!$A:$I, MATCH($O1763, Database_dermo!$A:$A, 0), 2),8,4),MID(INDEX(Database_dermo!$A:$I, MATCH($O1763, Database_dermo!$A:$A, 0), 2),12,2),MID(INDEX(Database_dermo!$A:$I, MATCH($O1763, Database_dermo!$A:$A, 0), 2),14,2)), "Not Found")</f>
        <v>45734</v>
      </c>
      <c r="B1763" s="1" t="str">
        <f>IFERROR(VLOOKUP(MID(INDEX(Database_dermo!$A:$I, MATCH($O1763, Database_dermo!$A:$A, 0), 2),20,3),Notes!A$1:C$9,3,TRUE), "Not Found")</f>
        <v>LX-N</v>
      </c>
      <c r="C1763" s="1" t="str">
        <f>IFERROR(RIGHT(INDEX(Database_dermo!$A:$I, MATCH($O1763, Database_dermo!$A:$A, 0), 1),2), "Not Found")</f>
        <v>34</v>
      </c>
      <c r="D1763" s="1">
        <f>IFERROR(VLOOKUP(MID(INDEX(Database_dermo!$A:$I, MATCH($O1763, Database_dermo!$A:$A, 0), 2),20,3),Notes!A$1:C$9,2,TRUE), "Not Found")</f>
        <v>2</v>
      </c>
      <c r="E1763" s="1">
        <f>IFERROR(INDEX(Database_dermo!$A:$I, MATCH($O1763, Database_dermo!$A:$A, 0), 3), "Not Found")</f>
        <v>22.58</v>
      </c>
      <c r="F1763" s="1" t="str">
        <f>IFERROR(INDEX(Database_repro!$A:$F, MATCH($O1763, Database_repro!$A:$A, 0), 3), "Not Found")</f>
        <v>M</v>
      </c>
      <c r="G1763" s="1">
        <f>IFERROR(INDEX(Database_repro!$A:$F, MATCH($O1763, Database_repro!$A:$A, 0), 4), "Not Found")</f>
        <v>2</v>
      </c>
      <c r="H1763" s="1" t="s">
        <v>16</v>
      </c>
      <c r="I1763" s="1" t="s">
        <v>16</v>
      </c>
      <c r="J1763" s="1" t="s">
        <v>16</v>
      </c>
      <c r="K1763" s="1" t="str">
        <f>IFERROR(INDEX(Database_repro!$A:$F, MATCH($O1763, Database_repro!$A:$A, 0), 5), "Not Found")</f>
        <v>No</v>
      </c>
      <c r="L1763" s="4" t="s">
        <v>17</v>
      </c>
      <c r="M1763" s="1" t="str">
        <f>IFERROR(IF(INDEX(Database_repro!$A:$F, MATCH($O1763, Database_repro!$A:$A, 0), 6)="N","No",IF(INDEX(Database_repro!$A:$F, MATCH($O1763, Database_repro!$A:$A, 0), 6)="Y","Yes","Z")), "Not Found")</f>
        <v>No</v>
      </c>
      <c r="N1763" s="25">
        <f>IFERROR(INDEX(Database_repro!$A:$P, MATCH($O1763, Database_repro!$A:$A, 0), 15), "Not Found")</f>
        <v>0</v>
      </c>
      <c r="O1763" t="s">
        <v>501</v>
      </c>
    </row>
    <row r="1764" spans="1:15" x14ac:dyDescent="0.2">
      <c r="A1764" s="24">
        <f>IFERROR(DATE(MID(INDEX(Database_dermo!$A:$I, MATCH($O1764, Database_dermo!$A:$A, 0), 2),8,4),MID(INDEX(Database_dermo!$A:$I, MATCH($O1764, Database_dermo!$A:$A, 0), 2),12,2),MID(INDEX(Database_dermo!$A:$I, MATCH($O1764, Database_dermo!$A:$A, 0), 2),14,2)), "Not Found")</f>
        <v>45734</v>
      </c>
      <c r="B1764" s="1" t="str">
        <f>IFERROR(VLOOKUP(MID(INDEX(Database_dermo!$A:$I, MATCH($O1764, Database_dermo!$A:$A, 0), 2),20,3),Notes!A$1:C$9,3,TRUE), "Not Found")</f>
        <v>LX-N</v>
      </c>
      <c r="C1764" s="1" t="str">
        <f>IFERROR(RIGHT(INDEX(Database_dermo!$A:$I, MATCH($O1764, Database_dermo!$A:$A, 0), 1),2), "Not Found")</f>
        <v>35</v>
      </c>
      <c r="D1764" s="1">
        <f>IFERROR(VLOOKUP(MID(INDEX(Database_dermo!$A:$I, MATCH($O1764, Database_dermo!$A:$A, 0), 2),20,3),Notes!A$1:C$9,2,TRUE), "Not Found")</f>
        <v>2</v>
      </c>
      <c r="E1764" s="1">
        <f>IFERROR(INDEX(Database_dermo!$A:$I, MATCH($O1764, Database_dermo!$A:$A, 0), 3), "Not Found")</f>
        <v>22.82</v>
      </c>
      <c r="F1764" s="1" t="str">
        <f>IFERROR(INDEX(Database_repro!$A:$F, MATCH($O1764, Database_repro!$A:$A, 0), 3), "Not Found")</f>
        <v>F</v>
      </c>
      <c r="G1764" s="1">
        <f>IFERROR(INDEX(Database_repro!$A:$F, MATCH($O1764, Database_repro!$A:$A, 0), 4), "Not Found")</f>
        <v>2</v>
      </c>
      <c r="H1764" s="1" t="s">
        <v>16</v>
      </c>
      <c r="I1764" s="1" t="s">
        <v>16</v>
      </c>
      <c r="J1764" s="1" t="s">
        <v>16</v>
      </c>
      <c r="K1764" s="1" t="str">
        <f>IFERROR(INDEX(Database_repro!$A:$F, MATCH($O1764, Database_repro!$A:$A, 0), 5), "Not Found")</f>
        <v>No</v>
      </c>
      <c r="L1764" s="4" t="s">
        <v>17</v>
      </c>
      <c r="M1764" s="1" t="str">
        <f>IFERROR(IF(INDEX(Database_repro!$A:$F, MATCH($O1764, Database_repro!$A:$A, 0), 6)="N","No",IF(INDEX(Database_repro!$A:$F, MATCH($O1764, Database_repro!$A:$A, 0), 6)="Y","Yes","Z")), "Not Found")</f>
        <v>No</v>
      </c>
      <c r="N1764" s="25">
        <f>IFERROR(INDEX(Database_repro!$A:$P, MATCH($O1764, Database_repro!$A:$A, 0), 15), "Not Found")</f>
        <v>0</v>
      </c>
      <c r="O1764" t="s">
        <v>502</v>
      </c>
    </row>
    <row r="1765" spans="1:15" x14ac:dyDescent="0.2">
      <c r="A1765" s="24">
        <f>IFERROR(DATE(MID(INDEX(Database_dermo!$A:$I, MATCH($O1765, Database_dermo!$A:$A, 0), 2),8,4),MID(INDEX(Database_dermo!$A:$I, MATCH($O1765, Database_dermo!$A:$A, 0), 2),12,2),MID(INDEX(Database_dermo!$A:$I, MATCH($O1765, Database_dermo!$A:$A, 0), 2),14,2)), "Not Found")</f>
        <v>45734</v>
      </c>
      <c r="B1765" s="1" t="str">
        <f>IFERROR(VLOOKUP(MID(INDEX(Database_dermo!$A:$I, MATCH($O1765, Database_dermo!$A:$A, 0), 2),20,3),Notes!A$1:C$9,3,TRUE), "Not Found")</f>
        <v>LX-N</v>
      </c>
      <c r="C1765" s="1" t="str">
        <f>IFERROR(RIGHT(INDEX(Database_dermo!$A:$I, MATCH($O1765, Database_dermo!$A:$A, 0), 1),2), "Not Found")</f>
        <v>36</v>
      </c>
      <c r="D1765" s="1">
        <f>IFERROR(VLOOKUP(MID(INDEX(Database_dermo!$A:$I, MATCH($O1765, Database_dermo!$A:$A, 0), 2),20,3),Notes!A$1:C$9,2,TRUE), "Not Found")</f>
        <v>2</v>
      </c>
      <c r="E1765" s="1">
        <f>IFERROR(INDEX(Database_dermo!$A:$I, MATCH($O1765, Database_dermo!$A:$A, 0), 3), "Not Found")</f>
        <v>32.89</v>
      </c>
      <c r="F1765" s="1" t="str">
        <f>IFERROR(INDEX(Database_repro!$A:$F, MATCH($O1765, Database_repro!$A:$A, 0), 3), "Not Found")</f>
        <v>F</v>
      </c>
      <c r="G1765" s="1">
        <f>IFERROR(INDEX(Database_repro!$A:$F, MATCH($O1765, Database_repro!$A:$A, 0), 4), "Not Found")</f>
        <v>1</v>
      </c>
      <c r="H1765" s="1" t="s">
        <v>16</v>
      </c>
      <c r="I1765" s="1" t="s">
        <v>16</v>
      </c>
      <c r="J1765" s="1" t="s">
        <v>16</v>
      </c>
      <c r="K1765" s="1" t="str">
        <f>IFERROR(INDEX(Database_repro!$A:$F, MATCH($O1765, Database_repro!$A:$A, 0), 5), "Not Found")</f>
        <v>No</v>
      </c>
      <c r="L1765" s="4" t="s">
        <v>17</v>
      </c>
      <c r="M1765" s="1" t="str">
        <f>IFERROR(IF(INDEX(Database_repro!$A:$F, MATCH($O1765, Database_repro!$A:$A, 0), 6)="N","No",IF(INDEX(Database_repro!$A:$F, MATCH($O1765, Database_repro!$A:$A, 0), 6)="Y","Yes","Z")), "Not Found")</f>
        <v>No</v>
      </c>
      <c r="N1765" s="25">
        <f>IFERROR(INDEX(Database_repro!$A:$P, MATCH($O1765, Database_repro!$A:$A, 0), 15), "Not Found")</f>
        <v>0</v>
      </c>
      <c r="O1765" t="s">
        <v>503</v>
      </c>
    </row>
    <row r="1766" spans="1:15" x14ac:dyDescent="0.2">
      <c r="A1766" s="24">
        <f>IFERROR(DATE(MID(INDEX(Database_dermo!$A:$I, MATCH($O1766, Database_dermo!$A:$A, 0), 2),8,4),MID(INDEX(Database_dermo!$A:$I, MATCH($O1766, Database_dermo!$A:$A, 0), 2),12,2),MID(INDEX(Database_dermo!$A:$I, MATCH($O1766, Database_dermo!$A:$A, 0), 2),14,2)), "Not Found")</f>
        <v>45734</v>
      </c>
      <c r="B1766" s="1" t="str">
        <f>IFERROR(VLOOKUP(MID(INDEX(Database_dermo!$A:$I, MATCH($O1766, Database_dermo!$A:$A, 0), 2),20,3),Notes!A$1:C$9,3,TRUE), "Not Found")</f>
        <v>LX-N</v>
      </c>
      <c r="C1766" s="1" t="str">
        <f>IFERROR(RIGHT(INDEX(Database_dermo!$A:$I, MATCH($O1766, Database_dermo!$A:$A, 0), 1),2), "Not Found")</f>
        <v>37</v>
      </c>
      <c r="D1766" s="1">
        <f>IFERROR(VLOOKUP(MID(INDEX(Database_dermo!$A:$I, MATCH($O1766, Database_dermo!$A:$A, 0), 2),20,3),Notes!A$1:C$9,2,TRUE), "Not Found")</f>
        <v>2</v>
      </c>
      <c r="E1766" s="1">
        <f>IFERROR(INDEX(Database_dermo!$A:$I, MATCH($O1766, Database_dermo!$A:$A, 0), 3), "Not Found")</f>
        <v>20.8</v>
      </c>
      <c r="F1766" s="1" t="str">
        <f>IFERROR(INDEX(Database_repro!$A:$F, MATCH($O1766, Database_repro!$A:$A, 0), 3), "Not Found")</f>
        <v>M</v>
      </c>
      <c r="G1766" s="1">
        <f>IFERROR(INDEX(Database_repro!$A:$F, MATCH($O1766, Database_repro!$A:$A, 0), 4), "Not Found")</f>
        <v>2</v>
      </c>
      <c r="H1766" s="1" t="s">
        <v>16</v>
      </c>
      <c r="I1766" s="1" t="s">
        <v>16</v>
      </c>
      <c r="J1766" s="1" t="s">
        <v>16</v>
      </c>
      <c r="K1766" s="1" t="str">
        <f>IFERROR(INDEX(Database_repro!$A:$F, MATCH($O1766, Database_repro!$A:$A, 0), 5), "Not Found")</f>
        <v>No</v>
      </c>
      <c r="L1766" s="4" t="s">
        <v>17</v>
      </c>
      <c r="M1766" s="1" t="str">
        <f>IFERROR(IF(INDEX(Database_repro!$A:$F, MATCH($O1766, Database_repro!$A:$A, 0), 6)="N","No",IF(INDEX(Database_repro!$A:$F, MATCH($O1766, Database_repro!$A:$A, 0), 6)="Y","Yes","Z")), "Not Found")</f>
        <v>No</v>
      </c>
      <c r="N1766" s="25">
        <f>IFERROR(INDEX(Database_repro!$A:$P, MATCH($O1766, Database_repro!$A:$A, 0), 15), "Not Found")</f>
        <v>0</v>
      </c>
      <c r="O1766" t="s">
        <v>504</v>
      </c>
    </row>
    <row r="1767" spans="1:15" x14ac:dyDescent="0.2">
      <c r="A1767" s="24">
        <f>IFERROR(DATE(MID(INDEX(Database_dermo!$A:$I, MATCH($O1767, Database_dermo!$A:$A, 0), 2),8,4),MID(INDEX(Database_dermo!$A:$I, MATCH($O1767, Database_dermo!$A:$A, 0), 2),12,2),MID(INDEX(Database_dermo!$A:$I, MATCH($O1767, Database_dermo!$A:$A, 0), 2),14,2)), "Not Found")</f>
        <v>45734</v>
      </c>
      <c r="B1767" s="1" t="str">
        <f>IFERROR(VLOOKUP(MID(INDEX(Database_dermo!$A:$I, MATCH($O1767, Database_dermo!$A:$A, 0), 2),20,3),Notes!A$1:C$9,3,TRUE), "Not Found")</f>
        <v>LX-N</v>
      </c>
      <c r="C1767" s="1" t="str">
        <f>IFERROR(RIGHT(INDEX(Database_dermo!$A:$I, MATCH($O1767, Database_dermo!$A:$A, 0), 1),2), "Not Found")</f>
        <v>38</v>
      </c>
      <c r="D1767" s="1">
        <f>IFERROR(VLOOKUP(MID(INDEX(Database_dermo!$A:$I, MATCH($O1767, Database_dermo!$A:$A, 0), 2),20,3),Notes!A$1:C$9,2,TRUE), "Not Found")</f>
        <v>2</v>
      </c>
      <c r="E1767" s="1">
        <f>IFERROR(INDEX(Database_dermo!$A:$I, MATCH($O1767, Database_dermo!$A:$A, 0), 3), "Not Found")</f>
        <v>29.39</v>
      </c>
      <c r="F1767" s="1" t="str">
        <f>IFERROR(INDEX(Database_repro!$A:$F, MATCH($O1767, Database_repro!$A:$A, 0), 3), "Not Found")</f>
        <v>M</v>
      </c>
      <c r="G1767" s="1">
        <f>IFERROR(INDEX(Database_repro!$A:$F, MATCH($O1767, Database_repro!$A:$A, 0), 4), "Not Found")</f>
        <v>2</v>
      </c>
      <c r="H1767" s="1" t="s">
        <v>16</v>
      </c>
      <c r="I1767" s="1" t="s">
        <v>16</v>
      </c>
      <c r="J1767" s="1" t="s">
        <v>16</v>
      </c>
      <c r="K1767" s="1" t="str">
        <f>IFERROR(INDEX(Database_repro!$A:$F, MATCH($O1767, Database_repro!$A:$A, 0), 5), "Not Found")</f>
        <v>No</v>
      </c>
      <c r="L1767" s="4" t="s">
        <v>17</v>
      </c>
      <c r="M1767" s="1" t="str">
        <f>IFERROR(IF(INDEX(Database_repro!$A:$F, MATCH($O1767, Database_repro!$A:$A, 0), 6)="N","No",IF(INDEX(Database_repro!$A:$F, MATCH($O1767, Database_repro!$A:$A, 0), 6)="Y","Yes","Z")), "Not Found")</f>
        <v>No</v>
      </c>
      <c r="N1767" s="25">
        <f>IFERROR(INDEX(Database_repro!$A:$P, MATCH($O1767, Database_repro!$A:$A, 0), 15), "Not Found")</f>
        <v>0</v>
      </c>
      <c r="O1767" t="s">
        <v>505</v>
      </c>
    </row>
    <row r="1768" spans="1:15" x14ac:dyDescent="0.2">
      <c r="A1768" s="24">
        <f>IFERROR(DATE(MID(INDEX(Database_dermo!$A:$I, MATCH($O1768, Database_dermo!$A:$A, 0), 2),8,4),MID(INDEX(Database_dermo!$A:$I, MATCH($O1768, Database_dermo!$A:$A, 0), 2),12,2),MID(INDEX(Database_dermo!$A:$I, MATCH($O1768, Database_dermo!$A:$A, 0), 2),14,2)), "Not Found")</f>
        <v>45734</v>
      </c>
      <c r="B1768" s="1" t="str">
        <f>IFERROR(VLOOKUP(MID(INDEX(Database_dermo!$A:$I, MATCH($O1768, Database_dermo!$A:$A, 0), 2),20,3),Notes!A$1:C$9,3,TRUE), "Not Found")</f>
        <v>LX-N</v>
      </c>
      <c r="C1768" s="1" t="str">
        <f>IFERROR(RIGHT(INDEX(Database_dermo!$A:$I, MATCH($O1768, Database_dermo!$A:$A, 0), 1),2), "Not Found")</f>
        <v>39</v>
      </c>
      <c r="D1768" s="1">
        <f>IFERROR(VLOOKUP(MID(INDEX(Database_dermo!$A:$I, MATCH($O1768, Database_dermo!$A:$A, 0), 2),20,3),Notes!A$1:C$9,2,TRUE), "Not Found")</f>
        <v>2</v>
      </c>
      <c r="E1768" s="1">
        <f>IFERROR(INDEX(Database_dermo!$A:$I, MATCH($O1768, Database_dermo!$A:$A, 0), 3), "Not Found")</f>
        <v>29.21</v>
      </c>
      <c r="F1768" s="1" t="str">
        <f>IFERROR(INDEX(Database_repro!$A:$F, MATCH($O1768, Database_repro!$A:$A, 0), 3), "Not Found")</f>
        <v>F</v>
      </c>
      <c r="G1768" s="1" t="str">
        <f>IFERROR(INDEX(Database_repro!$A:$F, MATCH($O1768, Database_repro!$A:$A, 0), 4), "Not Found")</f>
        <v>Z</v>
      </c>
      <c r="H1768" s="1" t="s">
        <v>16</v>
      </c>
      <c r="I1768" s="1" t="s">
        <v>16</v>
      </c>
      <c r="J1768" s="1" t="s">
        <v>16</v>
      </c>
      <c r="K1768" s="1" t="str">
        <f>IFERROR(INDEX(Database_repro!$A:$F, MATCH($O1768, Database_repro!$A:$A, 0), 5), "Not Found")</f>
        <v>Yes</v>
      </c>
      <c r="L1768" s="4" t="s">
        <v>17</v>
      </c>
      <c r="M1768" s="1" t="str">
        <f>IFERROR(IF(INDEX(Database_repro!$A:$F, MATCH($O1768, Database_repro!$A:$A, 0), 6)="N","No",IF(INDEX(Database_repro!$A:$F, MATCH($O1768, Database_repro!$A:$A, 0), 6)="Y","Yes","Z")), "Not Found")</f>
        <v>No</v>
      </c>
      <c r="N1768" s="25">
        <f>IFERROR(INDEX(Database_repro!$A:$P, MATCH($O1768, Database_repro!$A:$A, 0), 15), "Not Found")</f>
        <v>0</v>
      </c>
      <c r="O1768" t="s">
        <v>506</v>
      </c>
    </row>
    <row r="1769" spans="1:15" x14ac:dyDescent="0.2">
      <c r="A1769" s="24">
        <f>IFERROR(DATE(MID(INDEX(Database_dermo!$A:$I, MATCH($O1769, Database_dermo!$A:$A, 0), 2),8,4),MID(INDEX(Database_dermo!$A:$I, MATCH($O1769, Database_dermo!$A:$A, 0), 2),12,2),MID(INDEX(Database_dermo!$A:$I, MATCH($O1769, Database_dermo!$A:$A, 0), 2),14,2)), "Not Found")</f>
        <v>45734</v>
      </c>
      <c r="B1769" s="1" t="str">
        <f>IFERROR(VLOOKUP(MID(INDEX(Database_dermo!$A:$I, MATCH($O1769, Database_dermo!$A:$A, 0), 2),20,3),Notes!A$1:C$9,3,TRUE), "Not Found")</f>
        <v>LX-N</v>
      </c>
      <c r="C1769" s="1" t="str">
        <f>IFERROR(RIGHT(INDEX(Database_dermo!$A:$I, MATCH($O1769, Database_dermo!$A:$A, 0), 1),2), "Not Found")</f>
        <v>40</v>
      </c>
      <c r="D1769" s="1">
        <f>IFERROR(VLOOKUP(MID(INDEX(Database_dermo!$A:$I, MATCH($O1769, Database_dermo!$A:$A, 0), 2),20,3),Notes!A$1:C$9,2,TRUE), "Not Found")</f>
        <v>3</v>
      </c>
      <c r="E1769" s="1">
        <f>IFERROR(INDEX(Database_dermo!$A:$I, MATCH($O1769, Database_dermo!$A:$A, 0), 3), "Not Found")</f>
        <v>24.47</v>
      </c>
      <c r="F1769" s="1" t="str">
        <f>IFERROR(INDEX(Database_repro!$A:$F, MATCH($O1769, Database_repro!$A:$A, 0), 3), "Not Found")</f>
        <v>M</v>
      </c>
      <c r="G1769" s="1">
        <f>IFERROR(INDEX(Database_repro!$A:$F, MATCH($O1769, Database_repro!$A:$A, 0), 4), "Not Found")</f>
        <v>2</v>
      </c>
      <c r="H1769" s="1" t="s">
        <v>16</v>
      </c>
      <c r="I1769" s="1" t="s">
        <v>16</v>
      </c>
      <c r="J1769" s="1" t="s">
        <v>16</v>
      </c>
      <c r="K1769" s="1" t="str">
        <f>IFERROR(INDEX(Database_repro!$A:$F, MATCH($O1769, Database_repro!$A:$A, 0), 5), "Not Found")</f>
        <v>No</v>
      </c>
      <c r="L1769" s="4" t="s">
        <v>17</v>
      </c>
      <c r="M1769" s="1" t="str">
        <f>IFERROR(IF(INDEX(Database_repro!$A:$F, MATCH($O1769, Database_repro!$A:$A, 0), 6)="N","No",IF(INDEX(Database_repro!$A:$F, MATCH($O1769, Database_repro!$A:$A, 0), 6)="Y","Yes","Z")), "Not Found")</f>
        <v>No</v>
      </c>
      <c r="N1769" s="25">
        <f>IFERROR(INDEX(Database_repro!$A:$P, MATCH($O1769, Database_repro!$A:$A, 0), 15), "Not Found")</f>
        <v>0</v>
      </c>
      <c r="O1769" t="s">
        <v>507</v>
      </c>
    </row>
    <row r="1770" spans="1:15" x14ac:dyDescent="0.2">
      <c r="A1770" s="24">
        <f>IFERROR(DATE(MID(INDEX(Database_dermo!$A:$I, MATCH($O1770, Database_dermo!$A:$A, 0), 2),8,4),MID(INDEX(Database_dermo!$A:$I, MATCH($O1770, Database_dermo!$A:$A, 0), 2),12,2),MID(INDEX(Database_dermo!$A:$I, MATCH($O1770, Database_dermo!$A:$A, 0), 2),14,2)), "Not Found")</f>
        <v>45734</v>
      </c>
      <c r="B1770" s="1" t="str">
        <f>IFERROR(VLOOKUP(MID(INDEX(Database_dermo!$A:$I, MATCH($O1770, Database_dermo!$A:$A, 0), 2),20,3),Notes!A$1:C$9,3,TRUE), "Not Found")</f>
        <v>LX-N</v>
      </c>
      <c r="C1770" s="1" t="str">
        <f>IFERROR(RIGHT(INDEX(Database_dermo!$A:$I, MATCH($O1770, Database_dermo!$A:$A, 0), 1),2), "Not Found")</f>
        <v>41</v>
      </c>
      <c r="D1770" s="1">
        <f>IFERROR(VLOOKUP(MID(INDEX(Database_dermo!$A:$I, MATCH($O1770, Database_dermo!$A:$A, 0), 2),20,3),Notes!A$1:C$9,2,TRUE), "Not Found")</f>
        <v>3</v>
      </c>
      <c r="E1770" s="1">
        <f>IFERROR(INDEX(Database_dermo!$A:$I, MATCH($O1770, Database_dermo!$A:$A, 0), 3), "Not Found")</f>
        <v>23.44</v>
      </c>
      <c r="F1770" s="1" t="str">
        <f>IFERROR(INDEX(Database_repro!$A:$F, MATCH($O1770, Database_repro!$A:$A, 0), 3), "Not Found")</f>
        <v>M</v>
      </c>
      <c r="G1770" s="1">
        <f>IFERROR(INDEX(Database_repro!$A:$F, MATCH($O1770, Database_repro!$A:$A, 0), 4), "Not Found")</f>
        <v>2</v>
      </c>
      <c r="H1770" s="1" t="s">
        <v>16</v>
      </c>
      <c r="I1770" s="1" t="s">
        <v>16</v>
      </c>
      <c r="J1770" s="1" t="s">
        <v>16</v>
      </c>
      <c r="K1770" s="1" t="str">
        <f>IFERROR(INDEX(Database_repro!$A:$F, MATCH($O1770, Database_repro!$A:$A, 0), 5), "Not Found")</f>
        <v>No</v>
      </c>
      <c r="L1770" s="4" t="s">
        <v>17</v>
      </c>
      <c r="M1770" s="1" t="str">
        <f>IFERROR(IF(INDEX(Database_repro!$A:$F, MATCH($O1770, Database_repro!$A:$A, 0), 6)="N","No",IF(INDEX(Database_repro!$A:$F, MATCH($O1770, Database_repro!$A:$A, 0), 6)="Y","Yes","Z")), "Not Found")</f>
        <v>No</v>
      </c>
      <c r="N1770" s="25">
        <f>IFERROR(INDEX(Database_repro!$A:$P, MATCH($O1770, Database_repro!$A:$A, 0), 15), "Not Found")</f>
        <v>0</v>
      </c>
      <c r="O1770" t="s">
        <v>509</v>
      </c>
    </row>
    <row r="1771" spans="1:15" x14ac:dyDescent="0.2">
      <c r="A1771" s="24">
        <f>IFERROR(DATE(MID(INDEX(Database_dermo!$A:$I, MATCH($O1771, Database_dermo!$A:$A, 0), 2),8,4),MID(INDEX(Database_dermo!$A:$I, MATCH($O1771, Database_dermo!$A:$A, 0), 2),12,2),MID(INDEX(Database_dermo!$A:$I, MATCH($O1771, Database_dermo!$A:$A, 0), 2),14,2)), "Not Found")</f>
        <v>45734</v>
      </c>
      <c r="B1771" s="1" t="str">
        <f>IFERROR(VLOOKUP(MID(INDEX(Database_dermo!$A:$I, MATCH($O1771, Database_dermo!$A:$A, 0), 2),20,3),Notes!A$1:C$9,3,TRUE), "Not Found")</f>
        <v>LX-N</v>
      </c>
      <c r="C1771" s="1" t="str">
        <f>IFERROR(RIGHT(INDEX(Database_dermo!$A:$I, MATCH($O1771, Database_dermo!$A:$A, 0), 1),2), "Not Found")</f>
        <v>42</v>
      </c>
      <c r="D1771" s="1">
        <f>IFERROR(VLOOKUP(MID(INDEX(Database_dermo!$A:$I, MATCH($O1771, Database_dermo!$A:$A, 0), 2),20,3),Notes!A$1:C$9,2,TRUE), "Not Found")</f>
        <v>3</v>
      </c>
      <c r="E1771" s="1">
        <f>IFERROR(INDEX(Database_dermo!$A:$I, MATCH($O1771, Database_dermo!$A:$A, 0), 3), "Not Found")</f>
        <v>33.82</v>
      </c>
      <c r="F1771" s="1" t="str">
        <f>IFERROR(INDEX(Database_repro!$A:$F, MATCH($O1771, Database_repro!$A:$A, 0), 3), "Not Found")</f>
        <v>M</v>
      </c>
      <c r="G1771" s="1">
        <f>IFERROR(INDEX(Database_repro!$A:$F, MATCH($O1771, Database_repro!$A:$A, 0), 4), "Not Found")</f>
        <v>2</v>
      </c>
      <c r="H1771" s="1" t="s">
        <v>16</v>
      </c>
      <c r="I1771" s="1" t="s">
        <v>16</v>
      </c>
      <c r="J1771" s="1" t="s">
        <v>16</v>
      </c>
      <c r="K1771" s="1" t="str">
        <f>IFERROR(INDEX(Database_repro!$A:$F, MATCH($O1771, Database_repro!$A:$A, 0), 5), "Not Found")</f>
        <v>No</v>
      </c>
      <c r="L1771" s="4" t="s">
        <v>17</v>
      </c>
      <c r="M1771" s="1" t="str">
        <f>IFERROR(IF(INDEX(Database_repro!$A:$F, MATCH($O1771, Database_repro!$A:$A, 0), 6)="N","No",IF(INDEX(Database_repro!$A:$F, MATCH($O1771, Database_repro!$A:$A, 0), 6)="Y","Yes","Z")), "Not Found")</f>
        <v>No</v>
      </c>
      <c r="N1771" s="25">
        <f>IFERROR(INDEX(Database_repro!$A:$P, MATCH($O1771, Database_repro!$A:$A, 0), 15), "Not Found")</f>
        <v>0</v>
      </c>
      <c r="O1771" t="s">
        <v>510</v>
      </c>
    </row>
    <row r="1772" spans="1:15" x14ac:dyDescent="0.2">
      <c r="A1772" s="24">
        <f>IFERROR(DATE(MID(INDEX(Database_dermo!$A:$I, MATCH($O1772, Database_dermo!$A:$A, 0), 2),8,4),MID(INDEX(Database_dermo!$A:$I, MATCH($O1772, Database_dermo!$A:$A, 0), 2),12,2),MID(INDEX(Database_dermo!$A:$I, MATCH($O1772, Database_dermo!$A:$A, 0), 2),14,2)), "Not Found")</f>
        <v>45734</v>
      </c>
      <c r="B1772" s="1" t="str">
        <f>IFERROR(VLOOKUP(MID(INDEX(Database_dermo!$A:$I, MATCH($O1772, Database_dermo!$A:$A, 0), 2),20,3),Notes!A$1:C$9,3,TRUE), "Not Found")</f>
        <v>LX-N</v>
      </c>
      <c r="C1772" s="1" t="str">
        <f>IFERROR(RIGHT(INDEX(Database_dermo!$A:$I, MATCH($O1772, Database_dermo!$A:$A, 0), 1),2), "Not Found")</f>
        <v>43</v>
      </c>
      <c r="D1772" s="1">
        <f>IFERROR(VLOOKUP(MID(INDEX(Database_dermo!$A:$I, MATCH($O1772, Database_dermo!$A:$A, 0), 2),20,3),Notes!A$1:C$9,2,TRUE), "Not Found")</f>
        <v>3</v>
      </c>
      <c r="E1772" s="1">
        <f>IFERROR(INDEX(Database_dermo!$A:$I, MATCH($O1772, Database_dermo!$A:$A, 0), 3), "Not Found")</f>
        <v>20.36</v>
      </c>
      <c r="F1772" s="1" t="str">
        <f>IFERROR(INDEX(Database_repro!$A:$F, MATCH($O1772, Database_repro!$A:$A, 0), 3), "Not Found")</f>
        <v>Z</v>
      </c>
      <c r="G1772" s="1" t="str">
        <f>IFERROR(INDEX(Database_repro!$A:$F, MATCH($O1772, Database_repro!$A:$A, 0), 4), "Not Found")</f>
        <v>Z</v>
      </c>
      <c r="H1772" s="1" t="s">
        <v>16</v>
      </c>
      <c r="I1772" s="1" t="s">
        <v>16</v>
      </c>
      <c r="J1772" s="1" t="s">
        <v>16</v>
      </c>
      <c r="K1772" s="1" t="str">
        <f>IFERROR(INDEX(Database_repro!$A:$F, MATCH($O1772, Database_repro!$A:$A, 0), 5), "Not Found")</f>
        <v>No</v>
      </c>
      <c r="L1772" s="4" t="s">
        <v>17</v>
      </c>
      <c r="M1772" s="1" t="str">
        <f>IFERROR(IF(INDEX(Database_repro!$A:$F, MATCH($O1772, Database_repro!$A:$A, 0), 6)="N","No",IF(INDEX(Database_repro!$A:$F, MATCH($O1772, Database_repro!$A:$A, 0), 6)="Y","Yes","Z")), "Not Found")</f>
        <v>No</v>
      </c>
      <c r="N1772" s="25">
        <f>IFERROR(INDEX(Database_repro!$A:$P, MATCH($O1772, Database_repro!$A:$A, 0), 15), "Not Found")</f>
        <v>0</v>
      </c>
      <c r="O1772" t="s">
        <v>511</v>
      </c>
    </row>
    <row r="1773" spans="1:15" x14ac:dyDescent="0.2">
      <c r="A1773" s="24">
        <f>IFERROR(DATE(MID(INDEX(Database_dermo!$A:$I, MATCH($O1773, Database_dermo!$A:$A, 0), 2),8,4),MID(INDEX(Database_dermo!$A:$I, MATCH($O1773, Database_dermo!$A:$A, 0), 2),12,2),MID(INDEX(Database_dermo!$A:$I, MATCH($O1773, Database_dermo!$A:$A, 0), 2),14,2)), "Not Found")</f>
        <v>45734</v>
      </c>
      <c r="B1773" s="1" t="str">
        <f>IFERROR(VLOOKUP(MID(INDEX(Database_dermo!$A:$I, MATCH($O1773, Database_dermo!$A:$A, 0), 2),20,3),Notes!A$1:C$9,3,TRUE), "Not Found")</f>
        <v>LX-N</v>
      </c>
      <c r="C1773" s="1" t="str">
        <f>IFERROR(RIGHT(INDEX(Database_dermo!$A:$I, MATCH($O1773, Database_dermo!$A:$A, 0), 1),2), "Not Found")</f>
        <v>44</v>
      </c>
      <c r="D1773" s="1">
        <f>IFERROR(VLOOKUP(MID(INDEX(Database_dermo!$A:$I, MATCH($O1773, Database_dermo!$A:$A, 0), 2),20,3),Notes!A$1:C$9,2,TRUE), "Not Found")</f>
        <v>3</v>
      </c>
      <c r="E1773" s="1">
        <f>IFERROR(INDEX(Database_dermo!$A:$I, MATCH($O1773, Database_dermo!$A:$A, 0), 3), "Not Found")</f>
        <v>11.47</v>
      </c>
      <c r="F1773" s="1" t="str">
        <f>IFERROR(INDEX(Database_repro!$A:$F, MATCH($O1773, Database_repro!$A:$A, 0), 3), "Not Found")</f>
        <v>Z</v>
      </c>
      <c r="G1773" s="1" t="str">
        <f>IFERROR(INDEX(Database_repro!$A:$F, MATCH($O1773, Database_repro!$A:$A, 0), 4), "Not Found")</f>
        <v>Z</v>
      </c>
      <c r="H1773" s="1" t="s">
        <v>16</v>
      </c>
      <c r="I1773" s="1" t="s">
        <v>16</v>
      </c>
      <c r="J1773" s="1" t="s">
        <v>16</v>
      </c>
      <c r="K1773" s="1" t="str">
        <f>IFERROR(INDEX(Database_repro!$A:$F, MATCH($O1773, Database_repro!$A:$A, 0), 5), "Not Found")</f>
        <v>No</v>
      </c>
      <c r="L1773" s="4" t="s">
        <v>17</v>
      </c>
      <c r="M1773" s="1" t="str">
        <f>IFERROR(IF(INDEX(Database_repro!$A:$F, MATCH($O1773, Database_repro!$A:$A, 0), 6)="N","No",IF(INDEX(Database_repro!$A:$F, MATCH($O1773, Database_repro!$A:$A, 0), 6)="Y","Yes","Z")), "Not Found")</f>
        <v>No</v>
      </c>
      <c r="N1773" s="25">
        <f>IFERROR(INDEX(Database_repro!$A:$P, MATCH($O1773, Database_repro!$A:$A, 0), 15), "Not Found")</f>
        <v>0</v>
      </c>
      <c r="O1773" t="s">
        <v>512</v>
      </c>
    </row>
    <row r="1774" spans="1:15" x14ac:dyDescent="0.2">
      <c r="A1774" s="24">
        <f>IFERROR(DATE(MID(INDEX(Database_dermo!$A:$I, MATCH($O1774, Database_dermo!$A:$A, 0), 2),8,4),MID(INDEX(Database_dermo!$A:$I, MATCH($O1774, Database_dermo!$A:$A, 0), 2),12,2),MID(INDEX(Database_dermo!$A:$I, MATCH($O1774, Database_dermo!$A:$A, 0), 2),14,2)), "Not Found")</f>
        <v>45734</v>
      </c>
      <c r="B1774" s="1" t="str">
        <f>IFERROR(VLOOKUP(MID(INDEX(Database_dermo!$A:$I, MATCH($O1774, Database_dermo!$A:$A, 0), 2),20,3),Notes!A$1:C$9,3,TRUE), "Not Found")</f>
        <v>LX-N</v>
      </c>
      <c r="C1774" s="1" t="str">
        <f>IFERROR(RIGHT(INDEX(Database_dermo!$A:$I, MATCH($O1774, Database_dermo!$A:$A, 0), 1),2), "Not Found")</f>
        <v>45</v>
      </c>
      <c r="D1774" s="1">
        <f>IFERROR(VLOOKUP(MID(INDEX(Database_dermo!$A:$I, MATCH($O1774, Database_dermo!$A:$A, 0), 2),20,3),Notes!A$1:C$9,2,TRUE), "Not Found")</f>
        <v>3</v>
      </c>
      <c r="E1774" s="1">
        <f>IFERROR(INDEX(Database_dermo!$A:$I, MATCH($O1774, Database_dermo!$A:$A, 0), 3), "Not Found")</f>
        <v>38.19</v>
      </c>
      <c r="F1774" s="1" t="str">
        <f>IFERROR(INDEX(Database_repro!$A:$F, MATCH($O1774, Database_repro!$A:$A, 0), 3), "Not Found")</f>
        <v>M</v>
      </c>
      <c r="G1774" s="1">
        <f>IFERROR(INDEX(Database_repro!$A:$F, MATCH($O1774, Database_repro!$A:$A, 0), 4), "Not Found")</f>
        <v>2</v>
      </c>
      <c r="H1774" s="1" t="s">
        <v>16</v>
      </c>
      <c r="I1774" s="1" t="s">
        <v>16</v>
      </c>
      <c r="J1774" s="1" t="s">
        <v>16</v>
      </c>
      <c r="K1774" s="1" t="str">
        <f>IFERROR(INDEX(Database_repro!$A:$F, MATCH($O1774, Database_repro!$A:$A, 0), 5), "Not Found")</f>
        <v>No</v>
      </c>
      <c r="L1774" s="4" t="s">
        <v>17</v>
      </c>
      <c r="M1774" s="1" t="str">
        <f>IFERROR(IF(INDEX(Database_repro!$A:$F, MATCH($O1774, Database_repro!$A:$A, 0), 6)="N","No",IF(INDEX(Database_repro!$A:$F, MATCH($O1774, Database_repro!$A:$A, 0), 6)="Y","Yes","Z")), "Not Found")</f>
        <v>No</v>
      </c>
      <c r="N1774" s="25">
        <f>IFERROR(INDEX(Database_repro!$A:$P, MATCH($O1774, Database_repro!$A:$A, 0), 15), "Not Found")</f>
        <v>0</v>
      </c>
      <c r="O1774" t="s">
        <v>513</v>
      </c>
    </row>
    <row r="1775" spans="1:15" x14ac:dyDescent="0.2">
      <c r="A1775" s="24">
        <f>IFERROR(DATE(MID(INDEX(Database_dermo!$A:$I, MATCH($O1775, Database_dermo!$A:$A, 0), 2),8,4),MID(INDEX(Database_dermo!$A:$I, MATCH($O1775, Database_dermo!$A:$A, 0), 2),12,2),MID(INDEX(Database_dermo!$A:$I, MATCH($O1775, Database_dermo!$A:$A, 0), 2),14,2)), "Not Found")</f>
        <v>45734</v>
      </c>
      <c r="B1775" s="1" t="str">
        <f>IFERROR(VLOOKUP(MID(INDEX(Database_dermo!$A:$I, MATCH($O1775, Database_dermo!$A:$A, 0), 2),20,3),Notes!A$1:C$9,3,TRUE), "Not Found")</f>
        <v>LX-N</v>
      </c>
      <c r="C1775" s="1" t="str">
        <f>IFERROR(RIGHT(INDEX(Database_dermo!$A:$I, MATCH($O1775, Database_dermo!$A:$A, 0), 1),2), "Not Found")</f>
        <v>46</v>
      </c>
      <c r="D1775" s="1">
        <f>IFERROR(VLOOKUP(MID(INDEX(Database_dermo!$A:$I, MATCH($O1775, Database_dermo!$A:$A, 0), 2),20,3),Notes!A$1:C$9,2,TRUE), "Not Found")</f>
        <v>3</v>
      </c>
      <c r="E1775" s="1">
        <f>IFERROR(INDEX(Database_dermo!$A:$I, MATCH($O1775, Database_dermo!$A:$A, 0), 3), "Not Found")</f>
        <v>28.01</v>
      </c>
      <c r="F1775" s="1" t="str">
        <f>IFERROR(INDEX(Database_repro!$A:$F, MATCH($O1775, Database_repro!$A:$A, 0), 3), "Not Found")</f>
        <v>M</v>
      </c>
      <c r="G1775" s="1">
        <f>IFERROR(INDEX(Database_repro!$A:$F, MATCH($O1775, Database_repro!$A:$A, 0), 4), "Not Found")</f>
        <v>2</v>
      </c>
      <c r="H1775" s="1" t="s">
        <v>16</v>
      </c>
      <c r="I1775" s="1" t="s">
        <v>16</v>
      </c>
      <c r="J1775" s="1" t="s">
        <v>16</v>
      </c>
      <c r="K1775" s="1" t="str">
        <f>IFERROR(INDEX(Database_repro!$A:$F, MATCH($O1775, Database_repro!$A:$A, 0), 5), "Not Found")</f>
        <v>No</v>
      </c>
      <c r="L1775" s="4" t="s">
        <v>17</v>
      </c>
      <c r="M1775" s="1" t="str">
        <f>IFERROR(IF(INDEX(Database_repro!$A:$F, MATCH($O1775, Database_repro!$A:$A, 0), 6)="N","No",IF(INDEX(Database_repro!$A:$F, MATCH($O1775, Database_repro!$A:$A, 0), 6)="Y","Yes","Z")), "Not Found")</f>
        <v>No</v>
      </c>
      <c r="N1775" s="25">
        <f>IFERROR(INDEX(Database_repro!$A:$P, MATCH($O1775, Database_repro!$A:$A, 0), 15), "Not Found")</f>
        <v>0</v>
      </c>
      <c r="O1775" t="s">
        <v>514</v>
      </c>
    </row>
    <row r="1776" spans="1:15" x14ac:dyDescent="0.2">
      <c r="A1776" s="24">
        <f>IFERROR(DATE(MID(INDEX(Database_dermo!$A:$I, MATCH($O1776, Database_dermo!$A:$A, 0), 2),8,4),MID(INDEX(Database_dermo!$A:$I, MATCH($O1776, Database_dermo!$A:$A, 0), 2),12,2),MID(INDEX(Database_dermo!$A:$I, MATCH($O1776, Database_dermo!$A:$A, 0), 2),14,2)), "Not Found")</f>
        <v>45734</v>
      </c>
      <c r="B1776" s="1" t="str">
        <f>IFERROR(VLOOKUP(MID(INDEX(Database_dermo!$A:$I, MATCH($O1776, Database_dermo!$A:$A, 0), 2),20,3),Notes!A$1:C$9,3,TRUE), "Not Found")</f>
        <v>LX-N</v>
      </c>
      <c r="C1776" s="1" t="str">
        <f>IFERROR(RIGHT(INDEX(Database_dermo!$A:$I, MATCH($O1776, Database_dermo!$A:$A, 0), 1),2), "Not Found")</f>
        <v>47</v>
      </c>
      <c r="D1776" s="1">
        <f>IFERROR(VLOOKUP(MID(INDEX(Database_dermo!$A:$I, MATCH($O1776, Database_dermo!$A:$A, 0), 2),20,3),Notes!A$1:C$9,2,TRUE), "Not Found")</f>
        <v>3</v>
      </c>
      <c r="E1776" s="1">
        <f>IFERROR(INDEX(Database_dermo!$A:$I, MATCH($O1776, Database_dermo!$A:$A, 0), 3), "Not Found")</f>
        <v>26.75</v>
      </c>
      <c r="F1776" s="1" t="str">
        <f>IFERROR(INDEX(Database_repro!$A:$F, MATCH($O1776, Database_repro!$A:$A, 0), 3), "Not Found")</f>
        <v>M</v>
      </c>
      <c r="G1776" s="1">
        <f>IFERROR(INDEX(Database_repro!$A:$F, MATCH($O1776, Database_repro!$A:$A, 0), 4), "Not Found")</f>
        <v>2</v>
      </c>
      <c r="H1776" s="1" t="s">
        <v>16</v>
      </c>
      <c r="I1776" s="1" t="s">
        <v>16</v>
      </c>
      <c r="J1776" s="1" t="s">
        <v>16</v>
      </c>
      <c r="K1776" s="1" t="str">
        <f>IFERROR(INDEX(Database_repro!$A:$F, MATCH($O1776, Database_repro!$A:$A, 0), 5), "Not Found")</f>
        <v>No</v>
      </c>
      <c r="L1776" s="4" t="s">
        <v>17</v>
      </c>
      <c r="M1776" s="1" t="str">
        <f>IFERROR(IF(INDEX(Database_repro!$A:$F, MATCH($O1776, Database_repro!$A:$A, 0), 6)="N","No",IF(INDEX(Database_repro!$A:$F, MATCH($O1776, Database_repro!$A:$A, 0), 6)="Y","Yes","Z")), "Not Found")</f>
        <v>No</v>
      </c>
      <c r="N1776" s="25">
        <f>IFERROR(INDEX(Database_repro!$A:$P, MATCH($O1776, Database_repro!$A:$A, 0), 15), "Not Found")</f>
        <v>0</v>
      </c>
      <c r="O1776" t="s">
        <v>515</v>
      </c>
    </row>
    <row r="1777" spans="1:15" x14ac:dyDescent="0.2">
      <c r="A1777" s="24">
        <f>IFERROR(DATE(MID(INDEX(Database_dermo!$A:$I, MATCH($O1777, Database_dermo!$A:$A, 0), 2),8,4),MID(INDEX(Database_dermo!$A:$I, MATCH($O1777, Database_dermo!$A:$A, 0), 2),12,2),MID(INDEX(Database_dermo!$A:$I, MATCH($O1777, Database_dermo!$A:$A, 0), 2),14,2)), "Not Found")</f>
        <v>45734</v>
      </c>
      <c r="B1777" s="1" t="str">
        <f>IFERROR(VLOOKUP(MID(INDEX(Database_dermo!$A:$I, MATCH($O1777, Database_dermo!$A:$A, 0), 2),20,3),Notes!A$1:C$9,3,TRUE), "Not Found")</f>
        <v>LX-N</v>
      </c>
      <c r="C1777" s="1" t="str">
        <f>IFERROR(RIGHT(INDEX(Database_dermo!$A:$I, MATCH($O1777, Database_dermo!$A:$A, 0), 1),2), "Not Found")</f>
        <v>48</v>
      </c>
      <c r="D1777" s="1">
        <f>IFERROR(VLOOKUP(MID(INDEX(Database_dermo!$A:$I, MATCH($O1777, Database_dermo!$A:$A, 0), 2),20,3),Notes!A$1:C$9,2,TRUE), "Not Found")</f>
        <v>3</v>
      </c>
      <c r="E1777" s="1">
        <f>IFERROR(INDEX(Database_dermo!$A:$I, MATCH($O1777, Database_dermo!$A:$A, 0), 3), "Not Found")</f>
        <v>26.85</v>
      </c>
      <c r="F1777" s="1" t="str">
        <f>IFERROR(INDEX(Database_repro!$A:$F, MATCH($O1777, Database_repro!$A:$A, 0), 3), "Not Found")</f>
        <v>M</v>
      </c>
      <c r="G1777" s="1">
        <f>IFERROR(INDEX(Database_repro!$A:$F, MATCH($O1777, Database_repro!$A:$A, 0), 4), "Not Found")</f>
        <v>2</v>
      </c>
      <c r="H1777" s="1" t="s">
        <v>16</v>
      </c>
      <c r="I1777" s="1" t="s">
        <v>16</v>
      </c>
      <c r="J1777" s="1" t="s">
        <v>16</v>
      </c>
      <c r="K1777" s="1" t="str">
        <f>IFERROR(INDEX(Database_repro!$A:$F, MATCH($O1777, Database_repro!$A:$A, 0), 5), "Not Found")</f>
        <v>Yes</v>
      </c>
      <c r="L1777" s="4" t="s">
        <v>17</v>
      </c>
      <c r="M1777" s="1" t="str">
        <f>IFERROR(IF(INDEX(Database_repro!$A:$F, MATCH($O1777, Database_repro!$A:$A, 0), 6)="N","No",IF(INDEX(Database_repro!$A:$F, MATCH($O1777, Database_repro!$A:$A, 0), 6)="Y","Yes","Z")), "Not Found")</f>
        <v>No</v>
      </c>
      <c r="N1777" s="25">
        <f>IFERROR(INDEX(Database_repro!$A:$P, MATCH($O1777, Database_repro!$A:$A, 0), 15), "Not Found")</f>
        <v>0</v>
      </c>
      <c r="O1777" t="s">
        <v>516</v>
      </c>
    </row>
    <row r="1778" spans="1:15" x14ac:dyDescent="0.2">
      <c r="A1778" s="24">
        <f>IFERROR(DATE(MID(INDEX(Database_dermo!$A:$I, MATCH($O1778, Database_dermo!$A:$A, 0), 2),8,4),MID(INDEX(Database_dermo!$A:$I, MATCH($O1778, Database_dermo!$A:$A, 0), 2),12,2),MID(INDEX(Database_dermo!$A:$I, MATCH($O1778, Database_dermo!$A:$A, 0), 2),14,2)), "Not Found")</f>
        <v>45734</v>
      </c>
      <c r="B1778" s="1" t="str">
        <f>IFERROR(VLOOKUP(MID(INDEX(Database_dermo!$A:$I, MATCH($O1778, Database_dermo!$A:$A, 0), 2),20,3),Notes!A$1:C$9,3,TRUE), "Not Found")</f>
        <v>LX-N</v>
      </c>
      <c r="C1778" s="1" t="str">
        <f>IFERROR(RIGHT(INDEX(Database_dermo!$A:$I, MATCH($O1778, Database_dermo!$A:$A, 0), 1),2), "Not Found")</f>
        <v>49</v>
      </c>
      <c r="D1778" s="1">
        <f>IFERROR(VLOOKUP(MID(INDEX(Database_dermo!$A:$I, MATCH($O1778, Database_dermo!$A:$A, 0), 2),20,3),Notes!A$1:C$9,2,TRUE), "Not Found")</f>
        <v>3</v>
      </c>
      <c r="E1778" s="1">
        <f>IFERROR(INDEX(Database_dermo!$A:$I, MATCH($O1778, Database_dermo!$A:$A, 0), 3), "Not Found")</f>
        <v>20.61</v>
      </c>
      <c r="F1778" s="1" t="str">
        <f>IFERROR(INDEX(Database_repro!$A:$F, MATCH($O1778, Database_repro!$A:$A, 0), 3), "Not Found")</f>
        <v>Z</v>
      </c>
      <c r="G1778" s="1">
        <f>IFERROR(INDEX(Database_repro!$A:$F, MATCH($O1778, Database_repro!$A:$A, 0), 4), "Not Found")</f>
        <v>4</v>
      </c>
      <c r="H1778" s="1" t="s">
        <v>16</v>
      </c>
      <c r="I1778" s="1" t="s">
        <v>16</v>
      </c>
      <c r="J1778" s="1" t="s">
        <v>16</v>
      </c>
      <c r="K1778" s="1" t="str">
        <f>IFERROR(INDEX(Database_repro!$A:$F, MATCH($O1778, Database_repro!$A:$A, 0), 5), "Not Found")</f>
        <v>No</v>
      </c>
      <c r="L1778" s="4" t="s">
        <v>17</v>
      </c>
      <c r="M1778" s="1" t="str">
        <f>IFERROR(IF(INDEX(Database_repro!$A:$F, MATCH($O1778, Database_repro!$A:$A, 0), 6)="N","No",IF(INDEX(Database_repro!$A:$F, MATCH($O1778, Database_repro!$A:$A, 0), 6)="Y","Yes","Z")), "Not Found")</f>
        <v>No</v>
      </c>
      <c r="N1778" s="25">
        <f>IFERROR(INDEX(Database_repro!$A:$P, MATCH($O1778, Database_repro!$A:$A, 0), 15), "Not Found")</f>
        <v>0</v>
      </c>
      <c r="O1778" t="s">
        <v>517</v>
      </c>
    </row>
    <row r="1779" spans="1:15" x14ac:dyDescent="0.2">
      <c r="A1779" s="24">
        <f>IFERROR(DATE(MID(INDEX(Database_dermo!$A:$I, MATCH($O1779, Database_dermo!$A:$A, 0), 2),8,4),MID(INDEX(Database_dermo!$A:$I, MATCH($O1779, Database_dermo!$A:$A, 0), 2),12,2),MID(INDEX(Database_dermo!$A:$I, MATCH($O1779, Database_dermo!$A:$A, 0), 2),14,2)), "Not Found")</f>
        <v>45734</v>
      </c>
      <c r="B1779" s="1" t="str">
        <f>IFERROR(VLOOKUP(MID(INDEX(Database_dermo!$A:$I, MATCH($O1779, Database_dermo!$A:$A, 0), 2),20,3),Notes!A$1:C$9,3,TRUE), "Not Found")</f>
        <v>LX-N</v>
      </c>
      <c r="C1779" s="1" t="str">
        <f>IFERROR(RIGHT(INDEX(Database_dermo!$A:$I, MATCH($O1779, Database_dermo!$A:$A, 0), 1),2), "Not Found")</f>
        <v>50</v>
      </c>
      <c r="D1779" s="1">
        <f>IFERROR(VLOOKUP(MID(INDEX(Database_dermo!$A:$I, MATCH($O1779, Database_dermo!$A:$A, 0), 2),20,3),Notes!A$1:C$9,2,TRUE), "Not Found")</f>
        <v>3</v>
      </c>
      <c r="E1779" s="1">
        <f>IFERROR(INDEX(Database_dermo!$A:$I, MATCH($O1779, Database_dermo!$A:$A, 0), 3), "Not Found")</f>
        <v>54.39</v>
      </c>
      <c r="F1779" s="1" t="str">
        <f>IFERROR(INDEX(Database_repro!$A:$F, MATCH($O1779, Database_repro!$A:$A, 0), 3), "Not Found")</f>
        <v>F</v>
      </c>
      <c r="G1779" s="1">
        <f>IFERROR(INDEX(Database_repro!$A:$F, MATCH($O1779, Database_repro!$A:$A, 0), 4), "Not Found")</f>
        <v>2</v>
      </c>
      <c r="H1779" s="1" t="s">
        <v>16</v>
      </c>
      <c r="I1779" s="1" t="s">
        <v>16</v>
      </c>
      <c r="J1779" s="1" t="s">
        <v>16</v>
      </c>
      <c r="K1779" s="1" t="str">
        <f>IFERROR(INDEX(Database_repro!$A:$F, MATCH($O1779, Database_repro!$A:$A, 0), 5), "Not Found")</f>
        <v>Yes</v>
      </c>
      <c r="L1779" s="4" t="s">
        <v>17</v>
      </c>
      <c r="M1779" s="1" t="str">
        <f>IFERROR(IF(INDEX(Database_repro!$A:$F, MATCH($O1779, Database_repro!$A:$A, 0), 6)="N","No",IF(INDEX(Database_repro!$A:$F, MATCH($O1779, Database_repro!$A:$A, 0), 6)="Y","Yes","Z")), "Not Found")</f>
        <v>No</v>
      </c>
      <c r="N1779" s="25">
        <f>IFERROR(INDEX(Database_repro!$A:$P, MATCH($O1779, Database_repro!$A:$A, 0), 15), "Not Found")</f>
        <v>0</v>
      </c>
      <c r="O1779" t="s">
        <v>518</v>
      </c>
    </row>
    <row r="1780" spans="1:15" x14ac:dyDescent="0.2">
      <c r="A1780" s="24">
        <f>IFERROR(DATE(MID(INDEX(Database_dermo!$A:$I, MATCH($O1780, Database_dermo!$A:$A, 0), 2),8,4),MID(INDEX(Database_dermo!$A:$I, MATCH($O1780, Database_dermo!$A:$A, 0), 2),12,2),MID(INDEX(Database_dermo!$A:$I, MATCH($O1780, Database_dermo!$A:$A, 0), 2),14,2)), "Not Found")</f>
        <v>45734</v>
      </c>
      <c r="B1780" s="1" t="str">
        <f>IFERROR(VLOOKUP(MID(INDEX(Database_dermo!$A:$I, MATCH($O1780, Database_dermo!$A:$A, 0), 2),20,3),Notes!A$1:C$9,3,TRUE), "Not Found")</f>
        <v>LX-N</v>
      </c>
      <c r="C1780" s="1" t="str">
        <f>IFERROR(RIGHT(INDEX(Database_dermo!$A:$I, MATCH($O1780, Database_dermo!$A:$A, 0), 1),2), "Not Found")</f>
        <v>51</v>
      </c>
      <c r="D1780" s="1">
        <f>IFERROR(VLOOKUP(MID(INDEX(Database_dermo!$A:$I, MATCH($O1780, Database_dermo!$A:$A, 0), 2),20,3),Notes!A$1:C$9,2,TRUE), "Not Found")</f>
        <v>3</v>
      </c>
      <c r="E1780" s="1">
        <f>IFERROR(INDEX(Database_dermo!$A:$I, MATCH($O1780, Database_dermo!$A:$A, 0), 3), "Not Found")</f>
        <v>32.799999999999997</v>
      </c>
      <c r="F1780" s="1" t="str">
        <f>IFERROR(INDEX(Database_repro!$A:$F, MATCH($O1780, Database_repro!$A:$A, 0), 3), "Not Found")</f>
        <v>M</v>
      </c>
      <c r="G1780" s="1">
        <f>IFERROR(INDEX(Database_repro!$A:$F, MATCH($O1780, Database_repro!$A:$A, 0), 4), "Not Found")</f>
        <v>2</v>
      </c>
      <c r="H1780" s="1" t="s">
        <v>16</v>
      </c>
      <c r="I1780" s="1" t="s">
        <v>16</v>
      </c>
      <c r="J1780" s="1" t="s">
        <v>16</v>
      </c>
      <c r="K1780" s="1" t="str">
        <f>IFERROR(INDEX(Database_repro!$A:$F, MATCH($O1780, Database_repro!$A:$A, 0), 5), "Not Found")</f>
        <v>No</v>
      </c>
      <c r="L1780" s="4" t="s">
        <v>17</v>
      </c>
      <c r="M1780" s="1" t="str">
        <f>IFERROR(IF(INDEX(Database_repro!$A:$F, MATCH($O1780, Database_repro!$A:$A, 0), 6)="N","No",IF(INDEX(Database_repro!$A:$F, MATCH($O1780, Database_repro!$A:$A, 0), 6)="Y","Yes","Z")), "Not Found")</f>
        <v>No</v>
      </c>
      <c r="N1780" s="25">
        <f>IFERROR(INDEX(Database_repro!$A:$P, MATCH($O1780, Database_repro!$A:$A, 0), 15), "Not Found")</f>
        <v>0</v>
      </c>
      <c r="O1780" t="s">
        <v>519</v>
      </c>
    </row>
    <row r="1781" spans="1:15" x14ac:dyDescent="0.2">
      <c r="A1781" s="24">
        <f>IFERROR(DATE(MID(INDEX(Database_dermo!$A:$I, MATCH($O1781, Database_dermo!$A:$A, 0), 2),8,4),MID(INDEX(Database_dermo!$A:$I, MATCH($O1781, Database_dermo!$A:$A, 0), 2),12,2),MID(INDEX(Database_dermo!$A:$I, MATCH($O1781, Database_dermo!$A:$A, 0), 2),14,2)), "Not Found")</f>
        <v>45734</v>
      </c>
      <c r="B1781" s="1" t="str">
        <f>IFERROR(VLOOKUP(MID(INDEX(Database_dermo!$A:$I, MATCH($O1781, Database_dermo!$A:$A, 0), 2),20,3),Notes!A$1:C$9,3,TRUE), "Not Found")</f>
        <v>LX-N</v>
      </c>
      <c r="C1781" s="1" t="str">
        <f>IFERROR(RIGHT(INDEX(Database_dermo!$A:$I, MATCH($O1781, Database_dermo!$A:$A, 0), 1),2), "Not Found")</f>
        <v>52</v>
      </c>
      <c r="D1781" s="1">
        <f>IFERROR(VLOOKUP(MID(INDEX(Database_dermo!$A:$I, MATCH($O1781, Database_dermo!$A:$A, 0), 2),20,3),Notes!A$1:C$9,2,TRUE), "Not Found")</f>
        <v>3</v>
      </c>
      <c r="E1781" s="1">
        <f>IFERROR(INDEX(Database_dermo!$A:$I, MATCH($O1781, Database_dermo!$A:$A, 0), 3), "Not Found")</f>
        <v>20.65</v>
      </c>
      <c r="F1781" s="1" t="str">
        <f>IFERROR(INDEX(Database_repro!$A:$F, MATCH($O1781, Database_repro!$A:$A, 0), 3), "Not Found")</f>
        <v>M</v>
      </c>
      <c r="G1781" s="1">
        <f>IFERROR(INDEX(Database_repro!$A:$F, MATCH($O1781, Database_repro!$A:$A, 0), 4), "Not Found")</f>
        <v>2</v>
      </c>
      <c r="H1781" s="1" t="s">
        <v>16</v>
      </c>
      <c r="I1781" s="1" t="s">
        <v>16</v>
      </c>
      <c r="J1781" s="1" t="s">
        <v>16</v>
      </c>
      <c r="K1781" s="1" t="str">
        <f>IFERROR(INDEX(Database_repro!$A:$F, MATCH($O1781, Database_repro!$A:$A, 0), 5), "Not Found")</f>
        <v>No</v>
      </c>
      <c r="L1781" s="4" t="s">
        <v>17</v>
      </c>
      <c r="M1781" s="1" t="str">
        <f>IFERROR(IF(INDEX(Database_repro!$A:$F, MATCH($O1781, Database_repro!$A:$A, 0), 6)="N","No",IF(INDEX(Database_repro!$A:$F, MATCH($O1781, Database_repro!$A:$A, 0), 6)="Y","Yes","Z")), "Not Found")</f>
        <v>No</v>
      </c>
      <c r="N1781" s="25">
        <f>IFERROR(INDEX(Database_repro!$A:$P, MATCH($O1781, Database_repro!$A:$A, 0), 15), "Not Found")</f>
        <v>0</v>
      </c>
      <c r="O1781" t="s">
        <v>520</v>
      </c>
    </row>
    <row r="1782" spans="1:15" x14ac:dyDescent="0.2">
      <c r="A1782" s="24">
        <f>IFERROR(DATE(MID(INDEX(Database_dermo!$A:$I, MATCH($O1782, Database_dermo!$A:$A, 0), 2),8,4),MID(INDEX(Database_dermo!$A:$I, MATCH($O1782, Database_dermo!$A:$A, 0), 2),12,2),MID(INDEX(Database_dermo!$A:$I, MATCH($O1782, Database_dermo!$A:$A, 0), 2),14,2)), "Not Found")</f>
        <v>45734</v>
      </c>
      <c r="B1782" s="1" t="str">
        <f>IFERROR(VLOOKUP(MID(INDEX(Database_dermo!$A:$I, MATCH($O1782, Database_dermo!$A:$A, 0), 2),20,3),Notes!A$1:C$9,3,TRUE), "Not Found")</f>
        <v>LX-N</v>
      </c>
      <c r="C1782" s="1" t="str">
        <f>IFERROR(RIGHT(INDEX(Database_dermo!$A:$I, MATCH($O1782, Database_dermo!$A:$A, 0), 1),2), "Not Found")</f>
        <v>53</v>
      </c>
      <c r="D1782" s="1">
        <f>IFERROR(VLOOKUP(MID(INDEX(Database_dermo!$A:$I, MATCH($O1782, Database_dermo!$A:$A, 0), 2),20,3),Notes!A$1:C$9,2,TRUE), "Not Found")</f>
        <v>3</v>
      </c>
      <c r="E1782" s="1">
        <f>IFERROR(INDEX(Database_dermo!$A:$I, MATCH($O1782, Database_dermo!$A:$A, 0), 3), "Not Found")</f>
        <v>31.04</v>
      </c>
      <c r="F1782" s="1" t="str">
        <f>IFERROR(INDEX(Database_repro!$A:$F, MATCH($O1782, Database_repro!$A:$A, 0), 3), "Not Found")</f>
        <v>M</v>
      </c>
      <c r="G1782" s="1">
        <f>IFERROR(INDEX(Database_repro!$A:$F, MATCH($O1782, Database_repro!$A:$A, 0), 4), "Not Found")</f>
        <v>2</v>
      </c>
      <c r="H1782" s="1" t="s">
        <v>16</v>
      </c>
      <c r="I1782" s="1" t="s">
        <v>16</v>
      </c>
      <c r="J1782" s="1" t="s">
        <v>16</v>
      </c>
      <c r="K1782" s="1" t="str">
        <f>IFERROR(INDEX(Database_repro!$A:$F, MATCH($O1782, Database_repro!$A:$A, 0), 5), "Not Found")</f>
        <v>No</v>
      </c>
      <c r="L1782" s="4" t="s">
        <v>17</v>
      </c>
      <c r="M1782" s="1" t="str">
        <f>IFERROR(IF(INDEX(Database_repro!$A:$F, MATCH($O1782, Database_repro!$A:$A, 0), 6)="N","No",IF(INDEX(Database_repro!$A:$F, MATCH($O1782, Database_repro!$A:$A, 0), 6)="Y","Yes","Z")), "Not Found")</f>
        <v>No</v>
      </c>
      <c r="N1782" s="25">
        <f>IFERROR(INDEX(Database_repro!$A:$P, MATCH($O1782, Database_repro!$A:$A, 0), 15), "Not Found")</f>
        <v>0</v>
      </c>
      <c r="O1782" t="s">
        <v>521</v>
      </c>
    </row>
    <row r="1783" spans="1:15" x14ac:dyDescent="0.2">
      <c r="A1783" s="24">
        <f>IFERROR(DATE(MID(INDEX(Database_dermo!$A:$I, MATCH($O1783, Database_dermo!$A:$A, 0), 2),8,4),MID(INDEX(Database_dermo!$A:$I, MATCH($O1783, Database_dermo!$A:$A, 0), 2),12,2),MID(INDEX(Database_dermo!$A:$I, MATCH($O1783, Database_dermo!$A:$A, 0), 2),14,2)), "Not Found")</f>
        <v>45734</v>
      </c>
      <c r="B1783" s="1" t="str">
        <f>IFERROR(VLOOKUP(MID(INDEX(Database_dermo!$A:$I, MATCH($O1783, Database_dermo!$A:$A, 0), 2),20,3),Notes!A$1:C$9,3,TRUE), "Not Found")</f>
        <v>LX-N</v>
      </c>
      <c r="C1783" s="1" t="str">
        <f>IFERROR(RIGHT(INDEX(Database_dermo!$A:$I, MATCH($O1783, Database_dermo!$A:$A, 0), 1),2), "Not Found")</f>
        <v>54</v>
      </c>
      <c r="D1783" s="1">
        <f>IFERROR(VLOOKUP(MID(INDEX(Database_dermo!$A:$I, MATCH($O1783, Database_dermo!$A:$A, 0), 2),20,3),Notes!A$1:C$9,2,TRUE), "Not Found")</f>
        <v>3</v>
      </c>
      <c r="E1783" s="1">
        <f>IFERROR(INDEX(Database_dermo!$A:$I, MATCH($O1783, Database_dermo!$A:$A, 0), 3), "Not Found")</f>
        <v>40.21</v>
      </c>
      <c r="F1783" s="1" t="str">
        <f>IFERROR(INDEX(Database_repro!$A:$F, MATCH($O1783, Database_repro!$A:$A, 0), 3), "Not Found")</f>
        <v>M</v>
      </c>
      <c r="G1783" s="1">
        <f>IFERROR(INDEX(Database_repro!$A:$F, MATCH($O1783, Database_repro!$A:$A, 0), 4), "Not Found")</f>
        <v>2</v>
      </c>
      <c r="H1783" s="1" t="s">
        <v>16</v>
      </c>
      <c r="I1783" s="1" t="s">
        <v>16</v>
      </c>
      <c r="J1783" s="1" t="s">
        <v>16</v>
      </c>
      <c r="K1783" s="1" t="str">
        <f>IFERROR(INDEX(Database_repro!$A:$F, MATCH($O1783, Database_repro!$A:$A, 0), 5), "Not Found")</f>
        <v>No</v>
      </c>
      <c r="L1783" s="4" t="s">
        <v>17</v>
      </c>
      <c r="M1783" s="1" t="str">
        <f>IFERROR(IF(INDEX(Database_repro!$A:$F, MATCH($O1783, Database_repro!$A:$A, 0), 6)="N","No",IF(INDEX(Database_repro!$A:$F, MATCH($O1783, Database_repro!$A:$A, 0), 6)="Y","Yes","Z")), "Not Found")</f>
        <v>No</v>
      </c>
      <c r="N1783" s="25">
        <f>IFERROR(INDEX(Database_repro!$A:$P, MATCH($O1783, Database_repro!$A:$A, 0), 15), "Not Found")</f>
        <v>0</v>
      </c>
      <c r="O1783" t="s">
        <v>522</v>
      </c>
    </row>
    <row r="1784" spans="1:15" x14ac:dyDescent="0.2">
      <c r="A1784" s="24">
        <f>IFERROR(DATE(MID(INDEX(Database_dermo!$A:$I, MATCH($O1784, Database_dermo!$A:$A, 0), 2),8,4),MID(INDEX(Database_dermo!$A:$I, MATCH($O1784, Database_dermo!$A:$A, 0), 2),12,2),MID(INDEX(Database_dermo!$A:$I, MATCH($O1784, Database_dermo!$A:$A, 0), 2),14,2)), "Not Found")</f>
        <v>45734</v>
      </c>
      <c r="B1784" s="1" t="str">
        <f>IFERROR(VLOOKUP(MID(INDEX(Database_dermo!$A:$I, MATCH($O1784, Database_dermo!$A:$A, 0), 2),20,3),Notes!A$1:C$9,3,TRUE), "Not Found")</f>
        <v>LX-N</v>
      </c>
      <c r="C1784" s="1" t="str">
        <f>IFERROR(RIGHT(INDEX(Database_dermo!$A:$I, MATCH($O1784, Database_dermo!$A:$A, 0), 1),2), "Not Found")</f>
        <v>55</v>
      </c>
      <c r="D1784" s="1">
        <f>IFERROR(VLOOKUP(MID(INDEX(Database_dermo!$A:$I, MATCH($O1784, Database_dermo!$A:$A, 0), 2),20,3),Notes!A$1:C$9,2,TRUE), "Not Found")</f>
        <v>3</v>
      </c>
      <c r="E1784" s="1">
        <f>IFERROR(INDEX(Database_dermo!$A:$I, MATCH($O1784, Database_dermo!$A:$A, 0), 3), "Not Found")</f>
        <v>32.78</v>
      </c>
      <c r="F1784" s="1" t="str">
        <f>IFERROR(INDEX(Database_repro!$A:$F, MATCH($O1784, Database_repro!$A:$A, 0), 3), "Not Found")</f>
        <v>M</v>
      </c>
      <c r="G1784" s="1">
        <f>IFERROR(INDEX(Database_repro!$A:$F, MATCH($O1784, Database_repro!$A:$A, 0), 4), "Not Found")</f>
        <v>2</v>
      </c>
      <c r="H1784" s="1" t="s">
        <v>16</v>
      </c>
      <c r="I1784" s="1" t="s">
        <v>16</v>
      </c>
      <c r="J1784" s="1" t="s">
        <v>16</v>
      </c>
      <c r="K1784" s="1" t="str">
        <f>IFERROR(INDEX(Database_repro!$A:$F, MATCH($O1784, Database_repro!$A:$A, 0), 5), "Not Found")</f>
        <v>No</v>
      </c>
      <c r="L1784" s="4" t="s">
        <v>17</v>
      </c>
      <c r="M1784" s="1" t="str">
        <f>IFERROR(IF(INDEX(Database_repro!$A:$F, MATCH($O1784, Database_repro!$A:$A, 0), 6)="N","No",IF(INDEX(Database_repro!$A:$F, MATCH($O1784, Database_repro!$A:$A, 0), 6)="Y","Yes","Z")), "Not Found")</f>
        <v>No</v>
      </c>
      <c r="N1784" s="25">
        <f>IFERROR(INDEX(Database_repro!$A:$P, MATCH($O1784, Database_repro!$A:$A, 0), 15), "Not Found")</f>
        <v>0</v>
      </c>
      <c r="O1784" t="s">
        <v>523</v>
      </c>
    </row>
    <row r="1785" spans="1:15" x14ac:dyDescent="0.2">
      <c r="A1785" s="24">
        <f>IFERROR(DATE(MID(INDEX(Database_dermo!$A:$I, MATCH($O1785, Database_dermo!$A:$A, 0), 2),8,4),MID(INDEX(Database_dermo!$A:$I, MATCH($O1785, Database_dermo!$A:$A, 0), 2),12,2),MID(INDEX(Database_dermo!$A:$I, MATCH($O1785, Database_dermo!$A:$A, 0), 2),14,2)), "Not Found")</f>
        <v>45755</v>
      </c>
      <c r="B1785" s="1" t="str">
        <f>IFERROR(VLOOKUP(MID(INDEX(Database_dermo!$A:$I, MATCH($O1785, Database_dermo!$A:$A, 0), 2),20,3),Notes!A$1:C$9,3,TRUE), "Not Found")</f>
        <v>LX-N</v>
      </c>
      <c r="C1785" s="1" t="str">
        <f>IFERROR(RIGHT(INDEX(Database_dermo!$A:$I, MATCH($O1785, Database_dermo!$A:$A, 0), 1),2), "Not Found")</f>
        <v>16</v>
      </c>
      <c r="D1785" s="1">
        <f>IFERROR(VLOOKUP(MID(INDEX(Database_dermo!$A:$I, MATCH($O1785, Database_dermo!$A:$A, 0), 2),20,3),Notes!A$1:C$9,2,TRUE), "Not Found")</f>
        <v>1</v>
      </c>
      <c r="E1785" s="1">
        <f>IFERROR(INDEX(Database_dermo!$A:$I, MATCH($O1785, Database_dermo!$A:$A, 0), 3), "Not Found")</f>
        <v>32.9</v>
      </c>
      <c r="F1785" s="1" t="str">
        <f>IFERROR(INDEX(Database_repro!$A:$F, MATCH($O1785, Database_repro!$A:$A, 0), 3), "Not Found")</f>
        <v>M</v>
      </c>
      <c r="G1785" s="1">
        <f>IFERROR(INDEX(Database_repro!$A:$F, MATCH($O1785, Database_repro!$A:$A, 0), 4), "Not Found")</f>
        <v>2</v>
      </c>
      <c r="H1785" s="1" t="s">
        <v>16</v>
      </c>
      <c r="I1785" s="1" t="s">
        <v>16</v>
      </c>
      <c r="J1785" s="1" t="s">
        <v>16</v>
      </c>
      <c r="K1785" s="1" t="str">
        <f>IFERROR(INDEX(Database_repro!$A:$F, MATCH($O1785, Database_repro!$A:$A, 0), 5), "Not Found")</f>
        <v>No</v>
      </c>
      <c r="L1785" s="4" t="s">
        <v>17</v>
      </c>
      <c r="M1785" s="1" t="str">
        <f>IFERROR(IF(INDEX(Database_repro!$A:$F, MATCH($O1785, Database_repro!$A:$A, 0), 6)="N","No",IF(INDEX(Database_repro!$A:$F, MATCH($O1785, Database_repro!$A:$A, 0), 6)="Y","Yes","Z")), "Not Found")</f>
        <v>No</v>
      </c>
      <c r="N1785" s="25">
        <f>IFERROR(INDEX(Database_repro!$A:$P, MATCH($O1785, Database_repro!$A:$A, 0), 15), "Not Found")</f>
        <v>0</v>
      </c>
      <c r="O1785" t="s">
        <v>524</v>
      </c>
    </row>
    <row r="1786" spans="1:15" x14ac:dyDescent="0.2">
      <c r="A1786" s="24">
        <f>IFERROR(DATE(MID(INDEX(Database_dermo!$A:$I, MATCH($O1786, Database_dermo!$A:$A, 0), 2),8,4),MID(INDEX(Database_dermo!$A:$I, MATCH($O1786, Database_dermo!$A:$A, 0), 2),12,2),MID(INDEX(Database_dermo!$A:$I, MATCH($O1786, Database_dermo!$A:$A, 0), 2),14,2)), "Not Found")</f>
        <v>45755</v>
      </c>
      <c r="B1786" s="1" t="str">
        <f>IFERROR(VLOOKUP(MID(INDEX(Database_dermo!$A:$I, MATCH($O1786, Database_dermo!$A:$A, 0), 2),20,3),Notes!A$1:C$9,3,TRUE), "Not Found")</f>
        <v>LX-N</v>
      </c>
      <c r="C1786" s="1" t="str">
        <f>IFERROR(RIGHT(INDEX(Database_dermo!$A:$I, MATCH($O1786, Database_dermo!$A:$A, 0), 1),2), "Not Found")</f>
        <v>17</v>
      </c>
      <c r="D1786" s="1">
        <f>IFERROR(VLOOKUP(MID(INDEX(Database_dermo!$A:$I, MATCH($O1786, Database_dermo!$A:$A, 0), 2),20,3),Notes!A$1:C$9,2,TRUE), "Not Found")</f>
        <v>1</v>
      </c>
      <c r="E1786" s="1">
        <f>IFERROR(INDEX(Database_dermo!$A:$I, MATCH($O1786, Database_dermo!$A:$A, 0), 3), "Not Found")</f>
        <v>37.72</v>
      </c>
      <c r="F1786" s="1" t="str">
        <f>IFERROR(INDEX(Database_repro!$A:$F, MATCH($O1786, Database_repro!$A:$A, 0), 3), "Not Found")</f>
        <v>F</v>
      </c>
      <c r="G1786" s="1">
        <f>IFERROR(INDEX(Database_repro!$A:$F, MATCH($O1786, Database_repro!$A:$A, 0), 4), "Not Found")</f>
        <v>1</v>
      </c>
      <c r="H1786" s="1" t="s">
        <v>16</v>
      </c>
      <c r="I1786" s="1" t="s">
        <v>16</v>
      </c>
      <c r="J1786" s="1" t="s">
        <v>16</v>
      </c>
      <c r="K1786" s="1" t="str">
        <f>IFERROR(INDEX(Database_repro!$A:$F, MATCH($O1786, Database_repro!$A:$A, 0), 5), "Not Found")</f>
        <v>No</v>
      </c>
      <c r="L1786" s="4" t="s">
        <v>17</v>
      </c>
      <c r="M1786" s="1" t="str">
        <f>IFERROR(IF(INDEX(Database_repro!$A:$F, MATCH($O1786, Database_repro!$A:$A, 0), 6)="N","No",IF(INDEX(Database_repro!$A:$F, MATCH($O1786, Database_repro!$A:$A, 0), 6)="Y","Yes","Z")), "Not Found")</f>
        <v>No</v>
      </c>
      <c r="N1786" s="25">
        <f>IFERROR(INDEX(Database_repro!$A:$P, MATCH($O1786, Database_repro!$A:$A, 0), 15), "Not Found")</f>
        <v>0</v>
      </c>
      <c r="O1786" t="s">
        <v>526</v>
      </c>
    </row>
    <row r="1787" spans="1:15" x14ac:dyDescent="0.2">
      <c r="A1787" s="24">
        <f>IFERROR(DATE(MID(INDEX(Database_dermo!$A:$I, MATCH($O1787, Database_dermo!$A:$A, 0), 2),8,4),MID(INDEX(Database_dermo!$A:$I, MATCH($O1787, Database_dermo!$A:$A, 0), 2),12,2),MID(INDEX(Database_dermo!$A:$I, MATCH($O1787, Database_dermo!$A:$A, 0), 2),14,2)), "Not Found")</f>
        <v>45755</v>
      </c>
      <c r="B1787" s="1" t="str">
        <f>IFERROR(VLOOKUP(MID(INDEX(Database_dermo!$A:$I, MATCH($O1787, Database_dermo!$A:$A, 0), 2),20,3),Notes!A$1:C$9,3,TRUE), "Not Found")</f>
        <v>LX-N</v>
      </c>
      <c r="C1787" s="1" t="str">
        <f>IFERROR(RIGHT(INDEX(Database_dermo!$A:$I, MATCH($O1787, Database_dermo!$A:$A, 0), 1),2), "Not Found")</f>
        <v>18</v>
      </c>
      <c r="D1787" s="1">
        <f>IFERROR(VLOOKUP(MID(INDEX(Database_dermo!$A:$I, MATCH($O1787, Database_dermo!$A:$A, 0), 2),20,3),Notes!A$1:C$9,2,TRUE), "Not Found")</f>
        <v>1</v>
      </c>
      <c r="E1787" s="1">
        <f>IFERROR(INDEX(Database_dermo!$A:$I, MATCH($O1787, Database_dermo!$A:$A, 0), 3), "Not Found")</f>
        <v>30.93</v>
      </c>
      <c r="F1787" s="1" t="str">
        <f>IFERROR(INDEX(Database_repro!$A:$F, MATCH($O1787, Database_repro!$A:$A, 0), 3), "Not Found")</f>
        <v>M</v>
      </c>
      <c r="G1787" s="1">
        <f>IFERROR(INDEX(Database_repro!$A:$F, MATCH($O1787, Database_repro!$A:$A, 0), 4), "Not Found")</f>
        <v>2</v>
      </c>
      <c r="H1787" s="1" t="s">
        <v>16</v>
      </c>
      <c r="I1787" s="1" t="s">
        <v>16</v>
      </c>
      <c r="J1787" s="1" t="s">
        <v>16</v>
      </c>
      <c r="K1787" s="1" t="str">
        <f>IFERROR(INDEX(Database_repro!$A:$F, MATCH($O1787, Database_repro!$A:$A, 0), 5), "Not Found")</f>
        <v>No</v>
      </c>
      <c r="L1787" s="4" t="s">
        <v>17</v>
      </c>
      <c r="M1787" s="1" t="str">
        <f>IFERROR(IF(INDEX(Database_repro!$A:$F, MATCH($O1787, Database_repro!$A:$A, 0), 6)="N","No",IF(INDEX(Database_repro!$A:$F, MATCH($O1787, Database_repro!$A:$A, 0), 6)="Y","Yes","Z")), "Not Found")</f>
        <v>No</v>
      </c>
      <c r="N1787" s="25">
        <f>IFERROR(INDEX(Database_repro!$A:$P, MATCH($O1787, Database_repro!$A:$A, 0), 15), "Not Found")</f>
        <v>0</v>
      </c>
      <c r="O1787" t="s">
        <v>527</v>
      </c>
    </row>
    <row r="1788" spans="1:15" x14ac:dyDescent="0.2">
      <c r="A1788" s="24">
        <f>IFERROR(DATE(MID(INDEX(Database_dermo!$A:$I, MATCH($O1788, Database_dermo!$A:$A, 0), 2),8,4),MID(INDEX(Database_dermo!$A:$I, MATCH($O1788, Database_dermo!$A:$A, 0), 2),12,2),MID(INDEX(Database_dermo!$A:$I, MATCH($O1788, Database_dermo!$A:$A, 0), 2),14,2)), "Not Found")</f>
        <v>45755</v>
      </c>
      <c r="B1788" s="1" t="str">
        <f>IFERROR(VLOOKUP(MID(INDEX(Database_dermo!$A:$I, MATCH($O1788, Database_dermo!$A:$A, 0), 2),20,3),Notes!A$1:C$9,3,TRUE), "Not Found")</f>
        <v>LX-N</v>
      </c>
      <c r="C1788" s="1" t="str">
        <f>IFERROR(RIGHT(INDEX(Database_dermo!$A:$I, MATCH($O1788, Database_dermo!$A:$A, 0), 1),2), "Not Found")</f>
        <v>19</v>
      </c>
      <c r="D1788" s="1">
        <f>IFERROR(VLOOKUP(MID(INDEX(Database_dermo!$A:$I, MATCH($O1788, Database_dermo!$A:$A, 0), 2),20,3),Notes!A$1:C$9,2,TRUE), "Not Found")</f>
        <v>1</v>
      </c>
      <c r="E1788" s="1">
        <f>IFERROR(INDEX(Database_dermo!$A:$I, MATCH($O1788, Database_dermo!$A:$A, 0), 3), "Not Found")</f>
        <v>22.69</v>
      </c>
      <c r="F1788" s="1" t="str">
        <f>IFERROR(INDEX(Database_repro!$A:$F, MATCH($O1788, Database_repro!$A:$A, 0), 3), "Not Found")</f>
        <v>M</v>
      </c>
      <c r="G1788" s="1">
        <f>IFERROR(INDEX(Database_repro!$A:$F, MATCH($O1788, Database_repro!$A:$A, 0), 4), "Not Found")</f>
        <v>2</v>
      </c>
      <c r="H1788" s="1" t="s">
        <v>16</v>
      </c>
      <c r="I1788" s="1" t="s">
        <v>16</v>
      </c>
      <c r="J1788" s="1" t="s">
        <v>16</v>
      </c>
      <c r="K1788" s="1" t="str">
        <f>IFERROR(INDEX(Database_repro!$A:$F, MATCH($O1788, Database_repro!$A:$A, 0), 5), "Not Found")</f>
        <v>No</v>
      </c>
      <c r="L1788" s="4" t="s">
        <v>17</v>
      </c>
      <c r="M1788" s="1" t="str">
        <f>IFERROR(IF(INDEX(Database_repro!$A:$F, MATCH($O1788, Database_repro!$A:$A, 0), 6)="N","No",IF(INDEX(Database_repro!$A:$F, MATCH($O1788, Database_repro!$A:$A, 0), 6)="Y","Yes","Z")), "Not Found")</f>
        <v>No</v>
      </c>
      <c r="N1788" s="25">
        <f>IFERROR(INDEX(Database_repro!$A:$P, MATCH($O1788, Database_repro!$A:$A, 0), 15), "Not Found")</f>
        <v>0</v>
      </c>
      <c r="O1788" t="s">
        <v>528</v>
      </c>
    </row>
    <row r="1789" spans="1:15" x14ac:dyDescent="0.2">
      <c r="A1789" s="24">
        <f>IFERROR(DATE(MID(INDEX(Database_dermo!$A:$I, MATCH($O1789, Database_dermo!$A:$A, 0), 2),8,4),MID(INDEX(Database_dermo!$A:$I, MATCH($O1789, Database_dermo!$A:$A, 0), 2),12,2),MID(INDEX(Database_dermo!$A:$I, MATCH($O1789, Database_dermo!$A:$A, 0), 2),14,2)), "Not Found")</f>
        <v>45755</v>
      </c>
      <c r="B1789" s="1" t="str">
        <f>IFERROR(VLOOKUP(MID(INDEX(Database_dermo!$A:$I, MATCH($O1789, Database_dermo!$A:$A, 0), 2),20,3),Notes!A$1:C$9,3,TRUE), "Not Found")</f>
        <v>LX-N</v>
      </c>
      <c r="C1789" s="1" t="str">
        <f>IFERROR(RIGHT(INDEX(Database_dermo!$A:$I, MATCH($O1789, Database_dermo!$A:$A, 0), 1),2), "Not Found")</f>
        <v>20</v>
      </c>
      <c r="D1789" s="1">
        <f>IFERROR(VLOOKUP(MID(INDEX(Database_dermo!$A:$I, MATCH($O1789, Database_dermo!$A:$A, 0), 2),20,3),Notes!A$1:C$9,2,TRUE), "Not Found")</f>
        <v>1</v>
      </c>
      <c r="E1789" s="1">
        <f>IFERROR(INDEX(Database_dermo!$A:$I, MATCH($O1789, Database_dermo!$A:$A, 0), 3), "Not Found")</f>
        <v>26.79</v>
      </c>
      <c r="F1789" s="1" t="str">
        <f>IFERROR(INDEX(Database_repro!$A:$F, MATCH($O1789, Database_repro!$A:$A, 0), 3), "Not Found")</f>
        <v>M</v>
      </c>
      <c r="G1789" s="1">
        <f>IFERROR(INDEX(Database_repro!$A:$F, MATCH($O1789, Database_repro!$A:$A, 0), 4), "Not Found")</f>
        <v>2</v>
      </c>
      <c r="H1789" s="1" t="s">
        <v>16</v>
      </c>
      <c r="I1789" s="1" t="s">
        <v>16</v>
      </c>
      <c r="J1789" s="1" t="s">
        <v>16</v>
      </c>
      <c r="K1789" s="1" t="str">
        <f>IFERROR(INDEX(Database_repro!$A:$F, MATCH($O1789, Database_repro!$A:$A, 0), 5), "Not Found")</f>
        <v>No</v>
      </c>
      <c r="L1789" s="4" t="s">
        <v>17</v>
      </c>
      <c r="M1789" s="1" t="str">
        <f>IFERROR(IF(INDEX(Database_repro!$A:$F, MATCH($O1789, Database_repro!$A:$A, 0), 6)="N","No",IF(INDEX(Database_repro!$A:$F, MATCH($O1789, Database_repro!$A:$A, 0), 6)="Y","Yes","Z")), "Not Found")</f>
        <v>No</v>
      </c>
      <c r="N1789" s="25">
        <f>IFERROR(INDEX(Database_repro!$A:$P, MATCH($O1789, Database_repro!$A:$A, 0), 15), "Not Found")</f>
        <v>0</v>
      </c>
      <c r="O1789" t="s">
        <v>529</v>
      </c>
    </row>
    <row r="1790" spans="1:15" x14ac:dyDescent="0.2">
      <c r="A1790" s="24">
        <f>IFERROR(DATE(MID(INDEX(Database_dermo!$A:$I, MATCH($O1790, Database_dermo!$A:$A, 0), 2),8,4),MID(INDEX(Database_dermo!$A:$I, MATCH($O1790, Database_dermo!$A:$A, 0), 2),12,2),MID(INDEX(Database_dermo!$A:$I, MATCH($O1790, Database_dermo!$A:$A, 0), 2),14,2)), "Not Found")</f>
        <v>45755</v>
      </c>
      <c r="B1790" s="1" t="str">
        <f>IFERROR(VLOOKUP(MID(INDEX(Database_dermo!$A:$I, MATCH($O1790, Database_dermo!$A:$A, 0), 2),20,3),Notes!A$1:C$9,3,TRUE), "Not Found")</f>
        <v>LX-N</v>
      </c>
      <c r="C1790" s="1" t="str">
        <f>IFERROR(RIGHT(INDEX(Database_dermo!$A:$I, MATCH($O1790, Database_dermo!$A:$A, 0), 1),2), "Not Found")</f>
        <v>21</v>
      </c>
      <c r="D1790" s="1">
        <f>IFERROR(VLOOKUP(MID(INDEX(Database_dermo!$A:$I, MATCH($O1790, Database_dermo!$A:$A, 0), 2),20,3),Notes!A$1:C$9,2,TRUE), "Not Found")</f>
        <v>1</v>
      </c>
      <c r="E1790" s="1">
        <f>IFERROR(INDEX(Database_dermo!$A:$I, MATCH($O1790, Database_dermo!$A:$A, 0), 3), "Not Found")</f>
        <v>26.22</v>
      </c>
      <c r="F1790" s="1" t="str">
        <f>IFERROR(INDEX(Database_repro!$A:$F, MATCH($O1790, Database_repro!$A:$A, 0), 3), "Not Found")</f>
        <v>M</v>
      </c>
      <c r="G1790" s="1">
        <f>IFERROR(INDEX(Database_repro!$A:$F, MATCH($O1790, Database_repro!$A:$A, 0), 4), "Not Found")</f>
        <v>2</v>
      </c>
      <c r="H1790" s="1" t="s">
        <v>16</v>
      </c>
      <c r="I1790" s="1" t="s">
        <v>16</v>
      </c>
      <c r="J1790" s="1" t="s">
        <v>16</v>
      </c>
      <c r="K1790" s="1" t="str">
        <f>IFERROR(INDEX(Database_repro!$A:$F, MATCH($O1790, Database_repro!$A:$A, 0), 5), "Not Found")</f>
        <v>Yes</v>
      </c>
      <c r="L1790" s="4" t="s">
        <v>17</v>
      </c>
      <c r="M1790" s="1" t="str">
        <f>IFERROR(IF(INDEX(Database_repro!$A:$F, MATCH($O1790, Database_repro!$A:$A, 0), 6)="N","No",IF(INDEX(Database_repro!$A:$F, MATCH($O1790, Database_repro!$A:$A, 0), 6)="Y","Yes","Z")), "Not Found")</f>
        <v>No</v>
      </c>
      <c r="N1790" s="25">
        <f>IFERROR(INDEX(Database_repro!$A:$P, MATCH($O1790, Database_repro!$A:$A, 0), 15), "Not Found")</f>
        <v>0</v>
      </c>
      <c r="O1790" t="s">
        <v>530</v>
      </c>
    </row>
    <row r="1791" spans="1:15" x14ac:dyDescent="0.2">
      <c r="A1791" s="24">
        <f>IFERROR(DATE(MID(INDEX(Database_dermo!$A:$I, MATCH($O1791, Database_dermo!$A:$A, 0), 2),8,4),MID(INDEX(Database_dermo!$A:$I, MATCH($O1791, Database_dermo!$A:$A, 0), 2),12,2),MID(INDEX(Database_dermo!$A:$I, MATCH($O1791, Database_dermo!$A:$A, 0), 2),14,2)), "Not Found")</f>
        <v>45755</v>
      </c>
      <c r="B1791" s="1" t="str">
        <f>IFERROR(VLOOKUP(MID(INDEX(Database_dermo!$A:$I, MATCH($O1791, Database_dermo!$A:$A, 0), 2),20,3),Notes!A$1:C$9,3,TRUE), "Not Found")</f>
        <v>LX-N</v>
      </c>
      <c r="C1791" s="1" t="str">
        <f>IFERROR(RIGHT(INDEX(Database_dermo!$A:$I, MATCH($O1791, Database_dermo!$A:$A, 0), 1),2), "Not Found")</f>
        <v>22</v>
      </c>
      <c r="D1791" s="1">
        <f>IFERROR(VLOOKUP(MID(INDEX(Database_dermo!$A:$I, MATCH($O1791, Database_dermo!$A:$A, 0), 2),20,3),Notes!A$1:C$9,2,TRUE), "Not Found")</f>
        <v>1</v>
      </c>
      <c r="E1791" s="1">
        <f>IFERROR(INDEX(Database_dermo!$A:$I, MATCH($O1791, Database_dermo!$A:$A, 0), 3), "Not Found")</f>
        <v>23.26</v>
      </c>
      <c r="F1791" s="1" t="str">
        <f>IFERROR(INDEX(Database_repro!$A:$F, MATCH($O1791, Database_repro!$A:$A, 0), 3), "Not Found")</f>
        <v>M</v>
      </c>
      <c r="G1791" s="1">
        <f>IFERROR(INDEX(Database_repro!$A:$F, MATCH($O1791, Database_repro!$A:$A, 0), 4), "Not Found")</f>
        <v>2</v>
      </c>
      <c r="H1791" s="1" t="s">
        <v>16</v>
      </c>
      <c r="I1791" s="1" t="s">
        <v>16</v>
      </c>
      <c r="J1791" s="1" t="s">
        <v>16</v>
      </c>
      <c r="K1791" s="1" t="str">
        <f>IFERROR(INDEX(Database_repro!$A:$F, MATCH($O1791, Database_repro!$A:$A, 0), 5), "Not Found")</f>
        <v>No</v>
      </c>
      <c r="L1791" s="4" t="s">
        <v>17</v>
      </c>
      <c r="M1791" s="1" t="str">
        <f>IFERROR(IF(INDEX(Database_repro!$A:$F, MATCH($O1791, Database_repro!$A:$A, 0), 6)="N","No",IF(INDEX(Database_repro!$A:$F, MATCH($O1791, Database_repro!$A:$A, 0), 6)="Y","Yes","Z")), "Not Found")</f>
        <v>No</v>
      </c>
      <c r="N1791" s="25">
        <f>IFERROR(INDEX(Database_repro!$A:$P, MATCH($O1791, Database_repro!$A:$A, 0), 15), "Not Found")</f>
        <v>0</v>
      </c>
      <c r="O1791" t="s">
        <v>531</v>
      </c>
    </row>
    <row r="1792" spans="1:15" x14ac:dyDescent="0.2">
      <c r="A1792" s="24">
        <f>IFERROR(DATE(MID(INDEX(Database_dermo!$A:$I, MATCH($O1792, Database_dermo!$A:$A, 0), 2),8,4),MID(INDEX(Database_dermo!$A:$I, MATCH($O1792, Database_dermo!$A:$A, 0), 2),12,2),MID(INDEX(Database_dermo!$A:$I, MATCH($O1792, Database_dermo!$A:$A, 0), 2),14,2)), "Not Found")</f>
        <v>45755</v>
      </c>
      <c r="B1792" s="1" t="str">
        <f>IFERROR(VLOOKUP(MID(INDEX(Database_dermo!$A:$I, MATCH($O1792, Database_dermo!$A:$A, 0), 2),20,3),Notes!A$1:C$9,3,TRUE), "Not Found")</f>
        <v>LX-N</v>
      </c>
      <c r="C1792" s="1" t="str">
        <f>IFERROR(RIGHT(INDEX(Database_dermo!$A:$I, MATCH($O1792, Database_dermo!$A:$A, 0), 1),2), "Not Found")</f>
        <v>23</v>
      </c>
      <c r="D1792" s="1">
        <f>IFERROR(VLOOKUP(MID(INDEX(Database_dermo!$A:$I, MATCH($O1792, Database_dermo!$A:$A, 0), 2),20,3),Notes!A$1:C$9,2,TRUE), "Not Found")</f>
        <v>1</v>
      </c>
      <c r="E1792" s="1">
        <f>IFERROR(INDEX(Database_dermo!$A:$I, MATCH($O1792, Database_dermo!$A:$A, 0), 3), "Not Found")</f>
        <v>26.55</v>
      </c>
      <c r="F1792" s="1" t="str">
        <f>IFERROR(INDEX(Database_repro!$A:$F, MATCH($O1792, Database_repro!$A:$A, 0), 3), "Not Found")</f>
        <v>M</v>
      </c>
      <c r="G1792" s="1">
        <f>IFERROR(INDEX(Database_repro!$A:$F, MATCH($O1792, Database_repro!$A:$A, 0), 4), "Not Found")</f>
        <v>2</v>
      </c>
      <c r="H1792" s="1" t="s">
        <v>16</v>
      </c>
      <c r="I1792" s="1" t="s">
        <v>16</v>
      </c>
      <c r="J1792" s="1" t="s">
        <v>16</v>
      </c>
      <c r="K1792" s="1" t="str">
        <f>IFERROR(INDEX(Database_repro!$A:$F, MATCH($O1792, Database_repro!$A:$A, 0), 5), "Not Found")</f>
        <v>No</v>
      </c>
      <c r="L1792" s="4" t="s">
        <v>17</v>
      </c>
      <c r="M1792" s="1" t="str">
        <f>IFERROR(IF(INDEX(Database_repro!$A:$F, MATCH($O1792, Database_repro!$A:$A, 0), 6)="N","No",IF(INDEX(Database_repro!$A:$F, MATCH($O1792, Database_repro!$A:$A, 0), 6)="Y","Yes","Z")), "Not Found")</f>
        <v>No</v>
      </c>
      <c r="N1792" s="25">
        <f>IFERROR(INDEX(Database_repro!$A:$P, MATCH($O1792, Database_repro!$A:$A, 0), 15), "Not Found")</f>
        <v>0</v>
      </c>
      <c r="O1792" t="s">
        <v>532</v>
      </c>
    </row>
    <row r="1793" spans="1:15" x14ac:dyDescent="0.2">
      <c r="A1793" s="24">
        <f>IFERROR(DATE(MID(INDEX(Database_dermo!$A:$I, MATCH($O1793, Database_dermo!$A:$A, 0), 2),8,4),MID(INDEX(Database_dermo!$A:$I, MATCH($O1793, Database_dermo!$A:$A, 0), 2),12,2),MID(INDEX(Database_dermo!$A:$I, MATCH($O1793, Database_dermo!$A:$A, 0), 2),14,2)), "Not Found")</f>
        <v>45755</v>
      </c>
      <c r="B1793" s="1" t="str">
        <f>IFERROR(VLOOKUP(MID(INDEX(Database_dermo!$A:$I, MATCH($O1793, Database_dermo!$A:$A, 0), 2),20,3),Notes!A$1:C$9,3,TRUE), "Not Found")</f>
        <v>LX-N</v>
      </c>
      <c r="C1793" s="1" t="str">
        <f>IFERROR(RIGHT(INDEX(Database_dermo!$A:$I, MATCH($O1793, Database_dermo!$A:$A, 0), 1),2), "Not Found")</f>
        <v>24</v>
      </c>
      <c r="D1793" s="1">
        <f>IFERROR(VLOOKUP(MID(INDEX(Database_dermo!$A:$I, MATCH($O1793, Database_dermo!$A:$A, 0), 2),20,3),Notes!A$1:C$9,2,TRUE), "Not Found")</f>
        <v>1</v>
      </c>
      <c r="E1793" s="1">
        <f>IFERROR(INDEX(Database_dermo!$A:$I, MATCH($O1793, Database_dermo!$A:$A, 0), 3), "Not Found")</f>
        <v>24.95</v>
      </c>
      <c r="F1793" s="1" t="str">
        <f>IFERROR(INDEX(Database_repro!$A:$F, MATCH($O1793, Database_repro!$A:$A, 0), 3), "Not Found")</f>
        <v>M</v>
      </c>
      <c r="G1793" s="1">
        <f>IFERROR(INDEX(Database_repro!$A:$F, MATCH($O1793, Database_repro!$A:$A, 0), 4), "Not Found")</f>
        <v>2</v>
      </c>
      <c r="H1793" s="1" t="s">
        <v>16</v>
      </c>
      <c r="I1793" s="1" t="s">
        <v>16</v>
      </c>
      <c r="J1793" s="1" t="s">
        <v>16</v>
      </c>
      <c r="K1793" s="1" t="str">
        <f>IFERROR(INDEX(Database_repro!$A:$F, MATCH($O1793, Database_repro!$A:$A, 0), 5), "Not Found")</f>
        <v>No</v>
      </c>
      <c r="L1793" s="4" t="s">
        <v>17</v>
      </c>
      <c r="M1793" s="1" t="str">
        <f>IFERROR(IF(INDEX(Database_repro!$A:$F, MATCH($O1793, Database_repro!$A:$A, 0), 6)="N","No",IF(INDEX(Database_repro!$A:$F, MATCH($O1793, Database_repro!$A:$A, 0), 6)="Y","Yes","Z")), "Not Found")</f>
        <v>No</v>
      </c>
      <c r="N1793" s="25">
        <f>IFERROR(INDEX(Database_repro!$A:$P, MATCH($O1793, Database_repro!$A:$A, 0), 15), "Not Found")</f>
        <v>0</v>
      </c>
      <c r="O1793" t="s">
        <v>533</v>
      </c>
    </row>
    <row r="1794" spans="1:15" x14ac:dyDescent="0.2">
      <c r="A1794" s="24">
        <f>IFERROR(DATE(MID(INDEX(Database_dermo!$A:$I, MATCH($O1794, Database_dermo!$A:$A, 0), 2),8,4),MID(INDEX(Database_dermo!$A:$I, MATCH($O1794, Database_dermo!$A:$A, 0), 2),12,2),MID(INDEX(Database_dermo!$A:$I, MATCH($O1794, Database_dermo!$A:$A, 0), 2),14,2)), "Not Found")</f>
        <v>45755</v>
      </c>
      <c r="B1794" s="1" t="str">
        <f>IFERROR(VLOOKUP(MID(INDEX(Database_dermo!$A:$I, MATCH($O1794, Database_dermo!$A:$A, 0), 2),20,3),Notes!A$1:C$9,3,TRUE), "Not Found")</f>
        <v>LX-N</v>
      </c>
      <c r="C1794" s="1" t="str">
        <f>IFERROR(RIGHT(INDEX(Database_dermo!$A:$I, MATCH($O1794, Database_dermo!$A:$A, 0), 1),2), "Not Found")</f>
        <v>25</v>
      </c>
      <c r="D1794" s="1">
        <f>IFERROR(VLOOKUP(MID(INDEX(Database_dermo!$A:$I, MATCH($O1794, Database_dermo!$A:$A, 0), 2),20,3),Notes!A$1:C$9,2,TRUE), "Not Found")</f>
        <v>1</v>
      </c>
      <c r="E1794" s="1">
        <f>IFERROR(INDEX(Database_dermo!$A:$I, MATCH($O1794, Database_dermo!$A:$A, 0), 3), "Not Found")</f>
        <v>14.44</v>
      </c>
      <c r="F1794" s="1" t="str">
        <f>IFERROR(INDEX(Database_repro!$A:$F, MATCH($O1794, Database_repro!$A:$A, 0), 3), "Not Found")</f>
        <v>Z</v>
      </c>
      <c r="G1794" s="1">
        <f>IFERROR(INDEX(Database_repro!$A:$F, MATCH($O1794, Database_repro!$A:$A, 0), 4), "Not Found")</f>
        <v>4</v>
      </c>
      <c r="H1794" s="1" t="s">
        <v>16</v>
      </c>
      <c r="I1794" s="1" t="s">
        <v>16</v>
      </c>
      <c r="J1794" s="1" t="s">
        <v>16</v>
      </c>
      <c r="K1794" s="1" t="str">
        <f>IFERROR(INDEX(Database_repro!$A:$F, MATCH($O1794, Database_repro!$A:$A, 0), 5), "Not Found")</f>
        <v>No</v>
      </c>
      <c r="L1794" s="4" t="s">
        <v>17</v>
      </c>
      <c r="M1794" s="1" t="str">
        <f>IFERROR(IF(INDEX(Database_repro!$A:$F, MATCH($O1794, Database_repro!$A:$A, 0), 6)="N","No",IF(INDEX(Database_repro!$A:$F, MATCH($O1794, Database_repro!$A:$A, 0), 6)="Y","Yes","Z")), "Not Found")</f>
        <v>No</v>
      </c>
      <c r="N1794" s="25">
        <f>IFERROR(INDEX(Database_repro!$A:$P, MATCH($O1794, Database_repro!$A:$A, 0), 15), "Not Found")</f>
        <v>0</v>
      </c>
      <c r="O1794" t="s">
        <v>534</v>
      </c>
    </row>
    <row r="1795" spans="1:15" x14ac:dyDescent="0.2">
      <c r="A1795" s="24">
        <f>IFERROR(DATE(MID(INDEX(Database_dermo!$A:$I, MATCH($O1795, Database_dermo!$A:$A, 0), 2),8,4),MID(INDEX(Database_dermo!$A:$I, MATCH($O1795, Database_dermo!$A:$A, 0), 2),12,2),MID(INDEX(Database_dermo!$A:$I, MATCH($O1795, Database_dermo!$A:$A, 0), 2),14,2)), "Not Found")</f>
        <v>45755</v>
      </c>
      <c r="B1795" s="1" t="str">
        <f>IFERROR(VLOOKUP(MID(INDEX(Database_dermo!$A:$I, MATCH($O1795, Database_dermo!$A:$A, 0), 2),20,3),Notes!A$1:C$9,3,TRUE), "Not Found")</f>
        <v>LX-N</v>
      </c>
      <c r="C1795" s="1" t="str">
        <f>IFERROR(RIGHT(INDEX(Database_dermo!$A:$I, MATCH($O1795, Database_dermo!$A:$A, 0), 1),2), "Not Found")</f>
        <v>26</v>
      </c>
      <c r="D1795" s="1">
        <f>IFERROR(VLOOKUP(MID(INDEX(Database_dermo!$A:$I, MATCH($O1795, Database_dermo!$A:$A, 0), 2),20,3),Notes!A$1:C$9,2,TRUE), "Not Found")</f>
        <v>1</v>
      </c>
      <c r="E1795" s="1">
        <f>IFERROR(INDEX(Database_dermo!$A:$I, MATCH($O1795, Database_dermo!$A:$A, 0), 3), "Not Found")</f>
        <v>19.05</v>
      </c>
      <c r="F1795" s="1" t="str">
        <f>IFERROR(INDEX(Database_repro!$A:$F, MATCH($O1795, Database_repro!$A:$A, 0), 3), "Not Found")</f>
        <v>M</v>
      </c>
      <c r="G1795" s="1">
        <f>IFERROR(INDEX(Database_repro!$A:$F, MATCH($O1795, Database_repro!$A:$A, 0), 4), "Not Found")</f>
        <v>2</v>
      </c>
      <c r="H1795" s="1" t="s">
        <v>16</v>
      </c>
      <c r="I1795" s="1" t="s">
        <v>16</v>
      </c>
      <c r="J1795" s="1" t="s">
        <v>16</v>
      </c>
      <c r="K1795" s="1" t="str">
        <f>IFERROR(INDEX(Database_repro!$A:$F, MATCH($O1795, Database_repro!$A:$A, 0), 5), "Not Found")</f>
        <v>No</v>
      </c>
      <c r="L1795" s="4" t="s">
        <v>17</v>
      </c>
      <c r="M1795" s="1" t="str">
        <f>IFERROR(IF(INDEX(Database_repro!$A:$F, MATCH($O1795, Database_repro!$A:$A, 0), 6)="N","No",IF(INDEX(Database_repro!$A:$F, MATCH($O1795, Database_repro!$A:$A, 0), 6)="Y","Yes","Z")), "Not Found")</f>
        <v>No</v>
      </c>
      <c r="N1795" s="25">
        <f>IFERROR(INDEX(Database_repro!$A:$P, MATCH($O1795, Database_repro!$A:$A, 0), 15), "Not Found")</f>
        <v>0</v>
      </c>
      <c r="O1795" t="s">
        <v>535</v>
      </c>
    </row>
    <row r="1796" spans="1:15" x14ac:dyDescent="0.2">
      <c r="A1796" s="24">
        <f>IFERROR(DATE(MID(INDEX(Database_dermo!$A:$I, MATCH($O1796, Database_dermo!$A:$A, 0), 2),8,4),MID(INDEX(Database_dermo!$A:$I, MATCH($O1796, Database_dermo!$A:$A, 0), 2),12,2),MID(INDEX(Database_dermo!$A:$I, MATCH($O1796, Database_dermo!$A:$A, 0), 2),14,2)), "Not Found")</f>
        <v>45755</v>
      </c>
      <c r="B1796" s="1" t="str">
        <f>IFERROR(VLOOKUP(MID(INDEX(Database_dermo!$A:$I, MATCH($O1796, Database_dermo!$A:$A, 0), 2),20,3),Notes!A$1:C$9,3,TRUE), "Not Found")</f>
        <v>LX-N</v>
      </c>
      <c r="C1796" s="1" t="str">
        <f>IFERROR(RIGHT(INDEX(Database_dermo!$A:$I, MATCH($O1796, Database_dermo!$A:$A, 0), 1),2), "Not Found")</f>
        <v>27</v>
      </c>
      <c r="D1796" s="1">
        <f>IFERROR(VLOOKUP(MID(INDEX(Database_dermo!$A:$I, MATCH($O1796, Database_dermo!$A:$A, 0), 2),20,3),Notes!A$1:C$9,2,TRUE), "Not Found")</f>
        <v>2</v>
      </c>
      <c r="E1796" s="1">
        <f>IFERROR(INDEX(Database_dermo!$A:$I, MATCH($O1796, Database_dermo!$A:$A, 0), 3), "Not Found")</f>
        <v>32.65</v>
      </c>
      <c r="F1796" s="1" t="str">
        <f>IFERROR(INDEX(Database_repro!$A:$F, MATCH($O1796, Database_repro!$A:$A, 0), 3), "Not Found")</f>
        <v>M</v>
      </c>
      <c r="G1796" s="1">
        <f>IFERROR(INDEX(Database_repro!$A:$F, MATCH($O1796, Database_repro!$A:$A, 0), 4), "Not Found")</f>
        <v>2</v>
      </c>
      <c r="H1796" s="1" t="s">
        <v>16</v>
      </c>
      <c r="I1796" s="1" t="s">
        <v>16</v>
      </c>
      <c r="J1796" s="1" t="s">
        <v>16</v>
      </c>
      <c r="K1796" s="1" t="str">
        <f>IFERROR(INDEX(Database_repro!$A:$F, MATCH($O1796, Database_repro!$A:$A, 0), 5), "Not Found")</f>
        <v>No</v>
      </c>
      <c r="L1796" s="4" t="s">
        <v>17</v>
      </c>
      <c r="M1796" s="1" t="str">
        <f>IFERROR(IF(INDEX(Database_repro!$A:$F, MATCH($O1796, Database_repro!$A:$A, 0), 6)="N","No",IF(INDEX(Database_repro!$A:$F, MATCH($O1796, Database_repro!$A:$A, 0), 6)="Y","Yes","Z")), "Not Found")</f>
        <v>No</v>
      </c>
      <c r="N1796" s="25">
        <f>IFERROR(INDEX(Database_repro!$A:$P, MATCH($O1796, Database_repro!$A:$A, 0), 15), "Not Found")</f>
        <v>0</v>
      </c>
      <c r="O1796" t="s">
        <v>536</v>
      </c>
    </row>
    <row r="1797" spans="1:15" x14ac:dyDescent="0.2">
      <c r="A1797" s="24">
        <f>IFERROR(DATE(MID(INDEX(Database_dermo!$A:$I, MATCH($O1797, Database_dermo!$A:$A, 0), 2),8,4),MID(INDEX(Database_dermo!$A:$I, MATCH($O1797, Database_dermo!$A:$A, 0), 2),12,2),MID(INDEX(Database_dermo!$A:$I, MATCH($O1797, Database_dermo!$A:$A, 0), 2),14,2)), "Not Found")</f>
        <v>45755</v>
      </c>
      <c r="B1797" s="1" t="str">
        <f>IFERROR(VLOOKUP(MID(INDEX(Database_dermo!$A:$I, MATCH($O1797, Database_dermo!$A:$A, 0), 2),20,3),Notes!A$1:C$9,3,TRUE), "Not Found")</f>
        <v>LX-N</v>
      </c>
      <c r="C1797" s="1" t="str">
        <f>IFERROR(RIGHT(INDEX(Database_dermo!$A:$I, MATCH($O1797, Database_dermo!$A:$A, 0), 1),2), "Not Found")</f>
        <v>28</v>
      </c>
      <c r="D1797" s="1">
        <f>IFERROR(VLOOKUP(MID(INDEX(Database_dermo!$A:$I, MATCH($O1797, Database_dermo!$A:$A, 0), 2),20,3),Notes!A$1:C$9,2,TRUE), "Not Found")</f>
        <v>2</v>
      </c>
      <c r="E1797" s="1">
        <f>IFERROR(INDEX(Database_dermo!$A:$I, MATCH($O1797, Database_dermo!$A:$A, 0), 3), "Not Found")</f>
        <v>30.42</v>
      </c>
      <c r="F1797" s="1" t="str">
        <f>IFERROR(INDEX(Database_repro!$A:$F, MATCH($O1797, Database_repro!$A:$A, 0), 3), "Not Found")</f>
        <v>F</v>
      </c>
      <c r="G1797" s="1">
        <f>IFERROR(INDEX(Database_repro!$A:$F, MATCH($O1797, Database_repro!$A:$A, 0), 4), "Not Found")</f>
        <v>2</v>
      </c>
      <c r="H1797" s="1" t="s">
        <v>16</v>
      </c>
      <c r="I1797" s="1" t="s">
        <v>16</v>
      </c>
      <c r="J1797" s="1" t="s">
        <v>16</v>
      </c>
      <c r="K1797" s="1" t="str">
        <f>IFERROR(INDEX(Database_repro!$A:$F, MATCH($O1797, Database_repro!$A:$A, 0), 5), "Not Found")</f>
        <v>No</v>
      </c>
      <c r="L1797" s="4" t="s">
        <v>17</v>
      </c>
      <c r="M1797" s="1" t="str">
        <f>IFERROR(IF(INDEX(Database_repro!$A:$F, MATCH($O1797, Database_repro!$A:$A, 0), 6)="N","No",IF(INDEX(Database_repro!$A:$F, MATCH($O1797, Database_repro!$A:$A, 0), 6)="Y","Yes","Z")), "Not Found")</f>
        <v>No</v>
      </c>
      <c r="N1797" s="25">
        <f>IFERROR(INDEX(Database_repro!$A:$P, MATCH($O1797, Database_repro!$A:$A, 0), 15), "Not Found")</f>
        <v>0</v>
      </c>
      <c r="O1797" t="s">
        <v>538</v>
      </c>
    </row>
    <row r="1798" spans="1:15" x14ac:dyDescent="0.2">
      <c r="A1798" s="24">
        <f>IFERROR(DATE(MID(INDEX(Database_dermo!$A:$I, MATCH($O1798, Database_dermo!$A:$A, 0), 2),8,4),MID(INDEX(Database_dermo!$A:$I, MATCH($O1798, Database_dermo!$A:$A, 0), 2),12,2),MID(INDEX(Database_dermo!$A:$I, MATCH($O1798, Database_dermo!$A:$A, 0), 2),14,2)), "Not Found")</f>
        <v>45755</v>
      </c>
      <c r="B1798" s="1" t="str">
        <f>IFERROR(VLOOKUP(MID(INDEX(Database_dermo!$A:$I, MATCH($O1798, Database_dermo!$A:$A, 0), 2),20,3),Notes!A$1:C$9,3,TRUE), "Not Found")</f>
        <v>LX-N</v>
      </c>
      <c r="C1798" s="1" t="str">
        <f>IFERROR(RIGHT(INDEX(Database_dermo!$A:$I, MATCH($O1798, Database_dermo!$A:$A, 0), 1),2), "Not Found")</f>
        <v>29</v>
      </c>
      <c r="D1798" s="1">
        <f>IFERROR(VLOOKUP(MID(INDEX(Database_dermo!$A:$I, MATCH($O1798, Database_dermo!$A:$A, 0), 2),20,3),Notes!A$1:C$9,2,TRUE), "Not Found")</f>
        <v>2</v>
      </c>
      <c r="E1798" s="1">
        <f>IFERROR(INDEX(Database_dermo!$A:$I, MATCH($O1798, Database_dermo!$A:$A, 0), 3), "Not Found")</f>
        <v>21.89</v>
      </c>
      <c r="F1798" s="1" t="str">
        <f>IFERROR(INDEX(Database_repro!$A:$F, MATCH($O1798, Database_repro!$A:$A, 0), 3), "Not Found")</f>
        <v>M</v>
      </c>
      <c r="G1798" s="1">
        <f>IFERROR(INDEX(Database_repro!$A:$F, MATCH($O1798, Database_repro!$A:$A, 0), 4), "Not Found")</f>
        <v>2</v>
      </c>
      <c r="H1798" s="1" t="s">
        <v>16</v>
      </c>
      <c r="I1798" s="1" t="s">
        <v>16</v>
      </c>
      <c r="J1798" s="1" t="s">
        <v>16</v>
      </c>
      <c r="K1798" s="1" t="str">
        <f>IFERROR(INDEX(Database_repro!$A:$F, MATCH($O1798, Database_repro!$A:$A, 0), 5), "Not Found")</f>
        <v>No</v>
      </c>
      <c r="L1798" s="4" t="s">
        <v>17</v>
      </c>
      <c r="M1798" s="1" t="str">
        <f>IFERROR(IF(INDEX(Database_repro!$A:$F, MATCH($O1798, Database_repro!$A:$A, 0), 6)="N","No",IF(INDEX(Database_repro!$A:$F, MATCH($O1798, Database_repro!$A:$A, 0), 6)="Y","Yes","Z")), "Not Found")</f>
        <v>No</v>
      </c>
      <c r="N1798" s="25">
        <f>IFERROR(INDEX(Database_repro!$A:$P, MATCH($O1798, Database_repro!$A:$A, 0), 15), "Not Found")</f>
        <v>0</v>
      </c>
      <c r="O1798" t="s">
        <v>539</v>
      </c>
    </row>
    <row r="1799" spans="1:15" x14ac:dyDescent="0.2">
      <c r="A1799" s="24">
        <f>IFERROR(DATE(MID(INDEX(Database_dermo!$A:$I, MATCH($O1799, Database_dermo!$A:$A, 0), 2),8,4),MID(INDEX(Database_dermo!$A:$I, MATCH($O1799, Database_dermo!$A:$A, 0), 2),12,2),MID(INDEX(Database_dermo!$A:$I, MATCH($O1799, Database_dermo!$A:$A, 0), 2),14,2)), "Not Found")</f>
        <v>45755</v>
      </c>
      <c r="B1799" s="1" t="str">
        <f>IFERROR(VLOOKUP(MID(INDEX(Database_dermo!$A:$I, MATCH($O1799, Database_dermo!$A:$A, 0), 2),20,3),Notes!A$1:C$9,3,TRUE), "Not Found")</f>
        <v>LX-N</v>
      </c>
      <c r="C1799" s="1" t="str">
        <f>IFERROR(RIGHT(INDEX(Database_dermo!$A:$I, MATCH($O1799, Database_dermo!$A:$A, 0), 1),2), "Not Found")</f>
        <v>30</v>
      </c>
      <c r="D1799" s="1">
        <f>IFERROR(VLOOKUP(MID(INDEX(Database_dermo!$A:$I, MATCH($O1799, Database_dermo!$A:$A, 0), 2),20,3),Notes!A$1:C$9,2,TRUE), "Not Found")</f>
        <v>2</v>
      </c>
      <c r="E1799" s="1">
        <f>IFERROR(INDEX(Database_dermo!$A:$I, MATCH($O1799, Database_dermo!$A:$A, 0), 3), "Not Found")</f>
        <v>30.18</v>
      </c>
      <c r="F1799" s="1" t="str">
        <f>IFERROR(INDEX(Database_repro!$A:$F, MATCH($O1799, Database_repro!$A:$A, 0), 3), "Not Found")</f>
        <v>M</v>
      </c>
      <c r="G1799" s="1">
        <f>IFERROR(INDEX(Database_repro!$A:$F, MATCH($O1799, Database_repro!$A:$A, 0), 4), "Not Found")</f>
        <v>2</v>
      </c>
      <c r="H1799" s="1" t="s">
        <v>16</v>
      </c>
      <c r="I1799" s="1" t="s">
        <v>16</v>
      </c>
      <c r="J1799" s="1" t="s">
        <v>16</v>
      </c>
      <c r="K1799" s="1" t="str">
        <f>IFERROR(INDEX(Database_repro!$A:$F, MATCH($O1799, Database_repro!$A:$A, 0), 5), "Not Found")</f>
        <v>No</v>
      </c>
      <c r="L1799" s="4" t="s">
        <v>17</v>
      </c>
      <c r="M1799" s="1" t="str">
        <f>IFERROR(IF(INDEX(Database_repro!$A:$F, MATCH($O1799, Database_repro!$A:$A, 0), 6)="N","No",IF(INDEX(Database_repro!$A:$F, MATCH($O1799, Database_repro!$A:$A, 0), 6)="Y","Yes","Z")), "Not Found")</f>
        <v>No</v>
      </c>
      <c r="N1799" s="25">
        <f>IFERROR(INDEX(Database_repro!$A:$P, MATCH($O1799, Database_repro!$A:$A, 0), 15), "Not Found")</f>
        <v>0</v>
      </c>
      <c r="O1799" t="s">
        <v>540</v>
      </c>
    </row>
    <row r="1800" spans="1:15" x14ac:dyDescent="0.2">
      <c r="A1800" s="24">
        <f>IFERROR(DATE(MID(INDEX(Database_dermo!$A:$I, MATCH($O1800, Database_dermo!$A:$A, 0), 2),8,4),MID(INDEX(Database_dermo!$A:$I, MATCH($O1800, Database_dermo!$A:$A, 0), 2),12,2),MID(INDEX(Database_dermo!$A:$I, MATCH($O1800, Database_dermo!$A:$A, 0), 2),14,2)), "Not Found")</f>
        <v>45755</v>
      </c>
      <c r="B1800" s="1" t="str">
        <f>IFERROR(VLOOKUP(MID(INDEX(Database_dermo!$A:$I, MATCH($O1800, Database_dermo!$A:$A, 0), 2),20,3),Notes!A$1:C$9,3,TRUE), "Not Found")</f>
        <v>LX-N</v>
      </c>
      <c r="C1800" s="1" t="str">
        <f>IFERROR(RIGHT(INDEX(Database_dermo!$A:$I, MATCH($O1800, Database_dermo!$A:$A, 0), 1),2), "Not Found")</f>
        <v>31</v>
      </c>
      <c r="D1800" s="1">
        <f>IFERROR(VLOOKUP(MID(INDEX(Database_dermo!$A:$I, MATCH($O1800, Database_dermo!$A:$A, 0), 2),20,3),Notes!A$1:C$9,2,TRUE), "Not Found")</f>
        <v>2</v>
      </c>
      <c r="E1800" s="1">
        <f>IFERROR(INDEX(Database_dermo!$A:$I, MATCH($O1800, Database_dermo!$A:$A, 0), 3), "Not Found")</f>
        <v>31.99</v>
      </c>
      <c r="F1800" s="1" t="str">
        <f>IFERROR(INDEX(Database_repro!$A:$F, MATCH($O1800, Database_repro!$A:$A, 0), 3), "Not Found")</f>
        <v>M</v>
      </c>
      <c r="G1800" s="1">
        <f>IFERROR(INDEX(Database_repro!$A:$F, MATCH($O1800, Database_repro!$A:$A, 0), 4), "Not Found")</f>
        <v>2</v>
      </c>
      <c r="H1800" s="1" t="s">
        <v>16</v>
      </c>
      <c r="I1800" s="1" t="s">
        <v>16</v>
      </c>
      <c r="J1800" s="1" t="s">
        <v>16</v>
      </c>
      <c r="K1800" s="1" t="str">
        <f>IFERROR(INDEX(Database_repro!$A:$F, MATCH($O1800, Database_repro!$A:$A, 0), 5), "Not Found")</f>
        <v>No</v>
      </c>
      <c r="L1800" s="4" t="s">
        <v>17</v>
      </c>
      <c r="M1800" s="1" t="str">
        <f>IFERROR(IF(INDEX(Database_repro!$A:$F, MATCH($O1800, Database_repro!$A:$A, 0), 6)="N","No",IF(INDEX(Database_repro!$A:$F, MATCH($O1800, Database_repro!$A:$A, 0), 6)="Y","Yes","Z")), "Not Found")</f>
        <v>No</v>
      </c>
      <c r="N1800" s="25">
        <f>IFERROR(INDEX(Database_repro!$A:$P, MATCH($O1800, Database_repro!$A:$A, 0), 15), "Not Found")</f>
        <v>0</v>
      </c>
      <c r="O1800" t="s">
        <v>541</v>
      </c>
    </row>
    <row r="1801" spans="1:15" x14ac:dyDescent="0.2">
      <c r="A1801" s="24">
        <f>IFERROR(DATE(MID(INDEX(Database_dermo!$A:$I, MATCH($O1801, Database_dermo!$A:$A, 0), 2),8,4),MID(INDEX(Database_dermo!$A:$I, MATCH($O1801, Database_dermo!$A:$A, 0), 2),12,2),MID(INDEX(Database_dermo!$A:$I, MATCH($O1801, Database_dermo!$A:$A, 0), 2),14,2)), "Not Found")</f>
        <v>45755</v>
      </c>
      <c r="B1801" s="1" t="str">
        <f>IFERROR(VLOOKUP(MID(INDEX(Database_dermo!$A:$I, MATCH($O1801, Database_dermo!$A:$A, 0), 2),20,3),Notes!A$1:C$9,3,TRUE), "Not Found")</f>
        <v>LX-N</v>
      </c>
      <c r="C1801" s="1" t="str">
        <f>IFERROR(RIGHT(INDEX(Database_dermo!$A:$I, MATCH($O1801, Database_dermo!$A:$A, 0), 1),2), "Not Found")</f>
        <v>32</v>
      </c>
      <c r="D1801" s="1">
        <f>IFERROR(VLOOKUP(MID(INDEX(Database_dermo!$A:$I, MATCH($O1801, Database_dermo!$A:$A, 0), 2),20,3),Notes!A$1:C$9,2,TRUE), "Not Found")</f>
        <v>2</v>
      </c>
      <c r="E1801" s="1">
        <f>IFERROR(INDEX(Database_dermo!$A:$I, MATCH($O1801, Database_dermo!$A:$A, 0), 3), "Not Found")</f>
        <v>32.43</v>
      </c>
      <c r="F1801" s="1" t="str">
        <f>IFERROR(INDEX(Database_repro!$A:$F, MATCH($O1801, Database_repro!$A:$A, 0), 3), "Not Found")</f>
        <v>M</v>
      </c>
      <c r="G1801" s="1">
        <f>IFERROR(INDEX(Database_repro!$A:$F, MATCH($O1801, Database_repro!$A:$A, 0), 4), "Not Found")</f>
        <v>2</v>
      </c>
      <c r="H1801" s="1" t="s">
        <v>16</v>
      </c>
      <c r="I1801" s="1" t="s">
        <v>16</v>
      </c>
      <c r="J1801" s="1" t="s">
        <v>16</v>
      </c>
      <c r="K1801" s="1" t="str">
        <f>IFERROR(INDEX(Database_repro!$A:$F, MATCH($O1801, Database_repro!$A:$A, 0), 5), "Not Found")</f>
        <v>Yes</v>
      </c>
      <c r="L1801" s="4" t="s">
        <v>17</v>
      </c>
      <c r="M1801" s="1" t="str">
        <f>IFERROR(IF(INDEX(Database_repro!$A:$F, MATCH($O1801, Database_repro!$A:$A, 0), 6)="N","No",IF(INDEX(Database_repro!$A:$F, MATCH($O1801, Database_repro!$A:$A, 0), 6)="Y","Yes","Z")), "Not Found")</f>
        <v>No</v>
      </c>
      <c r="N1801" s="25">
        <f>IFERROR(INDEX(Database_repro!$A:$P, MATCH($O1801, Database_repro!$A:$A, 0), 15), "Not Found")</f>
        <v>0</v>
      </c>
      <c r="O1801" t="s">
        <v>542</v>
      </c>
    </row>
    <row r="1802" spans="1:15" x14ac:dyDescent="0.2">
      <c r="A1802" s="24">
        <f>IFERROR(DATE(MID(INDEX(Database_dermo!$A:$I, MATCH($O1802, Database_dermo!$A:$A, 0), 2),8,4),MID(INDEX(Database_dermo!$A:$I, MATCH($O1802, Database_dermo!$A:$A, 0), 2),12,2),MID(INDEX(Database_dermo!$A:$I, MATCH($O1802, Database_dermo!$A:$A, 0), 2),14,2)), "Not Found")</f>
        <v>45755</v>
      </c>
      <c r="B1802" s="1" t="str">
        <f>IFERROR(VLOOKUP(MID(INDEX(Database_dermo!$A:$I, MATCH($O1802, Database_dermo!$A:$A, 0), 2),20,3),Notes!A$1:C$9,3,TRUE), "Not Found")</f>
        <v>LX-N</v>
      </c>
      <c r="C1802" s="1" t="str">
        <f>IFERROR(RIGHT(INDEX(Database_dermo!$A:$I, MATCH($O1802, Database_dermo!$A:$A, 0), 1),2), "Not Found")</f>
        <v>33</v>
      </c>
      <c r="D1802" s="1">
        <f>IFERROR(VLOOKUP(MID(INDEX(Database_dermo!$A:$I, MATCH($O1802, Database_dermo!$A:$A, 0), 2),20,3),Notes!A$1:C$9,2,TRUE), "Not Found")</f>
        <v>2</v>
      </c>
      <c r="E1802" s="1">
        <f>IFERROR(INDEX(Database_dermo!$A:$I, MATCH($O1802, Database_dermo!$A:$A, 0), 3), "Not Found")</f>
        <v>27.09</v>
      </c>
      <c r="F1802" s="1" t="str">
        <f>IFERROR(INDEX(Database_repro!$A:$F, MATCH($O1802, Database_repro!$A:$A, 0), 3), "Not Found")</f>
        <v>M</v>
      </c>
      <c r="G1802" s="1">
        <f>IFERROR(INDEX(Database_repro!$A:$F, MATCH($O1802, Database_repro!$A:$A, 0), 4), "Not Found")</f>
        <v>2</v>
      </c>
      <c r="H1802" s="1" t="s">
        <v>16</v>
      </c>
      <c r="I1802" s="1" t="s">
        <v>16</v>
      </c>
      <c r="J1802" s="1" t="s">
        <v>16</v>
      </c>
      <c r="K1802" s="1" t="str">
        <f>IFERROR(INDEX(Database_repro!$A:$F, MATCH($O1802, Database_repro!$A:$A, 0), 5), "Not Found")</f>
        <v>No</v>
      </c>
      <c r="L1802" s="4" t="s">
        <v>17</v>
      </c>
      <c r="M1802" s="1" t="str">
        <f>IFERROR(IF(INDEX(Database_repro!$A:$F, MATCH($O1802, Database_repro!$A:$A, 0), 6)="N","No",IF(INDEX(Database_repro!$A:$F, MATCH($O1802, Database_repro!$A:$A, 0), 6)="Y","Yes","Z")), "Not Found")</f>
        <v>No</v>
      </c>
      <c r="N1802" s="25">
        <f>IFERROR(INDEX(Database_repro!$A:$P, MATCH($O1802, Database_repro!$A:$A, 0), 15), "Not Found")</f>
        <v>0</v>
      </c>
      <c r="O1802" t="s">
        <v>543</v>
      </c>
    </row>
    <row r="1803" spans="1:15" x14ac:dyDescent="0.2">
      <c r="A1803" s="24">
        <f>IFERROR(DATE(MID(INDEX(Database_dermo!$A:$I, MATCH($O1803, Database_dermo!$A:$A, 0), 2),8,4),MID(INDEX(Database_dermo!$A:$I, MATCH($O1803, Database_dermo!$A:$A, 0), 2),12,2),MID(INDEX(Database_dermo!$A:$I, MATCH($O1803, Database_dermo!$A:$A, 0), 2),14,2)), "Not Found")</f>
        <v>45755</v>
      </c>
      <c r="B1803" s="1" t="str">
        <f>IFERROR(VLOOKUP(MID(INDEX(Database_dermo!$A:$I, MATCH($O1803, Database_dermo!$A:$A, 0), 2),20,3),Notes!A$1:C$9,3,TRUE), "Not Found")</f>
        <v>LX-N</v>
      </c>
      <c r="C1803" s="1" t="str">
        <f>IFERROR(RIGHT(INDEX(Database_dermo!$A:$I, MATCH($O1803, Database_dermo!$A:$A, 0), 1),2), "Not Found")</f>
        <v>34</v>
      </c>
      <c r="D1803" s="1">
        <f>IFERROR(VLOOKUP(MID(INDEX(Database_dermo!$A:$I, MATCH($O1803, Database_dermo!$A:$A, 0), 2),20,3),Notes!A$1:C$9,2,TRUE), "Not Found")</f>
        <v>2</v>
      </c>
      <c r="E1803" s="1">
        <f>IFERROR(INDEX(Database_dermo!$A:$I, MATCH($O1803, Database_dermo!$A:$A, 0), 3), "Not Found")</f>
        <v>33.82</v>
      </c>
      <c r="F1803" s="1" t="str">
        <f>IFERROR(INDEX(Database_repro!$A:$F, MATCH($O1803, Database_repro!$A:$A, 0), 3), "Not Found")</f>
        <v>M</v>
      </c>
      <c r="G1803" s="1">
        <f>IFERROR(INDEX(Database_repro!$A:$F, MATCH($O1803, Database_repro!$A:$A, 0), 4), "Not Found")</f>
        <v>2</v>
      </c>
      <c r="H1803" s="1" t="s">
        <v>16</v>
      </c>
      <c r="I1803" s="1" t="s">
        <v>16</v>
      </c>
      <c r="J1803" s="1" t="s">
        <v>16</v>
      </c>
      <c r="K1803" s="1" t="str">
        <f>IFERROR(INDEX(Database_repro!$A:$F, MATCH($O1803, Database_repro!$A:$A, 0), 5), "Not Found")</f>
        <v>No</v>
      </c>
      <c r="L1803" s="4" t="s">
        <v>17</v>
      </c>
      <c r="M1803" s="1" t="str">
        <f>IFERROR(IF(INDEX(Database_repro!$A:$F, MATCH($O1803, Database_repro!$A:$A, 0), 6)="N","No",IF(INDEX(Database_repro!$A:$F, MATCH($O1803, Database_repro!$A:$A, 0), 6)="Y","Yes","Z")), "Not Found")</f>
        <v>No</v>
      </c>
      <c r="N1803" s="25">
        <f>IFERROR(INDEX(Database_repro!$A:$P, MATCH($O1803, Database_repro!$A:$A, 0), 15), "Not Found")</f>
        <v>0</v>
      </c>
      <c r="O1803" t="s">
        <v>544</v>
      </c>
    </row>
    <row r="1804" spans="1:15" x14ac:dyDescent="0.2">
      <c r="A1804" s="24">
        <f>IFERROR(DATE(MID(INDEX(Database_dermo!$A:$I, MATCH($O1804, Database_dermo!$A:$A, 0), 2),8,4),MID(INDEX(Database_dermo!$A:$I, MATCH($O1804, Database_dermo!$A:$A, 0), 2),12,2),MID(INDEX(Database_dermo!$A:$I, MATCH($O1804, Database_dermo!$A:$A, 0), 2),14,2)), "Not Found")</f>
        <v>45755</v>
      </c>
      <c r="B1804" s="1" t="str">
        <f>IFERROR(VLOOKUP(MID(INDEX(Database_dermo!$A:$I, MATCH($O1804, Database_dermo!$A:$A, 0), 2),20,3),Notes!A$1:C$9,3,TRUE), "Not Found")</f>
        <v>LX-N</v>
      </c>
      <c r="C1804" s="1" t="str">
        <f>IFERROR(RIGHT(INDEX(Database_dermo!$A:$I, MATCH($O1804, Database_dermo!$A:$A, 0), 1),2), "Not Found")</f>
        <v>35</v>
      </c>
      <c r="D1804" s="1">
        <f>IFERROR(VLOOKUP(MID(INDEX(Database_dermo!$A:$I, MATCH($O1804, Database_dermo!$A:$A, 0), 2),20,3),Notes!A$1:C$9,2,TRUE), "Not Found")</f>
        <v>2</v>
      </c>
      <c r="E1804" s="1">
        <f>IFERROR(INDEX(Database_dermo!$A:$I, MATCH($O1804, Database_dermo!$A:$A, 0), 3), "Not Found")</f>
        <v>35.49</v>
      </c>
      <c r="F1804" s="1" t="str">
        <f>IFERROR(INDEX(Database_repro!$A:$F, MATCH($O1804, Database_repro!$A:$A, 0), 3), "Not Found")</f>
        <v>M</v>
      </c>
      <c r="G1804" s="1">
        <f>IFERROR(INDEX(Database_repro!$A:$F, MATCH($O1804, Database_repro!$A:$A, 0), 4), "Not Found")</f>
        <v>2</v>
      </c>
      <c r="H1804" s="1" t="s">
        <v>16</v>
      </c>
      <c r="I1804" s="1" t="s">
        <v>16</v>
      </c>
      <c r="J1804" s="1" t="s">
        <v>16</v>
      </c>
      <c r="K1804" s="1" t="str">
        <f>IFERROR(INDEX(Database_repro!$A:$F, MATCH($O1804, Database_repro!$A:$A, 0), 5), "Not Found")</f>
        <v>No</v>
      </c>
      <c r="L1804" s="4" t="s">
        <v>17</v>
      </c>
      <c r="M1804" s="1" t="str">
        <f>IFERROR(IF(INDEX(Database_repro!$A:$F, MATCH($O1804, Database_repro!$A:$A, 0), 6)="N","No",IF(INDEX(Database_repro!$A:$F, MATCH($O1804, Database_repro!$A:$A, 0), 6)="Y","Yes","Z")), "Not Found")</f>
        <v>No</v>
      </c>
      <c r="N1804" s="25">
        <f>IFERROR(INDEX(Database_repro!$A:$P, MATCH($O1804, Database_repro!$A:$A, 0), 15), "Not Found")</f>
        <v>0</v>
      </c>
      <c r="O1804" t="s">
        <v>545</v>
      </c>
    </row>
    <row r="1805" spans="1:15" x14ac:dyDescent="0.2">
      <c r="A1805" s="24">
        <f>IFERROR(DATE(MID(INDEX(Database_dermo!$A:$I, MATCH($O1805, Database_dermo!$A:$A, 0), 2),8,4),MID(INDEX(Database_dermo!$A:$I, MATCH($O1805, Database_dermo!$A:$A, 0), 2),12,2),MID(INDEX(Database_dermo!$A:$I, MATCH($O1805, Database_dermo!$A:$A, 0), 2),14,2)), "Not Found")</f>
        <v>45755</v>
      </c>
      <c r="B1805" s="1" t="str">
        <f>IFERROR(VLOOKUP(MID(INDEX(Database_dermo!$A:$I, MATCH($O1805, Database_dermo!$A:$A, 0), 2),20,3),Notes!A$1:C$9,3,TRUE), "Not Found")</f>
        <v>LX-N</v>
      </c>
      <c r="C1805" s="1" t="str">
        <f>IFERROR(RIGHT(INDEX(Database_dermo!$A:$I, MATCH($O1805, Database_dermo!$A:$A, 0), 1),2), "Not Found")</f>
        <v>36</v>
      </c>
      <c r="D1805" s="1">
        <f>IFERROR(VLOOKUP(MID(INDEX(Database_dermo!$A:$I, MATCH($O1805, Database_dermo!$A:$A, 0), 2),20,3),Notes!A$1:C$9,2,TRUE), "Not Found")</f>
        <v>2</v>
      </c>
      <c r="E1805" s="1">
        <f>IFERROR(INDEX(Database_dermo!$A:$I, MATCH($O1805, Database_dermo!$A:$A, 0), 3), "Not Found")</f>
        <v>25.89</v>
      </c>
      <c r="F1805" s="1" t="str">
        <f>IFERROR(INDEX(Database_repro!$A:$F, MATCH($O1805, Database_repro!$A:$A, 0), 3), "Not Found")</f>
        <v>M</v>
      </c>
      <c r="G1805" s="1">
        <f>IFERROR(INDEX(Database_repro!$A:$F, MATCH($O1805, Database_repro!$A:$A, 0), 4), "Not Found")</f>
        <v>2</v>
      </c>
      <c r="H1805" s="1" t="s">
        <v>16</v>
      </c>
      <c r="I1805" s="1" t="s">
        <v>16</v>
      </c>
      <c r="J1805" s="1" t="s">
        <v>16</v>
      </c>
      <c r="K1805" s="1" t="str">
        <f>IFERROR(INDEX(Database_repro!$A:$F, MATCH($O1805, Database_repro!$A:$A, 0), 5), "Not Found")</f>
        <v>No</v>
      </c>
      <c r="L1805" s="4" t="s">
        <v>17</v>
      </c>
      <c r="M1805" s="1" t="str">
        <f>IFERROR(IF(INDEX(Database_repro!$A:$F, MATCH($O1805, Database_repro!$A:$A, 0), 6)="N","No",IF(INDEX(Database_repro!$A:$F, MATCH($O1805, Database_repro!$A:$A, 0), 6)="Y","Yes","Z")), "Not Found")</f>
        <v>No</v>
      </c>
      <c r="N1805" s="25">
        <f>IFERROR(INDEX(Database_repro!$A:$P, MATCH($O1805, Database_repro!$A:$A, 0), 15), "Not Found")</f>
        <v>0</v>
      </c>
      <c r="O1805" t="s">
        <v>546</v>
      </c>
    </row>
    <row r="1806" spans="1:15" x14ac:dyDescent="0.2">
      <c r="A1806" s="24">
        <f>IFERROR(DATE(MID(INDEX(Database_dermo!$A:$I, MATCH($O1806, Database_dermo!$A:$A, 0), 2),8,4),MID(INDEX(Database_dermo!$A:$I, MATCH($O1806, Database_dermo!$A:$A, 0), 2),12,2),MID(INDEX(Database_dermo!$A:$I, MATCH($O1806, Database_dermo!$A:$A, 0), 2),14,2)), "Not Found")</f>
        <v>45755</v>
      </c>
      <c r="B1806" s="1" t="str">
        <f>IFERROR(VLOOKUP(MID(INDEX(Database_dermo!$A:$I, MATCH($O1806, Database_dermo!$A:$A, 0), 2),20,3),Notes!A$1:C$9,3,TRUE), "Not Found")</f>
        <v>LX-N</v>
      </c>
      <c r="C1806" s="1" t="str">
        <f>IFERROR(RIGHT(INDEX(Database_dermo!$A:$I, MATCH($O1806, Database_dermo!$A:$A, 0), 1),2), "Not Found")</f>
        <v>37</v>
      </c>
      <c r="D1806" s="1">
        <f>IFERROR(VLOOKUP(MID(INDEX(Database_dermo!$A:$I, MATCH($O1806, Database_dermo!$A:$A, 0), 2),20,3),Notes!A$1:C$9,2,TRUE), "Not Found")</f>
        <v>2</v>
      </c>
      <c r="E1806" s="1">
        <f>IFERROR(INDEX(Database_dermo!$A:$I, MATCH($O1806, Database_dermo!$A:$A, 0), 3), "Not Found")</f>
        <v>27.12</v>
      </c>
      <c r="F1806" s="1" t="str">
        <f>IFERROR(INDEX(Database_repro!$A:$F, MATCH($O1806, Database_repro!$A:$A, 0), 3), "Not Found")</f>
        <v>M</v>
      </c>
      <c r="G1806" s="1">
        <f>IFERROR(INDEX(Database_repro!$A:$F, MATCH($O1806, Database_repro!$A:$A, 0), 4), "Not Found")</f>
        <v>2</v>
      </c>
      <c r="H1806" s="1" t="s">
        <v>16</v>
      </c>
      <c r="I1806" s="1" t="s">
        <v>16</v>
      </c>
      <c r="J1806" s="1" t="s">
        <v>16</v>
      </c>
      <c r="K1806" s="1" t="str">
        <f>IFERROR(INDEX(Database_repro!$A:$F, MATCH($O1806, Database_repro!$A:$A, 0), 5), "Not Found")</f>
        <v>No</v>
      </c>
      <c r="L1806" s="4" t="s">
        <v>17</v>
      </c>
      <c r="M1806" s="1" t="str">
        <f>IFERROR(IF(INDEX(Database_repro!$A:$F, MATCH($O1806, Database_repro!$A:$A, 0), 6)="N","No",IF(INDEX(Database_repro!$A:$F, MATCH($O1806, Database_repro!$A:$A, 0), 6)="Y","Yes","Z")), "Not Found")</f>
        <v>No</v>
      </c>
      <c r="N1806" s="25">
        <f>IFERROR(INDEX(Database_repro!$A:$P, MATCH($O1806, Database_repro!$A:$A, 0), 15), "Not Found")</f>
        <v>0</v>
      </c>
      <c r="O1806" t="s">
        <v>547</v>
      </c>
    </row>
    <row r="1807" spans="1:15" x14ac:dyDescent="0.2">
      <c r="A1807" s="24">
        <f>IFERROR(DATE(MID(INDEX(Database_dermo!$A:$I, MATCH($O1807, Database_dermo!$A:$A, 0), 2),8,4),MID(INDEX(Database_dermo!$A:$I, MATCH($O1807, Database_dermo!$A:$A, 0), 2),12,2),MID(INDEX(Database_dermo!$A:$I, MATCH($O1807, Database_dermo!$A:$A, 0), 2),14,2)), "Not Found")</f>
        <v>45755</v>
      </c>
      <c r="B1807" s="1" t="str">
        <f>IFERROR(VLOOKUP(MID(INDEX(Database_dermo!$A:$I, MATCH($O1807, Database_dermo!$A:$A, 0), 2),20,3),Notes!A$1:C$9,3,TRUE), "Not Found")</f>
        <v>LX-N</v>
      </c>
      <c r="C1807" s="1" t="str">
        <f>IFERROR(RIGHT(INDEX(Database_dermo!$A:$I, MATCH($O1807, Database_dermo!$A:$A, 0), 1),2), "Not Found")</f>
        <v>38</v>
      </c>
      <c r="D1807" s="1">
        <f>IFERROR(VLOOKUP(MID(INDEX(Database_dermo!$A:$I, MATCH($O1807, Database_dermo!$A:$A, 0), 2),20,3),Notes!A$1:C$9,2,TRUE), "Not Found")</f>
        <v>2</v>
      </c>
      <c r="E1807" s="1">
        <f>IFERROR(INDEX(Database_dermo!$A:$I, MATCH($O1807, Database_dermo!$A:$A, 0), 3), "Not Found")</f>
        <v>39.020000000000003</v>
      </c>
      <c r="F1807" s="1" t="str">
        <f>IFERROR(INDEX(Database_repro!$A:$F, MATCH($O1807, Database_repro!$A:$A, 0), 3), "Not Found")</f>
        <v>M</v>
      </c>
      <c r="G1807" s="1">
        <f>IFERROR(INDEX(Database_repro!$A:$F, MATCH($O1807, Database_repro!$A:$A, 0), 4), "Not Found")</f>
        <v>2</v>
      </c>
      <c r="H1807" s="1" t="s">
        <v>16</v>
      </c>
      <c r="I1807" s="1" t="s">
        <v>16</v>
      </c>
      <c r="J1807" s="1" t="s">
        <v>16</v>
      </c>
      <c r="K1807" s="1" t="str">
        <f>IFERROR(INDEX(Database_repro!$A:$F, MATCH($O1807, Database_repro!$A:$A, 0), 5), "Not Found")</f>
        <v>No</v>
      </c>
      <c r="L1807" s="4" t="s">
        <v>17</v>
      </c>
      <c r="M1807" s="1" t="str">
        <f>IFERROR(IF(INDEX(Database_repro!$A:$F, MATCH($O1807, Database_repro!$A:$A, 0), 6)="N","No",IF(INDEX(Database_repro!$A:$F, MATCH($O1807, Database_repro!$A:$A, 0), 6)="Y","Yes","Z")), "Not Found")</f>
        <v>No</v>
      </c>
      <c r="N1807" s="25">
        <f>IFERROR(INDEX(Database_repro!$A:$P, MATCH($O1807, Database_repro!$A:$A, 0), 15), "Not Found")</f>
        <v>0</v>
      </c>
      <c r="O1807" t="s">
        <v>548</v>
      </c>
    </row>
    <row r="1808" spans="1:15" x14ac:dyDescent="0.2">
      <c r="A1808" s="24">
        <f>IFERROR(DATE(MID(INDEX(Database_dermo!$A:$I, MATCH($O1808, Database_dermo!$A:$A, 0), 2),8,4),MID(INDEX(Database_dermo!$A:$I, MATCH($O1808, Database_dermo!$A:$A, 0), 2),12,2),MID(INDEX(Database_dermo!$A:$I, MATCH($O1808, Database_dermo!$A:$A, 0), 2),14,2)), "Not Found")</f>
        <v>45755</v>
      </c>
      <c r="B1808" s="1" t="str">
        <f>IFERROR(VLOOKUP(MID(INDEX(Database_dermo!$A:$I, MATCH($O1808, Database_dermo!$A:$A, 0), 2),20,3),Notes!A$1:C$9,3,TRUE), "Not Found")</f>
        <v>LX-N</v>
      </c>
      <c r="C1808" s="1" t="str">
        <f>IFERROR(RIGHT(INDEX(Database_dermo!$A:$I, MATCH($O1808, Database_dermo!$A:$A, 0), 1),2), "Not Found")</f>
        <v>39</v>
      </c>
      <c r="D1808" s="1">
        <f>IFERROR(VLOOKUP(MID(INDEX(Database_dermo!$A:$I, MATCH($O1808, Database_dermo!$A:$A, 0), 2),20,3),Notes!A$1:C$9,2,TRUE), "Not Found")</f>
        <v>2</v>
      </c>
      <c r="E1808" s="1">
        <f>IFERROR(INDEX(Database_dermo!$A:$I, MATCH($O1808, Database_dermo!$A:$A, 0), 3), "Not Found")</f>
        <v>22.16</v>
      </c>
      <c r="F1808" s="1" t="str">
        <f>IFERROR(INDEX(Database_repro!$A:$F, MATCH($O1808, Database_repro!$A:$A, 0), 3), "Not Found")</f>
        <v>M</v>
      </c>
      <c r="G1808" s="1">
        <f>IFERROR(INDEX(Database_repro!$A:$F, MATCH($O1808, Database_repro!$A:$A, 0), 4), "Not Found")</f>
        <v>2</v>
      </c>
      <c r="H1808" s="1" t="s">
        <v>16</v>
      </c>
      <c r="I1808" s="1" t="s">
        <v>16</v>
      </c>
      <c r="J1808" s="1" t="s">
        <v>16</v>
      </c>
      <c r="K1808" s="1" t="str">
        <f>IFERROR(INDEX(Database_repro!$A:$F, MATCH($O1808, Database_repro!$A:$A, 0), 5), "Not Found")</f>
        <v>No</v>
      </c>
      <c r="L1808" s="4" t="s">
        <v>17</v>
      </c>
      <c r="M1808" s="1" t="str">
        <f>IFERROR(IF(INDEX(Database_repro!$A:$F, MATCH($O1808, Database_repro!$A:$A, 0), 6)="N","No",IF(INDEX(Database_repro!$A:$F, MATCH($O1808, Database_repro!$A:$A, 0), 6)="Y","Yes","Z")), "Not Found")</f>
        <v>No</v>
      </c>
      <c r="N1808" s="25">
        <f>IFERROR(INDEX(Database_repro!$A:$P, MATCH($O1808, Database_repro!$A:$A, 0), 15), "Not Found")</f>
        <v>0</v>
      </c>
      <c r="O1808" t="s">
        <v>549</v>
      </c>
    </row>
    <row r="1809" spans="1:15" x14ac:dyDescent="0.2">
      <c r="A1809" s="24">
        <f>IFERROR(DATE(MID(INDEX(Database_dermo!$A:$I, MATCH($O1809, Database_dermo!$A:$A, 0), 2),8,4),MID(INDEX(Database_dermo!$A:$I, MATCH($O1809, Database_dermo!$A:$A, 0), 2),12,2),MID(INDEX(Database_dermo!$A:$I, MATCH($O1809, Database_dermo!$A:$A, 0), 2),14,2)), "Not Found")</f>
        <v>45755</v>
      </c>
      <c r="B1809" s="1" t="str">
        <f>IFERROR(VLOOKUP(MID(INDEX(Database_dermo!$A:$I, MATCH($O1809, Database_dermo!$A:$A, 0), 2),20,3),Notes!A$1:C$9,3,TRUE), "Not Found")</f>
        <v>LX-N</v>
      </c>
      <c r="C1809" s="1" t="str">
        <f>IFERROR(RIGHT(INDEX(Database_dermo!$A:$I, MATCH($O1809, Database_dermo!$A:$A, 0), 1),2), "Not Found")</f>
        <v>40</v>
      </c>
      <c r="D1809" s="1">
        <f>IFERROR(VLOOKUP(MID(INDEX(Database_dermo!$A:$I, MATCH($O1809, Database_dermo!$A:$A, 0), 2),20,3),Notes!A$1:C$9,2,TRUE), "Not Found")</f>
        <v>3</v>
      </c>
      <c r="E1809" s="1">
        <f>IFERROR(INDEX(Database_dermo!$A:$I, MATCH($O1809, Database_dermo!$A:$A, 0), 3), "Not Found")</f>
        <v>29.41</v>
      </c>
      <c r="F1809" s="1" t="str">
        <f>IFERROR(INDEX(Database_repro!$A:$F, MATCH($O1809, Database_repro!$A:$A, 0), 3), "Not Found")</f>
        <v>M</v>
      </c>
      <c r="G1809" s="1">
        <f>IFERROR(INDEX(Database_repro!$A:$F, MATCH($O1809, Database_repro!$A:$A, 0), 4), "Not Found")</f>
        <v>2</v>
      </c>
      <c r="H1809" s="1" t="s">
        <v>16</v>
      </c>
      <c r="I1809" s="1" t="s">
        <v>16</v>
      </c>
      <c r="J1809" s="1" t="s">
        <v>16</v>
      </c>
      <c r="K1809" s="1" t="str">
        <f>IFERROR(INDEX(Database_repro!$A:$F, MATCH($O1809, Database_repro!$A:$A, 0), 5), "Not Found")</f>
        <v>No</v>
      </c>
      <c r="L1809" s="4" t="s">
        <v>17</v>
      </c>
      <c r="M1809" s="1" t="str">
        <f>IFERROR(IF(INDEX(Database_repro!$A:$F, MATCH($O1809, Database_repro!$A:$A, 0), 6)="N","No",IF(INDEX(Database_repro!$A:$F, MATCH($O1809, Database_repro!$A:$A, 0), 6)="Y","Yes","Z")), "Not Found")</f>
        <v>No</v>
      </c>
      <c r="N1809" s="25">
        <f>IFERROR(INDEX(Database_repro!$A:$P, MATCH($O1809, Database_repro!$A:$A, 0), 15), "Not Found")</f>
        <v>0</v>
      </c>
      <c r="O1809" t="s">
        <v>550</v>
      </c>
    </row>
    <row r="1810" spans="1:15" x14ac:dyDescent="0.2">
      <c r="A1810" s="24">
        <f>IFERROR(DATE(MID(INDEX(Database_dermo!$A:$I, MATCH($O1810, Database_dermo!$A:$A, 0), 2),8,4),MID(INDEX(Database_dermo!$A:$I, MATCH($O1810, Database_dermo!$A:$A, 0), 2),12,2),MID(INDEX(Database_dermo!$A:$I, MATCH($O1810, Database_dermo!$A:$A, 0), 2),14,2)), "Not Found")</f>
        <v>45755</v>
      </c>
      <c r="B1810" s="1" t="str">
        <f>IFERROR(VLOOKUP(MID(INDEX(Database_dermo!$A:$I, MATCH($O1810, Database_dermo!$A:$A, 0), 2),20,3),Notes!A$1:C$9,3,TRUE), "Not Found")</f>
        <v>LX-N</v>
      </c>
      <c r="C1810" s="1" t="str">
        <f>IFERROR(RIGHT(INDEX(Database_dermo!$A:$I, MATCH($O1810, Database_dermo!$A:$A, 0), 1),2), "Not Found")</f>
        <v>41</v>
      </c>
      <c r="D1810" s="1">
        <f>IFERROR(VLOOKUP(MID(INDEX(Database_dermo!$A:$I, MATCH($O1810, Database_dermo!$A:$A, 0), 2),20,3),Notes!A$1:C$9,2,TRUE), "Not Found")</f>
        <v>3</v>
      </c>
      <c r="E1810" s="1">
        <f>IFERROR(INDEX(Database_dermo!$A:$I, MATCH($O1810, Database_dermo!$A:$A, 0), 3), "Not Found")</f>
        <v>19.86</v>
      </c>
      <c r="F1810" s="1" t="str">
        <f>IFERROR(INDEX(Database_repro!$A:$F, MATCH($O1810, Database_repro!$A:$A, 0), 3), "Not Found")</f>
        <v>Z</v>
      </c>
      <c r="G1810" s="1">
        <f>IFERROR(INDEX(Database_repro!$A:$F, MATCH($O1810, Database_repro!$A:$A, 0), 4), "Not Found")</f>
        <v>4</v>
      </c>
      <c r="H1810" s="1" t="s">
        <v>16</v>
      </c>
      <c r="I1810" s="1" t="s">
        <v>16</v>
      </c>
      <c r="J1810" s="1" t="s">
        <v>16</v>
      </c>
      <c r="K1810" s="1" t="str">
        <f>IFERROR(INDEX(Database_repro!$A:$F, MATCH($O1810, Database_repro!$A:$A, 0), 5), "Not Found")</f>
        <v>Yes</v>
      </c>
      <c r="L1810" s="4" t="s">
        <v>17</v>
      </c>
      <c r="M1810" s="1" t="str">
        <f>IFERROR(IF(INDEX(Database_repro!$A:$F, MATCH($O1810, Database_repro!$A:$A, 0), 6)="N","No",IF(INDEX(Database_repro!$A:$F, MATCH($O1810, Database_repro!$A:$A, 0), 6)="Y","Yes","Z")), "Not Found")</f>
        <v>No</v>
      </c>
      <c r="N1810" s="25">
        <f>IFERROR(INDEX(Database_repro!$A:$P, MATCH($O1810, Database_repro!$A:$A, 0), 15), "Not Found")</f>
        <v>0</v>
      </c>
      <c r="O1810" t="s">
        <v>552</v>
      </c>
    </row>
    <row r="1811" spans="1:15" x14ac:dyDescent="0.2">
      <c r="A1811" s="24">
        <f>IFERROR(DATE(MID(INDEX(Database_dermo!$A:$I, MATCH($O1811, Database_dermo!$A:$A, 0), 2),8,4),MID(INDEX(Database_dermo!$A:$I, MATCH($O1811, Database_dermo!$A:$A, 0), 2),12,2),MID(INDEX(Database_dermo!$A:$I, MATCH($O1811, Database_dermo!$A:$A, 0), 2),14,2)), "Not Found")</f>
        <v>45755</v>
      </c>
      <c r="B1811" s="1" t="str">
        <f>IFERROR(VLOOKUP(MID(INDEX(Database_dermo!$A:$I, MATCH($O1811, Database_dermo!$A:$A, 0), 2),20,3),Notes!A$1:C$9,3,TRUE), "Not Found")</f>
        <v>LX-N</v>
      </c>
      <c r="C1811" s="1" t="str">
        <f>IFERROR(RIGHT(INDEX(Database_dermo!$A:$I, MATCH($O1811, Database_dermo!$A:$A, 0), 1),2), "Not Found")</f>
        <v>42</v>
      </c>
      <c r="D1811" s="1">
        <f>IFERROR(VLOOKUP(MID(INDEX(Database_dermo!$A:$I, MATCH($O1811, Database_dermo!$A:$A, 0), 2),20,3),Notes!A$1:C$9,2,TRUE), "Not Found")</f>
        <v>3</v>
      </c>
      <c r="E1811" s="1">
        <f>IFERROR(INDEX(Database_dermo!$A:$I, MATCH($O1811, Database_dermo!$A:$A, 0), 3), "Not Found")</f>
        <v>25.42</v>
      </c>
      <c r="F1811" s="1" t="str">
        <f>IFERROR(INDEX(Database_repro!$A:$F, MATCH($O1811, Database_repro!$A:$A, 0), 3), "Not Found")</f>
        <v>M</v>
      </c>
      <c r="G1811" s="1">
        <f>IFERROR(INDEX(Database_repro!$A:$F, MATCH($O1811, Database_repro!$A:$A, 0), 4), "Not Found")</f>
        <v>2</v>
      </c>
      <c r="H1811" s="1" t="s">
        <v>16</v>
      </c>
      <c r="I1811" s="1" t="s">
        <v>16</v>
      </c>
      <c r="J1811" s="1" t="s">
        <v>16</v>
      </c>
      <c r="K1811" s="1" t="str">
        <f>IFERROR(INDEX(Database_repro!$A:$F, MATCH($O1811, Database_repro!$A:$A, 0), 5), "Not Found")</f>
        <v>No</v>
      </c>
      <c r="L1811" s="4" t="s">
        <v>17</v>
      </c>
      <c r="M1811" s="1" t="str">
        <f>IFERROR(IF(INDEX(Database_repro!$A:$F, MATCH($O1811, Database_repro!$A:$A, 0), 6)="N","No",IF(INDEX(Database_repro!$A:$F, MATCH($O1811, Database_repro!$A:$A, 0), 6)="Y","Yes","Z")), "Not Found")</f>
        <v>No</v>
      </c>
      <c r="N1811" s="25">
        <f>IFERROR(INDEX(Database_repro!$A:$P, MATCH($O1811, Database_repro!$A:$A, 0), 15), "Not Found")</f>
        <v>0</v>
      </c>
      <c r="O1811" t="s">
        <v>553</v>
      </c>
    </row>
    <row r="1812" spans="1:15" x14ac:dyDescent="0.2">
      <c r="A1812" s="24">
        <f>IFERROR(DATE(MID(INDEX(Database_dermo!$A:$I, MATCH($O1812, Database_dermo!$A:$A, 0), 2),8,4),MID(INDEX(Database_dermo!$A:$I, MATCH($O1812, Database_dermo!$A:$A, 0), 2),12,2),MID(INDEX(Database_dermo!$A:$I, MATCH($O1812, Database_dermo!$A:$A, 0), 2),14,2)), "Not Found")</f>
        <v>45755</v>
      </c>
      <c r="B1812" s="1" t="str">
        <f>IFERROR(VLOOKUP(MID(INDEX(Database_dermo!$A:$I, MATCH($O1812, Database_dermo!$A:$A, 0), 2),20,3),Notes!A$1:C$9,3,TRUE), "Not Found")</f>
        <v>LX-N</v>
      </c>
      <c r="C1812" s="1" t="str">
        <f>IFERROR(RIGHT(INDEX(Database_dermo!$A:$I, MATCH($O1812, Database_dermo!$A:$A, 0), 1),2), "Not Found")</f>
        <v>43</v>
      </c>
      <c r="D1812" s="1">
        <f>IFERROR(VLOOKUP(MID(INDEX(Database_dermo!$A:$I, MATCH($O1812, Database_dermo!$A:$A, 0), 2),20,3),Notes!A$1:C$9,2,TRUE), "Not Found")</f>
        <v>3</v>
      </c>
      <c r="E1812" s="1">
        <f>IFERROR(INDEX(Database_dermo!$A:$I, MATCH($O1812, Database_dermo!$A:$A, 0), 3), "Not Found")</f>
        <v>26.89</v>
      </c>
      <c r="F1812" s="1" t="str">
        <f>IFERROR(INDEX(Database_repro!$A:$F, MATCH($O1812, Database_repro!$A:$A, 0), 3), "Not Found")</f>
        <v>M</v>
      </c>
      <c r="G1812" s="1">
        <f>IFERROR(INDEX(Database_repro!$A:$F, MATCH($O1812, Database_repro!$A:$A, 0), 4), "Not Found")</f>
        <v>2</v>
      </c>
      <c r="H1812" s="1" t="s">
        <v>16</v>
      </c>
      <c r="I1812" s="1" t="s">
        <v>16</v>
      </c>
      <c r="J1812" s="1" t="s">
        <v>16</v>
      </c>
      <c r="K1812" s="1" t="str">
        <f>IFERROR(INDEX(Database_repro!$A:$F, MATCH($O1812, Database_repro!$A:$A, 0), 5), "Not Found")</f>
        <v>No</v>
      </c>
      <c r="L1812" s="4" t="s">
        <v>17</v>
      </c>
      <c r="M1812" s="1" t="str">
        <f>IFERROR(IF(INDEX(Database_repro!$A:$F, MATCH($O1812, Database_repro!$A:$A, 0), 6)="N","No",IF(INDEX(Database_repro!$A:$F, MATCH($O1812, Database_repro!$A:$A, 0), 6)="Y","Yes","Z")), "Not Found")</f>
        <v>No</v>
      </c>
      <c r="N1812" s="25">
        <f>IFERROR(INDEX(Database_repro!$A:$P, MATCH($O1812, Database_repro!$A:$A, 0), 15), "Not Found")</f>
        <v>0</v>
      </c>
      <c r="O1812" t="s">
        <v>554</v>
      </c>
    </row>
    <row r="1813" spans="1:15" x14ac:dyDescent="0.2">
      <c r="A1813" s="24">
        <f>IFERROR(DATE(MID(INDEX(Database_dermo!$A:$I, MATCH($O1813, Database_dermo!$A:$A, 0), 2),8,4),MID(INDEX(Database_dermo!$A:$I, MATCH($O1813, Database_dermo!$A:$A, 0), 2),12,2),MID(INDEX(Database_dermo!$A:$I, MATCH($O1813, Database_dermo!$A:$A, 0), 2),14,2)), "Not Found")</f>
        <v>45755</v>
      </c>
      <c r="B1813" s="1" t="str">
        <f>IFERROR(VLOOKUP(MID(INDEX(Database_dermo!$A:$I, MATCH($O1813, Database_dermo!$A:$A, 0), 2),20,3),Notes!A$1:C$9,3,TRUE), "Not Found")</f>
        <v>LX-N</v>
      </c>
      <c r="C1813" s="1" t="str">
        <f>IFERROR(RIGHT(INDEX(Database_dermo!$A:$I, MATCH($O1813, Database_dermo!$A:$A, 0), 1),2), "Not Found")</f>
        <v>44</v>
      </c>
      <c r="D1813" s="1">
        <f>IFERROR(VLOOKUP(MID(INDEX(Database_dermo!$A:$I, MATCH($O1813, Database_dermo!$A:$A, 0), 2),20,3),Notes!A$1:C$9,2,TRUE), "Not Found")</f>
        <v>3</v>
      </c>
      <c r="E1813" s="1">
        <f>IFERROR(INDEX(Database_dermo!$A:$I, MATCH($O1813, Database_dermo!$A:$A, 0), 3), "Not Found")</f>
        <v>29.54</v>
      </c>
      <c r="F1813" s="1" t="str">
        <f>IFERROR(INDEX(Database_repro!$A:$F, MATCH($O1813, Database_repro!$A:$A, 0), 3), "Not Found")</f>
        <v>M</v>
      </c>
      <c r="G1813" s="1">
        <f>IFERROR(INDEX(Database_repro!$A:$F, MATCH($O1813, Database_repro!$A:$A, 0), 4), "Not Found")</f>
        <v>2</v>
      </c>
      <c r="H1813" s="1" t="s">
        <v>16</v>
      </c>
      <c r="I1813" s="1" t="s">
        <v>16</v>
      </c>
      <c r="J1813" s="1" t="s">
        <v>16</v>
      </c>
      <c r="K1813" s="1" t="str">
        <f>IFERROR(INDEX(Database_repro!$A:$F, MATCH($O1813, Database_repro!$A:$A, 0), 5), "Not Found")</f>
        <v>No</v>
      </c>
      <c r="L1813" s="4" t="s">
        <v>17</v>
      </c>
      <c r="M1813" s="1" t="str">
        <f>IFERROR(IF(INDEX(Database_repro!$A:$F, MATCH($O1813, Database_repro!$A:$A, 0), 6)="N","No",IF(INDEX(Database_repro!$A:$F, MATCH($O1813, Database_repro!$A:$A, 0), 6)="Y","Yes","Z")), "Not Found")</f>
        <v>No</v>
      </c>
      <c r="N1813" s="25">
        <f>IFERROR(INDEX(Database_repro!$A:$P, MATCH($O1813, Database_repro!$A:$A, 0), 15), "Not Found")</f>
        <v>0</v>
      </c>
      <c r="O1813" t="s">
        <v>555</v>
      </c>
    </row>
    <row r="1814" spans="1:15" x14ac:dyDescent="0.2">
      <c r="A1814" s="24">
        <f>IFERROR(DATE(MID(INDEX(Database_dermo!$A:$I, MATCH($O1814, Database_dermo!$A:$A, 0), 2),8,4),MID(INDEX(Database_dermo!$A:$I, MATCH($O1814, Database_dermo!$A:$A, 0), 2),12,2),MID(INDEX(Database_dermo!$A:$I, MATCH($O1814, Database_dermo!$A:$A, 0), 2),14,2)), "Not Found")</f>
        <v>45755</v>
      </c>
      <c r="B1814" s="1" t="str">
        <f>IFERROR(VLOOKUP(MID(INDEX(Database_dermo!$A:$I, MATCH($O1814, Database_dermo!$A:$A, 0), 2),20,3),Notes!A$1:C$9,3,TRUE), "Not Found")</f>
        <v>LX-N</v>
      </c>
      <c r="C1814" s="1" t="str">
        <f>IFERROR(RIGHT(INDEX(Database_dermo!$A:$I, MATCH($O1814, Database_dermo!$A:$A, 0), 1),2), "Not Found")</f>
        <v>45</v>
      </c>
      <c r="D1814" s="1">
        <f>IFERROR(VLOOKUP(MID(INDEX(Database_dermo!$A:$I, MATCH($O1814, Database_dermo!$A:$A, 0), 2),20,3),Notes!A$1:C$9,2,TRUE), "Not Found")</f>
        <v>3</v>
      </c>
      <c r="E1814" s="1">
        <f>IFERROR(INDEX(Database_dermo!$A:$I, MATCH($O1814, Database_dermo!$A:$A, 0), 3), "Not Found")</f>
        <v>37.479999999999997</v>
      </c>
      <c r="F1814" s="1" t="str">
        <f>IFERROR(INDEX(Database_repro!$A:$F, MATCH($O1814, Database_repro!$A:$A, 0), 3), "Not Found")</f>
        <v>M</v>
      </c>
      <c r="G1814" s="1">
        <f>IFERROR(INDEX(Database_repro!$A:$F, MATCH($O1814, Database_repro!$A:$A, 0), 4), "Not Found")</f>
        <v>2</v>
      </c>
      <c r="H1814" s="1" t="s">
        <v>16</v>
      </c>
      <c r="I1814" s="1" t="s">
        <v>16</v>
      </c>
      <c r="J1814" s="1" t="s">
        <v>16</v>
      </c>
      <c r="K1814" s="1" t="str">
        <f>IFERROR(INDEX(Database_repro!$A:$F, MATCH($O1814, Database_repro!$A:$A, 0), 5), "Not Found")</f>
        <v>Yes</v>
      </c>
      <c r="L1814" s="4" t="s">
        <v>17</v>
      </c>
      <c r="M1814" s="1" t="str">
        <f>IFERROR(IF(INDEX(Database_repro!$A:$F, MATCH($O1814, Database_repro!$A:$A, 0), 6)="N","No",IF(INDEX(Database_repro!$A:$F, MATCH($O1814, Database_repro!$A:$A, 0), 6)="Y","Yes","Z")), "Not Found")</f>
        <v>No</v>
      </c>
      <c r="N1814" s="25">
        <f>IFERROR(INDEX(Database_repro!$A:$P, MATCH($O1814, Database_repro!$A:$A, 0), 15), "Not Found")</f>
        <v>0</v>
      </c>
      <c r="O1814" t="s">
        <v>556</v>
      </c>
    </row>
    <row r="1815" spans="1:15" x14ac:dyDescent="0.2">
      <c r="A1815" s="24">
        <f>IFERROR(DATE(MID(INDEX(Database_dermo!$A:$I, MATCH($O1815, Database_dermo!$A:$A, 0), 2),8,4),MID(INDEX(Database_dermo!$A:$I, MATCH($O1815, Database_dermo!$A:$A, 0), 2),12,2),MID(INDEX(Database_dermo!$A:$I, MATCH($O1815, Database_dermo!$A:$A, 0), 2),14,2)), "Not Found")</f>
        <v>45755</v>
      </c>
      <c r="B1815" s="1" t="str">
        <f>IFERROR(VLOOKUP(MID(INDEX(Database_dermo!$A:$I, MATCH($O1815, Database_dermo!$A:$A, 0), 2),20,3),Notes!A$1:C$9,3,TRUE), "Not Found")</f>
        <v>LX-N</v>
      </c>
      <c r="C1815" s="1" t="str">
        <f>IFERROR(RIGHT(INDEX(Database_dermo!$A:$I, MATCH($O1815, Database_dermo!$A:$A, 0), 1),2), "Not Found")</f>
        <v>46</v>
      </c>
      <c r="D1815" s="1">
        <f>IFERROR(VLOOKUP(MID(INDEX(Database_dermo!$A:$I, MATCH($O1815, Database_dermo!$A:$A, 0), 2),20,3),Notes!A$1:C$9,2,TRUE), "Not Found")</f>
        <v>3</v>
      </c>
      <c r="E1815" s="1">
        <f>IFERROR(INDEX(Database_dermo!$A:$I, MATCH($O1815, Database_dermo!$A:$A, 0), 3), "Not Found")</f>
        <v>30.25</v>
      </c>
      <c r="F1815" s="1" t="str">
        <f>IFERROR(INDEX(Database_repro!$A:$F, MATCH($O1815, Database_repro!$A:$A, 0), 3), "Not Found")</f>
        <v>M</v>
      </c>
      <c r="G1815" s="1">
        <f>IFERROR(INDEX(Database_repro!$A:$F, MATCH($O1815, Database_repro!$A:$A, 0), 4), "Not Found")</f>
        <v>2</v>
      </c>
      <c r="H1815" s="1" t="s">
        <v>16</v>
      </c>
      <c r="I1815" s="1" t="s">
        <v>16</v>
      </c>
      <c r="J1815" s="1" t="s">
        <v>16</v>
      </c>
      <c r="K1815" s="1" t="str">
        <f>IFERROR(INDEX(Database_repro!$A:$F, MATCH($O1815, Database_repro!$A:$A, 0), 5), "Not Found")</f>
        <v>No</v>
      </c>
      <c r="L1815" s="4" t="s">
        <v>17</v>
      </c>
      <c r="M1815" s="1" t="str">
        <f>IFERROR(IF(INDEX(Database_repro!$A:$F, MATCH($O1815, Database_repro!$A:$A, 0), 6)="N","No",IF(INDEX(Database_repro!$A:$F, MATCH($O1815, Database_repro!$A:$A, 0), 6)="Y","Yes","Z")), "Not Found")</f>
        <v>No</v>
      </c>
      <c r="N1815" s="25">
        <f>IFERROR(INDEX(Database_repro!$A:$P, MATCH($O1815, Database_repro!$A:$A, 0), 15), "Not Found")</f>
        <v>0</v>
      </c>
      <c r="O1815" t="s">
        <v>557</v>
      </c>
    </row>
    <row r="1816" spans="1:15" x14ac:dyDescent="0.2">
      <c r="A1816" s="24">
        <f>IFERROR(DATE(MID(INDEX(Database_dermo!$A:$I, MATCH($O1816, Database_dermo!$A:$A, 0), 2),8,4),MID(INDEX(Database_dermo!$A:$I, MATCH($O1816, Database_dermo!$A:$A, 0), 2),12,2),MID(INDEX(Database_dermo!$A:$I, MATCH($O1816, Database_dermo!$A:$A, 0), 2),14,2)), "Not Found")</f>
        <v>45755</v>
      </c>
      <c r="B1816" s="1" t="str">
        <f>IFERROR(VLOOKUP(MID(INDEX(Database_dermo!$A:$I, MATCH($O1816, Database_dermo!$A:$A, 0), 2),20,3),Notes!A$1:C$9,3,TRUE), "Not Found")</f>
        <v>LX-N</v>
      </c>
      <c r="C1816" s="1" t="str">
        <f>IFERROR(RIGHT(INDEX(Database_dermo!$A:$I, MATCH($O1816, Database_dermo!$A:$A, 0), 1),2), "Not Found")</f>
        <v>47</v>
      </c>
      <c r="D1816" s="1">
        <f>IFERROR(VLOOKUP(MID(INDEX(Database_dermo!$A:$I, MATCH($O1816, Database_dermo!$A:$A, 0), 2),20,3),Notes!A$1:C$9,2,TRUE), "Not Found")</f>
        <v>3</v>
      </c>
      <c r="E1816" s="1">
        <f>IFERROR(INDEX(Database_dermo!$A:$I, MATCH($O1816, Database_dermo!$A:$A, 0), 3), "Not Found")</f>
        <v>19.48</v>
      </c>
      <c r="F1816" s="1" t="str">
        <f>IFERROR(INDEX(Database_repro!$A:$F, MATCH($O1816, Database_repro!$A:$A, 0), 3), "Not Found")</f>
        <v>M</v>
      </c>
      <c r="G1816" s="1">
        <f>IFERROR(INDEX(Database_repro!$A:$F, MATCH($O1816, Database_repro!$A:$A, 0), 4), "Not Found")</f>
        <v>2</v>
      </c>
      <c r="H1816" s="1" t="s">
        <v>16</v>
      </c>
      <c r="I1816" s="1" t="s">
        <v>16</v>
      </c>
      <c r="J1816" s="1" t="s">
        <v>16</v>
      </c>
      <c r="K1816" s="1" t="str">
        <f>IFERROR(INDEX(Database_repro!$A:$F, MATCH($O1816, Database_repro!$A:$A, 0), 5), "Not Found")</f>
        <v>No</v>
      </c>
      <c r="L1816" s="4" t="s">
        <v>17</v>
      </c>
      <c r="M1816" s="1" t="str">
        <f>IFERROR(IF(INDEX(Database_repro!$A:$F, MATCH($O1816, Database_repro!$A:$A, 0), 6)="N","No",IF(INDEX(Database_repro!$A:$F, MATCH($O1816, Database_repro!$A:$A, 0), 6)="Y","Yes","Z")), "Not Found")</f>
        <v>No</v>
      </c>
      <c r="N1816" s="25">
        <f>IFERROR(INDEX(Database_repro!$A:$P, MATCH($O1816, Database_repro!$A:$A, 0), 15), "Not Found")</f>
        <v>0</v>
      </c>
      <c r="O1816" t="s">
        <v>558</v>
      </c>
    </row>
    <row r="1817" spans="1:15" x14ac:dyDescent="0.2">
      <c r="A1817" s="24">
        <f>IFERROR(DATE(MID(INDEX(Database_dermo!$A:$I, MATCH($O1817, Database_dermo!$A:$A, 0), 2),8,4),MID(INDEX(Database_dermo!$A:$I, MATCH($O1817, Database_dermo!$A:$A, 0), 2),12,2),MID(INDEX(Database_dermo!$A:$I, MATCH($O1817, Database_dermo!$A:$A, 0), 2),14,2)), "Not Found")</f>
        <v>45755</v>
      </c>
      <c r="B1817" s="1" t="str">
        <f>IFERROR(VLOOKUP(MID(INDEX(Database_dermo!$A:$I, MATCH($O1817, Database_dermo!$A:$A, 0), 2),20,3),Notes!A$1:C$9,3,TRUE), "Not Found")</f>
        <v>LX-N</v>
      </c>
      <c r="C1817" s="1" t="str">
        <f>IFERROR(RIGHT(INDEX(Database_dermo!$A:$I, MATCH($O1817, Database_dermo!$A:$A, 0), 1),2), "Not Found")</f>
        <v>48</v>
      </c>
      <c r="D1817" s="1">
        <f>IFERROR(VLOOKUP(MID(INDEX(Database_dermo!$A:$I, MATCH($O1817, Database_dermo!$A:$A, 0), 2),20,3),Notes!A$1:C$9,2,TRUE), "Not Found")</f>
        <v>3</v>
      </c>
      <c r="E1817" s="1">
        <f>IFERROR(INDEX(Database_dermo!$A:$I, MATCH($O1817, Database_dermo!$A:$A, 0), 3), "Not Found")</f>
        <v>27.26</v>
      </c>
      <c r="F1817" s="1" t="str">
        <f>IFERROR(INDEX(Database_repro!$A:$F, MATCH($O1817, Database_repro!$A:$A, 0), 3), "Not Found")</f>
        <v>M</v>
      </c>
      <c r="G1817" s="1">
        <f>IFERROR(INDEX(Database_repro!$A:$F, MATCH($O1817, Database_repro!$A:$A, 0), 4), "Not Found")</f>
        <v>2</v>
      </c>
      <c r="H1817" s="1" t="s">
        <v>16</v>
      </c>
      <c r="I1817" s="1" t="s">
        <v>16</v>
      </c>
      <c r="J1817" s="1" t="s">
        <v>16</v>
      </c>
      <c r="K1817" s="1" t="str">
        <f>IFERROR(INDEX(Database_repro!$A:$F, MATCH($O1817, Database_repro!$A:$A, 0), 5), "Not Found")</f>
        <v>No</v>
      </c>
      <c r="L1817" s="4" t="s">
        <v>17</v>
      </c>
      <c r="M1817" s="1" t="str">
        <f>IFERROR(IF(INDEX(Database_repro!$A:$F, MATCH($O1817, Database_repro!$A:$A, 0), 6)="N","No",IF(INDEX(Database_repro!$A:$F, MATCH($O1817, Database_repro!$A:$A, 0), 6)="Y","Yes","Z")), "Not Found")</f>
        <v>No</v>
      </c>
      <c r="N1817" s="25">
        <f>IFERROR(INDEX(Database_repro!$A:$P, MATCH($O1817, Database_repro!$A:$A, 0), 15), "Not Found")</f>
        <v>0</v>
      </c>
      <c r="O1817" t="s">
        <v>559</v>
      </c>
    </row>
    <row r="1818" spans="1:15" x14ac:dyDescent="0.2">
      <c r="A1818" s="24">
        <f>IFERROR(DATE(MID(INDEX(Database_dermo!$A:$I, MATCH($O1818, Database_dermo!$A:$A, 0), 2),8,4),MID(INDEX(Database_dermo!$A:$I, MATCH($O1818, Database_dermo!$A:$A, 0), 2),12,2),MID(INDEX(Database_dermo!$A:$I, MATCH($O1818, Database_dermo!$A:$A, 0), 2),14,2)), "Not Found")</f>
        <v>45755</v>
      </c>
      <c r="B1818" s="1" t="str">
        <f>IFERROR(VLOOKUP(MID(INDEX(Database_dermo!$A:$I, MATCH($O1818, Database_dermo!$A:$A, 0), 2),20,3),Notes!A$1:C$9,3,TRUE), "Not Found")</f>
        <v>LX-N</v>
      </c>
      <c r="C1818" s="1" t="str">
        <f>IFERROR(RIGHT(INDEX(Database_dermo!$A:$I, MATCH($O1818, Database_dermo!$A:$A, 0), 1),2), "Not Found")</f>
        <v>49</v>
      </c>
      <c r="D1818" s="1">
        <f>IFERROR(VLOOKUP(MID(INDEX(Database_dermo!$A:$I, MATCH($O1818, Database_dermo!$A:$A, 0), 2),20,3),Notes!A$1:C$9,2,TRUE), "Not Found")</f>
        <v>3</v>
      </c>
      <c r="E1818" s="1">
        <f>IFERROR(INDEX(Database_dermo!$A:$I, MATCH($O1818, Database_dermo!$A:$A, 0), 3), "Not Found")</f>
        <v>22.56</v>
      </c>
      <c r="F1818" s="1" t="str">
        <f>IFERROR(INDEX(Database_repro!$A:$F, MATCH($O1818, Database_repro!$A:$A, 0), 3), "Not Found")</f>
        <v>M</v>
      </c>
      <c r="G1818" s="1">
        <f>IFERROR(INDEX(Database_repro!$A:$F, MATCH($O1818, Database_repro!$A:$A, 0), 4), "Not Found")</f>
        <v>2</v>
      </c>
      <c r="H1818" s="1" t="s">
        <v>16</v>
      </c>
      <c r="I1818" s="1" t="s">
        <v>16</v>
      </c>
      <c r="J1818" s="1" t="s">
        <v>16</v>
      </c>
      <c r="K1818" s="1" t="str">
        <f>IFERROR(INDEX(Database_repro!$A:$F, MATCH($O1818, Database_repro!$A:$A, 0), 5), "Not Found")</f>
        <v>No</v>
      </c>
      <c r="L1818" s="4" t="s">
        <v>17</v>
      </c>
      <c r="M1818" s="1" t="str">
        <f>IFERROR(IF(INDEX(Database_repro!$A:$F, MATCH($O1818, Database_repro!$A:$A, 0), 6)="N","No",IF(INDEX(Database_repro!$A:$F, MATCH($O1818, Database_repro!$A:$A, 0), 6)="Y","Yes","Z")), "Not Found")</f>
        <v>No</v>
      </c>
      <c r="N1818" s="25">
        <f>IFERROR(INDEX(Database_repro!$A:$P, MATCH($O1818, Database_repro!$A:$A, 0), 15), "Not Found")</f>
        <v>0</v>
      </c>
      <c r="O1818" t="s">
        <v>560</v>
      </c>
    </row>
    <row r="1819" spans="1:15" x14ac:dyDescent="0.2">
      <c r="A1819" s="24">
        <f>IFERROR(DATE(MID(INDEX(Database_dermo!$A:$I, MATCH($O1819, Database_dermo!$A:$A, 0), 2),8,4),MID(INDEX(Database_dermo!$A:$I, MATCH($O1819, Database_dermo!$A:$A, 0), 2),12,2),MID(INDEX(Database_dermo!$A:$I, MATCH($O1819, Database_dermo!$A:$A, 0), 2),14,2)), "Not Found")</f>
        <v>45755</v>
      </c>
      <c r="B1819" s="1" t="str">
        <f>IFERROR(VLOOKUP(MID(INDEX(Database_dermo!$A:$I, MATCH($O1819, Database_dermo!$A:$A, 0), 2),20,3),Notes!A$1:C$9,3,TRUE), "Not Found")</f>
        <v>LX-N</v>
      </c>
      <c r="C1819" s="1" t="str">
        <f>IFERROR(RIGHT(INDEX(Database_dermo!$A:$I, MATCH($O1819, Database_dermo!$A:$A, 0), 1),2), "Not Found")</f>
        <v>50</v>
      </c>
      <c r="D1819" s="1">
        <f>IFERROR(VLOOKUP(MID(INDEX(Database_dermo!$A:$I, MATCH($O1819, Database_dermo!$A:$A, 0), 2),20,3),Notes!A$1:C$9,2,TRUE), "Not Found")</f>
        <v>3</v>
      </c>
      <c r="E1819" s="1">
        <f>IFERROR(INDEX(Database_dermo!$A:$I, MATCH($O1819, Database_dermo!$A:$A, 0), 3), "Not Found")</f>
        <v>16.63</v>
      </c>
      <c r="F1819" s="1" t="str">
        <f>IFERROR(INDEX(Database_repro!$A:$F, MATCH($O1819, Database_repro!$A:$A, 0), 3), "Not Found")</f>
        <v>M/F</v>
      </c>
      <c r="G1819" s="1" t="str">
        <f>IFERROR(INDEX(Database_repro!$A:$F, MATCH($O1819, Database_repro!$A:$A, 0), 4), "Not Found")</f>
        <v>Z</v>
      </c>
      <c r="H1819" s="1" t="s">
        <v>16</v>
      </c>
      <c r="I1819" s="1" t="s">
        <v>16</v>
      </c>
      <c r="J1819" s="1" t="s">
        <v>16</v>
      </c>
      <c r="K1819" s="1" t="str">
        <f>IFERROR(INDEX(Database_repro!$A:$F, MATCH($O1819, Database_repro!$A:$A, 0), 5), "Not Found")</f>
        <v>No</v>
      </c>
      <c r="L1819" s="4" t="s">
        <v>17</v>
      </c>
      <c r="M1819" s="1" t="str">
        <f>IFERROR(IF(INDEX(Database_repro!$A:$F, MATCH($O1819, Database_repro!$A:$A, 0), 6)="N","No",IF(INDEX(Database_repro!$A:$F, MATCH($O1819, Database_repro!$A:$A, 0), 6)="Y","Yes","Z")), "Not Found")</f>
        <v>No</v>
      </c>
      <c r="N1819" s="25">
        <f>IFERROR(INDEX(Database_repro!$A:$P, MATCH($O1819, Database_repro!$A:$A, 0), 15), "Not Found")</f>
        <v>0</v>
      </c>
      <c r="O1819" t="s">
        <v>561</v>
      </c>
    </row>
    <row r="1820" spans="1:15" x14ac:dyDescent="0.2">
      <c r="A1820" s="24">
        <f>IFERROR(DATE(MID(INDEX(Database_dermo!$A:$I, MATCH($O1820, Database_dermo!$A:$A, 0), 2),8,4),MID(INDEX(Database_dermo!$A:$I, MATCH($O1820, Database_dermo!$A:$A, 0), 2),12,2),MID(INDEX(Database_dermo!$A:$I, MATCH($O1820, Database_dermo!$A:$A, 0), 2),14,2)), "Not Found")</f>
        <v>45783</v>
      </c>
      <c r="B1820" s="1" t="str">
        <f>IFERROR(VLOOKUP(MID(INDEX(Database_dermo!$A:$I, MATCH($O1820, Database_dermo!$A:$A, 0), 2),20,3),Notes!A$1:C$9,3,TRUE), "Not Found")</f>
        <v>LX-N</v>
      </c>
      <c r="C1820" s="1" t="str">
        <f>IFERROR(RIGHT(INDEX(Database_dermo!$A:$I, MATCH($O1820, Database_dermo!$A:$A, 0), 1),2), "Not Found")</f>
        <v>16</v>
      </c>
      <c r="D1820" s="1">
        <f>IFERROR(VLOOKUP(MID(INDEX(Database_dermo!$A:$I, MATCH($O1820, Database_dermo!$A:$A, 0), 2),20,3),Notes!A$1:C$9,2,TRUE), "Not Found")</f>
        <v>1</v>
      </c>
      <c r="E1820" s="1">
        <f>IFERROR(INDEX(Database_dermo!$A:$I, MATCH($O1820, Database_dermo!$A:$A, 0), 3), "Not Found")</f>
        <v>41.41</v>
      </c>
      <c r="H1820" s="1" t="s">
        <v>16</v>
      </c>
      <c r="I1820" s="1" t="s">
        <v>16</v>
      </c>
      <c r="J1820" s="1" t="s">
        <v>16</v>
      </c>
      <c r="L1820" s="4" t="s">
        <v>17</v>
      </c>
      <c r="O1820" t="s">
        <v>562</v>
      </c>
    </row>
    <row r="1821" spans="1:15" x14ac:dyDescent="0.2">
      <c r="A1821" s="24">
        <f>IFERROR(DATE(MID(INDEX(Database_dermo!$A:$I, MATCH($O1821, Database_dermo!$A:$A, 0), 2),8,4),MID(INDEX(Database_dermo!$A:$I, MATCH($O1821, Database_dermo!$A:$A, 0), 2),12,2),MID(INDEX(Database_dermo!$A:$I, MATCH($O1821, Database_dermo!$A:$A, 0), 2),14,2)), "Not Found")</f>
        <v>45783</v>
      </c>
      <c r="B1821" s="1" t="str">
        <f>IFERROR(VLOOKUP(MID(INDEX(Database_dermo!$A:$I, MATCH($O1821, Database_dermo!$A:$A, 0), 2),20,3),Notes!A$1:C$9,3,TRUE), "Not Found")</f>
        <v>LX-N</v>
      </c>
      <c r="C1821" s="1" t="str">
        <f>IFERROR(RIGHT(INDEX(Database_dermo!$A:$I, MATCH($O1821, Database_dermo!$A:$A, 0), 1),2), "Not Found")</f>
        <v>17</v>
      </c>
      <c r="D1821" s="1">
        <f>IFERROR(VLOOKUP(MID(INDEX(Database_dermo!$A:$I, MATCH($O1821, Database_dermo!$A:$A, 0), 2),20,3),Notes!A$1:C$9,2,TRUE), "Not Found")</f>
        <v>1</v>
      </c>
      <c r="E1821" s="1">
        <f>IFERROR(INDEX(Database_dermo!$A:$I, MATCH($O1821, Database_dermo!$A:$A, 0), 3), "Not Found")</f>
        <v>36.409999999999997</v>
      </c>
      <c r="H1821" s="1" t="s">
        <v>16</v>
      </c>
      <c r="I1821" s="1" t="s">
        <v>16</v>
      </c>
      <c r="J1821" s="1" t="s">
        <v>16</v>
      </c>
      <c r="L1821" s="4" t="s">
        <v>17</v>
      </c>
      <c r="O1821" t="s">
        <v>564</v>
      </c>
    </row>
    <row r="1822" spans="1:15" x14ac:dyDescent="0.2">
      <c r="A1822" s="24">
        <f>IFERROR(DATE(MID(INDEX(Database_dermo!$A:$I, MATCH($O1822, Database_dermo!$A:$A, 0), 2),8,4),MID(INDEX(Database_dermo!$A:$I, MATCH($O1822, Database_dermo!$A:$A, 0), 2),12,2),MID(INDEX(Database_dermo!$A:$I, MATCH($O1822, Database_dermo!$A:$A, 0), 2),14,2)), "Not Found")</f>
        <v>45783</v>
      </c>
      <c r="B1822" s="1" t="str">
        <f>IFERROR(VLOOKUP(MID(INDEX(Database_dermo!$A:$I, MATCH($O1822, Database_dermo!$A:$A, 0), 2),20,3),Notes!A$1:C$9,3,TRUE), "Not Found")</f>
        <v>LX-N</v>
      </c>
      <c r="C1822" s="1" t="str">
        <f>IFERROR(RIGHT(INDEX(Database_dermo!$A:$I, MATCH($O1822, Database_dermo!$A:$A, 0), 1),2), "Not Found")</f>
        <v>18</v>
      </c>
      <c r="D1822" s="1">
        <f>IFERROR(VLOOKUP(MID(INDEX(Database_dermo!$A:$I, MATCH($O1822, Database_dermo!$A:$A, 0), 2),20,3),Notes!A$1:C$9,2,TRUE), "Not Found")</f>
        <v>1</v>
      </c>
      <c r="E1822" s="1">
        <f>IFERROR(INDEX(Database_dermo!$A:$I, MATCH($O1822, Database_dermo!$A:$A, 0), 3), "Not Found")</f>
        <v>32.68</v>
      </c>
      <c r="H1822" s="1" t="s">
        <v>16</v>
      </c>
      <c r="I1822" s="1" t="s">
        <v>16</v>
      </c>
      <c r="J1822" s="1" t="s">
        <v>16</v>
      </c>
      <c r="L1822" s="4" t="s">
        <v>17</v>
      </c>
      <c r="O1822" t="s">
        <v>565</v>
      </c>
    </row>
    <row r="1823" spans="1:15" x14ac:dyDescent="0.2">
      <c r="A1823" s="24">
        <f>IFERROR(DATE(MID(INDEX(Database_dermo!$A:$I, MATCH($O1823, Database_dermo!$A:$A, 0), 2),8,4),MID(INDEX(Database_dermo!$A:$I, MATCH($O1823, Database_dermo!$A:$A, 0), 2),12,2),MID(INDEX(Database_dermo!$A:$I, MATCH($O1823, Database_dermo!$A:$A, 0), 2),14,2)), "Not Found")</f>
        <v>45783</v>
      </c>
      <c r="B1823" s="1" t="str">
        <f>IFERROR(VLOOKUP(MID(INDEX(Database_dermo!$A:$I, MATCH($O1823, Database_dermo!$A:$A, 0), 2),20,3),Notes!A$1:C$9,3,TRUE), "Not Found")</f>
        <v>LX-N</v>
      </c>
      <c r="C1823" s="1" t="str">
        <f>IFERROR(RIGHT(INDEX(Database_dermo!$A:$I, MATCH($O1823, Database_dermo!$A:$A, 0), 1),2), "Not Found")</f>
        <v>19</v>
      </c>
      <c r="D1823" s="1">
        <f>IFERROR(VLOOKUP(MID(INDEX(Database_dermo!$A:$I, MATCH($O1823, Database_dermo!$A:$A, 0), 2),20,3),Notes!A$1:C$9,2,TRUE), "Not Found")</f>
        <v>1</v>
      </c>
      <c r="E1823" s="1">
        <f>IFERROR(INDEX(Database_dermo!$A:$I, MATCH($O1823, Database_dermo!$A:$A, 0), 3), "Not Found")</f>
        <v>29.76</v>
      </c>
      <c r="H1823" s="1" t="s">
        <v>16</v>
      </c>
      <c r="I1823" s="1" t="s">
        <v>16</v>
      </c>
      <c r="J1823" s="1" t="s">
        <v>16</v>
      </c>
      <c r="L1823" s="4" t="s">
        <v>17</v>
      </c>
      <c r="O1823" t="s">
        <v>566</v>
      </c>
    </row>
    <row r="1824" spans="1:15" x14ac:dyDescent="0.2">
      <c r="A1824" s="24">
        <f>IFERROR(DATE(MID(INDEX(Database_dermo!$A:$I, MATCH($O1824, Database_dermo!$A:$A, 0), 2),8,4),MID(INDEX(Database_dermo!$A:$I, MATCH($O1824, Database_dermo!$A:$A, 0), 2),12,2),MID(INDEX(Database_dermo!$A:$I, MATCH($O1824, Database_dermo!$A:$A, 0), 2),14,2)), "Not Found")</f>
        <v>45783</v>
      </c>
      <c r="B1824" s="1" t="str">
        <f>IFERROR(VLOOKUP(MID(INDEX(Database_dermo!$A:$I, MATCH($O1824, Database_dermo!$A:$A, 0), 2),20,3),Notes!A$1:C$9,3,TRUE), "Not Found")</f>
        <v>LX-N</v>
      </c>
      <c r="C1824" s="1" t="str">
        <f>IFERROR(RIGHT(INDEX(Database_dermo!$A:$I, MATCH($O1824, Database_dermo!$A:$A, 0), 1),2), "Not Found")</f>
        <v>20</v>
      </c>
      <c r="D1824" s="1">
        <f>IFERROR(VLOOKUP(MID(INDEX(Database_dermo!$A:$I, MATCH($O1824, Database_dermo!$A:$A, 0), 2),20,3),Notes!A$1:C$9,2,TRUE), "Not Found")</f>
        <v>1</v>
      </c>
      <c r="E1824" s="1">
        <f>IFERROR(INDEX(Database_dermo!$A:$I, MATCH($O1824, Database_dermo!$A:$A, 0), 3), "Not Found")</f>
        <v>24.19</v>
      </c>
      <c r="H1824" s="1" t="s">
        <v>16</v>
      </c>
      <c r="I1824" s="1" t="s">
        <v>16</v>
      </c>
      <c r="J1824" s="1" t="s">
        <v>16</v>
      </c>
      <c r="L1824" s="4" t="s">
        <v>17</v>
      </c>
      <c r="O1824" t="s">
        <v>567</v>
      </c>
    </row>
    <row r="1825" spans="1:15" x14ac:dyDescent="0.2">
      <c r="A1825" s="24">
        <f>IFERROR(DATE(MID(INDEX(Database_dermo!$A:$I, MATCH($O1825, Database_dermo!$A:$A, 0), 2),8,4),MID(INDEX(Database_dermo!$A:$I, MATCH($O1825, Database_dermo!$A:$A, 0), 2),12,2),MID(INDEX(Database_dermo!$A:$I, MATCH($O1825, Database_dermo!$A:$A, 0), 2),14,2)), "Not Found")</f>
        <v>45783</v>
      </c>
      <c r="B1825" s="1" t="str">
        <f>IFERROR(VLOOKUP(MID(INDEX(Database_dermo!$A:$I, MATCH($O1825, Database_dermo!$A:$A, 0), 2),20,3),Notes!A$1:C$9,3,TRUE), "Not Found")</f>
        <v>LX-N</v>
      </c>
      <c r="C1825" s="1" t="str">
        <f>IFERROR(RIGHT(INDEX(Database_dermo!$A:$I, MATCH($O1825, Database_dermo!$A:$A, 0), 1),2), "Not Found")</f>
        <v>21</v>
      </c>
      <c r="D1825" s="1">
        <f>IFERROR(VLOOKUP(MID(INDEX(Database_dermo!$A:$I, MATCH($O1825, Database_dermo!$A:$A, 0), 2),20,3),Notes!A$1:C$9,2,TRUE), "Not Found")</f>
        <v>1</v>
      </c>
      <c r="E1825" s="1">
        <f>IFERROR(INDEX(Database_dermo!$A:$I, MATCH($O1825, Database_dermo!$A:$A, 0), 3), "Not Found")</f>
        <v>26.55</v>
      </c>
      <c r="H1825" s="1" t="s">
        <v>16</v>
      </c>
      <c r="I1825" s="1" t="s">
        <v>16</v>
      </c>
      <c r="J1825" s="1" t="s">
        <v>16</v>
      </c>
      <c r="L1825" s="4" t="s">
        <v>17</v>
      </c>
      <c r="O1825" t="s">
        <v>568</v>
      </c>
    </row>
    <row r="1826" spans="1:15" x14ac:dyDescent="0.2">
      <c r="A1826" s="24">
        <f>IFERROR(DATE(MID(INDEX(Database_dermo!$A:$I, MATCH($O1826, Database_dermo!$A:$A, 0), 2),8,4),MID(INDEX(Database_dermo!$A:$I, MATCH($O1826, Database_dermo!$A:$A, 0), 2),12,2),MID(INDEX(Database_dermo!$A:$I, MATCH($O1826, Database_dermo!$A:$A, 0), 2),14,2)), "Not Found")</f>
        <v>45783</v>
      </c>
      <c r="B1826" s="1" t="str">
        <f>IFERROR(VLOOKUP(MID(INDEX(Database_dermo!$A:$I, MATCH($O1826, Database_dermo!$A:$A, 0), 2),20,3),Notes!A$1:C$9,3,TRUE), "Not Found")</f>
        <v>LX-N</v>
      </c>
      <c r="C1826" s="1" t="str">
        <f>IFERROR(RIGHT(INDEX(Database_dermo!$A:$I, MATCH($O1826, Database_dermo!$A:$A, 0), 1),2), "Not Found")</f>
        <v>22</v>
      </c>
      <c r="D1826" s="1">
        <f>IFERROR(VLOOKUP(MID(INDEX(Database_dermo!$A:$I, MATCH($O1826, Database_dermo!$A:$A, 0), 2),20,3),Notes!A$1:C$9,2,TRUE), "Not Found")</f>
        <v>1</v>
      </c>
      <c r="E1826" s="1">
        <f>IFERROR(INDEX(Database_dermo!$A:$I, MATCH($O1826, Database_dermo!$A:$A, 0), 3), "Not Found")</f>
        <v>29.11</v>
      </c>
      <c r="H1826" s="1" t="s">
        <v>16</v>
      </c>
      <c r="I1826" s="1" t="s">
        <v>16</v>
      </c>
      <c r="J1826" s="1" t="s">
        <v>16</v>
      </c>
      <c r="L1826" s="4" t="s">
        <v>17</v>
      </c>
      <c r="O1826" t="s">
        <v>569</v>
      </c>
    </row>
    <row r="1827" spans="1:15" x14ac:dyDescent="0.2">
      <c r="A1827" s="24">
        <f>IFERROR(DATE(MID(INDEX(Database_dermo!$A:$I, MATCH($O1827, Database_dermo!$A:$A, 0), 2),8,4),MID(INDEX(Database_dermo!$A:$I, MATCH($O1827, Database_dermo!$A:$A, 0), 2),12,2),MID(INDEX(Database_dermo!$A:$I, MATCH($O1827, Database_dermo!$A:$A, 0), 2),14,2)), "Not Found")</f>
        <v>45783</v>
      </c>
      <c r="B1827" s="1" t="str">
        <f>IFERROR(VLOOKUP(MID(INDEX(Database_dermo!$A:$I, MATCH($O1827, Database_dermo!$A:$A, 0), 2),20,3),Notes!A$1:C$9,3,TRUE), "Not Found")</f>
        <v>LX-N</v>
      </c>
      <c r="C1827" s="1" t="str">
        <f>IFERROR(RIGHT(INDEX(Database_dermo!$A:$I, MATCH($O1827, Database_dermo!$A:$A, 0), 1),2), "Not Found")</f>
        <v>23</v>
      </c>
      <c r="D1827" s="1">
        <f>IFERROR(VLOOKUP(MID(INDEX(Database_dermo!$A:$I, MATCH($O1827, Database_dermo!$A:$A, 0), 2),20,3),Notes!A$1:C$9,2,TRUE), "Not Found")</f>
        <v>1</v>
      </c>
      <c r="E1827" s="1">
        <f>IFERROR(INDEX(Database_dermo!$A:$I, MATCH($O1827, Database_dermo!$A:$A, 0), 3), "Not Found")</f>
        <v>27.89</v>
      </c>
      <c r="H1827" s="1" t="s">
        <v>16</v>
      </c>
      <c r="I1827" s="1" t="s">
        <v>16</v>
      </c>
      <c r="J1827" s="1" t="s">
        <v>16</v>
      </c>
      <c r="L1827" s="4" t="s">
        <v>17</v>
      </c>
      <c r="O1827" t="s">
        <v>570</v>
      </c>
    </row>
    <row r="1828" spans="1:15" x14ac:dyDescent="0.2">
      <c r="A1828" s="24">
        <f>IFERROR(DATE(MID(INDEX(Database_dermo!$A:$I, MATCH($O1828, Database_dermo!$A:$A, 0), 2),8,4),MID(INDEX(Database_dermo!$A:$I, MATCH($O1828, Database_dermo!$A:$A, 0), 2),12,2),MID(INDEX(Database_dermo!$A:$I, MATCH($O1828, Database_dermo!$A:$A, 0), 2),14,2)), "Not Found")</f>
        <v>45783</v>
      </c>
      <c r="B1828" s="1" t="str">
        <f>IFERROR(VLOOKUP(MID(INDEX(Database_dermo!$A:$I, MATCH($O1828, Database_dermo!$A:$A, 0), 2),20,3),Notes!A$1:C$9,3,TRUE), "Not Found")</f>
        <v>LX-N</v>
      </c>
      <c r="C1828" s="1" t="str">
        <f>IFERROR(RIGHT(INDEX(Database_dermo!$A:$I, MATCH($O1828, Database_dermo!$A:$A, 0), 1),2), "Not Found")</f>
        <v>24</v>
      </c>
      <c r="D1828" s="1">
        <f>IFERROR(VLOOKUP(MID(INDEX(Database_dermo!$A:$I, MATCH($O1828, Database_dermo!$A:$A, 0), 2),20,3),Notes!A$1:C$9,2,TRUE), "Not Found")</f>
        <v>1</v>
      </c>
      <c r="E1828" s="1">
        <f>IFERROR(INDEX(Database_dermo!$A:$I, MATCH($O1828, Database_dermo!$A:$A, 0), 3), "Not Found")</f>
        <v>26.38</v>
      </c>
      <c r="H1828" s="1" t="s">
        <v>16</v>
      </c>
      <c r="I1828" s="1" t="s">
        <v>16</v>
      </c>
      <c r="J1828" s="1" t="s">
        <v>16</v>
      </c>
      <c r="L1828" s="4" t="s">
        <v>17</v>
      </c>
      <c r="O1828" t="s">
        <v>571</v>
      </c>
    </row>
    <row r="1829" spans="1:15" x14ac:dyDescent="0.2">
      <c r="A1829" s="24">
        <f>IFERROR(DATE(MID(INDEX(Database_dermo!$A:$I, MATCH($O1829, Database_dermo!$A:$A, 0), 2),8,4),MID(INDEX(Database_dermo!$A:$I, MATCH($O1829, Database_dermo!$A:$A, 0), 2),12,2),MID(INDEX(Database_dermo!$A:$I, MATCH($O1829, Database_dermo!$A:$A, 0), 2),14,2)), "Not Found")</f>
        <v>45783</v>
      </c>
      <c r="B1829" s="1" t="str">
        <f>IFERROR(VLOOKUP(MID(INDEX(Database_dermo!$A:$I, MATCH($O1829, Database_dermo!$A:$A, 0), 2),20,3),Notes!A$1:C$9,3,TRUE), "Not Found")</f>
        <v>LX-N</v>
      </c>
      <c r="C1829" s="1" t="str">
        <f>IFERROR(RIGHT(INDEX(Database_dermo!$A:$I, MATCH($O1829, Database_dermo!$A:$A, 0), 1),2), "Not Found")</f>
        <v>25</v>
      </c>
      <c r="D1829" s="1">
        <f>IFERROR(VLOOKUP(MID(INDEX(Database_dermo!$A:$I, MATCH($O1829, Database_dermo!$A:$A, 0), 2),20,3),Notes!A$1:C$9,2,TRUE), "Not Found")</f>
        <v>1</v>
      </c>
      <c r="E1829" s="1">
        <f>IFERROR(INDEX(Database_dermo!$A:$I, MATCH($O1829, Database_dermo!$A:$A, 0), 3), "Not Found")</f>
        <v>18.940000000000001</v>
      </c>
      <c r="H1829" s="1" t="s">
        <v>16</v>
      </c>
      <c r="I1829" s="1" t="s">
        <v>16</v>
      </c>
      <c r="J1829" s="1" t="s">
        <v>16</v>
      </c>
      <c r="L1829" s="4" t="s">
        <v>17</v>
      </c>
      <c r="O1829" t="s">
        <v>572</v>
      </c>
    </row>
    <row r="1830" spans="1:15" x14ac:dyDescent="0.2">
      <c r="A1830" s="24">
        <f>IFERROR(DATE(MID(INDEX(Database_dermo!$A:$I, MATCH($O1830, Database_dermo!$A:$A, 0), 2),8,4),MID(INDEX(Database_dermo!$A:$I, MATCH($O1830, Database_dermo!$A:$A, 0), 2),12,2),MID(INDEX(Database_dermo!$A:$I, MATCH($O1830, Database_dermo!$A:$A, 0), 2),14,2)), "Not Found")</f>
        <v>45783</v>
      </c>
      <c r="B1830" s="1" t="str">
        <f>IFERROR(VLOOKUP(MID(INDEX(Database_dermo!$A:$I, MATCH($O1830, Database_dermo!$A:$A, 0), 2),20,3),Notes!A$1:C$9,3,TRUE), "Not Found")</f>
        <v>LX-N</v>
      </c>
      <c r="C1830" s="1" t="str">
        <f>IFERROR(RIGHT(INDEX(Database_dermo!$A:$I, MATCH($O1830, Database_dermo!$A:$A, 0), 1),2), "Not Found")</f>
        <v>26</v>
      </c>
      <c r="D1830" s="1">
        <f>IFERROR(VLOOKUP(MID(INDEX(Database_dermo!$A:$I, MATCH($O1830, Database_dermo!$A:$A, 0), 2),20,3),Notes!A$1:C$9,2,TRUE), "Not Found")</f>
        <v>1</v>
      </c>
      <c r="E1830" s="1">
        <f>IFERROR(INDEX(Database_dermo!$A:$I, MATCH($O1830, Database_dermo!$A:$A, 0), 3), "Not Found")</f>
        <v>19.5</v>
      </c>
      <c r="H1830" s="1" t="s">
        <v>16</v>
      </c>
      <c r="I1830" s="1" t="s">
        <v>16</v>
      </c>
      <c r="J1830" s="1" t="s">
        <v>16</v>
      </c>
      <c r="L1830" s="4" t="s">
        <v>17</v>
      </c>
      <c r="O1830" t="s">
        <v>573</v>
      </c>
    </row>
    <row r="1831" spans="1:15" x14ac:dyDescent="0.2">
      <c r="A1831" s="24">
        <f>IFERROR(DATE(MID(INDEX(Database_dermo!$A:$I, MATCH($O1831, Database_dermo!$A:$A, 0), 2),8,4),MID(INDEX(Database_dermo!$A:$I, MATCH($O1831, Database_dermo!$A:$A, 0), 2),12,2),MID(INDEX(Database_dermo!$A:$I, MATCH($O1831, Database_dermo!$A:$A, 0), 2),14,2)), "Not Found")</f>
        <v>45783</v>
      </c>
      <c r="B1831" s="1" t="str">
        <f>IFERROR(VLOOKUP(MID(INDEX(Database_dermo!$A:$I, MATCH($O1831, Database_dermo!$A:$A, 0), 2),20,3),Notes!A$1:C$9,3,TRUE), "Not Found")</f>
        <v>LX-N</v>
      </c>
      <c r="C1831" s="1" t="str">
        <f>IFERROR(RIGHT(INDEX(Database_dermo!$A:$I, MATCH($O1831, Database_dermo!$A:$A, 0), 1),2), "Not Found")</f>
        <v>27</v>
      </c>
      <c r="D1831" s="1">
        <f>IFERROR(VLOOKUP(MID(INDEX(Database_dermo!$A:$I, MATCH($O1831, Database_dermo!$A:$A, 0), 2),20,3),Notes!A$1:C$9,2,TRUE), "Not Found")</f>
        <v>1</v>
      </c>
      <c r="E1831" s="1">
        <f>IFERROR(INDEX(Database_dermo!$A:$I, MATCH($O1831, Database_dermo!$A:$A, 0), 3), "Not Found")</f>
        <v>18.02</v>
      </c>
      <c r="H1831" s="1" t="s">
        <v>16</v>
      </c>
      <c r="I1831" s="1" t="s">
        <v>16</v>
      </c>
      <c r="J1831" s="1" t="s">
        <v>16</v>
      </c>
      <c r="L1831" s="4" t="s">
        <v>17</v>
      </c>
      <c r="O1831" t="s">
        <v>574</v>
      </c>
    </row>
    <row r="1832" spans="1:15" x14ac:dyDescent="0.2">
      <c r="A1832" s="24">
        <f>IFERROR(DATE(MID(INDEX(Database_dermo!$A:$I, MATCH($O1832, Database_dermo!$A:$A, 0), 2),8,4),MID(INDEX(Database_dermo!$A:$I, MATCH($O1832, Database_dermo!$A:$A, 0), 2),12,2),MID(INDEX(Database_dermo!$A:$I, MATCH($O1832, Database_dermo!$A:$A, 0), 2),14,2)), "Not Found")</f>
        <v>45783</v>
      </c>
      <c r="B1832" s="1" t="str">
        <f>IFERROR(VLOOKUP(MID(INDEX(Database_dermo!$A:$I, MATCH($O1832, Database_dermo!$A:$A, 0), 2),20,3),Notes!A$1:C$9,3,TRUE), "Not Found")</f>
        <v>LX-N</v>
      </c>
      <c r="C1832" s="1" t="str">
        <f>IFERROR(RIGHT(INDEX(Database_dermo!$A:$I, MATCH($O1832, Database_dermo!$A:$A, 0), 1),2), "Not Found")</f>
        <v>28</v>
      </c>
      <c r="D1832" s="1">
        <f>IFERROR(VLOOKUP(MID(INDEX(Database_dermo!$A:$I, MATCH($O1832, Database_dermo!$A:$A, 0), 2),20,3),Notes!A$1:C$9,2,TRUE), "Not Found")</f>
        <v>2</v>
      </c>
      <c r="E1832" s="1">
        <f>IFERROR(INDEX(Database_dermo!$A:$I, MATCH($O1832, Database_dermo!$A:$A, 0), 3), "Not Found")</f>
        <v>42.02</v>
      </c>
      <c r="H1832" s="1" t="s">
        <v>16</v>
      </c>
      <c r="I1832" s="1" t="s">
        <v>16</v>
      </c>
      <c r="J1832" s="1" t="s">
        <v>16</v>
      </c>
      <c r="L1832" s="4" t="s">
        <v>17</v>
      </c>
      <c r="O1832" t="s">
        <v>575</v>
      </c>
    </row>
    <row r="1833" spans="1:15" x14ac:dyDescent="0.2">
      <c r="A1833" s="24">
        <f>IFERROR(DATE(MID(INDEX(Database_dermo!$A:$I, MATCH($O1833, Database_dermo!$A:$A, 0), 2),8,4),MID(INDEX(Database_dermo!$A:$I, MATCH($O1833, Database_dermo!$A:$A, 0), 2),12,2),MID(INDEX(Database_dermo!$A:$I, MATCH($O1833, Database_dermo!$A:$A, 0), 2),14,2)), "Not Found")</f>
        <v>45783</v>
      </c>
      <c r="B1833" s="1" t="str">
        <f>IFERROR(VLOOKUP(MID(INDEX(Database_dermo!$A:$I, MATCH($O1833, Database_dermo!$A:$A, 0), 2),20,3),Notes!A$1:C$9,3,TRUE), "Not Found")</f>
        <v>LX-N</v>
      </c>
      <c r="C1833" s="1" t="str">
        <f>IFERROR(RIGHT(INDEX(Database_dermo!$A:$I, MATCH($O1833, Database_dermo!$A:$A, 0), 1),2), "Not Found")</f>
        <v>29</v>
      </c>
      <c r="D1833" s="1">
        <f>IFERROR(VLOOKUP(MID(INDEX(Database_dermo!$A:$I, MATCH($O1833, Database_dermo!$A:$A, 0), 2),20,3),Notes!A$1:C$9,2,TRUE), "Not Found")</f>
        <v>2</v>
      </c>
      <c r="E1833" s="1">
        <f>IFERROR(INDEX(Database_dermo!$A:$I, MATCH($O1833, Database_dermo!$A:$A, 0), 3), "Not Found")</f>
        <v>37.18</v>
      </c>
      <c r="H1833" s="1" t="s">
        <v>16</v>
      </c>
      <c r="I1833" s="1" t="s">
        <v>16</v>
      </c>
      <c r="J1833" s="1" t="s">
        <v>16</v>
      </c>
      <c r="L1833" s="4" t="s">
        <v>17</v>
      </c>
      <c r="O1833" t="s">
        <v>577</v>
      </c>
    </row>
    <row r="1834" spans="1:15" x14ac:dyDescent="0.2">
      <c r="A1834" s="24">
        <f>IFERROR(DATE(MID(INDEX(Database_dermo!$A:$I, MATCH($O1834, Database_dermo!$A:$A, 0), 2),8,4),MID(INDEX(Database_dermo!$A:$I, MATCH($O1834, Database_dermo!$A:$A, 0), 2),12,2),MID(INDEX(Database_dermo!$A:$I, MATCH($O1834, Database_dermo!$A:$A, 0), 2),14,2)), "Not Found")</f>
        <v>45783</v>
      </c>
      <c r="B1834" s="1" t="str">
        <f>IFERROR(VLOOKUP(MID(INDEX(Database_dermo!$A:$I, MATCH($O1834, Database_dermo!$A:$A, 0), 2),20,3),Notes!A$1:C$9,3,TRUE), "Not Found")</f>
        <v>LX-N</v>
      </c>
      <c r="C1834" s="1" t="str">
        <f>IFERROR(RIGHT(INDEX(Database_dermo!$A:$I, MATCH($O1834, Database_dermo!$A:$A, 0), 1),2), "Not Found")</f>
        <v>30</v>
      </c>
      <c r="D1834" s="1">
        <f>IFERROR(VLOOKUP(MID(INDEX(Database_dermo!$A:$I, MATCH($O1834, Database_dermo!$A:$A, 0), 2),20,3),Notes!A$1:C$9,2,TRUE), "Not Found")</f>
        <v>2</v>
      </c>
      <c r="E1834" s="1">
        <f>IFERROR(INDEX(Database_dermo!$A:$I, MATCH($O1834, Database_dermo!$A:$A, 0), 3), "Not Found")</f>
        <v>37.159999999999997</v>
      </c>
      <c r="H1834" s="1" t="s">
        <v>16</v>
      </c>
      <c r="I1834" s="1" t="s">
        <v>16</v>
      </c>
      <c r="J1834" s="1" t="s">
        <v>16</v>
      </c>
      <c r="L1834" s="4" t="s">
        <v>17</v>
      </c>
      <c r="O1834" t="s">
        <v>578</v>
      </c>
    </row>
    <row r="1835" spans="1:15" x14ac:dyDescent="0.2">
      <c r="A1835" s="24">
        <f>IFERROR(DATE(MID(INDEX(Database_dermo!$A:$I, MATCH($O1835, Database_dermo!$A:$A, 0), 2),8,4),MID(INDEX(Database_dermo!$A:$I, MATCH($O1835, Database_dermo!$A:$A, 0), 2),12,2),MID(INDEX(Database_dermo!$A:$I, MATCH($O1835, Database_dermo!$A:$A, 0), 2),14,2)), "Not Found")</f>
        <v>45783</v>
      </c>
      <c r="B1835" s="1" t="str">
        <f>IFERROR(VLOOKUP(MID(INDEX(Database_dermo!$A:$I, MATCH($O1835, Database_dermo!$A:$A, 0), 2),20,3),Notes!A$1:C$9,3,TRUE), "Not Found")</f>
        <v>LX-N</v>
      </c>
      <c r="C1835" s="1" t="str">
        <f>IFERROR(RIGHT(INDEX(Database_dermo!$A:$I, MATCH($O1835, Database_dermo!$A:$A, 0), 1),2), "Not Found")</f>
        <v>31</v>
      </c>
      <c r="D1835" s="1">
        <f>IFERROR(VLOOKUP(MID(INDEX(Database_dermo!$A:$I, MATCH($O1835, Database_dermo!$A:$A, 0), 2),20,3),Notes!A$1:C$9,2,TRUE), "Not Found")</f>
        <v>2</v>
      </c>
      <c r="E1835" s="1">
        <f>IFERROR(INDEX(Database_dermo!$A:$I, MATCH($O1835, Database_dermo!$A:$A, 0), 3), "Not Found")</f>
        <v>33.1</v>
      </c>
      <c r="H1835" s="1" t="s">
        <v>16</v>
      </c>
      <c r="I1835" s="1" t="s">
        <v>16</v>
      </c>
      <c r="J1835" s="1" t="s">
        <v>16</v>
      </c>
      <c r="L1835" s="4" t="s">
        <v>17</v>
      </c>
      <c r="O1835" t="s">
        <v>579</v>
      </c>
    </row>
    <row r="1836" spans="1:15" x14ac:dyDescent="0.2">
      <c r="A1836" s="24">
        <f>IFERROR(DATE(MID(INDEX(Database_dermo!$A:$I, MATCH($O1836, Database_dermo!$A:$A, 0), 2),8,4),MID(INDEX(Database_dermo!$A:$I, MATCH($O1836, Database_dermo!$A:$A, 0), 2),12,2),MID(INDEX(Database_dermo!$A:$I, MATCH($O1836, Database_dermo!$A:$A, 0), 2),14,2)), "Not Found")</f>
        <v>45783</v>
      </c>
      <c r="B1836" s="1" t="str">
        <f>IFERROR(VLOOKUP(MID(INDEX(Database_dermo!$A:$I, MATCH($O1836, Database_dermo!$A:$A, 0), 2),20,3),Notes!A$1:C$9,3,TRUE), "Not Found")</f>
        <v>LX-N</v>
      </c>
      <c r="C1836" s="1" t="str">
        <f>IFERROR(RIGHT(INDEX(Database_dermo!$A:$I, MATCH($O1836, Database_dermo!$A:$A, 0), 1),2), "Not Found")</f>
        <v>32</v>
      </c>
      <c r="D1836" s="1">
        <f>IFERROR(VLOOKUP(MID(INDEX(Database_dermo!$A:$I, MATCH($O1836, Database_dermo!$A:$A, 0), 2),20,3),Notes!A$1:C$9,2,TRUE), "Not Found")</f>
        <v>2</v>
      </c>
      <c r="E1836" s="1">
        <f>IFERROR(INDEX(Database_dermo!$A:$I, MATCH($O1836, Database_dermo!$A:$A, 0), 3), "Not Found")</f>
        <v>32.119999999999997</v>
      </c>
      <c r="H1836" s="1" t="s">
        <v>16</v>
      </c>
      <c r="I1836" s="1" t="s">
        <v>16</v>
      </c>
      <c r="J1836" s="1" t="s">
        <v>16</v>
      </c>
      <c r="L1836" s="4" t="s">
        <v>17</v>
      </c>
      <c r="O1836" t="s">
        <v>580</v>
      </c>
    </row>
    <row r="1837" spans="1:15" x14ac:dyDescent="0.2">
      <c r="A1837" s="24">
        <f>IFERROR(DATE(MID(INDEX(Database_dermo!$A:$I, MATCH($O1837, Database_dermo!$A:$A, 0), 2),8,4),MID(INDEX(Database_dermo!$A:$I, MATCH($O1837, Database_dermo!$A:$A, 0), 2),12,2),MID(INDEX(Database_dermo!$A:$I, MATCH($O1837, Database_dermo!$A:$A, 0), 2),14,2)), "Not Found")</f>
        <v>45783</v>
      </c>
      <c r="B1837" s="1" t="str">
        <f>IFERROR(VLOOKUP(MID(INDEX(Database_dermo!$A:$I, MATCH($O1837, Database_dermo!$A:$A, 0), 2),20,3),Notes!A$1:C$9,3,TRUE), "Not Found")</f>
        <v>LX-N</v>
      </c>
      <c r="C1837" s="1" t="str">
        <f>IFERROR(RIGHT(INDEX(Database_dermo!$A:$I, MATCH($O1837, Database_dermo!$A:$A, 0), 1),2), "Not Found")</f>
        <v>33</v>
      </c>
      <c r="D1837" s="1">
        <f>IFERROR(VLOOKUP(MID(INDEX(Database_dermo!$A:$I, MATCH($O1837, Database_dermo!$A:$A, 0), 2),20,3),Notes!A$1:C$9,2,TRUE), "Not Found")</f>
        <v>2</v>
      </c>
      <c r="E1837" s="1">
        <f>IFERROR(INDEX(Database_dermo!$A:$I, MATCH($O1837, Database_dermo!$A:$A, 0), 3), "Not Found")</f>
        <v>25.28</v>
      </c>
      <c r="H1837" s="1" t="s">
        <v>16</v>
      </c>
      <c r="I1837" s="1" t="s">
        <v>16</v>
      </c>
      <c r="J1837" s="1" t="s">
        <v>16</v>
      </c>
      <c r="L1837" s="4" t="s">
        <v>17</v>
      </c>
      <c r="O1837" t="s">
        <v>581</v>
      </c>
    </row>
    <row r="1838" spans="1:15" x14ac:dyDescent="0.2">
      <c r="A1838" s="24">
        <f>IFERROR(DATE(MID(INDEX(Database_dermo!$A:$I, MATCH($O1838, Database_dermo!$A:$A, 0), 2),8,4),MID(INDEX(Database_dermo!$A:$I, MATCH($O1838, Database_dermo!$A:$A, 0), 2),12,2),MID(INDEX(Database_dermo!$A:$I, MATCH($O1838, Database_dermo!$A:$A, 0), 2),14,2)), "Not Found")</f>
        <v>45783</v>
      </c>
      <c r="B1838" s="1" t="str">
        <f>IFERROR(VLOOKUP(MID(INDEX(Database_dermo!$A:$I, MATCH($O1838, Database_dermo!$A:$A, 0), 2),20,3),Notes!A$1:C$9,3,TRUE), "Not Found")</f>
        <v>LX-N</v>
      </c>
      <c r="C1838" s="1" t="str">
        <f>IFERROR(RIGHT(INDEX(Database_dermo!$A:$I, MATCH($O1838, Database_dermo!$A:$A, 0), 1),2), "Not Found")</f>
        <v>34</v>
      </c>
      <c r="D1838" s="1">
        <f>IFERROR(VLOOKUP(MID(INDEX(Database_dermo!$A:$I, MATCH($O1838, Database_dermo!$A:$A, 0), 2),20,3),Notes!A$1:C$9,2,TRUE), "Not Found")</f>
        <v>2</v>
      </c>
      <c r="E1838" s="1">
        <f>IFERROR(INDEX(Database_dermo!$A:$I, MATCH($O1838, Database_dermo!$A:$A, 0), 3), "Not Found")</f>
        <v>29.01</v>
      </c>
      <c r="H1838" s="1" t="s">
        <v>16</v>
      </c>
      <c r="I1838" s="1" t="s">
        <v>16</v>
      </c>
      <c r="J1838" s="1" t="s">
        <v>16</v>
      </c>
      <c r="L1838" s="4" t="s">
        <v>17</v>
      </c>
      <c r="O1838" t="s">
        <v>582</v>
      </c>
    </row>
    <row r="1839" spans="1:15" x14ac:dyDescent="0.2">
      <c r="A1839" s="24">
        <f>IFERROR(DATE(MID(INDEX(Database_dermo!$A:$I, MATCH($O1839, Database_dermo!$A:$A, 0), 2),8,4),MID(INDEX(Database_dermo!$A:$I, MATCH($O1839, Database_dermo!$A:$A, 0), 2),12,2),MID(INDEX(Database_dermo!$A:$I, MATCH($O1839, Database_dermo!$A:$A, 0), 2),14,2)), "Not Found")</f>
        <v>45783</v>
      </c>
      <c r="B1839" s="1" t="str">
        <f>IFERROR(VLOOKUP(MID(INDEX(Database_dermo!$A:$I, MATCH($O1839, Database_dermo!$A:$A, 0), 2),20,3),Notes!A$1:C$9,3,TRUE), "Not Found")</f>
        <v>LX-N</v>
      </c>
      <c r="C1839" s="1" t="str">
        <f>IFERROR(RIGHT(INDEX(Database_dermo!$A:$I, MATCH($O1839, Database_dermo!$A:$A, 0), 1),2), "Not Found")</f>
        <v>35</v>
      </c>
      <c r="D1839" s="1">
        <f>IFERROR(VLOOKUP(MID(INDEX(Database_dermo!$A:$I, MATCH($O1839, Database_dermo!$A:$A, 0), 2),20,3),Notes!A$1:C$9,2,TRUE), "Not Found")</f>
        <v>2</v>
      </c>
      <c r="E1839" s="1">
        <f>IFERROR(INDEX(Database_dermo!$A:$I, MATCH($O1839, Database_dermo!$A:$A, 0), 3), "Not Found")</f>
        <v>22.84</v>
      </c>
      <c r="H1839" s="1" t="s">
        <v>16</v>
      </c>
      <c r="I1839" s="1" t="s">
        <v>16</v>
      </c>
      <c r="J1839" s="1" t="s">
        <v>16</v>
      </c>
      <c r="L1839" s="4" t="s">
        <v>17</v>
      </c>
      <c r="O1839" t="s">
        <v>583</v>
      </c>
    </row>
    <row r="1840" spans="1:15" x14ac:dyDescent="0.2">
      <c r="A1840" s="24">
        <f>IFERROR(DATE(MID(INDEX(Database_dermo!$A:$I, MATCH($O1840, Database_dermo!$A:$A, 0), 2),8,4),MID(INDEX(Database_dermo!$A:$I, MATCH($O1840, Database_dermo!$A:$A, 0), 2),12,2),MID(INDEX(Database_dermo!$A:$I, MATCH($O1840, Database_dermo!$A:$A, 0), 2),14,2)), "Not Found")</f>
        <v>45783</v>
      </c>
      <c r="B1840" s="1" t="str">
        <f>IFERROR(VLOOKUP(MID(INDEX(Database_dermo!$A:$I, MATCH($O1840, Database_dermo!$A:$A, 0), 2),20,3),Notes!A$1:C$9,3,TRUE), "Not Found")</f>
        <v>LX-N</v>
      </c>
      <c r="C1840" s="1" t="str">
        <f>IFERROR(RIGHT(INDEX(Database_dermo!$A:$I, MATCH($O1840, Database_dermo!$A:$A, 0), 1),2), "Not Found")</f>
        <v>36</v>
      </c>
      <c r="D1840" s="1">
        <f>IFERROR(VLOOKUP(MID(INDEX(Database_dermo!$A:$I, MATCH($O1840, Database_dermo!$A:$A, 0), 2),20,3),Notes!A$1:C$9,2,TRUE), "Not Found")</f>
        <v>2</v>
      </c>
      <c r="E1840" s="1">
        <f>IFERROR(INDEX(Database_dermo!$A:$I, MATCH($O1840, Database_dermo!$A:$A, 0), 3), "Not Found")</f>
        <v>18.940000000000001</v>
      </c>
      <c r="H1840" s="1" t="s">
        <v>16</v>
      </c>
      <c r="I1840" s="1" t="s">
        <v>16</v>
      </c>
      <c r="J1840" s="1" t="s">
        <v>16</v>
      </c>
      <c r="L1840" s="4" t="s">
        <v>17</v>
      </c>
      <c r="O1840" t="s">
        <v>584</v>
      </c>
    </row>
    <row r="1841" spans="1:15" x14ac:dyDescent="0.2">
      <c r="A1841" s="24">
        <f>IFERROR(DATE(MID(INDEX(Database_dermo!$A:$I, MATCH($O1841, Database_dermo!$A:$A, 0), 2),8,4),MID(INDEX(Database_dermo!$A:$I, MATCH($O1841, Database_dermo!$A:$A, 0), 2),12,2),MID(INDEX(Database_dermo!$A:$I, MATCH($O1841, Database_dermo!$A:$A, 0), 2),14,2)), "Not Found")</f>
        <v>45783</v>
      </c>
      <c r="B1841" s="1" t="str">
        <f>IFERROR(VLOOKUP(MID(INDEX(Database_dermo!$A:$I, MATCH($O1841, Database_dermo!$A:$A, 0), 2),20,3),Notes!A$1:C$9,3,TRUE), "Not Found")</f>
        <v>LX-N</v>
      </c>
      <c r="C1841" s="1" t="str">
        <f>IFERROR(RIGHT(INDEX(Database_dermo!$A:$I, MATCH($O1841, Database_dermo!$A:$A, 0), 1),2), "Not Found")</f>
        <v>37</v>
      </c>
      <c r="D1841" s="1">
        <f>IFERROR(VLOOKUP(MID(INDEX(Database_dermo!$A:$I, MATCH($O1841, Database_dermo!$A:$A, 0), 2),20,3),Notes!A$1:C$9,2,TRUE), "Not Found")</f>
        <v>2</v>
      </c>
      <c r="E1841" s="1">
        <f>IFERROR(INDEX(Database_dermo!$A:$I, MATCH($O1841, Database_dermo!$A:$A, 0), 3), "Not Found")</f>
        <v>19.38</v>
      </c>
      <c r="H1841" s="1" t="s">
        <v>16</v>
      </c>
      <c r="I1841" s="1" t="s">
        <v>16</v>
      </c>
      <c r="J1841" s="1" t="s">
        <v>16</v>
      </c>
      <c r="L1841" s="4" t="s">
        <v>17</v>
      </c>
      <c r="O1841" t="s">
        <v>585</v>
      </c>
    </row>
    <row r="1842" spans="1:15" x14ac:dyDescent="0.2">
      <c r="A1842" s="24">
        <f>IFERROR(DATE(MID(INDEX(Database_dermo!$A:$I, MATCH($O1842, Database_dermo!$A:$A, 0), 2),8,4),MID(INDEX(Database_dermo!$A:$I, MATCH($O1842, Database_dermo!$A:$A, 0), 2),12,2),MID(INDEX(Database_dermo!$A:$I, MATCH($O1842, Database_dermo!$A:$A, 0), 2),14,2)), "Not Found")</f>
        <v>45783</v>
      </c>
      <c r="B1842" s="1" t="str">
        <f>IFERROR(VLOOKUP(MID(INDEX(Database_dermo!$A:$I, MATCH($O1842, Database_dermo!$A:$A, 0), 2),20,3),Notes!A$1:C$9,3,TRUE), "Not Found")</f>
        <v>LX-N</v>
      </c>
      <c r="C1842" s="1" t="str">
        <f>IFERROR(RIGHT(INDEX(Database_dermo!$A:$I, MATCH($O1842, Database_dermo!$A:$A, 0), 1),2), "Not Found")</f>
        <v>38</v>
      </c>
      <c r="D1842" s="1">
        <f>IFERROR(VLOOKUP(MID(INDEX(Database_dermo!$A:$I, MATCH($O1842, Database_dermo!$A:$A, 0), 2),20,3),Notes!A$1:C$9,2,TRUE), "Not Found")</f>
        <v>2</v>
      </c>
      <c r="E1842" s="1">
        <f>IFERROR(INDEX(Database_dermo!$A:$I, MATCH($O1842, Database_dermo!$A:$A, 0), 3), "Not Found")</f>
        <v>18.47</v>
      </c>
      <c r="H1842" s="1" t="s">
        <v>16</v>
      </c>
      <c r="I1842" s="1" t="s">
        <v>16</v>
      </c>
      <c r="J1842" s="1" t="s">
        <v>16</v>
      </c>
      <c r="L1842" s="4" t="s">
        <v>17</v>
      </c>
      <c r="O1842" t="s">
        <v>586</v>
      </c>
    </row>
    <row r="1843" spans="1:15" x14ac:dyDescent="0.2">
      <c r="A1843" s="24">
        <f>IFERROR(DATE(MID(INDEX(Database_dermo!$A:$I, MATCH($O1843, Database_dermo!$A:$A, 0), 2),8,4),MID(INDEX(Database_dermo!$A:$I, MATCH($O1843, Database_dermo!$A:$A, 0), 2),12,2),MID(INDEX(Database_dermo!$A:$I, MATCH($O1843, Database_dermo!$A:$A, 0), 2),14,2)), "Not Found")</f>
        <v>45783</v>
      </c>
      <c r="B1843" s="1" t="str">
        <f>IFERROR(VLOOKUP(MID(INDEX(Database_dermo!$A:$I, MATCH($O1843, Database_dermo!$A:$A, 0), 2),20,3),Notes!A$1:C$9,3,TRUE), "Not Found")</f>
        <v>LX-N</v>
      </c>
      <c r="C1843" s="1" t="str">
        <f>IFERROR(RIGHT(INDEX(Database_dermo!$A:$I, MATCH($O1843, Database_dermo!$A:$A, 0), 1),2), "Not Found")</f>
        <v>39</v>
      </c>
      <c r="D1843" s="1">
        <f>IFERROR(VLOOKUP(MID(INDEX(Database_dermo!$A:$I, MATCH($O1843, Database_dermo!$A:$A, 0), 2),20,3),Notes!A$1:C$9,2,TRUE), "Not Found")</f>
        <v>2</v>
      </c>
      <c r="E1843" s="1">
        <f>IFERROR(INDEX(Database_dermo!$A:$I, MATCH($O1843, Database_dermo!$A:$A, 0), 3), "Not Found")</f>
        <v>9.9700000000000006</v>
      </c>
      <c r="H1843" s="1" t="s">
        <v>16</v>
      </c>
      <c r="I1843" s="1" t="s">
        <v>16</v>
      </c>
      <c r="J1843" s="1" t="s">
        <v>16</v>
      </c>
      <c r="L1843" s="4" t="s">
        <v>17</v>
      </c>
      <c r="O1843" t="s">
        <v>587</v>
      </c>
    </row>
    <row r="1844" spans="1:15" x14ac:dyDescent="0.2">
      <c r="A1844" s="24">
        <f>IFERROR(DATE(MID(INDEX(Database_dermo!$A:$I, MATCH($O1844, Database_dermo!$A:$A, 0), 2),8,4),MID(INDEX(Database_dermo!$A:$I, MATCH($O1844, Database_dermo!$A:$A, 0), 2),12,2),MID(INDEX(Database_dermo!$A:$I, MATCH($O1844, Database_dermo!$A:$A, 0), 2),14,2)), "Not Found")</f>
        <v>45783</v>
      </c>
      <c r="B1844" s="1" t="str">
        <f>IFERROR(VLOOKUP(MID(INDEX(Database_dermo!$A:$I, MATCH($O1844, Database_dermo!$A:$A, 0), 2),20,3),Notes!A$1:C$9,3,TRUE), "Not Found")</f>
        <v>LX-N</v>
      </c>
      <c r="C1844" s="1" t="str">
        <f>IFERROR(RIGHT(INDEX(Database_dermo!$A:$I, MATCH($O1844, Database_dermo!$A:$A, 0), 1),2), "Not Found")</f>
        <v>40</v>
      </c>
      <c r="D1844" s="1">
        <f>IFERROR(VLOOKUP(MID(INDEX(Database_dermo!$A:$I, MATCH($O1844, Database_dermo!$A:$A, 0), 2),20,3),Notes!A$1:C$9,2,TRUE), "Not Found")</f>
        <v>2</v>
      </c>
      <c r="E1844" s="1">
        <f>IFERROR(INDEX(Database_dermo!$A:$I, MATCH($O1844, Database_dermo!$A:$A, 0), 3), "Not Found")</f>
        <v>11.57</v>
      </c>
      <c r="H1844" s="1" t="s">
        <v>16</v>
      </c>
      <c r="I1844" s="1" t="s">
        <v>16</v>
      </c>
      <c r="J1844" s="1" t="s">
        <v>16</v>
      </c>
      <c r="L1844" s="4" t="s">
        <v>17</v>
      </c>
      <c r="O1844" t="s">
        <v>588</v>
      </c>
    </row>
    <row r="1845" spans="1:15" x14ac:dyDescent="0.2">
      <c r="A1845" s="24">
        <f>IFERROR(DATE(MID(INDEX(Database_dermo!$A:$I, MATCH($O1845, Database_dermo!$A:$A, 0), 2),8,4),MID(INDEX(Database_dermo!$A:$I, MATCH($O1845, Database_dermo!$A:$A, 0), 2),12,2),MID(INDEX(Database_dermo!$A:$I, MATCH($O1845, Database_dermo!$A:$A, 0), 2),14,2)), "Not Found")</f>
        <v>45783</v>
      </c>
      <c r="B1845" s="1" t="str">
        <f>IFERROR(VLOOKUP(MID(INDEX(Database_dermo!$A:$I, MATCH($O1845, Database_dermo!$A:$A, 0), 2),20,3),Notes!A$1:C$9,3,TRUE), "Not Found")</f>
        <v>LX-N</v>
      </c>
      <c r="C1845" s="1" t="str">
        <f>IFERROR(RIGHT(INDEX(Database_dermo!$A:$I, MATCH($O1845, Database_dermo!$A:$A, 0), 1),2), "Not Found")</f>
        <v>41</v>
      </c>
      <c r="D1845" s="1">
        <f>IFERROR(VLOOKUP(MID(INDEX(Database_dermo!$A:$I, MATCH($O1845, Database_dermo!$A:$A, 0), 2),20,3),Notes!A$1:C$9,2,TRUE), "Not Found")</f>
        <v>3</v>
      </c>
      <c r="E1845" s="1">
        <f>IFERROR(INDEX(Database_dermo!$A:$I, MATCH($O1845, Database_dermo!$A:$A, 0), 3), "Not Found")</f>
        <v>40.49</v>
      </c>
      <c r="H1845" s="1" t="s">
        <v>16</v>
      </c>
      <c r="I1845" s="1" t="s">
        <v>16</v>
      </c>
      <c r="J1845" s="1" t="s">
        <v>16</v>
      </c>
      <c r="L1845" s="4" t="s">
        <v>17</v>
      </c>
      <c r="O1845" t="s">
        <v>589</v>
      </c>
    </row>
    <row r="1846" spans="1:15" x14ac:dyDescent="0.2">
      <c r="A1846" s="24">
        <f>IFERROR(DATE(MID(INDEX(Database_dermo!$A:$I, MATCH($O1846, Database_dermo!$A:$A, 0), 2),8,4),MID(INDEX(Database_dermo!$A:$I, MATCH($O1846, Database_dermo!$A:$A, 0), 2),12,2),MID(INDEX(Database_dermo!$A:$I, MATCH($O1846, Database_dermo!$A:$A, 0), 2),14,2)), "Not Found")</f>
        <v>45783</v>
      </c>
      <c r="B1846" s="1" t="str">
        <f>IFERROR(VLOOKUP(MID(INDEX(Database_dermo!$A:$I, MATCH($O1846, Database_dermo!$A:$A, 0), 2),20,3),Notes!A$1:C$9,3,TRUE), "Not Found")</f>
        <v>LX-N</v>
      </c>
      <c r="C1846" s="1" t="str">
        <f>IFERROR(RIGHT(INDEX(Database_dermo!$A:$I, MATCH($O1846, Database_dermo!$A:$A, 0), 1),2), "Not Found")</f>
        <v>42</v>
      </c>
      <c r="D1846" s="1">
        <f>IFERROR(VLOOKUP(MID(INDEX(Database_dermo!$A:$I, MATCH($O1846, Database_dermo!$A:$A, 0), 2),20,3),Notes!A$1:C$9,2,TRUE), "Not Found")</f>
        <v>3</v>
      </c>
      <c r="E1846" s="1">
        <f>IFERROR(INDEX(Database_dermo!$A:$I, MATCH($O1846, Database_dermo!$A:$A, 0), 3), "Not Found")</f>
        <v>36.700000000000003</v>
      </c>
      <c r="H1846" s="1" t="s">
        <v>16</v>
      </c>
      <c r="I1846" s="1" t="s">
        <v>16</v>
      </c>
      <c r="J1846" s="1" t="s">
        <v>16</v>
      </c>
      <c r="L1846" s="4" t="s">
        <v>17</v>
      </c>
      <c r="O1846" t="s">
        <v>591</v>
      </c>
    </row>
    <row r="1847" spans="1:15" x14ac:dyDescent="0.2">
      <c r="A1847" s="24">
        <f>IFERROR(DATE(MID(INDEX(Database_dermo!$A:$I, MATCH($O1847, Database_dermo!$A:$A, 0), 2),8,4),MID(INDEX(Database_dermo!$A:$I, MATCH($O1847, Database_dermo!$A:$A, 0), 2),12,2),MID(INDEX(Database_dermo!$A:$I, MATCH($O1847, Database_dermo!$A:$A, 0), 2),14,2)), "Not Found")</f>
        <v>45783</v>
      </c>
      <c r="B1847" s="1" t="str">
        <f>IFERROR(VLOOKUP(MID(INDEX(Database_dermo!$A:$I, MATCH($O1847, Database_dermo!$A:$A, 0), 2),20,3),Notes!A$1:C$9,3,TRUE), "Not Found")</f>
        <v>LX-N</v>
      </c>
      <c r="C1847" s="1" t="str">
        <f>IFERROR(RIGHT(INDEX(Database_dermo!$A:$I, MATCH($O1847, Database_dermo!$A:$A, 0), 1),2), "Not Found")</f>
        <v>43</v>
      </c>
      <c r="D1847" s="1">
        <f>IFERROR(VLOOKUP(MID(INDEX(Database_dermo!$A:$I, MATCH($O1847, Database_dermo!$A:$A, 0), 2),20,3),Notes!A$1:C$9,2,TRUE), "Not Found")</f>
        <v>3</v>
      </c>
      <c r="E1847" s="1">
        <f>IFERROR(INDEX(Database_dermo!$A:$I, MATCH($O1847, Database_dermo!$A:$A, 0), 3), "Not Found")</f>
        <v>33</v>
      </c>
      <c r="H1847" s="1" t="s">
        <v>16</v>
      </c>
      <c r="I1847" s="1" t="s">
        <v>16</v>
      </c>
      <c r="J1847" s="1" t="s">
        <v>16</v>
      </c>
      <c r="L1847" s="4" t="s">
        <v>17</v>
      </c>
      <c r="O1847" t="s">
        <v>592</v>
      </c>
    </row>
    <row r="1848" spans="1:15" x14ac:dyDescent="0.2">
      <c r="A1848" s="24">
        <f>IFERROR(DATE(MID(INDEX(Database_dermo!$A:$I, MATCH($O1848, Database_dermo!$A:$A, 0), 2),8,4),MID(INDEX(Database_dermo!$A:$I, MATCH($O1848, Database_dermo!$A:$A, 0), 2),12,2),MID(INDEX(Database_dermo!$A:$I, MATCH($O1848, Database_dermo!$A:$A, 0), 2),14,2)), "Not Found")</f>
        <v>45783</v>
      </c>
      <c r="B1848" s="1" t="str">
        <f>IFERROR(VLOOKUP(MID(INDEX(Database_dermo!$A:$I, MATCH($O1848, Database_dermo!$A:$A, 0), 2),20,3),Notes!A$1:C$9,3,TRUE), "Not Found")</f>
        <v>LX-N</v>
      </c>
      <c r="C1848" s="1" t="str">
        <f>IFERROR(RIGHT(INDEX(Database_dermo!$A:$I, MATCH($O1848, Database_dermo!$A:$A, 0), 1),2), "Not Found")</f>
        <v>44</v>
      </c>
      <c r="D1848" s="1">
        <f>IFERROR(VLOOKUP(MID(INDEX(Database_dermo!$A:$I, MATCH($O1848, Database_dermo!$A:$A, 0), 2),20,3),Notes!A$1:C$9,2,TRUE), "Not Found")</f>
        <v>3</v>
      </c>
      <c r="E1848" s="1">
        <f>IFERROR(INDEX(Database_dermo!$A:$I, MATCH($O1848, Database_dermo!$A:$A, 0), 3), "Not Found")</f>
        <v>32.19</v>
      </c>
      <c r="H1848" s="1" t="s">
        <v>16</v>
      </c>
      <c r="I1848" s="1" t="s">
        <v>16</v>
      </c>
      <c r="J1848" s="1" t="s">
        <v>16</v>
      </c>
      <c r="L1848" s="4" t="s">
        <v>17</v>
      </c>
      <c r="O1848" t="s">
        <v>593</v>
      </c>
    </row>
    <row r="1849" spans="1:15" x14ac:dyDescent="0.2">
      <c r="A1849" s="24">
        <f>IFERROR(DATE(MID(INDEX(Database_dermo!$A:$I, MATCH($O1849, Database_dermo!$A:$A, 0), 2),8,4),MID(INDEX(Database_dermo!$A:$I, MATCH($O1849, Database_dermo!$A:$A, 0), 2),12,2),MID(INDEX(Database_dermo!$A:$I, MATCH($O1849, Database_dermo!$A:$A, 0), 2),14,2)), "Not Found")</f>
        <v>45783</v>
      </c>
      <c r="B1849" s="1" t="str">
        <f>IFERROR(VLOOKUP(MID(INDEX(Database_dermo!$A:$I, MATCH($O1849, Database_dermo!$A:$A, 0), 2),20,3),Notes!A$1:C$9,3,TRUE), "Not Found")</f>
        <v>LX-N</v>
      </c>
      <c r="C1849" s="1" t="str">
        <f>IFERROR(RIGHT(INDEX(Database_dermo!$A:$I, MATCH($O1849, Database_dermo!$A:$A, 0), 1),2), "Not Found")</f>
        <v>45</v>
      </c>
      <c r="D1849" s="1">
        <f>IFERROR(VLOOKUP(MID(INDEX(Database_dermo!$A:$I, MATCH($O1849, Database_dermo!$A:$A, 0), 2),20,3),Notes!A$1:C$9,2,TRUE), "Not Found")</f>
        <v>3</v>
      </c>
      <c r="E1849" s="1">
        <f>IFERROR(INDEX(Database_dermo!$A:$I, MATCH($O1849, Database_dermo!$A:$A, 0), 3), "Not Found")</f>
        <v>25.59</v>
      </c>
      <c r="H1849" s="1" t="s">
        <v>16</v>
      </c>
      <c r="I1849" s="1" t="s">
        <v>16</v>
      </c>
      <c r="J1849" s="1" t="s">
        <v>16</v>
      </c>
      <c r="L1849" s="4" t="s">
        <v>17</v>
      </c>
      <c r="O1849" t="s">
        <v>594</v>
      </c>
    </row>
    <row r="1850" spans="1:15" x14ac:dyDescent="0.2">
      <c r="A1850" s="24">
        <f>IFERROR(DATE(MID(INDEX(Database_dermo!$A:$I, MATCH($O1850, Database_dermo!$A:$A, 0), 2),8,4),MID(INDEX(Database_dermo!$A:$I, MATCH($O1850, Database_dermo!$A:$A, 0), 2),12,2),MID(INDEX(Database_dermo!$A:$I, MATCH($O1850, Database_dermo!$A:$A, 0), 2),14,2)), "Not Found")</f>
        <v>45783</v>
      </c>
      <c r="B1850" s="1" t="str">
        <f>IFERROR(VLOOKUP(MID(INDEX(Database_dermo!$A:$I, MATCH($O1850, Database_dermo!$A:$A, 0), 2),20,3),Notes!A$1:C$9,3,TRUE), "Not Found")</f>
        <v>LX-N</v>
      </c>
      <c r="C1850" s="1" t="str">
        <f>IFERROR(RIGHT(INDEX(Database_dermo!$A:$I, MATCH($O1850, Database_dermo!$A:$A, 0), 1),2), "Not Found")</f>
        <v>46</v>
      </c>
      <c r="D1850" s="1">
        <f>IFERROR(VLOOKUP(MID(INDEX(Database_dermo!$A:$I, MATCH($O1850, Database_dermo!$A:$A, 0), 2),20,3),Notes!A$1:C$9,2,TRUE), "Not Found")</f>
        <v>3</v>
      </c>
      <c r="E1850" s="1">
        <f>IFERROR(INDEX(Database_dermo!$A:$I, MATCH($O1850, Database_dermo!$A:$A, 0), 3), "Not Found")</f>
        <v>29.69</v>
      </c>
      <c r="H1850" s="1" t="s">
        <v>16</v>
      </c>
      <c r="I1850" s="1" t="s">
        <v>16</v>
      </c>
      <c r="J1850" s="1" t="s">
        <v>16</v>
      </c>
      <c r="L1850" s="4" t="s">
        <v>17</v>
      </c>
      <c r="O1850" t="s">
        <v>595</v>
      </c>
    </row>
    <row r="1851" spans="1:15" x14ac:dyDescent="0.2">
      <c r="A1851" s="24">
        <f>IFERROR(DATE(MID(INDEX(Database_dermo!$A:$I, MATCH($O1851, Database_dermo!$A:$A, 0), 2),8,4),MID(INDEX(Database_dermo!$A:$I, MATCH($O1851, Database_dermo!$A:$A, 0), 2),12,2),MID(INDEX(Database_dermo!$A:$I, MATCH($O1851, Database_dermo!$A:$A, 0), 2),14,2)), "Not Found")</f>
        <v>45783</v>
      </c>
      <c r="B1851" s="1" t="str">
        <f>IFERROR(VLOOKUP(MID(INDEX(Database_dermo!$A:$I, MATCH($O1851, Database_dermo!$A:$A, 0), 2),20,3),Notes!A$1:C$9,3,TRUE), "Not Found")</f>
        <v>LX-N</v>
      </c>
      <c r="C1851" s="1" t="str">
        <f>IFERROR(RIGHT(INDEX(Database_dermo!$A:$I, MATCH($O1851, Database_dermo!$A:$A, 0), 1),2), "Not Found")</f>
        <v>47</v>
      </c>
      <c r="D1851" s="1">
        <f>IFERROR(VLOOKUP(MID(INDEX(Database_dermo!$A:$I, MATCH($O1851, Database_dermo!$A:$A, 0), 2),20,3),Notes!A$1:C$9,2,TRUE), "Not Found")</f>
        <v>3</v>
      </c>
      <c r="E1851" s="1">
        <f>IFERROR(INDEX(Database_dermo!$A:$I, MATCH($O1851, Database_dermo!$A:$A, 0), 3), "Not Found")</f>
        <v>28.54</v>
      </c>
      <c r="H1851" s="1" t="s">
        <v>16</v>
      </c>
      <c r="I1851" s="1" t="s">
        <v>16</v>
      </c>
      <c r="J1851" s="1" t="s">
        <v>16</v>
      </c>
      <c r="L1851" s="4" t="s">
        <v>17</v>
      </c>
      <c r="O1851" t="s">
        <v>596</v>
      </c>
    </row>
    <row r="1852" spans="1:15" x14ac:dyDescent="0.2">
      <c r="A1852" s="24">
        <f>IFERROR(DATE(MID(INDEX(Database_dermo!$A:$I, MATCH($O1852, Database_dermo!$A:$A, 0), 2),8,4),MID(INDEX(Database_dermo!$A:$I, MATCH($O1852, Database_dermo!$A:$A, 0), 2),12,2),MID(INDEX(Database_dermo!$A:$I, MATCH($O1852, Database_dermo!$A:$A, 0), 2),14,2)), "Not Found")</f>
        <v>45783</v>
      </c>
      <c r="B1852" s="1" t="str">
        <f>IFERROR(VLOOKUP(MID(INDEX(Database_dermo!$A:$I, MATCH($O1852, Database_dermo!$A:$A, 0), 2),20,3),Notes!A$1:C$9,3,TRUE), "Not Found")</f>
        <v>LX-N</v>
      </c>
      <c r="C1852" s="1" t="str">
        <f>IFERROR(RIGHT(INDEX(Database_dermo!$A:$I, MATCH($O1852, Database_dermo!$A:$A, 0), 1),2), "Not Found")</f>
        <v>48</v>
      </c>
      <c r="D1852" s="1">
        <f>IFERROR(VLOOKUP(MID(INDEX(Database_dermo!$A:$I, MATCH($O1852, Database_dermo!$A:$A, 0), 2),20,3),Notes!A$1:C$9,2,TRUE), "Not Found")</f>
        <v>3</v>
      </c>
      <c r="E1852" s="1">
        <f>IFERROR(INDEX(Database_dermo!$A:$I, MATCH($O1852, Database_dermo!$A:$A, 0), 3), "Not Found")</f>
        <v>24.66</v>
      </c>
      <c r="H1852" s="1" t="s">
        <v>16</v>
      </c>
      <c r="I1852" s="1" t="s">
        <v>16</v>
      </c>
      <c r="J1852" s="1" t="s">
        <v>16</v>
      </c>
      <c r="L1852" s="4" t="s">
        <v>17</v>
      </c>
      <c r="O1852" t="s">
        <v>597</v>
      </c>
    </row>
    <row r="1853" spans="1:15" x14ac:dyDescent="0.2">
      <c r="A1853" s="24">
        <f>IFERROR(DATE(MID(INDEX(Database_dermo!$A:$I, MATCH($O1853, Database_dermo!$A:$A, 0), 2),8,4),MID(INDEX(Database_dermo!$A:$I, MATCH($O1853, Database_dermo!$A:$A, 0), 2),12,2),MID(INDEX(Database_dermo!$A:$I, MATCH($O1853, Database_dermo!$A:$A, 0), 2),14,2)), "Not Found")</f>
        <v>45783</v>
      </c>
      <c r="B1853" s="1" t="str">
        <f>IFERROR(VLOOKUP(MID(INDEX(Database_dermo!$A:$I, MATCH($O1853, Database_dermo!$A:$A, 0), 2),20,3),Notes!A$1:C$9,3,TRUE), "Not Found")</f>
        <v>LX-N</v>
      </c>
      <c r="C1853" s="1" t="str">
        <f>IFERROR(RIGHT(INDEX(Database_dermo!$A:$I, MATCH($O1853, Database_dermo!$A:$A, 0), 1),2), "Not Found")</f>
        <v>49</v>
      </c>
      <c r="D1853" s="1">
        <f>IFERROR(VLOOKUP(MID(INDEX(Database_dermo!$A:$I, MATCH($O1853, Database_dermo!$A:$A, 0), 2),20,3),Notes!A$1:C$9,2,TRUE), "Not Found")</f>
        <v>3</v>
      </c>
      <c r="E1853" s="1">
        <f>IFERROR(INDEX(Database_dermo!$A:$I, MATCH($O1853, Database_dermo!$A:$A, 0), 3), "Not Found")</f>
        <v>24.51</v>
      </c>
      <c r="H1853" s="1" t="s">
        <v>16</v>
      </c>
      <c r="I1853" s="1" t="s">
        <v>16</v>
      </c>
      <c r="J1853" s="1" t="s">
        <v>16</v>
      </c>
      <c r="L1853" s="4" t="s">
        <v>17</v>
      </c>
      <c r="O1853" t="s">
        <v>598</v>
      </c>
    </row>
    <row r="1854" spans="1:15" x14ac:dyDescent="0.2">
      <c r="A1854" s="24">
        <f>IFERROR(DATE(MID(INDEX(Database_dermo!$A:$I, MATCH($O1854, Database_dermo!$A:$A, 0), 2),8,4),MID(INDEX(Database_dermo!$A:$I, MATCH($O1854, Database_dermo!$A:$A, 0), 2),12,2),MID(INDEX(Database_dermo!$A:$I, MATCH($O1854, Database_dermo!$A:$A, 0), 2),14,2)), "Not Found")</f>
        <v>45783</v>
      </c>
      <c r="B1854" s="1" t="str">
        <f>IFERROR(VLOOKUP(MID(INDEX(Database_dermo!$A:$I, MATCH($O1854, Database_dermo!$A:$A, 0), 2),20,3),Notes!A$1:C$9,3,TRUE), "Not Found")</f>
        <v>LX-N</v>
      </c>
      <c r="C1854" s="1" t="str">
        <f>IFERROR(RIGHT(INDEX(Database_dermo!$A:$I, MATCH($O1854, Database_dermo!$A:$A, 0), 1),2), "Not Found")</f>
        <v>50</v>
      </c>
      <c r="D1854" s="1">
        <f>IFERROR(VLOOKUP(MID(INDEX(Database_dermo!$A:$I, MATCH($O1854, Database_dermo!$A:$A, 0), 2),20,3),Notes!A$1:C$9,2,TRUE), "Not Found")</f>
        <v>3</v>
      </c>
      <c r="E1854" s="1">
        <f>IFERROR(INDEX(Database_dermo!$A:$I, MATCH($O1854, Database_dermo!$A:$A, 0), 3), "Not Found")</f>
        <v>25.76</v>
      </c>
      <c r="H1854" s="1" t="s">
        <v>16</v>
      </c>
      <c r="I1854" s="1" t="s">
        <v>16</v>
      </c>
      <c r="J1854" s="1" t="s">
        <v>16</v>
      </c>
      <c r="L1854" s="4" t="s">
        <v>17</v>
      </c>
      <c r="O1854" t="s">
        <v>599</v>
      </c>
    </row>
    <row r="1855" spans="1:15" x14ac:dyDescent="0.2">
      <c r="A1855" s="24">
        <f>IFERROR(DATE(MID(INDEX(Database_dermo!$A:$I, MATCH($O1855, Database_dermo!$A:$A, 0), 2),8,4),MID(INDEX(Database_dermo!$A:$I, MATCH($O1855, Database_dermo!$A:$A, 0), 2),12,2),MID(INDEX(Database_dermo!$A:$I, MATCH($O1855, Database_dermo!$A:$A, 0), 2),14,2)), "Not Found")</f>
        <v>45783</v>
      </c>
      <c r="B1855" s="1" t="str">
        <f>IFERROR(VLOOKUP(MID(INDEX(Database_dermo!$A:$I, MATCH($O1855, Database_dermo!$A:$A, 0), 2),20,3),Notes!A$1:C$9,3,TRUE), "Not Found")</f>
        <v>LX-N</v>
      </c>
      <c r="C1855" s="1" t="str">
        <f>IFERROR(RIGHT(INDEX(Database_dermo!$A:$I, MATCH($O1855, Database_dermo!$A:$A, 0), 1),2), "Not Found")</f>
        <v>51</v>
      </c>
      <c r="D1855" s="1">
        <f>IFERROR(VLOOKUP(MID(INDEX(Database_dermo!$A:$I, MATCH($O1855, Database_dermo!$A:$A, 0), 2),20,3),Notes!A$1:C$9,2,TRUE), "Not Found")</f>
        <v>3</v>
      </c>
      <c r="E1855" s="1">
        <f>IFERROR(INDEX(Database_dermo!$A:$I, MATCH($O1855, Database_dermo!$A:$A, 0), 3), "Not Found")</f>
        <v>19.29</v>
      </c>
      <c r="H1855" s="1" t="s">
        <v>16</v>
      </c>
      <c r="I1855" s="1" t="s">
        <v>16</v>
      </c>
      <c r="J1855" s="1" t="s">
        <v>16</v>
      </c>
      <c r="L1855" s="4" t="s">
        <v>17</v>
      </c>
      <c r="O1855" t="s">
        <v>600</v>
      </c>
    </row>
    <row r="1856" spans="1:15" x14ac:dyDescent="0.2">
      <c r="A1856" s="24">
        <f>IFERROR(DATE(MID(INDEX(Database_dermo!$A:$I, MATCH($O1856, Database_dermo!$A:$A, 0), 2),8,4),MID(INDEX(Database_dermo!$A:$I, MATCH($O1856, Database_dermo!$A:$A, 0), 2),12,2),MID(INDEX(Database_dermo!$A:$I, MATCH($O1856, Database_dermo!$A:$A, 0), 2),14,2)), "Not Found")</f>
        <v>45783</v>
      </c>
      <c r="B1856" s="1" t="str">
        <f>IFERROR(VLOOKUP(MID(INDEX(Database_dermo!$A:$I, MATCH($O1856, Database_dermo!$A:$A, 0), 2),20,3),Notes!A$1:C$9,3,TRUE), "Not Found")</f>
        <v>LX-N</v>
      </c>
      <c r="C1856" s="1" t="str">
        <f>IFERROR(RIGHT(INDEX(Database_dermo!$A:$I, MATCH($O1856, Database_dermo!$A:$A, 0), 1),2), "Not Found")</f>
        <v>52</v>
      </c>
      <c r="D1856" s="1">
        <f>IFERROR(VLOOKUP(MID(INDEX(Database_dermo!$A:$I, MATCH($O1856, Database_dermo!$A:$A, 0), 2),20,3),Notes!A$1:C$9,2,TRUE), "Not Found")</f>
        <v>3</v>
      </c>
      <c r="E1856" s="1">
        <f>IFERROR(INDEX(Database_dermo!$A:$I, MATCH($O1856, Database_dermo!$A:$A, 0), 3), "Not Found")</f>
        <v>20.13</v>
      </c>
      <c r="H1856" s="1" t="s">
        <v>16</v>
      </c>
      <c r="I1856" s="1" t="s">
        <v>16</v>
      </c>
      <c r="J1856" s="1" t="s">
        <v>16</v>
      </c>
      <c r="L1856" s="4" t="s">
        <v>17</v>
      </c>
      <c r="O1856" t="s">
        <v>601</v>
      </c>
    </row>
    <row r="1857" spans="1:15" x14ac:dyDescent="0.2">
      <c r="A1857" s="24">
        <f>IFERROR(DATE(MID(INDEX(Database_dermo!$A:$I, MATCH($O1857, Database_dermo!$A:$A, 0), 2),8,4),MID(INDEX(Database_dermo!$A:$I, MATCH($O1857, Database_dermo!$A:$A, 0), 2),12,2),MID(INDEX(Database_dermo!$A:$I, MATCH($O1857, Database_dermo!$A:$A, 0), 2),14,2)), "Not Found")</f>
        <v>45783</v>
      </c>
      <c r="B1857" s="1" t="str">
        <f>IFERROR(VLOOKUP(MID(INDEX(Database_dermo!$A:$I, MATCH($O1857, Database_dermo!$A:$A, 0), 2),20,3),Notes!A$1:C$9,3,TRUE), "Not Found")</f>
        <v>LX-N</v>
      </c>
      <c r="C1857" s="1" t="str">
        <f>IFERROR(RIGHT(INDEX(Database_dermo!$A:$I, MATCH($O1857, Database_dermo!$A:$A, 0), 1),2), "Not Found")</f>
        <v>53</v>
      </c>
      <c r="D1857" s="1">
        <f>IFERROR(VLOOKUP(MID(INDEX(Database_dermo!$A:$I, MATCH($O1857, Database_dermo!$A:$A, 0), 2),20,3),Notes!A$1:C$9,2,TRUE), "Not Found")</f>
        <v>3</v>
      </c>
      <c r="E1857" s="1">
        <f>IFERROR(INDEX(Database_dermo!$A:$I, MATCH($O1857, Database_dermo!$A:$A, 0), 3), "Not Found")</f>
        <v>12.41</v>
      </c>
      <c r="H1857" s="1" t="s">
        <v>16</v>
      </c>
      <c r="I1857" s="1" t="s">
        <v>16</v>
      </c>
      <c r="J1857" s="1" t="s">
        <v>16</v>
      </c>
      <c r="L1857" s="4" t="s">
        <v>17</v>
      </c>
      <c r="O1857" t="s">
        <v>602</v>
      </c>
    </row>
    <row r="2015" spans="15:23" x14ac:dyDescent="0.2">
      <c r="O2015" s="1"/>
      <c r="P2015" s="1"/>
      <c r="Q2015" s="1"/>
      <c r="R2015" s="1"/>
      <c r="S2015" s="1"/>
      <c r="T2015" s="1"/>
      <c r="U2015" s="1"/>
      <c r="V2015" s="1"/>
      <c r="W2015" s="1"/>
    </row>
    <row r="2509" ht="14.25" customHeight="1" x14ac:dyDescent="0.2"/>
  </sheetData>
  <phoneticPr fontId="0" type="noConversion"/>
  <conditionalFormatting sqref="A1:A1744 A1858:A62866">
    <cfRule type="expression" dxfId="3" priority="259" stopIfTrue="1">
      <formula>IF(CELL("type",A1)="v","TRUE","FALSE")</formula>
    </cfRule>
    <cfRule type="expression" dxfId="2" priority="260" stopIfTrue="1">
      <formula>IF(CELL("type",A1)="l","TRUE","FALSE")</formula>
    </cfRule>
  </conditionalFormatting>
  <conditionalFormatting sqref="A755">
    <cfRule type="expression" dxfId="1" priority="5" stopIfTrue="1">
      <formula>IF(CELL("type",A755)="v","TRUE","FALSE")</formula>
    </cfRule>
    <cfRule type="expression" dxfId="0" priority="6" stopIfTrue="1">
      <formula>IF(CELL("type",A755)="l","TRUE","FALSE")</formula>
    </cfRule>
  </conditionalFormatting>
  <printOptions gridLines="1"/>
  <pageMargins left="0.5" right="0.5" top="0.55000000000000004" bottom="0.55000000000000004" header="0.5" footer="0.5"/>
  <pageSetup scale="87" fitToHeight="10"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54861-7185-497F-B9E1-E387F1DD9EAD}">
  <dimension ref="A1:N355"/>
  <sheetViews>
    <sheetView topLeftCell="A307" workbookViewId="0">
      <selection activeCell="A327" sqref="A327"/>
    </sheetView>
  </sheetViews>
  <sheetFormatPr defaultRowHeight="12.75" x14ac:dyDescent="0.2"/>
  <cols>
    <col min="1" max="1" width="29.28515625" bestFit="1" customWidth="1"/>
    <col min="2" max="2" width="26.28515625" bestFit="1" customWidth="1"/>
    <col min="3" max="3" width="11.28515625" bestFit="1" customWidth="1"/>
    <col min="4" max="4" width="6.85546875" bestFit="1" customWidth="1"/>
    <col min="5" max="5" width="14.85546875" bestFit="1" customWidth="1"/>
    <col min="6" max="6" width="5" bestFit="1" customWidth="1"/>
    <col min="7" max="7" width="5.7109375" bestFit="1" customWidth="1"/>
    <col min="8" max="8" width="13.28515625" bestFit="1" customWidth="1"/>
    <col min="9" max="9" width="6.7109375" bestFit="1" customWidth="1"/>
    <col min="10" max="10" width="14.28515625" bestFit="1" customWidth="1"/>
    <col min="11" max="11" width="12.28515625" bestFit="1" customWidth="1"/>
    <col min="12" max="12" width="9.7109375" bestFit="1" customWidth="1"/>
    <col min="13" max="13" width="14.28515625" bestFit="1" customWidth="1"/>
    <col min="14" max="14" width="18.5703125" bestFit="1" customWidth="1"/>
  </cols>
  <sheetData>
    <row r="1" spans="1:14" x14ac:dyDescent="0.2">
      <c r="A1" t="s">
        <v>383</v>
      </c>
      <c r="B1" t="s">
        <v>40</v>
      </c>
      <c r="C1" t="s">
        <v>384</v>
      </c>
      <c r="D1" t="s">
        <v>385</v>
      </c>
      <c r="E1" t="s">
        <v>386</v>
      </c>
      <c r="F1" t="s">
        <v>29</v>
      </c>
      <c r="G1" t="s">
        <v>387</v>
      </c>
      <c r="H1" t="s">
        <v>388</v>
      </c>
      <c r="I1" t="s">
        <v>389</v>
      </c>
      <c r="J1" t="s">
        <v>393</v>
      </c>
      <c r="K1" t="s">
        <v>392</v>
      </c>
      <c r="L1" t="s">
        <v>390</v>
      </c>
      <c r="M1" t="s">
        <v>391</v>
      </c>
      <c r="N1" t="s">
        <v>48</v>
      </c>
    </row>
    <row r="2" spans="1:14" x14ac:dyDescent="0.2">
      <c r="A2" t="s">
        <v>1054</v>
      </c>
      <c r="B2" t="s">
        <v>1055</v>
      </c>
      <c r="C2">
        <v>21.5</v>
      </c>
      <c r="D2">
        <v>10.87</v>
      </c>
      <c r="E2">
        <v>7.07</v>
      </c>
      <c r="F2">
        <v>7.81</v>
      </c>
      <c r="G2">
        <v>0.6</v>
      </c>
      <c r="H2" s="17" t="s">
        <v>608</v>
      </c>
      <c r="I2">
        <v>0.6</v>
      </c>
      <c r="J2" s="17" t="s">
        <v>608</v>
      </c>
      <c r="K2" t="s">
        <v>608</v>
      </c>
      <c r="L2" s="17" t="s">
        <v>608</v>
      </c>
      <c r="M2" s="17" t="s">
        <v>608</v>
      </c>
      <c r="N2" t="s">
        <v>604</v>
      </c>
    </row>
    <row r="3" spans="1:14" x14ac:dyDescent="0.2">
      <c r="A3" t="s">
        <v>1056</v>
      </c>
      <c r="B3" t="s">
        <v>1057</v>
      </c>
      <c r="C3">
        <v>21.7</v>
      </c>
      <c r="D3">
        <v>11.7</v>
      </c>
      <c r="E3">
        <v>7.12</v>
      </c>
      <c r="F3">
        <v>7.75</v>
      </c>
      <c r="G3">
        <v>0.5</v>
      </c>
      <c r="H3" s="17" t="s">
        <v>608</v>
      </c>
      <c r="I3">
        <v>0.5</v>
      </c>
      <c r="J3" s="17" t="s">
        <v>608</v>
      </c>
      <c r="K3" t="s">
        <v>608</v>
      </c>
      <c r="L3" s="17" t="s">
        <v>608</v>
      </c>
      <c r="M3" s="17" t="s">
        <v>608</v>
      </c>
      <c r="N3" t="s">
        <v>604</v>
      </c>
    </row>
    <row r="4" spans="1:14" x14ac:dyDescent="0.2">
      <c r="A4" t="s">
        <v>1058</v>
      </c>
      <c r="B4" t="s">
        <v>1059</v>
      </c>
      <c r="C4">
        <v>20</v>
      </c>
      <c r="D4">
        <v>2.2799999999999998</v>
      </c>
      <c r="E4">
        <v>7.03</v>
      </c>
      <c r="F4">
        <v>8.16</v>
      </c>
      <c r="G4">
        <v>0.5</v>
      </c>
      <c r="H4" s="17" t="s">
        <v>608</v>
      </c>
      <c r="I4">
        <v>0.5</v>
      </c>
      <c r="J4" s="17" t="s">
        <v>608</v>
      </c>
      <c r="K4" t="s">
        <v>608</v>
      </c>
      <c r="L4" s="17" t="s">
        <v>608</v>
      </c>
      <c r="M4" s="17" t="s">
        <v>608</v>
      </c>
      <c r="N4" t="s">
        <v>604</v>
      </c>
    </row>
    <row r="5" spans="1:14" x14ac:dyDescent="0.2">
      <c r="A5" t="s">
        <v>1060</v>
      </c>
      <c r="B5" t="s">
        <v>1061</v>
      </c>
      <c r="C5">
        <v>22.5</v>
      </c>
      <c r="D5">
        <v>17.39</v>
      </c>
      <c r="E5">
        <v>7.7</v>
      </c>
      <c r="F5">
        <v>7.98</v>
      </c>
      <c r="G5">
        <v>0.7</v>
      </c>
      <c r="H5" s="17" t="s">
        <v>608</v>
      </c>
      <c r="I5">
        <v>0.7</v>
      </c>
      <c r="J5" s="17" t="s">
        <v>608</v>
      </c>
      <c r="K5" t="s">
        <v>608</v>
      </c>
      <c r="L5" s="17" t="s">
        <v>608</v>
      </c>
      <c r="M5" s="17" t="s">
        <v>608</v>
      </c>
      <c r="N5" t="s">
        <v>604</v>
      </c>
    </row>
    <row r="6" spans="1:14" x14ac:dyDescent="0.2">
      <c r="A6" t="s">
        <v>1062</v>
      </c>
      <c r="B6" t="s">
        <v>1063</v>
      </c>
      <c r="C6">
        <v>22.9</v>
      </c>
      <c r="D6">
        <v>20.2</v>
      </c>
      <c r="E6">
        <v>7.51</v>
      </c>
      <c r="F6">
        <v>7.9</v>
      </c>
      <c r="G6">
        <v>0.7</v>
      </c>
      <c r="H6" s="17" t="s">
        <v>608</v>
      </c>
      <c r="I6">
        <v>0.7</v>
      </c>
      <c r="J6" s="17" t="s">
        <v>608</v>
      </c>
      <c r="K6" t="s">
        <v>608</v>
      </c>
      <c r="L6" s="17" t="s">
        <v>608</v>
      </c>
      <c r="M6" s="17" t="s">
        <v>608</v>
      </c>
      <c r="N6" t="s">
        <v>604</v>
      </c>
    </row>
    <row r="7" spans="1:14" x14ac:dyDescent="0.2">
      <c r="A7" t="s">
        <v>1064</v>
      </c>
      <c r="B7" t="s">
        <v>1065</v>
      </c>
      <c r="C7">
        <v>22.7</v>
      </c>
      <c r="D7">
        <v>17.399999999999999</v>
      </c>
      <c r="E7">
        <v>7.52</v>
      </c>
      <c r="F7">
        <v>7.98</v>
      </c>
      <c r="G7">
        <v>0.8</v>
      </c>
      <c r="H7" s="17" t="s">
        <v>608</v>
      </c>
      <c r="I7">
        <v>0.8</v>
      </c>
      <c r="J7" s="17" t="s">
        <v>608</v>
      </c>
      <c r="K7" t="s">
        <v>608</v>
      </c>
      <c r="L7" s="17" t="s">
        <v>608</v>
      </c>
      <c r="M7" s="17" t="s">
        <v>608</v>
      </c>
      <c r="N7" t="s">
        <v>604</v>
      </c>
    </row>
    <row r="8" spans="1:14" x14ac:dyDescent="0.2">
      <c r="A8" t="s">
        <v>1066</v>
      </c>
      <c r="B8" t="s">
        <v>1067</v>
      </c>
      <c r="C8">
        <v>22.6</v>
      </c>
      <c r="D8">
        <v>16.27</v>
      </c>
      <c r="E8">
        <v>8.07</v>
      </c>
      <c r="F8">
        <v>8.01</v>
      </c>
      <c r="G8">
        <v>0.55000000000000004</v>
      </c>
      <c r="H8" s="17" t="s">
        <v>608</v>
      </c>
      <c r="I8">
        <v>0.55000000000000004</v>
      </c>
      <c r="J8" s="17" t="s">
        <v>608</v>
      </c>
      <c r="K8" t="s">
        <v>608</v>
      </c>
      <c r="L8" s="17" t="s">
        <v>608</v>
      </c>
      <c r="M8" s="17" t="s">
        <v>608</v>
      </c>
      <c r="N8" t="s">
        <v>604</v>
      </c>
    </row>
    <row r="9" spans="1:14" x14ac:dyDescent="0.2">
      <c r="A9" t="s">
        <v>1068</v>
      </c>
      <c r="B9" t="s">
        <v>1069</v>
      </c>
      <c r="C9">
        <v>22.2</v>
      </c>
      <c r="D9">
        <v>14.07</v>
      </c>
      <c r="E9">
        <v>8.14</v>
      </c>
      <c r="F9">
        <v>8.01</v>
      </c>
      <c r="G9">
        <v>0.5</v>
      </c>
      <c r="H9" s="17" t="s">
        <v>608</v>
      </c>
      <c r="I9">
        <v>0.5</v>
      </c>
      <c r="J9" s="17" t="s">
        <v>608</v>
      </c>
      <c r="K9" t="s">
        <v>608</v>
      </c>
      <c r="L9" s="17" t="s">
        <v>608</v>
      </c>
      <c r="M9" s="17" t="s">
        <v>608</v>
      </c>
      <c r="N9" t="s">
        <v>604</v>
      </c>
    </row>
    <row r="10" spans="1:14" x14ac:dyDescent="0.2">
      <c r="A10" t="s">
        <v>1070</v>
      </c>
      <c r="B10" t="s">
        <v>1071</v>
      </c>
      <c r="C10">
        <v>21.3</v>
      </c>
      <c r="D10">
        <v>11.63</v>
      </c>
      <c r="E10">
        <v>7.5</v>
      </c>
      <c r="F10">
        <v>7.91</v>
      </c>
      <c r="G10">
        <v>0.8</v>
      </c>
      <c r="H10" s="17" t="s">
        <v>608</v>
      </c>
      <c r="I10">
        <v>0.8</v>
      </c>
      <c r="J10" s="17" t="s">
        <v>608</v>
      </c>
      <c r="K10" t="s">
        <v>608</v>
      </c>
      <c r="L10" s="17" t="s">
        <v>608</v>
      </c>
      <c r="M10" s="17" t="s">
        <v>608</v>
      </c>
      <c r="N10" t="s">
        <v>604</v>
      </c>
    </row>
    <row r="11" spans="1:14" x14ac:dyDescent="0.2">
      <c r="A11" t="s">
        <v>1072</v>
      </c>
      <c r="B11" t="s">
        <v>1073</v>
      </c>
      <c r="C11">
        <v>24.2</v>
      </c>
      <c r="D11">
        <v>23.48</v>
      </c>
      <c r="E11">
        <v>7.65</v>
      </c>
      <c r="F11">
        <v>7.95</v>
      </c>
      <c r="G11">
        <v>1</v>
      </c>
      <c r="H11" s="17" t="s">
        <v>608</v>
      </c>
      <c r="I11">
        <v>1</v>
      </c>
      <c r="J11" s="17" t="s">
        <v>608</v>
      </c>
      <c r="K11" t="s">
        <v>608</v>
      </c>
      <c r="L11" s="17" t="s">
        <v>608</v>
      </c>
      <c r="M11" s="17" t="s">
        <v>608</v>
      </c>
      <c r="N11" t="s">
        <v>604</v>
      </c>
    </row>
    <row r="12" spans="1:14" x14ac:dyDescent="0.2">
      <c r="A12" t="s">
        <v>1074</v>
      </c>
      <c r="B12" t="s">
        <v>1075</v>
      </c>
      <c r="C12">
        <v>23.9</v>
      </c>
      <c r="D12">
        <v>19.68</v>
      </c>
      <c r="E12">
        <v>7.76</v>
      </c>
      <c r="F12">
        <v>7.97</v>
      </c>
      <c r="G12">
        <v>0.85</v>
      </c>
      <c r="H12" s="17" t="s">
        <v>608</v>
      </c>
      <c r="I12">
        <v>0.85</v>
      </c>
      <c r="J12" s="17" t="s">
        <v>608</v>
      </c>
      <c r="K12" t="s">
        <v>608</v>
      </c>
      <c r="L12" s="17" t="s">
        <v>608</v>
      </c>
      <c r="M12" s="17" t="s">
        <v>608</v>
      </c>
      <c r="N12" t="s">
        <v>604</v>
      </c>
    </row>
    <row r="13" spans="1:14" x14ac:dyDescent="0.2">
      <c r="A13" t="s">
        <v>1076</v>
      </c>
      <c r="B13" t="s">
        <v>1077</v>
      </c>
      <c r="C13">
        <v>23.8</v>
      </c>
      <c r="D13">
        <v>16.36</v>
      </c>
      <c r="E13">
        <v>7.34</v>
      </c>
      <c r="F13">
        <v>7.9</v>
      </c>
      <c r="G13">
        <v>0.9</v>
      </c>
      <c r="H13" s="17" t="s">
        <v>608</v>
      </c>
      <c r="I13">
        <v>0.9</v>
      </c>
      <c r="J13" s="17" t="s">
        <v>608</v>
      </c>
      <c r="K13" t="s">
        <v>608</v>
      </c>
      <c r="L13" s="17" t="s">
        <v>608</v>
      </c>
      <c r="M13" s="17" t="s">
        <v>608</v>
      </c>
      <c r="N13" t="s">
        <v>604</v>
      </c>
    </row>
    <row r="14" spans="1:14" x14ac:dyDescent="0.2">
      <c r="A14" t="s">
        <v>1078</v>
      </c>
      <c r="B14" t="s">
        <v>1079</v>
      </c>
      <c r="C14">
        <v>24.4</v>
      </c>
      <c r="D14">
        <v>30.42</v>
      </c>
      <c r="E14">
        <v>9.9499999999999993</v>
      </c>
      <c r="F14">
        <v>8.2899999999999991</v>
      </c>
      <c r="G14">
        <v>0.5</v>
      </c>
      <c r="H14" s="17" t="s">
        <v>608</v>
      </c>
      <c r="I14">
        <v>0.5</v>
      </c>
      <c r="J14" s="17" t="s">
        <v>608</v>
      </c>
      <c r="K14" t="s">
        <v>608</v>
      </c>
      <c r="L14" s="17" t="s">
        <v>608</v>
      </c>
      <c r="M14" s="17" t="s">
        <v>608</v>
      </c>
      <c r="N14" t="s">
        <v>604</v>
      </c>
    </row>
    <row r="15" spans="1:14" x14ac:dyDescent="0.2">
      <c r="A15" t="s">
        <v>1080</v>
      </c>
      <c r="B15" t="s">
        <v>1081</v>
      </c>
      <c r="C15">
        <v>24.7</v>
      </c>
      <c r="D15">
        <v>28.81</v>
      </c>
      <c r="E15">
        <v>10.16</v>
      </c>
      <c r="F15">
        <v>8.18</v>
      </c>
      <c r="G15">
        <v>0.7</v>
      </c>
      <c r="H15" s="17" t="s">
        <v>608</v>
      </c>
      <c r="I15">
        <v>0.7</v>
      </c>
      <c r="J15" s="17" t="s">
        <v>608</v>
      </c>
      <c r="K15" t="s">
        <v>608</v>
      </c>
      <c r="L15" s="17" t="s">
        <v>608</v>
      </c>
      <c r="M15" s="17" t="s">
        <v>608</v>
      </c>
      <c r="N15" t="s">
        <v>604</v>
      </c>
    </row>
    <row r="16" spans="1:14" x14ac:dyDescent="0.2">
      <c r="A16" t="s">
        <v>1082</v>
      </c>
      <c r="B16" t="s">
        <v>1083</v>
      </c>
      <c r="C16">
        <v>24.3</v>
      </c>
      <c r="D16">
        <v>30.28</v>
      </c>
      <c r="E16">
        <v>10.14</v>
      </c>
      <c r="F16">
        <v>8.3000000000000007</v>
      </c>
      <c r="G16">
        <v>0.6</v>
      </c>
      <c r="H16" s="17" t="s">
        <v>608</v>
      </c>
      <c r="I16">
        <v>0.6</v>
      </c>
      <c r="J16" s="17" t="s">
        <v>608</v>
      </c>
      <c r="K16" t="s">
        <v>608</v>
      </c>
      <c r="L16" s="17" t="s">
        <v>608</v>
      </c>
      <c r="M16" s="17" t="s">
        <v>608</v>
      </c>
      <c r="N16" t="s">
        <v>604</v>
      </c>
    </row>
    <row r="17" spans="1:14" x14ac:dyDescent="0.2">
      <c r="A17" t="s">
        <v>1084</v>
      </c>
      <c r="B17" t="s">
        <v>1085</v>
      </c>
      <c r="C17">
        <v>22.3</v>
      </c>
      <c r="D17">
        <v>21.1</v>
      </c>
      <c r="E17">
        <v>6.32</v>
      </c>
      <c r="F17">
        <v>8.08</v>
      </c>
      <c r="G17">
        <v>0.6</v>
      </c>
      <c r="H17" s="17" t="s">
        <v>608</v>
      </c>
      <c r="I17">
        <v>0.6</v>
      </c>
      <c r="J17" s="17" t="s">
        <v>608</v>
      </c>
      <c r="K17" t="s">
        <v>608</v>
      </c>
      <c r="L17" s="17" t="s">
        <v>608</v>
      </c>
      <c r="M17" s="17" t="s">
        <v>608</v>
      </c>
      <c r="N17" t="s">
        <v>604</v>
      </c>
    </row>
    <row r="18" spans="1:14" x14ac:dyDescent="0.2">
      <c r="A18" t="s">
        <v>1086</v>
      </c>
      <c r="B18" t="s">
        <v>1087</v>
      </c>
      <c r="C18">
        <v>21.8</v>
      </c>
      <c r="D18">
        <v>19.239999999999998</v>
      </c>
      <c r="E18">
        <v>6.71</v>
      </c>
      <c r="F18">
        <v>8.17</v>
      </c>
      <c r="G18">
        <v>0.5</v>
      </c>
      <c r="H18" s="17" t="s">
        <v>608</v>
      </c>
      <c r="I18">
        <v>0.5</v>
      </c>
      <c r="J18" s="17" t="s">
        <v>608</v>
      </c>
      <c r="K18" t="s">
        <v>608</v>
      </c>
      <c r="L18" s="17" t="s">
        <v>608</v>
      </c>
      <c r="M18" s="17" t="s">
        <v>608</v>
      </c>
      <c r="N18" t="s">
        <v>604</v>
      </c>
    </row>
    <row r="19" spans="1:14" x14ac:dyDescent="0.2">
      <c r="A19" t="s">
        <v>1088</v>
      </c>
      <c r="B19" t="s">
        <v>1089</v>
      </c>
      <c r="C19">
        <v>21.8</v>
      </c>
      <c r="D19">
        <v>10.66</v>
      </c>
      <c r="E19">
        <v>6.94</v>
      </c>
      <c r="F19">
        <v>8.0500000000000007</v>
      </c>
      <c r="G19">
        <v>0.7</v>
      </c>
      <c r="H19" s="17" t="s">
        <v>608</v>
      </c>
      <c r="I19">
        <v>0.7</v>
      </c>
      <c r="J19" s="17" t="s">
        <v>608</v>
      </c>
      <c r="K19" t="s">
        <v>608</v>
      </c>
      <c r="L19" s="17" t="s">
        <v>608</v>
      </c>
      <c r="M19" s="17" t="s">
        <v>608</v>
      </c>
      <c r="N19" t="s">
        <v>604</v>
      </c>
    </row>
    <row r="20" spans="1:14" x14ac:dyDescent="0.2">
      <c r="A20" t="s">
        <v>1090</v>
      </c>
      <c r="B20" t="s">
        <v>1091</v>
      </c>
      <c r="C20">
        <v>30.4</v>
      </c>
      <c r="D20">
        <v>1.17</v>
      </c>
      <c r="E20">
        <v>5.31</v>
      </c>
      <c r="F20">
        <v>7.58</v>
      </c>
      <c r="G20">
        <v>1</v>
      </c>
      <c r="H20" s="17" t="s">
        <v>608</v>
      </c>
      <c r="I20">
        <v>0.9</v>
      </c>
      <c r="J20" s="17" t="s">
        <v>608</v>
      </c>
      <c r="K20" t="s">
        <v>608</v>
      </c>
      <c r="L20" s="17" t="s">
        <v>608</v>
      </c>
      <c r="M20" s="17" t="s">
        <v>608</v>
      </c>
      <c r="N20" t="s">
        <v>604</v>
      </c>
    </row>
    <row r="21" spans="1:14" x14ac:dyDescent="0.2">
      <c r="A21" t="s">
        <v>1092</v>
      </c>
      <c r="B21" t="s">
        <v>1093</v>
      </c>
      <c r="C21">
        <v>30.5</v>
      </c>
      <c r="D21">
        <v>1.07</v>
      </c>
      <c r="E21">
        <v>5.16</v>
      </c>
      <c r="F21">
        <v>7.56</v>
      </c>
      <c r="G21">
        <v>0.5</v>
      </c>
      <c r="H21" s="17" t="s">
        <v>608</v>
      </c>
      <c r="I21">
        <v>0.5</v>
      </c>
      <c r="J21" s="17" t="s">
        <v>608</v>
      </c>
      <c r="K21" t="s">
        <v>608</v>
      </c>
      <c r="L21" s="17" t="s">
        <v>608</v>
      </c>
      <c r="M21" s="17" t="s">
        <v>608</v>
      </c>
      <c r="N21" t="s">
        <v>604</v>
      </c>
    </row>
    <row r="22" spans="1:14" x14ac:dyDescent="0.2">
      <c r="A22" t="s">
        <v>1094</v>
      </c>
      <c r="B22" t="s">
        <v>1095</v>
      </c>
      <c r="C22">
        <v>30.2</v>
      </c>
      <c r="D22">
        <v>0.73</v>
      </c>
      <c r="E22">
        <v>4.41</v>
      </c>
      <c r="F22">
        <v>7.82</v>
      </c>
      <c r="G22">
        <v>0.5</v>
      </c>
      <c r="H22" s="17" t="s">
        <v>608</v>
      </c>
      <c r="I22">
        <v>0.5</v>
      </c>
      <c r="J22" s="17" t="s">
        <v>608</v>
      </c>
      <c r="K22" t="s">
        <v>608</v>
      </c>
      <c r="L22" s="17" t="s">
        <v>608</v>
      </c>
      <c r="M22" s="17" t="s">
        <v>608</v>
      </c>
      <c r="N22" t="s">
        <v>604</v>
      </c>
    </row>
    <row r="23" spans="1:14" x14ac:dyDescent="0.2">
      <c r="A23" t="s">
        <v>1096</v>
      </c>
      <c r="B23" t="s">
        <v>1097</v>
      </c>
      <c r="C23">
        <v>31</v>
      </c>
      <c r="D23">
        <v>5.76</v>
      </c>
      <c r="E23">
        <v>6.65</v>
      </c>
      <c r="F23">
        <v>7.85</v>
      </c>
      <c r="G23">
        <v>0.75</v>
      </c>
      <c r="H23" s="17" t="s">
        <v>608</v>
      </c>
      <c r="I23">
        <v>0.75</v>
      </c>
      <c r="J23" s="17" t="s">
        <v>608</v>
      </c>
      <c r="K23" t="s">
        <v>608</v>
      </c>
      <c r="L23" s="17" t="s">
        <v>608</v>
      </c>
      <c r="M23" s="17" t="s">
        <v>608</v>
      </c>
      <c r="N23" t="s">
        <v>604</v>
      </c>
    </row>
    <row r="24" spans="1:14" x14ac:dyDescent="0.2">
      <c r="A24" t="s">
        <v>1098</v>
      </c>
      <c r="B24" t="s">
        <v>1099</v>
      </c>
      <c r="C24">
        <v>31</v>
      </c>
      <c r="D24">
        <v>5.5</v>
      </c>
      <c r="E24">
        <v>7.25</v>
      </c>
      <c r="F24">
        <v>7.51</v>
      </c>
      <c r="G24">
        <v>0.9</v>
      </c>
      <c r="H24" s="17" t="s">
        <v>608</v>
      </c>
      <c r="I24">
        <v>0.9</v>
      </c>
      <c r="J24" s="17" t="s">
        <v>608</v>
      </c>
      <c r="K24" t="s">
        <v>608</v>
      </c>
      <c r="L24" s="17" t="s">
        <v>608</v>
      </c>
      <c r="M24" s="17" t="s">
        <v>608</v>
      </c>
      <c r="N24" t="s">
        <v>604</v>
      </c>
    </row>
    <row r="25" spans="1:14" x14ac:dyDescent="0.2">
      <c r="A25" t="s">
        <v>1100</v>
      </c>
      <c r="B25" t="s">
        <v>1101</v>
      </c>
      <c r="C25">
        <v>30.9</v>
      </c>
      <c r="D25">
        <v>5.67</v>
      </c>
      <c r="E25">
        <v>5.68</v>
      </c>
      <c r="F25">
        <v>7.72</v>
      </c>
      <c r="G25">
        <v>0.85</v>
      </c>
      <c r="H25" s="17" t="s">
        <v>608</v>
      </c>
      <c r="I25">
        <v>0.85</v>
      </c>
      <c r="J25" s="17" t="s">
        <v>608</v>
      </c>
      <c r="K25" t="s">
        <v>608</v>
      </c>
      <c r="L25" s="17" t="s">
        <v>608</v>
      </c>
      <c r="M25" s="17" t="s">
        <v>608</v>
      </c>
      <c r="N25" t="s">
        <v>604</v>
      </c>
    </row>
    <row r="26" spans="1:14" x14ac:dyDescent="0.2">
      <c r="A26" t="s">
        <v>1102</v>
      </c>
      <c r="B26" t="s">
        <v>1103</v>
      </c>
      <c r="C26">
        <v>30.5</v>
      </c>
      <c r="D26">
        <v>3.81</v>
      </c>
      <c r="E26">
        <v>6.4</v>
      </c>
      <c r="F26">
        <v>8.66</v>
      </c>
      <c r="G26">
        <v>0.7</v>
      </c>
      <c r="H26" s="17" t="s">
        <v>608</v>
      </c>
      <c r="I26">
        <v>0.7</v>
      </c>
      <c r="J26" s="17" t="s">
        <v>608</v>
      </c>
      <c r="K26" t="s">
        <v>608</v>
      </c>
      <c r="L26" s="17" t="s">
        <v>608</v>
      </c>
      <c r="M26" s="17" t="s">
        <v>608</v>
      </c>
      <c r="N26" t="s">
        <v>604</v>
      </c>
    </row>
    <row r="27" spans="1:14" x14ac:dyDescent="0.2">
      <c r="A27" t="s">
        <v>1104</v>
      </c>
      <c r="B27" t="s">
        <v>1105</v>
      </c>
      <c r="C27">
        <v>30.1</v>
      </c>
      <c r="D27">
        <v>5.25</v>
      </c>
      <c r="E27">
        <v>6.78</v>
      </c>
      <c r="F27">
        <v>8.35</v>
      </c>
      <c r="G27">
        <v>0.7</v>
      </c>
      <c r="H27" s="17" t="s">
        <v>608</v>
      </c>
      <c r="I27">
        <v>0.7</v>
      </c>
      <c r="J27" s="17" t="s">
        <v>608</v>
      </c>
      <c r="K27" t="s">
        <v>608</v>
      </c>
      <c r="L27" s="17" t="s">
        <v>608</v>
      </c>
      <c r="M27" s="17" t="s">
        <v>608</v>
      </c>
      <c r="N27" t="s">
        <v>604</v>
      </c>
    </row>
    <row r="28" spans="1:14" x14ac:dyDescent="0.2">
      <c r="A28" t="s">
        <v>1106</v>
      </c>
      <c r="B28" t="s">
        <v>1107</v>
      </c>
      <c r="C28">
        <v>29.5</v>
      </c>
      <c r="D28">
        <v>2.78</v>
      </c>
      <c r="E28">
        <v>5.96</v>
      </c>
      <c r="F28">
        <v>8.34</v>
      </c>
      <c r="G28">
        <v>0.5</v>
      </c>
      <c r="H28" s="17" t="s">
        <v>608</v>
      </c>
      <c r="I28">
        <v>0.5</v>
      </c>
      <c r="J28" s="17" t="s">
        <v>608</v>
      </c>
      <c r="K28" t="s">
        <v>608</v>
      </c>
      <c r="L28" s="17" t="s">
        <v>608</v>
      </c>
      <c r="M28" s="17" t="s">
        <v>608</v>
      </c>
      <c r="N28" t="s">
        <v>604</v>
      </c>
    </row>
    <row r="29" spans="1:14" x14ac:dyDescent="0.2">
      <c r="A29" t="s">
        <v>1108</v>
      </c>
      <c r="B29" t="s">
        <v>1109</v>
      </c>
      <c r="C29">
        <v>31</v>
      </c>
      <c r="D29">
        <v>12.55</v>
      </c>
      <c r="E29">
        <v>8.07</v>
      </c>
      <c r="F29">
        <v>8.2899999999999991</v>
      </c>
      <c r="G29">
        <v>0.7</v>
      </c>
      <c r="H29" s="17" t="s">
        <v>608</v>
      </c>
      <c r="I29">
        <v>0.7</v>
      </c>
      <c r="J29" s="17" t="s">
        <v>608</v>
      </c>
      <c r="K29" t="s">
        <v>608</v>
      </c>
      <c r="L29" s="17" t="s">
        <v>608</v>
      </c>
      <c r="M29" s="17" t="s">
        <v>608</v>
      </c>
      <c r="N29" t="s">
        <v>604</v>
      </c>
    </row>
    <row r="30" spans="1:14" x14ac:dyDescent="0.2">
      <c r="A30" t="s">
        <v>1110</v>
      </c>
      <c r="B30" t="s">
        <v>1111</v>
      </c>
      <c r="C30">
        <v>31</v>
      </c>
      <c r="D30">
        <v>12.07</v>
      </c>
      <c r="E30">
        <v>7.51</v>
      </c>
      <c r="F30">
        <v>8.0500000000000007</v>
      </c>
      <c r="G30">
        <v>0.6</v>
      </c>
      <c r="H30" s="17" t="s">
        <v>608</v>
      </c>
      <c r="I30">
        <v>0.6</v>
      </c>
      <c r="J30" s="17" t="s">
        <v>608</v>
      </c>
      <c r="K30" t="s">
        <v>608</v>
      </c>
      <c r="L30" s="17" t="s">
        <v>608</v>
      </c>
      <c r="M30" s="17" t="s">
        <v>608</v>
      </c>
      <c r="N30" t="s">
        <v>604</v>
      </c>
    </row>
    <row r="31" spans="1:14" x14ac:dyDescent="0.2">
      <c r="A31" t="s">
        <v>1112</v>
      </c>
      <c r="B31" t="s">
        <v>1113</v>
      </c>
      <c r="C31">
        <v>31.5</v>
      </c>
      <c r="D31">
        <v>12.33</v>
      </c>
      <c r="E31">
        <v>8.56</v>
      </c>
      <c r="F31">
        <v>8.26</v>
      </c>
      <c r="G31">
        <v>0.6</v>
      </c>
      <c r="H31" s="17" t="s">
        <v>608</v>
      </c>
      <c r="I31">
        <v>0.6</v>
      </c>
      <c r="J31" s="17" t="s">
        <v>608</v>
      </c>
      <c r="K31" t="s">
        <v>608</v>
      </c>
      <c r="L31" s="17" t="s">
        <v>608</v>
      </c>
      <c r="M31" s="17" t="s">
        <v>608</v>
      </c>
      <c r="N31" t="s">
        <v>604</v>
      </c>
    </row>
    <row r="32" spans="1:14" x14ac:dyDescent="0.2">
      <c r="A32" t="s">
        <v>1114</v>
      </c>
      <c r="B32" t="s">
        <v>1115</v>
      </c>
      <c r="C32">
        <v>29.9</v>
      </c>
      <c r="D32">
        <v>5.78</v>
      </c>
      <c r="E32">
        <v>4.21</v>
      </c>
      <c r="F32">
        <v>7.47</v>
      </c>
      <c r="G32">
        <v>0.75</v>
      </c>
      <c r="H32" s="17" t="s">
        <v>608</v>
      </c>
      <c r="I32">
        <v>0.75</v>
      </c>
      <c r="J32" s="17" t="s">
        <v>608</v>
      </c>
      <c r="K32" t="s">
        <v>608</v>
      </c>
      <c r="L32" s="17" t="s">
        <v>608</v>
      </c>
      <c r="M32" s="17" t="s">
        <v>608</v>
      </c>
      <c r="N32" t="s">
        <v>604</v>
      </c>
    </row>
    <row r="33" spans="1:14" x14ac:dyDescent="0.2">
      <c r="A33" t="s">
        <v>1116</v>
      </c>
      <c r="B33" t="s">
        <v>1117</v>
      </c>
      <c r="C33">
        <v>30.7</v>
      </c>
      <c r="D33">
        <v>6.5</v>
      </c>
      <c r="E33">
        <v>5.91</v>
      </c>
      <c r="F33">
        <v>7.4</v>
      </c>
      <c r="G33">
        <v>0.65</v>
      </c>
      <c r="H33" s="17" t="s">
        <v>608</v>
      </c>
      <c r="I33">
        <v>0.65</v>
      </c>
      <c r="J33" s="17" t="s">
        <v>608</v>
      </c>
      <c r="K33" t="s">
        <v>608</v>
      </c>
      <c r="L33" s="17" t="s">
        <v>608</v>
      </c>
      <c r="M33" s="17" t="s">
        <v>608</v>
      </c>
      <c r="N33" t="s">
        <v>604</v>
      </c>
    </row>
    <row r="34" spans="1:14" x14ac:dyDescent="0.2">
      <c r="A34" t="s">
        <v>1118</v>
      </c>
      <c r="B34" t="s">
        <v>1119</v>
      </c>
      <c r="C34">
        <v>29.1</v>
      </c>
      <c r="D34">
        <v>3.93</v>
      </c>
      <c r="E34">
        <v>4.55</v>
      </c>
      <c r="F34">
        <v>7.75</v>
      </c>
      <c r="G34">
        <v>0.75</v>
      </c>
      <c r="H34" s="17" t="s">
        <v>608</v>
      </c>
      <c r="I34">
        <v>0.75</v>
      </c>
      <c r="J34" s="17" t="s">
        <v>608</v>
      </c>
      <c r="K34" t="s">
        <v>608</v>
      </c>
      <c r="L34" s="17" t="s">
        <v>608</v>
      </c>
      <c r="M34" s="17" t="s">
        <v>608</v>
      </c>
      <c r="N34" t="s">
        <v>604</v>
      </c>
    </row>
    <row r="35" spans="1:14" x14ac:dyDescent="0.2">
      <c r="A35" t="s">
        <v>1120</v>
      </c>
      <c r="B35" t="s">
        <v>1121</v>
      </c>
      <c r="C35">
        <v>30.9</v>
      </c>
      <c r="D35">
        <v>18.25</v>
      </c>
      <c r="E35">
        <v>4.96</v>
      </c>
      <c r="F35">
        <v>7.24</v>
      </c>
      <c r="G35">
        <v>0.85</v>
      </c>
      <c r="H35" s="17" t="s">
        <v>608</v>
      </c>
      <c r="I35">
        <v>0.85</v>
      </c>
      <c r="J35" s="17" t="s">
        <v>608</v>
      </c>
      <c r="K35" t="s">
        <v>608</v>
      </c>
      <c r="L35" s="17" t="s">
        <v>608</v>
      </c>
      <c r="M35" s="17" t="s">
        <v>608</v>
      </c>
      <c r="N35" t="s">
        <v>604</v>
      </c>
    </row>
    <row r="36" spans="1:14" x14ac:dyDescent="0.2">
      <c r="A36" t="s">
        <v>1122</v>
      </c>
      <c r="B36" t="s">
        <v>1123</v>
      </c>
      <c r="C36">
        <v>31.6</v>
      </c>
      <c r="D36">
        <v>15.36</v>
      </c>
      <c r="E36">
        <v>6.31</v>
      </c>
      <c r="F36">
        <v>7.14</v>
      </c>
      <c r="G36">
        <v>0.8</v>
      </c>
      <c r="H36" s="17" t="s">
        <v>608</v>
      </c>
      <c r="I36">
        <v>0.8</v>
      </c>
      <c r="J36" s="17" t="s">
        <v>608</v>
      </c>
      <c r="K36" t="s">
        <v>608</v>
      </c>
      <c r="L36" s="17" t="s">
        <v>608</v>
      </c>
      <c r="M36" s="17" t="s">
        <v>608</v>
      </c>
      <c r="N36" t="s">
        <v>604</v>
      </c>
    </row>
    <row r="37" spans="1:14" x14ac:dyDescent="0.2">
      <c r="A37" t="s">
        <v>1124</v>
      </c>
      <c r="B37" t="s">
        <v>1125</v>
      </c>
      <c r="C37">
        <v>31.2</v>
      </c>
      <c r="D37">
        <v>18.27</v>
      </c>
      <c r="E37">
        <v>5.89</v>
      </c>
      <c r="F37">
        <v>7.25</v>
      </c>
      <c r="G37">
        <v>0.7</v>
      </c>
      <c r="H37" s="17" t="s">
        <v>608</v>
      </c>
      <c r="I37">
        <v>0.7</v>
      </c>
      <c r="J37" s="17" t="s">
        <v>608</v>
      </c>
      <c r="K37" t="s">
        <v>608</v>
      </c>
      <c r="L37" s="17" t="s">
        <v>608</v>
      </c>
      <c r="M37" s="17" t="s">
        <v>608</v>
      </c>
      <c r="N37" t="s">
        <v>604</v>
      </c>
    </row>
    <row r="38" spans="1:14" x14ac:dyDescent="0.2">
      <c r="A38" t="s">
        <v>1126</v>
      </c>
      <c r="B38" t="s">
        <v>1127</v>
      </c>
      <c r="C38">
        <v>31.6</v>
      </c>
      <c r="D38">
        <v>15.76</v>
      </c>
      <c r="E38">
        <v>7.7</v>
      </c>
      <c r="F38">
        <v>8.06</v>
      </c>
      <c r="G38">
        <v>0.7</v>
      </c>
      <c r="H38" s="17" t="s">
        <v>608</v>
      </c>
      <c r="I38">
        <v>0.7</v>
      </c>
      <c r="J38" s="17" t="s">
        <v>608</v>
      </c>
      <c r="K38" t="s">
        <v>608</v>
      </c>
      <c r="L38" s="17" t="s">
        <v>608</v>
      </c>
      <c r="M38" s="17" t="s">
        <v>608</v>
      </c>
      <c r="N38" t="s">
        <v>604</v>
      </c>
    </row>
    <row r="39" spans="1:14" x14ac:dyDescent="0.2">
      <c r="A39" t="s">
        <v>1128</v>
      </c>
      <c r="B39" t="s">
        <v>1129</v>
      </c>
      <c r="C39">
        <v>31.5</v>
      </c>
      <c r="D39">
        <v>14.67</v>
      </c>
      <c r="E39">
        <v>6.99</v>
      </c>
      <c r="F39">
        <v>7.94</v>
      </c>
      <c r="G39">
        <v>0.6</v>
      </c>
      <c r="H39" s="17" t="s">
        <v>608</v>
      </c>
      <c r="I39">
        <v>0.6</v>
      </c>
      <c r="J39" s="17" t="s">
        <v>608</v>
      </c>
      <c r="K39" t="s">
        <v>608</v>
      </c>
      <c r="L39" s="17" t="s">
        <v>608</v>
      </c>
      <c r="M39" s="17" t="s">
        <v>608</v>
      </c>
      <c r="N39" t="s">
        <v>604</v>
      </c>
    </row>
    <row r="40" spans="1:14" x14ac:dyDescent="0.2">
      <c r="A40" t="s">
        <v>1130</v>
      </c>
      <c r="B40" t="s">
        <v>1131</v>
      </c>
      <c r="C40">
        <v>32.1</v>
      </c>
      <c r="D40">
        <v>16.21</v>
      </c>
      <c r="E40">
        <v>6.58</v>
      </c>
      <c r="F40">
        <v>8.0399999999999991</v>
      </c>
      <c r="G40">
        <v>0.6</v>
      </c>
      <c r="H40" s="17" t="s">
        <v>608</v>
      </c>
      <c r="I40">
        <v>0.6</v>
      </c>
      <c r="J40" s="17" t="s">
        <v>608</v>
      </c>
      <c r="K40" t="s">
        <v>608</v>
      </c>
      <c r="L40" s="17" t="s">
        <v>608</v>
      </c>
      <c r="M40" s="17" t="s">
        <v>608</v>
      </c>
      <c r="N40" t="s">
        <v>604</v>
      </c>
    </row>
    <row r="41" spans="1:14" x14ac:dyDescent="0.2">
      <c r="A41" t="s">
        <v>1132</v>
      </c>
      <c r="B41" t="s">
        <v>1133</v>
      </c>
      <c r="C41">
        <v>29.5</v>
      </c>
      <c r="D41">
        <v>13.5</v>
      </c>
      <c r="E41">
        <v>5.37</v>
      </c>
      <c r="F41">
        <v>7.88</v>
      </c>
      <c r="G41">
        <v>0.85</v>
      </c>
      <c r="H41" s="17" t="s">
        <v>608</v>
      </c>
      <c r="I41">
        <v>0.85</v>
      </c>
      <c r="J41" s="17" t="s">
        <v>608</v>
      </c>
      <c r="K41" t="s">
        <v>608</v>
      </c>
      <c r="L41" s="17" t="s">
        <v>608</v>
      </c>
      <c r="M41" s="17" t="s">
        <v>608</v>
      </c>
      <c r="N41" t="s">
        <v>604</v>
      </c>
    </row>
    <row r="42" spans="1:14" x14ac:dyDescent="0.2">
      <c r="A42" t="s">
        <v>1134</v>
      </c>
      <c r="B42" t="s">
        <v>1135</v>
      </c>
      <c r="C42">
        <v>29.5</v>
      </c>
      <c r="D42">
        <v>17.3</v>
      </c>
      <c r="E42">
        <v>5.63</v>
      </c>
      <c r="F42">
        <v>7.98</v>
      </c>
      <c r="G42">
        <v>1.1000000000000001</v>
      </c>
      <c r="H42" s="17" t="s">
        <v>608</v>
      </c>
      <c r="I42">
        <v>1.1000000000000001</v>
      </c>
      <c r="J42" s="17" t="s">
        <v>608</v>
      </c>
      <c r="K42" t="s">
        <v>608</v>
      </c>
      <c r="L42" s="17" t="s">
        <v>608</v>
      </c>
      <c r="M42" s="17" t="s">
        <v>608</v>
      </c>
      <c r="N42" t="s">
        <v>604</v>
      </c>
    </row>
    <row r="43" spans="1:14" x14ac:dyDescent="0.2">
      <c r="A43" t="s">
        <v>1136</v>
      </c>
      <c r="B43" t="s">
        <v>1137</v>
      </c>
      <c r="C43">
        <v>29.2</v>
      </c>
      <c r="D43">
        <v>7.81</v>
      </c>
      <c r="E43">
        <v>4.47</v>
      </c>
      <c r="F43">
        <v>7.76</v>
      </c>
      <c r="G43">
        <v>0.8</v>
      </c>
      <c r="H43" s="17" t="s">
        <v>608</v>
      </c>
      <c r="I43">
        <v>0.8</v>
      </c>
      <c r="J43" s="17" t="s">
        <v>608</v>
      </c>
      <c r="K43" t="s">
        <v>608</v>
      </c>
      <c r="L43" s="17" t="s">
        <v>608</v>
      </c>
      <c r="M43" s="17" t="s">
        <v>608</v>
      </c>
      <c r="N43" t="s">
        <v>604</v>
      </c>
    </row>
    <row r="44" spans="1:14" x14ac:dyDescent="0.2">
      <c r="A44" t="s">
        <v>1138</v>
      </c>
      <c r="B44" t="s">
        <v>1139</v>
      </c>
      <c r="C44">
        <v>28.6</v>
      </c>
      <c r="D44">
        <v>1.25</v>
      </c>
      <c r="E44">
        <v>5.43</v>
      </c>
      <c r="F44">
        <v>8.1199999999999992</v>
      </c>
      <c r="G44">
        <v>0.5</v>
      </c>
      <c r="H44" s="17" t="s">
        <v>608</v>
      </c>
      <c r="I44">
        <v>0.5</v>
      </c>
      <c r="J44" s="17" t="s">
        <v>608</v>
      </c>
      <c r="K44" t="s">
        <v>608</v>
      </c>
      <c r="L44" s="17" t="s">
        <v>608</v>
      </c>
      <c r="M44" s="17" t="s">
        <v>608</v>
      </c>
      <c r="N44" t="s">
        <v>604</v>
      </c>
    </row>
    <row r="45" spans="1:14" x14ac:dyDescent="0.2">
      <c r="A45" t="s">
        <v>1140</v>
      </c>
      <c r="B45" t="s">
        <v>1141</v>
      </c>
      <c r="C45">
        <v>28.1</v>
      </c>
      <c r="D45">
        <v>1.36</v>
      </c>
      <c r="E45">
        <v>4.9400000000000004</v>
      </c>
      <c r="F45">
        <v>8</v>
      </c>
      <c r="G45">
        <v>1</v>
      </c>
      <c r="H45" s="17" t="s">
        <v>608</v>
      </c>
      <c r="I45">
        <v>0.85</v>
      </c>
      <c r="J45" s="17" t="s">
        <v>608</v>
      </c>
      <c r="K45" t="s">
        <v>608</v>
      </c>
      <c r="L45" s="17" t="s">
        <v>608</v>
      </c>
      <c r="M45" s="17" t="s">
        <v>608</v>
      </c>
      <c r="N45" t="s">
        <v>604</v>
      </c>
    </row>
    <row r="46" spans="1:14" x14ac:dyDescent="0.2">
      <c r="A46" t="s">
        <v>1142</v>
      </c>
      <c r="B46" t="s">
        <v>1143</v>
      </c>
      <c r="C46">
        <v>28.2</v>
      </c>
      <c r="D46">
        <v>0.49</v>
      </c>
      <c r="E46">
        <v>4.53</v>
      </c>
      <c r="F46">
        <v>7.82</v>
      </c>
      <c r="G46">
        <v>1</v>
      </c>
      <c r="H46" s="17" t="s">
        <v>608</v>
      </c>
      <c r="I46">
        <v>0.8</v>
      </c>
      <c r="J46" s="17" t="s">
        <v>608</v>
      </c>
      <c r="K46" t="s">
        <v>608</v>
      </c>
      <c r="L46" s="17" t="s">
        <v>608</v>
      </c>
      <c r="M46" s="17" t="s">
        <v>608</v>
      </c>
      <c r="N46" t="s">
        <v>604</v>
      </c>
    </row>
    <row r="47" spans="1:14" x14ac:dyDescent="0.2">
      <c r="A47" t="s">
        <v>1144</v>
      </c>
      <c r="B47" t="s">
        <v>1145</v>
      </c>
      <c r="C47">
        <v>29.1</v>
      </c>
      <c r="D47">
        <v>4.29</v>
      </c>
      <c r="E47">
        <v>5.59</v>
      </c>
      <c r="F47">
        <v>7.72</v>
      </c>
      <c r="G47">
        <v>0.6</v>
      </c>
      <c r="H47" s="17" t="s">
        <v>608</v>
      </c>
      <c r="I47">
        <v>0.6</v>
      </c>
      <c r="J47" s="17" t="s">
        <v>608</v>
      </c>
      <c r="K47" t="s">
        <v>608</v>
      </c>
      <c r="L47" s="17" t="s">
        <v>608</v>
      </c>
      <c r="M47" s="17" t="s">
        <v>608</v>
      </c>
      <c r="N47" t="s">
        <v>604</v>
      </c>
    </row>
    <row r="48" spans="1:14" x14ac:dyDescent="0.2">
      <c r="A48" t="s">
        <v>1146</v>
      </c>
      <c r="B48" t="s">
        <v>1147</v>
      </c>
      <c r="C48">
        <v>29.1</v>
      </c>
      <c r="D48">
        <v>2.86</v>
      </c>
      <c r="E48">
        <v>6.93</v>
      </c>
      <c r="F48">
        <v>7.88</v>
      </c>
      <c r="G48">
        <v>1.1000000000000001</v>
      </c>
      <c r="H48" s="17" t="s">
        <v>608</v>
      </c>
      <c r="I48">
        <v>1.1000000000000001</v>
      </c>
      <c r="J48" s="17" t="s">
        <v>608</v>
      </c>
      <c r="K48" t="s">
        <v>608</v>
      </c>
      <c r="L48" s="17" t="s">
        <v>608</v>
      </c>
      <c r="M48" s="17" t="s">
        <v>608</v>
      </c>
      <c r="N48" t="s">
        <v>604</v>
      </c>
    </row>
    <row r="49" spans="1:14" x14ac:dyDescent="0.2">
      <c r="A49" t="s">
        <v>1148</v>
      </c>
      <c r="B49" t="s">
        <v>1149</v>
      </c>
      <c r="C49">
        <v>29</v>
      </c>
      <c r="D49">
        <v>3.19</v>
      </c>
      <c r="E49">
        <v>6.3</v>
      </c>
      <c r="F49">
        <v>7.78</v>
      </c>
      <c r="G49">
        <v>0.9</v>
      </c>
      <c r="H49" s="17" t="s">
        <v>608</v>
      </c>
      <c r="I49">
        <v>0.9</v>
      </c>
      <c r="J49" s="17" t="s">
        <v>608</v>
      </c>
      <c r="K49" t="s">
        <v>608</v>
      </c>
      <c r="L49" s="17" t="s">
        <v>608</v>
      </c>
      <c r="M49" s="17" t="s">
        <v>608</v>
      </c>
      <c r="N49" t="s">
        <v>604</v>
      </c>
    </row>
    <row r="50" spans="1:14" x14ac:dyDescent="0.2">
      <c r="A50" t="s">
        <v>1150</v>
      </c>
      <c r="B50" t="s">
        <v>1151</v>
      </c>
      <c r="C50">
        <v>25.8</v>
      </c>
      <c r="D50">
        <v>6.69</v>
      </c>
      <c r="E50">
        <v>6.11</v>
      </c>
      <c r="F50">
        <v>7.68</v>
      </c>
      <c r="G50">
        <v>0.7</v>
      </c>
      <c r="H50" s="17" t="s">
        <v>608</v>
      </c>
      <c r="I50">
        <v>0.7</v>
      </c>
      <c r="J50" s="17" t="s">
        <v>608</v>
      </c>
      <c r="K50" t="s">
        <v>608</v>
      </c>
      <c r="L50" s="17" t="s">
        <v>608</v>
      </c>
      <c r="M50">
        <v>2.95</v>
      </c>
      <c r="N50" t="s">
        <v>604</v>
      </c>
    </row>
    <row r="51" spans="1:14" x14ac:dyDescent="0.2">
      <c r="A51" t="s">
        <v>1152</v>
      </c>
      <c r="B51" t="s">
        <v>1153</v>
      </c>
      <c r="C51">
        <v>26</v>
      </c>
      <c r="D51">
        <v>7</v>
      </c>
      <c r="E51">
        <v>5.81</v>
      </c>
      <c r="F51">
        <v>7.69</v>
      </c>
      <c r="G51">
        <v>0.55000000000000004</v>
      </c>
      <c r="H51" s="17" t="s">
        <v>608</v>
      </c>
      <c r="I51">
        <v>0.55000000000000004</v>
      </c>
      <c r="J51" s="17" t="s">
        <v>608</v>
      </c>
      <c r="K51" t="s">
        <v>608</v>
      </c>
      <c r="L51" s="17" t="s">
        <v>608</v>
      </c>
      <c r="M51">
        <v>13.3</v>
      </c>
      <c r="N51" t="s">
        <v>604</v>
      </c>
    </row>
    <row r="52" spans="1:14" x14ac:dyDescent="0.2">
      <c r="A52" t="s">
        <v>1154</v>
      </c>
      <c r="B52" t="s">
        <v>1155</v>
      </c>
      <c r="C52">
        <v>26.2</v>
      </c>
      <c r="D52">
        <v>2.7</v>
      </c>
      <c r="E52">
        <v>5.1100000000000003</v>
      </c>
      <c r="F52">
        <v>8.17</v>
      </c>
      <c r="G52">
        <v>0.6</v>
      </c>
      <c r="H52" s="17" t="s">
        <v>608</v>
      </c>
      <c r="I52">
        <v>0.6</v>
      </c>
      <c r="J52" s="17" t="s">
        <v>608</v>
      </c>
      <c r="K52" t="s">
        <v>608</v>
      </c>
      <c r="L52" s="17" t="s">
        <v>608</v>
      </c>
      <c r="M52">
        <v>2.58</v>
      </c>
      <c r="N52" t="s">
        <v>604</v>
      </c>
    </row>
    <row r="53" spans="1:14" x14ac:dyDescent="0.2">
      <c r="A53" t="s">
        <v>1156</v>
      </c>
      <c r="B53" t="s">
        <v>1157</v>
      </c>
      <c r="C53">
        <v>25.6</v>
      </c>
      <c r="D53">
        <v>6.35</v>
      </c>
      <c r="E53">
        <v>7.24</v>
      </c>
      <c r="F53">
        <v>7.59</v>
      </c>
      <c r="G53">
        <v>0.8</v>
      </c>
      <c r="H53" s="17" t="s">
        <v>608</v>
      </c>
      <c r="I53">
        <v>0.8</v>
      </c>
      <c r="J53" s="17" t="s">
        <v>608</v>
      </c>
      <c r="K53" t="s">
        <v>608</v>
      </c>
      <c r="L53" s="17" t="s">
        <v>608</v>
      </c>
      <c r="M53">
        <v>2.79</v>
      </c>
      <c r="N53" t="s">
        <v>604</v>
      </c>
    </row>
    <row r="54" spans="1:14" x14ac:dyDescent="0.2">
      <c r="A54" t="s">
        <v>1158</v>
      </c>
      <c r="B54" t="s">
        <v>1159</v>
      </c>
      <c r="C54">
        <v>26.2</v>
      </c>
      <c r="D54">
        <v>5.0599999999999996</v>
      </c>
      <c r="E54">
        <v>6.64</v>
      </c>
      <c r="F54">
        <v>7.77</v>
      </c>
      <c r="G54">
        <v>0.9</v>
      </c>
      <c r="H54" s="17" t="s">
        <v>608</v>
      </c>
      <c r="I54">
        <v>0.9</v>
      </c>
      <c r="J54" s="17" t="s">
        <v>608</v>
      </c>
      <c r="K54" t="s">
        <v>608</v>
      </c>
      <c r="L54" s="17" t="s">
        <v>608</v>
      </c>
      <c r="M54">
        <v>2.96</v>
      </c>
      <c r="N54" t="s">
        <v>604</v>
      </c>
    </row>
    <row r="55" spans="1:14" x14ac:dyDescent="0.2">
      <c r="A55" t="s">
        <v>1160</v>
      </c>
      <c r="B55" t="s">
        <v>1161</v>
      </c>
      <c r="C55">
        <v>25.1</v>
      </c>
      <c r="D55">
        <v>5.32</v>
      </c>
      <c r="E55">
        <v>7.04</v>
      </c>
      <c r="F55">
        <v>7.65</v>
      </c>
      <c r="G55">
        <v>0.9</v>
      </c>
      <c r="H55" s="17" t="s">
        <v>608</v>
      </c>
      <c r="I55">
        <v>0.9</v>
      </c>
      <c r="J55" s="17" t="s">
        <v>608</v>
      </c>
      <c r="K55" t="s">
        <v>608</v>
      </c>
      <c r="L55" s="17" t="s">
        <v>608</v>
      </c>
      <c r="M55">
        <v>4.7300000000000004</v>
      </c>
      <c r="N55" t="s">
        <v>604</v>
      </c>
    </row>
    <row r="56" spans="1:14" x14ac:dyDescent="0.2">
      <c r="A56" t="s">
        <v>1162</v>
      </c>
      <c r="B56" t="s">
        <v>1163</v>
      </c>
      <c r="C56">
        <v>21.1</v>
      </c>
      <c r="D56">
        <v>13.55</v>
      </c>
      <c r="E56">
        <v>6.76</v>
      </c>
      <c r="F56">
        <v>7.8</v>
      </c>
      <c r="G56">
        <v>0.85</v>
      </c>
      <c r="H56" s="17" t="s">
        <v>608</v>
      </c>
      <c r="I56">
        <v>0.85</v>
      </c>
      <c r="J56" s="17" t="s">
        <v>608</v>
      </c>
      <c r="K56" t="s">
        <v>608</v>
      </c>
      <c r="L56" s="17" t="s">
        <v>608</v>
      </c>
      <c r="M56">
        <v>3.41</v>
      </c>
      <c r="N56" t="s">
        <v>604</v>
      </c>
    </row>
    <row r="57" spans="1:14" x14ac:dyDescent="0.2">
      <c r="A57" t="s">
        <v>1164</v>
      </c>
      <c r="B57" t="s">
        <v>1165</v>
      </c>
      <c r="C57">
        <v>21.5</v>
      </c>
      <c r="D57">
        <v>14.59</v>
      </c>
      <c r="E57">
        <v>7.06</v>
      </c>
      <c r="F57">
        <v>7.84</v>
      </c>
      <c r="G57">
        <v>0.35</v>
      </c>
      <c r="H57" s="17" t="s">
        <v>608</v>
      </c>
      <c r="I57">
        <v>0.35</v>
      </c>
      <c r="J57" s="17" t="s">
        <v>608</v>
      </c>
      <c r="K57" t="s">
        <v>608</v>
      </c>
      <c r="L57" s="17" t="s">
        <v>608</v>
      </c>
      <c r="M57">
        <v>1.89</v>
      </c>
      <c r="N57" t="s">
        <v>604</v>
      </c>
    </row>
    <row r="58" spans="1:14" x14ac:dyDescent="0.2">
      <c r="A58" t="s">
        <v>1166</v>
      </c>
      <c r="B58" t="s">
        <v>1167</v>
      </c>
      <c r="C58">
        <v>20.5</v>
      </c>
      <c r="D58">
        <v>6.66</v>
      </c>
      <c r="E58">
        <v>6.27</v>
      </c>
      <c r="F58">
        <v>7.57</v>
      </c>
      <c r="G58">
        <v>0.5</v>
      </c>
      <c r="H58" s="17" t="s">
        <v>608</v>
      </c>
      <c r="I58">
        <v>0.5</v>
      </c>
      <c r="J58" s="17" t="s">
        <v>608</v>
      </c>
      <c r="K58" t="s">
        <v>608</v>
      </c>
      <c r="L58" s="17" t="s">
        <v>608</v>
      </c>
      <c r="M58">
        <v>5.09</v>
      </c>
      <c r="N58" t="s">
        <v>604</v>
      </c>
    </row>
    <row r="59" spans="1:14" x14ac:dyDescent="0.2">
      <c r="A59" t="s">
        <v>1168</v>
      </c>
      <c r="B59" t="s">
        <v>1169</v>
      </c>
      <c r="C59">
        <v>21.1</v>
      </c>
      <c r="D59">
        <v>19.010000000000002</v>
      </c>
      <c r="E59">
        <v>7.43</v>
      </c>
      <c r="F59">
        <v>7.92</v>
      </c>
      <c r="G59">
        <v>0.4</v>
      </c>
      <c r="H59" s="17" t="s">
        <v>608</v>
      </c>
      <c r="I59">
        <v>0.4</v>
      </c>
      <c r="J59" s="17" t="s">
        <v>608</v>
      </c>
      <c r="K59" t="s">
        <v>608</v>
      </c>
      <c r="L59" s="17" t="s">
        <v>608</v>
      </c>
      <c r="M59">
        <v>5.03</v>
      </c>
      <c r="N59" t="s">
        <v>604</v>
      </c>
    </row>
    <row r="60" spans="1:14" x14ac:dyDescent="0.2">
      <c r="A60" t="s">
        <v>1170</v>
      </c>
      <c r="B60" t="s">
        <v>1171</v>
      </c>
      <c r="C60">
        <v>22.7</v>
      </c>
      <c r="D60">
        <v>20.65</v>
      </c>
      <c r="E60">
        <v>6.42</v>
      </c>
      <c r="F60">
        <v>7.86</v>
      </c>
      <c r="G60">
        <v>0.85</v>
      </c>
      <c r="H60" s="17" t="s">
        <v>608</v>
      </c>
      <c r="I60">
        <v>0.85</v>
      </c>
      <c r="J60" s="17" t="s">
        <v>608</v>
      </c>
      <c r="K60" t="s">
        <v>608</v>
      </c>
      <c r="L60" s="17" t="s">
        <v>608</v>
      </c>
      <c r="M60">
        <v>2.2999999999999998</v>
      </c>
      <c r="N60" t="s">
        <v>604</v>
      </c>
    </row>
    <row r="61" spans="1:14" x14ac:dyDescent="0.2">
      <c r="A61" t="s">
        <v>1172</v>
      </c>
      <c r="B61" t="s">
        <v>1173</v>
      </c>
      <c r="C61">
        <v>21.1</v>
      </c>
      <c r="D61">
        <v>17.489999999999998</v>
      </c>
      <c r="E61">
        <v>7.38</v>
      </c>
      <c r="F61">
        <v>7.89</v>
      </c>
      <c r="G61">
        <v>0.5</v>
      </c>
      <c r="H61" s="17" t="s">
        <v>608</v>
      </c>
      <c r="I61">
        <v>0.5</v>
      </c>
      <c r="J61" s="17" t="s">
        <v>608</v>
      </c>
      <c r="K61" t="s">
        <v>608</v>
      </c>
      <c r="L61" s="17" t="s">
        <v>608</v>
      </c>
      <c r="M61">
        <v>4.99</v>
      </c>
      <c r="N61" t="s">
        <v>604</v>
      </c>
    </row>
    <row r="62" spans="1:14" x14ac:dyDescent="0.2">
      <c r="A62" t="s">
        <v>1174</v>
      </c>
      <c r="B62" t="s">
        <v>1175</v>
      </c>
      <c r="C62">
        <v>22.3</v>
      </c>
      <c r="D62">
        <v>23.46</v>
      </c>
      <c r="E62">
        <v>7.67</v>
      </c>
      <c r="F62">
        <v>8.18</v>
      </c>
      <c r="G62">
        <v>0.9</v>
      </c>
      <c r="H62" s="17" t="s">
        <v>608</v>
      </c>
      <c r="I62">
        <v>0.9</v>
      </c>
      <c r="J62" s="17" t="s">
        <v>608</v>
      </c>
      <c r="K62" t="s">
        <v>608</v>
      </c>
      <c r="L62" s="17" t="s">
        <v>608</v>
      </c>
      <c r="M62">
        <v>2.4</v>
      </c>
      <c r="N62" t="s">
        <v>604</v>
      </c>
    </row>
    <row r="63" spans="1:14" x14ac:dyDescent="0.2">
      <c r="A63" t="s">
        <v>1176</v>
      </c>
      <c r="B63" t="s">
        <v>1177</v>
      </c>
      <c r="C63">
        <v>22.2</v>
      </c>
      <c r="D63">
        <v>23.1</v>
      </c>
      <c r="E63">
        <v>7.89</v>
      </c>
      <c r="F63">
        <v>8.18</v>
      </c>
      <c r="G63">
        <v>0.6</v>
      </c>
      <c r="H63" s="17" t="s">
        <v>608</v>
      </c>
      <c r="I63">
        <v>0.6</v>
      </c>
      <c r="J63" s="17" t="s">
        <v>608</v>
      </c>
      <c r="K63" t="s">
        <v>608</v>
      </c>
      <c r="L63" s="17" t="s">
        <v>608</v>
      </c>
      <c r="M63">
        <v>2.33</v>
      </c>
      <c r="N63" t="s">
        <v>604</v>
      </c>
    </row>
    <row r="64" spans="1:14" x14ac:dyDescent="0.2">
      <c r="A64" t="s">
        <v>1178</v>
      </c>
      <c r="B64" t="s">
        <v>1179</v>
      </c>
      <c r="C64">
        <v>21.6</v>
      </c>
      <c r="D64">
        <v>13.2</v>
      </c>
      <c r="E64">
        <v>7.44</v>
      </c>
      <c r="F64">
        <v>7.97</v>
      </c>
      <c r="G64">
        <v>0.9</v>
      </c>
      <c r="H64" s="17" t="s">
        <v>608</v>
      </c>
      <c r="I64">
        <v>0.9</v>
      </c>
      <c r="J64" s="17" t="s">
        <v>608</v>
      </c>
      <c r="K64" t="s">
        <v>608</v>
      </c>
      <c r="L64" s="17" t="s">
        <v>608</v>
      </c>
      <c r="M64">
        <v>2.58</v>
      </c>
      <c r="N64" t="s">
        <v>604</v>
      </c>
    </row>
    <row r="65" spans="1:14" x14ac:dyDescent="0.2">
      <c r="A65" t="s">
        <v>1180</v>
      </c>
      <c r="B65" t="s">
        <v>1181</v>
      </c>
      <c r="C65">
        <v>21.1</v>
      </c>
      <c r="D65">
        <v>25.81</v>
      </c>
      <c r="E65">
        <v>7.92</v>
      </c>
      <c r="F65">
        <v>8.14</v>
      </c>
      <c r="G65">
        <v>0.6</v>
      </c>
      <c r="H65" s="17" t="s">
        <v>608</v>
      </c>
      <c r="I65">
        <v>0.6</v>
      </c>
      <c r="J65" s="17" t="s">
        <v>608</v>
      </c>
      <c r="K65" t="s">
        <v>608</v>
      </c>
      <c r="L65" s="17" t="s">
        <v>608</v>
      </c>
      <c r="M65">
        <v>2.97</v>
      </c>
      <c r="N65" t="s">
        <v>604</v>
      </c>
    </row>
    <row r="66" spans="1:14" x14ac:dyDescent="0.2">
      <c r="A66" t="s">
        <v>1182</v>
      </c>
      <c r="B66" t="s">
        <v>1183</v>
      </c>
      <c r="C66">
        <v>22.2</v>
      </c>
      <c r="D66">
        <v>28.65</v>
      </c>
      <c r="E66">
        <v>8.1</v>
      </c>
      <c r="F66">
        <v>8.27</v>
      </c>
      <c r="G66">
        <v>0.7</v>
      </c>
      <c r="H66" s="17" t="s">
        <v>608</v>
      </c>
      <c r="I66">
        <v>0.7</v>
      </c>
      <c r="J66" s="17" t="s">
        <v>608</v>
      </c>
      <c r="K66" t="s">
        <v>608</v>
      </c>
      <c r="L66" s="17" t="s">
        <v>608</v>
      </c>
      <c r="M66">
        <v>2.91</v>
      </c>
      <c r="N66" t="s">
        <v>604</v>
      </c>
    </row>
    <row r="67" spans="1:14" x14ac:dyDescent="0.2">
      <c r="A67" t="s">
        <v>1184</v>
      </c>
      <c r="B67" t="s">
        <v>1185</v>
      </c>
      <c r="C67">
        <v>21.1</v>
      </c>
      <c r="D67">
        <v>24.49</v>
      </c>
      <c r="E67">
        <v>8.06</v>
      </c>
      <c r="F67">
        <v>8.1199999999999992</v>
      </c>
      <c r="G67">
        <v>0.6</v>
      </c>
      <c r="H67" s="17" t="s">
        <v>608</v>
      </c>
      <c r="I67">
        <v>0.6</v>
      </c>
      <c r="J67" s="17" t="s">
        <v>608</v>
      </c>
      <c r="K67" t="s">
        <v>608</v>
      </c>
      <c r="L67" s="17" t="s">
        <v>608</v>
      </c>
      <c r="M67">
        <v>2.87</v>
      </c>
      <c r="N67" t="s">
        <v>604</v>
      </c>
    </row>
    <row r="68" spans="1:14" x14ac:dyDescent="0.2">
      <c r="A68" t="s">
        <v>1186</v>
      </c>
      <c r="B68" t="s">
        <v>1187</v>
      </c>
      <c r="C68">
        <v>17.5</v>
      </c>
      <c r="D68">
        <v>29.39</v>
      </c>
      <c r="E68">
        <v>8.56</v>
      </c>
      <c r="F68">
        <v>8.27</v>
      </c>
      <c r="G68">
        <v>0.8</v>
      </c>
      <c r="H68" s="17" t="s">
        <v>608</v>
      </c>
      <c r="I68">
        <v>0.8</v>
      </c>
      <c r="J68" s="17" t="s">
        <v>608</v>
      </c>
      <c r="K68" t="s">
        <v>608</v>
      </c>
      <c r="L68" s="17" t="s">
        <v>608</v>
      </c>
      <c r="M68">
        <v>2.14</v>
      </c>
      <c r="N68" t="s">
        <v>604</v>
      </c>
    </row>
    <row r="69" spans="1:14" x14ac:dyDescent="0.2">
      <c r="A69" t="s">
        <v>1188</v>
      </c>
      <c r="B69" t="s">
        <v>1189</v>
      </c>
      <c r="C69">
        <v>17.3</v>
      </c>
      <c r="D69">
        <v>28.8</v>
      </c>
      <c r="E69">
        <v>8.6</v>
      </c>
      <c r="F69">
        <v>8.26</v>
      </c>
      <c r="G69">
        <v>0.6</v>
      </c>
      <c r="H69" s="17" t="s">
        <v>608</v>
      </c>
      <c r="I69">
        <v>0.6</v>
      </c>
      <c r="J69" s="17" t="s">
        <v>608</v>
      </c>
      <c r="K69" t="s">
        <v>608</v>
      </c>
      <c r="L69" s="17" t="s">
        <v>608</v>
      </c>
      <c r="M69">
        <v>3.31</v>
      </c>
      <c r="N69" t="s">
        <v>604</v>
      </c>
    </row>
    <row r="70" spans="1:14" x14ac:dyDescent="0.2">
      <c r="A70" t="s">
        <v>1190</v>
      </c>
      <c r="B70" t="s">
        <v>1191</v>
      </c>
      <c r="C70">
        <v>17.399999999999999</v>
      </c>
      <c r="D70">
        <v>25.48</v>
      </c>
      <c r="E70">
        <v>8.64</v>
      </c>
      <c r="F70">
        <v>8.2100000000000009</v>
      </c>
      <c r="G70">
        <v>0.75</v>
      </c>
      <c r="H70" s="17" t="s">
        <v>608</v>
      </c>
      <c r="I70">
        <v>0.75</v>
      </c>
      <c r="J70" s="17" t="s">
        <v>608</v>
      </c>
      <c r="K70" t="s">
        <v>608</v>
      </c>
      <c r="L70" s="17" t="s">
        <v>608</v>
      </c>
      <c r="M70">
        <v>3.98</v>
      </c>
      <c r="N70" t="s">
        <v>604</v>
      </c>
    </row>
    <row r="71" spans="1:14" x14ac:dyDescent="0.2">
      <c r="A71" t="s">
        <v>1192</v>
      </c>
      <c r="B71" t="s">
        <v>1193</v>
      </c>
      <c r="C71">
        <v>17.3</v>
      </c>
      <c r="D71">
        <v>32.35</v>
      </c>
      <c r="E71">
        <v>8.9700000000000006</v>
      </c>
      <c r="F71">
        <v>8.2799999999999994</v>
      </c>
      <c r="G71">
        <v>0.9</v>
      </c>
      <c r="H71" s="17" t="s">
        <v>608</v>
      </c>
      <c r="I71">
        <v>0.9</v>
      </c>
      <c r="J71" s="17" t="s">
        <v>608</v>
      </c>
      <c r="K71" t="s">
        <v>608</v>
      </c>
      <c r="L71" s="17" t="s">
        <v>608</v>
      </c>
      <c r="M71">
        <v>8.9499999999999993</v>
      </c>
      <c r="N71" t="s">
        <v>604</v>
      </c>
    </row>
    <row r="72" spans="1:14" x14ac:dyDescent="0.2">
      <c r="A72" t="s">
        <v>1194</v>
      </c>
      <c r="B72" t="s">
        <v>1195</v>
      </c>
      <c r="C72">
        <v>17.600000000000001</v>
      </c>
      <c r="D72">
        <v>32.340000000000003</v>
      </c>
      <c r="E72">
        <v>8.94</v>
      </c>
      <c r="F72">
        <v>8.2799999999999994</v>
      </c>
      <c r="G72">
        <v>1</v>
      </c>
      <c r="H72" s="17" t="s">
        <v>608</v>
      </c>
      <c r="I72">
        <v>1</v>
      </c>
      <c r="J72" s="17" t="s">
        <v>608</v>
      </c>
      <c r="K72" t="s">
        <v>608</v>
      </c>
      <c r="L72" s="17" t="s">
        <v>608</v>
      </c>
      <c r="M72">
        <v>6.21</v>
      </c>
      <c r="N72" t="s">
        <v>604</v>
      </c>
    </row>
    <row r="73" spans="1:14" x14ac:dyDescent="0.2">
      <c r="A73" t="s">
        <v>1196</v>
      </c>
      <c r="B73" t="s">
        <v>1197</v>
      </c>
      <c r="C73">
        <v>17.100000000000001</v>
      </c>
      <c r="D73">
        <v>32.520000000000003</v>
      </c>
      <c r="E73">
        <v>8.8699999999999992</v>
      </c>
      <c r="F73">
        <v>8.2799999999999994</v>
      </c>
      <c r="G73">
        <v>0.8</v>
      </c>
      <c r="H73" s="17" t="s">
        <v>608</v>
      </c>
      <c r="I73">
        <v>0.8</v>
      </c>
      <c r="J73" s="17" t="s">
        <v>608</v>
      </c>
      <c r="K73" t="s">
        <v>608</v>
      </c>
      <c r="L73" s="17" t="s">
        <v>608</v>
      </c>
      <c r="M73">
        <v>5.87</v>
      </c>
      <c r="N73" t="s">
        <v>604</v>
      </c>
    </row>
    <row r="74" spans="1:14" x14ac:dyDescent="0.2">
      <c r="A74" t="s">
        <v>1198</v>
      </c>
      <c r="B74" t="s">
        <v>1199</v>
      </c>
      <c r="C74">
        <v>26.7</v>
      </c>
      <c r="D74">
        <v>30.38</v>
      </c>
      <c r="E74">
        <v>7.45</v>
      </c>
      <c r="F74">
        <v>8.0500000000000007</v>
      </c>
      <c r="G74">
        <v>0.55000000000000004</v>
      </c>
      <c r="H74" s="17" t="s">
        <v>608</v>
      </c>
      <c r="I74">
        <v>0.55000000000000004</v>
      </c>
      <c r="J74" s="17" t="s">
        <v>608</v>
      </c>
      <c r="K74" t="s">
        <v>608</v>
      </c>
      <c r="L74" s="17" t="s">
        <v>608</v>
      </c>
      <c r="M74">
        <v>8.5299999999999994</v>
      </c>
      <c r="N74" t="s">
        <v>604</v>
      </c>
    </row>
    <row r="75" spans="1:14" x14ac:dyDescent="0.2">
      <c r="A75" t="s">
        <v>1200</v>
      </c>
      <c r="B75" t="s">
        <v>1201</v>
      </c>
      <c r="C75">
        <v>26.7</v>
      </c>
      <c r="D75">
        <v>30.07</v>
      </c>
      <c r="E75">
        <v>7.68</v>
      </c>
      <c r="F75">
        <v>8</v>
      </c>
      <c r="G75">
        <v>0.6</v>
      </c>
      <c r="H75" s="17" t="s">
        <v>608</v>
      </c>
      <c r="I75">
        <v>0.6</v>
      </c>
      <c r="J75" s="17" t="s">
        <v>608</v>
      </c>
      <c r="K75" t="s">
        <v>608</v>
      </c>
      <c r="L75" s="17" t="s">
        <v>608</v>
      </c>
      <c r="M75">
        <v>5.3</v>
      </c>
      <c r="N75" t="s">
        <v>604</v>
      </c>
    </row>
    <row r="76" spans="1:14" x14ac:dyDescent="0.2">
      <c r="A76" t="s">
        <v>1202</v>
      </c>
      <c r="B76" t="s">
        <v>1203</v>
      </c>
      <c r="C76">
        <v>26.7</v>
      </c>
      <c r="D76">
        <v>30.41</v>
      </c>
      <c r="E76">
        <v>8.01</v>
      </c>
      <c r="F76">
        <v>8.07</v>
      </c>
      <c r="G76">
        <v>0.5</v>
      </c>
      <c r="H76" s="17" t="s">
        <v>608</v>
      </c>
      <c r="I76">
        <v>0.5</v>
      </c>
      <c r="J76" s="17" t="s">
        <v>608</v>
      </c>
      <c r="K76" t="s">
        <v>608</v>
      </c>
      <c r="L76" s="17" t="s">
        <v>608</v>
      </c>
      <c r="M76">
        <v>7.31</v>
      </c>
      <c r="N76" t="s">
        <v>604</v>
      </c>
    </row>
    <row r="77" spans="1:14" x14ac:dyDescent="0.2">
      <c r="A77" t="s">
        <v>1204</v>
      </c>
      <c r="B77" t="s">
        <v>1205</v>
      </c>
      <c r="C77">
        <v>24.6</v>
      </c>
      <c r="D77">
        <v>22.13</v>
      </c>
      <c r="E77">
        <v>5.75</v>
      </c>
      <c r="F77">
        <v>7.86</v>
      </c>
      <c r="G77">
        <v>0.6</v>
      </c>
      <c r="H77" s="17" t="s">
        <v>608</v>
      </c>
      <c r="I77">
        <v>0.6</v>
      </c>
      <c r="J77" s="17" t="s">
        <v>608</v>
      </c>
      <c r="K77" t="s">
        <v>608</v>
      </c>
      <c r="L77" s="17" t="s">
        <v>608</v>
      </c>
      <c r="M77">
        <v>4.3600000000000003</v>
      </c>
      <c r="N77" t="s">
        <v>604</v>
      </c>
    </row>
    <row r="78" spans="1:14" x14ac:dyDescent="0.2">
      <c r="A78" t="s">
        <v>1206</v>
      </c>
      <c r="B78" t="s">
        <v>1207</v>
      </c>
      <c r="C78">
        <v>24.9</v>
      </c>
      <c r="D78">
        <v>22.01</v>
      </c>
      <c r="E78">
        <v>6.13</v>
      </c>
      <c r="F78">
        <v>7.87</v>
      </c>
      <c r="G78">
        <v>0.5</v>
      </c>
      <c r="H78" s="17" t="s">
        <v>608</v>
      </c>
      <c r="I78">
        <v>0.5</v>
      </c>
      <c r="J78" s="17" t="s">
        <v>608</v>
      </c>
      <c r="K78" t="s">
        <v>608</v>
      </c>
      <c r="L78" s="17" t="s">
        <v>608</v>
      </c>
      <c r="M78">
        <v>8.11</v>
      </c>
      <c r="N78" t="s">
        <v>604</v>
      </c>
    </row>
    <row r="79" spans="1:14" x14ac:dyDescent="0.2">
      <c r="A79" t="s">
        <v>1208</v>
      </c>
      <c r="B79" t="s">
        <v>1209</v>
      </c>
      <c r="C79">
        <v>24.2</v>
      </c>
      <c r="D79">
        <v>13.92</v>
      </c>
      <c r="E79">
        <v>5.08</v>
      </c>
      <c r="F79">
        <v>7.84</v>
      </c>
      <c r="G79">
        <v>0.5</v>
      </c>
      <c r="H79" s="17" t="s">
        <v>608</v>
      </c>
      <c r="I79">
        <v>0.5</v>
      </c>
      <c r="J79" s="17" t="s">
        <v>608</v>
      </c>
      <c r="K79" t="s">
        <v>608</v>
      </c>
      <c r="L79" s="17" t="s">
        <v>608</v>
      </c>
      <c r="M79">
        <v>3.52</v>
      </c>
      <c r="N79" t="s">
        <v>604</v>
      </c>
    </row>
    <row r="80" spans="1:14" x14ac:dyDescent="0.2">
      <c r="A80" t="s">
        <v>1210</v>
      </c>
      <c r="B80" t="s">
        <v>1211</v>
      </c>
      <c r="C80">
        <v>25</v>
      </c>
      <c r="D80">
        <v>23.48</v>
      </c>
      <c r="E80">
        <v>7.68</v>
      </c>
      <c r="F80">
        <v>7.77</v>
      </c>
      <c r="G80">
        <v>0.95</v>
      </c>
      <c r="H80" s="17" t="s">
        <v>608</v>
      </c>
      <c r="I80">
        <v>0.95</v>
      </c>
      <c r="J80" s="17" t="s">
        <v>608</v>
      </c>
      <c r="K80" t="s">
        <v>608</v>
      </c>
      <c r="L80" s="17" t="s">
        <v>608</v>
      </c>
      <c r="M80">
        <v>3.32</v>
      </c>
      <c r="N80" t="s">
        <v>604</v>
      </c>
    </row>
    <row r="81" spans="1:14" x14ac:dyDescent="0.2">
      <c r="A81" t="s">
        <v>1212</v>
      </c>
      <c r="B81" t="s">
        <v>1213</v>
      </c>
      <c r="C81">
        <v>25.2</v>
      </c>
      <c r="D81">
        <v>23.59</v>
      </c>
      <c r="E81">
        <v>7.62</v>
      </c>
      <c r="F81">
        <v>7.76</v>
      </c>
      <c r="G81">
        <v>0.65</v>
      </c>
      <c r="H81" s="17" t="s">
        <v>608</v>
      </c>
      <c r="I81">
        <v>0.65</v>
      </c>
      <c r="J81" s="17" t="s">
        <v>608</v>
      </c>
      <c r="K81" t="s">
        <v>608</v>
      </c>
      <c r="L81" s="17" t="s">
        <v>608</v>
      </c>
      <c r="M81">
        <v>3.07</v>
      </c>
      <c r="N81" t="s">
        <v>604</v>
      </c>
    </row>
    <row r="82" spans="1:14" x14ac:dyDescent="0.2">
      <c r="A82" t="s">
        <v>1214</v>
      </c>
      <c r="B82" t="s">
        <v>1215</v>
      </c>
      <c r="C82">
        <v>24.8</v>
      </c>
      <c r="D82">
        <v>24.51</v>
      </c>
      <c r="E82">
        <v>7.02</v>
      </c>
      <c r="F82">
        <v>7.73</v>
      </c>
      <c r="G82">
        <v>0.75</v>
      </c>
      <c r="H82" s="17" t="s">
        <v>608</v>
      </c>
      <c r="I82">
        <v>0.75</v>
      </c>
      <c r="J82" s="17" t="s">
        <v>608</v>
      </c>
      <c r="K82" t="s">
        <v>608</v>
      </c>
      <c r="L82" s="17" t="s">
        <v>608</v>
      </c>
      <c r="M82">
        <v>3.82</v>
      </c>
      <c r="N82" t="s">
        <v>604</v>
      </c>
    </row>
    <row r="83" spans="1:14" x14ac:dyDescent="0.2">
      <c r="A83" t="s">
        <v>1216</v>
      </c>
      <c r="B83" t="s">
        <v>1217</v>
      </c>
      <c r="C83">
        <v>25</v>
      </c>
      <c r="D83">
        <v>31.5</v>
      </c>
      <c r="E83">
        <v>8.86</v>
      </c>
      <c r="F83">
        <v>8.0299999999999994</v>
      </c>
      <c r="G83">
        <v>0.7</v>
      </c>
      <c r="H83" s="17" t="s">
        <v>608</v>
      </c>
      <c r="I83">
        <v>0.7</v>
      </c>
      <c r="J83" s="17" t="s">
        <v>608</v>
      </c>
      <c r="K83" t="s">
        <v>608</v>
      </c>
      <c r="L83" s="17" t="s">
        <v>608</v>
      </c>
      <c r="M83">
        <v>13.8</v>
      </c>
      <c r="N83" t="s">
        <v>604</v>
      </c>
    </row>
    <row r="84" spans="1:14" x14ac:dyDescent="0.2">
      <c r="A84" t="s">
        <v>1218</v>
      </c>
      <c r="B84" t="s">
        <v>1219</v>
      </c>
      <c r="C84">
        <v>25</v>
      </c>
      <c r="D84">
        <v>31.02</v>
      </c>
      <c r="E84">
        <v>9.0299999999999994</v>
      </c>
      <c r="F84">
        <v>7.92</v>
      </c>
      <c r="G84">
        <v>0.95</v>
      </c>
      <c r="H84" s="17" t="s">
        <v>608</v>
      </c>
      <c r="I84">
        <v>0.95</v>
      </c>
      <c r="J84" s="17" t="s">
        <v>608</v>
      </c>
      <c r="K84" t="s">
        <v>608</v>
      </c>
      <c r="L84" s="17" t="s">
        <v>608</v>
      </c>
      <c r="M84">
        <v>10.5</v>
      </c>
      <c r="N84" t="s">
        <v>604</v>
      </c>
    </row>
    <row r="85" spans="1:14" x14ac:dyDescent="0.2">
      <c r="A85" t="s">
        <v>1220</v>
      </c>
      <c r="B85" t="s">
        <v>1221</v>
      </c>
      <c r="C85">
        <v>25.4</v>
      </c>
      <c r="D85">
        <v>30.61</v>
      </c>
      <c r="E85">
        <v>9.2899999999999991</v>
      </c>
      <c r="F85">
        <v>7.9</v>
      </c>
      <c r="G85">
        <v>0.8</v>
      </c>
      <c r="H85" s="17" t="s">
        <v>608</v>
      </c>
      <c r="I85">
        <v>0.8</v>
      </c>
      <c r="J85" s="17" t="s">
        <v>608</v>
      </c>
      <c r="K85" t="s">
        <v>608</v>
      </c>
      <c r="L85" s="17" t="s">
        <v>608</v>
      </c>
      <c r="M85">
        <v>9.58</v>
      </c>
      <c r="N85" t="s">
        <v>604</v>
      </c>
    </row>
    <row r="86" spans="1:14" x14ac:dyDescent="0.2">
      <c r="A86" t="s">
        <v>1222</v>
      </c>
      <c r="B86" t="s">
        <v>1223</v>
      </c>
      <c r="C86">
        <v>30.4</v>
      </c>
      <c r="D86">
        <v>26.61</v>
      </c>
      <c r="E86">
        <v>7.64</v>
      </c>
      <c r="F86">
        <v>7.97</v>
      </c>
      <c r="G86">
        <v>1.05</v>
      </c>
      <c r="H86" s="17" t="s">
        <v>608</v>
      </c>
      <c r="I86">
        <v>1.05</v>
      </c>
      <c r="J86" s="17" t="s">
        <v>608</v>
      </c>
      <c r="K86" t="s">
        <v>608</v>
      </c>
      <c r="L86" s="17" t="s">
        <v>608</v>
      </c>
      <c r="M86">
        <v>7.05</v>
      </c>
      <c r="N86" t="s">
        <v>604</v>
      </c>
    </row>
    <row r="87" spans="1:14" x14ac:dyDescent="0.2">
      <c r="A87" t="s">
        <v>1224</v>
      </c>
      <c r="B87" t="s">
        <v>1225</v>
      </c>
      <c r="C87">
        <v>30.4</v>
      </c>
      <c r="D87">
        <v>26.03</v>
      </c>
      <c r="E87">
        <v>7.63</v>
      </c>
      <c r="F87">
        <v>7.95</v>
      </c>
      <c r="G87">
        <v>0.65</v>
      </c>
      <c r="H87" s="17" t="s">
        <v>608</v>
      </c>
      <c r="I87">
        <v>0.65</v>
      </c>
      <c r="J87" s="17" t="s">
        <v>608</v>
      </c>
      <c r="K87" t="s">
        <v>608</v>
      </c>
      <c r="L87" s="17" t="s">
        <v>608</v>
      </c>
      <c r="M87">
        <v>6.28</v>
      </c>
      <c r="N87" t="s">
        <v>604</v>
      </c>
    </row>
    <row r="88" spans="1:14" x14ac:dyDescent="0.2">
      <c r="A88" t="s">
        <v>1226</v>
      </c>
      <c r="B88" t="s">
        <v>1227</v>
      </c>
      <c r="C88">
        <v>30.5</v>
      </c>
      <c r="D88">
        <v>24.47</v>
      </c>
      <c r="E88">
        <v>7.05</v>
      </c>
      <c r="F88">
        <v>7.89</v>
      </c>
      <c r="G88">
        <v>0.65</v>
      </c>
      <c r="H88" s="17" t="s">
        <v>608</v>
      </c>
      <c r="I88">
        <v>0.65</v>
      </c>
      <c r="J88" s="17" t="s">
        <v>608</v>
      </c>
      <c r="K88" t="s">
        <v>608</v>
      </c>
      <c r="L88" s="17" t="s">
        <v>608</v>
      </c>
      <c r="M88">
        <v>3.46</v>
      </c>
      <c r="N88" t="s">
        <v>604</v>
      </c>
    </row>
    <row r="89" spans="1:14" x14ac:dyDescent="0.2">
      <c r="A89" t="s">
        <v>1228</v>
      </c>
      <c r="B89" t="s">
        <v>1229</v>
      </c>
      <c r="C89">
        <v>30.1</v>
      </c>
      <c r="D89">
        <v>34.57</v>
      </c>
      <c r="E89">
        <v>8.0500000000000007</v>
      </c>
      <c r="F89">
        <v>8.11</v>
      </c>
      <c r="G89">
        <v>0.85</v>
      </c>
      <c r="H89" s="17" t="s">
        <v>608</v>
      </c>
      <c r="I89">
        <v>0.85</v>
      </c>
      <c r="J89" s="17" t="s">
        <v>608</v>
      </c>
      <c r="K89" t="s">
        <v>608</v>
      </c>
      <c r="L89" s="17" t="s">
        <v>608</v>
      </c>
      <c r="M89">
        <v>8</v>
      </c>
      <c r="N89" t="s">
        <v>604</v>
      </c>
    </row>
    <row r="90" spans="1:14" x14ac:dyDescent="0.2">
      <c r="A90" t="s">
        <v>1230</v>
      </c>
      <c r="B90" t="s">
        <v>1231</v>
      </c>
      <c r="C90">
        <v>30.8</v>
      </c>
      <c r="D90">
        <v>33.54</v>
      </c>
      <c r="E90">
        <v>9.66</v>
      </c>
      <c r="F90">
        <v>8.1300000000000008</v>
      </c>
      <c r="G90">
        <v>0.8</v>
      </c>
      <c r="H90" s="17" t="s">
        <v>608</v>
      </c>
      <c r="I90">
        <v>0.8</v>
      </c>
      <c r="J90" s="17" t="s">
        <v>608</v>
      </c>
      <c r="K90" t="s">
        <v>608</v>
      </c>
      <c r="L90" s="17" t="s">
        <v>608</v>
      </c>
      <c r="M90">
        <v>8.3800000000000008</v>
      </c>
      <c r="N90" t="s">
        <v>604</v>
      </c>
    </row>
    <row r="91" spans="1:14" x14ac:dyDescent="0.2">
      <c r="A91" t="s">
        <v>1232</v>
      </c>
      <c r="B91" t="s">
        <v>1233</v>
      </c>
      <c r="C91">
        <v>30.8</v>
      </c>
      <c r="D91">
        <v>33.53</v>
      </c>
      <c r="E91">
        <v>9.3000000000000007</v>
      </c>
      <c r="F91">
        <v>8.1</v>
      </c>
      <c r="G91">
        <v>0.75</v>
      </c>
      <c r="H91" s="17" t="s">
        <v>608</v>
      </c>
      <c r="I91">
        <v>0.75</v>
      </c>
      <c r="J91" s="17" t="s">
        <v>608</v>
      </c>
      <c r="K91" t="s">
        <v>608</v>
      </c>
      <c r="L91" s="17" t="s">
        <v>608</v>
      </c>
      <c r="M91">
        <v>5</v>
      </c>
      <c r="N91" t="s">
        <v>604</v>
      </c>
    </row>
    <row r="92" spans="1:14" x14ac:dyDescent="0.2">
      <c r="A92" t="s">
        <v>1234</v>
      </c>
      <c r="B92" t="s">
        <v>1235</v>
      </c>
      <c r="C92">
        <v>31.7</v>
      </c>
      <c r="D92">
        <v>21.27</v>
      </c>
      <c r="E92">
        <v>8.4600000000000009</v>
      </c>
      <c r="F92">
        <v>7.93</v>
      </c>
      <c r="G92">
        <v>0.6</v>
      </c>
      <c r="H92" s="17" t="s">
        <v>608</v>
      </c>
      <c r="I92">
        <v>0.6</v>
      </c>
      <c r="J92" s="17" t="s">
        <v>608</v>
      </c>
      <c r="K92" t="s">
        <v>608</v>
      </c>
      <c r="L92" s="17" t="s">
        <v>608</v>
      </c>
      <c r="M92">
        <v>1.7</v>
      </c>
      <c r="N92" t="s">
        <v>604</v>
      </c>
    </row>
    <row r="93" spans="1:14" x14ac:dyDescent="0.2">
      <c r="A93" t="s">
        <v>1236</v>
      </c>
      <c r="B93" t="s">
        <v>1237</v>
      </c>
      <c r="C93">
        <v>31.2</v>
      </c>
      <c r="D93">
        <v>18.2</v>
      </c>
      <c r="E93">
        <v>7.97</v>
      </c>
      <c r="F93">
        <v>7.92</v>
      </c>
      <c r="G93">
        <v>0.4</v>
      </c>
      <c r="H93" s="17" t="s">
        <v>608</v>
      </c>
      <c r="I93">
        <v>0.4</v>
      </c>
      <c r="J93" s="17" t="s">
        <v>608</v>
      </c>
      <c r="K93" t="s">
        <v>608</v>
      </c>
      <c r="L93" s="17" t="s">
        <v>608</v>
      </c>
      <c r="M93">
        <v>4.17</v>
      </c>
      <c r="N93" t="s">
        <v>604</v>
      </c>
    </row>
    <row r="94" spans="1:14" x14ac:dyDescent="0.2">
      <c r="A94" t="s">
        <v>1238</v>
      </c>
      <c r="B94" t="s">
        <v>1239</v>
      </c>
      <c r="C94">
        <v>30.9</v>
      </c>
      <c r="D94">
        <v>15.57</v>
      </c>
      <c r="E94">
        <v>6.73</v>
      </c>
      <c r="F94">
        <v>7.85</v>
      </c>
      <c r="G94">
        <v>0.55000000000000004</v>
      </c>
      <c r="H94" s="17" t="s">
        <v>608</v>
      </c>
      <c r="I94">
        <v>0.55000000000000004</v>
      </c>
      <c r="J94" s="17" t="s">
        <v>608</v>
      </c>
      <c r="K94" t="s">
        <v>608</v>
      </c>
      <c r="L94" s="17" t="s">
        <v>608</v>
      </c>
      <c r="M94">
        <v>3.89</v>
      </c>
      <c r="N94" t="s">
        <v>604</v>
      </c>
    </row>
    <row r="95" spans="1:14" x14ac:dyDescent="0.2">
      <c r="A95" t="s">
        <v>1240</v>
      </c>
      <c r="B95" t="s">
        <v>1241</v>
      </c>
      <c r="C95">
        <v>31.4</v>
      </c>
      <c r="D95">
        <v>30.74</v>
      </c>
      <c r="E95">
        <v>8.99</v>
      </c>
      <c r="F95">
        <v>8.06</v>
      </c>
      <c r="G95">
        <v>0.45</v>
      </c>
      <c r="H95" s="17" t="s">
        <v>608</v>
      </c>
      <c r="I95">
        <v>0.45</v>
      </c>
      <c r="J95" s="17" t="s">
        <v>608</v>
      </c>
      <c r="K95" t="s">
        <v>608</v>
      </c>
      <c r="L95" s="17" t="s">
        <v>608</v>
      </c>
      <c r="M95">
        <v>13</v>
      </c>
      <c r="N95" t="s">
        <v>604</v>
      </c>
    </row>
    <row r="96" spans="1:14" x14ac:dyDescent="0.2">
      <c r="A96" t="s">
        <v>1242</v>
      </c>
      <c r="B96" t="s">
        <v>1243</v>
      </c>
      <c r="C96">
        <v>31.6</v>
      </c>
      <c r="D96">
        <v>30.44</v>
      </c>
      <c r="E96">
        <v>9.14</v>
      </c>
      <c r="F96" t="s">
        <v>608</v>
      </c>
      <c r="G96">
        <v>0.4</v>
      </c>
      <c r="H96" s="17" t="s">
        <v>608</v>
      </c>
      <c r="I96">
        <v>0.4</v>
      </c>
      <c r="J96" s="17" t="s">
        <v>608</v>
      </c>
      <c r="K96" t="s">
        <v>608</v>
      </c>
      <c r="L96" s="17" t="s">
        <v>608</v>
      </c>
      <c r="M96">
        <v>17.8</v>
      </c>
      <c r="N96" t="s">
        <v>604</v>
      </c>
    </row>
    <row r="97" spans="1:14" x14ac:dyDescent="0.2">
      <c r="A97" t="s">
        <v>1244</v>
      </c>
      <c r="B97" t="s">
        <v>1245</v>
      </c>
      <c r="C97">
        <v>32.700000000000003</v>
      </c>
      <c r="D97">
        <v>30.64</v>
      </c>
      <c r="E97">
        <v>9.33</v>
      </c>
      <c r="F97">
        <v>8.01</v>
      </c>
      <c r="G97">
        <v>0.35</v>
      </c>
      <c r="H97" s="17" t="s">
        <v>608</v>
      </c>
      <c r="I97">
        <v>0.35</v>
      </c>
      <c r="J97" s="17" t="s">
        <v>608</v>
      </c>
      <c r="K97" t="s">
        <v>608</v>
      </c>
      <c r="L97" s="17" t="s">
        <v>608</v>
      </c>
      <c r="M97">
        <v>8.76</v>
      </c>
      <c r="N97" t="s">
        <v>604</v>
      </c>
    </row>
    <row r="98" spans="1:14" x14ac:dyDescent="0.2">
      <c r="A98" t="s">
        <v>1246</v>
      </c>
      <c r="B98" t="s">
        <v>1247</v>
      </c>
      <c r="C98">
        <v>29.2</v>
      </c>
      <c r="D98">
        <v>16.04</v>
      </c>
      <c r="E98">
        <v>5.66</v>
      </c>
      <c r="F98">
        <v>7.83</v>
      </c>
      <c r="G98">
        <v>0.5</v>
      </c>
      <c r="H98" s="17" t="s">
        <v>608</v>
      </c>
      <c r="I98">
        <v>0.5</v>
      </c>
      <c r="J98" s="17" t="s">
        <v>608</v>
      </c>
      <c r="K98" t="s">
        <v>608</v>
      </c>
      <c r="L98" s="17" t="s">
        <v>608</v>
      </c>
      <c r="M98">
        <v>4.8600000000000003</v>
      </c>
      <c r="N98" t="s">
        <v>604</v>
      </c>
    </row>
    <row r="99" spans="1:14" x14ac:dyDescent="0.2">
      <c r="A99" t="s">
        <v>1248</v>
      </c>
      <c r="B99" t="s">
        <v>1249</v>
      </c>
      <c r="C99">
        <v>29.2</v>
      </c>
      <c r="D99">
        <v>16.29</v>
      </c>
      <c r="E99">
        <v>4.2300000000000004</v>
      </c>
      <c r="F99">
        <v>7.77</v>
      </c>
      <c r="G99">
        <v>0.5</v>
      </c>
      <c r="H99" s="17" t="s">
        <v>608</v>
      </c>
      <c r="I99">
        <v>0.5</v>
      </c>
      <c r="J99" s="17" t="s">
        <v>608</v>
      </c>
      <c r="K99" t="s">
        <v>608</v>
      </c>
      <c r="L99" s="17" t="s">
        <v>608</v>
      </c>
      <c r="M99">
        <v>6.1</v>
      </c>
      <c r="N99" t="s">
        <v>604</v>
      </c>
    </row>
    <row r="100" spans="1:14" x14ac:dyDescent="0.2">
      <c r="A100" t="s">
        <v>1250</v>
      </c>
      <c r="B100" t="s">
        <v>1251</v>
      </c>
      <c r="C100">
        <v>29.5</v>
      </c>
      <c r="D100">
        <v>10.43</v>
      </c>
      <c r="E100">
        <v>6.14</v>
      </c>
      <c r="F100">
        <v>7.83</v>
      </c>
      <c r="G100">
        <v>0.6</v>
      </c>
      <c r="H100" s="17" t="s">
        <v>608</v>
      </c>
      <c r="I100">
        <v>0.6</v>
      </c>
      <c r="J100" s="17" t="s">
        <v>608</v>
      </c>
      <c r="K100" t="s">
        <v>608</v>
      </c>
      <c r="L100" s="17" t="s">
        <v>608</v>
      </c>
      <c r="M100">
        <v>3.65</v>
      </c>
      <c r="N100" t="s">
        <v>604</v>
      </c>
    </row>
    <row r="101" spans="1:14" x14ac:dyDescent="0.2">
      <c r="A101" t="s">
        <v>1252</v>
      </c>
      <c r="B101" t="s">
        <v>1253</v>
      </c>
      <c r="C101">
        <v>28.9</v>
      </c>
      <c r="D101">
        <v>25.9</v>
      </c>
      <c r="E101">
        <v>4.88</v>
      </c>
      <c r="F101">
        <v>7.78</v>
      </c>
      <c r="G101">
        <v>0.4</v>
      </c>
      <c r="H101" s="17" t="s">
        <v>608</v>
      </c>
      <c r="I101">
        <v>0.4</v>
      </c>
      <c r="J101" s="17" t="s">
        <v>608</v>
      </c>
      <c r="K101" t="s">
        <v>608</v>
      </c>
      <c r="L101" s="17" t="s">
        <v>608</v>
      </c>
      <c r="M101">
        <v>6.44</v>
      </c>
      <c r="N101" t="s">
        <v>604</v>
      </c>
    </row>
    <row r="102" spans="1:14" x14ac:dyDescent="0.2">
      <c r="A102" t="s">
        <v>1254</v>
      </c>
      <c r="B102" t="s">
        <v>1255</v>
      </c>
      <c r="C102">
        <v>29.3</v>
      </c>
      <c r="D102">
        <v>27.27</v>
      </c>
      <c r="E102">
        <v>5.44</v>
      </c>
      <c r="F102">
        <v>7.85</v>
      </c>
      <c r="G102">
        <v>0.55000000000000004</v>
      </c>
      <c r="H102" s="17" t="s">
        <v>608</v>
      </c>
      <c r="I102">
        <v>0.55000000000000004</v>
      </c>
      <c r="J102" s="17" t="s">
        <v>608</v>
      </c>
      <c r="K102" t="s">
        <v>608</v>
      </c>
      <c r="L102" s="17" t="s">
        <v>608</v>
      </c>
      <c r="M102">
        <v>7.6</v>
      </c>
      <c r="N102" t="s">
        <v>604</v>
      </c>
    </row>
    <row r="103" spans="1:14" x14ac:dyDescent="0.2">
      <c r="A103" t="s">
        <v>1256</v>
      </c>
      <c r="B103" t="s">
        <v>1257</v>
      </c>
      <c r="C103">
        <v>28.7</v>
      </c>
      <c r="D103">
        <v>26.81</v>
      </c>
      <c r="E103">
        <v>5.6</v>
      </c>
      <c r="F103">
        <v>7.88</v>
      </c>
      <c r="G103">
        <v>0.4</v>
      </c>
      <c r="H103" s="17" t="s">
        <v>608</v>
      </c>
      <c r="I103">
        <v>0.4</v>
      </c>
      <c r="J103" s="17" t="s">
        <v>608</v>
      </c>
      <c r="K103" t="s">
        <v>608</v>
      </c>
      <c r="L103" s="17" t="s">
        <v>608</v>
      </c>
      <c r="M103">
        <v>13.85</v>
      </c>
      <c r="N103" t="s">
        <v>604</v>
      </c>
    </row>
    <row r="104" spans="1:14" x14ac:dyDescent="0.2">
      <c r="A104" t="s">
        <v>1258</v>
      </c>
      <c r="B104" t="s">
        <v>1259</v>
      </c>
      <c r="C104">
        <v>30.4</v>
      </c>
      <c r="D104">
        <v>11.74</v>
      </c>
      <c r="E104">
        <v>6.65</v>
      </c>
      <c r="F104">
        <v>7.93</v>
      </c>
      <c r="G104">
        <v>0.7</v>
      </c>
      <c r="H104" s="17" t="s">
        <v>608</v>
      </c>
      <c r="I104">
        <v>0.7</v>
      </c>
      <c r="J104" s="17" t="s">
        <v>608</v>
      </c>
      <c r="K104" t="s">
        <v>608</v>
      </c>
      <c r="L104" s="17" t="s">
        <v>608</v>
      </c>
      <c r="M104">
        <v>8.27</v>
      </c>
      <c r="N104" t="s">
        <v>604</v>
      </c>
    </row>
    <row r="105" spans="1:14" x14ac:dyDescent="0.2">
      <c r="A105" t="s">
        <v>1260</v>
      </c>
      <c r="B105" t="s">
        <v>1261</v>
      </c>
      <c r="C105">
        <v>30.2</v>
      </c>
      <c r="D105">
        <v>12.3</v>
      </c>
      <c r="E105">
        <v>6.58</v>
      </c>
      <c r="F105">
        <v>7.96</v>
      </c>
      <c r="G105">
        <v>0.55000000000000004</v>
      </c>
      <c r="H105" s="17" t="s">
        <v>608</v>
      </c>
      <c r="I105">
        <v>0.55000000000000004</v>
      </c>
      <c r="J105" s="17" t="s">
        <v>608</v>
      </c>
      <c r="K105" t="s">
        <v>608</v>
      </c>
      <c r="L105" s="17" t="s">
        <v>608</v>
      </c>
      <c r="M105">
        <v>4.6100000000000003</v>
      </c>
      <c r="N105" t="s">
        <v>604</v>
      </c>
    </row>
    <row r="106" spans="1:14" x14ac:dyDescent="0.2">
      <c r="A106" t="s">
        <v>1262</v>
      </c>
      <c r="B106" t="s">
        <v>1263</v>
      </c>
      <c r="C106">
        <v>30.4</v>
      </c>
      <c r="D106">
        <v>9.2100000000000009</v>
      </c>
      <c r="E106">
        <v>4.8</v>
      </c>
      <c r="F106">
        <v>7.85</v>
      </c>
      <c r="G106">
        <v>0.55000000000000004</v>
      </c>
      <c r="H106" s="17" t="s">
        <v>608</v>
      </c>
      <c r="I106">
        <v>0.55000000000000004</v>
      </c>
      <c r="J106" s="17" t="s">
        <v>608</v>
      </c>
      <c r="K106" t="s">
        <v>608</v>
      </c>
      <c r="L106" s="17" t="s">
        <v>608</v>
      </c>
      <c r="M106">
        <v>2.39</v>
      </c>
      <c r="N106" t="s">
        <v>604</v>
      </c>
    </row>
    <row r="107" spans="1:14" x14ac:dyDescent="0.2">
      <c r="A107" t="s">
        <v>1264</v>
      </c>
      <c r="B107" t="s">
        <v>1265</v>
      </c>
      <c r="C107">
        <v>29.9</v>
      </c>
      <c r="D107">
        <v>26</v>
      </c>
      <c r="E107">
        <v>7.39</v>
      </c>
      <c r="F107">
        <v>8.0500000000000007</v>
      </c>
      <c r="G107">
        <v>0.65</v>
      </c>
      <c r="H107" s="17" t="s">
        <v>608</v>
      </c>
      <c r="I107">
        <v>0.65</v>
      </c>
      <c r="J107" s="17" t="s">
        <v>608</v>
      </c>
      <c r="K107" t="s">
        <v>608</v>
      </c>
      <c r="L107" s="17" t="s">
        <v>608</v>
      </c>
      <c r="M107">
        <v>4.93</v>
      </c>
      <c r="N107" t="s">
        <v>604</v>
      </c>
    </row>
    <row r="108" spans="1:14" x14ac:dyDescent="0.2">
      <c r="A108" t="s">
        <v>1266</v>
      </c>
      <c r="B108" t="s">
        <v>1267</v>
      </c>
      <c r="C108">
        <v>30.3</v>
      </c>
      <c r="D108">
        <v>28.04</v>
      </c>
      <c r="E108">
        <v>6.9</v>
      </c>
      <c r="F108">
        <v>8</v>
      </c>
      <c r="G108">
        <v>0.9</v>
      </c>
      <c r="H108" s="17" t="s">
        <v>608</v>
      </c>
      <c r="I108">
        <v>0.9</v>
      </c>
      <c r="J108" s="17" t="s">
        <v>608</v>
      </c>
      <c r="K108" t="s">
        <v>608</v>
      </c>
      <c r="L108" s="17" t="s">
        <v>608</v>
      </c>
      <c r="M108">
        <v>5.98</v>
      </c>
      <c r="N108" t="s">
        <v>604</v>
      </c>
    </row>
    <row r="109" spans="1:14" x14ac:dyDescent="0.2">
      <c r="A109" t="s">
        <v>1268</v>
      </c>
      <c r="B109" t="s">
        <v>1269</v>
      </c>
      <c r="C109">
        <v>30.6</v>
      </c>
      <c r="D109">
        <v>27.3</v>
      </c>
      <c r="E109">
        <v>6.8</v>
      </c>
      <c r="F109">
        <v>7.96</v>
      </c>
      <c r="G109">
        <v>0.9</v>
      </c>
      <c r="H109" s="17" t="s">
        <v>608</v>
      </c>
      <c r="I109">
        <v>0.9</v>
      </c>
      <c r="J109" s="17" t="s">
        <v>608</v>
      </c>
      <c r="K109" t="s">
        <v>608</v>
      </c>
      <c r="L109" s="17" t="s">
        <v>608</v>
      </c>
      <c r="M109">
        <v>9.02</v>
      </c>
      <c r="N109" t="s">
        <v>604</v>
      </c>
    </row>
    <row r="110" spans="1:14" x14ac:dyDescent="0.2">
      <c r="A110" t="s">
        <v>1270</v>
      </c>
      <c r="B110" t="s">
        <v>1271</v>
      </c>
      <c r="C110">
        <v>29.4</v>
      </c>
      <c r="D110">
        <v>13.08</v>
      </c>
      <c r="E110">
        <v>3.79</v>
      </c>
      <c r="F110">
        <v>7.38</v>
      </c>
      <c r="G110">
        <v>0.8</v>
      </c>
      <c r="H110" s="17" t="s">
        <v>608</v>
      </c>
      <c r="I110">
        <v>0.8</v>
      </c>
      <c r="J110" s="17" t="s">
        <v>608</v>
      </c>
      <c r="K110" t="s">
        <v>608</v>
      </c>
      <c r="L110" s="17">
        <v>1.38</v>
      </c>
      <c r="M110">
        <v>2.86</v>
      </c>
      <c r="N110" t="s">
        <v>604</v>
      </c>
    </row>
    <row r="111" spans="1:14" x14ac:dyDescent="0.2">
      <c r="A111" t="s">
        <v>1272</v>
      </c>
      <c r="B111" t="s">
        <v>1273</v>
      </c>
      <c r="C111">
        <v>29.3</v>
      </c>
      <c r="D111">
        <v>13.43</v>
      </c>
      <c r="E111">
        <v>4.43</v>
      </c>
      <c r="F111">
        <v>7.48</v>
      </c>
      <c r="G111">
        <v>0.5</v>
      </c>
      <c r="H111" s="17" t="s">
        <v>608</v>
      </c>
      <c r="I111">
        <v>0.5</v>
      </c>
      <c r="J111" s="17" t="s">
        <v>608</v>
      </c>
      <c r="K111" t="s">
        <v>608</v>
      </c>
      <c r="L111" s="17">
        <v>2</v>
      </c>
      <c r="M111">
        <v>3.89</v>
      </c>
      <c r="N111" t="s">
        <v>604</v>
      </c>
    </row>
    <row r="112" spans="1:14" x14ac:dyDescent="0.2">
      <c r="A112" t="s">
        <v>1274</v>
      </c>
      <c r="B112" t="s">
        <v>1275</v>
      </c>
      <c r="C112">
        <v>28.4</v>
      </c>
      <c r="D112">
        <v>5.49</v>
      </c>
      <c r="E112">
        <v>3.31</v>
      </c>
      <c r="F112">
        <v>7.28</v>
      </c>
      <c r="G112">
        <v>0.75</v>
      </c>
      <c r="H112" s="17" t="s">
        <v>608</v>
      </c>
      <c r="I112">
        <v>0.75</v>
      </c>
      <c r="J112" s="17" t="s">
        <v>608</v>
      </c>
      <c r="K112" t="s">
        <v>608</v>
      </c>
      <c r="L112" s="17">
        <v>2.5299999999999998</v>
      </c>
      <c r="M112">
        <v>5.09</v>
      </c>
      <c r="N112" t="s">
        <v>604</v>
      </c>
    </row>
    <row r="113" spans="1:14" x14ac:dyDescent="0.2">
      <c r="A113" t="s">
        <v>1276</v>
      </c>
      <c r="B113" t="s">
        <v>1277</v>
      </c>
      <c r="C113">
        <v>29.6</v>
      </c>
      <c r="D113">
        <v>28.39</v>
      </c>
      <c r="E113">
        <v>5.99</v>
      </c>
      <c r="F113">
        <v>7.94</v>
      </c>
      <c r="G113">
        <v>1.1000000000000001</v>
      </c>
      <c r="H113" s="17" t="s">
        <v>608</v>
      </c>
      <c r="I113">
        <v>1.1000000000000001</v>
      </c>
      <c r="J113" s="17" t="s">
        <v>608</v>
      </c>
      <c r="K113" t="s">
        <v>608</v>
      </c>
      <c r="L113" s="17">
        <v>1.3</v>
      </c>
      <c r="M113">
        <v>3.33</v>
      </c>
      <c r="N113" t="s">
        <v>604</v>
      </c>
    </row>
    <row r="114" spans="1:14" x14ac:dyDescent="0.2">
      <c r="A114" t="s">
        <v>1278</v>
      </c>
      <c r="B114" t="s">
        <v>1279</v>
      </c>
      <c r="C114">
        <v>29.7</v>
      </c>
      <c r="D114">
        <v>27.58</v>
      </c>
      <c r="E114">
        <v>5.62</v>
      </c>
      <c r="F114">
        <v>7.82</v>
      </c>
      <c r="G114">
        <v>1.1000000000000001</v>
      </c>
      <c r="H114" s="17" t="s">
        <v>608</v>
      </c>
      <c r="I114">
        <v>0.8</v>
      </c>
      <c r="J114" s="17" t="s">
        <v>608</v>
      </c>
      <c r="K114" t="s">
        <v>608</v>
      </c>
      <c r="L114" s="17">
        <v>1.45</v>
      </c>
      <c r="M114">
        <v>3.32</v>
      </c>
      <c r="N114" t="s">
        <v>604</v>
      </c>
    </row>
    <row r="115" spans="1:14" x14ac:dyDescent="0.2">
      <c r="A115" t="s">
        <v>1280</v>
      </c>
      <c r="B115" t="s">
        <v>1281</v>
      </c>
      <c r="C115">
        <v>29.8</v>
      </c>
      <c r="D115">
        <v>29.4</v>
      </c>
      <c r="E115">
        <v>5.72</v>
      </c>
      <c r="F115">
        <v>7.91</v>
      </c>
      <c r="G115">
        <v>0.9</v>
      </c>
      <c r="H115" s="17" t="s">
        <v>608</v>
      </c>
      <c r="I115">
        <v>0.9</v>
      </c>
      <c r="J115" s="17" t="s">
        <v>608</v>
      </c>
      <c r="K115" t="s">
        <v>608</v>
      </c>
      <c r="L115" s="17">
        <v>2.5099999999999998</v>
      </c>
      <c r="M115">
        <v>2.71</v>
      </c>
      <c r="N115" t="s">
        <v>604</v>
      </c>
    </row>
    <row r="116" spans="1:14" x14ac:dyDescent="0.2">
      <c r="A116" t="s">
        <v>1282</v>
      </c>
      <c r="B116" t="s">
        <v>1283</v>
      </c>
      <c r="C116">
        <v>29.1</v>
      </c>
      <c r="D116">
        <v>9.86</v>
      </c>
      <c r="E116">
        <v>5.01</v>
      </c>
      <c r="F116">
        <v>7.66</v>
      </c>
      <c r="G116">
        <v>0.45</v>
      </c>
      <c r="H116" s="17" t="s">
        <v>608</v>
      </c>
      <c r="I116">
        <v>0.45</v>
      </c>
      <c r="J116" s="17" t="s">
        <v>608</v>
      </c>
      <c r="K116" t="s">
        <v>608</v>
      </c>
      <c r="L116" s="17">
        <v>6.77</v>
      </c>
      <c r="M116">
        <v>5.9</v>
      </c>
      <c r="N116" t="s">
        <v>604</v>
      </c>
    </row>
    <row r="117" spans="1:14" x14ac:dyDescent="0.2">
      <c r="A117" t="s">
        <v>1284</v>
      </c>
      <c r="B117" t="s">
        <v>1285</v>
      </c>
      <c r="C117">
        <v>29.6</v>
      </c>
      <c r="D117">
        <v>9.7200000000000006</v>
      </c>
      <c r="E117">
        <v>6.13</v>
      </c>
      <c r="F117">
        <v>7.79</v>
      </c>
      <c r="G117">
        <v>0.4</v>
      </c>
      <c r="H117" s="17" t="s">
        <v>608</v>
      </c>
      <c r="I117">
        <v>0.4</v>
      </c>
      <c r="J117" s="17" t="s">
        <v>608</v>
      </c>
      <c r="K117" t="s">
        <v>608</v>
      </c>
      <c r="L117" s="17">
        <v>4.16</v>
      </c>
      <c r="M117">
        <v>9.24</v>
      </c>
      <c r="N117" t="s">
        <v>604</v>
      </c>
    </row>
    <row r="118" spans="1:14" x14ac:dyDescent="0.2">
      <c r="A118" t="s">
        <v>1286</v>
      </c>
      <c r="B118" t="s">
        <v>1287</v>
      </c>
      <c r="C118">
        <v>28.2</v>
      </c>
      <c r="D118">
        <v>3.54</v>
      </c>
      <c r="E118">
        <v>4.92</v>
      </c>
      <c r="F118">
        <v>7.66</v>
      </c>
      <c r="G118">
        <v>0.6</v>
      </c>
      <c r="H118" s="17" t="s">
        <v>608</v>
      </c>
      <c r="I118">
        <v>0.6</v>
      </c>
      <c r="J118" s="17" t="s">
        <v>608</v>
      </c>
      <c r="K118" t="s">
        <v>608</v>
      </c>
      <c r="L118" s="17">
        <v>1.18</v>
      </c>
      <c r="M118">
        <v>4.3899999999999997</v>
      </c>
      <c r="N118" t="s">
        <v>604</v>
      </c>
    </row>
    <row r="119" spans="1:14" x14ac:dyDescent="0.2">
      <c r="A119" t="s">
        <v>1288</v>
      </c>
      <c r="B119" t="s">
        <v>1289</v>
      </c>
      <c r="C119">
        <v>30.4</v>
      </c>
      <c r="D119">
        <v>21.45</v>
      </c>
      <c r="E119">
        <v>7.27</v>
      </c>
      <c r="F119">
        <v>8.07</v>
      </c>
      <c r="G119">
        <v>0.5</v>
      </c>
      <c r="H119" s="17" t="s">
        <v>608</v>
      </c>
      <c r="I119">
        <v>0.5</v>
      </c>
      <c r="J119" s="17" t="s">
        <v>608</v>
      </c>
      <c r="K119" t="s">
        <v>608</v>
      </c>
      <c r="L119" s="17">
        <v>6.56</v>
      </c>
      <c r="M119">
        <v>5.71</v>
      </c>
      <c r="N119" t="s">
        <v>604</v>
      </c>
    </row>
    <row r="120" spans="1:14" x14ac:dyDescent="0.2">
      <c r="A120" t="s">
        <v>1290</v>
      </c>
      <c r="B120" t="s">
        <v>1291</v>
      </c>
      <c r="C120">
        <v>30.7</v>
      </c>
      <c r="D120">
        <v>17.920000000000002</v>
      </c>
      <c r="E120">
        <v>9.07</v>
      </c>
      <c r="F120">
        <v>8.1199999999999992</v>
      </c>
      <c r="G120">
        <v>0.3</v>
      </c>
      <c r="H120" s="17" t="s">
        <v>608</v>
      </c>
      <c r="I120">
        <v>0.3</v>
      </c>
      <c r="J120" s="17" t="s">
        <v>608</v>
      </c>
      <c r="K120" t="s">
        <v>608</v>
      </c>
      <c r="L120" s="17">
        <v>2.75</v>
      </c>
      <c r="M120">
        <v>6</v>
      </c>
      <c r="N120" t="s">
        <v>604</v>
      </c>
    </row>
    <row r="121" spans="1:14" x14ac:dyDescent="0.2">
      <c r="A121" t="s">
        <v>1292</v>
      </c>
      <c r="B121" t="s">
        <v>1293</v>
      </c>
      <c r="C121">
        <v>30.8</v>
      </c>
      <c r="D121">
        <v>16.25</v>
      </c>
      <c r="E121">
        <v>7.95</v>
      </c>
      <c r="F121">
        <v>8.01</v>
      </c>
      <c r="G121">
        <v>0.5</v>
      </c>
      <c r="H121" s="17" t="s">
        <v>608</v>
      </c>
      <c r="I121">
        <v>0.5</v>
      </c>
      <c r="J121" s="17" t="s">
        <v>608</v>
      </c>
      <c r="K121" t="s">
        <v>608</v>
      </c>
      <c r="L121" s="17">
        <v>13.84</v>
      </c>
      <c r="M121">
        <v>5.9</v>
      </c>
      <c r="N121" t="s">
        <v>604</v>
      </c>
    </row>
    <row r="122" spans="1:14" x14ac:dyDescent="0.2">
      <c r="A122" t="s">
        <v>1294</v>
      </c>
      <c r="B122" t="s">
        <v>1295</v>
      </c>
      <c r="C122">
        <v>26.3</v>
      </c>
      <c r="D122">
        <v>14.62</v>
      </c>
      <c r="E122">
        <v>5.0199999999999996</v>
      </c>
      <c r="F122">
        <v>7.68</v>
      </c>
      <c r="G122">
        <v>0.75</v>
      </c>
      <c r="H122" s="17" t="s">
        <v>608</v>
      </c>
      <c r="I122">
        <v>0.75</v>
      </c>
      <c r="J122" s="17" t="s">
        <v>608</v>
      </c>
      <c r="K122" t="s">
        <v>608</v>
      </c>
      <c r="L122" s="17">
        <v>9.1</v>
      </c>
      <c r="M122">
        <v>3.4</v>
      </c>
      <c r="N122" t="s">
        <v>604</v>
      </c>
    </row>
    <row r="123" spans="1:14" x14ac:dyDescent="0.2">
      <c r="A123" t="s">
        <v>1296</v>
      </c>
      <c r="B123" t="s">
        <v>1297</v>
      </c>
      <c r="C123">
        <v>26.7</v>
      </c>
      <c r="D123">
        <v>15.33</v>
      </c>
      <c r="E123">
        <v>5.09</v>
      </c>
      <c r="F123">
        <v>7.67</v>
      </c>
      <c r="G123">
        <v>0.5</v>
      </c>
      <c r="H123" s="17" t="s">
        <v>608</v>
      </c>
      <c r="I123">
        <v>0.5</v>
      </c>
      <c r="J123" s="17" t="s">
        <v>608</v>
      </c>
      <c r="K123" t="s">
        <v>608</v>
      </c>
      <c r="L123" s="17">
        <v>20.56</v>
      </c>
      <c r="M123">
        <v>3.42</v>
      </c>
      <c r="N123" t="s">
        <v>604</v>
      </c>
    </row>
    <row r="124" spans="1:14" x14ac:dyDescent="0.2">
      <c r="A124" t="s">
        <v>1298</v>
      </c>
      <c r="B124" t="s">
        <v>1299</v>
      </c>
      <c r="C124">
        <v>25.8</v>
      </c>
      <c r="D124">
        <v>10.16</v>
      </c>
      <c r="E124">
        <v>4.43</v>
      </c>
      <c r="F124">
        <v>7.75</v>
      </c>
      <c r="G124">
        <v>0.5</v>
      </c>
      <c r="H124" s="17" t="s">
        <v>608</v>
      </c>
      <c r="I124">
        <v>0.5</v>
      </c>
      <c r="J124" s="17" t="s">
        <v>608</v>
      </c>
      <c r="K124" t="s">
        <v>608</v>
      </c>
      <c r="L124" s="17">
        <v>4.25</v>
      </c>
      <c r="M124">
        <v>3.41</v>
      </c>
      <c r="N124" t="s">
        <v>604</v>
      </c>
    </row>
    <row r="125" spans="1:14" x14ac:dyDescent="0.2">
      <c r="A125" t="s">
        <v>1300</v>
      </c>
      <c r="B125" t="s">
        <v>1301</v>
      </c>
      <c r="C125">
        <v>26.8</v>
      </c>
      <c r="D125">
        <v>24.13</v>
      </c>
      <c r="E125">
        <v>7.76</v>
      </c>
      <c r="F125">
        <v>7.95</v>
      </c>
      <c r="G125">
        <v>0.5</v>
      </c>
      <c r="H125" s="17" t="s">
        <v>608</v>
      </c>
      <c r="I125">
        <v>0.5</v>
      </c>
      <c r="J125" s="17" t="s">
        <v>608</v>
      </c>
      <c r="K125" t="s">
        <v>608</v>
      </c>
      <c r="L125" s="17">
        <v>27.63</v>
      </c>
      <c r="M125">
        <v>4.87</v>
      </c>
      <c r="N125" t="s">
        <v>604</v>
      </c>
    </row>
    <row r="126" spans="1:14" x14ac:dyDescent="0.2">
      <c r="A126" t="s">
        <v>1302</v>
      </c>
      <c r="B126" t="s">
        <v>1303</v>
      </c>
      <c r="C126">
        <v>26.9</v>
      </c>
      <c r="D126">
        <v>22.85</v>
      </c>
      <c r="E126">
        <v>6.34</v>
      </c>
      <c r="F126">
        <v>7.8</v>
      </c>
      <c r="G126">
        <v>0.7</v>
      </c>
      <c r="H126" s="17" t="s">
        <v>608</v>
      </c>
      <c r="I126">
        <v>0.7</v>
      </c>
      <c r="J126" s="17" t="s">
        <v>608</v>
      </c>
      <c r="K126" t="s">
        <v>608</v>
      </c>
      <c r="L126" s="17">
        <v>19.350000000000001</v>
      </c>
      <c r="M126">
        <v>5.41</v>
      </c>
      <c r="N126" t="s">
        <v>604</v>
      </c>
    </row>
    <row r="127" spans="1:14" x14ac:dyDescent="0.2">
      <c r="A127" t="s">
        <v>1304</v>
      </c>
      <c r="B127" t="s">
        <v>1305</v>
      </c>
      <c r="C127">
        <v>27.1</v>
      </c>
      <c r="D127">
        <v>21.17</v>
      </c>
      <c r="E127">
        <v>7.12</v>
      </c>
      <c r="F127">
        <v>7.85</v>
      </c>
      <c r="G127">
        <v>0.6</v>
      </c>
      <c r="H127" s="17" t="s">
        <v>608</v>
      </c>
      <c r="I127">
        <v>0.6</v>
      </c>
      <c r="J127" s="17" t="s">
        <v>608</v>
      </c>
      <c r="K127" t="s">
        <v>608</v>
      </c>
      <c r="L127" s="17">
        <v>19.32</v>
      </c>
      <c r="M127">
        <v>6.41</v>
      </c>
      <c r="N127" t="s">
        <v>604</v>
      </c>
    </row>
    <row r="128" spans="1:14" x14ac:dyDescent="0.2">
      <c r="A128" t="s">
        <v>1306</v>
      </c>
      <c r="B128" t="s">
        <v>1307</v>
      </c>
      <c r="C128">
        <v>23.9</v>
      </c>
      <c r="D128">
        <v>20.29</v>
      </c>
      <c r="E128">
        <v>5.63</v>
      </c>
      <c r="F128">
        <v>7.74</v>
      </c>
      <c r="G128">
        <v>0.9</v>
      </c>
      <c r="H128" s="17" t="s">
        <v>608</v>
      </c>
      <c r="I128">
        <v>0.9</v>
      </c>
      <c r="J128" s="17" t="s">
        <v>608</v>
      </c>
      <c r="K128" t="s">
        <v>608</v>
      </c>
      <c r="L128" s="17">
        <v>6.58</v>
      </c>
      <c r="M128">
        <v>2.15</v>
      </c>
      <c r="N128" t="s">
        <v>604</v>
      </c>
    </row>
    <row r="129" spans="1:14" x14ac:dyDescent="0.2">
      <c r="A129" t="s">
        <v>1308</v>
      </c>
      <c r="B129" t="s">
        <v>1309</v>
      </c>
      <c r="C129">
        <v>24.2</v>
      </c>
      <c r="D129">
        <v>19.920000000000002</v>
      </c>
      <c r="E129">
        <v>6.06</v>
      </c>
      <c r="F129">
        <v>7.78</v>
      </c>
      <c r="G129">
        <v>0.5</v>
      </c>
      <c r="H129" s="17" t="s">
        <v>608</v>
      </c>
      <c r="I129">
        <v>0.5</v>
      </c>
      <c r="J129" s="17" t="s">
        <v>608</v>
      </c>
      <c r="K129" t="s">
        <v>608</v>
      </c>
      <c r="L129" s="17">
        <v>6.18</v>
      </c>
      <c r="M129">
        <v>3.21</v>
      </c>
      <c r="N129" t="s">
        <v>604</v>
      </c>
    </row>
    <row r="130" spans="1:14" x14ac:dyDescent="0.2">
      <c r="A130" t="s">
        <v>1310</v>
      </c>
      <c r="B130" t="s">
        <v>1311</v>
      </c>
      <c r="C130">
        <v>23.2</v>
      </c>
      <c r="D130">
        <v>13.27</v>
      </c>
      <c r="E130">
        <v>5.52</v>
      </c>
      <c r="F130">
        <v>7.58</v>
      </c>
      <c r="G130">
        <v>0.95</v>
      </c>
      <c r="H130" s="17" t="s">
        <v>608</v>
      </c>
      <c r="I130">
        <v>0.95</v>
      </c>
      <c r="J130" s="17" t="s">
        <v>608</v>
      </c>
      <c r="K130" t="s">
        <v>608</v>
      </c>
      <c r="L130" s="17">
        <v>3.11</v>
      </c>
      <c r="M130">
        <v>2.4</v>
      </c>
      <c r="N130" t="s">
        <v>604</v>
      </c>
    </row>
    <row r="131" spans="1:14" x14ac:dyDescent="0.2">
      <c r="A131" t="s">
        <v>1312</v>
      </c>
      <c r="B131" t="s">
        <v>1313</v>
      </c>
      <c r="C131">
        <v>24.2</v>
      </c>
      <c r="D131">
        <v>25.41</v>
      </c>
      <c r="E131">
        <v>5.55</v>
      </c>
      <c r="F131">
        <v>7.77</v>
      </c>
      <c r="G131">
        <v>0.65</v>
      </c>
      <c r="H131" s="17" t="s">
        <v>608</v>
      </c>
      <c r="I131">
        <v>0.65</v>
      </c>
      <c r="J131" s="17" t="s">
        <v>608</v>
      </c>
      <c r="K131" t="s">
        <v>608</v>
      </c>
      <c r="L131" s="17">
        <v>3.15</v>
      </c>
      <c r="M131">
        <v>3.44</v>
      </c>
      <c r="N131" t="s">
        <v>604</v>
      </c>
    </row>
    <row r="132" spans="1:14" x14ac:dyDescent="0.2">
      <c r="A132" t="s">
        <v>1314</v>
      </c>
      <c r="B132" t="s">
        <v>1315</v>
      </c>
      <c r="C132">
        <v>24.6</v>
      </c>
      <c r="D132">
        <v>24.18</v>
      </c>
      <c r="E132">
        <v>4.84</v>
      </c>
      <c r="F132">
        <v>7.7</v>
      </c>
      <c r="G132">
        <v>0.9</v>
      </c>
      <c r="H132" s="17" t="s">
        <v>608</v>
      </c>
      <c r="I132">
        <v>0.9</v>
      </c>
      <c r="J132" s="17" t="s">
        <v>608</v>
      </c>
      <c r="K132" t="s">
        <v>608</v>
      </c>
      <c r="L132" s="17">
        <v>3.43</v>
      </c>
      <c r="M132">
        <v>2.95</v>
      </c>
      <c r="N132" t="s">
        <v>604</v>
      </c>
    </row>
    <row r="133" spans="1:14" x14ac:dyDescent="0.2">
      <c r="A133" t="s">
        <v>1316</v>
      </c>
      <c r="B133" t="s">
        <v>1317</v>
      </c>
      <c r="C133">
        <v>24.5</v>
      </c>
      <c r="D133">
        <v>26.72</v>
      </c>
      <c r="E133">
        <v>5.91</v>
      </c>
      <c r="F133">
        <v>7.87</v>
      </c>
      <c r="G133">
        <v>0.65</v>
      </c>
      <c r="H133" s="17" t="s">
        <v>608</v>
      </c>
      <c r="I133">
        <v>0.65</v>
      </c>
      <c r="J133" s="17" t="s">
        <v>608</v>
      </c>
      <c r="K133" t="s">
        <v>608</v>
      </c>
      <c r="L133" s="17">
        <v>7.72</v>
      </c>
      <c r="M133">
        <v>4.0999999999999996</v>
      </c>
      <c r="N133" t="s">
        <v>604</v>
      </c>
    </row>
    <row r="134" spans="1:14" x14ac:dyDescent="0.2">
      <c r="A134" t="s">
        <v>1318</v>
      </c>
      <c r="B134" t="s">
        <v>1319</v>
      </c>
      <c r="C134">
        <v>24.6</v>
      </c>
      <c r="D134">
        <v>11.07</v>
      </c>
      <c r="E134">
        <v>6.77</v>
      </c>
      <c r="F134">
        <v>7.68</v>
      </c>
      <c r="G134">
        <v>0.8</v>
      </c>
      <c r="H134" s="17">
        <v>0.8</v>
      </c>
      <c r="I134">
        <v>0.8</v>
      </c>
      <c r="J134" s="17">
        <v>86.6</v>
      </c>
      <c r="K134">
        <v>1611</v>
      </c>
      <c r="L134" s="17" t="s">
        <v>608</v>
      </c>
      <c r="M134">
        <v>1.72</v>
      </c>
      <c r="N134" t="s">
        <v>52</v>
      </c>
    </row>
    <row r="135" spans="1:14" x14ac:dyDescent="0.2">
      <c r="A135" t="s">
        <v>1320</v>
      </c>
      <c r="B135" t="s">
        <v>1321</v>
      </c>
      <c r="C135">
        <v>24.3</v>
      </c>
      <c r="D135">
        <v>10.99</v>
      </c>
      <c r="E135">
        <v>6.72</v>
      </c>
      <c r="F135">
        <v>7.67</v>
      </c>
      <c r="G135">
        <v>0.5</v>
      </c>
      <c r="H135" s="17">
        <v>0.5</v>
      </c>
      <c r="I135">
        <v>0.5</v>
      </c>
      <c r="J135" s="17">
        <v>85.4</v>
      </c>
      <c r="K135">
        <v>1620</v>
      </c>
      <c r="L135" s="17" t="s">
        <v>608</v>
      </c>
      <c r="M135">
        <v>1.34</v>
      </c>
      <c r="N135" t="s">
        <v>52</v>
      </c>
    </row>
    <row r="136" spans="1:14" x14ac:dyDescent="0.2">
      <c r="A136" t="s">
        <v>1322</v>
      </c>
      <c r="B136" t="s">
        <v>1323</v>
      </c>
      <c r="C136">
        <v>24.1</v>
      </c>
      <c r="D136">
        <v>8.68</v>
      </c>
      <c r="E136">
        <v>5.75</v>
      </c>
      <c r="F136">
        <v>7.6</v>
      </c>
      <c r="G136">
        <v>0.6</v>
      </c>
      <c r="H136" s="17">
        <v>0.6</v>
      </c>
      <c r="I136">
        <v>0.6</v>
      </c>
      <c r="J136" s="17">
        <v>71.8</v>
      </c>
      <c r="K136">
        <v>1601</v>
      </c>
      <c r="L136" s="17" t="s">
        <v>608</v>
      </c>
      <c r="M136">
        <v>1.58</v>
      </c>
      <c r="N136" t="s">
        <v>52</v>
      </c>
    </row>
    <row r="137" spans="1:14" x14ac:dyDescent="0.2">
      <c r="A137" t="s">
        <v>1324</v>
      </c>
      <c r="B137" t="s">
        <v>1325</v>
      </c>
      <c r="C137">
        <v>25.7</v>
      </c>
      <c r="D137">
        <v>28.19</v>
      </c>
      <c r="E137">
        <v>6.74</v>
      </c>
      <c r="F137">
        <v>7.84</v>
      </c>
      <c r="G137">
        <v>0.85</v>
      </c>
      <c r="H137" s="17">
        <v>0.85</v>
      </c>
      <c r="I137">
        <v>0.85</v>
      </c>
      <c r="J137" s="17">
        <v>96.9</v>
      </c>
      <c r="K137">
        <v>1721</v>
      </c>
      <c r="L137" s="17" t="s">
        <v>608</v>
      </c>
      <c r="M137">
        <v>1.02</v>
      </c>
      <c r="N137" t="s">
        <v>52</v>
      </c>
    </row>
    <row r="138" spans="1:14" x14ac:dyDescent="0.2">
      <c r="A138" t="s">
        <v>1326</v>
      </c>
      <c r="B138" t="s">
        <v>1327</v>
      </c>
      <c r="C138">
        <v>25.8</v>
      </c>
      <c r="D138">
        <v>26.75</v>
      </c>
      <c r="E138">
        <v>6.37</v>
      </c>
      <c r="F138">
        <v>7.81</v>
      </c>
      <c r="G138">
        <v>0.8</v>
      </c>
      <c r="H138" s="17">
        <v>0.8</v>
      </c>
      <c r="I138">
        <v>0.8</v>
      </c>
      <c r="J138" s="17">
        <v>91</v>
      </c>
      <c r="K138">
        <v>1703</v>
      </c>
      <c r="L138" s="17" t="s">
        <v>608</v>
      </c>
      <c r="M138">
        <v>1.76</v>
      </c>
      <c r="N138" t="s">
        <v>52</v>
      </c>
    </row>
    <row r="139" spans="1:14" x14ac:dyDescent="0.2">
      <c r="A139" t="s">
        <v>1328</v>
      </c>
      <c r="B139" t="s">
        <v>1329</v>
      </c>
      <c r="C139">
        <v>25.9</v>
      </c>
      <c r="D139">
        <v>27.03</v>
      </c>
      <c r="E139">
        <v>5.79</v>
      </c>
      <c r="F139">
        <v>7.74</v>
      </c>
      <c r="G139">
        <v>0.75</v>
      </c>
      <c r="H139" s="17">
        <v>0.75</v>
      </c>
      <c r="I139">
        <v>0.75</v>
      </c>
      <c r="J139" s="17">
        <v>83</v>
      </c>
      <c r="K139">
        <v>1712</v>
      </c>
      <c r="L139" s="17" t="s">
        <v>608</v>
      </c>
      <c r="M139">
        <v>1.44</v>
      </c>
      <c r="N139" t="s">
        <v>52</v>
      </c>
    </row>
    <row r="140" spans="1:14" x14ac:dyDescent="0.2">
      <c r="A140" t="s">
        <v>1330</v>
      </c>
      <c r="B140" t="s">
        <v>1331</v>
      </c>
      <c r="C140">
        <v>23</v>
      </c>
      <c r="D140">
        <v>23.05</v>
      </c>
      <c r="E140">
        <v>6.79</v>
      </c>
      <c r="F140">
        <v>7.8</v>
      </c>
      <c r="G140">
        <v>0.5</v>
      </c>
      <c r="H140" s="17">
        <v>0.5</v>
      </c>
      <c r="I140">
        <v>0.5</v>
      </c>
      <c r="J140" s="17">
        <v>90.5</v>
      </c>
      <c r="K140">
        <v>1528</v>
      </c>
      <c r="L140" s="17">
        <v>4.6100000000000003</v>
      </c>
      <c r="M140">
        <v>2.2400000000000002</v>
      </c>
      <c r="N140" t="s">
        <v>52</v>
      </c>
    </row>
    <row r="141" spans="1:14" x14ac:dyDescent="0.2">
      <c r="A141" t="s">
        <v>1332</v>
      </c>
      <c r="B141" t="s">
        <v>1333</v>
      </c>
      <c r="C141">
        <v>23.1</v>
      </c>
      <c r="D141">
        <v>23.52</v>
      </c>
      <c r="E141">
        <v>7.55</v>
      </c>
      <c r="F141">
        <v>7.89</v>
      </c>
      <c r="G141">
        <v>0.5</v>
      </c>
      <c r="H141" s="17">
        <v>0.5</v>
      </c>
      <c r="I141">
        <v>0.5</v>
      </c>
      <c r="J141" s="17">
        <v>101.1</v>
      </c>
      <c r="K141">
        <v>1538</v>
      </c>
      <c r="L141" s="17">
        <v>0.95</v>
      </c>
      <c r="M141">
        <v>2.38</v>
      </c>
      <c r="N141" t="s">
        <v>52</v>
      </c>
    </row>
    <row r="142" spans="1:14" x14ac:dyDescent="0.2">
      <c r="A142" t="s">
        <v>1334</v>
      </c>
      <c r="B142" t="s">
        <v>1335</v>
      </c>
      <c r="C142">
        <v>23</v>
      </c>
      <c r="D142">
        <v>17.96</v>
      </c>
      <c r="E142">
        <v>5.89</v>
      </c>
      <c r="F142">
        <v>7.7</v>
      </c>
      <c r="G142">
        <v>0.8</v>
      </c>
      <c r="H142" s="17">
        <v>0.8</v>
      </c>
      <c r="I142">
        <v>0.8</v>
      </c>
      <c r="J142" s="17">
        <v>76.099999999999994</v>
      </c>
      <c r="K142">
        <v>1519</v>
      </c>
      <c r="L142" s="17">
        <v>1.57</v>
      </c>
      <c r="M142">
        <v>0.99</v>
      </c>
      <c r="N142" t="s">
        <v>52</v>
      </c>
    </row>
    <row r="143" spans="1:14" x14ac:dyDescent="0.2">
      <c r="A143" t="s">
        <v>1336</v>
      </c>
      <c r="B143" t="s">
        <v>1337</v>
      </c>
      <c r="C143">
        <v>22.7</v>
      </c>
      <c r="D143">
        <v>27.58</v>
      </c>
      <c r="E143">
        <v>6.29</v>
      </c>
      <c r="F143">
        <v>7.73</v>
      </c>
      <c r="G143">
        <v>0.5</v>
      </c>
      <c r="H143" s="17">
        <v>0.5</v>
      </c>
      <c r="I143">
        <v>0.5</v>
      </c>
      <c r="J143" s="17">
        <v>85.4</v>
      </c>
      <c r="K143">
        <v>1641</v>
      </c>
      <c r="L143" s="17">
        <v>3.27</v>
      </c>
      <c r="M143">
        <v>1.1399999999999999</v>
      </c>
      <c r="N143" t="s">
        <v>52</v>
      </c>
    </row>
    <row r="144" spans="1:14" x14ac:dyDescent="0.2">
      <c r="A144" t="s">
        <v>1338</v>
      </c>
      <c r="B144" t="s">
        <v>1339</v>
      </c>
      <c r="C144">
        <v>23.2</v>
      </c>
      <c r="D144">
        <v>29.05</v>
      </c>
      <c r="E144">
        <v>7.83</v>
      </c>
      <c r="F144">
        <v>7.9</v>
      </c>
      <c r="G144">
        <v>0.7</v>
      </c>
      <c r="H144" s="17">
        <v>0.7</v>
      </c>
      <c r="I144">
        <v>0.7</v>
      </c>
      <c r="J144" s="17">
        <v>108.4</v>
      </c>
      <c r="K144">
        <v>1620</v>
      </c>
      <c r="L144" s="17">
        <v>3.4</v>
      </c>
      <c r="M144">
        <v>1.2</v>
      </c>
      <c r="N144" t="s">
        <v>52</v>
      </c>
    </row>
    <row r="145" spans="1:14" x14ac:dyDescent="0.2">
      <c r="A145" t="s">
        <v>1340</v>
      </c>
      <c r="B145" t="s">
        <v>1341</v>
      </c>
      <c r="C145">
        <v>22.8</v>
      </c>
      <c r="D145">
        <v>26.33</v>
      </c>
      <c r="E145">
        <v>7.3</v>
      </c>
      <c r="F145">
        <v>7.78</v>
      </c>
      <c r="G145">
        <v>0.5</v>
      </c>
      <c r="H145" s="17">
        <v>0.5</v>
      </c>
      <c r="I145">
        <v>0.5</v>
      </c>
      <c r="J145" s="17">
        <v>99.4</v>
      </c>
      <c r="K145">
        <v>1628</v>
      </c>
      <c r="L145" s="17">
        <v>4.32</v>
      </c>
      <c r="M145">
        <v>1.35</v>
      </c>
      <c r="N145" t="s">
        <v>52</v>
      </c>
    </row>
    <row r="146" spans="1:14" x14ac:dyDescent="0.2">
      <c r="A146" t="s">
        <v>1342</v>
      </c>
      <c r="B146" t="s">
        <v>1343</v>
      </c>
      <c r="C146">
        <v>27.7</v>
      </c>
      <c r="D146">
        <v>25.18</v>
      </c>
      <c r="E146">
        <v>6.01</v>
      </c>
      <c r="F146">
        <v>7.62</v>
      </c>
      <c r="G146">
        <v>0.4</v>
      </c>
      <c r="H146" s="17">
        <v>0.4</v>
      </c>
      <c r="I146">
        <v>0.4</v>
      </c>
      <c r="J146" s="17">
        <v>87.8</v>
      </c>
      <c r="K146">
        <v>1604</v>
      </c>
      <c r="L146" s="17">
        <v>3.36</v>
      </c>
      <c r="M146">
        <v>1.67</v>
      </c>
      <c r="N146" t="s">
        <v>52</v>
      </c>
    </row>
    <row r="147" spans="1:14" x14ac:dyDescent="0.2">
      <c r="A147" t="s">
        <v>1344</v>
      </c>
      <c r="B147" t="s">
        <v>1345</v>
      </c>
      <c r="C147">
        <v>28</v>
      </c>
      <c r="D147">
        <v>27.2</v>
      </c>
      <c r="E147">
        <v>6.23</v>
      </c>
      <c r="F147">
        <v>7.66</v>
      </c>
      <c r="G147">
        <v>0.3</v>
      </c>
      <c r="H147" s="17">
        <v>0.3</v>
      </c>
      <c r="I147">
        <v>0.3</v>
      </c>
      <c r="J147" s="17">
        <v>92.6</v>
      </c>
      <c r="K147">
        <v>1636</v>
      </c>
      <c r="L147" s="17">
        <v>2.91</v>
      </c>
      <c r="M147">
        <v>1.64</v>
      </c>
      <c r="N147" t="s">
        <v>52</v>
      </c>
    </row>
    <row r="148" spans="1:14" x14ac:dyDescent="0.2">
      <c r="A148" t="s">
        <v>1346</v>
      </c>
      <c r="B148" t="s">
        <v>1347</v>
      </c>
      <c r="C148">
        <v>27.6</v>
      </c>
      <c r="D148">
        <v>22</v>
      </c>
      <c r="E148">
        <v>5.61</v>
      </c>
      <c r="F148">
        <v>7.53</v>
      </c>
      <c r="G148">
        <v>0.4</v>
      </c>
      <c r="H148" s="17">
        <v>0.4</v>
      </c>
      <c r="I148">
        <v>0.4</v>
      </c>
      <c r="J148" s="17">
        <v>80.400000000000006</v>
      </c>
      <c r="K148">
        <v>1519</v>
      </c>
      <c r="L148" s="17">
        <v>2.36</v>
      </c>
      <c r="M148">
        <v>1.76</v>
      </c>
      <c r="N148" t="s">
        <v>52</v>
      </c>
    </row>
    <row r="149" spans="1:14" x14ac:dyDescent="0.2">
      <c r="A149" t="s">
        <v>1348</v>
      </c>
      <c r="B149" t="s">
        <v>1349</v>
      </c>
      <c r="C149">
        <v>26.9</v>
      </c>
      <c r="D149">
        <v>34.24</v>
      </c>
      <c r="E149">
        <v>7.09</v>
      </c>
      <c r="F149">
        <v>7.86</v>
      </c>
      <c r="G149">
        <v>0.3</v>
      </c>
      <c r="H149" s="17">
        <v>0.3</v>
      </c>
      <c r="I149">
        <v>0.2</v>
      </c>
      <c r="J149" s="17">
        <v>107.6</v>
      </c>
      <c r="K149">
        <v>1809</v>
      </c>
      <c r="L149" s="17">
        <v>13.36</v>
      </c>
      <c r="M149">
        <v>2.08</v>
      </c>
      <c r="N149" t="s">
        <v>52</v>
      </c>
    </row>
    <row r="150" spans="1:14" x14ac:dyDescent="0.2">
      <c r="A150" t="s">
        <v>1350</v>
      </c>
      <c r="B150" t="s">
        <v>1351</v>
      </c>
      <c r="C150">
        <v>27.1</v>
      </c>
      <c r="D150">
        <v>33.630000000000003</v>
      </c>
      <c r="E150">
        <v>6.71</v>
      </c>
      <c r="F150">
        <v>7.74</v>
      </c>
      <c r="G150">
        <v>0.5</v>
      </c>
      <c r="H150" s="17">
        <v>0.5</v>
      </c>
      <c r="I150">
        <v>0.5</v>
      </c>
      <c r="J150" s="17">
        <v>102.1</v>
      </c>
      <c r="K150">
        <v>1729</v>
      </c>
      <c r="L150" s="17">
        <v>4.3099999999999996</v>
      </c>
      <c r="M150">
        <v>5.68</v>
      </c>
      <c r="N150" t="s">
        <v>52</v>
      </c>
    </row>
    <row r="151" spans="1:14" x14ac:dyDescent="0.2">
      <c r="A151" t="s">
        <v>1352</v>
      </c>
      <c r="B151" t="s">
        <v>1353</v>
      </c>
      <c r="C151">
        <v>27</v>
      </c>
      <c r="D151">
        <v>33.659999999999997</v>
      </c>
      <c r="E151">
        <v>6.33</v>
      </c>
      <c r="F151">
        <v>7.73</v>
      </c>
      <c r="G151">
        <v>0.3</v>
      </c>
      <c r="H151" s="17">
        <v>0.3</v>
      </c>
      <c r="I151">
        <v>0.3</v>
      </c>
      <c r="J151" s="17">
        <v>95.9</v>
      </c>
      <c r="K151">
        <v>1749</v>
      </c>
      <c r="L151" s="17">
        <v>7.44</v>
      </c>
      <c r="M151">
        <v>2.52</v>
      </c>
      <c r="N151" t="s">
        <v>52</v>
      </c>
    </row>
    <row r="152" spans="1:14" x14ac:dyDescent="0.2">
      <c r="A152" t="s">
        <v>1354</v>
      </c>
      <c r="B152" t="s">
        <v>1355</v>
      </c>
      <c r="C152">
        <v>27.8</v>
      </c>
      <c r="D152">
        <v>25.74</v>
      </c>
      <c r="E152">
        <v>6.48</v>
      </c>
      <c r="F152">
        <v>7.73</v>
      </c>
      <c r="G152">
        <v>0.5</v>
      </c>
      <c r="H152" s="17">
        <v>0.5</v>
      </c>
      <c r="I152">
        <v>0.5</v>
      </c>
      <c r="J152" s="17">
        <v>95.1</v>
      </c>
      <c r="K152">
        <v>1634</v>
      </c>
      <c r="L152" s="17">
        <v>7.01</v>
      </c>
      <c r="M152">
        <v>1.97</v>
      </c>
      <c r="N152" t="s">
        <v>52</v>
      </c>
    </row>
    <row r="153" spans="1:14" x14ac:dyDescent="0.2">
      <c r="A153" t="s">
        <v>1356</v>
      </c>
      <c r="B153" t="s">
        <v>1357</v>
      </c>
      <c r="C153">
        <v>27.8</v>
      </c>
      <c r="D153">
        <v>25.11</v>
      </c>
      <c r="E153">
        <v>6.33</v>
      </c>
      <c r="F153">
        <v>7.7</v>
      </c>
      <c r="G153">
        <v>0.4</v>
      </c>
      <c r="H153" s="17">
        <v>0.4</v>
      </c>
      <c r="I153">
        <v>0.4</v>
      </c>
      <c r="J153" s="17">
        <v>92.6</v>
      </c>
      <c r="K153">
        <v>1641</v>
      </c>
      <c r="L153" s="17">
        <v>4.82</v>
      </c>
      <c r="M153">
        <v>2.16</v>
      </c>
      <c r="N153" t="s">
        <v>52</v>
      </c>
    </row>
    <row r="154" spans="1:14" x14ac:dyDescent="0.2">
      <c r="A154" t="s">
        <v>1358</v>
      </c>
      <c r="B154" t="s">
        <v>1359</v>
      </c>
      <c r="C154">
        <v>27.7</v>
      </c>
      <c r="D154">
        <v>21.62</v>
      </c>
      <c r="E154">
        <v>5.58</v>
      </c>
      <c r="F154">
        <v>7.6</v>
      </c>
      <c r="G154">
        <v>0.7</v>
      </c>
      <c r="H154" s="17">
        <v>0.7</v>
      </c>
      <c r="I154">
        <v>0.7</v>
      </c>
      <c r="J154" s="17">
        <v>80.099999999999994</v>
      </c>
      <c r="K154">
        <v>1622</v>
      </c>
      <c r="L154" s="17">
        <v>2.69</v>
      </c>
      <c r="M154">
        <v>1.61</v>
      </c>
      <c r="N154" t="s">
        <v>52</v>
      </c>
    </row>
    <row r="155" spans="1:14" x14ac:dyDescent="0.2">
      <c r="A155" t="s">
        <v>1360</v>
      </c>
      <c r="B155" t="s">
        <v>1361</v>
      </c>
      <c r="C155">
        <v>27.8</v>
      </c>
      <c r="D155">
        <v>33.200000000000003</v>
      </c>
      <c r="E155">
        <v>6.82</v>
      </c>
      <c r="F155">
        <v>7.81</v>
      </c>
      <c r="G155">
        <v>0.6</v>
      </c>
      <c r="H155" s="17">
        <v>0.6</v>
      </c>
      <c r="I155">
        <v>0.6</v>
      </c>
      <c r="J155" s="17">
        <v>104.2</v>
      </c>
      <c r="K155">
        <v>1738</v>
      </c>
      <c r="L155" s="17">
        <v>7.48</v>
      </c>
      <c r="M155">
        <v>5.93</v>
      </c>
      <c r="N155" t="s">
        <v>52</v>
      </c>
    </row>
    <row r="156" spans="1:14" x14ac:dyDescent="0.2">
      <c r="A156" t="s">
        <v>1362</v>
      </c>
      <c r="B156" t="s">
        <v>1363</v>
      </c>
      <c r="C156">
        <v>27.7</v>
      </c>
      <c r="D156">
        <v>32.31</v>
      </c>
      <c r="E156">
        <v>7.44</v>
      </c>
      <c r="F156">
        <v>7.86</v>
      </c>
      <c r="G156">
        <v>0.5</v>
      </c>
      <c r="H156" s="17">
        <v>0.5</v>
      </c>
      <c r="I156">
        <v>0.4</v>
      </c>
      <c r="J156" s="17">
        <v>113.2</v>
      </c>
      <c r="K156">
        <v>1720</v>
      </c>
      <c r="L156" s="17">
        <v>17.809999999999999</v>
      </c>
      <c r="M156">
        <v>9.09</v>
      </c>
      <c r="N156" t="s">
        <v>52</v>
      </c>
    </row>
    <row r="157" spans="1:14" x14ac:dyDescent="0.2">
      <c r="A157" t="s">
        <v>1364</v>
      </c>
      <c r="B157" t="s">
        <v>1365</v>
      </c>
      <c r="C157">
        <v>28.1</v>
      </c>
      <c r="D157">
        <v>32.700000000000003</v>
      </c>
      <c r="E157">
        <v>7.11</v>
      </c>
      <c r="F157">
        <v>7.8</v>
      </c>
      <c r="G157">
        <v>0.6</v>
      </c>
      <c r="H157" s="17">
        <v>0.6</v>
      </c>
      <c r="I157">
        <v>0.6</v>
      </c>
      <c r="J157" s="17">
        <v>109.6</v>
      </c>
      <c r="K157">
        <v>1732</v>
      </c>
      <c r="L157" s="17">
        <v>6.08</v>
      </c>
      <c r="M157">
        <v>5.63</v>
      </c>
      <c r="N157" t="s">
        <v>52</v>
      </c>
    </row>
    <row r="158" spans="1:14" x14ac:dyDescent="0.2">
      <c r="A158" t="s">
        <v>1366</v>
      </c>
      <c r="B158" t="s">
        <v>1367</v>
      </c>
      <c r="C158">
        <v>32.799999999999997</v>
      </c>
      <c r="D158">
        <v>10.28</v>
      </c>
      <c r="E158">
        <v>5.3</v>
      </c>
      <c r="F158">
        <v>7.67</v>
      </c>
      <c r="G158">
        <v>0.6</v>
      </c>
      <c r="H158" s="17">
        <v>0.6</v>
      </c>
      <c r="I158">
        <v>0.6</v>
      </c>
      <c r="J158" s="17">
        <v>77.599999999999994</v>
      </c>
      <c r="K158">
        <v>1544</v>
      </c>
      <c r="L158" s="17">
        <v>5.27</v>
      </c>
      <c r="M158">
        <v>10.4</v>
      </c>
      <c r="N158" t="s">
        <v>52</v>
      </c>
    </row>
    <row r="159" spans="1:14" x14ac:dyDescent="0.2">
      <c r="A159" t="s">
        <v>1368</v>
      </c>
      <c r="B159" t="s">
        <v>1369</v>
      </c>
      <c r="C159">
        <v>33.700000000000003</v>
      </c>
      <c r="D159">
        <v>10.8</v>
      </c>
      <c r="E159">
        <v>6.06</v>
      </c>
      <c r="F159">
        <v>7.74</v>
      </c>
      <c r="G159">
        <v>0.6</v>
      </c>
      <c r="H159" s="17">
        <v>0.6</v>
      </c>
      <c r="I159">
        <v>0.6</v>
      </c>
      <c r="J159" s="17">
        <v>90.3</v>
      </c>
      <c r="K159">
        <v>1553</v>
      </c>
      <c r="L159" s="17">
        <v>2.67</v>
      </c>
      <c r="M159">
        <v>3.97</v>
      </c>
      <c r="N159" t="s">
        <v>52</v>
      </c>
    </row>
    <row r="160" spans="1:14" x14ac:dyDescent="0.2">
      <c r="A160" t="s">
        <v>1370</v>
      </c>
      <c r="B160" t="s">
        <v>1371</v>
      </c>
      <c r="C160">
        <v>32</v>
      </c>
      <c r="D160">
        <v>4.72</v>
      </c>
      <c r="E160">
        <v>4.62</v>
      </c>
      <c r="F160">
        <v>7.61</v>
      </c>
      <c r="G160">
        <v>0.55000000000000004</v>
      </c>
      <c r="H160" s="17">
        <v>0.55000000000000004</v>
      </c>
      <c r="I160">
        <v>0.55000000000000004</v>
      </c>
      <c r="J160" s="17">
        <v>64.8</v>
      </c>
      <c r="K160">
        <v>1533</v>
      </c>
      <c r="L160" s="17">
        <v>2.42</v>
      </c>
      <c r="M160">
        <v>4.45</v>
      </c>
      <c r="N160" t="s">
        <v>52</v>
      </c>
    </row>
    <row r="161" spans="1:14" x14ac:dyDescent="0.2">
      <c r="A161" t="s">
        <v>1372</v>
      </c>
      <c r="B161" t="s">
        <v>1373</v>
      </c>
      <c r="C161">
        <v>33.299999999999997</v>
      </c>
      <c r="D161">
        <v>25.31</v>
      </c>
      <c r="E161">
        <v>6.1</v>
      </c>
      <c r="F161">
        <v>7.81</v>
      </c>
      <c r="G161">
        <v>0.55000000000000004</v>
      </c>
      <c r="H161" s="17">
        <v>0.55000000000000004</v>
      </c>
      <c r="I161">
        <v>0.55000000000000004</v>
      </c>
      <c r="J161" s="17">
        <v>97.8</v>
      </c>
      <c r="K161">
        <v>1657</v>
      </c>
      <c r="L161" s="17">
        <v>4.2300000000000004</v>
      </c>
      <c r="M161">
        <v>5.7</v>
      </c>
      <c r="N161" t="s">
        <v>52</v>
      </c>
    </row>
    <row r="162" spans="1:14" x14ac:dyDescent="0.2">
      <c r="A162" t="s">
        <v>1374</v>
      </c>
      <c r="B162" t="s">
        <v>1375</v>
      </c>
      <c r="C162">
        <v>33.4</v>
      </c>
      <c r="D162">
        <v>26.36</v>
      </c>
      <c r="E162">
        <v>7.5</v>
      </c>
      <c r="F162">
        <v>7.93</v>
      </c>
      <c r="G162">
        <v>0.6</v>
      </c>
      <c r="H162" s="17">
        <v>0.6</v>
      </c>
      <c r="I162">
        <v>0.6</v>
      </c>
      <c r="J162" s="17">
        <v>121.1</v>
      </c>
      <c r="K162">
        <v>1637</v>
      </c>
      <c r="L162" s="17">
        <v>3.34</v>
      </c>
      <c r="M162">
        <v>2.74</v>
      </c>
      <c r="N162" t="s">
        <v>52</v>
      </c>
    </row>
    <row r="163" spans="1:14" x14ac:dyDescent="0.2">
      <c r="A163" t="s">
        <v>1376</v>
      </c>
      <c r="B163" t="s">
        <v>1377</v>
      </c>
      <c r="C163">
        <v>33.6</v>
      </c>
      <c r="D163">
        <v>24.89</v>
      </c>
      <c r="E163">
        <v>7.65</v>
      </c>
      <c r="F163">
        <v>7.93</v>
      </c>
      <c r="G163">
        <v>0.45</v>
      </c>
      <c r="H163" s="17">
        <v>0.45</v>
      </c>
      <c r="I163">
        <v>0.45</v>
      </c>
      <c r="J163" s="17">
        <v>123.3</v>
      </c>
      <c r="K163">
        <v>1646</v>
      </c>
      <c r="L163" s="17">
        <v>3.18</v>
      </c>
      <c r="M163">
        <v>3.08</v>
      </c>
      <c r="N163" t="s">
        <v>52</v>
      </c>
    </row>
    <row r="164" spans="1:14" x14ac:dyDescent="0.2">
      <c r="A164" t="s">
        <v>1378</v>
      </c>
      <c r="B164" t="s">
        <v>1379</v>
      </c>
      <c r="C164">
        <v>32</v>
      </c>
      <c r="D164">
        <v>11.02</v>
      </c>
      <c r="E164">
        <v>5.87</v>
      </c>
      <c r="F164">
        <v>7.7</v>
      </c>
      <c r="G164">
        <v>0.35</v>
      </c>
      <c r="H164" s="17">
        <v>0.35</v>
      </c>
      <c r="I164">
        <v>0.35</v>
      </c>
      <c r="J164" s="17">
        <v>84</v>
      </c>
      <c r="K164">
        <v>1548</v>
      </c>
      <c r="L164" s="17">
        <v>2.41</v>
      </c>
      <c r="M164">
        <v>1.43</v>
      </c>
      <c r="N164" t="s">
        <v>52</v>
      </c>
    </row>
    <row r="165" spans="1:14" x14ac:dyDescent="0.2">
      <c r="A165" t="s">
        <v>1380</v>
      </c>
      <c r="B165" t="s">
        <v>1381</v>
      </c>
      <c r="C165">
        <v>32.5</v>
      </c>
      <c r="D165">
        <v>13.05</v>
      </c>
      <c r="E165">
        <v>6.08</v>
      </c>
      <c r="F165">
        <v>7.77</v>
      </c>
      <c r="G165">
        <v>0.5</v>
      </c>
      <c r="H165" s="17">
        <v>0.5</v>
      </c>
      <c r="I165">
        <v>0.5</v>
      </c>
      <c r="J165" s="17">
        <v>90.3</v>
      </c>
      <c r="K165">
        <v>1558</v>
      </c>
      <c r="L165" s="17">
        <v>6.88</v>
      </c>
      <c r="M165">
        <v>1.97</v>
      </c>
      <c r="N165" t="s">
        <v>52</v>
      </c>
    </row>
    <row r="166" spans="1:14" x14ac:dyDescent="0.2">
      <c r="A166" t="s">
        <v>1382</v>
      </c>
      <c r="B166" t="s">
        <v>1383</v>
      </c>
      <c r="C166">
        <v>31</v>
      </c>
      <c r="D166">
        <v>4.8499999999999996</v>
      </c>
      <c r="E166">
        <v>4.6500000000000004</v>
      </c>
      <c r="F166">
        <v>7.58</v>
      </c>
      <c r="G166">
        <v>0.6</v>
      </c>
      <c r="H166" s="17">
        <v>0.6</v>
      </c>
      <c r="I166">
        <v>0.6</v>
      </c>
      <c r="J166" s="17">
        <v>64.099999999999994</v>
      </c>
      <c r="K166">
        <v>1535</v>
      </c>
      <c r="L166" s="17">
        <v>1.73</v>
      </c>
      <c r="M166">
        <v>1.4</v>
      </c>
      <c r="N166" t="s">
        <v>52</v>
      </c>
    </row>
    <row r="167" spans="1:14" x14ac:dyDescent="0.2">
      <c r="A167" t="s">
        <v>1384</v>
      </c>
      <c r="B167" t="s">
        <v>1385</v>
      </c>
      <c r="C167">
        <v>31.2</v>
      </c>
      <c r="D167">
        <v>28.03</v>
      </c>
      <c r="E167">
        <v>8.0500000000000007</v>
      </c>
      <c r="F167">
        <v>7.99</v>
      </c>
      <c r="G167">
        <v>0.5</v>
      </c>
      <c r="H167" s="17">
        <v>0.5</v>
      </c>
      <c r="I167">
        <v>0.5</v>
      </c>
      <c r="J167" s="17">
        <v>127</v>
      </c>
      <c r="K167">
        <v>1702</v>
      </c>
      <c r="L167" s="17">
        <v>5.19</v>
      </c>
      <c r="M167">
        <v>2.2400000000000002</v>
      </c>
      <c r="N167" t="s">
        <v>52</v>
      </c>
    </row>
    <row r="168" spans="1:14" x14ac:dyDescent="0.2">
      <c r="A168" t="s">
        <v>1386</v>
      </c>
      <c r="B168" t="s">
        <v>1387</v>
      </c>
      <c r="C168">
        <v>32.4</v>
      </c>
      <c r="D168">
        <v>23.82</v>
      </c>
      <c r="E168">
        <v>7.69</v>
      </c>
      <c r="F168">
        <v>7.93</v>
      </c>
      <c r="G168">
        <v>0.45</v>
      </c>
      <c r="H168" s="17">
        <v>0.45</v>
      </c>
      <c r="I168">
        <v>0.45</v>
      </c>
      <c r="J168" s="17">
        <v>120.8</v>
      </c>
      <c r="K168">
        <v>1646</v>
      </c>
      <c r="L168" s="17">
        <v>7.52</v>
      </c>
      <c r="M168">
        <v>6.97</v>
      </c>
      <c r="N168" t="s">
        <v>52</v>
      </c>
    </row>
    <row r="169" spans="1:14" x14ac:dyDescent="0.2">
      <c r="A169" t="s">
        <v>1388</v>
      </c>
      <c r="B169" t="s">
        <v>1389</v>
      </c>
      <c r="C169">
        <v>32</v>
      </c>
      <c r="D169">
        <v>26.8</v>
      </c>
      <c r="E169">
        <v>8.49</v>
      </c>
      <c r="F169">
        <v>7.97</v>
      </c>
      <c r="G169">
        <v>0.4</v>
      </c>
      <c r="H169" s="17">
        <v>0.4</v>
      </c>
      <c r="I169">
        <v>0.4</v>
      </c>
      <c r="J169" s="17">
        <v>134.5</v>
      </c>
      <c r="K169">
        <v>1654</v>
      </c>
      <c r="L169" s="17">
        <v>6.63</v>
      </c>
      <c r="M169">
        <v>3.47</v>
      </c>
      <c r="N169" t="s">
        <v>52</v>
      </c>
    </row>
    <row r="170" spans="1:14" x14ac:dyDescent="0.2">
      <c r="A170" t="s">
        <v>1390</v>
      </c>
      <c r="B170" t="s">
        <v>1391</v>
      </c>
      <c r="C170">
        <v>31.9</v>
      </c>
      <c r="D170">
        <v>16.809999999999999</v>
      </c>
      <c r="E170">
        <v>7.37</v>
      </c>
      <c r="F170">
        <v>7.93</v>
      </c>
      <c r="G170">
        <v>1.2</v>
      </c>
      <c r="H170" s="17">
        <v>1.2</v>
      </c>
      <c r="I170">
        <v>1.2</v>
      </c>
      <c r="J170" s="17">
        <v>110.3</v>
      </c>
      <c r="K170">
        <v>1549</v>
      </c>
      <c r="L170" s="17">
        <v>0.9</v>
      </c>
      <c r="M170">
        <v>2.79</v>
      </c>
      <c r="N170" t="s">
        <v>52</v>
      </c>
    </row>
    <row r="171" spans="1:14" x14ac:dyDescent="0.2">
      <c r="A171" t="s">
        <v>1392</v>
      </c>
      <c r="B171" t="s">
        <v>1393</v>
      </c>
      <c r="C171">
        <v>32.200000000000003</v>
      </c>
      <c r="D171">
        <v>14.81</v>
      </c>
      <c r="E171">
        <v>7.52</v>
      </c>
      <c r="F171">
        <v>7.93</v>
      </c>
      <c r="G171">
        <v>1.1000000000000001</v>
      </c>
      <c r="H171" s="17">
        <v>1.1000000000000001</v>
      </c>
      <c r="I171">
        <v>0.95</v>
      </c>
      <c r="J171" s="17">
        <v>112.1</v>
      </c>
      <c r="K171">
        <v>1618</v>
      </c>
      <c r="L171" s="17">
        <v>0.73</v>
      </c>
      <c r="M171">
        <v>2.1800000000000002</v>
      </c>
      <c r="N171" t="s">
        <v>52</v>
      </c>
    </row>
    <row r="172" spans="1:14" x14ac:dyDescent="0.2">
      <c r="A172" t="s">
        <v>1394</v>
      </c>
      <c r="B172" t="s">
        <v>1395</v>
      </c>
      <c r="C172">
        <v>30.8</v>
      </c>
      <c r="D172">
        <v>14.05</v>
      </c>
      <c r="E172">
        <v>6.22</v>
      </c>
      <c r="F172">
        <v>7.72</v>
      </c>
      <c r="G172">
        <v>1</v>
      </c>
      <c r="H172" s="17">
        <v>1</v>
      </c>
      <c r="I172">
        <v>1</v>
      </c>
      <c r="J172" s="17">
        <v>90</v>
      </c>
      <c r="K172">
        <v>1557</v>
      </c>
      <c r="L172" s="17">
        <v>0.7</v>
      </c>
      <c r="M172">
        <v>1.88</v>
      </c>
      <c r="N172" t="s">
        <v>52</v>
      </c>
    </row>
    <row r="173" spans="1:14" x14ac:dyDescent="0.2">
      <c r="A173" t="s">
        <v>1396</v>
      </c>
      <c r="B173" t="s">
        <v>1397</v>
      </c>
      <c r="C173">
        <v>31.5</v>
      </c>
      <c r="D173">
        <v>21.13</v>
      </c>
      <c r="E173">
        <v>8.1</v>
      </c>
      <c r="F173">
        <v>8.06</v>
      </c>
      <c r="G173">
        <v>1</v>
      </c>
      <c r="H173" s="17">
        <v>1</v>
      </c>
      <c r="I173">
        <v>1</v>
      </c>
      <c r="J173" s="17">
        <v>123.6</v>
      </c>
      <c r="K173">
        <v>1759</v>
      </c>
      <c r="L173" s="17">
        <v>1.38</v>
      </c>
      <c r="M173">
        <v>1.77</v>
      </c>
      <c r="N173" t="s">
        <v>52</v>
      </c>
    </row>
    <row r="174" spans="1:14" x14ac:dyDescent="0.2">
      <c r="A174" t="s">
        <v>1398</v>
      </c>
      <c r="B174" t="s">
        <v>1399</v>
      </c>
      <c r="C174">
        <v>31.3</v>
      </c>
      <c r="D174">
        <v>23.92</v>
      </c>
      <c r="E174">
        <v>8.09</v>
      </c>
      <c r="F174">
        <v>7.96</v>
      </c>
      <c r="G174">
        <v>1</v>
      </c>
      <c r="H174" s="17">
        <v>1</v>
      </c>
      <c r="I174">
        <v>0.7</v>
      </c>
      <c r="J174" s="17">
        <v>125.9</v>
      </c>
      <c r="K174">
        <v>1710</v>
      </c>
      <c r="L174" s="17">
        <v>3.15</v>
      </c>
      <c r="M174">
        <v>3.73</v>
      </c>
      <c r="N174" t="s">
        <v>52</v>
      </c>
    </row>
    <row r="175" spans="1:14" x14ac:dyDescent="0.2">
      <c r="A175" t="s">
        <v>1400</v>
      </c>
      <c r="B175" t="s">
        <v>1401</v>
      </c>
      <c r="C175">
        <v>31.7</v>
      </c>
      <c r="D175">
        <v>19.87</v>
      </c>
      <c r="E175">
        <v>8</v>
      </c>
      <c r="F175">
        <v>7.99</v>
      </c>
      <c r="G175">
        <v>0.7</v>
      </c>
      <c r="H175" s="17">
        <v>0.7</v>
      </c>
      <c r="I175">
        <v>0.7</v>
      </c>
      <c r="J175" s="17">
        <v>121.4</v>
      </c>
      <c r="K175">
        <v>1741</v>
      </c>
      <c r="L175" s="17">
        <v>1.08</v>
      </c>
      <c r="M175">
        <v>2.11</v>
      </c>
      <c r="N175" t="s">
        <v>52</v>
      </c>
    </row>
    <row r="176" spans="1:14" x14ac:dyDescent="0.2">
      <c r="A176" t="s">
        <v>1402</v>
      </c>
      <c r="B176" t="s">
        <v>1403</v>
      </c>
      <c r="C176">
        <v>26.3</v>
      </c>
      <c r="D176">
        <v>24.06</v>
      </c>
      <c r="E176">
        <v>6.89</v>
      </c>
      <c r="F176">
        <v>7.83</v>
      </c>
      <c r="G176">
        <v>1</v>
      </c>
      <c r="H176" s="17">
        <v>1</v>
      </c>
      <c r="I176">
        <v>1</v>
      </c>
      <c r="J176" s="17">
        <v>97.8</v>
      </c>
      <c r="K176">
        <v>1535</v>
      </c>
      <c r="L176" s="17">
        <v>1.1499999999999999</v>
      </c>
      <c r="M176">
        <v>1.51</v>
      </c>
      <c r="N176" t="s">
        <v>52</v>
      </c>
    </row>
    <row r="177" spans="1:14" x14ac:dyDescent="0.2">
      <c r="A177" t="s">
        <v>1404</v>
      </c>
      <c r="B177" t="s">
        <v>1405</v>
      </c>
      <c r="C177">
        <v>26.2</v>
      </c>
      <c r="D177">
        <v>24.66</v>
      </c>
      <c r="E177">
        <v>7.02</v>
      </c>
      <c r="F177">
        <v>7.85</v>
      </c>
      <c r="G177">
        <v>0.9</v>
      </c>
      <c r="H177" s="17">
        <v>0.9</v>
      </c>
      <c r="I177">
        <v>0.9</v>
      </c>
      <c r="J177" s="17">
        <v>99.7</v>
      </c>
      <c r="K177">
        <v>1547</v>
      </c>
      <c r="L177" s="17">
        <v>1.21</v>
      </c>
      <c r="M177">
        <v>1.79</v>
      </c>
      <c r="N177" t="s">
        <v>52</v>
      </c>
    </row>
    <row r="178" spans="1:14" x14ac:dyDescent="0.2">
      <c r="A178" t="s">
        <v>1406</v>
      </c>
      <c r="B178" t="s">
        <v>1407</v>
      </c>
      <c r="C178">
        <v>26.3</v>
      </c>
      <c r="D178">
        <v>22.4</v>
      </c>
      <c r="E178">
        <v>6.13</v>
      </c>
      <c r="F178">
        <v>7.8</v>
      </c>
      <c r="G178">
        <v>1.1000000000000001</v>
      </c>
      <c r="H178" s="17">
        <v>1.1000000000000001</v>
      </c>
      <c r="I178">
        <v>1.1000000000000001</v>
      </c>
      <c r="J178" s="17">
        <v>85.8</v>
      </c>
      <c r="K178">
        <v>1522</v>
      </c>
      <c r="L178" s="17">
        <v>-0.17</v>
      </c>
      <c r="M178">
        <v>2.0099999999999998</v>
      </c>
      <c r="N178" t="s">
        <v>52</v>
      </c>
    </row>
    <row r="179" spans="1:14" x14ac:dyDescent="0.2">
      <c r="A179" t="s">
        <v>1408</v>
      </c>
      <c r="B179" t="s">
        <v>1409</v>
      </c>
      <c r="C179">
        <v>26</v>
      </c>
      <c r="D179">
        <v>28.73</v>
      </c>
      <c r="E179">
        <v>8.1</v>
      </c>
      <c r="F179">
        <v>8.01</v>
      </c>
      <c r="G179">
        <v>0.95</v>
      </c>
      <c r="H179" s="17">
        <v>0.95</v>
      </c>
      <c r="I179">
        <v>0.95</v>
      </c>
      <c r="J179" s="17">
        <v>117.5</v>
      </c>
      <c r="K179">
        <v>1712</v>
      </c>
      <c r="L179" s="17">
        <v>0.47</v>
      </c>
      <c r="M179">
        <v>2.56</v>
      </c>
      <c r="N179" t="s">
        <v>52</v>
      </c>
    </row>
    <row r="180" spans="1:14" x14ac:dyDescent="0.2">
      <c r="A180" t="s">
        <v>1410</v>
      </c>
      <c r="B180" t="s">
        <v>1411</v>
      </c>
      <c r="C180">
        <v>26</v>
      </c>
      <c r="D180">
        <v>28.66</v>
      </c>
      <c r="E180">
        <v>7.86</v>
      </c>
      <c r="F180">
        <v>8</v>
      </c>
      <c r="G180">
        <v>1.2</v>
      </c>
      <c r="H180" s="17">
        <v>1.2</v>
      </c>
      <c r="I180">
        <v>1.2</v>
      </c>
      <c r="J180" s="17">
        <v>113.9</v>
      </c>
      <c r="K180">
        <v>1631</v>
      </c>
      <c r="L180" s="17">
        <v>0.21</v>
      </c>
      <c r="M180">
        <v>3.33</v>
      </c>
      <c r="N180" t="s">
        <v>52</v>
      </c>
    </row>
    <row r="181" spans="1:14" x14ac:dyDescent="0.2">
      <c r="A181" t="s">
        <v>1412</v>
      </c>
      <c r="B181" t="s">
        <v>1413</v>
      </c>
      <c r="C181">
        <v>25.9</v>
      </c>
      <c r="D181">
        <v>28.58</v>
      </c>
      <c r="E181">
        <v>7.82</v>
      </c>
      <c r="F181">
        <v>7.99</v>
      </c>
      <c r="G181">
        <v>1.1000000000000001</v>
      </c>
      <c r="H181" s="17">
        <v>1.1000000000000001</v>
      </c>
      <c r="I181">
        <v>1.1000000000000001</v>
      </c>
      <c r="J181" s="17">
        <v>113.3</v>
      </c>
      <c r="K181">
        <v>1649</v>
      </c>
      <c r="L181" s="17">
        <v>0.12</v>
      </c>
      <c r="M181">
        <v>3.13</v>
      </c>
      <c r="N181" t="s">
        <v>52</v>
      </c>
    </row>
    <row r="182" spans="1:14" x14ac:dyDescent="0.2">
      <c r="A182" t="s">
        <v>1414</v>
      </c>
      <c r="B182" t="s">
        <v>1415</v>
      </c>
      <c r="C182">
        <v>24.9</v>
      </c>
      <c r="D182">
        <v>24.75</v>
      </c>
      <c r="E182">
        <v>6.7</v>
      </c>
      <c r="F182">
        <v>7.85</v>
      </c>
      <c r="G182">
        <v>0.85</v>
      </c>
      <c r="H182" s="17">
        <v>0.85</v>
      </c>
      <c r="I182">
        <v>0.85</v>
      </c>
      <c r="J182" s="17">
        <v>94.3</v>
      </c>
      <c r="K182">
        <v>1558</v>
      </c>
      <c r="L182" s="17">
        <v>1.68</v>
      </c>
      <c r="M182">
        <v>2.16</v>
      </c>
      <c r="N182" t="s">
        <v>52</v>
      </c>
    </row>
    <row r="183" spans="1:14" x14ac:dyDescent="0.2">
      <c r="A183" t="s">
        <v>1416</v>
      </c>
      <c r="B183" t="s">
        <v>1417</v>
      </c>
      <c r="C183">
        <v>25.3</v>
      </c>
      <c r="D183">
        <v>24.8</v>
      </c>
      <c r="E183">
        <v>7.61</v>
      </c>
      <c r="F183">
        <v>7.94</v>
      </c>
      <c r="G183">
        <v>0.8</v>
      </c>
      <c r="H183" s="17">
        <v>0.8</v>
      </c>
      <c r="I183">
        <v>0.8</v>
      </c>
      <c r="J183" s="17">
        <v>106.8</v>
      </c>
      <c r="K183">
        <v>1605</v>
      </c>
      <c r="L183" s="17">
        <v>1.52</v>
      </c>
      <c r="M183">
        <v>2.0299999999999998</v>
      </c>
      <c r="N183" t="s">
        <v>52</v>
      </c>
    </row>
    <row r="184" spans="1:14" x14ac:dyDescent="0.2">
      <c r="A184" t="s">
        <v>1418</v>
      </c>
      <c r="B184" t="s">
        <v>1419</v>
      </c>
      <c r="C184">
        <v>24.7</v>
      </c>
      <c r="D184">
        <v>16.53</v>
      </c>
      <c r="E184">
        <v>6.89</v>
      </c>
      <c r="F184">
        <v>7.8</v>
      </c>
      <c r="G184">
        <v>0.95</v>
      </c>
      <c r="H184" s="17">
        <v>0.95</v>
      </c>
      <c r="I184">
        <v>0.95</v>
      </c>
      <c r="J184" s="17">
        <v>91</v>
      </c>
      <c r="K184">
        <v>1549</v>
      </c>
      <c r="L184" s="17">
        <v>1.43</v>
      </c>
      <c r="M184">
        <v>3.29</v>
      </c>
      <c r="N184" t="s">
        <v>52</v>
      </c>
    </row>
    <row r="185" spans="1:14" x14ac:dyDescent="0.2">
      <c r="A185" t="s">
        <v>1420</v>
      </c>
      <c r="B185" t="s">
        <v>1421</v>
      </c>
      <c r="C185">
        <v>24.4</v>
      </c>
      <c r="D185">
        <v>28.78</v>
      </c>
      <c r="E185">
        <v>7.13</v>
      </c>
      <c r="F185">
        <v>7.93</v>
      </c>
      <c r="G185">
        <v>0.95</v>
      </c>
      <c r="H185" s="17">
        <v>0.95</v>
      </c>
      <c r="I185">
        <v>0.95</v>
      </c>
      <c r="J185" s="17">
        <v>101.7</v>
      </c>
      <c r="K185">
        <v>1715</v>
      </c>
      <c r="L185" s="17">
        <v>3.19</v>
      </c>
      <c r="M185">
        <v>4.04</v>
      </c>
      <c r="N185" t="s">
        <v>52</v>
      </c>
    </row>
    <row r="186" spans="1:14" x14ac:dyDescent="0.2">
      <c r="A186" t="s">
        <v>1422</v>
      </c>
      <c r="B186" t="s">
        <v>1423</v>
      </c>
      <c r="C186">
        <v>25.5</v>
      </c>
      <c r="D186">
        <v>29.19</v>
      </c>
      <c r="E186">
        <v>7.48</v>
      </c>
      <c r="F186">
        <v>7.95</v>
      </c>
      <c r="G186">
        <v>1.1000000000000001</v>
      </c>
      <c r="H186" s="17">
        <v>1.1000000000000001</v>
      </c>
      <c r="I186">
        <v>1.1000000000000001</v>
      </c>
      <c r="J186" s="17">
        <v>107.8</v>
      </c>
      <c r="K186">
        <v>1645</v>
      </c>
      <c r="L186" s="17">
        <v>3.36</v>
      </c>
      <c r="M186">
        <v>4.25</v>
      </c>
      <c r="N186" t="s">
        <v>52</v>
      </c>
    </row>
    <row r="187" spans="1:14" x14ac:dyDescent="0.2">
      <c r="A187" t="s">
        <v>1424</v>
      </c>
      <c r="B187" t="s">
        <v>1425</v>
      </c>
      <c r="C187">
        <v>25.6</v>
      </c>
      <c r="D187">
        <v>30.01</v>
      </c>
      <c r="E187">
        <v>7.11</v>
      </c>
      <c r="F187">
        <v>7.96</v>
      </c>
      <c r="G187">
        <v>1</v>
      </c>
      <c r="H187" s="17">
        <v>1</v>
      </c>
      <c r="I187">
        <v>1</v>
      </c>
      <c r="J187" s="17">
        <v>102.5</v>
      </c>
      <c r="K187">
        <v>1707</v>
      </c>
      <c r="L187" s="17">
        <v>3.52</v>
      </c>
      <c r="M187">
        <v>4.25</v>
      </c>
      <c r="N187" t="s">
        <v>52</v>
      </c>
    </row>
    <row r="188" spans="1:14" x14ac:dyDescent="0.2">
      <c r="A188" t="s">
        <v>1426</v>
      </c>
      <c r="B188" t="s">
        <v>1427</v>
      </c>
      <c r="C188">
        <v>19.7</v>
      </c>
      <c r="D188">
        <v>13.12</v>
      </c>
      <c r="E188">
        <v>7.44</v>
      </c>
      <c r="F188">
        <v>7.7</v>
      </c>
      <c r="G188">
        <v>0.7</v>
      </c>
      <c r="H188" s="17">
        <v>0.7</v>
      </c>
      <c r="I188">
        <v>0.7</v>
      </c>
      <c r="J188" s="17">
        <v>88</v>
      </c>
      <c r="K188">
        <v>1621</v>
      </c>
      <c r="L188" s="17">
        <v>0.87</v>
      </c>
      <c r="M188">
        <v>1.44</v>
      </c>
      <c r="N188" t="s">
        <v>52</v>
      </c>
    </row>
    <row r="189" spans="1:14" x14ac:dyDescent="0.2">
      <c r="A189" t="s">
        <v>1428</v>
      </c>
      <c r="B189" t="s">
        <v>1429</v>
      </c>
      <c r="C189">
        <v>19.7</v>
      </c>
      <c r="D189">
        <v>14.57</v>
      </c>
      <c r="E189">
        <v>8.1199999999999992</v>
      </c>
      <c r="F189">
        <v>7.79</v>
      </c>
      <c r="G189">
        <v>0.7</v>
      </c>
      <c r="H189" s="17">
        <v>0.7</v>
      </c>
      <c r="I189">
        <v>0.7</v>
      </c>
      <c r="J189" s="17">
        <v>96.9</v>
      </c>
      <c r="K189">
        <v>1631</v>
      </c>
      <c r="L189" s="17">
        <v>3.17</v>
      </c>
      <c r="M189">
        <v>2.2599999999999998</v>
      </c>
      <c r="N189" t="s">
        <v>52</v>
      </c>
    </row>
    <row r="190" spans="1:14" x14ac:dyDescent="0.2">
      <c r="A190" t="s">
        <v>1430</v>
      </c>
      <c r="B190" t="s">
        <v>1431</v>
      </c>
      <c r="C190">
        <v>19.8</v>
      </c>
      <c r="D190">
        <v>14.49</v>
      </c>
      <c r="E190">
        <v>7.21</v>
      </c>
      <c r="F190">
        <v>7.73</v>
      </c>
      <c r="G190">
        <v>0.85</v>
      </c>
      <c r="H190" s="17">
        <v>0.85</v>
      </c>
      <c r="I190">
        <v>0.85</v>
      </c>
      <c r="J190" s="17">
        <v>86.3</v>
      </c>
      <c r="K190">
        <v>1609</v>
      </c>
      <c r="L190" s="17">
        <v>1.1299999999999999</v>
      </c>
      <c r="M190">
        <v>1.76</v>
      </c>
      <c r="N190" t="s">
        <v>52</v>
      </c>
    </row>
    <row r="191" spans="1:14" x14ac:dyDescent="0.2">
      <c r="A191" t="s">
        <v>1432</v>
      </c>
      <c r="B191" t="s">
        <v>1433</v>
      </c>
      <c r="C191">
        <v>21</v>
      </c>
      <c r="D191">
        <v>24.78</v>
      </c>
      <c r="E191">
        <v>7.32</v>
      </c>
      <c r="F191">
        <v>7.87</v>
      </c>
      <c r="G191">
        <v>0.8</v>
      </c>
      <c r="H191" s="17">
        <v>0.8</v>
      </c>
      <c r="I191">
        <v>0.8</v>
      </c>
      <c r="J191" s="17">
        <v>95.3</v>
      </c>
      <c r="K191">
        <v>1741</v>
      </c>
      <c r="L191" s="17">
        <v>2.86</v>
      </c>
      <c r="M191">
        <v>2.89</v>
      </c>
      <c r="N191" t="s">
        <v>52</v>
      </c>
    </row>
    <row r="192" spans="1:14" x14ac:dyDescent="0.2">
      <c r="A192" t="s">
        <v>1434</v>
      </c>
      <c r="B192" t="s">
        <v>1435</v>
      </c>
      <c r="C192">
        <v>21.9</v>
      </c>
      <c r="D192">
        <v>29.4</v>
      </c>
      <c r="E192">
        <v>5.97</v>
      </c>
      <c r="F192">
        <v>7.83</v>
      </c>
      <c r="G192">
        <v>0.7</v>
      </c>
      <c r="H192" s="17">
        <v>0.7</v>
      </c>
      <c r="I192">
        <v>0.7</v>
      </c>
      <c r="J192" s="17">
        <v>81.2</v>
      </c>
      <c r="K192">
        <v>1715</v>
      </c>
      <c r="L192" s="17">
        <v>6.8</v>
      </c>
      <c r="M192">
        <v>3.21</v>
      </c>
      <c r="N192" t="s">
        <v>52</v>
      </c>
    </row>
    <row r="193" spans="1:14" x14ac:dyDescent="0.2">
      <c r="A193" t="s">
        <v>1436</v>
      </c>
      <c r="B193" t="s">
        <v>1437</v>
      </c>
      <c r="C193">
        <v>22.1</v>
      </c>
      <c r="D193">
        <v>29.24</v>
      </c>
      <c r="E193">
        <v>6.42</v>
      </c>
      <c r="F193">
        <v>7.9</v>
      </c>
      <c r="G193">
        <v>0.8</v>
      </c>
      <c r="H193" s="17">
        <v>0.8</v>
      </c>
      <c r="I193">
        <v>0.8</v>
      </c>
      <c r="J193" s="17">
        <v>87.5</v>
      </c>
      <c r="K193">
        <v>1732</v>
      </c>
      <c r="L193" s="17">
        <v>4.66</v>
      </c>
      <c r="M193">
        <v>2.89</v>
      </c>
      <c r="N193" t="s">
        <v>52</v>
      </c>
    </row>
    <row r="194" spans="1:14" x14ac:dyDescent="0.2">
      <c r="A194" t="s">
        <v>1438</v>
      </c>
      <c r="B194" t="s">
        <v>1439</v>
      </c>
      <c r="C194">
        <v>22.7</v>
      </c>
      <c r="D194">
        <v>20.22</v>
      </c>
      <c r="E194">
        <v>7.34</v>
      </c>
      <c r="F194">
        <v>7.79</v>
      </c>
      <c r="G194">
        <v>0.55000000000000004</v>
      </c>
      <c r="H194" s="17">
        <v>0.55000000000000004</v>
      </c>
      <c r="I194">
        <v>0.55000000000000004</v>
      </c>
      <c r="J194" s="17">
        <v>96.2</v>
      </c>
      <c r="K194">
        <v>1622</v>
      </c>
      <c r="L194" s="17">
        <v>5.55</v>
      </c>
      <c r="M194">
        <v>6.42</v>
      </c>
      <c r="N194" t="s">
        <v>52</v>
      </c>
    </row>
    <row r="195" spans="1:14" x14ac:dyDescent="0.2">
      <c r="A195" t="s">
        <v>1440</v>
      </c>
      <c r="B195" t="s">
        <v>1441</v>
      </c>
      <c r="C195">
        <v>23</v>
      </c>
      <c r="D195">
        <v>21.64</v>
      </c>
      <c r="E195">
        <v>7.72</v>
      </c>
      <c r="F195">
        <v>7.84</v>
      </c>
      <c r="G195">
        <v>0.45</v>
      </c>
      <c r="H195" s="17">
        <v>0.45</v>
      </c>
      <c r="I195">
        <v>0.45</v>
      </c>
      <c r="J195" s="17">
        <v>101.8</v>
      </c>
      <c r="K195">
        <v>1630</v>
      </c>
      <c r="L195" s="17">
        <v>3.28</v>
      </c>
      <c r="M195">
        <v>4.04</v>
      </c>
      <c r="N195" t="s">
        <v>52</v>
      </c>
    </row>
    <row r="196" spans="1:14" x14ac:dyDescent="0.2">
      <c r="A196" t="s">
        <v>1442</v>
      </c>
      <c r="B196" t="s">
        <v>1443</v>
      </c>
      <c r="C196">
        <v>22.5</v>
      </c>
      <c r="D196">
        <v>15.89</v>
      </c>
      <c r="E196">
        <v>7.25</v>
      </c>
      <c r="F196">
        <v>7.82</v>
      </c>
      <c r="G196">
        <v>0.6</v>
      </c>
      <c r="H196" s="17">
        <v>0.6</v>
      </c>
      <c r="I196">
        <v>0.6</v>
      </c>
      <c r="J196" s="17">
        <v>91.9</v>
      </c>
      <c r="K196">
        <v>1610</v>
      </c>
      <c r="L196" s="17">
        <v>2.57</v>
      </c>
      <c r="M196">
        <v>7.22</v>
      </c>
      <c r="N196" t="s">
        <v>52</v>
      </c>
    </row>
    <row r="197" spans="1:14" x14ac:dyDescent="0.2">
      <c r="A197" t="s">
        <v>1444</v>
      </c>
      <c r="B197" t="s">
        <v>1445</v>
      </c>
      <c r="C197">
        <v>23.1</v>
      </c>
      <c r="D197">
        <v>31.5</v>
      </c>
      <c r="E197">
        <v>6.19</v>
      </c>
      <c r="F197">
        <v>7.77</v>
      </c>
      <c r="G197">
        <v>0.45</v>
      </c>
      <c r="H197" s="17">
        <v>0.45</v>
      </c>
      <c r="I197">
        <v>0.45</v>
      </c>
      <c r="J197" s="17">
        <v>87.1</v>
      </c>
      <c r="K197">
        <v>1737</v>
      </c>
      <c r="L197" s="17">
        <v>5.84</v>
      </c>
      <c r="M197">
        <v>12.1</v>
      </c>
      <c r="N197" t="s">
        <v>52</v>
      </c>
    </row>
    <row r="198" spans="1:14" x14ac:dyDescent="0.2">
      <c r="A198" t="s">
        <v>1446</v>
      </c>
      <c r="B198" t="s">
        <v>1447</v>
      </c>
      <c r="C198">
        <v>23.5</v>
      </c>
      <c r="D198">
        <v>33.020000000000003</v>
      </c>
      <c r="E198">
        <v>6.63</v>
      </c>
      <c r="F198">
        <v>7.88</v>
      </c>
      <c r="G198">
        <v>0.55000000000000004</v>
      </c>
      <c r="H198" s="17">
        <v>0.55000000000000004</v>
      </c>
      <c r="I198">
        <v>0.55000000000000004</v>
      </c>
      <c r="J198" s="17">
        <v>94.2</v>
      </c>
      <c r="K198">
        <v>1717</v>
      </c>
      <c r="L198" s="17">
        <v>9.8699999999999992</v>
      </c>
      <c r="M198">
        <v>9.0299999999999994</v>
      </c>
      <c r="N198" t="s">
        <v>52</v>
      </c>
    </row>
    <row r="199" spans="1:14" x14ac:dyDescent="0.2">
      <c r="A199" t="s">
        <v>1448</v>
      </c>
      <c r="B199" t="s">
        <v>1449</v>
      </c>
      <c r="C199">
        <v>23.7</v>
      </c>
      <c r="D199">
        <v>33.04</v>
      </c>
      <c r="E199">
        <v>6.97</v>
      </c>
      <c r="F199">
        <v>7.91</v>
      </c>
      <c r="G199">
        <v>0.45</v>
      </c>
      <c r="H199" s="17">
        <v>0.45</v>
      </c>
      <c r="I199">
        <v>0.45</v>
      </c>
      <c r="J199" s="17">
        <v>99.4</v>
      </c>
      <c r="K199">
        <v>1728</v>
      </c>
      <c r="L199" s="17">
        <v>3.22</v>
      </c>
      <c r="M199">
        <v>4.33</v>
      </c>
      <c r="N199" t="s">
        <v>52</v>
      </c>
    </row>
    <row r="200" spans="1:14" x14ac:dyDescent="0.2">
      <c r="A200" t="s">
        <v>1450</v>
      </c>
      <c r="B200" t="s">
        <v>1451</v>
      </c>
      <c r="C200">
        <v>24.8</v>
      </c>
      <c r="D200">
        <v>15.08</v>
      </c>
      <c r="E200">
        <v>7.51</v>
      </c>
      <c r="F200">
        <v>7.8</v>
      </c>
      <c r="G200">
        <v>0.8</v>
      </c>
      <c r="H200" s="17">
        <v>0.8</v>
      </c>
      <c r="I200">
        <v>0.8</v>
      </c>
      <c r="J200" s="17">
        <v>98.7</v>
      </c>
      <c r="K200">
        <v>1500</v>
      </c>
      <c r="L200" s="17">
        <v>1.68</v>
      </c>
      <c r="M200">
        <v>4.3</v>
      </c>
      <c r="N200" t="s">
        <v>52</v>
      </c>
    </row>
    <row r="201" spans="1:14" x14ac:dyDescent="0.2">
      <c r="A201" t="s">
        <v>1452</v>
      </c>
      <c r="B201" t="s">
        <v>1453</v>
      </c>
      <c r="C201">
        <v>24.7</v>
      </c>
      <c r="D201">
        <v>14.03</v>
      </c>
      <c r="E201">
        <v>7.37</v>
      </c>
      <c r="F201">
        <v>7.81</v>
      </c>
      <c r="G201">
        <v>0.6</v>
      </c>
      <c r="H201" s="17">
        <v>0.6</v>
      </c>
      <c r="I201">
        <v>0.6</v>
      </c>
      <c r="J201" s="17">
        <v>95.9</v>
      </c>
      <c r="K201">
        <v>1527</v>
      </c>
      <c r="L201" s="17">
        <v>2.85</v>
      </c>
      <c r="M201">
        <v>5.17</v>
      </c>
      <c r="N201" t="s">
        <v>52</v>
      </c>
    </row>
    <row r="202" spans="1:14" x14ac:dyDescent="0.2">
      <c r="A202" t="s">
        <v>1454</v>
      </c>
      <c r="B202" t="s">
        <v>1455</v>
      </c>
      <c r="C202">
        <v>24.5</v>
      </c>
      <c r="D202">
        <v>7.51</v>
      </c>
      <c r="E202">
        <v>5.81</v>
      </c>
      <c r="F202">
        <v>7.56</v>
      </c>
      <c r="G202">
        <v>0.8</v>
      </c>
      <c r="H202" s="17">
        <v>0.8</v>
      </c>
      <c r="I202">
        <v>0.8</v>
      </c>
      <c r="J202" s="17">
        <v>73</v>
      </c>
      <c r="K202">
        <v>1414</v>
      </c>
      <c r="L202" s="17">
        <v>1.99</v>
      </c>
      <c r="M202">
        <v>6.03</v>
      </c>
      <c r="N202" t="s">
        <v>52</v>
      </c>
    </row>
    <row r="203" spans="1:14" x14ac:dyDescent="0.2">
      <c r="A203" t="s">
        <v>1456</v>
      </c>
      <c r="B203" t="s">
        <v>1457</v>
      </c>
      <c r="C203">
        <v>24.9</v>
      </c>
      <c r="D203">
        <v>28.31</v>
      </c>
      <c r="E203">
        <v>8.35</v>
      </c>
      <c r="F203">
        <v>8.06</v>
      </c>
      <c r="G203">
        <v>0.95</v>
      </c>
      <c r="H203" s="17">
        <v>0.95</v>
      </c>
      <c r="I203">
        <v>0.95</v>
      </c>
      <c r="J203" s="17">
        <v>119.8</v>
      </c>
      <c r="K203">
        <v>1652</v>
      </c>
      <c r="L203" s="17">
        <v>4.13</v>
      </c>
      <c r="M203">
        <v>4.2699999999999996</v>
      </c>
      <c r="N203" t="s">
        <v>52</v>
      </c>
    </row>
    <row r="204" spans="1:14" x14ac:dyDescent="0.2">
      <c r="A204" t="s">
        <v>1458</v>
      </c>
      <c r="B204" t="s">
        <v>1459</v>
      </c>
      <c r="C204">
        <v>25</v>
      </c>
      <c r="D204">
        <v>27.87</v>
      </c>
      <c r="E204">
        <v>7.88</v>
      </c>
      <c r="F204">
        <v>7.94</v>
      </c>
      <c r="G204">
        <v>0.7</v>
      </c>
      <c r="H204" s="17">
        <v>0.7</v>
      </c>
      <c r="I204">
        <v>0.7</v>
      </c>
      <c r="J204" s="17">
        <v>112.6</v>
      </c>
      <c r="K204">
        <v>1617</v>
      </c>
      <c r="L204" s="17">
        <v>4.08</v>
      </c>
      <c r="M204">
        <v>3.65</v>
      </c>
      <c r="N204" t="s">
        <v>52</v>
      </c>
    </row>
    <row r="205" spans="1:14" x14ac:dyDescent="0.2">
      <c r="A205" t="s">
        <v>1460</v>
      </c>
      <c r="B205" t="s">
        <v>1461</v>
      </c>
      <c r="C205">
        <v>25.1</v>
      </c>
      <c r="D205">
        <v>29.08</v>
      </c>
      <c r="E205">
        <v>7.94</v>
      </c>
      <c r="F205">
        <v>8</v>
      </c>
      <c r="G205">
        <v>0.85</v>
      </c>
      <c r="H205" s="17">
        <v>0.85</v>
      </c>
      <c r="I205">
        <v>0.85</v>
      </c>
      <c r="J205" s="17">
        <v>113.9</v>
      </c>
      <c r="K205">
        <v>1635</v>
      </c>
      <c r="L205" s="17">
        <v>3.03</v>
      </c>
      <c r="M205">
        <v>5.77</v>
      </c>
      <c r="N205" t="s">
        <v>52</v>
      </c>
    </row>
    <row r="206" spans="1:14" x14ac:dyDescent="0.2">
      <c r="A206" t="s">
        <v>1462</v>
      </c>
      <c r="B206" t="s">
        <v>1463</v>
      </c>
      <c r="C206">
        <v>24.8</v>
      </c>
      <c r="D206">
        <v>26.37</v>
      </c>
      <c r="E206">
        <v>6.84</v>
      </c>
      <c r="F206">
        <v>7.9</v>
      </c>
      <c r="G206">
        <v>0.7</v>
      </c>
      <c r="H206" s="17">
        <v>0.7</v>
      </c>
      <c r="I206">
        <v>0.7</v>
      </c>
      <c r="J206" s="17">
        <v>95.8</v>
      </c>
      <c r="K206">
        <v>1530</v>
      </c>
      <c r="L206" s="17">
        <v>4.8</v>
      </c>
      <c r="M206">
        <v>14.5</v>
      </c>
      <c r="N206" t="s">
        <v>52</v>
      </c>
    </row>
    <row r="207" spans="1:14" x14ac:dyDescent="0.2">
      <c r="A207" t="s">
        <v>1464</v>
      </c>
      <c r="B207" t="s">
        <v>1465</v>
      </c>
      <c r="C207">
        <v>25</v>
      </c>
      <c r="D207">
        <v>27.13</v>
      </c>
      <c r="E207">
        <v>7.26</v>
      </c>
      <c r="F207">
        <v>7.94</v>
      </c>
      <c r="G207">
        <v>0.55000000000000004</v>
      </c>
      <c r="H207" s="17">
        <v>0.55000000000000004</v>
      </c>
      <c r="I207">
        <v>0.55000000000000004</v>
      </c>
      <c r="J207" s="17">
        <v>102.6</v>
      </c>
      <c r="K207">
        <v>1538</v>
      </c>
      <c r="L207" s="17">
        <v>4.09</v>
      </c>
      <c r="M207">
        <v>4.13</v>
      </c>
      <c r="N207" t="s">
        <v>52</v>
      </c>
    </row>
    <row r="208" spans="1:14" x14ac:dyDescent="0.2">
      <c r="A208" t="s">
        <v>1466</v>
      </c>
      <c r="B208" t="s">
        <v>1467</v>
      </c>
      <c r="C208">
        <v>24.9</v>
      </c>
      <c r="D208">
        <v>22.17</v>
      </c>
      <c r="E208">
        <v>6.49</v>
      </c>
      <c r="F208">
        <v>7.87</v>
      </c>
      <c r="G208">
        <v>0.6</v>
      </c>
      <c r="H208" s="17">
        <v>0.6</v>
      </c>
      <c r="I208">
        <v>0.6</v>
      </c>
      <c r="J208" s="17">
        <v>88.8</v>
      </c>
      <c r="K208">
        <v>1518</v>
      </c>
      <c r="L208" s="17">
        <v>2.2799999999999998</v>
      </c>
      <c r="M208">
        <v>4.08</v>
      </c>
      <c r="N208" t="s">
        <v>52</v>
      </c>
    </row>
    <row r="209" spans="1:14" x14ac:dyDescent="0.2">
      <c r="A209" t="s">
        <v>1468</v>
      </c>
      <c r="B209" t="s">
        <v>1469</v>
      </c>
      <c r="C209">
        <v>24.8</v>
      </c>
      <c r="D209">
        <v>31.14</v>
      </c>
      <c r="E209">
        <v>7.36</v>
      </c>
      <c r="F209">
        <v>7.96</v>
      </c>
      <c r="G209">
        <v>0.6</v>
      </c>
      <c r="H209" s="17">
        <v>0.6</v>
      </c>
      <c r="I209">
        <v>0.6</v>
      </c>
      <c r="J209" s="17">
        <v>107.3</v>
      </c>
      <c r="K209">
        <v>1653</v>
      </c>
      <c r="L209" s="17">
        <v>14.23</v>
      </c>
      <c r="M209">
        <v>15</v>
      </c>
      <c r="N209" t="s">
        <v>52</v>
      </c>
    </row>
    <row r="210" spans="1:14" x14ac:dyDescent="0.2">
      <c r="A210" t="s">
        <v>1470</v>
      </c>
      <c r="B210" t="s">
        <v>1471</v>
      </c>
      <c r="C210">
        <v>25</v>
      </c>
      <c r="D210">
        <v>30.26</v>
      </c>
      <c r="E210">
        <v>8.6199999999999992</v>
      </c>
      <c r="F210">
        <v>8.0299999999999994</v>
      </c>
      <c r="G210">
        <v>0.55000000000000004</v>
      </c>
      <c r="H210" s="17">
        <v>0.55000000000000004</v>
      </c>
      <c r="I210">
        <v>0.55000000000000004</v>
      </c>
      <c r="J210" s="17">
        <v>124</v>
      </c>
      <c r="K210">
        <v>1627</v>
      </c>
      <c r="L210" s="17">
        <v>7.7</v>
      </c>
      <c r="M210">
        <v>6.84</v>
      </c>
      <c r="N210" t="s">
        <v>52</v>
      </c>
    </row>
    <row r="211" spans="1:14" x14ac:dyDescent="0.2">
      <c r="A211" t="s">
        <v>1472</v>
      </c>
      <c r="B211" t="s">
        <v>1473</v>
      </c>
      <c r="C211">
        <v>25.3</v>
      </c>
      <c r="D211">
        <v>31.42</v>
      </c>
      <c r="E211">
        <v>7.42</v>
      </c>
      <c r="F211">
        <v>7.97</v>
      </c>
      <c r="G211">
        <v>0.5</v>
      </c>
      <c r="H211" s="17">
        <v>0.5</v>
      </c>
      <c r="I211">
        <v>0.5</v>
      </c>
      <c r="J211" s="17">
        <v>108.2</v>
      </c>
      <c r="K211">
        <v>1640</v>
      </c>
      <c r="L211" s="17">
        <v>4.71</v>
      </c>
      <c r="M211">
        <v>7.6</v>
      </c>
      <c r="N211" t="s">
        <v>52</v>
      </c>
    </row>
    <row r="212" spans="1:14" x14ac:dyDescent="0.2">
      <c r="A212" t="s">
        <v>394</v>
      </c>
      <c r="B212" t="s">
        <v>51</v>
      </c>
      <c r="C212">
        <v>30.2</v>
      </c>
      <c r="D212">
        <v>23.3</v>
      </c>
      <c r="E212">
        <v>7.14</v>
      </c>
      <c r="F212">
        <v>7.98</v>
      </c>
      <c r="G212">
        <v>0.55000000000000004</v>
      </c>
      <c r="H212" s="17">
        <v>0.55000000000000004</v>
      </c>
      <c r="I212">
        <v>0.55000000000000004</v>
      </c>
      <c r="J212" s="17">
        <v>107.8</v>
      </c>
      <c r="K212">
        <v>1543</v>
      </c>
      <c r="L212" s="17">
        <v>3.35</v>
      </c>
      <c r="M212">
        <v>10.199999999999999</v>
      </c>
      <c r="N212" t="s">
        <v>52</v>
      </c>
    </row>
    <row r="213" spans="1:14" x14ac:dyDescent="0.2">
      <c r="A213" t="s">
        <v>395</v>
      </c>
      <c r="B213" t="s">
        <v>58</v>
      </c>
      <c r="C213">
        <v>30.1</v>
      </c>
      <c r="D213">
        <v>20.97</v>
      </c>
      <c r="E213">
        <v>6.79</v>
      </c>
      <c r="F213">
        <v>7.97</v>
      </c>
      <c r="G213">
        <v>0.5</v>
      </c>
      <c r="H213" s="17">
        <v>0.5</v>
      </c>
      <c r="I213">
        <v>0.5</v>
      </c>
      <c r="J213" s="17">
        <v>101</v>
      </c>
      <c r="K213">
        <v>1552</v>
      </c>
      <c r="L213" s="17">
        <v>6.07</v>
      </c>
      <c r="M213">
        <v>10.4</v>
      </c>
      <c r="N213" t="s">
        <v>52</v>
      </c>
    </row>
    <row r="214" spans="1:14" x14ac:dyDescent="0.2">
      <c r="A214" t="s">
        <v>396</v>
      </c>
      <c r="B214" t="s">
        <v>67</v>
      </c>
      <c r="C214">
        <v>29.2</v>
      </c>
      <c r="D214">
        <v>17.760000000000002</v>
      </c>
      <c r="E214">
        <v>6.01</v>
      </c>
      <c r="F214">
        <v>7.84</v>
      </c>
      <c r="G214">
        <v>0.65</v>
      </c>
      <c r="H214" s="17">
        <v>0.65</v>
      </c>
      <c r="I214">
        <v>0.65</v>
      </c>
      <c r="J214" s="17">
        <v>86.4</v>
      </c>
      <c r="K214">
        <v>1529</v>
      </c>
      <c r="L214" s="17">
        <v>3.97</v>
      </c>
      <c r="M214">
        <v>2.12</v>
      </c>
      <c r="N214" t="s">
        <v>52</v>
      </c>
    </row>
    <row r="215" spans="1:14" x14ac:dyDescent="0.2">
      <c r="A215" t="s">
        <v>397</v>
      </c>
      <c r="B215" t="s">
        <v>216</v>
      </c>
      <c r="C215">
        <v>29.9</v>
      </c>
      <c r="D215">
        <v>32.200000000000003</v>
      </c>
      <c r="E215">
        <v>7.88</v>
      </c>
      <c r="F215">
        <v>8.09</v>
      </c>
      <c r="G215">
        <v>0.6</v>
      </c>
      <c r="H215" s="17">
        <v>0.6</v>
      </c>
      <c r="I215">
        <v>0.6</v>
      </c>
      <c r="J215" s="17">
        <v>124.5</v>
      </c>
      <c r="K215">
        <v>1705</v>
      </c>
      <c r="L215" s="17">
        <v>12.94</v>
      </c>
      <c r="M215">
        <v>4.08</v>
      </c>
      <c r="N215" t="s">
        <v>52</v>
      </c>
    </row>
    <row r="216" spans="1:14" x14ac:dyDescent="0.2">
      <c r="A216" t="s">
        <v>398</v>
      </c>
      <c r="B216" t="s">
        <v>222</v>
      </c>
      <c r="C216">
        <v>30.3</v>
      </c>
      <c r="D216">
        <v>31.23</v>
      </c>
      <c r="E216">
        <v>8.07</v>
      </c>
      <c r="F216">
        <v>8.0500000000000007</v>
      </c>
      <c r="G216">
        <v>0.6</v>
      </c>
      <c r="H216" s="17">
        <v>0.6</v>
      </c>
      <c r="I216">
        <v>0.6</v>
      </c>
      <c r="J216" s="17">
        <v>127.9</v>
      </c>
      <c r="K216">
        <v>1641</v>
      </c>
      <c r="L216" s="17">
        <v>10.73</v>
      </c>
      <c r="M216">
        <v>4.71</v>
      </c>
      <c r="N216" t="s">
        <v>52</v>
      </c>
    </row>
    <row r="217" spans="1:14" x14ac:dyDescent="0.2">
      <c r="A217" t="s">
        <v>399</v>
      </c>
      <c r="B217" t="s">
        <v>230</v>
      </c>
      <c r="C217">
        <v>31.2</v>
      </c>
      <c r="D217">
        <v>31.72</v>
      </c>
      <c r="E217">
        <v>7.77</v>
      </c>
      <c r="F217">
        <v>8.02</v>
      </c>
      <c r="G217">
        <v>0.55000000000000004</v>
      </c>
      <c r="H217" s="17">
        <v>0.55000000000000004</v>
      </c>
      <c r="I217">
        <v>0.55000000000000004</v>
      </c>
      <c r="J217" s="17">
        <v>125</v>
      </c>
      <c r="K217">
        <v>1647</v>
      </c>
      <c r="L217" s="17">
        <v>6.39</v>
      </c>
      <c r="M217">
        <v>10.7</v>
      </c>
      <c r="N217" t="s">
        <v>52</v>
      </c>
    </row>
    <row r="218" spans="1:14" x14ac:dyDescent="0.2">
      <c r="A218" t="s">
        <v>400</v>
      </c>
      <c r="B218" t="s">
        <v>73</v>
      </c>
      <c r="C218">
        <v>31.2</v>
      </c>
      <c r="D218">
        <v>29.72</v>
      </c>
      <c r="E218">
        <v>6.44</v>
      </c>
      <c r="F218">
        <v>7.92</v>
      </c>
      <c r="G218">
        <v>0.8</v>
      </c>
      <c r="H218" s="17">
        <v>0.8</v>
      </c>
      <c r="I218">
        <v>0.8</v>
      </c>
      <c r="J218" s="17">
        <v>101.9</v>
      </c>
      <c r="K218">
        <v>1626</v>
      </c>
      <c r="L218" s="17">
        <v>5.0199999999999996</v>
      </c>
      <c r="M218">
        <v>5.28</v>
      </c>
      <c r="N218" t="s">
        <v>52</v>
      </c>
    </row>
    <row r="219" spans="1:14" x14ac:dyDescent="0.2">
      <c r="A219" t="s">
        <v>401</v>
      </c>
      <c r="B219" t="s">
        <v>80</v>
      </c>
      <c r="C219">
        <v>30.9</v>
      </c>
      <c r="D219">
        <v>30.04</v>
      </c>
      <c r="E219">
        <v>6.37</v>
      </c>
      <c r="F219">
        <v>7.92</v>
      </c>
      <c r="G219">
        <v>0.5</v>
      </c>
      <c r="H219" s="17">
        <v>0.5</v>
      </c>
      <c r="I219">
        <v>0.5</v>
      </c>
      <c r="J219" s="17">
        <v>100.9</v>
      </c>
      <c r="K219">
        <v>1635</v>
      </c>
      <c r="L219" s="17">
        <v>8.1999999999999993</v>
      </c>
      <c r="M219">
        <v>8.43</v>
      </c>
      <c r="N219" t="s">
        <v>52</v>
      </c>
    </row>
    <row r="220" spans="1:14" x14ac:dyDescent="0.2">
      <c r="A220" t="s">
        <v>402</v>
      </c>
      <c r="B220" t="s">
        <v>87</v>
      </c>
      <c r="C220">
        <v>31</v>
      </c>
      <c r="D220">
        <v>30.4</v>
      </c>
      <c r="E220">
        <v>5.69</v>
      </c>
      <c r="F220">
        <v>7.89</v>
      </c>
      <c r="G220">
        <v>0.55000000000000004</v>
      </c>
      <c r="H220" s="17">
        <v>0.55000000000000004</v>
      </c>
      <c r="I220">
        <v>0.55000000000000004</v>
      </c>
      <c r="J220" s="17">
        <v>90.4</v>
      </c>
      <c r="K220">
        <v>1612</v>
      </c>
      <c r="L220" s="17">
        <v>3.96</v>
      </c>
      <c r="M220">
        <v>5.57</v>
      </c>
      <c r="N220" t="s">
        <v>52</v>
      </c>
    </row>
    <row r="221" spans="1:14" x14ac:dyDescent="0.2">
      <c r="A221" t="s">
        <v>403</v>
      </c>
      <c r="B221" t="s">
        <v>237</v>
      </c>
      <c r="C221">
        <v>29.9</v>
      </c>
      <c r="D221">
        <v>34.770000000000003</v>
      </c>
      <c r="E221">
        <v>7.21</v>
      </c>
      <c r="F221">
        <v>8.09</v>
      </c>
      <c r="G221">
        <v>0.7</v>
      </c>
      <c r="H221" s="17">
        <v>0.7</v>
      </c>
      <c r="I221">
        <v>0.7</v>
      </c>
      <c r="J221" s="17">
        <v>116.1</v>
      </c>
      <c r="K221">
        <v>1800</v>
      </c>
      <c r="L221" s="17">
        <v>6.57</v>
      </c>
      <c r="M221">
        <v>9.7899999999999991</v>
      </c>
      <c r="N221" t="s">
        <v>52</v>
      </c>
    </row>
    <row r="222" spans="1:14" x14ac:dyDescent="0.2">
      <c r="A222" t="s">
        <v>404</v>
      </c>
      <c r="B222" t="s">
        <v>245</v>
      </c>
      <c r="C222">
        <v>30.6</v>
      </c>
      <c r="D222">
        <v>33.590000000000003</v>
      </c>
      <c r="E222">
        <v>6.67</v>
      </c>
      <c r="F222">
        <v>7.91</v>
      </c>
      <c r="G222">
        <v>0.9</v>
      </c>
      <c r="H222" s="17">
        <v>0.9</v>
      </c>
      <c r="I222">
        <v>0.6</v>
      </c>
      <c r="J222" s="17">
        <v>107.2</v>
      </c>
      <c r="K222">
        <v>1737</v>
      </c>
      <c r="L222" s="17">
        <v>8.48</v>
      </c>
      <c r="M222">
        <v>13.7</v>
      </c>
      <c r="N222" t="s">
        <v>52</v>
      </c>
    </row>
    <row r="223" spans="1:14" x14ac:dyDescent="0.2">
      <c r="A223" t="s">
        <v>405</v>
      </c>
      <c r="B223" t="s">
        <v>251</v>
      </c>
      <c r="C223">
        <v>30.6</v>
      </c>
      <c r="D223">
        <v>33.86</v>
      </c>
      <c r="E223">
        <v>6.95</v>
      </c>
      <c r="F223">
        <v>7.97</v>
      </c>
      <c r="G223">
        <v>0.85</v>
      </c>
      <c r="H223" s="17">
        <v>0.85</v>
      </c>
      <c r="I223">
        <v>0.65</v>
      </c>
      <c r="J223" s="17">
        <v>112</v>
      </c>
      <c r="K223">
        <v>1746</v>
      </c>
      <c r="L223" s="17">
        <v>7.28</v>
      </c>
      <c r="M223">
        <v>11.6</v>
      </c>
      <c r="N223" t="s">
        <v>52</v>
      </c>
    </row>
    <row r="224" spans="1:14" x14ac:dyDescent="0.2">
      <c r="A224" t="s">
        <v>406</v>
      </c>
      <c r="B224" t="s">
        <v>93</v>
      </c>
      <c r="C224">
        <v>32.5</v>
      </c>
      <c r="D224">
        <v>11.68</v>
      </c>
      <c r="E224">
        <v>4.6500000000000004</v>
      </c>
      <c r="F224">
        <v>7.81</v>
      </c>
      <c r="G224">
        <v>0.6</v>
      </c>
      <c r="H224" s="17">
        <v>0.6</v>
      </c>
      <c r="I224">
        <v>0.6</v>
      </c>
      <c r="J224" s="17">
        <v>67.099999999999994</v>
      </c>
      <c r="K224">
        <v>1600</v>
      </c>
      <c r="L224" s="17">
        <v>0.9</v>
      </c>
      <c r="M224">
        <v>2.46</v>
      </c>
      <c r="N224" t="s">
        <v>52</v>
      </c>
    </row>
    <row r="225" spans="1:14" x14ac:dyDescent="0.2">
      <c r="A225" t="s">
        <v>407</v>
      </c>
      <c r="B225" t="s">
        <v>100</v>
      </c>
      <c r="C225">
        <v>32.700000000000003</v>
      </c>
      <c r="D225">
        <v>11.57</v>
      </c>
      <c r="E225">
        <v>6.48</v>
      </c>
      <c r="F225">
        <v>7.9</v>
      </c>
      <c r="G225">
        <v>0.55000000000000004</v>
      </c>
      <c r="H225" s="17">
        <v>0.55000000000000004</v>
      </c>
      <c r="I225">
        <v>0.55000000000000004</v>
      </c>
      <c r="J225" s="17">
        <v>95.8</v>
      </c>
      <c r="K225">
        <v>1613</v>
      </c>
      <c r="L225" s="17">
        <v>4.1399999999999997</v>
      </c>
      <c r="M225">
        <v>5.13</v>
      </c>
      <c r="N225" t="s">
        <v>52</v>
      </c>
    </row>
    <row r="226" spans="1:14" x14ac:dyDescent="0.2">
      <c r="A226" t="s">
        <v>408</v>
      </c>
      <c r="B226" t="s">
        <v>107</v>
      </c>
      <c r="C226">
        <v>32.1</v>
      </c>
      <c r="D226">
        <v>7.07</v>
      </c>
      <c r="E226">
        <v>4.6500000000000004</v>
      </c>
      <c r="F226">
        <v>7.9</v>
      </c>
      <c r="G226">
        <v>0.65</v>
      </c>
      <c r="H226" s="17">
        <v>0.65</v>
      </c>
      <c r="I226">
        <v>0.65</v>
      </c>
      <c r="J226" s="17">
        <v>66.2</v>
      </c>
      <c r="K226">
        <v>1548</v>
      </c>
      <c r="L226" s="17">
        <v>1.55</v>
      </c>
      <c r="M226">
        <v>4.34</v>
      </c>
      <c r="N226" t="s">
        <v>52</v>
      </c>
    </row>
    <row r="227" spans="1:14" x14ac:dyDescent="0.2">
      <c r="A227" t="s">
        <v>409</v>
      </c>
      <c r="B227" t="s">
        <v>258</v>
      </c>
      <c r="C227">
        <v>30.8</v>
      </c>
      <c r="D227">
        <v>24.45</v>
      </c>
      <c r="E227">
        <v>6.88</v>
      </c>
      <c r="F227">
        <v>7.84</v>
      </c>
      <c r="G227">
        <v>0.55000000000000004</v>
      </c>
      <c r="H227" s="17">
        <v>0.55000000000000004</v>
      </c>
      <c r="I227">
        <v>0.55000000000000004</v>
      </c>
      <c r="J227" s="17">
        <v>105.7</v>
      </c>
      <c r="K227">
        <v>1841</v>
      </c>
      <c r="L227" s="17">
        <v>4.1100000000000003</v>
      </c>
      <c r="M227">
        <v>6.55</v>
      </c>
      <c r="N227" t="s">
        <v>52</v>
      </c>
    </row>
    <row r="228" spans="1:14" x14ac:dyDescent="0.2">
      <c r="A228" t="s">
        <v>410</v>
      </c>
      <c r="B228" t="s">
        <v>264</v>
      </c>
      <c r="C228">
        <v>32.700000000000003</v>
      </c>
      <c r="D228">
        <v>24.72</v>
      </c>
      <c r="E228">
        <v>7.32</v>
      </c>
      <c r="F228">
        <v>8.0500000000000007</v>
      </c>
      <c r="G228">
        <v>0.6</v>
      </c>
      <c r="H228" s="17">
        <v>0.6</v>
      </c>
      <c r="I228">
        <v>0.6</v>
      </c>
      <c r="J228" s="17">
        <v>115.7</v>
      </c>
      <c r="K228">
        <v>1709</v>
      </c>
      <c r="L228" s="17">
        <v>2.77</v>
      </c>
      <c r="M228">
        <v>4.42</v>
      </c>
      <c r="N228" t="s">
        <v>52</v>
      </c>
    </row>
    <row r="229" spans="1:14" x14ac:dyDescent="0.2">
      <c r="A229" t="s">
        <v>411</v>
      </c>
      <c r="B229" t="s">
        <v>270</v>
      </c>
      <c r="C229">
        <v>32.4</v>
      </c>
      <c r="D229">
        <v>24.34</v>
      </c>
      <c r="E229">
        <v>7.18</v>
      </c>
      <c r="F229">
        <v>8.08</v>
      </c>
      <c r="G229">
        <v>0.6</v>
      </c>
      <c r="H229" s="17">
        <v>0.6</v>
      </c>
      <c r="I229">
        <v>0.6</v>
      </c>
      <c r="J229" s="17">
        <v>113</v>
      </c>
      <c r="K229">
        <v>1715</v>
      </c>
      <c r="L229" s="17">
        <v>6.31</v>
      </c>
      <c r="M229">
        <v>9.25</v>
      </c>
      <c r="N229" t="s">
        <v>52</v>
      </c>
    </row>
    <row r="230" spans="1:14" x14ac:dyDescent="0.2">
      <c r="A230" t="s">
        <v>412</v>
      </c>
      <c r="B230" t="s">
        <v>113</v>
      </c>
      <c r="C230">
        <v>30.6</v>
      </c>
      <c r="D230">
        <v>7.62</v>
      </c>
      <c r="E230">
        <v>6.95</v>
      </c>
      <c r="F230">
        <v>8.16</v>
      </c>
      <c r="G230">
        <v>0.45</v>
      </c>
      <c r="H230" s="17">
        <v>0.45</v>
      </c>
      <c r="I230">
        <v>0.45</v>
      </c>
      <c r="J230" s="17">
        <v>96.7</v>
      </c>
      <c r="K230">
        <v>1718</v>
      </c>
      <c r="L230" s="17">
        <v>4.4000000000000004</v>
      </c>
      <c r="M230">
        <v>4.88</v>
      </c>
      <c r="N230" t="s">
        <v>52</v>
      </c>
    </row>
    <row r="231" spans="1:14" x14ac:dyDescent="0.2">
      <c r="A231" t="s">
        <v>413</v>
      </c>
      <c r="B231" t="s">
        <v>120</v>
      </c>
      <c r="C231">
        <v>30.2</v>
      </c>
      <c r="D231">
        <v>4.8499999999999996</v>
      </c>
      <c r="E231">
        <v>7.17</v>
      </c>
      <c r="F231">
        <v>8.1199999999999992</v>
      </c>
      <c r="G231">
        <v>0.5</v>
      </c>
      <c r="H231" s="17">
        <v>0.5</v>
      </c>
      <c r="I231">
        <v>0.5</v>
      </c>
      <c r="J231" s="17">
        <v>98.5</v>
      </c>
      <c r="K231">
        <v>1743</v>
      </c>
      <c r="L231" s="17">
        <v>8.4700000000000006</v>
      </c>
      <c r="M231">
        <v>9.8699999999999992</v>
      </c>
      <c r="N231" t="s">
        <v>52</v>
      </c>
    </row>
    <row r="232" spans="1:14" x14ac:dyDescent="0.2">
      <c r="A232" t="s">
        <v>414</v>
      </c>
      <c r="B232" t="s">
        <v>127</v>
      </c>
      <c r="C232">
        <v>30</v>
      </c>
      <c r="D232">
        <v>2.04</v>
      </c>
      <c r="E232">
        <v>6.03</v>
      </c>
      <c r="F232">
        <v>8.23</v>
      </c>
      <c r="G232">
        <v>0.65</v>
      </c>
      <c r="H232" s="17">
        <v>0.5</v>
      </c>
      <c r="I232">
        <v>0.65</v>
      </c>
      <c r="J232" s="17">
        <v>80.5</v>
      </c>
      <c r="K232">
        <v>1703</v>
      </c>
      <c r="L232" s="17">
        <v>3.43</v>
      </c>
      <c r="M232">
        <v>5.72</v>
      </c>
      <c r="N232" t="s">
        <v>52</v>
      </c>
    </row>
    <row r="233" spans="1:14" x14ac:dyDescent="0.2">
      <c r="A233" t="s">
        <v>415</v>
      </c>
      <c r="B233" t="s">
        <v>276</v>
      </c>
      <c r="C233">
        <v>30.3</v>
      </c>
      <c r="D233">
        <v>29.79</v>
      </c>
      <c r="E233">
        <v>7.1</v>
      </c>
      <c r="F233">
        <v>8.1</v>
      </c>
      <c r="G233">
        <v>0.5</v>
      </c>
      <c r="H233" s="17">
        <v>0.5</v>
      </c>
      <c r="I233">
        <v>0.5</v>
      </c>
      <c r="J233" s="17">
        <v>111.1</v>
      </c>
      <c r="K233">
        <v>1930</v>
      </c>
      <c r="L233" s="17">
        <v>3.98</v>
      </c>
      <c r="M233">
        <v>4.43</v>
      </c>
      <c r="N233" t="s">
        <v>52</v>
      </c>
    </row>
    <row r="234" spans="1:14" x14ac:dyDescent="0.2">
      <c r="A234" t="s">
        <v>416</v>
      </c>
      <c r="B234" t="s">
        <v>284</v>
      </c>
      <c r="C234">
        <v>30.6</v>
      </c>
      <c r="D234">
        <v>28.98</v>
      </c>
      <c r="E234">
        <v>6.72</v>
      </c>
      <c r="F234">
        <v>7.97</v>
      </c>
      <c r="G234">
        <v>0.45</v>
      </c>
      <c r="H234" s="17">
        <v>0.45</v>
      </c>
      <c r="I234">
        <v>0.45</v>
      </c>
      <c r="J234" s="17">
        <v>105.5</v>
      </c>
      <c r="K234">
        <v>1909</v>
      </c>
      <c r="L234" s="17">
        <v>8.98</v>
      </c>
      <c r="M234">
        <v>7.96</v>
      </c>
      <c r="N234" t="s">
        <v>52</v>
      </c>
    </row>
    <row r="235" spans="1:14" x14ac:dyDescent="0.2">
      <c r="A235" t="s">
        <v>417</v>
      </c>
      <c r="B235" t="s">
        <v>291</v>
      </c>
      <c r="C235">
        <v>30.9</v>
      </c>
      <c r="D235">
        <v>29.25</v>
      </c>
      <c r="E235">
        <v>7.36</v>
      </c>
      <c r="F235">
        <v>8.08</v>
      </c>
      <c r="G235">
        <v>0.45</v>
      </c>
      <c r="H235" s="17">
        <v>0.45</v>
      </c>
      <c r="I235">
        <v>0.45</v>
      </c>
      <c r="J235" s="17">
        <v>116</v>
      </c>
      <c r="K235">
        <v>1918</v>
      </c>
      <c r="L235" s="17">
        <v>4.8499999999999996</v>
      </c>
      <c r="M235">
        <v>12.7</v>
      </c>
      <c r="N235" t="s">
        <v>52</v>
      </c>
    </row>
    <row r="236" spans="1:14" x14ac:dyDescent="0.2">
      <c r="A236" t="s">
        <v>418</v>
      </c>
      <c r="B236" t="s">
        <v>135</v>
      </c>
      <c r="C236">
        <v>30.2</v>
      </c>
      <c r="D236">
        <v>8.52</v>
      </c>
      <c r="E236">
        <v>4.91</v>
      </c>
      <c r="F236">
        <v>7.9</v>
      </c>
      <c r="G236">
        <v>0.6</v>
      </c>
      <c r="H236" s="17">
        <v>0.6</v>
      </c>
      <c r="I236">
        <v>0.6</v>
      </c>
      <c r="J236" s="17">
        <v>68.099999999999994</v>
      </c>
      <c r="K236">
        <v>1535</v>
      </c>
      <c r="L236" s="17">
        <v>2.1</v>
      </c>
      <c r="M236">
        <v>5.03</v>
      </c>
      <c r="N236" t="s">
        <v>52</v>
      </c>
    </row>
    <row r="237" spans="1:14" x14ac:dyDescent="0.2">
      <c r="A237" t="s">
        <v>419</v>
      </c>
      <c r="B237" t="s">
        <v>143</v>
      </c>
      <c r="C237">
        <v>30.8</v>
      </c>
      <c r="D237">
        <v>10.34</v>
      </c>
      <c r="E237">
        <v>6.73</v>
      </c>
      <c r="F237">
        <v>8.09</v>
      </c>
      <c r="G237">
        <v>0.6</v>
      </c>
      <c r="H237" s="17">
        <v>0.6</v>
      </c>
      <c r="I237">
        <v>0.6</v>
      </c>
      <c r="J237" s="17">
        <v>95.4</v>
      </c>
      <c r="K237">
        <v>1452</v>
      </c>
      <c r="L237" s="17">
        <v>4.1500000000000004</v>
      </c>
      <c r="M237">
        <v>4.88</v>
      </c>
      <c r="N237" t="s">
        <v>52</v>
      </c>
    </row>
    <row r="238" spans="1:14" x14ac:dyDescent="0.2">
      <c r="A238" t="s">
        <v>420</v>
      </c>
      <c r="B238" t="s">
        <v>150</v>
      </c>
      <c r="C238">
        <v>29.7</v>
      </c>
      <c r="D238">
        <v>4.09</v>
      </c>
      <c r="E238">
        <v>4.4000000000000004</v>
      </c>
      <c r="F238">
        <v>7.71</v>
      </c>
      <c r="G238">
        <v>0.6</v>
      </c>
      <c r="H238" s="17">
        <v>0.6</v>
      </c>
      <c r="I238">
        <v>0.6</v>
      </c>
      <c r="J238" s="17">
        <v>59.1</v>
      </c>
      <c r="K238">
        <v>1616</v>
      </c>
      <c r="L238" s="17">
        <v>2.4300000000000002</v>
      </c>
      <c r="M238">
        <v>4.12</v>
      </c>
      <c r="N238" t="s">
        <v>52</v>
      </c>
    </row>
    <row r="239" spans="1:14" x14ac:dyDescent="0.2">
      <c r="A239" t="s">
        <v>421</v>
      </c>
      <c r="B239" t="s">
        <v>297</v>
      </c>
      <c r="C239">
        <v>30.3</v>
      </c>
      <c r="D239">
        <v>12.05</v>
      </c>
      <c r="E239">
        <v>4.8499999999999996</v>
      </c>
      <c r="F239">
        <v>7.69</v>
      </c>
      <c r="G239">
        <v>0.8</v>
      </c>
      <c r="H239" s="17">
        <v>0.8</v>
      </c>
      <c r="I239">
        <v>0.8</v>
      </c>
      <c r="J239" s="17">
        <v>68.400000000000006</v>
      </c>
      <c r="K239">
        <v>1747</v>
      </c>
      <c r="L239" s="17">
        <v>2.69</v>
      </c>
      <c r="M239">
        <v>4.95</v>
      </c>
      <c r="N239" t="s">
        <v>52</v>
      </c>
    </row>
    <row r="240" spans="1:14" x14ac:dyDescent="0.2">
      <c r="A240" t="s">
        <v>422</v>
      </c>
      <c r="B240" t="s">
        <v>304</v>
      </c>
      <c r="C240">
        <v>30.1</v>
      </c>
      <c r="D240">
        <v>12.32</v>
      </c>
      <c r="E240">
        <v>5.98</v>
      </c>
      <c r="F240">
        <v>7.69</v>
      </c>
      <c r="G240">
        <v>0.6</v>
      </c>
      <c r="H240" s="17">
        <v>0.6</v>
      </c>
      <c r="I240">
        <v>0.6</v>
      </c>
      <c r="J240" s="17">
        <v>84.4</v>
      </c>
      <c r="K240">
        <v>1710</v>
      </c>
      <c r="L240" s="17">
        <v>5.73</v>
      </c>
      <c r="M240">
        <v>7.03</v>
      </c>
      <c r="N240" t="s">
        <v>52</v>
      </c>
    </row>
    <row r="241" spans="1:14" x14ac:dyDescent="0.2">
      <c r="A241" t="s">
        <v>423</v>
      </c>
      <c r="B241" t="s">
        <v>313</v>
      </c>
      <c r="C241">
        <v>30.8</v>
      </c>
      <c r="D241">
        <v>11.61</v>
      </c>
      <c r="E241">
        <v>5.37</v>
      </c>
      <c r="F241">
        <v>7.62</v>
      </c>
      <c r="G241">
        <v>0.7</v>
      </c>
      <c r="H241" s="17">
        <v>0.7</v>
      </c>
      <c r="I241">
        <v>0.7</v>
      </c>
      <c r="J241" s="17">
        <v>76.5</v>
      </c>
      <c r="K241">
        <v>1731</v>
      </c>
      <c r="L241" s="17">
        <v>3.71</v>
      </c>
      <c r="M241">
        <v>5.32</v>
      </c>
      <c r="N241" t="s">
        <v>52</v>
      </c>
    </row>
    <row r="242" spans="1:14" x14ac:dyDescent="0.2">
      <c r="A242" t="s">
        <v>424</v>
      </c>
      <c r="B242" t="s">
        <v>157</v>
      </c>
      <c r="C242">
        <v>31.5</v>
      </c>
      <c r="D242">
        <v>7.32</v>
      </c>
      <c r="E242">
        <v>4.8899999999999997</v>
      </c>
      <c r="F242">
        <v>7.8</v>
      </c>
      <c r="G242">
        <v>0.6</v>
      </c>
      <c r="H242">
        <v>0.6</v>
      </c>
      <c r="I242">
        <v>0.6</v>
      </c>
      <c r="J242">
        <v>69</v>
      </c>
      <c r="K242">
        <v>1522</v>
      </c>
      <c r="L242">
        <v>0.82</v>
      </c>
      <c r="M242">
        <v>2.76</v>
      </c>
      <c r="N242" t="s">
        <v>52</v>
      </c>
    </row>
    <row r="243" spans="1:14" x14ac:dyDescent="0.2">
      <c r="A243" t="s">
        <v>425</v>
      </c>
      <c r="B243" t="s">
        <v>165</v>
      </c>
      <c r="C243">
        <v>31.7</v>
      </c>
      <c r="D243">
        <v>7.66</v>
      </c>
      <c r="E243">
        <v>5.34</v>
      </c>
      <c r="F243">
        <v>7.81</v>
      </c>
      <c r="G243">
        <v>0.55000000000000004</v>
      </c>
      <c r="H243">
        <v>0.55000000000000004</v>
      </c>
      <c r="I243">
        <v>0.55000000000000004</v>
      </c>
      <c r="J243">
        <v>75.5</v>
      </c>
      <c r="K243">
        <v>1535</v>
      </c>
      <c r="L243">
        <v>1.03</v>
      </c>
      <c r="M243">
        <v>3.13</v>
      </c>
      <c r="N243" t="s">
        <v>52</v>
      </c>
    </row>
    <row r="244" spans="1:14" x14ac:dyDescent="0.2">
      <c r="A244" t="s">
        <v>426</v>
      </c>
      <c r="B244" t="s">
        <v>172</v>
      </c>
      <c r="C244">
        <v>30.2</v>
      </c>
      <c r="D244">
        <v>2.77</v>
      </c>
      <c r="E244">
        <v>3.69</v>
      </c>
      <c r="F244">
        <v>8.19</v>
      </c>
      <c r="G244">
        <v>0.65</v>
      </c>
      <c r="H244">
        <v>0.65</v>
      </c>
      <c r="I244">
        <v>0.65</v>
      </c>
      <c r="J244">
        <v>49.6</v>
      </c>
      <c r="K244">
        <v>1512</v>
      </c>
      <c r="L244">
        <v>1.79</v>
      </c>
      <c r="M244">
        <v>3.19</v>
      </c>
      <c r="N244" t="s">
        <v>52</v>
      </c>
    </row>
    <row r="245" spans="1:14" x14ac:dyDescent="0.2">
      <c r="A245" t="s">
        <v>427</v>
      </c>
      <c r="B245" t="s">
        <v>320</v>
      </c>
      <c r="C245">
        <v>31.2</v>
      </c>
      <c r="D245">
        <v>17.899999999999999</v>
      </c>
      <c r="E245">
        <v>5.37</v>
      </c>
      <c r="F245">
        <v>7.85</v>
      </c>
      <c r="G245">
        <v>0.7</v>
      </c>
      <c r="H245">
        <v>0.7</v>
      </c>
      <c r="I245">
        <v>0.7</v>
      </c>
      <c r="J245">
        <v>80.3</v>
      </c>
      <c r="K245">
        <v>1628</v>
      </c>
      <c r="L245">
        <v>3.2</v>
      </c>
      <c r="M245">
        <v>6.47</v>
      </c>
      <c r="N245" t="s">
        <v>52</v>
      </c>
    </row>
    <row r="246" spans="1:14" x14ac:dyDescent="0.2">
      <c r="A246" t="s">
        <v>428</v>
      </c>
      <c r="B246" t="s">
        <v>326</v>
      </c>
      <c r="C246">
        <v>31.5</v>
      </c>
      <c r="D246">
        <v>15.41</v>
      </c>
      <c r="E246">
        <v>5.75</v>
      </c>
      <c r="F246">
        <v>7.84</v>
      </c>
      <c r="G246">
        <v>0.65</v>
      </c>
      <c r="H246">
        <v>0.65</v>
      </c>
      <c r="I246">
        <v>0.65</v>
      </c>
      <c r="J246">
        <v>84.7</v>
      </c>
      <c r="K246">
        <v>1616</v>
      </c>
      <c r="L246">
        <v>3.26</v>
      </c>
      <c r="M246">
        <v>4.99</v>
      </c>
      <c r="N246" t="s">
        <v>52</v>
      </c>
    </row>
    <row r="247" spans="1:14" x14ac:dyDescent="0.2">
      <c r="A247" t="s">
        <v>429</v>
      </c>
      <c r="B247" t="s">
        <v>332</v>
      </c>
      <c r="C247">
        <v>31.8</v>
      </c>
      <c r="D247">
        <v>13.66</v>
      </c>
      <c r="E247">
        <v>6.44</v>
      </c>
      <c r="F247">
        <v>7.87</v>
      </c>
      <c r="G247">
        <v>0.6</v>
      </c>
      <c r="H247">
        <v>0.6</v>
      </c>
      <c r="I247">
        <v>0.6</v>
      </c>
      <c r="J247">
        <v>94.7</v>
      </c>
      <c r="K247">
        <v>1621</v>
      </c>
      <c r="L247">
        <v>1.5</v>
      </c>
      <c r="M247">
        <v>4.0599999999999996</v>
      </c>
      <c r="N247" t="s">
        <v>52</v>
      </c>
    </row>
    <row r="248" spans="1:14" x14ac:dyDescent="0.2">
      <c r="A248" t="s">
        <v>430</v>
      </c>
      <c r="B248" t="s">
        <v>178</v>
      </c>
      <c r="C248">
        <v>25.5</v>
      </c>
      <c r="D248">
        <v>7.94</v>
      </c>
      <c r="E248">
        <v>6.6</v>
      </c>
      <c r="F248">
        <v>7.91</v>
      </c>
      <c r="G248">
        <v>0.85</v>
      </c>
      <c r="H248">
        <v>0.85</v>
      </c>
      <c r="I248">
        <v>0.85</v>
      </c>
      <c r="J248">
        <v>84</v>
      </c>
      <c r="K248">
        <v>1644</v>
      </c>
      <c r="L248">
        <v>1.3</v>
      </c>
      <c r="M248">
        <v>3.75</v>
      </c>
      <c r="N248" t="s">
        <v>52</v>
      </c>
    </row>
    <row r="249" spans="1:14" x14ac:dyDescent="0.2">
      <c r="A249" t="s">
        <v>431</v>
      </c>
      <c r="B249" t="s">
        <v>184</v>
      </c>
      <c r="C249">
        <v>25.5</v>
      </c>
      <c r="D249">
        <v>8.57</v>
      </c>
      <c r="E249">
        <v>6.26</v>
      </c>
      <c r="F249">
        <v>7.77</v>
      </c>
      <c r="G249">
        <v>0.75</v>
      </c>
      <c r="H249">
        <v>0.75</v>
      </c>
      <c r="I249">
        <v>0.75</v>
      </c>
      <c r="J249">
        <v>79.8</v>
      </c>
      <c r="K249">
        <v>1656</v>
      </c>
      <c r="L249">
        <v>2.46</v>
      </c>
      <c r="M249">
        <v>3.48</v>
      </c>
      <c r="N249" t="s">
        <v>52</v>
      </c>
    </row>
    <row r="250" spans="1:14" x14ac:dyDescent="0.2">
      <c r="A250" t="s">
        <v>432</v>
      </c>
      <c r="B250" t="s">
        <v>190</v>
      </c>
      <c r="C250">
        <v>25.4</v>
      </c>
      <c r="D250">
        <v>5.8</v>
      </c>
      <c r="E250">
        <v>6.14</v>
      </c>
      <c r="F250">
        <v>7.96</v>
      </c>
      <c r="G250">
        <v>0.9</v>
      </c>
      <c r="H250">
        <v>0.9</v>
      </c>
      <c r="I250">
        <v>0.9</v>
      </c>
      <c r="J250">
        <v>76.8</v>
      </c>
      <c r="K250">
        <v>1633</v>
      </c>
      <c r="L250">
        <v>1.78</v>
      </c>
      <c r="M250">
        <v>5.17</v>
      </c>
      <c r="N250" t="s">
        <v>52</v>
      </c>
    </row>
    <row r="251" spans="1:14" x14ac:dyDescent="0.2">
      <c r="A251" t="s">
        <v>433</v>
      </c>
      <c r="B251" t="s">
        <v>338</v>
      </c>
      <c r="C251">
        <v>25.3</v>
      </c>
      <c r="D251">
        <v>14.39</v>
      </c>
      <c r="E251">
        <v>5.72</v>
      </c>
      <c r="F251">
        <v>7.67</v>
      </c>
      <c r="G251">
        <v>0.75</v>
      </c>
      <c r="H251">
        <v>0.75</v>
      </c>
      <c r="I251">
        <v>0.75</v>
      </c>
      <c r="J251">
        <v>75.7</v>
      </c>
      <c r="K251">
        <v>1759</v>
      </c>
      <c r="L251">
        <v>11.7</v>
      </c>
      <c r="M251">
        <v>6.97</v>
      </c>
      <c r="N251" t="s">
        <v>52</v>
      </c>
    </row>
    <row r="252" spans="1:14" x14ac:dyDescent="0.2">
      <c r="A252" t="s">
        <v>434</v>
      </c>
      <c r="B252" t="s">
        <v>345</v>
      </c>
      <c r="C252">
        <v>25.4</v>
      </c>
      <c r="D252">
        <v>11.24</v>
      </c>
      <c r="E252">
        <v>6.99</v>
      </c>
      <c r="F252">
        <v>7.84</v>
      </c>
      <c r="G252">
        <v>0.8</v>
      </c>
      <c r="H252">
        <v>0.8</v>
      </c>
      <c r="I252">
        <v>0.8</v>
      </c>
      <c r="J252">
        <v>90.7</v>
      </c>
      <c r="K252">
        <v>1740</v>
      </c>
      <c r="L252">
        <v>1.49</v>
      </c>
      <c r="M252">
        <v>4.82</v>
      </c>
      <c r="N252" t="s">
        <v>52</v>
      </c>
    </row>
    <row r="253" spans="1:14" x14ac:dyDescent="0.2">
      <c r="A253" t="s">
        <v>435</v>
      </c>
      <c r="B253" t="s">
        <v>351</v>
      </c>
      <c r="C253">
        <v>25.3</v>
      </c>
      <c r="D253">
        <v>12.27</v>
      </c>
      <c r="E253">
        <v>6.74</v>
      </c>
      <c r="F253">
        <v>7.86</v>
      </c>
      <c r="G253">
        <v>0.7</v>
      </c>
      <c r="H253">
        <v>0.7</v>
      </c>
      <c r="I253">
        <v>0.7</v>
      </c>
      <c r="J253">
        <v>87.2</v>
      </c>
      <c r="K253">
        <v>1749</v>
      </c>
      <c r="L253">
        <v>2.12</v>
      </c>
      <c r="M253">
        <v>6.71</v>
      </c>
      <c r="N253" t="s">
        <v>52</v>
      </c>
    </row>
    <row r="254" spans="1:14" x14ac:dyDescent="0.2">
      <c r="A254" t="s">
        <v>436</v>
      </c>
      <c r="B254" t="s">
        <v>196</v>
      </c>
      <c r="C254">
        <v>19.600000000000001</v>
      </c>
      <c r="D254">
        <v>27.77</v>
      </c>
      <c r="E254">
        <v>7.96</v>
      </c>
      <c r="F254">
        <v>8.0299999999999994</v>
      </c>
      <c r="G254">
        <v>0.7</v>
      </c>
      <c r="H254">
        <v>0.7</v>
      </c>
      <c r="I254">
        <v>0.7</v>
      </c>
      <c r="J254">
        <v>102.7</v>
      </c>
      <c r="K254">
        <v>1610</v>
      </c>
      <c r="L254">
        <v>2.23</v>
      </c>
      <c r="M254">
        <v>7.73</v>
      </c>
      <c r="N254" t="s">
        <v>52</v>
      </c>
    </row>
    <row r="255" spans="1:14" x14ac:dyDescent="0.2">
      <c r="A255" t="s">
        <v>437</v>
      </c>
      <c r="B255" t="s">
        <v>202</v>
      </c>
      <c r="C255">
        <v>19.7</v>
      </c>
      <c r="D255">
        <v>27.75</v>
      </c>
      <c r="E255">
        <v>7.9</v>
      </c>
      <c r="F255">
        <v>8.01</v>
      </c>
      <c r="G255">
        <v>0.7</v>
      </c>
      <c r="H255">
        <v>0.7</v>
      </c>
      <c r="I255">
        <v>0.7</v>
      </c>
      <c r="J255">
        <v>101.8</v>
      </c>
      <c r="K255">
        <v>1619</v>
      </c>
      <c r="L255">
        <v>1.49</v>
      </c>
      <c r="M255">
        <v>3.39</v>
      </c>
      <c r="N255" t="s">
        <v>52</v>
      </c>
    </row>
    <row r="256" spans="1:14" x14ac:dyDescent="0.2">
      <c r="A256" t="s">
        <v>438</v>
      </c>
      <c r="B256" t="s">
        <v>210</v>
      </c>
      <c r="C256">
        <v>19.5</v>
      </c>
      <c r="D256">
        <v>23.56</v>
      </c>
      <c r="E256">
        <v>7.62</v>
      </c>
      <c r="F256">
        <v>7.94</v>
      </c>
      <c r="G256">
        <v>0.6</v>
      </c>
      <c r="H256">
        <v>0.6</v>
      </c>
      <c r="I256">
        <v>0.6</v>
      </c>
      <c r="J256">
        <v>95.3</v>
      </c>
      <c r="K256">
        <v>1559</v>
      </c>
      <c r="L256">
        <v>2.62</v>
      </c>
      <c r="M256">
        <v>5.14</v>
      </c>
      <c r="N256" t="s">
        <v>52</v>
      </c>
    </row>
    <row r="257" spans="1:14" x14ac:dyDescent="0.2">
      <c r="A257" t="s">
        <v>439</v>
      </c>
      <c r="B257" t="s">
        <v>357</v>
      </c>
      <c r="C257">
        <v>19.2</v>
      </c>
      <c r="D257">
        <v>29.67</v>
      </c>
      <c r="E257">
        <v>7.91</v>
      </c>
      <c r="F257">
        <v>7.99</v>
      </c>
      <c r="G257">
        <v>0.5</v>
      </c>
      <c r="H257">
        <v>0.5</v>
      </c>
      <c r="I257">
        <v>0.5</v>
      </c>
      <c r="J257">
        <v>102.1</v>
      </c>
      <c r="K257">
        <v>1718</v>
      </c>
      <c r="L257">
        <v>4.3099999999999996</v>
      </c>
      <c r="M257">
        <v>6.2</v>
      </c>
      <c r="N257" t="s">
        <v>52</v>
      </c>
    </row>
    <row r="258" spans="1:14" x14ac:dyDescent="0.2">
      <c r="A258" t="s">
        <v>440</v>
      </c>
      <c r="B258" t="s">
        <v>363</v>
      </c>
      <c r="C258">
        <v>20.2</v>
      </c>
      <c r="D258">
        <v>30.36</v>
      </c>
      <c r="E258">
        <v>7.88</v>
      </c>
      <c r="F258">
        <v>7.93</v>
      </c>
      <c r="G258">
        <v>0.7</v>
      </c>
      <c r="H258">
        <v>0.7</v>
      </c>
      <c r="I258">
        <v>0.7</v>
      </c>
      <c r="J258">
        <v>104.2</v>
      </c>
      <c r="K258">
        <v>1709</v>
      </c>
      <c r="L258">
        <v>3.57</v>
      </c>
      <c r="M258">
        <v>4.3499999999999996</v>
      </c>
      <c r="N258" t="s">
        <v>52</v>
      </c>
    </row>
    <row r="259" spans="1:14" x14ac:dyDescent="0.2">
      <c r="A259" t="s">
        <v>441</v>
      </c>
      <c r="B259" t="s">
        <v>372</v>
      </c>
      <c r="C259">
        <v>19.2</v>
      </c>
      <c r="D259">
        <v>30.05</v>
      </c>
      <c r="E259">
        <v>7.58</v>
      </c>
      <c r="F259">
        <v>7.95</v>
      </c>
      <c r="G259">
        <v>0.7</v>
      </c>
      <c r="H259">
        <v>0.7</v>
      </c>
      <c r="I259">
        <v>0.7</v>
      </c>
      <c r="J259">
        <v>97.9</v>
      </c>
      <c r="K259">
        <v>1729</v>
      </c>
      <c r="L259">
        <v>4.2</v>
      </c>
      <c r="M259">
        <v>5.04</v>
      </c>
      <c r="N259" t="s">
        <v>52</v>
      </c>
    </row>
    <row r="260" spans="1:14" x14ac:dyDescent="0.2">
      <c r="A260" t="s">
        <v>1474</v>
      </c>
      <c r="B260" t="s">
        <v>1475</v>
      </c>
      <c r="C260">
        <v>21.5</v>
      </c>
      <c r="D260">
        <v>26.51</v>
      </c>
      <c r="E260">
        <v>6.78</v>
      </c>
      <c r="F260">
        <v>7.98</v>
      </c>
      <c r="G260">
        <v>0.6</v>
      </c>
      <c r="H260">
        <v>0.6</v>
      </c>
      <c r="I260">
        <v>0.6</v>
      </c>
      <c r="J260">
        <v>89.3</v>
      </c>
      <c r="K260">
        <v>1616</v>
      </c>
      <c r="L260">
        <v>2.2400000000000002</v>
      </c>
      <c r="M260">
        <v>2.39</v>
      </c>
      <c r="N260" t="s">
        <v>52</v>
      </c>
    </row>
    <row r="261" spans="1:14" x14ac:dyDescent="0.2">
      <c r="A261" t="s">
        <v>1476</v>
      </c>
      <c r="B261" t="s">
        <v>1477</v>
      </c>
      <c r="C261">
        <v>21.6</v>
      </c>
      <c r="D261">
        <v>26.17</v>
      </c>
      <c r="E261">
        <v>7.09</v>
      </c>
      <c r="F261">
        <v>8</v>
      </c>
      <c r="G261">
        <v>0.65</v>
      </c>
      <c r="H261">
        <v>0.65</v>
      </c>
      <c r="I261">
        <v>0.65</v>
      </c>
      <c r="J261">
        <v>93.5</v>
      </c>
      <c r="K261">
        <v>1627</v>
      </c>
      <c r="L261">
        <v>2.56</v>
      </c>
      <c r="M261">
        <v>2.34</v>
      </c>
      <c r="N261" t="s">
        <v>52</v>
      </c>
    </row>
    <row r="262" spans="1:14" x14ac:dyDescent="0.2">
      <c r="A262" t="s">
        <v>1478</v>
      </c>
      <c r="B262" t="s">
        <v>1479</v>
      </c>
      <c r="C262">
        <v>21.3</v>
      </c>
      <c r="D262">
        <v>23.84</v>
      </c>
      <c r="E262">
        <v>6.99</v>
      </c>
      <c r="F262">
        <v>8.1</v>
      </c>
      <c r="G262">
        <v>0.7</v>
      </c>
      <c r="H262">
        <v>0.7</v>
      </c>
      <c r="I262">
        <v>0.7</v>
      </c>
      <c r="J262">
        <v>90.5</v>
      </c>
      <c r="K262">
        <v>1603</v>
      </c>
      <c r="L262">
        <v>1.74</v>
      </c>
      <c r="M262">
        <v>3.45</v>
      </c>
      <c r="N262" t="s">
        <v>52</v>
      </c>
    </row>
    <row r="263" spans="1:14" x14ac:dyDescent="0.2">
      <c r="A263" t="s">
        <v>1480</v>
      </c>
      <c r="B263" t="s">
        <v>1481</v>
      </c>
      <c r="C263">
        <v>21.8</v>
      </c>
      <c r="D263">
        <v>30.88</v>
      </c>
      <c r="E263">
        <v>6.89</v>
      </c>
      <c r="F263">
        <v>8</v>
      </c>
      <c r="G263">
        <v>0.7</v>
      </c>
      <c r="H263">
        <v>0.7</v>
      </c>
      <c r="I263">
        <v>0.7</v>
      </c>
      <c r="J263">
        <v>94</v>
      </c>
      <c r="K263">
        <v>1741</v>
      </c>
      <c r="L263">
        <v>3.6</v>
      </c>
      <c r="M263">
        <v>7.05</v>
      </c>
      <c r="N263" t="s">
        <v>52</v>
      </c>
    </row>
    <row r="264" spans="1:14" x14ac:dyDescent="0.2">
      <c r="A264" t="s">
        <v>1482</v>
      </c>
      <c r="B264" t="s">
        <v>1483</v>
      </c>
      <c r="C264">
        <v>22</v>
      </c>
      <c r="D264">
        <v>31.93</v>
      </c>
      <c r="E264">
        <v>6.52</v>
      </c>
      <c r="F264">
        <v>8.01</v>
      </c>
      <c r="G264">
        <v>0.7</v>
      </c>
      <c r="H264">
        <v>0.7</v>
      </c>
      <c r="I264">
        <v>0.7</v>
      </c>
      <c r="J264">
        <v>89.5</v>
      </c>
      <c r="K264">
        <v>1722</v>
      </c>
      <c r="L264">
        <v>13.16</v>
      </c>
      <c r="M264">
        <v>6.8</v>
      </c>
      <c r="N264" t="s">
        <v>52</v>
      </c>
    </row>
    <row r="265" spans="1:14" x14ac:dyDescent="0.2">
      <c r="A265" t="s">
        <v>1484</v>
      </c>
      <c r="B265" t="s">
        <v>1485</v>
      </c>
      <c r="C265">
        <v>21.9</v>
      </c>
      <c r="D265">
        <v>31.5</v>
      </c>
      <c r="E265">
        <v>7.35</v>
      </c>
      <c r="F265">
        <v>8.07</v>
      </c>
      <c r="G265">
        <v>0.65</v>
      </c>
      <c r="H265">
        <v>0.65</v>
      </c>
      <c r="I265">
        <v>0.65</v>
      </c>
      <c r="J265">
        <v>100.8</v>
      </c>
      <c r="K265">
        <v>1730</v>
      </c>
      <c r="L265">
        <v>11.47</v>
      </c>
      <c r="M265">
        <v>8.68</v>
      </c>
      <c r="N265" t="s">
        <v>52</v>
      </c>
    </row>
    <row r="266" spans="1:14" x14ac:dyDescent="0.2">
      <c r="A266" t="s">
        <v>1486</v>
      </c>
      <c r="B266" t="s">
        <v>685</v>
      </c>
      <c r="C266">
        <v>25.9</v>
      </c>
      <c r="D266">
        <v>22.71</v>
      </c>
      <c r="E266">
        <v>7.28</v>
      </c>
      <c r="F266">
        <v>8.01</v>
      </c>
      <c r="G266">
        <v>0.85</v>
      </c>
      <c r="H266">
        <v>0.85</v>
      </c>
      <c r="I266">
        <v>0.85</v>
      </c>
      <c r="J266">
        <v>101.7</v>
      </c>
      <c r="K266">
        <v>1649</v>
      </c>
      <c r="L266">
        <v>3.57</v>
      </c>
      <c r="M266">
        <v>6.98</v>
      </c>
      <c r="N266" t="s">
        <v>52</v>
      </c>
    </row>
    <row r="267" spans="1:14" x14ac:dyDescent="0.2">
      <c r="A267" t="s">
        <v>1487</v>
      </c>
      <c r="B267" t="s">
        <v>692</v>
      </c>
      <c r="C267">
        <v>26.3</v>
      </c>
      <c r="D267">
        <v>23.1</v>
      </c>
      <c r="E267">
        <v>7.06</v>
      </c>
      <c r="F267">
        <v>8.18</v>
      </c>
      <c r="G267">
        <v>0.4</v>
      </c>
      <c r="H267">
        <v>0.4</v>
      </c>
      <c r="I267">
        <v>0.4</v>
      </c>
      <c r="J267">
        <v>99.7</v>
      </c>
      <c r="K267">
        <v>1605</v>
      </c>
      <c r="L267">
        <v>8.6199999999999992</v>
      </c>
      <c r="M267">
        <v>13.6</v>
      </c>
      <c r="N267" t="s">
        <v>52</v>
      </c>
    </row>
    <row r="268" spans="1:14" x14ac:dyDescent="0.2">
      <c r="A268" t="s">
        <v>1488</v>
      </c>
      <c r="B268" t="s">
        <v>700</v>
      </c>
      <c r="C268">
        <v>25.9</v>
      </c>
      <c r="D268">
        <v>21.66</v>
      </c>
      <c r="E268">
        <v>6.44</v>
      </c>
      <c r="F268">
        <v>7.91</v>
      </c>
      <c r="G268">
        <v>0.8</v>
      </c>
      <c r="H268">
        <v>0.8</v>
      </c>
      <c r="I268">
        <v>0.7</v>
      </c>
      <c r="J268">
        <v>90.2</v>
      </c>
      <c r="K268">
        <v>1702</v>
      </c>
      <c r="L268">
        <v>8.61</v>
      </c>
      <c r="M268">
        <v>7.57</v>
      </c>
      <c r="N268" t="s">
        <v>52</v>
      </c>
    </row>
    <row r="269" spans="1:14" x14ac:dyDescent="0.2">
      <c r="A269" t="s">
        <v>1489</v>
      </c>
      <c r="B269" t="s">
        <v>755</v>
      </c>
      <c r="C269">
        <v>25.9</v>
      </c>
      <c r="D269">
        <v>32.6</v>
      </c>
      <c r="E269">
        <v>6.79</v>
      </c>
      <c r="F269">
        <v>7.99</v>
      </c>
      <c r="G269">
        <v>0.85</v>
      </c>
      <c r="H269">
        <v>0.85</v>
      </c>
      <c r="I269">
        <v>0.85</v>
      </c>
      <c r="J269">
        <v>100.5</v>
      </c>
      <c r="K269">
        <v>1746</v>
      </c>
      <c r="L269">
        <v>7.65</v>
      </c>
      <c r="M269">
        <v>12.2</v>
      </c>
      <c r="N269" t="s">
        <v>52</v>
      </c>
    </row>
    <row r="270" spans="1:14" x14ac:dyDescent="0.2">
      <c r="A270" t="s">
        <v>1490</v>
      </c>
      <c r="B270" t="s">
        <v>762</v>
      </c>
      <c r="C270">
        <v>26.2</v>
      </c>
      <c r="D270">
        <v>31.67</v>
      </c>
      <c r="E270">
        <v>6.83</v>
      </c>
      <c r="F270">
        <v>7.98</v>
      </c>
      <c r="G270">
        <v>0.37</v>
      </c>
      <c r="H270">
        <v>0.37</v>
      </c>
      <c r="I270">
        <v>0.37</v>
      </c>
      <c r="J270">
        <v>101.6</v>
      </c>
      <c r="K270">
        <v>1725</v>
      </c>
      <c r="L270">
        <v>10.029999999999999</v>
      </c>
      <c r="M270">
        <v>14.7</v>
      </c>
      <c r="N270" t="s">
        <v>52</v>
      </c>
    </row>
    <row r="271" spans="1:14" x14ac:dyDescent="0.2">
      <c r="A271" t="s">
        <v>1491</v>
      </c>
      <c r="B271" t="s">
        <v>768</v>
      </c>
      <c r="C271">
        <v>26.4</v>
      </c>
      <c r="D271">
        <v>32.07</v>
      </c>
      <c r="E271">
        <v>6.81</v>
      </c>
      <c r="F271">
        <v>7.96</v>
      </c>
      <c r="G271">
        <v>0.65</v>
      </c>
      <c r="H271">
        <v>0.65</v>
      </c>
      <c r="I271">
        <v>0.65</v>
      </c>
      <c r="J271">
        <v>101.2</v>
      </c>
      <c r="K271">
        <v>1735</v>
      </c>
      <c r="L271">
        <v>8.2799999999999994</v>
      </c>
      <c r="M271">
        <v>9.1199999999999992</v>
      </c>
      <c r="N271" t="s">
        <v>52</v>
      </c>
    </row>
    <row r="272" spans="1:14" x14ac:dyDescent="0.2">
      <c r="A272" t="s">
        <v>1492</v>
      </c>
      <c r="B272" t="s">
        <v>482</v>
      </c>
      <c r="C272">
        <v>24.4</v>
      </c>
      <c r="D272">
        <v>29.11</v>
      </c>
      <c r="E272">
        <v>7.81</v>
      </c>
      <c r="F272">
        <v>8.0399999999999991</v>
      </c>
      <c r="G272">
        <v>0.75</v>
      </c>
      <c r="H272">
        <v>0.75</v>
      </c>
      <c r="I272">
        <v>0.75</v>
      </c>
      <c r="J272">
        <v>109.8</v>
      </c>
      <c r="K272">
        <v>1704</v>
      </c>
      <c r="L272">
        <v>4.62</v>
      </c>
      <c r="M272">
        <v>5.37</v>
      </c>
      <c r="N272" t="s">
        <v>52</v>
      </c>
    </row>
    <row r="273" spans="1:14" x14ac:dyDescent="0.2">
      <c r="A273" t="s">
        <v>1493</v>
      </c>
      <c r="B273" t="s">
        <v>496</v>
      </c>
      <c r="C273">
        <v>24.7</v>
      </c>
      <c r="D273">
        <v>31.25</v>
      </c>
      <c r="E273">
        <v>8.2899999999999991</v>
      </c>
      <c r="F273">
        <v>8.15</v>
      </c>
      <c r="G273">
        <v>0.65</v>
      </c>
      <c r="H273">
        <v>0.65</v>
      </c>
      <c r="I273">
        <v>0.65</v>
      </c>
      <c r="J273">
        <v>118.4</v>
      </c>
      <c r="K273">
        <v>1601</v>
      </c>
      <c r="L273">
        <v>3.95</v>
      </c>
      <c r="M273">
        <v>5.55</v>
      </c>
      <c r="N273" t="s">
        <v>52</v>
      </c>
    </row>
    <row r="274" spans="1:14" x14ac:dyDescent="0.2">
      <c r="A274" t="s">
        <v>1494</v>
      </c>
      <c r="B274" t="s">
        <v>508</v>
      </c>
      <c r="C274">
        <v>23.8</v>
      </c>
      <c r="D274">
        <v>23.59</v>
      </c>
      <c r="E274">
        <v>7.19</v>
      </c>
      <c r="F274">
        <v>7.88</v>
      </c>
      <c r="G274">
        <v>0.6</v>
      </c>
      <c r="H274">
        <v>0.6</v>
      </c>
      <c r="I274">
        <v>0.6</v>
      </c>
      <c r="J274">
        <v>97.3</v>
      </c>
      <c r="K274">
        <v>1757</v>
      </c>
      <c r="L274">
        <v>3.35</v>
      </c>
      <c r="M274">
        <v>4.9800000000000004</v>
      </c>
      <c r="N274" t="s">
        <v>52</v>
      </c>
    </row>
    <row r="275" spans="1:14" x14ac:dyDescent="0.2">
      <c r="A275" t="s">
        <v>1495</v>
      </c>
      <c r="B275" t="s">
        <v>774</v>
      </c>
      <c r="C275">
        <v>23.4</v>
      </c>
      <c r="D275">
        <v>31.73</v>
      </c>
      <c r="E275">
        <v>7.59</v>
      </c>
      <c r="F275">
        <v>7.58</v>
      </c>
      <c r="G275">
        <v>0.45</v>
      </c>
      <c r="H275">
        <v>0.45</v>
      </c>
      <c r="I275">
        <v>0.45</v>
      </c>
      <c r="J275">
        <v>107.6</v>
      </c>
      <c r="K275">
        <v>1924</v>
      </c>
      <c r="L275">
        <v>13.68</v>
      </c>
      <c r="M275">
        <v>11.8</v>
      </c>
      <c r="N275" t="s">
        <v>52</v>
      </c>
    </row>
    <row r="276" spans="1:14" x14ac:dyDescent="0.2">
      <c r="A276" t="s">
        <v>1496</v>
      </c>
      <c r="B276" t="s">
        <v>780</v>
      </c>
      <c r="C276">
        <v>24</v>
      </c>
      <c r="D276">
        <v>32.96</v>
      </c>
      <c r="E276">
        <v>8.2799999999999994</v>
      </c>
      <c r="F276">
        <v>8.02</v>
      </c>
      <c r="G276">
        <v>0.5</v>
      </c>
      <c r="H276">
        <v>0.5</v>
      </c>
      <c r="I276">
        <v>0.5</v>
      </c>
      <c r="J276">
        <v>118.8</v>
      </c>
      <c r="K276">
        <v>1854</v>
      </c>
      <c r="L276">
        <v>10.24</v>
      </c>
      <c r="M276">
        <v>16.8</v>
      </c>
      <c r="N276" t="s">
        <v>52</v>
      </c>
    </row>
    <row r="277" spans="1:14" x14ac:dyDescent="0.2">
      <c r="A277" t="s">
        <v>1497</v>
      </c>
      <c r="B277" t="s">
        <v>788</v>
      </c>
      <c r="C277">
        <v>23.5</v>
      </c>
      <c r="D277">
        <v>32.799999999999997</v>
      </c>
      <c r="E277">
        <v>8.08</v>
      </c>
      <c r="F277">
        <v>7.99</v>
      </c>
      <c r="G277">
        <v>0.5</v>
      </c>
      <c r="H277">
        <v>0.5</v>
      </c>
      <c r="I277">
        <v>0.5</v>
      </c>
      <c r="J277">
        <v>115.4</v>
      </c>
      <c r="K277">
        <v>1907</v>
      </c>
      <c r="L277">
        <v>9.76</v>
      </c>
      <c r="M277">
        <v>11</v>
      </c>
      <c r="N277" t="s">
        <v>52</v>
      </c>
    </row>
    <row r="278" spans="1:14" x14ac:dyDescent="0.2">
      <c r="A278" t="s">
        <v>1498</v>
      </c>
      <c r="B278" t="s">
        <v>525</v>
      </c>
      <c r="C278">
        <v>26.8</v>
      </c>
      <c r="D278">
        <v>17.23</v>
      </c>
      <c r="E278">
        <v>7.43</v>
      </c>
      <c r="F278">
        <v>8.24</v>
      </c>
      <c r="G278">
        <v>0.7</v>
      </c>
      <c r="H278">
        <v>0.7</v>
      </c>
      <c r="I278">
        <v>0.7</v>
      </c>
      <c r="J278">
        <v>102.3</v>
      </c>
      <c r="K278">
        <v>1643</v>
      </c>
      <c r="L278">
        <v>2.38</v>
      </c>
      <c r="M278">
        <v>5.29</v>
      </c>
      <c r="N278" t="s">
        <v>52</v>
      </c>
    </row>
    <row r="279" spans="1:14" x14ac:dyDescent="0.2">
      <c r="A279" t="s">
        <v>1499</v>
      </c>
      <c r="B279" t="s">
        <v>537</v>
      </c>
      <c r="C279">
        <v>27.2</v>
      </c>
      <c r="D279">
        <v>24.73</v>
      </c>
      <c r="E279">
        <v>7.01</v>
      </c>
      <c r="F279">
        <v>8.1999999999999993</v>
      </c>
      <c r="G279">
        <v>0.5</v>
      </c>
      <c r="H279">
        <v>0.5</v>
      </c>
      <c r="I279">
        <v>0.5</v>
      </c>
      <c r="J279">
        <v>101.4</v>
      </c>
      <c r="K279">
        <v>1701</v>
      </c>
      <c r="L279">
        <v>3.62</v>
      </c>
      <c r="M279">
        <v>7.97</v>
      </c>
      <c r="N279" t="s">
        <v>52</v>
      </c>
    </row>
    <row r="280" spans="1:14" x14ac:dyDescent="0.2">
      <c r="A280" t="s">
        <v>1500</v>
      </c>
      <c r="B280" t="s">
        <v>551</v>
      </c>
      <c r="C280">
        <v>27.3</v>
      </c>
      <c r="D280">
        <v>13.45</v>
      </c>
      <c r="E280">
        <v>6.39</v>
      </c>
      <c r="F280">
        <v>8.18</v>
      </c>
      <c r="G280">
        <v>0.5</v>
      </c>
      <c r="H280">
        <v>0.5</v>
      </c>
      <c r="I280">
        <v>0.5</v>
      </c>
      <c r="J280">
        <v>87.2</v>
      </c>
      <c r="K280">
        <v>1621</v>
      </c>
      <c r="L280">
        <v>6.28</v>
      </c>
      <c r="M280">
        <v>7.45</v>
      </c>
      <c r="N280" t="s">
        <v>52</v>
      </c>
    </row>
    <row r="281" spans="1:14" x14ac:dyDescent="0.2">
      <c r="A281" t="s">
        <v>1501</v>
      </c>
      <c r="B281" t="s">
        <v>794</v>
      </c>
      <c r="C281">
        <v>26.6</v>
      </c>
      <c r="D281">
        <v>26.74</v>
      </c>
      <c r="E281">
        <v>7.67</v>
      </c>
      <c r="F281">
        <v>8.2899999999999991</v>
      </c>
      <c r="G281">
        <v>0.85</v>
      </c>
      <c r="H281">
        <v>0.85</v>
      </c>
      <c r="I281">
        <v>0.85</v>
      </c>
      <c r="J281">
        <v>111.4</v>
      </c>
      <c r="K281">
        <v>1825</v>
      </c>
      <c r="L281">
        <v>3.47</v>
      </c>
      <c r="M281">
        <v>7.04</v>
      </c>
      <c r="N281" t="s">
        <v>52</v>
      </c>
    </row>
    <row r="282" spans="1:14" x14ac:dyDescent="0.2">
      <c r="A282" t="s">
        <v>1502</v>
      </c>
      <c r="B282" t="s">
        <v>800</v>
      </c>
      <c r="C282">
        <v>26.9</v>
      </c>
      <c r="D282">
        <v>27.03</v>
      </c>
      <c r="E282">
        <v>8</v>
      </c>
      <c r="F282">
        <v>8.1999999999999993</v>
      </c>
      <c r="G282">
        <v>0.8</v>
      </c>
      <c r="H282">
        <v>0.8</v>
      </c>
      <c r="I282">
        <v>0.8</v>
      </c>
      <c r="J282">
        <v>116.6</v>
      </c>
      <c r="K282">
        <v>1801</v>
      </c>
      <c r="L282">
        <v>3.43</v>
      </c>
      <c r="M282">
        <v>5.36</v>
      </c>
      <c r="N282" t="s">
        <v>52</v>
      </c>
    </row>
    <row r="283" spans="1:14" x14ac:dyDescent="0.2">
      <c r="A283" t="s">
        <v>1503</v>
      </c>
      <c r="B283" t="s">
        <v>807</v>
      </c>
      <c r="C283">
        <v>26.8</v>
      </c>
      <c r="D283">
        <v>27.27</v>
      </c>
      <c r="E283">
        <v>7.74</v>
      </c>
      <c r="F283">
        <v>8.26</v>
      </c>
      <c r="G283">
        <v>0.8</v>
      </c>
      <c r="H283">
        <v>0.8</v>
      </c>
      <c r="I283">
        <v>0.8</v>
      </c>
      <c r="J283">
        <v>112.9</v>
      </c>
      <c r="K283">
        <v>1810</v>
      </c>
      <c r="L283">
        <v>2.99</v>
      </c>
      <c r="M283">
        <v>8.1199999999999992</v>
      </c>
      <c r="N283" t="s">
        <v>52</v>
      </c>
    </row>
    <row r="284" spans="1:14" x14ac:dyDescent="0.2">
      <c r="A284" t="s">
        <v>1504</v>
      </c>
      <c r="B284" t="s">
        <v>563</v>
      </c>
      <c r="C284">
        <v>29.5</v>
      </c>
      <c r="D284">
        <v>30.39</v>
      </c>
      <c r="E284">
        <v>7.39</v>
      </c>
      <c r="F284">
        <v>8.31</v>
      </c>
      <c r="G284">
        <v>0.7</v>
      </c>
      <c r="H284">
        <v>0.7</v>
      </c>
      <c r="I284">
        <v>0.7</v>
      </c>
      <c r="J284">
        <v>114.5</v>
      </c>
      <c r="K284">
        <v>1636</v>
      </c>
      <c r="L284">
        <v>5.15</v>
      </c>
      <c r="M284">
        <v>9.1199999999999992</v>
      </c>
      <c r="N284" t="s">
        <v>52</v>
      </c>
    </row>
    <row r="285" spans="1:14" x14ac:dyDescent="0.2">
      <c r="A285" t="s">
        <v>1505</v>
      </c>
      <c r="B285" t="s">
        <v>576</v>
      </c>
      <c r="C285">
        <v>29.3</v>
      </c>
      <c r="D285">
        <v>30.7</v>
      </c>
      <c r="E285">
        <v>7.23</v>
      </c>
      <c r="F285">
        <v>8.27</v>
      </c>
      <c r="G285">
        <v>0.55000000000000004</v>
      </c>
      <c r="H285">
        <v>0.55000000000000004</v>
      </c>
      <c r="I285">
        <v>0.55000000000000004</v>
      </c>
      <c r="J285">
        <v>112</v>
      </c>
      <c r="K285">
        <v>1659</v>
      </c>
      <c r="L285">
        <v>3.65</v>
      </c>
      <c r="M285">
        <v>20.399999999999999</v>
      </c>
      <c r="N285" t="s">
        <v>52</v>
      </c>
    </row>
    <row r="286" spans="1:14" x14ac:dyDescent="0.2">
      <c r="A286" t="s">
        <v>1506</v>
      </c>
      <c r="B286" t="s">
        <v>590</v>
      </c>
      <c r="C286">
        <v>29.7</v>
      </c>
      <c r="D286">
        <v>29.61</v>
      </c>
      <c r="E286">
        <v>7.27</v>
      </c>
      <c r="F286">
        <v>8.3000000000000007</v>
      </c>
      <c r="G286">
        <v>0.7</v>
      </c>
      <c r="H286">
        <v>0.7</v>
      </c>
      <c r="I286">
        <v>0.7</v>
      </c>
      <c r="J286">
        <v>112.4</v>
      </c>
      <c r="K286">
        <v>1616</v>
      </c>
      <c r="L286">
        <v>5.81</v>
      </c>
      <c r="M286">
        <v>7.51</v>
      </c>
      <c r="N286" t="s">
        <v>52</v>
      </c>
    </row>
    <row r="287" spans="1:14" x14ac:dyDescent="0.2">
      <c r="A287" t="s">
        <v>1507</v>
      </c>
      <c r="B287" t="s">
        <v>814</v>
      </c>
      <c r="C287">
        <v>29.5</v>
      </c>
      <c r="D287">
        <v>36.9</v>
      </c>
      <c r="E287">
        <v>7.23</v>
      </c>
      <c r="F287">
        <v>8.2899999999999991</v>
      </c>
      <c r="G287">
        <v>0.65</v>
      </c>
      <c r="H287">
        <v>0.65</v>
      </c>
      <c r="I287">
        <v>0.65</v>
      </c>
      <c r="J287">
        <v>116.6</v>
      </c>
      <c r="K287">
        <v>1828</v>
      </c>
      <c r="L287">
        <v>7.04</v>
      </c>
      <c r="M287">
        <v>13.1</v>
      </c>
      <c r="N287" t="s">
        <v>52</v>
      </c>
    </row>
    <row r="288" spans="1:14" x14ac:dyDescent="0.2">
      <c r="A288" t="s">
        <v>1508</v>
      </c>
      <c r="B288" t="s">
        <v>820</v>
      </c>
      <c r="C288">
        <v>29.9</v>
      </c>
      <c r="D288">
        <v>35.880000000000003</v>
      </c>
      <c r="E288">
        <v>7.48</v>
      </c>
      <c r="F288">
        <v>8.1300000000000008</v>
      </c>
      <c r="G288">
        <v>0.8</v>
      </c>
      <c r="H288">
        <v>0.8</v>
      </c>
      <c r="I288">
        <v>0.6</v>
      </c>
      <c r="J288">
        <v>120.5</v>
      </c>
      <c r="K288">
        <v>1806</v>
      </c>
      <c r="L288">
        <v>7.89</v>
      </c>
      <c r="M288">
        <v>11.8</v>
      </c>
      <c r="N288" t="s">
        <v>52</v>
      </c>
    </row>
    <row r="289" spans="1:14" x14ac:dyDescent="0.2">
      <c r="A289" t="s">
        <v>1509</v>
      </c>
      <c r="B289" t="s">
        <v>826</v>
      </c>
      <c r="C289">
        <v>30</v>
      </c>
      <c r="D289">
        <v>36.020000000000003</v>
      </c>
      <c r="E289">
        <v>7.63</v>
      </c>
      <c r="F289">
        <v>8.25</v>
      </c>
      <c r="G289">
        <v>0.75</v>
      </c>
      <c r="H289">
        <v>0.75</v>
      </c>
      <c r="I289">
        <v>0.6</v>
      </c>
      <c r="J289">
        <v>123.1</v>
      </c>
      <c r="K289">
        <v>1814</v>
      </c>
      <c r="L289">
        <v>6.36</v>
      </c>
      <c r="M289">
        <v>13.7</v>
      </c>
      <c r="N289" t="s">
        <v>52</v>
      </c>
    </row>
    <row r="290" spans="1:14" x14ac:dyDescent="0.2">
      <c r="A290" t="s">
        <v>1510</v>
      </c>
      <c r="B290" t="s">
        <v>607</v>
      </c>
      <c r="C290">
        <v>30.1</v>
      </c>
      <c r="D290">
        <v>17.02</v>
      </c>
      <c r="E290">
        <v>5.6</v>
      </c>
      <c r="F290">
        <v>8.09</v>
      </c>
      <c r="G290">
        <v>0.6</v>
      </c>
      <c r="H290">
        <v>0.6</v>
      </c>
      <c r="I290">
        <v>0.6</v>
      </c>
      <c r="J290">
        <v>81.400000000000006</v>
      </c>
      <c r="K290">
        <v>1708</v>
      </c>
      <c r="L290">
        <v>3.15</v>
      </c>
      <c r="M290">
        <v>4.72</v>
      </c>
      <c r="N290" t="s">
        <v>52</v>
      </c>
    </row>
    <row r="291" spans="1:14" x14ac:dyDescent="0.2">
      <c r="A291" t="s">
        <v>1511</v>
      </c>
      <c r="B291" t="s">
        <v>614</v>
      </c>
      <c r="C291">
        <v>30.2</v>
      </c>
      <c r="D291">
        <v>19.059999999999999</v>
      </c>
      <c r="E291">
        <v>5.7</v>
      </c>
      <c r="F291">
        <v>8.0399999999999991</v>
      </c>
      <c r="G291">
        <v>0.5</v>
      </c>
      <c r="H291">
        <v>0.5</v>
      </c>
      <c r="I291">
        <v>0.5</v>
      </c>
      <c r="J291">
        <v>84.1</v>
      </c>
      <c r="K291">
        <v>1736</v>
      </c>
      <c r="L291">
        <v>3.55</v>
      </c>
      <c r="M291">
        <v>5.79</v>
      </c>
      <c r="N291" t="s">
        <v>52</v>
      </c>
    </row>
    <row r="292" spans="1:14" x14ac:dyDescent="0.2">
      <c r="A292" t="s">
        <v>1512</v>
      </c>
      <c r="B292" t="s">
        <v>620</v>
      </c>
      <c r="C292">
        <v>30.3</v>
      </c>
      <c r="D292">
        <v>12.88</v>
      </c>
      <c r="E292">
        <v>5.39</v>
      </c>
      <c r="F292">
        <v>8.0399999999999991</v>
      </c>
      <c r="G292">
        <v>0.6</v>
      </c>
      <c r="H292">
        <v>0.6</v>
      </c>
      <c r="I292">
        <v>0.6</v>
      </c>
      <c r="J292">
        <v>76.900000000000006</v>
      </c>
      <c r="K292">
        <v>1643</v>
      </c>
      <c r="L292">
        <v>2.54</v>
      </c>
      <c r="M292">
        <v>6.23</v>
      </c>
      <c r="N292" t="s">
        <v>52</v>
      </c>
    </row>
    <row r="293" spans="1:14" x14ac:dyDescent="0.2">
      <c r="A293" t="s">
        <v>1513</v>
      </c>
      <c r="B293" t="s">
        <v>663</v>
      </c>
      <c r="C293">
        <v>29.5</v>
      </c>
      <c r="D293">
        <v>31.05</v>
      </c>
      <c r="E293">
        <v>7.64</v>
      </c>
      <c r="F293">
        <v>8.31</v>
      </c>
      <c r="G293">
        <v>0.6</v>
      </c>
      <c r="H293">
        <v>0.6</v>
      </c>
      <c r="I293">
        <v>0.6</v>
      </c>
      <c r="J293">
        <v>118.8</v>
      </c>
      <c r="K293">
        <v>1907</v>
      </c>
      <c r="L293">
        <v>8.8699999999999992</v>
      </c>
      <c r="M293">
        <v>19.5</v>
      </c>
      <c r="N293" t="s">
        <v>52</v>
      </c>
    </row>
    <row r="294" spans="1:14" x14ac:dyDescent="0.2">
      <c r="A294" t="s">
        <v>1514</v>
      </c>
      <c r="B294" t="s">
        <v>672</v>
      </c>
      <c r="C294">
        <v>29.6</v>
      </c>
      <c r="D294">
        <v>31.01</v>
      </c>
      <c r="E294">
        <v>7.48</v>
      </c>
      <c r="F294">
        <v>8.1999999999999993</v>
      </c>
      <c r="G294">
        <v>0.6</v>
      </c>
      <c r="H294">
        <v>0.6</v>
      </c>
      <c r="I294">
        <v>0.6</v>
      </c>
      <c r="J294">
        <v>116.8</v>
      </c>
      <c r="K294">
        <v>1841</v>
      </c>
      <c r="L294">
        <v>3.67</v>
      </c>
      <c r="M294">
        <v>9.7100000000000009</v>
      </c>
      <c r="N294" t="s">
        <v>52</v>
      </c>
    </row>
    <row r="295" spans="1:14" x14ac:dyDescent="0.2">
      <c r="A295" t="s">
        <v>1515</v>
      </c>
      <c r="B295" t="s">
        <v>678</v>
      </c>
      <c r="C295">
        <v>29.9</v>
      </c>
      <c r="D295">
        <v>31.19</v>
      </c>
      <c r="E295">
        <v>6.81</v>
      </c>
      <c r="F295">
        <v>8.18</v>
      </c>
      <c r="G295">
        <v>0.5</v>
      </c>
      <c r="H295">
        <v>0.5</v>
      </c>
      <c r="I295">
        <v>0.5</v>
      </c>
      <c r="J295">
        <v>106.9</v>
      </c>
      <c r="K295">
        <v>1853</v>
      </c>
      <c r="L295">
        <v>6.15</v>
      </c>
      <c r="M295">
        <v>9.06</v>
      </c>
      <c r="N295" t="s">
        <v>52</v>
      </c>
    </row>
    <row r="296" spans="1:14" x14ac:dyDescent="0.2">
      <c r="A296" t="s">
        <v>1516</v>
      </c>
      <c r="B296" t="s">
        <v>832</v>
      </c>
      <c r="C296">
        <v>33.5</v>
      </c>
      <c r="D296">
        <v>23.73</v>
      </c>
      <c r="E296">
        <v>9.5</v>
      </c>
      <c r="F296" t="s">
        <v>608</v>
      </c>
      <c r="G296">
        <v>0.6</v>
      </c>
      <c r="H296">
        <v>0.6</v>
      </c>
      <c r="I296">
        <v>0.6</v>
      </c>
      <c r="J296">
        <v>152.30000000000001</v>
      </c>
      <c r="K296">
        <v>1606</v>
      </c>
      <c r="L296">
        <v>7.6</v>
      </c>
      <c r="M296">
        <v>7.8</v>
      </c>
      <c r="N296" t="s">
        <v>52</v>
      </c>
    </row>
    <row r="297" spans="1:14" x14ac:dyDescent="0.2">
      <c r="A297" t="s">
        <v>1517</v>
      </c>
      <c r="B297" t="s">
        <v>839</v>
      </c>
      <c r="C297">
        <v>32.9</v>
      </c>
      <c r="D297">
        <v>20.5</v>
      </c>
      <c r="E297">
        <v>7.64</v>
      </c>
      <c r="F297" t="s">
        <v>608</v>
      </c>
      <c r="G297">
        <v>0.5</v>
      </c>
      <c r="H297">
        <v>0.5</v>
      </c>
      <c r="I297">
        <v>0.5</v>
      </c>
      <c r="J297">
        <v>118.4</v>
      </c>
      <c r="K297">
        <v>1632</v>
      </c>
      <c r="L297">
        <v>3.32</v>
      </c>
      <c r="M297">
        <v>5.58</v>
      </c>
      <c r="N297" t="s">
        <v>52</v>
      </c>
    </row>
    <row r="298" spans="1:14" x14ac:dyDescent="0.2">
      <c r="A298" t="s">
        <v>1518</v>
      </c>
      <c r="B298" t="s">
        <v>847</v>
      </c>
      <c r="C298">
        <v>32.5</v>
      </c>
      <c r="D298">
        <v>11.54</v>
      </c>
      <c r="E298">
        <v>6.22</v>
      </c>
      <c r="F298" t="s">
        <v>608</v>
      </c>
      <c r="G298">
        <v>0.4</v>
      </c>
      <c r="H298">
        <v>0.4</v>
      </c>
      <c r="I298">
        <v>0.4</v>
      </c>
      <c r="J298">
        <v>91.4</v>
      </c>
      <c r="K298">
        <v>1544</v>
      </c>
      <c r="L298">
        <v>5.85</v>
      </c>
      <c r="M298">
        <v>11.6</v>
      </c>
      <c r="N298" t="s">
        <v>52</v>
      </c>
    </row>
    <row r="299" spans="1:14" x14ac:dyDescent="0.2">
      <c r="A299" t="s">
        <v>1519</v>
      </c>
      <c r="B299" t="s">
        <v>997</v>
      </c>
      <c r="C299">
        <v>32.5</v>
      </c>
      <c r="D299">
        <v>30.14</v>
      </c>
      <c r="E299">
        <v>8.3000000000000007</v>
      </c>
      <c r="F299" t="s">
        <v>608</v>
      </c>
      <c r="G299">
        <v>0.5</v>
      </c>
      <c r="H299">
        <v>0.5</v>
      </c>
      <c r="I299">
        <v>0.5</v>
      </c>
      <c r="J299">
        <v>136.30000000000001</v>
      </c>
      <c r="K299">
        <v>1747</v>
      </c>
      <c r="L299">
        <v>4.93</v>
      </c>
      <c r="M299">
        <v>7.39</v>
      </c>
      <c r="N299" t="s">
        <v>52</v>
      </c>
    </row>
    <row r="300" spans="1:14" x14ac:dyDescent="0.2">
      <c r="A300" t="s">
        <v>1520</v>
      </c>
      <c r="B300" t="s">
        <v>1003</v>
      </c>
      <c r="C300">
        <v>32.200000000000003</v>
      </c>
      <c r="D300">
        <v>32.18</v>
      </c>
      <c r="E300">
        <v>8.67</v>
      </c>
      <c r="F300" t="s">
        <v>608</v>
      </c>
      <c r="G300">
        <v>0.6</v>
      </c>
      <c r="H300">
        <v>0.6</v>
      </c>
      <c r="I300">
        <v>0.6</v>
      </c>
      <c r="J300">
        <v>143.1</v>
      </c>
      <c r="K300">
        <v>1729</v>
      </c>
      <c r="L300">
        <v>4.59</v>
      </c>
      <c r="M300">
        <v>9.6300000000000008</v>
      </c>
      <c r="N300" t="s">
        <v>52</v>
      </c>
    </row>
    <row r="301" spans="1:14" x14ac:dyDescent="0.2">
      <c r="A301" t="s">
        <v>1521</v>
      </c>
      <c r="B301" t="s">
        <v>1010</v>
      </c>
      <c r="C301">
        <v>32.700000000000003</v>
      </c>
      <c r="D301">
        <v>32.520000000000003</v>
      </c>
      <c r="E301">
        <v>8.4600000000000009</v>
      </c>
      <c r="F301" t="s">
        <v>608</v>
      </c>
      <c r="G301">
        <v>0.6</v>
      </c>
      <c r="H301">
        <v>0.6</v>
      </c>
      <c r="I301">
        <v>0.5</v>
      </c>
      <c r="J301">
        <v>140.1</v>
      </c>
      <c r="K301">
        <v>1736</v>
      </c>
      <c r="L301">
        <v>9.44</v>
      </c>
      <c r="M301">
        <v>17.899999999999999</v>
      </c>
      <c r="N301" t="s">
        <v>52</v>
      </c>
    </row>
    <row r="302" spans="1:14" x14ac:dyDescent="0.2">
      <c r="A302" t="s">
        <v>1522</v>
      </c>
      <c r="B302" t="s">
        <v>1523</v>
      </c>
      <c r="C302">
        <v>29.3</v>
      </c>
      <c r="D302">
        <v>21.71</v>
      </c>
      <c r="E302">
        <v>8.1199999999999992</v>
      </c>
      <c r="F302">
        <v>7.95</v>
      </c>
      <c r="G302">
        <v>0.9</v>
      </c>
      <c r="H302">
        <v>0.9</v>
      </c>
      <c r="I302">
        <v>0.9</v>
      </c>
      <c r="J302" t="s">
        <v>608</v>
      </c>
      <c r="K302">
        <v>1614</v>
      </c>
      <c r="L302">
        <v>3.86</v>
      </c>
      <c r="M302">
        <v>3.33</v>
      </c>
      <c r="N302" t="s">
        <v>910</v>
      </c>
    </row>
    <row r="303" spans="1:14" x14ac:dyDescent="0.2">
      <c r="A303" t="s">
        <v>1524</v>
      </c>
      <c r="B303" t="s">
        <v>1525</v>
      </c>
      <c r="C303">
        <v>29.6</v>
      </c>
      <c r="D303">
        <v>20.37</v>
      </c>
      <c r="E303">
        <v>8.11</v>
      </c>
      <c r="F303">
        <v>7.94</v>
      </c>
      <c r="G303">
        <v>0.4</v>
      </c>
      <c r="H303">
        <v>0.4</v>
      </c>
      <c r="I303">
        <v>0.4</v>
      </c>
      <c r="J303" t="s">
        <v>608</v>
      </c>
      <c r="K303">
        <v>1624</v>
      </c>
      <c r="L303">
        <v>4.5199999999999996</v>
      </c>
      <c r="M303">
        <v>2.29</v>
      </c>
      <c r="N303" t="s">
        <v>910</v>
      </c>
    </row>
    <row r="304" spans="1:14" x14ac:dyDescent="0.2">
      <c r="A304" t="s">
        <v>1526</v>
      </c>
      <c r="B304" t="s">
        <v>1527</v>
      </c>
      <c r="C304">
        <v>29.2</v>
      </c>
      <c r="D304">
        <v>8.49</v>
      </c>
      <c r="E304">
        <v>6.82</v>
      </c>
      <c r="F304">
        <v>7.72</v>
      </c>
      <c r="G304">
        <v>0.55000000000000004</v>
      </c>
      <c r="H304">
        <v>0.55000000000000004</v>
      </c>
      <c r="I304">
        <v>0.55000000000000004</v>
      </c>
      <c r="J304">
        <v>93.2</v>
      </c>
      <c r="K304">
        <v>1600</v>
      </c>
      <c r="L304">
        <v>2.02</v>
      </c>
      <c r="M304">
        <v>2.0099999999999998</v>
      </c>
      <c r="N304" t="s">
        <v>910</v>
      </c>
    </row>
    <row r="305" spans="1:14" x14ac:dyDescent="0.2">
      <c r="A305" t="s">
        <v>1528</v>
      </c>
      <c r="B305" t="s">
        <v>1529</v>
      </c>
      <c r="C305">
        <v>29.3</v>
      </c>
      <c r="D305">
        <v>30.48</v>
      </c>
      <c r="E305">
        <v>8.8699999999999992</v>
      </c>
      <c r="F305">
        <v>8.07</v>
      </c>
      <c r="G305">
        <v>0.8</v>
      </c>
      <c r="H305">
        <v>0.8</v>
      </c>
      <c r="I305">
        <v>0.8</v>
      </c>
      <c r="J305" t="s">
        <v>608</v>
      </c>
      <c r="K305">
        <v>1730</v>
      </c>
      <c r="L305">
        <v>4.63</v>
      </c>
      <c r="M305">
        <v>2.36</v>
      </c>
      <c r="N305" t="s">
        <v>910</v>
      </c>
    </row>
    <row r="306" spans="1:14" x14ac:dyDescent="0.2">
      <c r="A306" t="s">
        <v>1530</v>
      </c>
      <c r="B306" t="s">
        <v>1531</v>
      </c>
      <c r="C306">
        <v>30</v>
      </c>
      <c r="D306">
        <v>30.19</v>
      </c>
      <c r="E306">
        <v>9.6199999999999992</v>
      </c>
      <c r="F306">
        <v>8.0500000000000007</v>
      </c>
      <c r="G306">
        <v>0.7</v>
      </c>
      <c r="H306">
        <v>0.7</v>
      </c>
      <c r="I306">
        <v>0.7</v>
      </c>
      <c r="J306" t="s">
        <v>608</v>
      </c>
      <c r="K306">
        <v>1708</v>
      </c>
      <c r="L306">
        <v>10.42</v>
      </c>
      <c r="M306">
        <v>3.43</v>
      </c>
      <c r="N306" t="s">
        <v>910</v>
      </c>
    </row>
    <row r="307" spans="1:14" x14ac:dyDescent="0.2">
      <c r="A307" t="s">
        <v>1532</v>
      </c>
      <c r="B307" t="s">
        <v>1533</v>
      </c>
      <c r="C307">
        <v>29.9</v>
      </c>
      <c r="D307">
        <v>30.72</v>
      </c>
      <c r="E307">
        <v>9.56</v>
      </c>
      <c r="F307">
        <v>8.0500000000000007</v>
      </c>
      <c r="G307">
        <v>0.8</v>
      </c>
      <c r="H307">
        <v>0.8</v>
      </c>
      <c r="I307">
        <v>0.8</v>
      </c>
      <c r="J307" t="s">
        <v>608</v>
      </c>
      <c r="K307">
        <v>1718</v>
      </c>
      <c r="L307">
        <v>5.5</v>
      </c>
      <c r="M307">
        <v>3.98</v>
      </c>
      <c r="N307" t="s">
        <v>910</v>
      </c>
    </row>
    <row r="308" spans="1:14" x14ac:dyDescent="0.2">
      <c r="A308" t="s">
        <v>1534</v>
      </c>
      <c r="B308" t="s">
        <v>1535</v>
      </c>
      <c r="C308">
        <v>29.4</v>
      </c>
      <c r="D308">
        <v>18.62</v>
      </c>
      <c r="E308">
        <v>5.91</v>
      </c>
      <c r="F308">
        <v>7.67</v>
      </c>
      <c r="G308">
        <v>0.6</v>
      </c>
      <c r="H308">
        <v>0.6</v>
      </c>
      <c r="I308">
        <v>0.6</v>
      </c>
      <c r="J308">
        <v>85.1</v>
      </c>
      <c r="K308">
        <v>1612</v>
      </c>
      <c r="L308">
        <v>1.89</v>
      </c>
      <c r="M308">
        <v>4.9400000000000004</v>
      </c>
      <c r="N308" t="s">
        <v>910</v>
      </c>
    </row>
    <row r="309" spans="1:14" x14ac:dyDescent="0.2">
      <c r="A309" t="s">
        <v>1536</v>
      </c>
      <c r="B309" t="s">
        <v>1537</v>
      </c>
      <c r="C309">
        <v>29.6</v>
      </c>
      <c r="D309">
        <v>19.34</v>
      </c>
      <c r="E309">
        <v>6.61</v>
      </c>
      <c r="F309">
        <v>7.75</v>
      </c>
      <c r="G309">
        <v>0.6</v>
      </c>
      <c r="H309">
        <v>0.6</v>
      </c>
      <c r="I309">
        <v>0.6</v>
      </c>
      <c r="J309">
        <v>96.6</v>
      </c>
      <c r="K309">
        <v>1621</v>
      </c>
      <c r="L309">
        <v>1.51</v>
      </c>
      <c r="M309">
        <v>3.28</v>
      </c>
      <c r="N309" t="s">
        <v>910</v>
      </c>
    </row>
    <row r="310" spans="1:14" x14ac:dyDescent="0.2">
      <c r="A310" t="s">
        <v>1538</v>
      </c>
      <c r="B310" t="s">
        <v>1539</v>
      </c>
      <c r="C310">
        <v>29.1</v>
      </c>
      <c r="D310">
        <v>12.76</v>
      </c>
      <c r="E310">
        <v>5.18</v>
      </c>
      <c r="F310">
        <v>7.57</v>
      </c>
      <c r="G310">
        <v>0.6</v>
      </c>
      <c r="H310">
        <v>0.6</v>
      </c>
      <c r="I310">
        <v>0.6</v>
      </c>
      <c r="J310">
        <v>72.400000000000006</v>
      </c>
      <c r="K310">
        <v>1603</v>
      </c>
      <c r="L310">
        <v>1.57</v>
      </c>
      <c r="M310">
        <v>1.53</v>
      </c>
      <c r="N310" t="s">
        <v>910</v>
      </c>
    </row>
    <row r="311" spans="1:14" x14ac:dyDescent="0.2">
      <c r="A311" t="s">
        <v>1540</v>
      </c>
      <c r="B311" t="s">
        <v>1541</v>
      </c>
      <c r="C311">
        <v>29.3</v>
      </c>
      <c r="D311">
        <v>25.79</v>
      </c>
      <c r="E311">
        <v>6.57</v>
      </c>
      <c r="F311">
        <v>7.72</v>
      </c>
      <c r="G311">
        <v>0.6</v>
      </c>
      <c r="H311">
        <v>0.6</v>
      </c>
      <c r="I311">
        <v>0.6</v>
      </c>
      <c r="J311">
        <v>99</v>
      </c>
      <c r="K311">
        <v>1731</v>
      </c>
      <c r="L311">
        <v>2.4300000000000002</v>
      </c>
      <c r="M311">
        <v>6.63</v>
      </c>
      <c r="N311" t="s">
        <v>910</v>
      </c>
    </row>
    <row r="312" spans="1:14" x14ac:dyDescent="0.2">
      <c r="A312" t="s">
        <v>1542</v>
      </c>
      <c r="B312" t="s">
        <v>1543</v>
      </c>
      <c r="C312">
        <v>29.7</v>
      </c>
      <c r="D312">
        <v>26.3</v>
      </c>
      <c r="E312">
        <v>7.45</v>
      </c>
      <c r="F312">
        <v>7.83</v>
      </c>
      <c r="G312">
        <v>0.65</v>
      </c>
      <c r="H312">
        <v>0.65</v>
      </c>
      <c r="I312">
        <v>0.65</v>
      </c>
      <c r="J312" t="s">
        <v>608</v>
      </c>
      <c r="K312">
        <v>1709</v>
      </c>
      <c r="L312">
        <v>4.34</v>
      </c>
      <c r="M312">
        <v>8.19</v>
      </c>
      <c r="N312" t="s">
        <v>910</v>
      </c>
    </row>
    <row r="313" spans="1:14" x14ac:dyDescent="0.2">
      <c r="A313" t="s">
        <v>1544</v>
      </c>
      <c r="B313" t="s">
        <v>1545</v>
      </c>
      <c r="C313">
        <v>29.3</v>
      </c>
      <c r="D313">
        <v>23.56</v>
      </c>
      <c r="E313">
        <v>7.49</v>
      </c>
      <c r="F313">
        <v>7.79</v>
      </c>
      <c r="G313">
        <v>0.6</v>
      </c>
      <c r="H313">
        <v>0.6</v>
      </c>
      <c r="I313">
        <v>0.6</v>
      </c>
      <c r="J313" t="s">
        <v>608</v>
      </c>
      <c r="K313">
        <v>1716</v>
      </c>
      <c r="L313">
        <v>1.91</v>
      </c>
      <c r="M313">
        <v>4.34</v>
      </c>
      <c r="N313" t="s">
        <v>910</v>
      </c>
    </row>
    <row r="314" spans="1:14" x14ac:dyDescent="0.2">
      <c r="A314" t="s">
        <v>1546</v>
      </c>
      <c r="B314" t="s">
        <v>1547</v>
      </c>
      <c r="C314">
        <v>27.8</v>
      </c>
      <c r="D314">
        <v>7.22</v>
      </c>
      <c r="E314">
        <v>4.84</v>
      </c>
      <c r="F314">
        <v>7.52</v>
      </c>
      <c r="G314">
        <v>1.1000000000000001</v>
      </c>
      <c r="H314">
        <v>1.1000000000000001</v>
      </c>
      <c r="I314">
        <v>1.1000000000000001</v>
      </c>
      <c r="J314">
        <v>64.099999999999994</v>
      </c>
      <c r="K314">
        <v>1652</v>
      </c>
      <c r="L314">
        <v>0.93</v>
      </c>
      <c r="M314">
        <v>2.68</v>
      </c>
      <c r="N314" t="s">
        <v>910</v>
      </c>
    </row>
    <row r="315" spans="1:14" x14ac:dyDescent="0.2">
      <c r="A315" t="s">
        <v>1548</v>
      </c>
      <c r="B315" t="s">
        <v>1549</v>
      </c>
      <c r="C315">
        <v>27.8</v>
      </c>
      <c r="D315">
        <v>7.96</v>
      </c>
      <c r="E315">
        <v>5.32</v>
      </c>
      <c r="F315">
        <v>7.57</v>
      </c>
      <c r="G315">
        <v>0.9</v>
      </c>
      <c r="H315">
        <v>0.9</v>
      </c>
      <c r="I315">
        <v>0.9</v>
      </c>
      <c r="J315">
        <v>70.5</v>
      </c>
      <c r="K315">
        <v>1658</v>
      </c>
      <c r="L315">
        <v>2.2200000000000002</v>
      </c>
      <c r="M315">
        <v>2.58</v>
      </c>
      <c r="N315" t="s">
        <v>910</v>
      </c>
    </row>
    <row r="316" spans="1:14" x14ac:dyDescent="0.2">
      <c r="A316" t="s">
        <v>1550</v>
      </c>
      <c r="B316" t="s">
        <v>1551</v>
      </c>
      <c r="C316">
        <v>27.6</v>
      </c>
      <c r="D316">
        <v>4.03</v>
      </c>
      <c r="E316">
        <v>4.58</v>
      </c>
      <c r="F316">
        <v>7.47</v>
      </c>
      <c r="G316">
        <v>1.2</v>
      </c>
      <c r="H316">
        <v>1.2</v>
      </c>
      <c r="I316">
        <v>0.9</v>
      </c>
      <c r="J316">
        <v>59.5</v>
      </c>
      <c r="K316">
        <v>1640</v>
      </c>
      <c r="L316">
        <v>2.06</v>
      </c>
      <c r="M316">
        <v>4.34</v>
      </c>
      <c r="N316" t="s">
        <v>910</v>
      </c>
    </row>
    <row r="317" spans="1:14" x14ac:dyDescent="0.2">
      <c r="A317" t="s">
        <v>1552</v>
      </c>
      <c r="B317" t="s">
        <v>1553</v>
      </c>
      <c r="C317">
        <v>28.1</v>
      </c>
      <c r="D317">
        <v>4.7</v>
      </c>
      <c r="E317">
        <v>6.7</v>
      </c>
      <c r="F317">
        <v>7.63</v>
      </c>
      <c r="G317">
        <v>0.7</v>
      </c>
      <c r="H317">
        <v>0.7</v>
      </c>
      <c r="I317">
        <v>0.7</v>
      </c>
      <c r="J317">
        <v>87.5</v>
      </c>
      <c r="K317">
        <v>1808</v>
      </c>
      <c r="L317">
        <v>0.74</v>
      </c>
      <c r="M317">
        <v>2.69</v>
      </c>
      <c r="N317" t="s">
        <v>910</v>
      </c>
    </row>
    <row r="318" spans="1:14" x14ac:dyDescent="0.2">
      <c r="A318" t="s">
        <v>1554</v>
      </c>
      <c r="B318" t="s">
        <v>1555</v>
      </c>
      <c r="C318">
        <v>28.6</v>
      </c>
      <c r="D318">
        <v>4.42</v>
      </c>
      <c r="E318">
        <v>6.88</v>
      </c>
      <c r="F318">
        <v>7.62</v>
      </c>
      <c r="G318">
        <v>1.1499999999999999</v>
      </c>
      <c r="H318">
        <v>1.1499999999999999</v>
      </c>
      <c r="I318">
        <v>1.1499999999999999</v>
      </c>
      <c r="J318">
        <v>91</v>
      </c>
      <c r="K318">
        <v>1744</v>
      </c>
      <c r="L318">
        <v>0.8</v>
      </c>
      <c r="M318">
        <v>3.6</v>
      </c>
      <c r="N318" t="s">
        <v>910</v>
      </c>
    </row>
    <row r="319" spans="1:14" x14ac:dyDescent="0.2">
      <c r="A319" t="s">
        <v>1556</v>
      </c>
      <c r="B319" t="s">
        <v>1557</v>
      </c>
      <c r="C319">
        <v>28.2</v>
      </c>
      <c r="D319">
        <v>3.61</v>
      </c>
      <c r="E319">
        <v>7.15</v>
      </c>
      <c r="F319">
        <v>7.72</v>
      </c>
      <c r="G319">
        <v>1</v>
      </c>
      <c r="H319">
        <v>1</v>
      </c>
      <c r="I319">
        <v>1</v>
      </c>
      <c r="J319">
        <v>93.5</v>
      </c>
      <c r="K319">
        <v>1757</v>
      </c>
      <c r="L319">
        <v>0.73</v>
      </c>
      <c r="M319">
        <v>2.36</v>
      </c>
      <c r="N319" t="s">
        <v>910</v>
      </c>
    </row>
    <row r="320" spans="1:14" x14ac:dyDescent="0.2">
      <c r="A320" t="s">
        <v>1558</v>
      </c>
      <c r="B320" t="s">
        <v>891</v>
      </c>
      <c r="C320">
        <v>34.1</v>
      </c>
      <c r="D320">
        <v>19.88</v>
      </c>
      <c r="E320">
        <v>6.66</v>
      </c>
      <c r="F320" t="s">
        <v>608</v>
      </c>
      <c r="G320">
        <v>1.05</v>
      </c>
      <c r="H320">
        <v>1.05</v>
      </c>
      <c r="I320">
        <v>1.05</v>
      </c>
      <c r="J320">
        <v>105.1</v>
      </c>
      <c r="K320">
        <v>1636</v>
      </c>
      <c r="L320">
        <v>2.1800000000000002</v>
      </c>
      <c r="M320">
        <v>5.12</v>
      </c>
      <c r="N320" t="s">
        <v>604</v>
      </c>
    </row>
    <row r="321" spans="1:14" x14ac:dyDescent="0.2">
      <c r="A321" t="s">
        <v>1559</v>
      </c>
      <c r="B321" t="s">
        <v>898</v>
      </c>
      <c r="C321">
        <v>33.9</v>
      </c>
      <c r="D321">
        <v>21.34</v>
      </c>
      <c r="E321">
        <v>6.55</v>
      </c>
      <c r="F321" t="s">
        <v>608</v>
      </c>
      <c r="G321">
        <v>0.65</v>
      </c>
      <c r="H321">
        <v>0.65</v>
      </c>
      <c r="I321">
        <v>0.65</v>
      </c>
      <c r="J321">
        <v>103.7</v>
      </c>
      <c r="K321">
        <v>1655</v>
      </c>
      <c r="L321">
        <v>3.1</v>
      </c>
      <c r="M321">
        <v>4.97</v>
      </c>
      <c r="N321" t="s">
        <v>604</v>
      </c>
    </row>
    <row r="322" spans="1:14" x14ac:dyDescent="0.2">
      <c r="A322" t="s">
        <v>1560</v>
      </c>
      <c r="B322" t="s">
        <v>904</v>
      </c>
      <c r="C322">
        <v>34.299999999999997</v>
      </c>
      <c r="D322">
        <v>19.37</v>
      </c>
      <c r="E322">
        <v>6.09</v>
      </c>
      <c r="F322" t="s">
        <v>608</v>
      </c>
      <c r="G322">
        <v>0.7</v>
      </c>
      <c r="H322">
        <v>0.7</v>
      </c>
      <c r="I322">
        <v>0.7</v>
      </c>
      <c r="J322">
        <v>95.9</v>
      </c>
      <c r="K322">
        <v>1610</v>
      </c>
      <c r="L322">
        <v>1.59</v>
      </c>
      <c r="M322">
        <v>6</v>
      </c>
      <c r="N322" t="s">
        <v>604</v>
      </c>
    </row>
    <row r="323" spans="1:14" x14ac:dyDescent="0.2">
      <c r="A323" t="s">
        <v>1561</v>
      </c>
      <c r="B323" t="s">
        <v>1016</v>
      </c>
      <c r="C323">
        <v>33.299999999999997</v>
      </c>
      <c r="D323">
        <v>29.78</v>
      </c>
      <c r="E323">
        <v>7.29</v>
      </c>
      <c r="F323" t="s">
        <v>608</v>
      </c>
      <c r="G323">
        <v>0.9</v>
      </c>
      <c r="H323">
        <v>0.9</v>
      </c>
      <c r="I323">
        <v>0.9</v>
      </c>
      <c r="J323">
        <v>120.3</v>
      </c>
      <c r="K323">
        <v>1821</v>
      </c>
      <c r="L323">
        <v>4.34</v>
      </c>
      <c r="M323">
        <v>7.5</v>
      </c>
      <c r="N323" t="s">
        <v>604</v>
      </c>
    </row>
    <row r="324" spans="1:14" x14ac:dyDescent="0.2">
      <c r="A324" t="s">
        <v>1562</v>
      </c>
      <c r="B324" t="s">
        <v>1022</v>
      </c>
      <c r="C324">
        <v>33.5</v>
      </c>
      <c r="D324">
        <v>28.96</v>
      </c>
      <c r="E324">
        <v>7.07</v>
      </c>
      <c r="F324" t="s">
        <v>608</v>
      </c>
      <c r="G324">
        <v>1</v>
      </c>
      <c r="H324">
        <v>1</v>
      </c>
      <c r="I324">
        <v>1</v>
      </c>
      <c r="J324">
        <v>116.1</v>
      </c>
      <c r="K324">
        <v>1755</v>
      </c>
      <c r="L324">
        <v>4.2</v>
      </c>
      <c r="M324">
        <v>6.44</v>
      </c>
      <c r="N324" t="s">
        <v>604</v>
      </c>
    </row>
    <row r="325" spans="1:14" x14ac:dyDescent="0.2">
      <c r="A325" t="s">
        <v>1563</v>
      </c>
      <c r="B325" t="s">
        <v>1028</v>
      </c>
      <c r="C325">
        <v>33</v>
      </c>
      <c r="D325">
        <v>29.01</v>
      </c>
      <c r="E325">
        <v>7.12</v>
      </c>
      <c r="F325" t="s">
        <v>608</v>
      </c>
      <c r="G325">
        <v>1</v>
      </c>
      <c r="H325">
        <v>1</v>
      </c>
      <c r="I325">
        <v>1</v>
      </c>
      <c r="J325">
        <v>116.8</v>
      </c>
      <c r="K325">
        <v>1804</v>
      </c>
      <c r="L325">
        <v>4.6100000000000003</v>
      </c>
      <c r="M325">
        <v>8.93</v>
      </c>
      <c r="N325" t="s">
        <v>604</v>
      </c>
    </row>
    <row r="326" spans="1:14" x14ac:dyDescent="0.2">
      <c r="A326" t="s">
        <v>1564</v>
      </c>
      <c r="B326" t="s">
        <v>949</v>
      </c>
      <c r="C326">
        <v>31.4</v>
      </c>
      <c r="D326">
        <v>26.9</v>
      </c>
      <c r="E326">
        <v>7</v>
      </c>
      <c r="F326">
        <v>8.0399999999999991</v>
      </c>
      <c r="G326">
        <v>1.4</v>
      </c>
      <c r="H326">
        <v>1.4</v>
      </c>
      <c r="I326">
        <v>0.9</v>
      </c>
      <c r="J326">
        <v>109.7</v>
      </c>
      <c r="K326">
        <v>1807</v>
      </c>
      <c r="L326">
        <v>2.0699999999999998</v>
      </c>
      <c r="M326">
        <v>1.95</v>
      </c>
      <c r="N326" t="s">
        <v>604</v>
      </c>
    </row>
    <row r="327" spans="1:14" x14ac:dyDescent="0.2">
      <c r="A327" t="s">
        <v>1565</v>
      </c>
      <c r="B327" t="s">
        <v>955</v>
      </c>
      <c r="C327">
        <v>31.3</v>
      </c>
      <c r="D327">
        <v>30.47</v>
      </c>
      <c r="E327">
        <v>6.37</v>
      </c>
      <c r="F327">
        <v>8.1</v>
      </c>
      <c r="G327">
        <v>1.35</v>
      </c>
      <c r="H327">
        <v>1.35</v>
      </c>
      <c r="I327">
        <v>0.9</v>
      </c>
      <c r="J327">
        <v>104.5</v>
      </c>
      <c r="K327">
        <v>1900</v>
      </c>
      <c r="L327">
        <v>4.29</v>
      </c>
      <c r="M327">
        <v>2.8</v>
      </c>
      <c r="N327" t="s">
        <v>604</v>
      </c>
    </row>
    <row r="328" spans="1:14" x14ac:dyDescent="0.2">
      <c r="A328" t="s">
        <v>1566</v>
      </c>
      <c r="B328" t="s">
        <v>961</v>
      </c>
      <c r="C328">
        <v>31.4</v>
      </c>
      <c r="D328">
        <v>28.08</v>
      </c>
      <c r="E328">
        <v>5.17</v>
      </c>
      <c r="F328">
        <v>7.9</v>
      </c>
      <c r="G328">
        <v>1.1000000000000001</v>
      </c>
      <c r="H328">
        <v>1.1000000000000001</v>
      </c>
      <c r="I328">
        <v>0.9</v>
      </c>
      <c r="J328">
        <v>81.599999999999994</v>
      </c>
      <c r="K328">
        <v>1706</v>
      </c>
      <c r="L328">
        <v>2.78</v>
      </c>
      <c r="M328">
        <v>3.88</v>
      </c>
      <c r="N328" t="s">
        <v>604</v>
      </c>
    </row>
    <row r="329" spans="1:14" x14ac:dyDescent="0.2">
      <c r="A329" t="s">
        <v>1567</v>
      </c>
      <c r="B329" t="s">
        <v>1034</v>
      </c>
      <c r="C329">
        <v>30.3</v>
      </c>
      <c r="D329">
        <v>31.72</v>
      </c>
      <c r="E329">
        <v>4.6500000000000004</v>
      </c>
      <c r="F329">
        <v>7.94</v>
      </c>
      <c r="G329">
        <v>0.8</v>
      </c>
      <c r="H329">
        <v>0.8</v>
      </c>
      <c r="I329">
        <v>0.8</v>
      </c>
      <c r="J329">
        <v>73.599999999999994</v>
      </c>
      <c r="K329">
        <v>858</v>
      </c>
      <c r="L329">
        <v>2.83</v>
      </c>
      <c r="M329">
        <v>3.39</v>
      </c>
      <c r="N329" t="s">
        <v>604</v>
      </c>
    </row>
    <row r="330" spans="1:14" x14ac:dyDescent="0.2">
      <c r="A330" t="s">
        <v>1568</v>
      </c>
      <c r="B330" t="s">
        <v>1040</v>
      </c>
      <c r="C330">
        <v>30.5</v>
      </c>
      <c r="D330">
        <v>31.58</v>
      </c>
      <c r="E330">
        <v>4.3499999999999996</v>
      </c>
      <c r="F330">
        <v>7.89</v>
      </c>
      <c r="G330">
        <v>1.4</v>
      </c>
      <c r="H330">
        <v>1.4</v>
      </c>
      <c r="I330">
        <v>1.2</v>
      </c>
      <c r="J330">
        <v>69.599999999999994</v>
      </c>
      <c r="K330">
        <v>745</v>
      </c>
      <c r="L330">
        <v>2.0299999999999998</v>
      </c>
      <c r="M330">
        <v>5.03</v>
      </c>
      <c r="N330" t="s">
        <v>604</v>
      </c>
    </row>
    <row r="331" spans="1:14" x14ac:dyDescent="0.2">
      <c r="A331" t="s">
        <v>1569</v>
      </c>
      <c r="B331" t="s">
        <v>1047</v>
      </c>
      <c r="C331">
        <v>29.9</v>
      </c>
      <c r="D331">
        <v>31.65</v>
      </c>
      <c r="E331">
        <v>4.3099999999999996</v>
      </c>
      <c r="F331">
        <v>7.9</v>
      </c>
      <c r="G331">
        <v>1.1000000000000001</v>
      </c>
      <c r="H331">
        <v>1.1000000000000001</v>
      </c>
      <c r="I331">
        <v>1.1000000000000001</v>
      </c>
      <c r="J331">
        <v>67.900000000000006</v>
      </c>
      <c r="K331">
        <v>839</v>
      </c>
      <c r="L331">
        <v>2.99</v>
      </c>
      <c r="M331">
        <v>4.08</v>
      </c>
      <c r="N331" t="s">
        <v>604</v>
      </c>
    </row>
    <row r="332" spans="1:14" x14ac:dyDescent="0.2">
      <c r="A332" t="s">
        <v>3216</v>
      </c>
      <c r="B332" t="s">
        <v>3217</v>
      </c>
      <c r="C332">
        <v>28.1</v>
      </c>
      <c r="D332">
        <v>3.86</v>
      </c>
      <c r="E332">
        <v>4.26</v>
      </c>
      <c r="F332">
        <v>7.42</v>
      </c>
      <c r="G332">
        <v>1</v>
      </c>
      <c r="H332">
        <v>1</v>
      </c>
      <c r="I332">
        <v>0.8</v>
      </c>
      <c r="J332">
        <v>55.5</v>
      </c>
      <c r="K332">
        <v>1717</v>
      </c>
      <c r="L332">
        <v>4.6500000000000004</v>
      </c>
      <c r="M332">
        <v>6.7</v>
      </c>
      <c r="N332" t="s">
        <v>604</v>
      </c>
    </row>
    <row r="333" spans="1:14" x14ac:dyDescent="0.2">
      <c r="A333" t="s">
        <v>3218</v>
      </c>
      <c r="B333" t="s">
        <v>3219</v>
      </c>
      <c r="C333">
        <v>28.4</v>
      </c>
      <c r="D333">
        <v>5.22</v>
      </c>
      <c r="E333">
        <v>4.72</v>
      </c>
      <c r="F333">
        <v>7.49</v>
      </c>
      <c r="G333">
        <v>0.8</v>
      </c>
      <c r="H333">
        <v>0.8</v>
      </c>
      <c r="I333">
        <v>0.8</v>
      </c>
      <c r="J333">
        <v>62.5</v>
      </c>
      <c r="K333">
        <v>1640</v>
      </c>
      <c r="L333">
        <v>5.54</v>
      </c>
      <c r="M333">
        <v>6.75</v>
      </c>
      <c r="N333" t="s">
        <v>604</v>
      </c>
    </row>
    <row r="334" spans="1:14" x14ac:dyDescent="0.2">
      <c r="A334" t="s">
        <v>3220</v>
      </c>
      <c r="B334" t="s">
        <v>3221</v>
      </c>
      <c r="C334">
        <v>27.9</v>
      </c>
      <c r="D334">
        <v>0.91</v>
      </c>
      <c r="E334">
        <v>3.99</v>
      </c>
      <c r="F334">
        <v>7.35</v>
      </c>
      <c r="G334">
        <v>1</v>
      </c>
      <c r="H334">
        <v>1</v>
      </c>
      <c r="I334">
        <v>1</v>
      </c>
      <c r="J334">
        <v>52.2</v>
      </c>
      <c r="K334">
        <v>1739</v>
      </c>
      <c r="L334">
        <v>3.94</v>
      </c>
      <c r="M334">
        <v>5.68</v>
      </c>
      <c r="N334" t="s">
        <v>604</v>
      </c>
    </row>
    <row r="335" spans="1:14" x14ac:dyDescent="0.2">
      <c r="A335" t="s">
        <v>3222</v>
      </c>
      <c r="B335" t="s">
        <v>3223</v>
      </c>
      <c r="C335">
        <v>28.5</v>
      </c>
      <c r="D335">
        <v>8.4499999999999993</v>
      </c>
      <c r="E335">
        <v>6.59</v>
      </c>
      <c r="F335">
        <v>7.63</v>
      </c>
      <c r="G335">
        <v>1.5</v>
      </c>
      <c r="H335">
        <v>1.5</v>
      </c>
      <c r="I335">
        <v>0.8</v>
      </c>
      <c r="J335">
        <v>89.6</v>
      </c>
      <c r="K335">
        <v>1838</v>
      </c>
      <c r="L335">
        <v>1.83</v>
      </c>
      <c r="M335">
        <v>3.76</v>
      </c>
      <c r="N335" t="s">
        <v>604</v>
      </c>
    </row>
    <row r="336" spans="1:14" x14ac:dyDescent="0.2">
      <c r="A336" t="s">
        <v>3224</v>
      </c>
      <c r="B336" t="s">
        <v>3225</v>
      </c>
      <c r="C336">
        <v>28.6</v>
      </c>
      <c r="D336">
        <v>7.07</v>
      </c>
      <c r="E336">
        <v>6.53</v>
      </c>
      <c r="F336">
        <v>7.53</v>
      </c>
      <c r="G336">
        <v>0.86</v>
      </c>
      <c r="H336">
        <v>0.86</v>
      </c>
      <c r="I336">
        <v>0.86</v>
      </c>
      <c r="J336">
        <v>87.7</v>
      </c>
      <c r="K336">
        <v>1807</v>
      </c>
      <c r="L336">
        <v>1.8</v>
      </c>
      <c r="M336">
        <v>2.46</v>
      </c>
      <c r="N336" t="s">
        <v>604</v>
      </c>
    </row>
    <row r="337" spans="1:14" x14ac:dyDescent="0.2">
      <c r="A337" t="s">
        <v>3226</v>
      </c>
      <c r="B337" t="s">
        <v>3227</v>
      </c>
      <c r="C337">
        <v>28.5</v>
      </c>
      <c r="D337">
        <v>6.89</v>
      </c>
      <c r="E337">
        <v>6.29</v>
      </c>
      <c r="F337">
        <v>7.5</v>
      </c>
      <c r="G337">
        <v>1.1000000000000001</v>
      </c>
      <c r="H337">
        <v>1.1000000000000001</v>
      </c>
      <c r="I337">
        <v>0.85</v>
      </c>
      <c r="J337">
        <v>84.2</v>
      </c>
      <c r="K337">
        <v>1818</v>
      </c>
      <c r="L337">
        <v>5.87</v>
      </c>
      <c r="M337">
        <v>2.88</v>
      </c>
      <c r="N337" t="s">
        <v>604</v>
      </c>
    </row>
    <row r="338" spans="1:14" x14ac:dyDescent="0.2">
      <c r="A338" t="s">
        <v>3228</v>
      </c>
      <c r="B338" t="s">
        <v>3229</v>
      </c>
      <c r="C338">
        <v>24.9</v>
      </c>
      <c r="D338">
        <v>6.81</v>
      </c>
      <c r="E338">
        <v>5.73</v>
      </c>
      <c r="F338">
        <v>7.54</v>
      </c>
      <c r="G338">
        <v>0.75</v>
      </c>
      <c r="H338">
        <v>0.75</v>
      </c>
      <c r="I338">
        <v>0.75</v>
      </c>
      <c r="J338">
        <v>70.400000000000006</v>
      </c>
      <c r="K338">
        <v>1608</v>
      </c>
      <c r="L338">
        <v>2.13</v>
      </c>
      <c r="M338">
        <v>3.62</v>
      </c>
      <c r="N338" t="s">
        <v>604</v>
      </c>
    </row>
    <row r="339" spans="1:14" x14ac:dyDescent="0.2">
      <c r="A339" t="s">
        <v>3230</v>
      </c>
      <c r="B339" t="s">
        <v>3231</v>
      </c>
      <c r="C339">
        <v>25</v>
      </c>
      <c r="D339">
        <v>10.130000000000001</v>
      </c>
      <c r="E339">
        <v>5.85</v>
      </c>
      <c r="F339">
        <v>7.49</v>
      </c>
      <c r="G339">
        <v>0.5</v>
      </c>
      <c r="H339">
        <v>0.5</v>
      </c>
      <c r="I339">
        <v>0.5</v>
      </c>
      <c r="J339">
        <v>73.900000000000006</v>
      </c>
      <c r="K339">
        <v>1622</v>
      </c>
      <c r="L339">
        <v>6.94</v>
      </c>
      <c r="M339">
        <v>6.89</v>
      </c>
      <c r="N339" t="s">
        <v>604</v>
      </c>
    </row>
    <row r="340" spans="1:14" x14ac:dyDescent="0.2">
      <c r="A340" t="s">
        <v>3232</v>
      </c>
      <c r="B340" t="s">
        <v>3233</v>
      </c>
      <c r="C340">
        <v>24.1</v>
      </c>
      <c r="D340">
        <v>2.86</v>
      </c>
      <c r="E340">
        <v>5.0599999999999996</v>
      </c>
      <c r="F340">
        <v>7.43</v>
      </c>
      <c r="G340">
        <v>0.75</v>
      </c>
      <c r="H340">
        <v>0.75</v>
      </c>
      <c r="I340">
        <v>0.75</v>
      </c>
      <c r="J340">
        <v>61.1</v>
      </c>
      <c r="K340">
        <v>1552</v>
      </c>
      <c r="L340">
        <v>2.4</v>
      </c>
      <c r="M340">
        <v>4.5599999999999996</v>
      </c>
      <c r="N340" t="s">
        <v>604</v>
      </c>
    </row>
    <row r="341" spans="1:14" x14ac:dyDescent="0.2">
      <c r="A341" t="s">
        <v>3234</v>
      </c>
      <c r="B341" t="s">
        <v>3235</v>
      </c>
      <c r="C341">
        <v>24.8</v>
      </c>
      <c r="D341">
        <v>18.48</v>
      </c>
      <c r="E341">
        <v>7.94</v>
      </c>
      <c r="F341">
        <v>7.83</v>
      </c>
      <c r="G341">
        <v>0.8</v>
      </c>
      <c r="H341">
        <v>0.8</v>
      </c>
      <c r="I341">
        <v>0.8</v>
      </c>
      <c r="J341">
        <v>106.5</v>
      </c>
      <c r="K341">
        <v>1728</v>
      </c>
      <c r="L341">
        <v>6.38</v>
      </c>
      <c r="M341">
        <v>5.31</v>
      </c>
      <c r="N341" t="s">
        <v>604</v>
      </c>
    </row>
    <row r="342" spans="1:14" x14ac:dyDescent="0.2">
      <c r="A342" t="s">
        <v>3236</v>
      </c>
      <c r="B342" t="s">
        <v>3237</v>
      </c>
      <c r="C342">
        <v>25</v>
      </c>
      <c r="D342">
        <v>17.010000000000002</v>
      </c>
      <c r="E342">
        <v>7.64</v>
      </c>
      <c r="F342">
        <v>7.72</v>
      </c>
      <c r="G342">
        <v>0.75</v>
      </c>
      <c r="H342">
        <v>0.75</v>
      </c>
      <c r="I342">
        <v>0.75</v>
      </c>
      <c r="J342">
        <v>101.9</v>
      </c>
      <c r="K342">
        <v>1706</v>
      </c>
      <c r="L342">
        <v>2.33</v>
      </c>
      <c r="M342">
        <v>3.93</v>
      </c>
      <c r="N342" t="s">
        <v>604</v>
      </c>
    </row>
    <row r="343" spans="1:14" x14ac:dyDescent="0.2">
      <c r="A343" t="s">
        <v>3238</v>
      </c>
      <c r="B343" t="s">
        <v>3239</v>
      </c>
      <c r="C343">
        <v>24.9</v>
      </c>
      <c r="D343">
        <v>16.46</v>
      </c>
      <c r="E343">
        <v>7.61</v>
      </c>
      <c r="F343">
        <v>7.71</v>
      </c>
      <c r="G343">
        <v>0.9</v>
      </c>
      <c r="H343">
        <v>0.9</v>
      </c>
      <c r="I343">
        <v>0.9</v>
      </c>
      <c r="J343">
        <v>101.1</v>
      </c>
      <c r="K343">
        <v>1716</v>
      </c>
      <c r="L343">
        <v>2.38</v>
      </c>
      <c r="M343">
        <v>6.42</v>
      </c>
      <c r="N343" t="s">
        <v>604</v>
      </c>
    </row>
    <row r="344" spans="1:14" x14ac:dyDescent="0.2">
      <c r="A344" t="s">
        <v>3240</v>
      </c>
      <c r="B344" t="s">
        <v>3241</v>
      </c>
      <c r="C344">
        <v>24.8</v>
      </c>
      <c r="D344">
        <v>21.09</v>
      </c>
      <c r="E344">
        <v>6.63</v>
      </c>
      <c r="F344">
        <v>7.82</v>
      </c>
      <c r="G344">
        <v>1</v>
      </c>
      <c r="H344">
        <v>1</v>
      </c>
      <c r="I344">
        <v>1</v>
      </c>
      <c r="J344">
        <v>89.8</v>
      </c>
      <c r="K344">
        <v>1608</v>
      </c>
      <c r="L344">
        <v>1.29</v>
      </c>
      <c r="M344">
        <v>3.6</v>
      </c>
      <c r="N344" t="s">
        <v>604</v>
      </c>
    </row>
    <row r="345" spans="1:14" x14ac:dyDescent="0.2">
      <c r="A345" t="s">
        <v>3242</v>
      </c>
      <c r="B345" t="s">
        <v>3243</v>
      </c>
      <c r="C345">
        <v>24.6</v>
      </c>
      <c r="D345">
        <v>20.239999999999998</v>
      </c>
      <c r="E345">
        <v>6.54</v>
      </c>
      <c r="F345">
        <v>7.78</v>
      </c>
      <c r="G345">
        <v>0.7</v>
      </c>
      <c r="H345">
        <v>0.7</v>
      </c>
      <c r="I345">
        <v>0.7</v>
      </c>
      <c r="J345">
        <v>87.8</v>
      </c>
      <c r="K345">
        <v>1620</v>
      </c>
      <c r="L345">
        <v>7.08</v>
      </c>
      <c r="M345">
        <v>2.54</v>
      </c>
      <c r="N345" t="s">
        <v>604</v>
      </c>
    </row>
    <row r="346" spans="1:14" x14ac:dyDescent="0.2">
      <c r="A346" t="s">
        <v>3244</v>
      </c>
      <c r="B346" t="s">
        <v>3245</v>
      </c>
      <c r="C346">
        <v>24.3</v>
      </c>
      <c r="D346">
        <v>15.78</v>
      </c>
      <c r="E346">
        <v>5.51</v>
      </c>
      <c r="F346">
        <v>7.63</v>
      </c>
      <c r="G346">
        <v>0.8</v>
      </c>
      <c r="H346">
        <v>0.8</v>
      </c>
      <c r="I346">
        <v>0.8</v>
      </c>
      <c r="J346">
        <v>71.8</v>
      </c>
      <c r="K346">
        <v>1551</v>
      </c>
      <c r="L346">
        <v>4.0599999999999996</v>
      </c>
      <c r="M346">
        <v>3.37</v>
      </c>
      <c r="N346" t="s">
        <v>604</v>
      </c>
    </row>
    <row r="347" spans="1:14" x14ac:dyDescent="0.2">
      <c r="A347" t="s">
        <v>3246</v>
      </c>
      <c r="B347" t="s">
        <v>3247</v>
      </c>
      <c r="C347">
        <v>25.3</v>
      </c>
      <c r="D347">
        <v>31</v>
      </c>
      <c r="E347">
        <v>6.85</v>
      </c>
      <c r="F347">
        <v>7.97</v>
      </c>
      <c r="G347">
        <v>0.8</v>
      </c>
      <c r="H347">
        <v>0.8</v>
      </c>
      <c r="I347">
        <v>0.8</v>
      </c>
      <c r="J347">
        <v>99.5</v>
      </c>
      <c r="K347">
        <v>1712</v>
      </c>
      <c r="L347">
        <v>4.88</v>
      </c>
      <c r="M347">
        <v>4.97</v>
      </c>
      <c r="N347" t="s">
        <v>604</v>
      </c>
    </row>
    <row r="348" spans="1:14" x14ac:dyDescent="0.2">
      <c r="A348" t="s">
        <v>3248</v>
      </c>
      <c r="B348" t="s">
        <v>3249</v>
      </c>
      <c r="C348">
        <v>25.3</v>
      </c>
      <c r="D348">
        <v>30.61</v>
      </c>
      <c r="E348">
        <v>6.61</v>
      </c>
      <c r="F348">
        <v>7.95</v>
      </c>
      <c r="G348">
        <v>0.7</v>
      </c>
      <c r="H348">
        <v>0.7</v>
      </c>
      <c r="I348">
        <v>0.7</v>
      </c>
      <c r="J348">
        <v>95.8</v>
      </c>
      <c r="K348">
        <v>1655</v>
      </c>
      <c r="L348">
        <v>3.34</v>
      </c>
      <c r="M348">
        <v>12</v>
      </c>
      <c r="N348" t="s">
        <v>604</v>
      </c>
    </row>
    <row r="349" spans="1:14" x14ac:dyDescent="0.2">
      <c r="A349" t="s">
        <v>3250</v>
      </c>
      <c r="B349" t="s">
        <v>3251</v>
      </c>
      <c r="C349">
        <v>25.3</v>
      </c>
      <c r="D349">
        <v>31.15</v>
      </c>
      <c r="E349">
        <v>6.47</v>
      </c>
      <c r="F349">
        <v>7.95</v>
      </c>
      <c r="G349">
        <v>0.9</v>
      </c>
      <c r="H349">
        <v>0.9</v>
      </c>
      <c r="I349">
        <v>0.9</v>
      </c>
      <c r="J349">
        <v>93.7</v>
      </c>
      <c r="K349">
        <v>1703</v>
      </c>
      <c r="L349">
        <v>3.99</v>
      </c>
      <c r="M349">
        <v>5.63</v>
      </c>
      <c r="N349" t="s">
        <v>604</v>
      </c>
    </row>
    <row r="350" spans="1:14" x14ac:dyDescent="0.2">
      <c r="A350" t="s">
        <v>3252</v>
      </c>
      <c r="B350" t="s">
        <v>3253</v>
      </c>
      <c r="C350">
        <v>22.5</v>
      </c>
      <c r="D350">
        <v>28.7</v>
      </c>
      <c r="E350">
        <v>6.32</v>
      </c>
      <c r="F350">
        <v>7.87</v>
      </c>
      <c r="G350">
        <v>0.7</v>
      </c>
      <c r="H350">
        <v>0.7</v>
      </c>
      <c r="I350">
        <v>0.7</v>
      </c>
      <c r="J350">
        <v>86</v>
      </c>
      <c r="K350">
        <v>1550</v>
      </c>
      <c r="L350">
        <v>5.26</v>
      </c>
      <c r="M350">
        <v>5.76</v>
      </c>
      <c r="N350" t="s">
        <v>604</v>
      </c>
    </row>
    <row r="351" spans="1:14" x14ac:dyDescent="0.2">
      <c r="A351" t="s">
        <v>3254</v>
      </c>
      <c r="B351" t="s">
        <v>3255</v>
      </c>
      <c r="C351">
        <v>22.9</v>
      </c>
      <c r="D351">
        <v>29.59</v>
      </c>
      <c r="E351">
        <v>7.04</v>
      </c>
      <c r="F351">
        <v>7.96</v>
      </c>
      <c r="G351">
        <v>0.6</v>
      </c>
      <c r="H351">
        <v>0.6</v>
      </c>
      <c r="I351">
        <v>0.6</v>
      </c>
      <c r="J351">
        <v>97.2</v>
      </c>
      <c r="K351">
        <v>1608</v>
      </c>
      <c r="L351">
        <v>3.63</v>
      </c>
      <c r="M351">
        <v>5.0199999999999996</v>
      </c>
      <c r="N351" t="s">
        <v>604</v>
      </c>
    </row>
    <row r="352" spans="1:14" x14ac:dyDescent="0.2">
      <c r="A352" t="s">
        <v>3256</v>
      </c>
      <c r="B352" t="s">
        <v>3257</v>
      </c>
      <c r="C352">
        <v>22.2</v>
      </c>
      <c r="D352">
        <v>26.35</v>
      </c>
      <c r="E352">
        <v>6.7</v>
      </c>
      <c r="F352">
        <v>7.87</v>
      </c>
      <c r="G352">
        <v>0.9</v>
      </c>
      <c r="H352">
        <v>0.9</v>
      </c>
      <c r="I352">
        <v>0.9</v>
      </c>
      <c r="J352">
        <v>89.6</v>
      </c>
      <c r="K352">
        <v>1534</v>
      </c>
      <c r="L352">
        <v>2.6</v>
      </c>
      <c r="M352">
        <v>3.4</v>
      </c>
      <c r="N352" t="s">
        <v>604</v>
      </c>
    </row>
    <row r="353" spans="1:14" x14ac:dyDescent="0.2">
      <c r="A353" t="s">
        <v>3258</v>
      </c>
      <c r="B353" t="s">
        <v>3259</v>
      </c>
      <c r="C353">
        <v>22.8</v>
      </c>
      <c r="D353">
        <v>33.020000000000003</v>
      </c>
      <c r="E353">
        <v>6.33</v>
      </c>
      <c r="F353">
        <v>7.88</v>
      </c>
      <c r="G353">
        <v>0.6</v>
      </c>
      <c r="H353">
        <v>0.6</v>
      </c>
      <c r="I353">
        <v>0.6</v>
      </c>
      <c r="J353">
        <v>89.1</v>
      </c>
      <c r="K353">
        <v>1715</v>
      </c>
      <c r="L353">
        <v>5.07</v>
      </c>
      <c r="M353">
        <v>5.31</v>
      </c>
      <c r="N353" t="s">
        <v>604</v>
      </c>
    </row>
    <row r="354" spans="1:14" x14ac:dyDescent="0.2">
      <c r="A354" t="s">
        <v>3260</v>
      </c>
      <c r="B354" t="s">
        <v>3261</v>
      </c>
      <c r="C354">
        <v>23</v>
      </c>
      <c r="D354">
        <v>32.67</v>
      </c>
      <c r="E354">
        <v>6.46</v>
      </c>
      <c r="F354">
        <v>7.87</v>
      </c>
      <c r="G354">
        <v>0.65</v>
      </c>
      <c r="H354">
        <v>0.65</v>
      </c>
      <c r="I354">
        <v>0.65</v>
      </c>
      <c r="J354">
        <v>90.9</v>
      </c>
      <c r="K354">
        <v>1654</v>
      </c>
      <c r="L354">
        <v>7.74</v>
      </c>
      <c r="M354">
        <v>17.399999999999999</v>
      </c>
      <c r="N354" t="s">
        <v>604</v>
      </c>
    </row>
    <row r="355" spans="1:14" x14ac:dyDescent="0.2">
      <c r="A355" t="s">
        <v>3262</v>
      </c>
      <c r="B355" t="s">
        <v>3263</v>
      </c>
      <c r="C355">
        <v>23.2</v>
      </c>
      <c r="D355">
        <v>33.26</v>
      </c>
      <c r="E355">
        <v>7.55</v>
      </c>
      <c r="F355">
        <v>8.02</v>
      </c>
      <c r="G355">
        <v>0.55000000000000004</v>
      </c>
      <c r="H355">
        <v>0.55000000000000004</v>
      </c>
      <c r="I355">
        <v>0.55000000000000004</v>
      </c>
      <c r="J355">
        <v>107.5</v>
      </c>
      <c r="K355">
        <v>1703</v>
      </c>
      <c r="L355">
        <v>6.68</v>
      </c>
      <c r="M355">
        <v>7.5</v>
      </c>
      <c r="N355" t="s">
        <v>604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121DF-84FD-43BD-9BBD-9282D5331C2C}">
  <dimension ref="A1:K2508"/>
  <sheetViews>
    <sheetView topLeftCell="A2472" workbookViewId="0">
      <selection activeCell="C2508" sqref="C2508"/>
    </sheetView>
  </sheetViews>
  <sheetFormatPr defaultRowHeight="12.75" x14ac:dyDescent="0.2"/>
  <cols>
    <col min="1" max="1" width="12.85546875" bestFit="1" customWidth="1"/>
    <col min="2" max="2" width="27.140625" bestFit="1" customWidth="1"/>
    <col min="3" max="3" width="10.42578125" bestFit="1" customWidth="1"/>
    <col min="4" max="4" width="10.7109375" bestFit="1" customWidth="1"/>
    <col min="5" max="5" width="10" bestFit="1" customWidth="1"/>
    <col min="6" max="6" width="10.85546875" bestFit="1" customWidth="1"/>
    <col min="7" max="7" width="14.5703125" bestFit="1" customWidth="1"/>
    <col min="8" max="8" width="12" bestFit="1" customWidth="1"/>
    <col min="10" max="10" width="45.5703125" bestFit="1" customWidth="1"/>
    <col min="11" max="11" width="10.28515625" bestFit="1" customWidth="1"/>
  </cols>
  <sheetData>
    <row r="1" spans="1:11" x14ac:dyDescent="0.2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49</v>
      </c>
      <c r="K1" t="s">
        <v>48</v>
      </c>
    </row>
    <row r="2" spans="1:11" x14ac:dyDescent="0.2">
      <c r="A2" t="s">
        <v>1570</v>
      </c>
      <c r="B2" t="s">
        <v>1055</v>
      </c>
      <c r="C2">
        <v>67.02</v>
      </c>
      <c r="D2" t="s">
        <v>608</v>
      </c>
      <c r="E2" t="s">
        <v>608</v>
      </c>
      <c r="F2">
        <v>51.67</v>
      </c>
      <c r="G2">
        <v>38.07</v>
      </c>
      <c r="H2">
        <v>0</v>
      </c>
      <c r="I2">
        <v>0</v>
      </c>
      <c r="J2" t="s">
        <v>3082</v>
      </c>
      <c r="K2" s="17" t="s">
        <v>604</v>
      </c>
    </row>
    <row r="3" spans="1:11" x14ac:dyDescent="0.2">
      <c r="A3" t="s">
        <v>1571</v>
      </c>
      <c r="B3" t="s">
        <v>1055</v>
      </c>
      <c r="C3">
        <v>55.19</v>
      </c>
      <c r="D3" t="s">
        <v>608</v>
      </c>
      <c r="E3" t="s">
        <v>608</v>
      </c>
      <c r="F3">
        <v>23.31</v>
      </c>
      <c r="G3">
        <v>17.559999999999999</v>
      </c>
      <c r="H3">
        <v>0</v>
      </c>
      <c r="I3">
        <v>0</v>
      </c>
      <c r="J3" t="s">
        <v>3082</v>
      </c>
      <c r="K3" s="17" t="s">
        <v>604</v>
      </c>
    </row>
    <row r="4" spans="1:11" x14ac:dyDescent="0.2">
      <c r="A4" t="s">
        <v>1572</v>
      </c>
      <c r="B4" t="s">
        <v>1055</v>
      </c>
      <c r="C4">
        <v>47.73</v>
      </c>
      <c r="D4" t="s">
        <v>608</v>
      </c>
      <c r="E4" t="s">
        <v>608</v>
      </c>
      <c r="F4">
        <v>20.47</v>
      </c>
      <c r="G4">
        <v>14.92</v>
      </c>
      <c r="H4">
        <v>0</v>
      </c>
      <c r="I4">
        <v>0</v>
      </c>
      <c r="J4" t="s">
        <v>3082</v>
      </c>
      <c r="K4" s="17" t="s">
        <v>604</v>
      </c>
    </row>
    <row r="5" spans="1:11" x14ac:dyDescent="0.2">
      <c r="A5" t="s">
        <v>1573</v>
      </c>
      <c r="B5" t="s">
        <v>1055</v>
      </c>
      <c r="C5">
        <v>55.5</v>
      </c>
      <c r="D5" t="s">
        <v>608</v>
      </c>
      <c r="E5" t="s">
        <v>608</v>
      </c>
      <c r="F5">
        <v>30.78</v>
      </c>
      <c r="G5">
        <v>22.16</v>
      </c>
      <c r="H5">
        <v>0</v>
      </c>
      <c r="I5">
        <v>0</v>
      </c>
      <c r="J5" t="s">
        <v>3082</v>
      </c>
      <c r="K5" s="17" t="s">
        <v>604</v>
      </c>
    </row>
    <row r="6" spans="1:11" x14ac:dyDescent="0.2">
      <c r="A6" t="s">
        <v>1574</v>
      </c>
      <c r="B6" t="s">
        <v>1055</v>
      </c>
      <c r="C6">
        <v>50.82</v>
      </c>
      <c r="D6" t="s">
        <v>608</v>
      </c>
      <c r="E6" t="s">
        <v>608</v>
      </c>
      <c r="F6">
        <v>24.65</v>
      </c>
      <c r="G6">
        <v>18.7</v>
      </c>
      <c r="H6">
        <v>0</v>
      </c>
      <c r="I6">
        <v>0</v>
      </c>
      <c r="J6" t="s">
        <v>3082</v>
      </c>
      <c r="K6" s="17" t="s">
        <v>604</v>
      </c>
    </row>
    <row r="7" spans="1:11" x14ac:dyDescent="0.2">
      <c r="A7" t="s">
        <v>1575</v>
      </c>
      <c r="B7" t="s">
        <v>1057</v>
      </c>
      <c r="C7">
        <v>56.67</v>
      </c>
      <c r="D7" t="s">
        <v>608</v>
      </c>
      <c r="E7" t="s">
        <v>608</v>
      </c>
      <c r="F7">
        <v>34.340000000000003</v>
      </c>
      <c r="G7">
        <v>25.91</v>
      </c>
      <c r="H7">
        <v>0</v>
      </c>
      <c r="I7">
        <v>0</v>
      </c>
      <c r="J7" t="s">
        <v>3082</v>
      </c>
      <c r="K7" s="17" t="s">
        <v>604</v>
      </c>
    </row>
    <row r="8" spans="1:11" x14ac:dyDescent="0.2">
      <c r="A8" t="s">
        <v>1576</v>
      </c>
      <c r="B8" t="s">
        <v>1057</v>
      </c>
      <c r="C8">
        <v>47.87</v>
      </c>
      <c r="D8" t="s">
        <v>608</v>
      </c>
      <c r="E8" t="s">
        <v>608</v>
      </c>
      <c r="F8">
        <v>25.45</v>
      </c>
      <c r="G8">
        <v>16.420000000000002</v>
      </c>
      <c r="H8">
        <v>0</v>
      </c>
      <c r="I8">
        <v>0</v>
      </c>
      <c r="J8" t="s">
        <v>3082</v>
      </c>
      <c r="K8" s="17" t="s">
        <v>604</v>
      </c>
    </row>
    <row r="9" spans="1:11" x14ac:dyDescent="0.2">
      <c r="A9" t="s">
        <v>1577</v>
      </c>
      <c r="B9" t="s">
        <v>1057</v>
      </c>
      <c r="C9">
        <v>45.61</v>
      </c>
      <c r="D9" t="s">
        <v>608</v>
      </c>
      <c r="E9" t="s">
        <v>608</v>
      </c>
      <c r="F9">
        <v>21.11</v>
      </c>
      <c r="G9">
        <v>14.61</v>
      </c>
      <c r="H9">
        <v>0</v>
      </c>
      <c r="I9">
        <v>0</v>
      </c>
      <c r="J9" t="s">
        <v>3082</v>
      </c>
      <c r="K9" s="17" t="s">
        <v>604</v>
      </c>
    </row>
    <row r="10" spans="1:11" x14ac:dyDescent="0.2">
      <c r="A10" t="s">
        <v>1578</v>
      </c>
      <c r="B10" t="s">
        <v>1057</v>
      </c>
      <c r="C10">
        <v>55.84</v>
      </c>
      <c r="D10" t="s">
        <v>608</v>
      </c>
      <c r="E10" t="s">
        <v>608</v>
      </c>
      <c r="F10">
        <v>39.700000000000003</v>
      </c>
      <c r="G10">
        <v>28.74</v>
      </c>
      <c r="H10">
        <v>0</v>
      </c>
      <c r="I10">
        <v>0</v>
      </c>
      <c r="J10" t="s">
        <v>3082</v>
      </c>
      <c r="K10" s="17" t="s">
        <v>604</v>
      </c>
    </row>
    <row r="11" spans="1:11" x14ac:dyDescent="0.2">
      <c r="A11" t="s">
        <v>1579</v>
      </c>
      <c r="B11" t="s">
        <v>1057</v>
      </c>
      <c r="C11">
        <v>54.87</v>
      </c>
      <c r="D11" t="s">
        <v>608</v>
      </c>
      <c r="E11" t="s">
        <v>608</v>
      </c>
      <c r="F11">
        <v>30.85</v>
      </c>
      <c r="G11">
        <v>22.26</v>
      </c>
      <c r="H11">
        <v>0</v>
      </c>
      <c r="I11">
        <v>0</v>
      </c>
      <c r="J11" t="s">
        <v>3082</v>
      </c>
      <c r="K11" s="17" t="s">
        <v>604</v>
      </c>
    </row>
    <row r="12" spans="1:11" x14ac:dyDescent="0.2">
      <c r="A12" t="s">
        <v>1580</v>
      </c>
      <c r="B12" t="s">
        <v>1059</v>
      </c>
      <c r="C12">
        <v>54.74</v>
      </c>
      <c r="D12" t="s">
        <v>608</v>
      </c>
      <c r="E12" t="s">
        <v>608</v>
      </c>
      <c r="F12">
        <v>22.94</v>
      </c>
      <c r="G12">
        <v>16.25</v>
      </c>
      <c r="H12">
        <v>0</v>
      </c>
      <c r="I12">
        <v>0</v>
      </c>
      <c r="J12" t="s">
        <v>3082</v>
      </c>
      <c r="K12" s="17" t="s">
        <v>604</v>
      </c>
    </row>
    <row r="13" spans="1:11" x14ac:dyDescent="0.2">
      <c r="A13" t="s">
        <v>1581</v>
      </c>
      <c r="B13" t="s">
        <v>1059</v>
      </c>
      <c r="C13">
        <v>52.98</v>
      </c>
      <c r="D13" t="s">
        <v>608</v>
      </c>
      <c r="E13" t="s">
        <v>608</v>
      </c>
      <c r="F13">
        <v>18.649999999999999</v>
      </c>
      <c r="G13">
        <v>15.03</v>
      </c>
      <c r="H13">
        <v>0</v>
      </c>
      <c r="I13">
        <v>0</v>
      </c>
      <c r="J13" t="s">
        <v>3082</v>
      </c>
      <c r="K13" s="17" t="s">
        <v>604</v>
      </c>
    </row>
    <row r="14" spans="1:11" x14ac:dyDescent="0.2">
      <c r="A14" t="s">
        <v>1582</v>
      </c>
      <c r="B14" t="s">
        <v>1059</v>
      </c>
      <c r="C14">
        <v>55.89</v>
      </c>
      <c r="D14" t="s">
        <v>608</v>
      </c>
      <c r="E14" t="s">
        <v>608</v>
      </c>
      <c r="F14">
        <v>31.69</v>
      </c>
      <c r="G14">
        <v>23.25</v>
      </c>
      <c r="H14">
        <v>0</v>
      </c>
      <c r="I14">
        <v>0</v>
      </c>
      <c r="J14" t="s">
        <v>3082</v>
      </c>
      <c r="K14" s="17" t="s">
        <v>604</v>
      </c>
    </row>
    <row r="15" spans="1:11" x14ac:dyDescent="0.2">
      <c r="A15" t="s">
        <v>1583</v>
      </c>
      <c r="B15" t="s">
        <v>1059</v>
      </c>
      <c r="C15">
        <v>47.27</v>
      </c>
      <c r="D15" t="s">
        <v>608</v>
      </c>
      <c r="E15" t="s">
        <v>608</v>
      </c>
      <c r="F15">
        <v>15.27</v>
      </c>
      <c r="G15">
        <v>11.33</v>
      </c>
      <c r="H15">
        <v>0</v>
      </c>
      <c r="I15">
        <v>0</v>
      </c>
      <c r="J15" t="s">
        <v>3082</v>
      </c>
      <c r="K15" s="17" t="s">
        <v>604</v>
      </c>
    </row>
    <row r="16" spans="1:11" x14ac:dyDescent="0.2">
      <c r="A16" t="s">
        <v>1584</v>
      </c>
      <c r="B16" t="s">
        <v>1059</v>
      </c>
      <c r="C16">
        <v>66.540000000000006</v>
      </c>
      <c r="D16" t="s">
        <v>608</v>
      </c>
      <c r="E16" t="s">
        <v>608</v>
      </c>
      <c r="F16">
        <v>31.25</v>
      </c>
      <c r="G16">
        <v>21.93</v>
      </c>
      <c r="H16">
        <v>0</v>
      </c>
      <c r="I16">
        <v>0</v>
      </c>
      <c r="J16" t="s">
        <v>3082</v>
      </c>
      <c r="K16" s="17" t="s">
        <v>604</v>
      </c>
    </row>
    <row r="17" spans="1:11" x14ac:dyDescent="0.2">
      <c r="A17" t="s">
        <v>1585</v>
      </c>
      <c r="B17" t="s">
        <v>1067</v>
      </c>
      <c r="C17">
        <v>53.86</v>
      </c>
      <c r="D17" t="s">
        <v>608</v>
      </c>
      <c r="E17" t="s">
        <v>608</v>
      </c>
      <c r="F17">
        <v>19.690000000000001</v>
      </c>
      <c r="G17">
        <v>13.13</v>
      </c>
      <c r="H17">
        <v>0</v>
      </c>
      <c r="I17">
        <v>0</v>
      </c>
      <c r="J17" t="s">
        <v>3082</v>
      </c>
      <c r="K17" s="17" t="s">
        <v>604</v>
      </c>
    </row>
    <row r="18" spans="1:11" x14ac:dyDescent="0.2">
      <c r="A18" t="s">
        <v>1586</v>
      </c>
      <c r="B18" t="s">
        <v>1067</v>
      </c>
      <c r="C18">
        <v>43.39</v>
      </c>
      <c r="D18" t="s">
        <v>608</v>
      </c>
      <c r="E18" t="s">
        <v>608</v>
      </c>
      <c r="F18">
        <v>15.17</v>
      </c>
      <c r="G18">
        <v>11.24</v>
      </c>
      <c r="H18">
        <v>0</v>
      </c>
      <c r="I18">
        <v>0</v>
      </c>
      <c r="J18" t="s">
        <v>3082</v>
      </c>
      <c r="K18" s="17" t="s">
        <v>604</v>
      </c>
    </row>
    <row r="19" spans="1:11" x14ac:dyDescent="0.2">
      <c r="A19" t="s">
        <v>1587</v>
      </c>
      <c r="B19" t="s">
        <v>1067</v>
      </c>
      <c r="C19">
        <v>46.68</v>
      </c>
      <c r="D19" t="s">
        <v>608</v>
      </c>
      <c r="E19" t="s">
        <v>608</v>
      </c>
      <c r="F19">
        <v>17.45</v>
      </c>
      <c r="G19">
        <v>13.12</v>
      </c>
      <c r="H19">
        <v>0</v>
      </c>
      <c r="I19">
        <v>0</v>
      </c>
      <c r="J19" t="s">
        <v>3082</v>
      </c>
      <c r="K19" s="17" t="s">
        <v>604</v>
      </c>
    </row>
    <row r="20" spans="1:11" x14ac:dyDescent="0.2">
      <c r="A20" t="s">
        <v>1588</v>
      </c>
      <c r="B20" t="s">
        <v>1067</v>
      </c>
      <c r="C20">
        <v>46.34</v>
      </c>
      <c r="D20" t="s">
        <v>608</v>
      </c>
      <c r="E20" t="s">
        <v>608</v>
      </c>
      <c r="F20">
        <v>20.29</v>
      </c>
      <c r="G20">
        <v>15.07</v>
      </c>
      <c r="H20">
        <v>0</v>
      </c>
      <c r="I20">
        <v>0</v>
      </c>
      <c r="J20" t="s">
        <v>3082</v>
      </c>
      <c r="K20" s="17" t="s">
        <v>604</v>
      </c>
    </row>
    <row r="21" spans="1:11" x14ac:dyDescent="0.2">
      <c r="A21" t="s">
        <v>1589</v>
      </c>
      <c r="B21" t="s">
        <v>1067</v>
      </c>
      <c r="C21">
        <v>54.37</v>
      </c>
      <c r="D21" t="s">
        <v>608</v>
      </c>
      <c r="E21" t="s">
        <v>608</v>
      </c>
      <c r="F21">
        <v>23.75</v>
      </c>
      <c r="G21">
        <v>17.09</v>
      </c>
      <c r="H21">
        <v>0</v>
      </c>
      <c r="I21">
        <v>0</v>
      </c>
      <c r="J21" t="s">
        <v>3082</v>
      </c>
      <c r="K21" s="17" t="s">
        <v>604</v>
      </c>
    </row>
    <row r="22" spans="1:11" x14ac:dyDescent="0.2">
      <c r="A22" t="s">
        <v>1590</v>
      </c>
      <c r="B22" t="s">
        <v>1069</v>
      </c>
      <c r="C22">
        <v>45.46</v>
      </c>
      <c r="D22" t="s">
        <v>608</v>
      </c>
      <c r="E22" t="s">
        <v>608</v>
      </c>
      <c r="F22">
        <v>26.02</v>
      </c>
      <c r="G22">
        <v>16.510000000000002</v>
      </c>
      <c r="H22">
        <v>0</v>
      </c>
      <c r="I22">
        <v>0</v>
      </c>
      <c r="J22" t="s">
        <v>3082</v>
      </c>
      <c r="K22" s="17" t="s">
        <v>604</v>
      </c>
    </row>
    <row r="23" spans="1:11" x14ac:dyDescent="0.2">
      <c r="A23" t="s">
        <v>1591</v>
      </c>
      <c r="B23" t="s">
        <v>1069</v>
      </c>
      <c r="C23">
        <v>53.23</v>
      </c>
      <c r="D23" t="s">
        <v>608</v>
      </c>
      <c r="E23" t="s">
        <v>608</v>
      </c>
      <c r="F23">
        <v>19.2</v>
      </c>
      <c r="G23">
        <v>14.29</v>
      </c>
      <c r="H23">
        <v>0</v>
      </c>
      <c r="I23">
        <v>0</v>
      </c>
      <c r="J23" t="s">
        <v>3082</v>
      </c>
      <c r="K23" s="17" t="s">
        <v>604</v>
      </c>
    </row>
    <row r="24" spans="1:11" x14ac:dyDescent="0.2">
      <c r="A24" t="s">
        <v>1592</v>
      </c>
      <c r="B24" t="s">
        <v>1069</v>
      </c>
      <c r="C24">
        <v>54.03</v>
      </c>
      <c r="D24" t="s">
        <v>608</v>
      </c>
      <c r="E24" t="s">
        <v>608</v>
      </c>
      <c r="F24">
        <v>22.9</v>
      </c>
      <c r="G24">
        <v>16.57</v>
      </c>
      <c r="H24">
        <v>0</v>
      </c>
      <c r="I24">
        <v>0.5</v>
      </c>
      <c r="J24" t="s">
        <v>3082</v>
      </c>
      <c r="K24" s="17" t="s">
        <v>604</v>
      </c>
    </row>
    <row r="25" spans="1:11" x14ac:dyDescent="0.2">
      <c r="A25" t="s">
        <v>1593</v>
      </c>
      <c r="B25" t="s">
        <v>1069</v>
      </c>
      <c r="C25">
        <v>54.99</v>
      </c>
      <c r="D25" t="s">
        <v>608</v>
      </c>
      <c r="E25" t="s">
        <v>608</v>
      </c>
      <c r="F25">
        <v>53.34</v>
      </c>
      <c r="G25">
        <v>41.19</v>
      </c>
      <c r="H25">
        <v>0</v>
      </c>
      <c r="I25">
        <v>0</v>
      </c>
      <c r="J25" t="s">
        <v>3082</v>
      </c>
      <c r="K25" s="17" t="s">
        <v>604</v>
      </c>
    </row>
    <row r="26" spans="1:11" x14ac:dyDescent="0.2">
      <c r="A26" t="s">
        <v>1594</v>
      </c>
      <c r="B26" t="s">
        <v>1069</v>
      </c>
      <c r="C26">
        <v>53.04</v>
      </c>
      <c r="D26" t="s">
        <v>608</v>
      </c>
      <c r="E26" t="s">
        <v>608</v>
      </c>
      <c r="F26">
        <v>34.14</v>
      </c>
      <c r="G26">
        <v>24.34</v>
      </c>
      <c r="H26">
        <v>0</v>
      </c>
      <c r="I26">
        <v>0</v>
      </c>
      <c r="J26" t="s">
        <v>3082</v>
      </c>
      <c r="K26" s="17" t="s">
        <v>604</v>
      </c>
    </row>
    <row r="27" spans="1:11" x14ac:dyDescent="0.2">
      <c r="A27" t="s">
        <v>1595</v>
      </c>
      <c r="B27" t="s">
        <v>1071</v>
      </c>
      <c r="C27">
        <v>70</v>
      </c>
      <c r="D27" t="s">
        <v>608</v>
      </c>
      <c r="E27" t="s">
        <v>608</v>
      </c>
      <c r="F27">
        <v>32.96</v>
      </c>
      <c r="G27">
        <v>24.8</v>
      </c>
      <c r="H27">
        <v>0</v>
      </c>
      <c r="I27">
        <v>0</v>
      </c>
      <c r="J27" t="s">
        <v>3082</v>
      </c>
      <c r="K27" s="17" t="s">
        <v>604</v>
      </c>
    </row>
    <row r="28" spans="1:11" x14ac:dyDescent="0.2">
      <c r="A28" t="s">
        <v>1596</v>
      </c>
      <c r="B28" t="s">
        <v>1071</v>
      </c>
      <c r="C28">
        <v>47.97</v>
      </c>
      <c r="D28" t="s">
        <v>608</v>
      </c>
      <c r="E28" t="s">
        <v>608</v>
      </c>
      <c r="F28">
        <v>32.15</v>
      </c>
      <c r="G28">
        <v>25.07</v>
      </c>
      <c r="H28">
        <v>0</v>
      </c>
      <c r="I28">
        <v>0</v>
      </c>
      <c r="J28" t="s">
        <v>3082</v>
      </c>
      <c r="K28" s="17" t="s">
        <v>604</v>
      </c>
    </row>
    <row r="29" spans="1:11" x14ac:dyDescent="0.2">
      <c r="A29" t="s">
        <v>1597</v>
      </c>
      <c r="B29" t="s">
        <v>1071</v>
      </c>
      <c r="C29">
        <v>53.69</v>
      </c>
      <c r="D29" t="s">
        <v>608</v>
      </c>
      <c r="E29" t="s">
        <v>608</v>
      </c>
      <c r="F29">
        <v>24.6</v>
      </c>
      <c r="G29">
        <v>16.86</v>
      </c>
      <c r="H29">
        <v>0</v>
      </c>
      <c r="I29">
        <v>0</v>
      </c>
      <c r="J29" t="s">
        <v>3082</v>
      </c>
      <c r="K29" s="17" t="s">
        <v>604</v>
      </c>
    </row>
    <row r="30" spans="1:11" x14ac:dyDescent="0.2">
      <c r="A30" t="s">
        <v>1598</v>
      </c>
      <c r="B30" t="s">
        <v>1071</v>
      </c>
      <c r="C30">
        <v>56.09</v>
      </c>
      <c r="D30" t="s">
        <v>608</v>
      </c>
      <c r="E30" t="s">
        <v>608</v>
      </c>
      <c r="F30">
        <v>22.96</v>
      </c>
      <c r="G30">
        <v>17.54</v>
      </c>
      <c r="H30">
        <v>0</v>
      </c>
      <c r="I30">
        <v>0</v>
      </c>
      <c r="J30" t="s">
        <v>3082</v>
      </c>
      <c r="K30" s="17" t="s">
        <v>604</v>
      </c>
    </row>
    <row r="31" spans="1:11" x14ac:dyDescent="0.2">
      <c r="A31" t="s">
        <v>1599</v>
      </c>
      <c r="B31" t="s">
        <v>1071</v>
      </c>
      <c r="C31">
        <v>47.6</v>
      </c>
      <c r="D31" t="s">
        <v>608</v>
      </c>
      <c r="E31" t="s">
        <v>608</v>
      </c>
      <c r="F31">
        <v>23.04</v>
      </c>
      <c r="G31">
        <v>17.170000000000002</v>
      </c>
      <c r="H31">
        <v>0</v>
      </c>
      <c r="I31">
        <v>0</v>
      </c>
      <c r="J31" t="s">
        <v>3082</v>
      </c>
      <c r="K31" s="17" t="s">
        <v>604</v>
      </c>
    </row>
    <row r="32" spans="1:11" x14ac:dyDescent="0.2">
      <c r="A32" t="s">
        <v>1600</v>
      </c>
      <c r="B32" t="s">
        <v>1085</v>
      </c>
      <c r="C32">
        <v>42.53</v>
      </c>
      <c r="D32" t="s">
        <v>608</v>
      </c>
      <c r="E32" t="s">
        <v>608</v>
      </c>
      <c r="F32">
        <v>12.97</v>
      </c>
      <c r="G32">
        <v>9.9700000000000006</v>
      </c>
      <c r="H32">
        <v>0</v>
      </c>
      <c r="I32">
        <v>0</v>
      </c>
      <c r="J32" t="s">
        <v>3082</v>
      </c>
      <c r="K32" s="17" t="s">
        <v>604</v>
      </c>
    </row>
    <row r="33" spans="1:11" x14ac:dyDescent="0.2">
      <c r="A33" t="s">
        <v>1601</v>
      </c>
      <c r="B33" t="s">
        <v>1085</v>
      </c>
      <c r="C33">
        <v>55.33</v>
      </c>
      <c r="D33" t="s">
        <v>608</v>
      </c>
      <c r="E33" t="s">
        <v>608</v>
      </c>
      <c r="F33">
        <v>20.49</v>
      </c>
      <c r="G33">
        <v>16.03</v>
      </c>
      <c r="H33">
        <v>0</v>
      </c>
      <c r="I33">
        <v>0</v>
      </c>
      <c r="J33" t="s">
        <v>3082</v>
      </c>
      <c r="K33" s="17" t="s">
        <v>604</v>
      </c>
    </row>
    <row r="34" spans="1:11" x14ac:dyDescent="0.2">
      <c r="A34" t="s">
        <v>1602</v>
      </c>
      <c r="B34" t="s">
        <v>1085</v>
      </c>
      <c r="C34">
        <v>52.87</v>
      </c>
      <c r="D34" t="s">
        <v>608</v>
      </c>
      <c r="E34" t="s">
        <v>608</v>
      </c>
      <c r="F34">
        <v>15.96</v>
      </c>
      <c r="G34">
        <v>11.83</v>
      </c>
      <c r="H34">
        <v>0</v>
      </c>
      <c r="I34">
        <v>0</v>
      </c>
      <c r="J34" t="s">
        <v>3082</v>
      </c>
      <c r="K34" s="17" t="s">
        <v>604</v>
      </c>
    </row>
    <row r="35" spans="1:11" x14ac:dyDescent="0.2">
      <c r="A35" t="s">
        <v>1603</v>
      </c>
      <c r="B35" t="s">
        <v>1085</v>
      </c>
      <c r="C35">
        <v>50.17</v>
      </c>
      <c r="D35" t="s">
        <v>608</v>
      </c>
      <c r="E35" t="s">
        <v>608</v>
      </c>
      <c r="F35">
        <v>13.5</v>
      </c>
      <c r="G35">
        <v>10.31</v>
      </c>
      <c r="H35">
        <v>0</v>
      </c>
      <c r="I35">
        <v>0</v>
      </c>
      <c r="J35" t="s">
        <v>3082</v>
      </c>
      <c r="K35" s="17" t="s">
        <v>604</v>
      </c>
    </row>
    <row r="36" spans="1:11" x14ac:dyDescent="0.2">
      <c r="A36" t="s">
        <v>1604</v>
      </c>
      <c r="B36" t="s">
        <v>1085</v>
      </c>
      <c r="C36">
        <v>61.96</v>
      </c>
      <c r="D36" t="s">
        <v>608</v>
      </c>
      <c r="E36" t="s">
        <v>608</v>
      </c>
      <c r="F36">
        <v>23.78</v>
      </c>
      <c r="G36">
        <v>17.670000000000002</v>
      </c>
      <c r="H36">
        <v>0</v>
      </c>
      <c r="I36">
        <v>0</v>
      </c>
      <c r="J36" t="s">
        <v>3082</v>
      </c>
      <c r="K36" s="17" t="s">
        <v>604</v>
      </c>
    </row>
    <row r="37" spans="1:11" x14ac:dyDescent="0.2">
      <c r="A37" t="s">
        <v>1605</v>
      </c>
      <c r="B37" t="s">
        <v>1087</v>
      </c>
      <c r="C37">
        <v>51.95</v>
      </c>
      <c r="D37" t="s">
        <v>608</v>
      </c>
      <c r="E37" t="s">
        <v>608</v>
      </c>
      <c r="F37">
        <v>29.4</v>
      </c>
      <c r="G37">
        <v>23.28</v>
      </c>
      <c r="H37">
        <v>0</v>
      </c>
      <c r="I37">
        <v>0</v>
      </c>
      <c r="J37" t="s">
        <v>3082</v>
      </c>
      <c r="K37" s="17" t="s">
        <v>604</v>
      </c>
    </row>
    <row r="38" spans="1:11" x14ac:dyDescent="0.2">
      <c r="A38" t="s">
        <v>1606</v>
      </c>
      <c r="B38" t="s">
        <v>1087</v>
      </c>
      <c r="C38">
        <v>80</v>
      </c>
      <c r="D38" t="s">
        <v>608</v>
      </c>
      <c r="E38" t="s">
        <v>608</v>
      </c>
      <c r="F38">
        <v>53.42</v>
      </c>
      <c r="G38">
        <v>39.020000000000003</v>
      </c>
      <c r="H38">
        <v>0</v>
      </c>
      <c r="I38">
        <v>0</v>
      </c>
      <c r="J38" t="s">
        <v>3082</v>
      </c>
      <c r="K38" s="17" t="s">
        <v>604</v>
      </c>
    </row>
    <row r="39" spans="1:11" x14ac:dyDescent="0.2">
      <c r="A39" t="s">
        <v>1607</v>
      </c>
      <c r="B39" t="s">
        <v>1087</v>
      </c>
      <c r="C39">
        <v>43.49</v>
      </c>
      <c r="D39" t="s">
        <v>608</v>
      </c>
      <c r="E39" t="s">
        <v>608</v>
      </c>
      <c r="F39">
        <v>13.91</v>
      </c>
      <c r="G39">
        <v>9.19</v>
      </c>
      <c r="H39">
        <v>0</v>
      </c>
      <c r="I39">
        <v>0</v>
      </c>
      <c r="J39" t="s">
        <v>3082</v>
      </c>
      <c r="K39" s="17" t="s">
        <v>604</v>
      </c>
    </row>
    <row r="40" spans="1:11" x14ac:dyDescent="0.2">
      <c r="A40" t="s">
        <v>1608</v>
      </c>
      <c r="B40" t="s">
        <v>1087</v>
      </c>
      <c r="C40">
        <v>54.78</v>
      </c>
      <c r="D40" t="s">
        <v>608</v>
      </c>
      <c r="E40" t="s">
        <v>608</v>
      </c>
      <c r="F40">
        <v>25.34</v>
      </c>
      <c r="G40">
        <v>16.23</v>
      </c>
      <c r="H40">
        <v>0</v>
      </c>
      <c r="I40">
        <v>0</v>
      </c>
      <c r="J40" t="s">
        <v>3082</v>
      </c>
      <c r="K40" s="17" t="s">
        <v>604</v>
      </c>
    </row>
    <row r="41" spans="1:11" x14ac:dyDescent="0.2">
      <c r="A41" t="s">
        <v>1609</v>
      </c>
      <c r="B41" t="s">
        <v>1087</v>
      </c>
      <c r="C41">
        <v>47.04</v>
      </c>
      <c r="D41" t="s">
        <v>608</v>
      </c>
      <c r="E41" t="s">
        <v>608</v>
      </c>
      <c r="F41">
        <v>24.75</v>
      </c>
      <c r="G41">
        <v>18.010000000000002</v>
      </c>
      <c r="H41">
        <v>0</v>
      </c>
      <c r="I41">
        <v>0</v>
      </c>
      <c r="J41" t="s">
        <v>3082</v>
      </c>
      <c r="K41" s="17" t="s">
        <v>604</v>
      </c>
    </row>
    <row r="42" spans="1:11" x14ac:dyDescent="0.2">
      <c r="A42" t="s">
        <v>1610</v>
      </c>
      <c r="B42" t="s">
        <v>1089</v>
      </c>
      <c r="C42">
        <v>54.35</v>
      </c>
      <c r="D42" t="s">
        <v>608</v>
      </c>
      <c r="E42" t="s">
        <v>608</v>
      </c>
      <c r="F42">
        <v>30.14</v>
      </c>
      <c r="G42">
        <v>21.18</v>
      </c>
      <c r="H42">
        <v>0</v>
      </c>
      <c r="I42">
        <v>0</v>
      </c>
      <c r="J42" t="s">
        <v>3082</v>
      </c>
      <c r="K42" s="17" t="s">
        <v>604</v>
      </c>
    </row>
    <row r="43" spans="1:11" x14ac:dyDescent="0.2">
      <c r="A43" t="s">
        <v>1611</v>
      </c>
      <c r="B43" t="s">
        <v>1089</v>
      </c>
      <c r="C43">
        <v>50.75</v>
      </c>
      <c r="D43" t="s">
        <v>608</v>
      </c>
      <c r="E43" t="s">
        <v>608</v>
      </c>
      <c r="F43">
        <v>22.23</v>
      </c>
      <c r="G43">
        <v>17.11</v>
      </c>
      <c r="H43">
        <v>0</v>
      </c>
      <c r="I43">
        <v>0</v>
      </c>
      <c r="J43" t="s">
        <v>3082</v>
      </c>
      <c r="K43" s="17" t="s">
        <v>604</v>
      </c>
    </row>
    <row r="44" spans="1:11" x14ac:dyDescent="0.2">
      <c r="A44" t="s">
        <v>1612</v>
      </c>
      <c r="B44" t="s">
        <v>1089</v>
      </c>
      <c r="C44">
        <v>55.12</v>
      </c>
      <c r="D44" t="s">
        <v>608</v>
      </c>
      <c r="E44" t="s">
        <v>608</v>
      </c>
      <c r="F44">
        <v>20.329999999999998</v>
      </c>
      <c r="G44">
        <v>15.39</v>
      </c>
      <c r="H44">
        <v>0</v>
      </c>
      <c r="I44">
        <v>0</v>
      </c>
      <c r="J44" t="s">
        <v>3082</v>
      </c>
      <c r="K44" s="17" t="s">
        <v>604</v>
      </c>
    </row>
    <row r="45" spans="1:11" x14ac:dyDescent="0.2">
      <c r="A45" t="s">
        <v>1613</v>
      </c>
      <c r="B45" t="s">
        <v>1089</v>
      </c>
      <c r="C45">
        <v>47.03</v>
      </c>
      <c r="D45" t="s">
        <v>608</v>
      </c>
      <c r="E45" t="s">
        <v>608</v>
      </c>
      <c r="F45">
        <v>31.28</v>
      </c>
      <c r="G45">
        <v>25.75</v>
      </c>
      <c r="H45">
        <v>0</v>
      </c>
      <c r="I45">
        <v>0</v>
      </c>
      <c r="J45" t="s">
        <v>3082</v>
      </c>
      <c r="K45" s="17" t="s">
        <v>604</v>
      </c>
    </row>
    <row r="46" spans="1:11" x14ac:dyDescent="0.2">
      <c r="A46" t="s">
        <v>1614</v>
      </c>
      <c r="B46" t="s">
        <v>1089</v>
      </c>
      <c r="C46">
        <v>48</v>
      </c>
      <c r="D46" t="s">
        <v>608</v>
      </c>
      <c r="E46" t="s">
        <v>608</v>
      </c>
      <c r="F46">
        <v>23.14</v>
      </c>
      <c r="G46">
        <v>17.29</v>
      </c>
      <c r="H46">
        <v>0.5</v>
      </c>
      <c r="I46">
        <v>0</v>
      </c>
      <c r="J46" t="s">
        <v>3082</v>
      </c>
      <c r="K46" s="17" t="s">
        <v>604</v>
      </c>
    </row>
    <row r="47" spans="1:11" x14ac:dyDescent="0.2">
      <c r="A47" t="s">
        <v>1615</v>
      </c>
      <c r="B47" t="s">
        <v>1091</v>
      </c>
      <c r="C47">
        <v>52.39</v>
      </c>
      <c r="D47" t="s">
        <v>608</v>
      </c>
      <c r="E47" t="s">
        <v>608</v>
      </c>
      <c r="F47">
        <v>19.32</v>
      </c>
      <c r="G47">
        <v>13.88</v>
      </c>
      <c r="H47">
        <v>0</v>
      </c>
      <c r="I47">
        <v>0</v>
      </c>
      <c r="J47" t="s">
        <v>3082</v>
      </c>
      <c r="K47" s="17" t="s">
        <v>604</v>
      </c>
    </row>
    <row r="48" spans="1:11" x14ac:dyDescent="0.2">
      <c r="A48" t="s">
        <v>1616</v>
      </c>
      <c r="B48" t="s">
        <v>1091</v>
      </c>
      <c r="C48">
        <v>49.07</v>
      </c>
      <c r="D48" t="s">
        <v>608</v>
      </c>
      <c r="E48" t="s">
        <v>608</v>
      </c>
      <c r="F48">
        <v>15.75</v>
      </c>
      <c r="G48">
        <v>11.58</v>
      </c>
      <c r="H48">
        <v>0</v>
      </c>
      <c r="I48">
        <v>0</v>
      </c>
      <c r="J48" t="s">
        <v>3082</v>
      </c>
      <c r="K48" s="17" t="s">
        <v>604</v>
      </c>
    </row>
    <row r="49" spans="1:11" x14ac:dyDescent="0.2">
      <c r="A49" t="s">
        <v>1617</v>
      </c>
      <c r="B49" t="s">
        <v>1091</v>
      </c>
      <c r="C49">
        <v>43.89</v>
      </c>
      <c r="D49" t="s">
        <v>608</v>
      </c>
      <c r="E49" t="s">
        <v>608</v>
      </c>
      <c r="F49">
        <v>22.18</v>
      </c>
      <c r="G49">
        <v>17.41</v>
      </c>
      <c r="H49">
        <v>0</v>
      </c>
      <c r="I49">
        <v>0</v>
      </c>
      <c r="J49" t="s">
        <v>3082</v>
      </c>
      <c r="K49" s="17" t="s">
        <v>604</v>
      </c>
    </row>
    <row r="50" spans="1:11" x14ac:dyDescent="0.2">
      <c r="A50" t="s">
        <v>1618</v>
      </c>
      <c r="B50" t="s">
        <v>1091</v>
      </c>
      <c r="C50">
        <v>50.86</v>
      </c>
      <c r="D50" t="s">
        <v>608</v>
      </c>
      <c r="E50" t="s">
        <v>608</v>
      </c>
      <c r="F50">
        <v>25.34</v>
      </c>
      <c r="G50">
        <v>18.61</v>
      </c>
      <c r="H50">
        <v>0</v>
      </c>
      <c r="I50">
        <v>0</v>
      </c>
      <c r="J50" t="s">
        <v>3082</v>
      </c>
      <c r="K50" s="17" t="s">
        <v>604</v>
      </c>
    </row>
    <row r="51" spans="1:11" x14ac:dyDescent="0.2">
      <c r="A51" t="s">
        <v>1619</v>
      </c>
      <c r="B51" t="s">
        <v>1091</v>
      </c>
      <c r="C51">
        <v>44.1</v>
      </c>
      <c r="D51" t="s">
        <v>608</v>
      </c>
      <c r="E51" t="s">
        <v>608</v>
      </c>
      <c r="F51">
        <v>22.53</v>
      </c>
      <c r="G51">
        <v>17.18</v>
      </c>
      <c r="H51">
        <v>0</v>
      </c>
      <c r="I51">
        <v>0</v>
      </c>
      <c r="J51" t="s">
        <v>3082</v>
      </c>
      <c r="K51" s="17" t="s">
        <v>604</v>
      </c>
    </row>
    <row r="52" spans="1:11" x14ac:dyDescent="0.2">
      <c r="A52" t="s">
        <v>1620</v>
      </c>
      <c r="B52" t="s">
        <v>1093</v>
      </c>
      <c r="C52">
        <v>70.66</v>
      </c>
      <c r="D52" t="s">
        <v>608</v>
      </c>
      <c r="E52" t="s">
        <v>608</v>
      </c>
      <c r="F52">
        <v>61.83</v>
      </c>
      <c r="G52">
        <v>45.41</v>
      </c>
      <c r="H52">
        <v>0</v>
      </c>
      <c r="I52">
        <v>0</v>
      </c>
      <c r="J52" t="s">
        <v>3082</v>
      </c>
      <c r="K52" s="17" t="s">
        <v>604</v>
      </c>
    </row>
    <row r="53" spans="1:11" x14ac:dyDescent="0.2">
      <c r="A53" t="s">
        <v>1621</v>
      </c>
      <c r="B53" t="s">
        <v>1093</v>
      </c>
      <c r="C53">
        <v>69.97</v>
      </c>
      <c r="D53" t="s">
        <v>608</v>
      </c>
      <c r="E53" t="s">
        <v>608</v>
      </c>
      <c r="F53">
        <v>41.24</v>
      </c>
      <c r="G53">
        <v>27.96</v>
      </c>
      <c r="H53">
        <v>0</v>
      </c>
      <c r="I53">
        <v>0</v>
      </c>
      <c r="J53" t="s">
        <v>3082</v>
      </c>
      <c r="K53" s="17" t="s">
        <v>604</v>
      </c>
    </row>
    <row r="54" spans="1:11" x14ac:dyDescent="0.2">
      <c r="A54" t="s">
        <v>1622</v>
      </c>
      <c r="B54" t="s">
        <v>1093</v>
      </c>
      <c r="C54">
        <v>55.4</v>
      </c>
      <c r="D54" t="s">
        <v>608</v>
      </c>
      <c r="E54" t="s">
        <v>608</v>
      </c>
      <c r="F54">
        <v>34.130000000000003</v>
      </c>
      <c r="G54">
        <v>26.38</v>
      </c>
      <c r="H54">
        <v>0</v>
      </c>
      <c r="I54">
        <v>0</v>
      </c>
      <c r="J54" t="s">
        <v>3082</v>
      </c>
      <c r="K54" s="17" t="s">
        <v>604</v>
      </c>
    </row>
    <row r="55" spans="1:11" x14ac:dyDescent="0.2">
      <c r="A55" t="s">
        <v>1623</v>
      </c>
      <c r="B55" t="s">
        <v>1093</v>
      </c>
      <c r="C55">
        <v>50.26</v>
      </c>
      <c r="D55" t="s">
        <v>608</v>
      </c>
      <c r="E55" t="s">
        <v>608</v>
      </c>
      <c r="F55">
        <v>25.53</v>
      </c>
      <c r="G55">
        <v>19.100000000000001</v>
      </c>
      <c r="H55">
        <v>0</v>
      </c>
      <c r="I55">
        <v>0</v>
      </c>
      <c r="J55" t="s">
        <v>3082</v>
      </c>
      <c r="K55" s="17" t="s">
        <v>604</v>
      </c>
    </row>
    <row r="56" spans="1:11" x14ac:dyDescent="0.2">
      <c r="A56" t="s">
        <v>1624</v>
      </c>
      <c r="B56" t="s">
        <v>1093</v>
      </c>
      <c r="C56">
        <v>54.5</v>
      </c>
      <c r="D56" t="s">
        <v>608</v>
      </c>
      <c r="E56" t="s">
        <v>608</v>
      </c>
      <c r="F56">
        <v>25.26</v>
      </c>
      <c r="G56">
        <v>17.600000000000001</v>
      </c>
      <c r="H56">
        <v>0</v>
      </c>
      <c r="I56">
        <v>0</v>
      </c>
      <c r="J56" t="s">
        <v>3082</v>
      </c>
      <c r="K56" s="17" t="s">
        <v>604</v>
      </c>
    </row>
    <row r="57" spans="1:11" x14ac:dyDescent="0.2">
      <c r="A57" t="s">
        <v>1625</v>
      </c>
      <c r="B57" t="s">
        <v>1095</v>
      </c>
      <c r="C57">
        <v>58.47</v>
      </c>
      <c r="D57" t="s">
        <v>608</v>
      </c>
      <c r="E57" t="s">
        <v>608</v>
      </c>
      <c r="F57">
        <v>28.19</v>
      </c>
      <c r="G57">
        <v>21.83</v>
      </c>
      <c r="H57">
        <v>0</v>
      </c>
      <c r="I57">
        <v>0</v>
      </c>
      <c r="J57" t="s">
        <v>3082</v>
      </c>
      <c r="K57" s="17" t="s">
        <v>604</v>
      </c>
    </row>
    <row r="58" spans="1:11" x14ac:dyDescent="0.2">
      <c r="A58" t="s">
        <v>1626</v>
      </c>
      <c r="B58" t="s">
        <v>1095</v>
      </c>
      <c r="C58">
        <v>54.88</v>
      </c>
      <c r="D58" t="s">
        <v>608</v>
      </c>
      <c r="E58" t="s">
        <v>608</v>
      </c>
      <c r="F58">
        <v>24.24</v>
      </c>
      <c r="G58">
        <v>17.28</v>
      </c>
      <c r="H58">
        <v>0</v>
      </c>
      <c r="I58">
        <v>0</v>
      </c>
      <c r="J58" t="s">
        <v>3082</v>
      </c>
      <c r="K58" s="17" t="s">
        <v>604</v>
      </c>
    </row>
    <row r="59" spans="1:11" x14ac:dyDescent="0.2">
      <c r="A59" t="s">
        <v>1627</v>
      </c>
      <c r="B59" t="s">
        <v>1095</v>
      </c>
      <c r="C59">
        <v>52.2</v>
      </c>
      <c r="D59" t="s">
        <v>608</v>
      </c>
      <c r="E59" t="s">
        <v>608</v>
      </c>
      <c r="F59">
        <v>32.08</v>
      </c>
      <c r="G59">
        <v>23.41</v>
      </c>
      <c r="H59">
        <v>0</v>
      </c>
      <c r="I59">
        <v>0</v>
      </c>
      <c r="J59" t="s">
        <v>3082</v>
      </c>
      <c r="K59" s="17" t="s">
        <v>604</v>
      </c>
    </row>
    <row r="60" spans="1:11" x14ac:dyDescent="0.2">
      <c r="A60" t="s">
        <v>1628</v>
      </c>
      <c r="B60" t="s">
        <v>1095</v>
      </c>
      <c r="C60">
        <v>40.03</v>
      </c>
      <c r="D60" t="s">
        <v>608</v>
      </c>
      <c r="E60" t="s">
        <v>608</v>
      </c>
      <c r="F60">
        <v>14.23</v>
      </c>
      <c r="G60">
        <v>10.43</v>
      </c>
      <c r="H60">
        <v>0</v>
      </c>
      <c r="I60">
        <v>0</v>
      </c>
      <c r="J60" t="s">
        <v>3082</v>
      </c>
      <c r="K60" s="17" t="s">
        <v>604</v>
      </c>
    </row>
    <row r="61" spans="1:11" x14ac:dyDescent="0.2">
      <c r="A61" t="s">
        <v>1629</v>
      </c>
      <c r="B61" t="s">
        <v>1095</v>
      </c>
      <c r="C61">
        <v>41.29</v>
      </c>
      <c r="D61" t="s">
        <v>608</v>
      </c>
      <c r="E61" t="s">
        <v>608</v>
      </c>
      <c r="F61">
        <v>13.88</v>
      </c>
      <c r="G61">
        <v>10.75</v>
      </c>
      <c r="H61">
        <v>0</v>
      </c>
      <c r="I61">
        <v>0</v>
      </c>
      <c r="J61" t="s">
        <v>3082</v>
      </c>
      <c r="K61" s="17" t="s">
        <v>604</v>
      </c>
    </row>
    <row r="62" spans="1:11" x14ac:dyDescent="0.2">
      <c r="A62" t="s">
        <v>1630</v>
      </c>
      <c r="B62" t="s">
        <v>1103</v>
      </c>
      <c r="C62">
        <v>55.62</v>
      </c>
      <c r="D62" t="s">
        <v>608</v>
      </c>
      <c r="E62" t="s">
        <v>608</v>
      </c>
      <c r="F62">
        <v>22.37</v>
      </c>
      <c r="G62">
        <v>16.239999999999998</v>
      </c>
      <c r="H62">
        <v>0.5</v>
      </c>
      <c r="I62">
        <v>0</v>
      </c>
      <c r="J62" t="s">
        <v>3082</v>
      </c>
      <c r="K62" s="17" t="s">
        <v>604</v>
      </c>
    </row>
    <row r="63" spans="1:11" x14ac:dyDescent="0.2">
      <c r="A63" t="s">
        <v>1631</v>
      </c>
      <c r="B63" t="s">
        <v>1103</v>
      </c>
      <c r="C63">
        <v>42.09</v>
      </c>
      <c r="D63" t="s">
        <v>608</v>
      </c>
      <c r="E63" t="s">
        <v>608</v>
      </c>
      <c r="F63">
        <v>18.350000000000001</v>
      </c>
      <c r="G63">
        <v>12.95</v>
      </c>
      <c r="H63">
        <v>0</v>
      </c>
      <c r="I63">
        <v>0</v>
      </c>
      <c r="J63" t="s">
        <v>3082</v>
      </c>
      <c r="K63" s="17" t="s">
        <v>604</v>
      </c>
    </row>
    <row r="64" spans="1:11" x14ac:dyDescent="0.2">
      <c r="A64" t="s">
        <v>1632</v>
      </c>
      <c r="B64" t="s">
        <v>1103</v>
      </c>
      <c r="C64">
        <v>52.68</v>
      </c>
      <c r="D64" t="s">
        <v>608</v>
      </c>
      <c r="E64" t="s">
        <v>608</v>
      </c>
      <c r="F64">
        <v>26.16</v>
      </c>
      <c r="G64">
        <v>19.52</v>
      </c>
      <c r="H64">
        <v>0</v>
      </c>
      <c r="I64">
        <v>0</v>
      </c>
      <c r="J64" t="s">
        <v>3082</v>
      </c>
      <c r="K64" s="17" t="s">
        <v>604</v>
      </c>
    </row>
    <row r="65" spans="1:11" x14ac:dyDescent="0.2">
      <c r="A65" t="s">
        <v>1633</v>
      </c>
      <c r="B65" t="s">
        <v>1103</v>
      </c>
      <c r="C65">
        <v>58.27</v>
      </c>
      <c r="D65" t="s">
        <v>608</v>
      </c>
      <c r="E65" t="s">
        <v>608</v>
      </c>
      <c r="F65">
        <v>18.71</v>
      </c>
      <c r="G65">
        <v>12.46</v>
      </c>
      <c r="H65">
        <v>0</v>
      </c>
      <c r="I65">
        <v>0</v>
      </c>
      <c r="J65" t="s">
        <v>3082</v>
      </c>
      <c r="K65" s="17" t="s">
        <v>604</v>
      </c>
    </row>
    <row r="66" spans="1:11" x14ac:dyDescent="0.2">
      <c r="A66" t="s">
        <v>1634</v>
      </c>
      <c r="B66" t="s">
        <v>1103</v>
      </c>
      <c r="C66">
        <v>59.39</v>
      </c>
      <c r="D66" t="s">
        <v>608</v>
      </c>
      <c r="E66" t="s">
        <v>608</v>
      </c>
      <c r="F66">
        <v>42.46</v>
      </c>
      <c r="G66">
        <v>29.68</v>
      </c>
      <c r="H66">
        <v>0</v>
      </c>
      <c r="I66">
        <v>0.5</v>
      </c>
      <c r="J66" t="s">
        <v>3082</v>
      </c>
      <c r="K66" s="17" t="s">
        <v>604</v>
      </c>
    </row>
    <row r="67" spans="1:11" x14ac:dyDescent="0.2">
      <c r="A67" t="s">
        <v>1635</v>
      </c>
      <c r="B67" t="s">
        <v>1105</v>
      </c>
      <c r="C67">
        <v>51.04</v>
      </c>
      <c r="D67" t="s">
        <v>608</v>
      </c>
      <c r="E67" t="s">
        <v>608</v>
      </c>
      <c r="F67">
        <v>31.48</v>
      </c>
      <c r="G67">
        <v>21.33</v>
      </c>
      <c r="H67">
        <v>0</v>
      </c>
      <c r="I67">
        <v>0</v>
      </c>
      <c r="J67" t="s">
        <v>3082</v>
      </c>
      <c r="K67" s="17" t="s">
        <v>604</v>
      </c>
    </row>
    <row r="68" spans="1:11" x14ac:dyDescent="0.2">
      <c r="A68" t="s">
        <v>1636</v>
      </c>
      <c r="B68" t="s">
        <v>1105</v>
      </c>
      <c r="C68">
        <v>48.8</v>
      </c>
      <c r="D68" t="s">
        <v>608</v>
      </c>
      <c r="E68" t="s">
        <v>608</v>
      </c>
      <c r="F68">
        <v>23.87</v>
      </c>
      <c r="G68">
        <v>17.29</v>
      </c>
      <c r="H68">
        <v>0.5</v>
      </c>
      <c r="I68">
        <v>0</v>
      </c>
      <c r="J68" t="s">
        <v>3082</v>
      </c>
      <c r="K68" s="17" t="s">
        <v>604</v>
      </c>
    </row>
    <row r="69" spans="1:11" x14ac:dyDescent="0.2">
      <c r="A69" t="s">
        <v>1637</v>
      </c>
      <c r="B69" t="s">
        <v>1105</v>
      </c>
      <c r="C69">
        <v>51.23</v>
      </c>
      <c r="D69" t="s">
        <v>608</v>
      </c>
      <c r="E69" t="s">
        <v>608</v>
      </c>
      <c r="F69">
        <v>23.95</v>
      </c>
      <c r="G69">
        <v>17.07</v>
      </c>
      <c r="H69">
        <v>0</v>
      </c>
      <c r="I69">
        <v>0</v>
      </c>
      <c r="J69" t="s">
        <v>3082</v>
      </c>
      <c r="K69" s="17" t="s">
        <v>604</v>
      </c>
    </row>
    <row r="70" spans="1:11" x14ac:dyDescent="0.2">
      <c r="A70" t="s">
        <v>1638</v>
      </c>
      <c r="B70" t="s">
        <v>1105</v>
      </c>
      <c r="C70">
        <v>58.33</v>
      </c>
      <c r="D70" t="s">
        <v>608</v>
      </c>
      <c r="E70" t="s">
        <v>608</v>
      </c>
      <c r="F70">
        <v>35.29</v>
      </c>
      <c r="G70">
        <v>25.91</v>
      </c>
      <c r="H70">
        <v>0</v>
      </c>
      <c r="I70">
        <v>0</v>
      </c>
      <c r="J70" t="s">
        <v>3082</v>
      </c>
      <c r="K70" s="17" t="s">
        <v>604</v>
      </c>
    </row>
    <row r="71" spans="1:11" x14ac:dyDescent="0.2">
      <c r="A71" t="s">
        <v>1639</v>
      </c>
      <c r="B71" t="s">
        <v>1105</v>
      </c>
      <c r="C71">
        <v>68.27</v>
      </c>
      <c r="D71" t="s">
        <v>608</v>
      </c>
      <c r="E71" t="s">
        <v>608</v>
      </c>
      <c r="F71">
        <v>80.099999999999994</v>
      </c>
      <c r="G71">
        <v>58.02</v>
      </c>
      <c r="H71">
        <v>0</v>
      </c>
      <c r="I71">
        <v>0</v>
      </c>
      <c r="J71" t="s">
        <v>3082</v>
      </c>
      <c r="K71" s="17" t="s">
        <v>604</v>
      </c>
    </row>
    <row r="72" spans="1:11" x14ac:dyDescent="0.2">
      <c r="A72" t="s">
        <v>1640</v>
      </c>
      <c r="B72" t="s">
        <v>1107</v>
      </c>
      <c r="C72">
        <v>48.31</v>
      </c>
      <c r="D72" t="s">
        <v>608</v>
      </c>
      <c r="E72" t="s">
        <v>608</v>
      </c>
      <c r="F72">
        <v>18.55</v>
      </c>
      <c r="G72">
        <v>13.75</v>
      </c>
      <c r="H72">
        <v>0</v>
      </c>
      <c r="I72">
        <v>0</v>
      </c>
      <c r="J72" t="s">
        <v>3082</v>
      </c>
      <c r="K72" s="17" t="s">
        <v>604</v>
      </c>
    </row>
    <row r="73" spans="1:11" x14ac:dyDescent="0.2">
      <c r="A73" t="s">
        <v>1641</v>
      </c>
      <c r="B73" t="s">
        <v>1107</v>
      </c>
      <c r="C73">
        <v>50.64</v>
      </c>
      <c r="D73" t="s">
        <v>608</v>
      </c>
      <c r="E73" t="s">
        <v>608</v>
      </c>
      <c r="F73">
        <v>33.69</v>
      </c>
      <c r="G73">
        <v>22.31</v>
      </c>
      <c r="H73">
        <v>0</v>
      </c>
      <c r="I73">
        <v>0</v>
      </c>
      <c r="J73" t="s">
        <v>3082</v>
      </c>
      <c r="K73" s="17" t="s">
        <v>604</v>
      </c>
    </row>
    <row r="74" spans="1:11" x14ac:dyDescent="0.2">
      <c r="A74" t="s">
        <v>1642</v>
      </c>
      <c r="B74" t="s">
        <v>1107</v>
      </c>
      <c r="C74">
        <v>46.74</v>
      </c>
      <c r="D74" t="s">
        <v>608</v>
      </c>
      <c r="E74" t="s">
        <v>608</v>
      </c>
      <c r="F74">
        <v>17.73</v>
      </c>
      <c r="G74">
        <v>13.69</v>
      </c>
      <c r="H74">
        <v>0</v>
      </c>
      <c r="I74">
        <v>0</v>
      </c>
      <c r="J74" t="s">
        <v>3082</v>
      </c>
      <c r="K74" s="17" t="s">
        <v>604</v>
      </c>
    </row>
    <row r="75" spans="1:11" x14ac:dyDescent="0.2">
      <c r="A75" t="s">
        <v>1643</v>
      </c>
      <c r="B75" t="s">
        <v>1107</v>
      </c>
      <c r="C75">
        <v>35.36</v>
      </c>
      <c r="D75" t="s">
        <v>608</v>
      </c>
      <c r="E75" t="s">
        <v>608</v>
      </c>
      <c r="F75">
        <v>13.14</v>
      </c>
      <c r="G75">
        <v>8.84</v>
      </c>
      <c r="H75">
        <v>0</v>
      </c>
      <c r="I75">
        <v>0</v>
      </c>
      <c r="J75" t="s">
        <v>3082</v>
      </c>
      <c r="K75" s="17" t="s">
        <v>604</v>
      </c>
    </row>
    <row r="76" spans="1:11" x14ac:dyDescent="0.2">
      <c r="A76" t="s">
        <v>1644</v>
      </c>
      <c r="B76" t="s">
        <v>1107</v>
      </c>
      <c r="C76">
        <v>40.57</v>
      </c>
      <c r="D76" t="s">
        <v>608</v>
      </c>
      <c r="E76" t="s">
        <v>608</v>
      </c>
      <c r="F76">
        <v>18.38</v>
      </c>
      <c r="G76">
        <v>13.55</v>
      </c>
      <c r="H76">
        <v>0</v>
      </c>
      <c r="I76">
        <v>0</v>
      </c>
      <c r="J76" t="s">
        <v>3082</v>
      </c>
      <c r="K76" s="17" t="s">
        <v>604</v>
      </c>
    </row>
    <row r="77" spans="1:11" x14ac:dyDescent="0.2">
      <c r="A77" t="s">
        <v>1645</v>
      </c>
      <c r="B77" t="s">
        <v>1115</v>
      </c>
      <c r="C77">
        <v>50.89</v>
      </c>
      <c r="D77" t="s">
        <v>608</v>
      </c>
      <c r="E77" t="s">
        <v>608</v>
      </c>
      <c r="F77">
        <v>32.380000000000003</v>
      </c>
      <c r="G77">
        <v>22.49</v>
      </c>
      <c r="H77">
        <v>0</v>
      </c>
      <c r="I77">
        <v>0</v>
      </c>
      <c r="J77" t="s">
        <v>3082</v>
      </c>
      <c r="K77" s="17" t="s">
        <v>604</v>
      </c>
    </row>
    <row r="78" spans="1:11" x14ac:dyDescent="0.2">
      <c r="A78" t="s">
        <v>1646</v>
      </c>
      <c r="B78" t="s">
        <v>1115</v>
      </c>
      <c r="C78">
        <v>42.74</v>
      </c>
      <c r="D78" t="s">
        <v>608</v>
      </c>
      <c r="E78" t="s">
        <v>608</v>
      </c>
      <c r="F78">
        <v>11.11</v>
      </c>
      <c r="G78">
        <v>7.93</v>
      </c>
      <c r="H78">
        <v>0</v>
      </c>
      <c r="I78">
        <v>0</v>
      </c>
      <c r="J78" t="s">
        <v>3082</v>
      </c>
      <c r="K78" s="17" t="s">
        <v>604</v>
      </c>
    </row>
    <row r="79" spans="1:11" x14ac:dyDescent="0.2">
      <c r="A79" t="s">
        <v>1647</v>
      </c>
      <c r="B79" t="s">
        <v>1115</v>
      </c>
      <c r="C79">
        <v>49.12</v>
      </c>
      <c r="D79" t="s">
        <v>608</v>
      </c>
      <c r="E79" t="s">
        <v>608</v>
      </c>
      <c r="F79">
        <v>29.15</v>
      </c>
      <c r="G79">
        <v>21.31</v>
      </c>
      <c r="H79">
        <v>0</v>
      </c>
      <c r="I79">
        <v>0</v>
      </c>
      <c r="J79" t="s">
        <v>3082</v>
      </c>
      <c r="K79" s="17" t="s">
        <v>604</v>
      </c>
    </row>
    <row r="80" spans="1:11" x14ac:dyDescent="0.2">
      <c r="A80" t="s">
        <v>1648</v>
      </c>
      <c r="B80" t="s">
        <v>1115</v>
      </c>
      <c r="C80">
        <v>50.57</v>
      </c>
      <c r="D80" t="s">
        <v>608</v>
      </c>
      <c r="E80" t="s">
        <v>608</v>
      </c>
      <c r="F80">
        <v>16.239999999999998</v>
      </c>
      <c r="G80">
        <v>13.89</v>
      </c>
      <c r="H80">
        <v>0</v>
      </c>
      <c r="I80">
        <v>0</v>
      </c>
      <c r="J80" t="s">
        <v>3082</v>
      </c>
      <c r="K80" s="17" t="s">
        <v>604</v>
      </c>
    </row>
    <row r="81" spans="1:11" x14ac:dyDescent="0.2">
      <c r="A81" t="s">
        <v>1649</v>
      </c>
      <c r="B81" t="s">
        <v>1115</v>
      </c>
      <c r="C81">
        <v>41.1</v>
      </c>
      <c r="D81" t="s">
        <v>608</v>
      </c>
      <c r="E81" t="s">
        <v>608</v>
      </c>
      <c r="F81">
        <v>18.37</v>
      </c>
      <c r="G81">
        <v>13.18</v>
      </c>
      <c r="H81">
        <v>0</v>
      </c>
      <c r="I81">
        <v>0</v>
      </c>
      <c r="J81" t="s">
        <v>3082</v>
      </c>
      <c r="K81" s="17" t="s">
        <v>604</v>
      </c>
    </row>
    <row r="82" spans="1:11" x14ac:dyDescent="0.2">
      <c r="A82" t="s">
        <v>1650</v>
      </c>
      <c r="B82" t="s">
        <v>1117</v>
      </c>
      <c r="C82">
        <v>59.8</v>
      </c>
      <c r="D82" t="s">
        <v>608</v>
      </c>
      <c r="E82" t="s">
        <v>608</v>
      </c>
      <c r="F82">
        <v>41.19</v>
      </c>
      <c r="G82">
        <v>30.02</v>
      </c>
      <c r="H82">
        <v>0</v>
      </c>
      <c r="I82">
        <v>0</v>
      </c>
      <c r="J82" t="s">
        <v>3082</v>
      </c>
      <c r="K82" s="17" t="s">
        <v>604</v>
      </c>
    </row>
    <row r="83" spans="1:11" x14ac:dyDescent="0.2">
      <c r="A83" t="s">
        <v>1651</v>
      </c>
      <c r="B83" t="s">
        <v>1117</v>
      </c>
      <c r="C83">
        <v>55.53</v>
      </c>
      <c r="D83" t="s">
        <v>608</v>
      </c>
      <c r="E83" t="s">
        <v>608</v>
      </c>
      <c r="F83">
        <v>40.659999999999997</v>
      </c>
      <c r="G83">
        <v>29.84</v>
      </c>
      <c r="H83">
        <v>0</v>
      </c>
      <c r="I83">
        <v>0.5</v>
      </c>
      <c r="J83" t="s">
        <v>3082</v>
      </c>
      <c r="K83" s="17" t="s">
        <v>604</v>
      </c>
    </row>
    <row r="84" spans="1:11" x14ac:dyDescent="0.2">
      <c r="A84" t="s">
        <v>1652</v>
      </c>
      <c r="B84" t="s">
        <v>1117</v>
      </c>
      <c r="C84">
        <v>44.1</v>
      </c>
      <c r="D84" t="s">
        <v>608</v>
      </c>
      <c r="E84" t="s">
        <v>608</v>
      </c>
      <c r="F84">
        <v>36.51</v>
      </c>
      <c r="G84">
        <v>27.18</v>
      </c>
      <c r="H84">
        <v>0</v>
      </c>
      <c r="I84">
        <v>0</v>
      </c>
      <c r="J84" t="s">
        <v>3082</v>
      </c>
      <c r="K84" s="17" t="s">
        <v>604</v>
      </c>
    </row>
    <row r="85" spans="1:11" x14ac:dyDescent="0.2">
      <c r="A85" t="s">
        <v>1653</v>
      </c>
      <c r="B85" t="s">
        <v>1117</v>
      </c>
      <c r="C85">
        <v>43.19</v>
      </c>
      <c r="D85" t="s">
        <v>608</v>
      </c>
      <c r="E85" t="s">
        <v>608</v>
      </c>
      <c r="F85">
        <v>20.399999999999999</v>
      </c>
      <c r="G85">
        <v>14.6</v>
      </c>
      <c r="H85">
        <v>0</v>
      </c>
      <c r="I85">
        <v>0</v>
      </c>
      <c r="J85" t="s">
        <v>3082</v>
      </c>
      <c r="K85" s="17" t="s">
        <v>604</v>
      </c>
    </row>
    <row r="86" spans="1:11" x14ac:dyDescent="0.2">
      <c r="A86" t="s">
        <v>1654</v>
      </c>
      <c r="B86" t="s">
        <v>1117</v>
      </c>
      <c r="C86">
        <v>49.89</v>
      </c>
      <c r="D86" t="s">
        <v>608</v>
      </c>
      <c r="E86" t="s">
        <v>608</v>
      </c>
      <c r="F86">
        <v>24.02</v>
      </c>
      <c r="G86">
        <v>16.36</v>
      </c>
      <c r="H86">
        <v>0</v>
      </c>
      <c r="I86">
        <v>0</v>
      </c>
      <c r="J86" t="s">
        <v>3082</v>
      </c>
      <c r="K86" s="17" t="s">
        <v>604</v>
      </c>
    </row>
    <row r="87" spans="1:11" x14ac:dyDescent="0.2">
      <c r="A87" t="s">
        <v>1655</v>
      </c>
      <c r="B87" t="s">
        <v>1119</v>
      </c>
      <c r="C87">
        <v>39.9</v>
      </c>
      <c r="D87" t="s">
        <v>608</v>
      </c>
      <c r="E87" t="s">
        <v>608</v>
      </c>
      <c r="F87">
        <v>10.52</v>
      </c>
      <c r="G87">
        <v>8</v>
      </c>
      <c r="H87">
        <v>0</v>
      </c>
      <c r="I87">
        <v>0</v>
      </c>
      <c r="J87" t="s">
        <v>3082</v>
      </c>
      <c r="K87" s="17" t="s">
        <v>604</v>
      </c>
    </row>
    <row r="88" spans="1:11" x14ac:dyDescent="0.2">
      <c r="A88" t="s">
        <v>1656</v>
      </c>
      <c r="B88" t="s">
        <v>1119</v>
      </c>
      <c r="C88">
        <v>49.25</v>
      </c>
      <c r="D88" t="s">
        <v>608</v>
      </c>
      <c r="E88" t="s">
        <v>608</v>
      </c>
      <c r="F88">
        <v>28.64</v>
      </c>
      <c r="G88">
        <v>20.2</v>
      </c>
      <c r="H88">
        <v>0</v>
      </c>
      <c r="I88">
        <v>0</v>
      </c>
      <c r="J88" t="s">
        <v>3082</v>
      </c>
      <c r="K88" s="17" t="s">
        <v>604</v>
      </c>
    </row>
    <row r="89" spans="1:11" x14ac:dyDescent="0.2">
      <c r="A89" t="s">
        <v>1657</v>
      </c>
      <c r="B89" t="s">
        <v>1119</v>
      </c>
      <c r="C89">
        <v>49.74</v>
      </c>
      <c r="D89" t="s">
        <v>608</v>
      </c>
      <c r="E89" t="s">
        <v>608</v>
      </c>
      <c r="F89">
        <v>16.739999999999998</v>
      </c>
      <c r="G89">
        <v>12.5</v>
      </c>
      <c r="H89">
        <v>0</v>
      </c>
      <c r="I89">
        <v>0</v>
      </c>
      <c r="J89" t="s">
        <v>3082</v>
      </c>
      <c r="K89" s="17" t="s">
        <v>604</v>
      </c>
    </row>
    <row r="90" spans="1:11" x14ac:dyDescent="0.2">
      <c r="A90" t="s">
        <v>1658</v>
      </c>
      <c r="B90" t="s">
        <v>1119</v>
      </c>
      <c r="C90">
        <v>48.12</v>
      </c>
      <c r="D90" t="s">
        <v>608</v>
      </c>
      <c r="E90" t="s">
        <v>608</v>
      </c>
      <c r="F90">
        <v>17.5</v>
      </c>
      <c r="G90">
        <v>14.24</v>
      </c>
      <c r="H90">
        <v>0</v>
      </c>
      <c r="I90">
        <v>0</v>
      </c>
      <c r="J90" t="s">
        <v>3082</v>
      </c>
      <c r="K90" s="17" t="s">
        <v>604</v>
      </c>
    </row>
    <row r="91" spans="1:11" x14ac:dyDescent="0.2">
      <c r="A91" t="s">
        <v>1659</v>
      </c>
      <c r="B91" t="s">
        <v>1119</v>
      </c>
      <c r="C91">
        <v>52.59</v>
      </c>
      <c r="D91" t="s">
        <v>608</v>
      </c>
      <c r="E91" t="s">
        <v>608</v>
      </c>
      <c r="F91">
        <v>15.56</v>
      </c>
      <c r="G91">
        <v>11.9</v>
      </c>
      <c r="H91">
        <v>0</v>
      </c>
      <c r="I91">
        <v>0</v>
      </c>
      <c r="J91" t="s">
        <v>3082</v>
      </c>
      <c r="K91" s="17" t="s">
        <v>604</v>
      </c>
    </row>
    <row r="92" spans="1:11" x14ac:dyDescent="0.2">
      <c r="A92" t="s">
        <v>1660</v>
      </c>
      <c r="B92" t="s">
        <v>1133</v>
      </c>
      <c r="C92">
        <v>51.66</v>
      </c>
      <c r="D92" t="s">
        <v>608</v>
      </c>
      <c r="E92" t="s">
        <v>608</v>
      </c>
      <c r="F92">
        <v>19.600000000000001</v>
      </c>
      <c r="G92">
        <v>13.84</v>
      </c>
      <c r="H92">
        <v>0.5</v>
      </c>
      <c r="I92">
        <v>0</v>
      </c>
      <c r="J92" t="s">
        <v>3082</v>
      </c>
      <c r="K92" s="17" t="s">
        <v>604</v>
      </c>
    </row>
    <row r="93" spans="1:11" x14ac:dyDescent="0.2">
      <c r="A93" t="s">
        <v>1661</v>
      </c>
      <c r="B93" t="s">
        <v>1133</v>
      </c>
      <c r="C93">
        <v>44.82</v>
      </c>
      <c r="D93" t="s">
        <v>608</v>
      </c>
      <c r="E93" t="s">
        <v>608</v>
      </c>
      <c r="F93">
        <v>22.41</v>
      </c>
      <c r="G93">
        <v>16.329999999999998</v>
      </c>
      <c r="H93">
        <v>0</v>
      </c>
      <c r="I93">
        <v>0</v>
      </c>
      <c r="J93" t="s">
        <v>3082</v>
      </c>
      <c r="K93" s="17" t="s">
        <v>604</v>
      </c>
    </row>
    <row r="94" spans="1:11" x14ac:dyDescent="0.2">
      <c r="A94" t="s">
        <v>1662</v>
      </c>
      <c r="B94" t="s">
        <v>1133</v>
      </c>
      <c r="C94">
        <v>47.28</v>
      </c>
      <c r="D94" t="s">
        <v>608</v>
      </c>
      <c r="E94" t="s">
        <v>608</v>
      </c>
      <c r="F94">
        <v>26.05</v>
      </c>
      <c r="G94">
        <v>19.7</v>
      </c>
      <c r="H94">
        <v>0</v>
      </c>
      <c r="I94">
        <v>0</v>
      </c>
      <c r="J94" t="s">
        <v>3082</v>
      </c>
      <c r="K94" s="17" t="s">
        <v>604</v>
      </c>
    </row>
    <row r="95" spans="1:11" x14ac:dyDescent="0.2">
      <c r="A95" t="s">
        <v>1663</v>
      </c>
      <c r="B95" t="s">
        <v>1133</v>
      </c>
      <c r="C95">
        <v>44.69</v>
      </c>
      <c r="D95" t="s">
        <v>608</v>
      </c>
      <c r="E95" t="s">
        <v>608</v>
      </c>
      <c r="F95">
        <v>16.440000000000001</v>
      </c>
      <c r="G95">
        <v>11.43</v>
      </c>
      <c r="H95">
        <v>0</v>
      </c>
      <c r="I95">
        <v>0</v>
      </c>
      <c r="J95" t="s">
        <v>3082</v>
      </c>
      <c r="K95" s="17" t="s">
        <v>604</v>
      </c>
    </row>
    <row r="96" spans="1:11" x14ac:dyDescent="0.2">
      <c r="A96" t="s">
        <v>1664</v>
      </c>
      <c r="B96" t="s">
        <v>1133</v>
      </c>
      <c r="C96">
        <v>37.24</v>
      </c>
      <c r="D96" t="s">
        <v>608</v>
      </c>
      <c r="E96" t="s">
        <v>608</v>
      </c>
      <c r="F96">
        <v>18.170000000000002</v>
      </c>
      <c r="G96">
        <v>11.99</v>
      </c>
      <c r="H96">
        <v>0</v>
      </c>
      <c r="I96">
        <v>0</v>
      </c>
      <c r="J96" t="s">
        <v>3082</v>
      </c>
      <c r="K96" s="17" t="s">
        <v>604</v>
      </c>
    </row>
    <row r="97" spans="1:11" x14ac:dyDescent="0.2">
      <c r="A97" t="s">
        <v>1665</v>
      </c>
      <c r="B97" t="s">
        <v>1135</v>
      </c>
      <c r="C97">
        <v>57.53</v>
      </c>
      <c r="D97" t="s">
        <v>608</v>
      </c>
      <c r="E97" t="s">
        <v>608</v>
      </c>
      <c r="F97">
        <v>54.49</v>
      </c>
      <c r="G97">
        <v>38.729999999999997</v>
      </c>
      <c r="H97">
        <v>0</v>
      </c>
      <c r="I97">
        <v>0</v>
      </c>
      <c r="J97" t="s">
        <v>3082</v>
      </c>
      <c r="K97" s="17" t="s">
        <v>604</v>
      </c>
    </row>
    <row r="98" spans="1:11" x14ac:dyDescent="0.2">
      <c r="A98" t="s">
        <v>1666</v>
      </c>
      <c r="B98" t="s">
        <v>1135</v>
      </c>
      <c r="C98">
        <v>45.54</v>
      </c>
      <c r="D98" t="s">
        <v>608</v>
      </c>
      <c r="E98" t="s">
        <v>608</v>
      </c>
      <c r="F98">
        <v>19.11</v>
      </c>
      <c r="G98">
        <v>12.71</v>
      </c>
      <c r="H98">
        <v>0</v>
      </c>
      <c r="I98">
        <v>0</v>
      </c>
      <c r="J98" t="s">
        <v>3082</v>
      </c>
      <c r="K98" s="17" t="s">
        <v>604</v>
      </c>
    </row>
    <row r="99" spans="1:11" x14ac:dyDescent="0.2">
      <c r="A99" t="s">
        <v>1667</v>
      </c>
      <c r="B99" t="s">
        <v>1135</v>
      </c>
      <c r="C99">
        <v>34.61</v>
      </c>
      <c r="D99" t="s">
        <v>608</v>
      </c>
      <c r="E99" t="s">
        <v>608</v>
      </c>
      <c r="F99">
        <v>9.51</v>
      </c>
      <c r="G99">
        <v>6.58</v>
      </c>
      <c r="H99">
        <v>0</v>
      </c>
      <c r="I99">
        <v>0</v>
      </c>
      <c r="J99" t="s">
        <v>3082</v>
      </c>
      <c r="K99" s="17" t="s">
        <v>604</v>
      </c>
    </row>
    <row r="100" spans="1:11" x14ac:dyDescent="0.2">
      <c r="A100" t="s">
        <v>1668</v>
      </c>
      <c r="B100" t="s">
        <v>1135</v>
      </c>
      <c r="C100">
        <v>37.22</v>
      </c>
      <c r="D100" t="s">
        <v>608</v>
      </c>
      <c r="E100" t="s">
        <v>608</v>
      </c>
      <c r="F100">
        <v>14.36</v>
      </c>
      <c r="G100">
        <v>10.56</v>
      </c>
      <c r="H100">
        <v>0</v>
      </c>
      <c r="I100">
        <v>0</v>
      </c>
      <c r="J100" t="s">
        <v>3082</v>
      </c>
      <c r="K100" s="17" t="s">
        <v>604</v>
      </c>
    </row>
    <row r="101" spans="1:11" x14ac:dyDescent="0.2">
      <c r="A101" t="s">
        <v>1669</v>
      </c>
      <c r="B101" t="s">
        <v>1135</v>
      </c>
      <c r="C101">
        <v>42.19</v>
      </c>
      <c r="D101" t="s">
        <v>608</v>
      </c>
      <c r="E101" t="s">
        <v>608</v>
      </c>
      <c r="F101">
        <v>18.03</v>
      </c>
      <c r="G101">
        <v>14.45</v>
      </c>
      <c r="H101">
        <v>0</v>
      </c>
      <c r="I101">
        <v>0</v>
      </c>
      <c r="J101" t="s">
        <v>3082</v>
      </c>
      <c r="K101" s="17" t="s">
        <v>604</v>
      </c>
    </row>
    <row r="102" spans="1:11" x14ac:dyDescent="0.2">
      <c r="A102" t="s">
        <v>1670</v>
      </c>
      <c r="B102" t="s">
        <v>1137</v>
      </c>
      <c r="C102">
        <v>40.39</v>
      </c>
      <c r="D102" t="s">
        <v>608</v>
      </c>
      <c r="E102" t="s">
        <v>608</v>
      </c>
      <c r="F102">
        <v>24.87</v>
      </c>
      <c r="G102">
        <v>17.47</v>
      </c>
      <c r="H102">
        <v>0.5</v>
      </c>
      <c r="I102">
        <v>0</v>
      </c>
      <c r="J102" t="s">
        <v>3082</v>
      </c>
      <c r="K102" s="17" t="s">
        <v>604</v>
      </c>
    </row>
    <row r="103" spans="1:11" x14ac:dyDescent="0.2">
      <c r="A103" t="s">
        <v>1671</v>
      </c>
      <c r="B103" t="s">
        <v>1137</v>
      </c>
      <c r="C103">
        <v>42.3</v>
      </c>
      <c r="D103" t="s">
        <v>608</v>
      </c>
      <c r="E103" t="s">
        <v>608</v>
      </c>
      <c r="F103">
        <v>18.809999999999999</v>
      </c>
      <c r="G103">
        <v>13.59</v>
      </c>
      <c r="H103">
        <v>0</v>
      </c>
      <c r="I103">
        <v>0</v>
      </c>
      <c r="J103" t="s">
        <v>3082</v>
      </c>
      <c r="K103" s="17" t="s">
        <v>604</v>
      </c>
    </row>
    <row r="104" spans="1:11" x14ac:dyDescent="0.2">
      <c r="A104" t="s">
        <v>1672</v>
      </c>
      <c r="B104" t="s">
        <v>1137</v>
      </c>
      <c r="C104">
        <v>59.4</v>
      </c>
      <c r="D104" t="s">
        <v>608</v>
      </c>
      <c r="E104" t="s">
        <v>608</v>
      </c>
      <c r="F104">
        <v>26.67</v>
      </c>
      <c r="G104">
        <v>17.510000000000002</v>
      </c>
      <c r="H104">
        <v>0</v>
      </c>
      <c r="I104">
        <v>0</v>
      </c>
      <c r="J104" t="s">
        <v>3082</v>
      </c>
      <c r="K104" s="17" t="s">
        <v>604</v>
      </c>
    </row>
    <row r="105" spans="1:11" x14ac:dyDescent="0.2">
      <c r="A105" t="s">
        <v>1673</v>
      </c>
      <c r="B105" t="s">
        <v>1137</v>
      </c>
      <c r="C105">
        <v>74.87</v>
      </c>
      <c r="D105" t="s">
        <v>608</v>
      </c>
      <c r="E105" t="s">
        <v>608</v>
      </c>
      <c r="F105">
        <v>31.63</v>
      </c>
      <c r="G105">
        <v>22.33</v>
      </c>
      <c r="H105">
        <v>0</v>
      </c>
      <c r="I105">
        <v>0</v>
      </c>
      <c r="J105" t="s">
        <v>3082</v>
      </c>
      <c r="K105" s="17" t="s">
        <v>604</v>
      </c>
    </row>
    <row r="106" spans="1:11" x14ac:dyDescent="0.2">
      <c r="A106" t="s">
        <v>1674</v>
      </c>
      <c r="B106" t="s">
        <v>1137</v>
      </c>
      <c r="C106">
        <v>58.5</v>
      </c>
      <c r="D106" t="s">
        <v>608</v>
      </c>
      <c r="E106" t="s">
        <v>608</v>
      </c>
      <c r="F106">
        <v>20.88</v>
      </c>
      <c r="G106">
        <v>14.32</v>
      </c>
      <c r="H106">
        <v>0</v>
      </c>
      <c r="I106">
        <v>0</v>
      </c>
      <c r="J106" t="s">
        <v>3082</v>
      </c>
      <c r="K106" s="17" t="s">
        <v>604</v>
      </c>
    </row>
    <row r="107" spans="1:11" x14ac:dyDescent="0.2">
      <c r="A107" t="s">
        <v>1675</v>
      </c>
      <c r="B107" t="s">
        <v>1139</v>
      </c>
      <c r="C107">
        <v>64.53</v>
      </c>
      <c r="D107" t="s">
        <v>608</v>
      </c>
      <c r="E107" t="s">
        <v>608</v>
      </c>
      <c r="F107">
        <v>43.97</v>
      </c>
      <c r="G107">
        <v>31.76</v>
      </c>
      <c r="H107">
        <v>0</v>
      </c>
      <c r="I107">
        <v>0</v>
      </c>
      <c r="J107" t="s">
        <v>3082</v>
      </c>
      <c r="K107" s="17" t="s">
        <v>604</v>
      </c>
    </row>
    <row r="108" spans="1:11" x14ac:dyDescent="0.2">
      <c r="A108" t="s">
        <v>1676</v>
      </c>
      <c r="B108" t="s">
        <v>1139</v>
      </c>
      <c r="C108">
        <v>73.17</v>
      </c>
      <c r="D108" t="s">
        <v>608</v>
      </c>
      <c r="E108" t="s">
        <v>608</v>
      </c>
      <c r="F108">
        <v>40.96</v>
      </c>
      <c r="G108">
        <v>30.56</v>
      </c>
      <c r="H108">
        <v>0</v>
      </c>
      <c r="I108">
        <v>0</v>
      </c>
      <c r="J108" t="s">
        <v>3082</v>
      </c>
      <c r="K108" s="17" t="s">
        <v>604</v>
      </c>
    </row>
    <row r="109" spans="1:11" x14ac:dyDescent="0.2">
      <c r="A109" t="s">
        <v>1677</v>
      </c>
      <c r="B109" t="s">
        <v>1139</v>
      </c>
      <c r="C109">
        <v>57.08</v>
      </c>
      <c r="D109" t="s">
        <v>608</v>
      </c>
      <c r="E109" t="s">
        <v>608</v>
      </c>
      <c r="F109">
        <v>34.130000000000003</v>
      </c>
      <c r="G109">
        <v>24.71</v>
      </c>
      <c r="H109">
        <v>0</v>
      </c>
      <c r="I109">
        <v>0</v>
      </c>
      <c r="J109" t="s">
        <v>3082</v>
      </c>
      <c r="K109" s="17" t="s">
        <v>604</v>
      </c>
    </row>
    <row r="110" spans="1:11" x14ac:dyDescent="0.2">
      <c r="A110" t="s">
        <v>1678</v>
      </c>
      <c r="B110" t="s">
        <v>1139</v>
      </c>
      <c r="C110">
        <v>44.35</v>
      </c>
      <c r="D110" t="s">
        <v>608</v>
      </c>
      <c r="E110" t="s">
        <v>608</v>
      </c>
      <c r="F110">
        <v>23.7</v>
      </c>
      <c r="G110">
        <v>17.27</v>
      </c>
      <c r="H110">
        <v>0.5</v>
      </c>
      <c r="I110">
        <v>0</v>
      </c>
      <c r="J110" t="s">
        <v>3082</v>
      </c>
      <c r="K110" s="17" t="s">
        <v>604</v>
      </c>
    </row>
    <row r="111" spans="1:11" x14ac:dyDescent="0.2">
      <c r="A111" t="s">
        <v>1679</v>
      </c>
      <c r="B111" t="s">
        <v>1139</v>
      </c>
      <c r="C111">
        <v>49.45</v>
      </c>
      <c r="D111" t="s">
        <v>608</v>
      </c>
      <c r="E111" t="s">
        <v>608</v>
      </c>
      <c r="F111">
        <v>18.41</v>
      </c>
      <c r="G111">
        <v>13.14</v>
      </c>
      <c r="H111">
        <v>0</v>
      </c>
      <c r="I111">
        <v>0</v>
      </c>
      <c r="J111" t="s">
        <v>3082</v>
      </c>
      <c r="K111" s="17" t="s">
        <v>604</v>
      </c>
    </row>
    <row r="112" spans="1:11" x14ac:dyDescent="0.2">
      <c r="A112" t="s">
        <v>1680</v>
      </c>
      <c r="B112" t="s">
        <v>1141</v>
      </c>
      <c r="C112">
        <v>65.41</v>
      </c>
      <c r="D112" t="s">
        <v>608</v>
      </c>
      <c r="E112" t="s">
        <v>608</v>
      </c>
      <c r="F112">
        <v>54.07</v>
      </c>
      <c r="G112">
        <v>39.340000000000003</v>
      </c>
      <c r="H112">
        <v>0</v>
      </c>
      <c r="I112">
        <v>0</v>
      </c>
      <c r="J112" t="s">
        <v>3082</v>
      </c>
      <c r="K112" s="17" t="s">
        <v>604</v>
      </c>
    </row>
    <row r="113" spans="1:11" x14ac:dyDescent="0.2">
      <c r="A113" t="s">
        <v>1681</v>
      </c>
      <c r="B113" t="s">
        <v>1141</v>
      </c>
      <c r="C113">
        <v>53.37</v>
      </c>
      <c r="D113" t="s">
        <v>608</v>
      </c>
      <c r="E113" t="s">
        <v>608</v>
      </c>
      <c r="F113">
        <v>25.85</v>
      </c>
      <c r="G113">
        <v>18.260000000000002</v>
      </c>
      <c r="H113">
        <v>0</v>
      </c>
      <c r="I113">
        <v>0</v>
      </c>
      <c r="J113" t="s">
        <v>3082</v>
      </c>
      <c r="K113" s="17" t="s">
        <v>604</v>
      </c>
    </row>
    <row r="114" spans="1:11" x14ac:dyDescent="0.2">
      <c r="A114" t="s">
        <v>1682</v>
      </c>
      <c r="B114" t="s">
        <v>1141</v>
      </c>
      <c r="C114">
        <v>64.55</v>
      </c>
      <c r="D114" t="s">
        <v>608</v>
      </c>
      <c r="E114" t="s">
        <v>608</v>
      </c>
      <c r="F114">
        <v>35.520000000000003</v>
      </c>
      <c r="G114">
        <v>23.61</v>
      </c>
      <c r="H114">
        <v>0</v>
      </c>
      <c r="I114">
        <v>0</v>
      </c>
      <c r="J114" t="s">
        <v>3082</v>
      </c>
      <c r="K114" s="17" t="s">
        <v>604</v>
      </c>
    </row>
    <row r="115" spans="1:11" x14ac:dyDescent="0.2">
      <c r="A115" t="s">
        <v>1683</v>
      </c>
      <c r="B115" t="s">
        <v>1141</v>
      </c>
      <c r="C115">
        <v>53.28</v>
      </c>
      <c r="D115" t="s">
        <v>608</v>
      </c>
      <c r="E115" t="s">
        <v>608</v>
      </c>
      <c r="F115">
        <v>38.89</v>
      </c>
      <c r="G115">
        <v>28.74</v>
      </c>
      <c r="H115">
        <v>0</v>
      </c>
      <c r="I115">
        <v>0</v>
      </c>
      <c r="J115" t="s">
        <v>3082</v>
      </c>
      <c r="K115" s="17" t="s">
        <v>604</v>
      </c>
    </row>
    <row r="116" spans="1:11" x14ac:dyDescent="0.2">
      <c r="A116" t="s">
        <v>1684</v>
      </c>
      <c r="B116" t="s">
        <v>1141</v>
      </c>
      <c r="C116">
        <v>47.46</v>
      </c>
      <c r="D116" t="s">
        <v>608</v>
      </c>
      <c r="E116" t="s">
        <v>608</v>
      </c>
      <c r="F116">
        <v>26.24</v>
      </c>
      <c r="G116">
        <v>18.11</v>
      </c>
      <c r="H116">
        <v>0</v>
      </c>
      <c r="I116">
        <v>0</v>
      </c>
      <c r="J116" t="s">
        <v>3082</v>
      </c>
      <c r="K116" s="17" t="s">
        <v>604</v>
      </c>
    </row>
    <row r="117" spans="1:11" x14ac:dyDescent="0.2">
      <c r="A117" t="s">
        <v>1685</v>
      </c>
      <c r="B117" t="s">
        <v>1143</v>
      </c>
      <c r="C117">
        <v>51.75</v>
      </c>
      <c r="D117" t="s">
        <v>608</v>
      </c>
      <c r="E117" t="s">
        <v>608</v>
      </c>
      <c r="F117">
        <v>29.74</v>
      </c>
      <c r="G117">
        <v>21.73</v>
      </c>
      <c r="H117">
        <v>0</v>
      </c>
      <c r="I117">
        <v>0</v>
      </c>
      <c r="J117" t="s">
        <v>3082</v>
      </c>
      <c r="K117" s="17" t="s">
        <v>604</v>
      </c>
    </row>
    <row r="118" spans="1:11" x14ac:dyDescent="0.2">
      <c r="A118" t="s">
        <v>1686</v>
      </c>
      <c r="B118" t="s">
        <v>1143</v>
      </c>
      <c r="C118">
        <v>45.41</v>
      </c>
      <c r="D118" t="s">
        <v>608</v>
      </c>
      <c r="E118" t="s">
        <v>608</v>
      </c>
      <c r="F118">
        <v>14.64</v>
      </c>
      <c r="G118">
        <v>10.49</v>
      </c>
      <c r="H118">
        <v>0</v>
      </c>
      <c r="I118">
        <v>0</v>
      </c>
      <c r="J118" t="s">
        <v>3082</v>
      </c>
      <c r="K118" s="17" t="s">
        <v>604</v>
      </c>
    </row>
    <row r="119" spans="1:11" x14ac:dyDescent="0.2">
      <c r="A119" t="s">
        <v>1687</v>
      </c>
      <c r="B119" t="s">
        <v>1143</v>
      </c>
      <c r="C119">
        <v>49.5</v>
      </c>
      <c r="D119" t="s">
        <v>608</v>
      </c>
      <c r="E119" t="s">
        <v>608</v>
      </c>
      <c r="F119">
        <v>14.02</v>
      </c>
      <c r="G119">
        <v>9.8000000000000007</v>
      </c>
      <c r="H119">
        <v>0</v>
      </c>
      <c r="I119">
        <v>0</v>
      </c>
      <c r="J119" t="s">
        <v>3082</v>
      </c>
      <c r="K119" s="17" t="s">
        <v>604</v>
      </c>
    </row>
    <row r="120" spans="1:11" x14ac:dyDescent="0.2">
      <c r="A120" t="s">
        <v>1688</v>
      </c>
      <c r="B120" t="s">
        <v>1143</v>
      </c>
      <c r="C120">
        <v>46.07</v>
      </c>
      <c r="D120" t="s">
        <v>608</v>
      </c>
      <c r="E120" t="s">
        <v>608</v>
      </c>
      <c r="F120">
        <v>19</v>
      </c>
      <c r="G120">
        <v>13.21</v>
      </c>
      <c r="H120">
        <v>0</v>
      </c>
      <c r="I120">
        <v>0</v>
      </c>
      <c r="J120" t="s">
        <v>3082</v>
      </c>
      <c r="K120" s="17" t="s">
        <v>604</v>
      </c>
    </row>
    <row r="121" spans="1:11" x14ac:dyDescent="0.2">
      <c r="A121" t="s">
        <v>1689</v>
      </c>
      <c r="B121" t="s">
        <v>1143</v>
      </c>
      <c r="C121">
        <v>34.53</v>
      </c>
      <c r="D121" t="s">
        <v>608</v>
      </c>
      <c r="E121" t="s">
        <v>608</v>
      </c>
      <c r="F121">
        <v>13.21</v>
      </c>
      <c r="G121">
        <v>9.49</v>
      </c>
      <c r="H121">
        <v>0</v>
      </c>
      <c r="I121">
        <v>0</v>
      </c>
      <c r="J121" t="s">
        <v>3082</v>
      </c>
      <c r="K121" s="17" t="s">
        <v>604</v>
      </c>
    </row>
    <row r="122" spans="1:11" x14ac:dyDescent="0.2">
      <c r="A122" t="s">
        <v>1690</v>
      </c>
      <c r="B122" t="s">
        <v>1151</v>
      </c>
      <c r="C122">
        <v>70.45</v>
      </c>
      <c r="D122" t="s">
        <v>608</v>
      </c>
      <c r="E122" t="s">
        <v>608</v>
      </c>
      <c r="F122">
        <v>48.91</v>
      </c>
      <c r="G122">
        <v>34.619999999999997</v>
      </c>
      <c r="H122">
        <v>0</v>
      </c>
      <c r="I122">
        <v>0</v>
      </c>
      <c r="J122" t="s">
        <v>3082</v>
      </c>
      <c r="K122" s="17" t="s">
        <v>604</v>
      </c>
    </row>
    <row r="123" spans="1:11" x14ac:dyDescent="0.2">
      <c r="A123" t="s">
        <v>1691</v>
      </c>
      <c r="B123" t="s">
        <v>1151</v>
      </c>
      <c r="C123">
        <v>46.36</v>
      </c>
      <c r="D123" t="s">
        <v>608</v>
      </c>
      <c r="E123" t="s">
        <v>608</v>
      </c>
      <c r="F123">
        <v>19.3</v>
      </c>
      <c r="G123">
        <v>14.22</v>
      </c>
      <c r="H123">
        <v>0</v>
      </c>
      <c r="I123">
        <v>0</v>
      </c>
      <c r="J123" t="s">
        <v>3082</v>
      </c>
      <c r="K123" s="17" t="s">
        <v>604</v>
      </c>
    </row>
    <row r="124" spans="1:11" x14ac:dyDescent="0.2">
      <c r="A124" t="s">
        <v>1692</v>
      </c>
      <c r="B124" t="s">
        <v>1151</v>
      </c>
      <c r="C124">
        <v>46.88</v>
      </c>
      <c r="D124" t="s">
        <v>608</v>
      </c>
      <c r="E124" t="s">
        <v>608</v>
      </c>
      <c r="F124">
        <v>26.51</v>
      </c>
      <c r="G124">
        <v>17.96</v>
      </c>
      <c r="H124">
        <v>0</v>
      </c>
      <c r="I124">
        <v>0</v>
      </c>
      <c r="J124" t="s">
        <v>3082</v>
      </c>
      <c r="K124" s="17" t="s">
        <v>604</v>
      </c>
    </row>
    <row r="125" spans="1:11" x14ac:dyDescent="0.2">
      <c r="A125" t="s">
        <v>1693</v>
      </c>
      <c r="B125" t="s">
        <v>1151</v>
      </c>
      <c r="C125">
        <v>58.86</v>
      </c>
      <c r="D125" t="s">
        <v>608</v>
      </c>
      <c r="E125" t="s">
        <v>608</v>
      </c>
      <c r="F125">
        <v>37.049999999999997</v>
      </c>
      <c r="G125">
        <v>24.58</v>
      </c>
      <c r="H125">
        <v>0</v>
      </c>
      <c r="I125">
        <v>0.5</v>
      </c>
      <c r="J125" t="s">
        <v>3082</v>
      </c>
      <c r="K125" s="17" t="s">
        <v>604</v>
      </c>
    </row>
    <row r="126" spans="1:11" x14ac:dyDescent="0.2">
      <c r="A126" t="s">
        <v>1694</v>
      </c>
      <c r="B126" t="s">
        <v>1151</v>
      </c>
      <c r="C126">
        <v>44.08</v>
      </c>
      <c r="D126" t="s">
        <v>608</v>
      </c>
      <c r="E126" t="s">
        <v>608</v>
      </c>
      <c r="F126">
        <v>22.28</v>
      </c>
      <c r="G126">
        <v>15.93</v>
      </c>
      <c r="H126">
        <v>0</v>
      </c>
      <c r="I126">
        <v>0</v>
      </c>
      <c r="J126" t="s">
        <v>3082</v>
      </c>
      <c r="K126" s="17" t="s">
        <v>604</v>
      </c>
    </row>
    <row r="127" spans="1:11" x14ac:dyDescent="0.2">
      <c r="A127" t="s">
        <v>1695</v>
      </c>
      <c r="B127" t="s">
        <v>1153</v>
      </c>
      <c r="C127">
        <v>57.75</v>
      </c>
      <c r="D127" t="s">
        <v>608</v>
      </c>
      <c r="E127" t="s">
        <v>608</v>
      </c>
      <c r="F127">
        <v>50.37</v>
      </c>
      <c r="G127">
        <v>34.270000000000003</v>
      </c>
      <c r="H127">
        <v>0</v>
      </c>
      <c r="I127">
        <v>0</v>
      </c>
      <c r="J127" t="s">
        <v>3082</v>
      </c>
      <c r="K127" s="17" t="s">
        <v>604</v>
      </c>
    </row>
    <row r="128" spans="1:11" x14ac:dyDescent="0.2">
      <c r="A128" t="s">
        <v>1696</v>
      </c>
      <c r="B128" t="s">
        <v>1153</v>
      </c>
      <c r="C128">
        <v>60.05</v>
      </c>
      <c r="D128" t="s">
        <v>608</v>
      </c>
      <c r="E128" t="s">
        <v>608</v>
      </c>
      <c r="F128">
        <v>42.8</v>
      </c>
      <c r="G128">
        <v>29.45</v>
      </c>
      <c r="H128">
        <v>0</v>
      </c>
      <c r="I128">
        <v>0</v>
      </c>
      <c r="J128" t="s">
        <v>3082</v>
      </c>
      <c r="K128" s="17" t="s">
        <v>604</v>
      </c>
    </row>
    <row r="129" spans="1:11" x14ac:dyDescent="0.2">
      <c r="A129" t="s">
        <v>1697</v>
      </c>
      <c r="B129" t="s">
        <v>1153</v>
      </c>
      <c r="C129">
        <v>47.04</v>
      </c>
      <c r="D129" t="s">
        <v>608</v>
      </c>
      <c r="E129" t="s">
        <v>608</v>
      </c>
      <c r="F129">
        <v>34.75</v>
      </c>
      <c r="G129">
        <v>25.54</v>
      </c>
      <c r="H129">
        <v>0</v>
      </c>
      <c r="I129">
        <v>0</v>
      </c>
      <c r="J129" t="s">
        <v>3082</v>
      </c>
      <c r="K129" s="17" t="s">
        <v>604</v>
      </c>
    </row>
    <row r="130" spans="1:11" x14ac:dyDescent="0.2">
      <c r="A130" t="s">
        <v>1698</v>
      </c>
      <c r="B130" t="s">
        <v>1153</v>
      </c>
      <c r="C130">
        <v>54.07</v>
      </c>
      <c r="D130" t="s">
        <v>608</v>
      </c>
      <c r="E130" t="s">
        <v>608</v>
      </c>
      <c r="F130">
        <v>34.06</v>
      </c>
      <c r="G130">
        <v>25.68</v>
      </c>
      <c r="H130">
        <v>0</v>
      </c>
      <c r="I130">
        <v>0</v>
      </c>
      <c r="J130" t="s">
        <v>3082</v>
      </c>
      <c r="K130" s="17" t="s">
        <v>604</v>
      </c>
    </row>
    <row r="131" spans="1:11" x14ac:dyDescent="0.2">
      <c r="A131" t="s">
        <v>1699</v>
      </c>
      <c r="B131" t="s">
        <v>1153</v>
      </c>
      <c r="C131">
        <v>56.01</v>
      </c>
      <c r="D131" t="s">
        <v>608</v>
      </c>
      <c r="E131" t="s">
        <v>608</v>
      </c>
      <c r="F131">
        <v>44.92</v>
      </c>
      <c r="G131">
        <v>32.31</v>
      </c>
      <c r="H131">
        <v>0</v>
      </c>
      <c r="I131">
        <v>0</v>
      </c>
      <c r="J131" t="s">
        <v>3082</v>
      </c>
      <c r="K131" s="17" t="s">
        <v>604</v>
      </c>
    </row>
    <row r="132" spans="1:11" x14ac:dyDescent="0.2">
      <c r="A132" t="s">
        <v>1700</v>
      </c>
      <c r="B132" t="s">
        <v>1155</v>
      </c>
      <c r="C132">
        <v>56.32</v>
      </c>
      <c r="D132" t="s">
        <v>608</v>
      </c>
      <c r="E132" t="s">
        <v>608</v>
      </c>
      <c r="F132">
        <v>41.87</v>
      </c>
      <c r="G132">
        <v>30.55</v>
      </c>
      <c r="H132">
        <v>0</v>
      </c>
      <c r="I132">
        <v>0</v>
      </c>
      <c r="J132" t="s">
        <v>3082</v>
      </c>
      <c r="K132" s="17" t="s">
        <v>604</v>
      </c>
    </row>
    <row r="133" spans="1:11" x14ac:dyDescent="0.2">
      <c r="A133" t="s">
        <v>1701</v>
      </c>
      <c r="B133" t="s">
        <v>1155</v>
      </c>
      <c r="C133">
        <v>56.6</v>
      </c>
      <c r="D133" t="s">
        <v>608</v>
      </c>
      <c r="E133" t="s">
        <v>608</v>
      </c>
      <c r="F133">
        <v>41.2</v>
      </c>
      <c r="G133">
        <v>31.6</v>
      </c>
      <c r="H133">
        <v>0</v>
      </c>
      <c r="I133">
        <v>0</v>
      </c>
      <c r="J133" t="s">
        <v>3082</v>
      </c>
      <c r="K133" s="17" t="s">
        <v>604</v>
      </c>
    </row>
    <row r="134" spans="1:11" x14ac:dyDescent="0.2">
      <c r="A134" t="s">
        <v>1702</v>
      </c>
      <c r="B134" t="s">
        <v>1155</v>
      </c>
      <c r="C134">
        <v>42.37</v>
      </c>
      <c r="D134" t="s">
        <v>608</v>
      </c>
      <c r="E134" t="s">
        <v>608</v>
      </c>
      <c r="F134">
        <v>22.8</v>
      </c>
      <c r="G134">
        <v>16.52</v>
      </c>
      <c r="H134">
        <v>0</v>
      </c>
      <c r="I134">
        <v>0</v>
      </c>
      <c r="J134" t="s">
        <v>3082</v>
      </c>
      <c r="K134" s="17" t="s">
        <v>604</v>
      </c>
    </row>
    <row r="135" spans="1:11" x14ac:dyDescent="0.2">
      <c r="A135" t="s">
        <v>1703</v>
      </c>
      <c r="B135" t="s">
        <v>1155</v>
      </c>
      <c r="C135">
        <v>48.04</v>
      </c>
      <c r="D135" t="s">
        <v>608</v>
      </c>
      <c r="E135" t="s">
        <v>608</v>
      </c>
      <c r="F135">
        <v>20.87</v>
      </c>
      <c r="G135">
        <v>14.44</v>
      </c>
      <c r="H135">
        <v>0</v>
      </c>
      <c r="I135">
        <v>0</v>
      </c>
      <c r="J135" t="s">
        <v>3082</v>
      </c>
      <c r="K135" s="17" t="s">
        <v>604</v>
      </c>
    </row>
    <row r="136" spans="1:11" x14ac:dyDescent="0.2">
      <c r="A136" t="s">
        <v>1704</v>
      </c>
      <c r="B136" t="s">
        <v>1155</v>
      </c>
      <c r="C136">
        <v>54.09</v>
      </c>
      <c r="D136" t="s">
        <v>608</v>
      </c>
      <c r="E136" t="s">
        <v>608</v>
      </c>
      <c r="F136">
        <v>20.27</v>
      </c>
      <c r="G136">
        <v>15.5</v>
      </c>
      <c r="H136">
        <v>0</v>
      </c>
      <c r="I136">
        <v>0</v>
      </c>
      <c r="J136" t="s">
        <v>3082</v>
      </c>
      <c r="K136" s="17" t="s">
        <v>604</v>
      </c>
    </row>
    <row r="137" spans="1:11" x14ac:dyDescent="0.2">
      <c r="A137" t="s">
        <v>1705</v>
      </c>
      <c r="B137" t="s">
        <v>1163</v>
      </c>
      <c r="C137">
        <v>60.6</v>
      </c>
      <c r="D137" t="s">
        <v>608</v>
      </c>
      <c r="E137" t="s">
        <v>608</v>
      </c>
      <c r="F137">
        <v>34.49</v>
      </c>
      <c r="G137">
        <v>23.97</v>
      </c>
      <c r="H137">
        <v>0</v>
      </c>
      <c r="I137">
        <v>0</v>
      </c>
      <c r="J137" t="s">
        <v>3082</v>
      </c>
      <c r="K137" s="17" t="s">
        <v>604</v>
      </c>
    </row>
    <row r="138" spans="1:11" x14ac:dyDescent="0.2">
      <c r="A138" t="s">
        <v>1706</v>
      </c>
      <c r="B138" t="s">
        <v>1163</v>
      </c>
      <c r="C138">
        <v>63.14</v>
      </c>
      <c r="D138" t="s">
        <v>608</v>
      </c>
      <c r="E138" t="s">
        <v>608</v>
      </c>
      <c r="F138">
        <v>49.92</v>
      </c>
      <c r="G138">
        <v>35.65</v>
      </c>
      <c r="H138">
        <v>0</v>
      </c>
      <c r="I138">
        <v>0</v>
      </c>
      <c r="J138" t="s">
        <v>3082</v>
      </c>
      <c r="K138" s="17" t="s">
        <v>604</v>
      </c>
    </row>
    <row r="139" spans="1:11" x14ac:dyDescent="0.2">
      <c r="A139" t="s">
        <v>1707</v>
      </c>
      <c r="B139" t="s">
        <v>1163</v>
      </c>
      <c r="C139">
        <v>45.24</v>
      </c>
      <c r="D139" t="s">
        <v>608</v>
      </c>
      <c r="E139" t="s">
        <v>608</v>
      </c>
      <c r="F139">
        <v>22.85</v>
      </c>
      <c r="G139">
        <v>16.61</v>
      </c>
      <c r="H139">
        <v>0</v>
      </c>
      <c r="I139">
        <v>0</v>
      </c>
      <c r="J139" t="s">
        <v>3082</v>
      </c>
      <c r="K139" s="17" t="s">
        <v>604</v>
      </c>
    </row>
    <row r="140" spans="1:11" x14ac:dyDescent="0.2">
      <c r="A140" t="s">
        <v>1708</v>
      </c>
      <c r="B140" t="s">
        <v>1163</v>
      </c>
      <c r="C140">
        <v>48</v>
      </c>
      <c r="D140" t="s">
        <v>608</v>
      </c>
      <c r="E140" t="s">
        <v>608</v>
      </c>
      <c r="F140">
        <v>30.06</v>
      </c>
      <c r="G140">
        <v>21.52</v>
      </c>
      <c r="H140">
        <v>0</v>
      </c>
      <c r="I140">
        <v>0</v>
      </c>
      <c r="J140" t="s">
        <v>3082</v>
      </c>
      <c r="K140" s="17" t="s">
        <v>604</v>
      </c>
    </row>
    <row r="141" spans="1:11" x14ac:dyDescent="0.2">
      <c r="A141" t="s">
        <v>1709</v>
      </c>
      <c r="B141" t="s">
        <v>1163</v>
      </c>
      <c r="C141">
        <v>67.64</v>
      </c>
      <c r="D141" t="s">
        <v>608</v>
      </c>
      <c r="E141" t="s">
        <v>608</v>
      </c>
      <c r="F141">
        <v>28.27</v>
      </c>
      <c r="G141">
        <v>19.690000000000001</v>
      </c>
      <c r="H141">
        <v>0</v>
      </c>
      <c r="I141">
        <v>0</v>
      </c>
      <c r="J141" t="s">
        <v>3082</v>
      </c>
      <c r="K141" s="17" t="s">
        <v>604</v>
      </c>
    </row>
    <row r="142" spans="1:11" x14ac:dyDescent="0.2">
      <c r="A142" t="s">
        <v>1710</v>
      </c>
      <c r="B142" t="s">
        <v>1165</v>
      </c>
      <c r="C142">
        <v>55.93</v>
      </c>
      <c r="D142" t="s">
        <v>608</v>
      </c>
      <c r="E142" t="s">
        <v>608</v>
      </c>
      <c r="F142">
        <v>36.24</v>
      </c>
      <c r="G142">
        <v>26.47</v>
      </c>
      <c r="H142">
        <v>0</v>
      </c>
      <c r="I142">
        <v>0</v>
      </c>
      <c r="J142" t="s">
        <v>3082</v>
      </c>
      <c r="K142" s="17" t="s">
        <v>604</v>
      </c>
    </row>
    <row r="143" spans="1:11" x14ac:dyDescent="0.2">
      <c r="A143" t="s">
        <v>1711</v>
      </c>
      <c r="B143" t="s">
        <v>1165</v>
      </c>
      <c r="C143">
        <v>65.89</v>
      </c>
      <c r="D143" t="s">
        <v>608</v>
      </c>
      <c r="E143" t="s">
        <v>608</v>
      </c>
      <c r="F143">
        <v>77.680000000000007</v>
      </c>
      <c r="G143">
        <v>54.88</v>
      </c>
      <c r="H143">
        <v>0</v>
      </c>
      <c r="I143">
        <v>0</v>
      </c>
      <c r="J143" t="s">
        <v>3082</v>
      </c>
      <c r="K143" s="17" t="s">
        <v>604</v>
      </c>
    </row>
    <row r="144" spans="1:11" x14ac:dyDescent="0.2">
      <c r="A144" t="s">
        <v>1712</v>
      </c>
      <c r="B144" t="s">
        <v>1165</v>
      </c>
      <c r="C144">
        <v>74.27</v>
      </c>
      <c r="D144" t="s">
        <v>608</v>
      </c>
      <c r="E144" t="s">
        <v>608</v>
      </c>
      <c r="F144">
        <v>69.75</v>
      </c>
      <c r="G144">
        <v>48.98</v>
      </c>
      <c r="H144">
        <v>0</v>
      </c>
      <c r="I144">
        <v>0.5</v>
      </c>
      <c r="J144" t="s">
        <v>3082</v>
      </c>
      <c r="K144" s="17" t="s">
        <v>604</v>
      </c>
    </row>
    <row r="145" spans="1:11" x14ac:dyDescent="0.2">
      <c r="A145" t="s">
        <v>1713</v>
      </c>
      <c r="B145" t="s">
        <v>1165</v>
      </c>
      <c r="C145">
        <v>59.7</v>
      </c>
      <c r="D145" t="s">
        <v>608</v>
      </c>
      <c r="E145" t="s">
        <v>608</v>
      </c>
      <c r="F145">
        <v>40.700000000000003</v>
      </c>
      <c r="G145">
        <v>27.36</v>
      </c>
      <c r="H145">
        <v>0</v>
      </c>
      <c r="I145">
        <v>0</v>
      </c>
      <c r="J145" t="s">
        <v>3082</v>
      </c>
      <c r="K145" s="17" t="s">
        <v>604</v>
      </c>
    </row>
    <row r="146" spans="1:11" x14ac:dyDescent="0.2">
      <c r="A146" t="s">
        <v>1714</v>
      </c>
      <c r="B146" t="s">
        <v>1165</v>
      </c>
      <c r="C146">
        <v>46.88</v>
      </c>
      <c r="D146" t="s">
        <v>608</v>
      </c>
      <c r="E146" t="s">
        <v>608</v>
      </c>
      <c r="F146">
        <v>36.869999999999997</v>
      </c>
      <c r="G146">
        <v>26.58</v>
      </c>
      <c r="H146">
        <v>0</v>
      </c>
      <c r="I146">
        <v>0</v>
      </c>
      <c r="J146" t="s">
        <v>3082</v>
      </c>
      <c r="K146" s="17" t="s">
        <v>604</v>
      </c>
    </row>
    <row r="147" spans="1:11" x14ac:dyDescent="0.2">
      <c r="A147" t="s">
        <v>1715</v>
      </c>
      <c r="B147" t="s">
        <v>1167</v>
      </c>
      <c r="C147">
        <v>66.28</v>
      </c>
      <c r="D147" t="s">
        <v>608</v>
      </c>
      <c r="E147" t="s">
        <v>608</v>
      </c>
      <c r="F147">
        <v>31.7</v>
      </c>
      <c r="G147">
        <v>22.16</v>
      </c>
      <c r="H147">
        <v>0</v>
      </c>
      <c r="I147">
        <v>0</v>
      </c>
      <c r="J147" t="s">
        <v>3082</v>
      </c>
      <c r="K147" s="17" t="s">
        <v>604</v>
      </c>
    </row>
    <row r="148" spans="1:11" x14ac:dyDescent="0.2">
      <c r="A148" t="s">
        <v>1716</v>
      </c>
      <c r="B148" t="s">
        <v>1167</v>
      </c>
      <c r="C148">
        <v>56.53</v>
      </c>
      <c r="D148" t="s">
        <v>608</v>
      </c>
      <c r="E148" t="s">
        <v>608</v>
      </c>
      <c r="F148">
        <v>30.2</v>
      </c>
      <c r="G148">
        <v>20.9</v>
      </c>
      <c r="H148">
        <v>0.5</v>
      </c>
      <c r="I148">
        <v>0</v>
      </c>
      <c r="J148" t="s">
        <v>3082</v>
      </c>
      <c r="K148" s="17" t="s">
        <v>604</v>
      </c>
    </row>
    <row r="149" spans="1:11" x14ac:dyDescent="0.2">
      <c r="A149" t="s">
        <v>1717</v>
      </c>
      <c r="B149" t="s">
        <v>1167</v>
      </c>
      <c r="C149">
        <v>47.27</v>
      </c>
      <c r="D149" t="s">
        <v>608</v>
      </c>
      <c r="E149" t="s">
        <v>608</v>
      </c>
      <c r="F149">
        <v>21.09</v>
      </c>
      <c r="G149">
        <v>15.05</v>
      </c>
      <c r="H149">
        <v>0</v>
      </c>
      <c r="I149">
        <v>0</v>
      </c>
      <c r="J149" t="s">
        <v>3082</v>
      </c>
      <c r="K149" s="17" t="s">
        <v>604</v>
      </c>
    </row>
    <row r="150" spans="1:11" x14ac:dyDescent="0.2">
      <c r="A150" t="s">
        <v>1718</v>
      </c>
      <c r="B150" t="s">
        <v>1167</v>
      </c>
      <c r="C150">
        <v>48</v>
      </c>
      <c r="D150" t="s">
        <v>608</v>
      </c>
      <c r="E150" t="s">
        <v>608</v>
      </c>
      <c r="F150">
        <v>25.18</v>
      </c>
      <c r="G150">
        <v>18.77</v>
      </c>
      <c r="H150">
        <v>0</v>
      </c>
      <c r="I150">
        <v>0</v>
      </c>
      <c r="J150" t="s">
        <v>3082</v>
      </c>
      <c r="K150" s="17" t="s">
        <v>604</v>
      </c>
    </row>
    <row r="151" spans="1:11" x14ac:dyDescent="0.2">
      <c r="A151" t="s">
        <v>1719</v>
      </c>
      <c r="B151" t="s">
        <v>1167</v>
      </c>
      <c r="C151">
        <v>52.78</v>
      </c>
      <c r="D151" t="s">
        <v>608</v>
      </c>
      <c r="E151" t="s">
        <v>608</v>
      </c>
      <c r="F151">
        <v>24.44</v>
      </c>
      <c r="G151">
        <v>16.84</v>
      </c>
      <c r="H151">
        <v>0</v>
      </c>
      <c r="I151">
        <v>0</v>
      </c>
      <c r="J151" t="s">
        <v>3082</v>
      </c>
      <c r="K151" s="17" t="s">
        <v>604</v>
      </c>
    </row>
    <row r="152" spans="1:11" x14ac:dyDescent="0.2">
      <c r="A152" t="s">
        <v>1720</v>
      </c>
      <c r="B152" t="s">
        <v>1175</v>
      </c>
      <c r="C152">
        <v>45.66</v>
      </c>
      <c r="D152" t="s">
        <v>608</v>
      </c>
      <c r="E152" t="s">
        <v>608</v>
      </c>
      <c r="F152">
        <v>27.67</v>
      </c>
      <c r="G152">
        <v>17.8</v>
      </c>
      <c r="H152">
        <v>0</v>
      </c>
      <c r="I152">
        <v>0</v>
      </c>
      <c r="J152" t="s">
        <v>3082</v>
      </c>
      <c r="K152" s="17" t="s">
        <v>604</v>
      </c>
    </row>
    <row r="153" spans="1:11" x14ac:dyDescent="0.2">
      <c r="A153" t="s">
        <v>1721</v>
      </c>
      <c r="B153" t="s">
        <v>1175</v>
      </c>
      <c r="C153">
        <v>59.39</v>
      </c>
      <c r="D153" t="s">
        <v>608</v>
      </c>
      <c r="E153" t="s">
        <v>608</v>
      </c>
      <c r="F153">
        <v>26.74</v>
      </c>
      <c r="G153">
        <v>19.34</v>
      </c>
      <c r="H153">
        <v>0.5</v>
      </c>
      <c r="I153">
        <v>0</v>
      </c>
      <c r="J153" t="s">
        <v>3082</v>
      </c>
      <c r="K153" s="17" t="s">
        <v>604</v>
      </c>
    </row>
    <row r="154" spans="1:11" x14ac:dyDescent="0.2">
      <c r="A154" t="s">
        <v>1722</v>
      </c>
      <c r="B154" t="s">
        <v>1175</v>
      </c>
      <c r="C154">
        <v>49.61</v>
      </c>
      <c r="D154" t="s">
        <v>608</v>
      </c>
      <c r="E154" t="s">
        <v>608</v>
      </c>
      <c r="F154">
        <v>32.020000000000003</v>
      </c>
      <c r="G154">
        <v>23.45</v>
      </c>
      <c r="H154">
        <v>0.5</v>
      </c>
      <c r="I154">
        <v>0</v>
      </c>
      <c r="J154" t="s">
        <v>3082</v>
      </c>
      <c r="K154" s="17" t="s">
        <v>604</v>
      </c>
    </row>
    <row r="155" spans="1:11" x14ac:dyDescent="0.2">
      <c r="A155" t="s">
        <v>1723</v>
      </c>
      <c r="B155" t="s">
        <v>1175</v>
      </c>
      <c r="C155">
        <v>67.83</v>
      </c>
      <c r="D155" t="s">
        <v>608</v>
      </c>
      <c r="E155" t="s">
        <v>608</v>
      </c>
      <c r="F155">
        <v>39.82</v>
      </c>
      <c r="G155">
        <v>29.41</v>
      </c>
      <c r="H155">
        <v>0</v>
      </c>
      <c r="I155">
        <v>0.5</v>
      </c>
      <c r="J155" t="s">
        <v>3082</v>
      </c>
      <c r="K155" s="17" t="s">
        <v>604</v>
      </c>
    </row>
    <row r="156" spans="1:11" x14ac:dyDescent="0.2">
      <c r="A156" t="s">
        <v>1724</v>
      </c>
      <c r="B156" t="s">
        <v>1175</v>
      </c>
      <c r="C156">
        <v>43.07</v>
      </c>
      <c r="D156" t="s">
        <v>608</v>
      </c>
      <c r="E156" t="s">
        <v>608</v>
      </c>
      <c r="F156">
        <v>30.61</v>
      </c>
      <c r="G156">
        <v>22.52</v>
      </c>
      <c r="H156">
        <v>0</v>
      </c>
      <c r="I156">
        <v>0</v>
      </c>
      <c r="J156" t="s">
        <v>3082</v>
      </c>
      <c r="K156" s="17" t="s">
        <v>604</v>
      </c>
    </row>
    <row r="157" spans="1:11" x14ac:dyDescent="0.2">
      <c r="A157" t="s">
        <v>1725</v>
      </c>
      <c r="B157" t="s">
        <v>1177</v>
      </c>
      <c r="C157">
        <v>68.89</v>
      </c>
      <c r="D157" t="s">
        <v>608</v>
      </c>
      <c r="E157" t="s">
        <v>608</v>
      </c>
      <c r="F157">
        <v>41.91</v>
      </c>
      <c r="G157">
        <v>28.82</v>
      </c>
      <c r="H157">
        <v>0</v>
      </c>
      <c r="I157">
        <v>0</v>
      </c>
      <c r="J157" t="s">
        <v>3082</v>
      </c>
      <c r="K157" s="17" t="s">
        <v>604</v>
      </c>
    </row>
    <row r="158" spans="1:11" x14ac:dyDescent="0.2">
      <c r="A158" t="s">
        <v>1726</v>
      </c>
      <c r="B158" t="s">
        <v>1177</v>
      </c>
      <c r="C158">
        <v>66.08</v>
      </c>
      <c r="D158" t="s">
        <v>608</v>
      </c>
      <c r="E158" t="s">
        <v>608</v>
      </c>
      <c r="F158">
        <v>35.18</v>
      </c>
      <c r="G158">
        <v>25.03</v>
      </c>
      <c r="H158">
        <v>0</v>
      </c>
      <c r="I158">
        <v>0</v>
      </c>
      <c r="J158" t="s">
        <v>3082</v>
      </c>
      <c r="K158" s="17" t="s">
        <v>604</v>
      </c>
    </row>
    <row r="159" spans="1:11" x14ac:dyDescent="0.2">
      <c r="A159" t="s">
        <v>1727</v>
      </c>
      <c r="B159" t="s">
        <v>1177</v>
      </c>
      <c r="C159">
        <v>53.11</v>
      </c>
      <c r="D159" t="s">
        <v>608</v>
      </c>
      <c r="E159" t="s">
        <v>608</v>
      </c>
      <c r="F159">
        <v>45.49</v>
      </c>
      <c r="G159">
        <v>34.450000000000003</v>
      </c>
      <c r="H159">
        <v>0</v>
      </c>
      <c r="I159">
        <v>0</v>
      </c>
      <c r="J159" t="s">
        <v>3082</v>
      </c>
      <c r="K159" s="17" t="s">
        <v>604</v>
      </c>
    </row>
    <row r="160" spans="1:11" x14ac:dyDescent="0.2">
      <c r="A160" t="s">
        <v>1728</v>
      </c>
      <c r="B160" t="s">
        <v>1177</v>
      </c>
      <c r="C160">
        <v>70.58</v>
      </c>
      <c r="D160" t="s">
        <v>608</v>
      </c>
      <c r="E160" t="s">
        <v>608</v>
      </c>
      <c r="F160">
        <v>58.07</v>
      </c>
      <c r="G160">
        <v>45.34</v>
      </c>
      <c r="H160">
        <v>0</v>
      </c>
      <c r="I160">
        <v>0</v>
      </c>
      <c r="J160" t="s">
        <v>3082</v>
      </c>
      <c r="K160" s="17" t="s">
        <v>604</v>
      </c>
    </row>
    <row r="161" spans="1:11" x14ac:dyDescent="0.2">
      <c r="A161" t="s">
        <v>1729</v>
      </c>
      <c r="B161" t="s">
        <v>1177</v>
      </c>
      <c r="C161">
        <v>58.43</v>
      </c>
      <c r="D161" t="s">
        <v>608</v>
      </c>
      <c r="E161" t="s">
        <v>608</v>
      </c>
      <c r="F161">
        <v>57.48</v>
      </c>
      <c r="G161">
        <v>43.57</v>
      </c>
      <c r="H161">
        <v>0</v>
      </c>
      <c r="I161">
        <v>0</v>
      </c>
      <c r="J161" t="s">
        <v>3082</v>
      </c>
      <c r="K161" s="17" t="s">
        <v>604</v>
      </c>
    </row>
    <row r="162" spans="1:11" x14ac:dyDescent="0.2">
      <c r="A162" t="s">
        <v>1730</v>
      </c>
      <c r="B162" t="s">
        <v>1179</v>
      </c>
      <c r="C162">
        <v>56.22</v>
      </c>
      <c r="D162" t="s">
        <v>608</v>
      </c>
      <c r="E162" t="s">
        <v>608</v>
      </c>
      <c r="F162">
        <v>23.39</v>
      </c>
      <c r="G162">
        <v>18.64</v>
      </c>
      <c r="H162">
        <v>0</v>
      </c>
      <c r="I162">
        <v>0</v>
      </c>
      <c r="J162" t="s">
        <v>3082</v>
      </c>
      <c r="K162" s="17" t="s">
        <v>604</v>
      </c>
    </row>
    <row r="163" spans="1:11" x14ac:dyDescent="0.2">
      <c r="A163" t="s">
        <v>1731</v>
      </c>
      <c r="B163" t="s">
        <v>1179</v>
      </c>
      <c r="C163">
        <v>72.06</v>
      </c>
      <c r="D163" t="s">
        <v>608</v>
      </c>
      <c r="E163" t="s">
        <v>608</v>
      </c>
      <c r="F163">
        <v>42.78</v>
      </c>
      <c r="G163">
        <v>28.2</v>
      </c>
      <c r="H163">
        <v>0</v>
      </c>
      <c r="I163">
        <v>0</v>
      </c>
      <c r="J163" t="s">
        <v>3082</v>
      </c>
      <c r="K163" s="17" t="s">
        <v>604</v>
      </c>
    </row>
    <row r="164" spans="1:11" x14ac:dyDescent="0.2">
      <c r="A164" t="s">
        <v>1732</v>
      </c>
      <c r="B164" t="s">
        <v>1179</v>
      </c>
      <c r="C164">
        <v>61.98</v>
      </c>
      <c r="D164" t="s">
        <v>608</v>
      </c>
      <c r="E164" t="s">
        <v>608</v>
      </c>
      <c r="F164">
        <v>37.799999999999997</v>
      </c>
      <c r="G164">
        <v>27.27</v>
      </c>
      <c r="H164">
        <v>0.5</v>
      </c>
      <c r="I164">
        <v>0</v>
      </c>
      <c r="J164" t="s">
        <v>3082</v>
      </c>
      <c r="K164" s="17" t="s">
        <v>604</v>
      </c>
    </row>
    <row r="165" spans="1:11" x14ac:dyDescent="0.2">
      <c r="A165" t="s">
        <v>1733</v>
      </c>
      <c r="B165" t="s">
        <v>1179</v>
      </c>
      <c r="C165">
        <v>49.82</v>
      </c>
      <c r="D165" t="s">
        <v>608</v>
      </c>
      <c r="E165" t="s">
        <v>608</v>
      </c>
      <c r="F165">
        <v>19.57</v>
      </c>
      <c r="G165">
        <v>14.85</v>
      </c>
      <c r="H165">
        <v>0</v>
      </c>
      <c r="I165">
        <v>0</v>
      </c>
      <c r="J165" t="s">
        <v>3082</v>
      </c>
      <c r="K165" s="17" t="s">
        <v>604</v>
      </c>
    </row>
    <row r="166" spans="1:11" x14ac:dyDescent="0.2">
      <c r="A166" t="s">
        <v>1734</v>
      </c>
      <c r="B166" t="s">
        <v>1179</v>
      </c>
      <c r="C166">
        <v>51.18</v>
      </c>
      <c r="D166" t="s">
        <v>608</v>
      </c>
      <c r="E166" t="s">
        <v>608</v>
      </c>
      <c r="F166">
        <v>22</v>
      </c>
      <c r="G166">
        <v>15.01</v>
      </c>
      <c r="H166">
        <v>0</v>
      </c>
      <c r="I166">
        <v>0</v>
      </c>
      <c r="J166" t="s">
        <v>3082</v>
      </c>
      <c r="K166" s="17" t="s">
        <v>604</v>
      </c>
    </row>
    <row r="167" spans="1:11" x14ac:dyDescent="0.2">
      <c r="A167" t="s">
        <v>1735</v>
      </c>
      <c r="B167" t="s">
        <v>1187</v>
      </c>
      <c r="C167">
        <v>53.13</v>
      </c>
      <c r="D167" t="s">
        <v>608</v>
      </c>
      <c r="E167" t="s">
        <v>608</v>
      </c>
      <c r="F167">
        <v>15.69</v>
      </c>
      <c r="G167">
        <v>10.67</v>
      </c>
      <c r="H167">
        <v>0</v>
      </c>
      <c r="I167">
        <v>0</v>
      </c>
      <c r="J167" t="s">
        <v>3082</v>
      </c>
      <c r="K167" s="17" t="s">
        <v>604</v>
      </c>
    </row>
    <row r="168" spans="1:11" x14ac:dyDescent="0.2">
      <c r="A168" t="s">
        <v>1736</v>
      </c>
      <c r="B168" t="s">
        <v>1187</v>
      </c>
      <c r="C168">
        <v>58.34</v>
      </c>
      <c r="D168" t="s">
        <v>608</v>
      </c>
      <c r="E168" t="s">
        <v>608</v>
      </c>
      <c r="F168">
        <v>33.53</v>
      </c>
      <c r="G168">
        <v>22.99</v>
      </c>
      <c r="H168">
        <v>0</v>
      </c>
      <c r="I168">
        <v>0</v>
      </c>
      <c r="J168" t="s">
        <v>3082</v>
      </c>
      <c r="K168" s="17" t="s">
        <v>604</v>
      </c>
    </row>
    <row r="169" spans="1:11" x14ac:dyDescent="0.2">
      <c r="A169" t="s">
        <v>1737</v>
      </c>
      <c r="B169" t="s">
        <v>1187</v>
      </c>
      <c r="C169">
        <v>43.85</v>
      </c>
      <c r="D169" t="s">
        <v>608</v>
      </c>
      <c r="E169" t="s">
        <v>608</v>
      </c>
      <c r="F169">
        <v>17.43</v>
      </c>
      <c r="G169">
        <v>12.53</v>
      </c>
      <c r="H169">
        <v>0</v>
      </c>
      <c r="I169">
        <v>0</v>
      </c>
      <c r="J169" t="s">
        <v>3082</v>
      </c>
      <c r="K169" s="17" t="s">
        <v>604</v>
      </c>
    </row>
    <row r="170" spans="1:11" x14ac:dyDescent="0.2">
      <c r="A170" t="s">
        <v>1738</v>
      </c>
      <c r="B170" t="s">
        <v>1187</v>
      </c>
      <c r="C170">
        <v>44.34</v>
      </c>
      <c r="D170" t="s">
        <v>608</v>
      </c>
      <c r="E170" t="s">
        <v>608</v>
      </c>
      <c r="F170">
        <v>21.1</v>
      </c>
      <c r="G170">
        <v>15.47</v>
      </c>
      <c r="H170">
        <v>0</v>
      </c>
      <c r="I170">
        <v>0.5</v>
      </c>
      <c r="J170" t="s">
        <v>3082</v>
      </c>
      <c r="K170" s="17" t="s">
        <v>604</v>
      </c>
    </row>
    <row r="171" spans="1:11" x14ac:dyDescent="0.2">
      <c r="A171" t="s">
        <v>1739</v>
      </c>
      <c r="B171" t="s">
        <v>1187</v>
      </c>
      <c r="C171">
        <v>52.43</v>
      </c>
      <c r="D171" t="s">
        <v>608</v>
      </c>
      <c r="E171" t="s">
        <v>608</v>
      </c>
      <c r="F171">
        <v>29.15</v>
      </c>
      <c r="G171">
        <v>20.170000000000002</v>
      </c>
      <c r="H171">
        <v>0</v>
      </c>
      <c r="I171">
        <v>1</v>
      </c>
      <c r="J171" t="s">
        <v>3082</v>
      </c>
      <c r="K171" s="17" t="s">
        <v>604</v>
      </c>
    </row>
    <row r="172" spans="1:11" x14ac:dyDescent="0.2">
      <c r="A172" t="s">
        <v>1740</v>
      </c>
      <c r="B172" t="s">
        <v>1189</v>
      </c>
      <c r="C172">
        <v>51.24</v>
      </c>
      <c r="D172" t="s">
        <v>608</v>
      </c>
      <c r="E172" t="s">
        <v>608</v>
      </c>
      <c r="F172">
        <v>32.83</v>
      </c>
      <c r="G172">
        <v>23.25</v>
      </c>
      <c r="H172">
        <v>0</v>
      </c>
      <c r="I172">
        <v>0</v>
      </c>
      <c r="J172" t="s">
        <v>3082</v>
      </c>
      <c r="K172" s="17" t="s">
        <v>604</v>
      </c>
    </row>
    <row r="173" spans="1:11" x14ac:dyDescent="0.2">
      <c r="A173" t="s">
        <v>1741</v>
      </c>
      <c r="B173" t="s">
        <v>1189</v>
      </c>
      <c r="C173">
        <v>73.959999999999994</v>
      </c>
      <c r="D173" t="s">
        <v>608</v>
      </c>
      <c r="E173" t="s">
        <v>608</v>
      </c>
      <c r="F173">
        <v>43.06</v>
      </c>
      <c r="G173">
        <v>29.01</v>
      </c>
      <c r="H173">
        <v>0</v>
      </c>
      <c r="I173">
        <v>0</v>
      </c>
      <c r="J173" t="s">
        <v>3082</v>
      </c>
      <c r="K173" s="17" t="s">
        <v>604</v>
      </c>
    </row>
    <row r="174" spans="1:11" x14ac:dyDescent="0.2">
      <c r="A174" t="s">
        <v>1742</v>
      </c>
      <c r="B174" t="s">
        <v>1189</v>
      </c>
      <c r="C174">
        <v>73.650000000000006</v>
      </c>
      <c r="D174" t="s">
        <v>608</v>
      </c>
      <c r="E174" t="s">
        <v>608</v>
      </c>
      <c r="F174">
        <v>56.31</v>
      </c>
      <c r="G174">
        <v>38.99</v>
      </c>
      <c r="H174">
        <v>0</v>
      </c>
      <c r="I174">
        <v>0</v>
      </c>
      <c r="J174" t="s">
        <v>3082</v>
      </c>
      <c r="K174" s="17" t="s">
        <v>604</v>
      </c>
    </row>
    <row r="175" spans="1:11" x14ac:dyDescent="0.2">
      <c r="A175" t="s">
        <v>1743</v>
      </c>
      <c r="B175" t="s">
        <v>1189</v>
      </c>
      <c r="C175">
        <v>56.76</v>
      </c>
      <c r="D175" t="s">
        <v>608</v>
      </c>
      <c r="E175" t="s">
        <v>608</v>
      </c>
      <c r="F175">
        <v>23.89</v>
      </c>
      <c r="G175">
        <v>16.54</v>
      </c>
      <c r="H175">
        <v>0.5</v>
      </c>
      <c r="I175">
        <v>0.5</v>
      </c>
      <c r="J175" t="s">
        <v>3082</v>
      </c>
      <c r="K175" s="17" t="s">
        <v>604</v>
      </c>
    </row>
    <row r="176" spans="1:11" x14ac:dyDescent="0.2">
      <c r="A176" t="s">
        <v>1744</v>
      </c>
      <c r="B176" t="s">
        <v>1189</v>
      </c>
      <c r="C176">
        <v>44.35</v>
      </c>
      <c r="D176" t="s">
        <v>608</v>
      </c>
      <c r="E176" t="s">
        <v>608</v>
      </c>
      <c r="F176">
        <v>19.05</v>
      </c>
      <c r="G176">
        <v>12.83</v>
      </c>
      <c r="H176">
        <v>0</v>
      </c>
      <c r="I176">
        <v>0</v>
      </c>
      <c r="J176" t="s">
        <v>3082</v>
      </c>
      <c r="K176" s="17" t="s">
        <v>604</v>
      </c>
    </row>
    <row r="177" spans="1:11" x14ac:dyDescent="0.2">
      <c r="A177" t="s">
        <v>1745</v>
      </c>
      <c r="B177" t="s">
        <v>1191</v>
      </c>
      <c r="C177">
        <v>38.909999999999997</v>
      </c>
      <c r="D177" t="s">
        <v>608</v>
      </c>
      <c r="E177" t="s">
        <v>608</v>
      </c>
      <c r="F177">
        <v>11.22</v>
      </c>
      <c r="G177">
        <v>8.36</v>
      </c>
      <c r="H177">
        <v>0</v>
      </c>
      <c r="I177">
        <v>0</v>
      </c>
      <c r="J177" t="s">
        <v>3082</v>
      </c>
      <c r="K177" s="17" t="s">
        <v>604</v>
      </c>
    </row>
    <row r="178" spans="1:11" x14ac:dyDescent="0.2">
      <c r="A178" t="s">
        <v>1746</v>
      </c>
      <c r="B178" t="s">
        <v>1191</v>
      </c>
      <c r="C178">
        <v>61.28</v>
      </c>
      <c r="D178" t="s">
        <v>608</v>
      </c>
      <c r="E178" t="s">
        <v>608</v>
      </c>
      <c r="F178">
        <v>16.809999999999999</v>
      </c>
      <c r="G178">
        <v>11.75</v>
      </c>
      <c r="H178">
        <v>0</v>
      </c>
      <c r="I178">
        <v>0</v>
      </c>
      <c r="J178" t="s">
        <v>3082</v>
      </c>
      <c r="K178" s="17" t="s">
        <v>604</v>
      </c>
    </row>
    <row r="179" spans="1:11" x14ac:dyDescent="0.2">
      <c r="A179" t="s">
        <v>1747</v>
      </c>
      <c r="B179" t="s">
        <v>1191</v>
      </c>
      <c r="C179">
        <v>40.9</v>
      </c>
      <c r="D179" t="s">
        <v>608</v>
      </c>
      <c r="E179" t="s">
        <v>608</v>
      </c>
      <c r="F179">
        <v>18.760000000000002</v>
      </c>
      <c r="G179">
        <v>13.75</v>
      </c>
      <c r="H179">
        <v>0</v>
      </c>
      <c r="I179">
        <v>0</v>
      </c>
      <c r="J179" t="s">
        <v>3082</v>
      </c>
      <c r="K179" s="17" t="s">
        <v>604</v>
      </c>
    </row>
    <row r="180" spans="1:11" x14ac:dyDescent="0.2">
      <c r="A180" t="s">
        <v>1748</v>
      </c>
      <c r="B180" t="s">
        <v>1191</v>
      </c>
      <c r="C180">
        <v>60.9</v>
      </c>
      <c r="D180" t="s">
        <v>608</v>
      </c>
      <c r="E180" t="s">
        <v>608</v>
      </c>
      <c r="F180">
        <v>28.47</v>
      </c>
      <c r="G180">
        <v>21.48</v>
      </c>
      <c r="H180">
        <v>0</v>
      </c>
      <c r="I180">
        <v>0</v>
      </c>
      <c r="J180" t="s">
        <v>3082</v>
      </c>
      <c r="K180" s="17" t="s">
        <v>604</v>
      </c>
    </row>
    <row r="181" spans="1:11" x14ac:dyDescent="0.2">
      <c r="A181" t="s">
        <v>1749</v>
      </c>
      <c r="B181" t="s">
        <v>1191</v>
      </c>
      <c r="C181">
        <v>51.37</v>
      </c>
      <c r="D181" t="s">
        <v>608</v>
      </c>
      <c r="E181" t="s">
        <v>608</v>
      </c>
      <c r="F181">
        <v>19.96</v>
      </c>
      <c r="G181">
        <v>14.22</v>
      </c>
      <c r="H181">
        <v>0</v>
      </c>
      <c r="I181">
        <v>0</v>
      </c>
      <c r="J181" t="s">
        <v>3082</v>
      </c>
      <c r="K181" s="17" t="s">
        <v>604</v>
      </c>
    </row>
    <row r="182" spans="1:11" x14ac:dyDescent="0.2">
      <c r="A182" t="s">
        <v>1750</v>
      </c>
      <c r="B182" t="s">
        <v>1205</v>
      </c>
      <c r="C182">
        <v>52.34</v>
      </c>
      <c r="D182" t="s">
        <v>608</v>
      </c>
      <c r="E182" t="s">
        <v>608</v>
      </c>
      <c r="F182">
        <v>33.74</v>
      </c>
      <c r="G182">
        <v>26.28</v>
      </c>
      <c r="H182">
        <v>0</v>
      </c>
      <c r="I182">
        <v>0</v>
      </c>
      <c r="J182" t="s">
        <v>3082</v>
      </c>
      <c r="K182" s="17" t="s">
        <v>604</v>
      </c>
    </row>
    <row r="183" spans="1:11" x14ac:dyDescent="0.2">
      <c r="A183" t="s">
        <v>1751</v>
      </c>
      <c r="B183" t="s">
        <v>1205</v>
      </c>
      <c r="C183">
        <v>44.37</v>
      </c>
      <c r="D183" t="s">
        <v>608</v>
      </c>
      <c r="E183" t="s">
        <v>608</v>
      </c>
      <c r="F183">
        <v>15.69</v>
      </c>
      <c r="G183">
        <v>11.8</v>
      </c>
      <c r="H183">
        <v>0</v>
      </c>
      <c r="I183">
        <v>0</v>
      </c>
      <c r="J183" t="s">
        <v>3082</v>
      </c>
      <c r="K183" s="17" t="s">
        <v>604</v>
      </c>
    </row>
    <row r="184" spans="1:11" x14ac:dyDescent="0.2">
      <c r="A184" t="s">
        <v>1752</v>
      </c>
      <c r="B184" t="s">
        <v>1205</v>
      </c>
      <c r="C184">
        <v>49.53</v>
      </c>
      <c r="D184" t="s">
        <v>608</v>
      </c>
      <c r="E184" t="s">
        <v>608</v>
      </c>
      <c r="F184">
        <v>19.850000000000001</v>
      </c>
      <c r="G184">
        <v>14.51</v>
      </c>
      <c r="H184">
        <v>0</v>
      </c>
      <c r="I184">
        <v>0</v>
      </c>
      <c r="J184" t="s">
        <v>3082</v>
      </c>
      <c r="K184" s="17" t="s">
        <v>604</v>
      </c>
    </row>
    <row r="185" spans="1:11" x14ac:dyDescent="0.2">
      <c r="A185" t="s">
        <v>1753</v>
      </c>
      <c r="B185" t="s">
        <v>1205</v>
      </c>
      <c r="C185">
        <v>60.78</v>
      </c>
      <c r="D185" t="s">
        <v>608</v>
      </c>
      <c r="E185" t="s">
        <v>608</v>
      </c>
      <c r="F185">
        <v>40.590000000000003</v>
      </c>
      <c r="G185">
        <v>30.13</v>
      </c>
      <c r="H185">
        <v>0</v>
      </c>
      <c r="I185">
        <v>0</v>
      </c>
      <c r="J185" t="s">
        <v>3082</v>
      </c>
      <c r="K185" s="17" t="s">
        <v>604</v>
      </c>
    </row>
    <row r="186" spans="1:11" x14ac:dyDescent="0.2">
      <c r="A186" t="s">
        <v>1754</v>
      </c>
      <c r="B186" t="s">
        <v>1205</v>
      </c>
      <c r="C186">
        <v>48.65</v>
      </c>
      <c r="D186" t="s">
        <v>608</v>
      </c>
      <c r="E186" t="s">
        <v>608</v>
      </c>
      <c r="F186">
        <v>22.34</v>
      </c>
      <c r="G186">
        <v>14.43</v>
      </c>
      <c r="H186">
        <v>0</v>
      </c>
      <c r="I186">
        <v>0</v>
      </c>
      <c r="J186" t="s">
        <v>3082</v>
      </c>
      <c r="K186" s="17" t="s">
        <v>604</v>
      </c>
    </row>
    <row r="187" spans="1:11" x14ac:dyDescent="0.2">
      <c r="A187" t="s">
        <v>1755</v>
      </c>
      <c r="B187" t="s">
        <v>1207</v>
      </c>
      <c r="C187">
        <v>52.22</v>
      </c>
      <c r="D187" t="s">
        <v>608</v>
      </c>
      <c r="E187" t="s">
        <v>608</v>
      </c>
      <c r="F187">
        <v>25.03</v>
      </c>
      <c r="G187">
        <v>16.27</v>
      </c>
      <c r="H187">
        <v>0</v>
      </c>
      <c r="I187">
        <v>0</v>
      </c>
      <c r="J187" t="s">
        <v>3082</v>
      </c>
      <c r="K187" s="17" t="s">
        <v>604</v>
      </c>
    </row>
    <row r="188" spans="1:11" x14ac:dyDescent="0.2">
      <c r="A188" t="s">
        <v>1756</v>
      </c>
      <c r="B188" t="s">
        <v>1207</v>
      </c>
      <c r="C188">
        <v>57.61</v>
      </c>
      <c r="D188" t="s">
        <v>608</v>
      </c>
      <c r="E188" t="s">
        <v>608</v>
      </c>
      <c r="F188">
        <v>53.82</v>
      </c>
      <c r="G188">
        <v>40.409999999999997</v>
      </c>
      <c r="H188">
        <v>0</v>
      </c>
      <c r="I188">
        <v>0</v>
      </c>
      <c r="J188" t="s">
        <v>3082</v>
      </c>
      <c r="K188" s="17" t="s">
        <v>604</v>
      </c>
    </row>
    <row r="189" spans="1:11" x14ac:dyDescent="0.2">
      <c r="A189" t="s">
        <v>1757</v>
      </c>
      <c r="B189" t="s">
        <v>1207</v>
      </c>
      <c r="C189">
        <v>53.54</v>
      </c>
      <c r="D189" t="s">
        <v>608</v>
      </c>
      <c r="E189" t="s">
        <v>608</v>
      </c>
      <c r="F189">
        <v>23.26</v>
      </c>
      <c r="G189">
        <v>17.75</v>
      </c>
      <c r="H189">
        <v>0</v>
      </c>
      <c r="I189">
        <v>0</v>
      </c>
      <c r="J189" t="s">
        <v>3082</v>
      </c>
      <c r="K189" s="17" t="s">
        <v>604</v>
      </c>
    </row>
    <row r="190" spans="1:11" x14ac:dyDescent="0.2">
      <c r="A190" t="s">
        <v>1758</v>
      </c>
      <c r="B190" t="s">
        <v>1207</v>
      </c>
      <c r="C190">
        <v>56</v>
      </c>
      <c r="D190" t="s">
        <v>608</v>
      </c>
      <c r="E190" t="s">
        <v>608</v>
      </c>
      <c r="F190">
        <v>31.25</v>
      </c>
      <c r="G190">
        <v>23.62</v>
      </c>
      <c r="H190">
        <v>0</v>
      </c>
      <c r="I190">
        <v>0</v>
      </c>
      <c r="J190" t="s">
        <v>3082</v>
      </c>
      <c r="K190" s="17" t="s">
        <v>604</v>
      </c>
    </row>
    <row r="191" spans="1:11" x14ac:dyDescent="0.2">
      <c r="A191" t="s">
        <v>1759</v>
      </c>
      <c r="B191" t="s">
        <v>1207</v>
      </c>
      <c r="C191">
        <v>43.91</v>
      </c>
      <c r="D191" t="s">
        <v>608</v>
      </c>
      <c r="E191" t="s">
        <v>608</v>
      </c>
      <c r="F191">
        <v>28.8</v>
      </c>
      <c r="G191">
        <v>22.22</v>
      </c>
      <c r="H191">
        <v>0</v>
      </c>
      <c r="I191">
        <v>0</v>
      </c>
      <c r="J191" t="s">
        <v>3082</v>
      </c>
      <c r="K191" s="17" t="s">
        <v>604</v>
      </c>
    </row>
    <row r="192" spans="1:11" x14ac:dyDescent="0.2">
      <c r="A192" t="s">
        <v>1760</v>
      </c>
      <c r="B192" t="s">
        <v>1209</v>
      </c>
      <c r="C192">
        <v>45.87</v>
      </c>
      <c r="D192" t="s">
        <v>608</v>
      </c>
      <c r="E192" t="s">
        <v>608</v>
      </c>
      <c r="F192">
        <v>16.34</v>
      </c>
      <c r="G192">
        <v>11.66</v>
      </c>
      <c r="H192">
        <v>0</v>
      </c>
      <c r="I192">
        <v>0</v>
      </c>
      <c r="J192" t="s">
        <v>3082</v>
      </c>
      <c r="K192" s="17" t="s">
        <v>604</v>
      </c>
    </row>
    <row r="193" spans="1:11" x14ac:dyDescent="0.2">
      <c r="A193" t="s">
        <v>1761</v>
      </c>
      <c r="B193" t="s">
        <v>1209</v>
      </c>
      <c r="C193">
        <v>46.87</v>
      </c>
      <c r="D193" t="s">
        <v>608</v>
      </c>
      <c r="E193" t="s">
        <v>608</v>
      </c>
      <c r="F193">
        <v>23.18</v>
      </c>
      <c r="G193">
        <v>17.559999999999999</v>
      </c>
      <c r="H193">
        <v>0</v>
      </c>
      <c r="I193">
        <v>0</v>
      </c>
      <c r="J193" t="s">
        <v>3082</v>
      </c>
      <c r="K193" s="17" t="s">
        <v>604</v>
      </c>
    </row>
    <row r="194" spans="1:11" x14ac:dyDescent="0.2">
      <c r="A194" t="s">
        <v>1762</v>
      </c>
      <c r="B194" t="s">
        <v>1209</v>
      </c>
      <c r="C194">
        <v>55.01</v>
      </c>
      <c r="D194" t="s">
        <v>608</v>
      </c>
      <c r="E194" t="s">
        <v>608</v>
      </c>
      <c r="F194">
        <v>20.9</v>
      </c>
      <c r="G194">
        <v>14.44</v>
      </c>
      <c r="H194">
        <v>0</v>
      </c>
      <c r="I194">
        <v>0</v>
      </c>
      <c r="J194" t="s">
        <v>3082</v>
      </c>
      <c r="K194" s="17" t="s">
        <v>604</v>
      </c>
    </row>
    <row r="195" spans="1:11" x14ac:dyDescent="0.2">
      <c r="A195" t="s">
        <v>1763</v>
      </c>
      <c r="B195" t="s">
        <v>1209</v>
      </c>
      <c r="C195">
        <v>53.67</v>
      </c>
      <c r="D195" t="s">
        <v>608</v>
      </c>
      <c r="E195" t="s">
        <v>608</v>
      </c>
      <c r="F195">
        <v>22.36</v>
      </c>
      <c r="G195">
        <v>17.61</v>
      </c>
      <c r="H195">
        <v>0</v>
      </c>
      <c r="I195">
        <v>0</v>
      </c>
      <c r="J195" t="s">
        <v>3082</v>
      </c>
      <c r="K195" s="17" t="s">
        <v>604</v>
      </c>
    </row>
    <row r="196" spans="1:11" x14ac:dyDescent="0.2">
      <c r="A196" t="s">
        <v>1764</v>
      </c>
      <c r="B196" t="s">
        <v>1209</v>
      </c>
      <c r="C196">
        <v>60.96</v>
      </c>
      <c r="D196" t="s">
        <v>608</v>
      </c>
      <c r="E196" t="s">
        <v>608</v>
      </c>
      <c r="F196">
        <v>33.79</v>
      </c>
      <c r="G196">
        <v>24.29</v>
      </c>
      <c r="H196">
        <v>0</v>
      </c>
      <c r="I196">
        <v>0</v>
      </c>
      <c r="J196" t="s">
        <v>3082</v>
      </c>
      <c r="K196" s="17" t="s">
        <v>604</v>
      </c>
    </row>
    <row r="197" spans="1:11" x14ac:dyDescent="0.2">
      <c r="A197" t="s">
        <v>1765</v>
      </c>
      <c r="B197" t="s">
        <v>1211</v>
      </c>
      <c r="C197">
        <v>79.209999999999994</v>
      </c>
      <c r="D197" t="s">
        <v>608</v>
      </c>
      <c r="E197" t="s">
        <v>608</v>
      </c>
      <c r="F197">
        <v>51.14</v>
      </c>
      <c r="G197">
        <v>35.200000000000003</v>
      </c>
      <c r="H197">
        <v>0</v>
      </c>
      <c r="I197">
        <v>0</v>
      </c>
      <c r="J197" t="s">
        <v>3082</v>
      </c>
      <c r="K197" s="17" t="s">
        <v>604</v>
      </c>
    </row>
    <row r="198" spans="1:11" x14ac:dyDescent="0.2">
      <c r="A198" t="s">
        <v>1766</v>
      </c>
      <c r="B198" t="s">
        <v>1211</v>
      </c>
      <c r="C198">
        <v>42.53</v>
      </c>
      <c r="D198" t="s">
        <v>608</v>
      </c>
      <c r="E198" t="s">
        <v>608</v>
      </c>
      <c r="F198">
        <v>12.52</v>
      </c>
      <c r="G198">
        <v>9.51</v>
      </c>
      <c r="H198">
        <v>0</v>
      </c>
      <c r="I198">
        <v>0</v>
      </c>
      <c r="J198" t="s">
        <v>3082</v>
      </c>
      <c r="K198" s="17" t="s">
        <v>604</v>
      </c>
    </row>
    <row r="199" spans="1:11" x14ac:dyDescent="0.2">
      <c r="A199" t="s">
        <v>1767</v>
      </c>
      <c r="B199" t="s">
        <v>1211</v>
      </c>
      <c r="C199">
        <v>55.49</v>
      </c>
      <c r="D199" t="s">
        <v>608</v>
      </c>
      <c r="E199" t="s">
        <v>608</v>
      </c>
      <c r="F199">
        <v>21.71</v>
      </c>
      <c r="G199">
        <v>16.57</v>
      </c>
      <c r="H199">
        <v>0.5</v>
      </c>
      <c r="I199">
        <v>0</v>
      </c>
      <c r="J199" t="s">
        <v>3082</v>
      </c>
      <c r="K199" s="17" t="s">
        <v>604</v>
      </c>
    </row>
    <row r="200" spans="1:11" x14ac:dyDescent="0.2">
      <c r="A200" t="s">
        <v>1768</v>
      </c>
      <c r="B200" t="s">
        <v>1211</v>
      </c>
      <c r="C200">
        <v>84.5</v>
      </c>
      <c r="D200" t="s">
        <v>608</v>
      </c>
      <c r="E200" t="s">
        <v>608</v>
      </c>
      <c r="F200">
        <v>46.77</v>
      </c>
      <c r="G200">
        <v>33.61</v>
      </c>
      <c r="H200">
        <v>0</v>
      </c>
      <c r="I200">
        <v>0</v>
      </c>
      <c r="J200" t="s">
        <v>3082</v>
      </c>
      <c r="K200" s="17" t="s">
        <v>604</v>
      </c>
    </row>
    <row r="201" spans="1:11" x14ac:dyDescent="0.2">
      <c r="A201" t="s">
        <v>1769</v>
      </c>
      <c r="B201" t="s">
        <v>1211</v>
      </c>
      <c r="C201">
        <v>44.68</v>
      </c>
      <c r="D201" t="s">
        <v>608</v>
      </c>
      <c r="E201" t="s">
        <v>608</v>
      </c>
      <c r="F201">
        <v>16.73</v>
      </c>
      <c r="G201">
        <v>11.67</v>
      </c>
      <c r="H201">
        <v>0.5</v>
      </c>
      <c r="I201">
        <v>1</v>
      </c>
      <c r="J201" t="s">
        <v>3082</v>
      </c>
      <c r="K201" s="17" t="s">
        <v>604</v>
      </c>
    </row>
    <row r="202" spans="1:11" x14ac:dyDescent="0.2">
      <c r="A202" t="s">
        <v>1770</v>
      </c>
      <c r="B202" t="s">
        <v>1213</v>
      </c>
      <c r="C202">
        <v>34.42</v>
      </c>
      <c r="D202" t="s">
        <v>608</v>
      </c>
      <c r="E202" t="s">
        <v>608</v>
      </c>
      <c r="F202">
        <v>9.02</v>
      </c>
      <c r="G202">
        <v>6.67</v>
      </c>
      <c r="H202">
        <v>0</v>
      </c>
      <c r="I202">
        <v>0</v>
      </c>
      <c r="J202" t="s">
        <v>3082</v>
      </c>
      <c r="K202" s="17" t="s">
        <v>604</v>
      </c>
    </row>
    <row r="203" spans="1:11" x14ac:dyDescent="0.2">
      <c r="A203" t="s">
        <v>1771</v>
      </c>
      <c r="B203" t="s">
        <v>1213</v>
      </c>
      <c r="C203">
        <v>48.03</v>
      </c>
      <c r="D203" t="s">
        <v>608</v>
      </c>
      <c r="E203" t="s">
        <v>608</v>
      </c>
      <c r="F203">
        <v>22.25</v>
      </c>
      <c r="G203">
        <v>16.91</v>
      </c>
      <c r="H203">
        <v>0</v>
      </c>
      <c r="I203">
        <v>0</v>
      </c>
      <c r="J203" t="s">
        <v>3082</v>
      </c>
      <c r="K203" s="17" t="s">
        <v>604</v>
      </c>
    </row>
    <row r="204" spans="1:11" x14ac:dyDescent="0.2">
      <c r="A204" t="s">
        <v>1772</v>
      </c>
      <c r="B204" t="s">
        <v>1213</v>
      </c>
      <c r="C204">
        <v>46.24</v>
      </c>
      <c r="D204" t="s">
        <v>608</v>
      </c>
      <c r="E204" t="s">
        <v>608</v>
      </c>
      <c r="F204">
        <v>13.82</v>
      </c>
      <c r="G204">
        <v>10.1</v>
      </c>
      <c r="H204">
        <v>0</v>
      </c>
      <c r="I204">
        <v>0</v>
      </c>
      <c r="J204" t="s">
        <v>3082</v>
      </c>
      <c r="K204" s="17" t="s">
        <v>604</v>
      </c>
    </row>
    <row r="205" spans="1:11" x14ac:dyDescent="0.2">
      <c r="A205" t="s">
        <v>1773</v>
      </c>
      <c r="B205" t="s">
        <v>1213</v>
      </c>
      <c r="C205">
        <v>38.549999999999997</v>
      </c>
      <c r="D205" t="s">
        <v>608</v>
      </c>
      <c r="E205" t="s">
        <v>608</v>
      </c>
      <c r="F205">
        <v>16.760000000000002</v>
      </c>
      <c r="G205">
        <v>10.68</v>
      </c>
      <c r="H205">
        <v>0</v>
      </c>
      <c r="I205">
        <v>0</v>
      </c>
      <c r="J205" t="s">
        <v>3082</v>
      </c>
      <c r="K205" s="17" t="s">
        <v>604</v>
      </c>
    </row>
    <row r="206" spans="1:11" x14ac:dyDescent="0.2">
      <c r="A206" t="s">
        <v>1774</v>
      </c>
      <c r="B206" t="s">
        <v>1213</v>
      </c>
      <c r="C206">
        <v>60.17</v>
      </c>
      <c r="D206" t="s">
        <v>608</v>
      </c>
      <c r="E206" t="s">
        <v>608</v>
      </c>
      <c r="F206">
        <v>28.95</v>
      </c>
      <c r="G206">
        <v>20.16</v>
      </c>
      <c r="H206">
        <v>0</v>
      </c>
      <c r="I206">
        <v>0.5</v>
      </c>
      <c r="J206" t="s">
        <v>3082</v>
      </c>
      <c r="K206" s="17" t="s">
        <v>604</v>
      </c>
    </row>
    <row r="207" spans="1:11" x14ac:dyDescent="0.2">
      <c r="A207" t="s">
        <v>1775</v>
      </c>
      <c r="B207" t="s">
        <v>1215</v>
      </c>
      <c r="C207">
        <v>56.95</v>
      </c>
      <c r="D207" t="s">
        <v>608</v>
      </c>
      <c r="E207" t="s">
        <v>608</v>
      </c>
      <c r="F207">
        <v>23.89</v>
      </c>
      <c r="G207">
        <v>16.72</v>
      </c>
      <c r="H207">
        <v>0.5</v>
      </c>
      <c r="I207">
        <v>0</v>
      </c>
      <c r="J207" t="s">
        <v>3082</v>
      </c>
      <c r="K207" s="17" t="s">
        <v>604</v>
      </c>
    </row>
    <row r="208" spans="1:11" x14ac:dyDescent="0.2">
      <c r="A208" t="s">
        <v>1776</v>
      </c>
      <c r="B208" t="s">
        <v>1215</v>
      </c>
      <c r="C208">
        <v>51.39</v>
      </c>
      <c r="D208" t="s">
        <v>608</v>
      </c>
      <c r="E208" t="s">
        <v>608</v>
      </c>
      <c r="F208">
        <v>25.3</v>
      </c>
      <c r="G208">
        <v>18.14</v>
      </c>
      <c r="H208">
        <v>0.5</v>
      </c>
      <c r="I208">
        <v>0</v>
      </c>
      <c r="J208" t="s">
        <v>3082</v>
      </c>
      <c r="K208" s="17" t="s">
        <v>604</v>
      </c>
    </row>
    <row r="209" spans="1:11" x14ac:dyDescent="0.2">
      <c r="A209" t="s">
        <v>1777</v>
      </c>
      <c r="B209" t="s">
        <v>1215</v>
      </c>
      <c r="C209">
        <v>54.03</v>
      </c>
      <c r="D209" t="s">
        <v>608</v>
      </c>
      <c r="E209" t="s">
        <v>608</v>
      </c>
      <c r="F209">
        <v>18.559999999999999</v>
      </c>
      <c r="G209">
        <v>13.74</v>
      </c>
      <c r="H209">
        <v>0</v>
      </c>
      <c r="I209">
        <v>0</v>
      </c>
      <c r="J209" t="s">
        <v>3082</v>
      </c>
      <c r="K209" s="17" t="s">
        <v>604</v>
      </c>
    </row>
    <row r="210" spans="1:11" x14ac:dyDescent="0.2">
      <c r="A210" t="s">
        <v>1778</v>
      </c>
      <c r="B210" t="s">
        <v>1215</v>
      </c>
      <c r="C210">
        <v>46.63</v>
      </c>
      <c r="D210" t="s">
        <v>608</v>
      </c>
      <c r="E210" t="s">
        <v>608</v>
      </c>
      <c r="F210">
        <v>17.059999999999999</v>
      </c>
      <c r="G210">
        <v>13.67</v>
      </c>
      <c r="H210">
        <v>0.5</v>
      </c>
      <c r="I210">
        <v>0</v>
      </c>
      <c r="J210" t="s">
        <v>3082</v>
      </c>
      <c r="K210" s="17" t="s">
        <v>604</v>
      </c>
    </row>
    <row r="211" spans="1:11" x14ac:dyDescent="0.2">
      <c r="A211" t="s">
        <v>1779</v>
      </c>
      <c r="B211" t="s">
        <v>1215</v>
      </c>
      <c r="C211">
        <v>42.01</v>
      </c>
      <c r="D211" t="s">
        <v>608</v>
      </c>
      <c r="E211" t="s">
        <v>608</v>
      </c>
      <c r="F211">
        <v>15.72</v>
      </c>
      <c r="G211">
        <v>11.41</v>
      </c>
      <c r="H211">
        <v>0</v>
      </c>
      <c r="I211">
        <v>0</v>
      </c>
      <c r="J211" t="s">
        <v>3082</v>
      </c>
      <c r="K211" s="17" t="s">
        <v>604</v>
      </c>
    </row>
    <row r="212" spans="1:11" x14ac:dyDescent="0.2">
      <c r="A212" t="s">
        <v>1780</v>
      </c>
      <c r="B212" t="s">
        <v>1223</v>
      </c>
      <c r="C212">
        <v>55.85</v>
      </c>
      <c r="D212" t="s">
        <v>608</v>
      </c>
      <c r="E212" t="s">
        <v>608</v>
      </c>
      <c r="F212">
        <v>27.76</v>
      </c>
      <c r="G212">
        <v>20.9</v>
      </c>
      <c r="H212">
        <v>0.5</v>
      </c>
      <c r="I212">
        <v>0.5</v>
      </c>
      <c r="J212" t="s">
        <v>3082</v>
      </c>
      <c r="K212" s="17" t="s">
        <v>604</v>
      </c>
    </row>
    <row r="213" spans="1:11" x14ac:dyDescent="0.2">
      <c r="A213" t="s">
        <v>1781</v>
      </c>
      <c r="B213" t="s">
        <v>1223</v>
      </c>
      <c r="C213">
        <v>50.61</v>
      </c>
      <c r="D213" t="s">
        <v>608</v>
      </c>
      <c r="E213" t="s">
        <v>608</v>
      </c>
      <c r="F213">
        <v>18.84</v>
      </c>
      <c r="G213">
        <v>13.95</v>
      </c>
      <c r="H213">
        <v>0</v>
      </c>
      <c r="I213">
        <v>0</v>
      </c>
      <c r="J213" t="s">
        <v>3082</v>
      </c>
      <c r="K213" s="17" t="s">
        <v>604</v>
      </c>
    </row>
    <row r="214" spans="1:11" x14ac:dyDescent="0.2">
      <c r="A214" t="s">
        <v>1782</v>
      </c>
      <c r="B214" t="s">
        <v>1223</v>
      </c>
      <c r="C214">
        <v>54.08</v>
      </c>
      <c r="D214" t="s">
        <v>608</v>
      </c>
      <c r="E214" t="s">
        <v>608</v>
      </c>
      <c r="F214">
        <v>24.04</v>
      </c>
      <c r="G214">
        <v>18.600000000000001</v>
      </c>
      <c r="H214">
        <v>0</v>
      </c>
      <c r="I214">
        <v>0</v>
      </c>
      <c r="J214" t="s">
        <v>3082</v>
      </c>
      <c r="K214" s="17" t="s">
        <v>604</v>
      </c>
    </row>
    <row r="215" spans="1:11" x14ac:dyDescent="0.2">
      <c r="A215" t="s">
        <v>1783</v>
      </c>
      <c r="B215" t="s">
        <v>1223</v>
      </c>
      <c r="C215">
        <v>46.04</v>
      </c>
      <c r="D215" t="s">
        <v>608</v>
      </c>
      <c r="E215" t="s">
        <v>608</v>
      </c>
      <c r="F215">
        <v>19.87</v>
      </c>
      <c r="G215">
        <v>13.73</v>
      </c>
      <c r="H215">
        <v>0</v>
      </c>
      <c r="I215">
        <v>0</v>
      </c>
      <c r="J215" t="s">
        <v>3082</v>
      </c>
      <c r="K215" s="17" t="s">
        <v>604</v>
      </c>
    </row>
    <row r="216" spans="1:11" x14ac:dyDescent="0.2">
      <c r="A216" t="s">
        <v>1784</v>
      </c>
      <c r="B216" t="s">
        <v>1223</v>
      </c>
      <c r="C216">
        <v>68.510000000000005</v>
      </c>
      <c r="D216" t="s">
        <v>608</v>
      </c>
      <c r="E216" t="s">
        <v>608</v>
      </c>
      <c r="F216">
        <v>33.119999999999997</v>
      </c>
      <c r="G216">
        <v>23.9</v>
      </c>
      <c r="H216">
        <v>0.5</v>
      </c>
      <c r="I216">
        <v>0.5</v>
      </c>
      <c r="J216" t="s">
        <v>3082</v>
      </c>
      <c r="K216" s="17" t="s">
        <v>604</v>
      </c>
    </row>
    <row r="217" spans="1:11" x14ac:dyDescent="0.2">
      <c r="A217" t="s">
        <v>1785</v>
      </c>
      <c r="B217" t="s">
        <v>1225</v>
      </c>
      <c r="C217">
        <v>62.56</v>
      </c>
      <c r="D217" t="s">
        <v>608</v>
      </c>
      <c r="E217" t="s">
        <v>608</v>
      </c>
      <c r="F217">
        <v>49.63</v>
      </c>
      <c r="G217">
        <v>35.590000000000003</v>
      </c>
      <c r="H217">
        <v>0</v>
      </c>
      <c r="I217">
        <v>0</v>
      </c>
      <c r="J217" t="s">
        <v>3082</v>
      </c>
      <c r="K217" s="17" t="s">
        <v>604</v>
      </c>
    </row>
    <row r="218" spans="1:11" x14ac:dyDescent="0.2">
      <c r="A218" t="s">
        <v>1786</v>
      </c>
      <c r="B218" t="s">
        <v>1225</v>
      </c>
      <c r="C218">
        <v>60.18</v>
      </c>
      <c r="D218" t="s">
        <v>608</v>
      </c>
      <c r="E218" t="s">
        <v>608</v>
      </c>
      <c r="F218">
        <v>21.54</v>
      </c>
      <c r="G218">
        <v>15</v>
      </c>
      <c r="H218">
        <v>0</v>
      </c>
      <c r="I218">
        <v>0</v>
      </c>
      <c r="J218" t="s">
        <v>3082</v>
      </c>
      <c r="K218" s="17" t="s">
        <v>604</v>
      </c>
    </row>
    <row r="219" spans="1:11" x14ac:dyDescent="0.2">
      <c r="A219" t="s">
        <v>1787</v>
      </c>
      <c r="B219" t="s">
        <v>1225</v>
      </c>
      <c r="C219">
        <v>50.68</v>
      </c>
      <c r="D219" t="s">
        <v>608</v>
      </c>
      <c r="E219" t="s">
        <v>608</v>
      </c>
      <c r="F219">
        <v>31.26</v>
      </c>
      <c r="G219">
        <v>23.26</v>
      </c>
      <c r="H219">
        <v>0.5</v>
      </c>
      <c r="I219">
        <v>0</v>
      </c>
      <c r="J219" t="s">
        <v>3082</v>
      </c>
      <c r="K219" s="17" t="s">
        <v>604</v>
      </c>
    </row>
    <row r="220" spans="1:11" x14ac:dyDescent="0.2">
      <c r="A220" t="s">
        <v>1788</v>
      </c>
      <c r="B220" t="s">
        <v>1225</v>
      </c>
      <c r="C220">
        <v>49.43</v>
      </c>
      <c r="D220" t="s">
        <v>608</v>
      </c>
      <c r="E220" t="s">
        <v>608</v>
      </c>
      <c r="F220">
        <v>26.96</v>
      </c>
      <c r="G220">
        <v>19.8</v>
      </c>
      <c r="H220">
        <v>0</v>
      </c>
      <c r="I220">
        <v>0</v>
      </c>
      <c r="J220" t="s">
        <v>3082</v>
      </c>
      <c r="K220" s="17" t="s">
        <v>604</v>
      </c>
    </row>
    <row r="221" spans="1:11" x14ac:dyDescent="0.2">
      <c r="A221" t="s">
        <v>1789</v>
      </c>
      <c r="B221" t="s">
        <v>1225</v>
      </c>
      <c r="C221">
        <v>49.57</v>
      </c>
      <c r="D221" t="s">
        <v>608</v>
      </c>
      <c r="E221" t="s">
        <v>608</v>
      </c>
      <c r="F221">
        <v>26.16</v>
      </c>
      <c r="G221">
        <v>18.649999999999999</v>
      </c>
      <c r="H221">
        <v>0</v>
      </c>
      <c r="I221">
        <v>0.5</v>
      </c>
      <c r="J221" t="s">
        <v>3082</v>
      </c>
      <c r="K221" s="17" t="s">
        <v>604</v>
      </c>
    </row>
    <row r="222" spans="1:11" x14ac:dyDescent="0.2">
      <c r="A222" t="s">
        <v>1790</v>
      </c>
      <c r="B222" t="s">
        <v>1227</v>
      </c>
      <c r="C222">
        <v>68.069999999999993</v>
      </c>
      <c r="D222" t="s">
        <v>608</v>
      </c>
      <c r="E222" t="s">
        <v>608</v>
      </c>
      <c r="F222">
        <v>47.69</v>
      </c>
      <c r="G222">
        <v>38.159999999999997</v>
      </c>
      <c r="H222">
        <v>0.5</v>
      </c>
      <c r="I222">
        <v>0</v>
      </c>
      <c r="J222" t="s">
        <v>3082</v>
      </c>
      <c r="K222" s="17" t="s">
        <v>604</v>
      </c>
    </row>
    <row r="223" spans="1:11" x14ac:dyDescent="0.2">
      <c r="A223" t="s">
        <v>1791</v>
      </c>
      <c r="B223" t="s">
        <v>1227</v>
      </c>
      <c r="C223">
        <v>42.68</v>
      </c>
      <c r="D223" t="s">
        <v>608</v>
      </c>
      <c r="E223" t="s">
        <v>608</v>
      </c>
      <c r="F223">
        <v>12.34</v>
      </c>
      <c r="G223">
        <v>9.51</v>
      </c>
      <c r="H223">
        <v>0</v>
      </c>
      <c r="I223">
        <v>0</v>
      </c>
      <c r="J223" t="s">
        <v>3082</v>
      </c>
      <c r="K223" s="17" t="s">
        <v>604</v>
      </c>
    </row>
    <row r="224" spans="1:11" x14ac:dyDescent="0.2">
      <c r="A224" t="s">
        <v>1792</v>
      </c>
      <c r="B224" t="s">
        <v>1227</v>
      </c>
      <c r="C224">
        <v>45.62</v>
      </c>
      <c r="D224" t="s">
        <v>608</v>
      </c>
      <c r="E224" t="s">
        <v>608</v>
      </c>
      <c r="F224">
        <v>15.35</v>
      </c>
      <c r="G224">
        <v>10.59</v>
      </c>
      <c r="H224">
        <v>0</v>
      </c>
      <c r="I224">
        <v>0</v>
      </c>
      <c r="J224" t="s">
        <v>3082</v>
      </c>
      <c r="K224" s="17" t="s">
        <v>604</v>
      </c>
    </row>
    <row r="225" spans="1:11" x14ac:dyDescent="0.2">
      <c r="A225" t="s">
        <v>1793</v>
      </c>
      <c r="B225" t="s">
        <v>1227</v>
      </c>
      <c r="C225">
        <v>56.59</v>
      </c>
      <c r="D225" t="s">
        <v>608</v>
      </c>
      <c r="E225" t="s">
        <v>608</v>
      </c>
      <c r="F225">
        <v>20.93</v>
      </c>
      <c r="G225">
        <v>15.36</v>
      </c>
      <c r="H225">
        <v>0</v>
      </c>
      <c r="I225">
        <v>0</v>
      </c>
      <c r="J225" t="s">
        <v>3082</v>
      </c>
      <c r="K225" s="17" t="s">
        <v>604</v>
      </c>
    </row>
    <row r="226" spans="1:11" x14ac:dyDescent="0.2">
      <c r="A226" t="s">
        <v>1794</v>
      </c>
      <c r="B226" t="s">
        <v>1227</v>
      </c>
      <c r="C226">
        <v>41.31</v>
      </c>
      <c r="D226" t="s">
        <v>608</v>
      </c>
      <c r="E226" t="s">
        <v>608</v>
      </c>
      <c r="F226">
        <v>17.989999999999998</v>
      </c>
      <c r="G226">
        <v>12.74</v>
      </c>
      <c r="H226">
        <v>0</v>
      </c>
      <c r="I226">
        <v>0</v>
      </c>
      <c r="J226" t="s">
        <v>3082</v>
      </c>
      <c r="K226" s="17" t="s">
        <v>604</v>
      </c>
    </row>
    <row r="227" spans="1:11" x14ac:dyDescent="0.2">
      <c r="A227" t="s">
        <v>1795</v>
      </c>
      <c r="B227" t="s">
        <v>1235</v>
      </c>
      <c r="C227">
        <v>60.2</v>
      </c>
      <c r="D227" t="s">
        <v>608</v>
      </c>
      <c r="E227" t="s">
        <v>608</v>
      </c>
      <c r="F227">
        <v>34.86</v>
      </c>
      <c r="G227">
        <v>26</v>
      </c>
      <c r="H227">
        <v>1</v>
      </c>
      <c r="I227">
        <v>2</v>
      </c>
      <c r="J227" t="s">
        <v>3082</v>
      </c>
      <c r="K227" s="17" t="s">
        <v>604</v>
      </c>
    </row>
    <row r="228" spans="1:11" x14ac:dyDescent="0.2">
      <c r="A228" t="s">
        <v>1796</v>
      </c>
      <c r="B228" t="s">
        <v>1235</v>
      </c>
      <c r="C228">
        <v>57.22</v>
      </c>
      <c r="D228" t="s">
        <v>608</v>
      </c>
      <c r="E228" t="s">
        <v>608</v>
      </c>
      <c r="F228">
        <v>36.659999999999997</v>
      </c>
      <c r="G228">
        <v>26.06</v>
      </c>
      <c r="H228">
        <v>0</v>
      </c>
      <c r="I228">
        <v>0</v>
      </c>
      <c r="J228" t="s">
        <v>3082</v>
      </c>
      <c r="K228" s="17" t="s">
        <v>604</v>
      </c>
    </row>
    <row r="229" spans="1:11" x14ac:dyDescent="0.2">
      <c r="A229" t="s">
        <v>1797</v>
      </c>
      <c r="B229" t="s">
        <v>1235</v>
      </c>
      <c r="C229">
        <v>55.84</v>
      </c>
      <c r="D229" t="s">
        <v>608</v>
      </c>
      <c r="E229" t="s">
        <v>608</v>
      </c>
      <c r="F229">
        <v>21.26</v>
      </c>
      <c r="G229">
        <v>16.260000000000002</v>
      </c>
      <c r="H229">
        <v>0.5</v>
      </c>
      <c r="I229">
        <v>0</v>
      </c>
      <c r="J229" t="s">
        <v>3082</v>
      </c>
      <c r="K229" s="17" t="s">
        <v>604</v>
      </c>
    </row>
    <row r="230" spans="1:11" x14ac:dyDescent="0.2">
      <c r="A230" t="s">
        <v>1798</v>
      </c>
      <c r="B230" t="s">
        <v>1235</v>
      </c>
      <c r="C230">
        <v>54</v>
      </c>
      <c r="D230" t="s">
        <v>608</v>
      </c>
      <c r="E230" t="s">
        <v>608</v>
      </c>
      <c r="F230">
        <v>19.29</v>
      </c>
      <c r="G230">
        <v>13.2</v>
      </c>
      <c r="H230">
        <v>0</v>
      </c>
      <c r="I230">
        <v>0</v>
      </c>
      <c r="J230" t="s">
        <v>3082</v>
      </c>
      <c r="K230" s="17" t="s">
        <v>604</v>
      </c>
    </row>
    <row r="231" spans="1:11" x14ac:dyDescent="0.2">
      <c r="A231" t="s">
        <v>1799</v>
      </c>
      <c r="B231" t="s">
        <v>1235</v>
      </c>
      <c r="C231">
        <v>48.09</v>
      </c>
      <c r="D231" t="s">
        <v>608</v>
      </c>
      <c r="E231" t="s">
        <v>608</v>
      </c>
      <c r="F231">
        <v>22.25</v>
      </c>
      <c r="G231">
        <v>16.57</v>
      </c>
      <c r="H231">
        <v>1</v>
      </c>
      <c r="I231">
        <v>1</v>
      </c>
      <c r="J231" t="s">
        <v>3082</v>
      </c>
      <c r="K231" s="17" t="s">
        <v>604</v>
      </c>
    </row>
    <row r="232" spans="1:11" x14ac:dyDescent="0.2">
      <c r="A232" t="s">
        <v>1800</v>
      </c>
      <c r="B232" t="s">
        <v>1237</v>
      </c>
      <c r="C232">
        <v>53.73</v>
      </c>
      <c r="D232" t="s">
        <v>608</v>
      </c>
      <c r="E232" t="s">
        <v>608</v>
      </c>
      <c r="F232">
        <v>22.16</v>
      </c>
      <c r="G232">
        <v>14.53</v>
      </c>
      <c r="H232">
        <v>0</v>
      </c>
      <c r="I232">
        <v>0</v>
      </c>
      <c r="J232" t="s">
        <v>3082</v>
      </c>
      <c r="K232" s="17" t="s">
        <v>604</v>
      </c>
    </row>
    <row r="233" spans="1:11" x14ac:dyDescent="0.2">
      <c r="A233" t="s">
        <v>1801</v>
      </c>
      <c r="B233" t="s">
        <v>1237</v>
      </c>
      <c r="C233">
        <v>63.75</v>
      </c>
      <c r="D233" t="s">
        <v>608</v>
      </c>
      <c r="E233" t="s">
        <v>608</v>
      </c>
      <c r="F233">
        <v>29.6</v>
      </c>
      <c r="G233">
        <v>20.7</v>
      </c>
      <c r="H233">
        <v>0</v>
      </c>
      <c r="I233">
        <v>0</v>
      </c>
      <c r="J233" t="s">
        <v>3082</v>
      </c>
      <c r="K233" s="17" t="s">
        <v>604</v>
      </c>
    </row>
    <row r="234" spans="1:11" x14ac:dyDescent="0.2">
      <c r="A234" t="s">
        <v>1802</v>
      </c>
      <c r="B234" t="s">
        <v>1237</v>
      </c>
      <c r="C234">
        <v>60.97</v>
      </c>
      <c r="D234" t="s">
        <v>608</v>
      </c>
      <c r="E234" t="s">
        <v>608</v>
      </c>
      <c r="F234">
        <v>33.96</v>
      </c>
      <c r="G234">
        <v>23.21</v>
      </c>
      <c r="H234">
        <v>0</v>
      </c>
      <c r="I234">
        <v>0</v>
      </c>
      <c r="J234" t="s">
        <v>3082</v>
      </c>
      <c r="K234" s="17" t="s">
        <v>604</v>
      </c>
    </row>
    <row r="235" spans="1:11" x14ac:dyDescent="0.2">
      <c r="A235" t="s">
        <v>1803</v>
      </c>
      <c r="B235" t="s">
        <v>1237</v>
      </c>
      <c r="C235">
        <v>47.04</v>
      </c>
      <c r="D235" t="s">
        <v>608</v>
      </c>
      <c r="E235" t="s">
        <v>608</v>
      </c>
      <c r="F235">
        <v>33.65</v>
      </c>
      <c r="G235">
        <v>24.13</v>
      </c>
      <c r="H235">
        <v>0</v>
      </c>
      <c r="I235">
        <v>0</v>
      </c>
      <c r="J235" t="s">
        <v>3082</v>
      </c>
      <c r="K235" s="17" t="s">
        <v>604</v>
      </c>
    </row>
    <row r="236" spans="1:11" x14ac:dyDescent="0.2">
      <c r="A236" t="s">
        <v>1804</v>
      </c>
      <c r="B236" t="s">
        <v>1237</v>
      </c>
      <c r="C236">
        <v>51.16</v>
      </c>
      <c r="D236" t="s">
        <v>608</v>
      </c>
      <c r="E236" t="s">
        <v>608</v>
      </c>
      <c r="F236">
        <v>20.57</v>
      </c>
      <c r="G236">
        <v>14.8</v>
      </c>
      <c r="H236">
        <v>0</v>
      </c>
      <c r="I236">
        <v>0</v>
      </c>
      <c r="J236" t="s">
        <v>3082</v>
      </c>
      <c r="K236" s="17" t="s">
        <v>604</v>
      </c>
    </row>
    <row r="237" spans="1:11" x14ac:dyDescent="0.2">
      <c r="A237" t="s">
        <v>1805</v>
      </c>
      <c r="B237" t="s">
        <v>1239</v>
      </c>
      <c r="C237">
        <v>66.31</v>
      </c>
      <c r="D237" t="s">
        <v>608</v>
      </c>
      <c r="E237" t="s">
        <v>608</v>
      </c>
      <c r="F237">
        <v>39.03</v>
      </c>
      <c r="G237">
        <v>26.73</v>
      </c>
      <c r="H237">
        <v>0</v>
      </c>
      <c r="I237">
        <v>0</v>
      </c>
      <c r="J237" t="s">
        <v>3082</v>
      </c>
      <c r="K237" s="17" t="s">
        <v>604</v>
      </c>
    </row>
    <row r="238" spans="1:11" x14ac:dyDescent="0.2">
      <c r="A238" t="s">
        <v>1806</v>
      </c>
      <c r="B238" t="s">
        <v>1239</v>
      </c>
      <c r="C238">
        <v>54.23</v>
      </c>
      <c r="D238" t="s">
        <v>608</v>
      </c>
      <c r="E238" t="s">
        <v>608</v>
      </c>
      <c r="F238">
        <v>25.82</v>
      </c>
      <c r="G238">
        <v>20.22</v>
      </c>
      <c r="H238">
        <v>0</v>
      </c>
      <c r="I238">
        <v>0</v>
      </c>
      <c r="J238" t="s">
        <v>3082</v>
      </c>
      <c r="K238" s="17" t="s">
        <v>604</v>
      </c>
    </row>
    <row r="239" spans="1:11" x14ac:dyDescent="0.2">
      <c r="A239" t="s">
        <v>1807</v>
      </c>
      <c r="B239" t="s">
        <v>1239</v>
      </c>
      <c r="C239">
        <v>57.89</v>
      </c>
      <c r="D239" t="s">
        <v>608</v>
      </c>
      <c r="E239" t="s">
        <v>608</v>
      </c>
      <c r="F239">
        <v>25.77</v>
      </c>
      <c r="G239">
        <v>18.91</v>
      </c>
      <c r="H239">
        <v>0</v>
      </c>
      <c r="I239">
        <v>0</v>
      </c>
      <c r="J239" t="s">
        <v>3082</v>
      </c>
      <c r="K239" s="17" t="s">
        <v>604</v>
      </c>
    </row>
    <row r="240" spans="1:11" x14ac:dyDescent="0.2">
      <c r="A240" t="s">
        <v>1808</v>
      </c>
      <c r="B240" t="s">
        <v>1239</v>
      </c>
      <c r="C240">
        <v>48.02</v>
      </c>
      <c r="D240" t="s">
        <v>608</v>
      </c>
      <c r="E240" t="s">
        <v>608</v>
      </c>
      <c r="F240">
        <v>24.03</v>
      </c>
      <c r="G240">
        <v>19.05</v>
      </c>
      <c r="H240">
        <v>0</v>
      </c>
      <c r="I240">
        <v>0</v>
      </c>
      <c r="J240" t="s">
        <v>3082</v>
      </c>
      <c r="K240" s="17" t="s">
        <v>604</v>
      </c>
    </row>
    <row r="241" spans="1:11" x14ac:dyDescent="0.2">
      <c r="A241" t="s">
        <v>1809</v>
      </c>
      <c r="B241" t="s">
        <v>1239</v>
      </c>
      <c r="C241">
        <v>54.05</v>
      </c>
      <c r="D241" t="s">
        <v>608</v>
      </c>
      <c r="E241" t="s">
        <v>608</v>
      </c>
      <c r="F241">
        <v>24.26</v>
      </c>
      <c r="G241">
        <v>18.149999999999999</v>
      </c>
      <c r="H241">
        <v>0</v>
      </c>
      <c r="I241">
        <v>0</v>
      </c>
      <c r="J241" t="s">
        <v>3082</v>
      </c>
      <c r="K241" s="17" t="s">
        <v>604</v>
      </c>
    </row>
    <row r="242" spans="1:11" x14ac:dyDescent="0.2">
      <c r="A242" t="s">
        <v>1810</v>
      </c>
      <c r="B242" t="s">
        <v>1247</v>
      </c>
      <c r="C242">
        <v>68.48</v>
      </c>
      <c r="D242" t="s">
        <v>608</v>
      </c>
      <c r="E242" t="s">
        <v>608</v>
      </c>
      <c r="F242">
        <v>37.36</v>
      </c>
      <c r="G242">
        <v>27.94</v>
      </c>
      <c r="H242">
        <v>0</v>
      </c>
      <c r="I242">
        <v>0</v>
      </c>
      <c r="J242" t="s">
        <v>3082</v>
      </c>
      <c r="K242" s="28" t="s">
        <v>604</v>
      </c>
    </row>
    <row r="243" spans="1:11" x14ac:dyDescent="0.2">
      <c r="A243" t="s">
        <v>1811</v>
      </c>
      <c r="B243" t="s">
        <v>1247</v>
      </c>
      <c r="C243">
        <v>51.19</v>
      </c>
      <c r="D243" t="s">
        <v>608</v>
      </c>
      <c r="E243" t="s">
        <v>608</v>
      </c>
      <c r="F243">
        <v>24.05</v>
      </c>
      <c r="G243">
        <v>17.079999999999998</v>
      </c>
      <c r="H243">
        <v>0</v>
      </c>
      <c r="I243">
        <v>0</v>
      </c>
      <c r="J243" t="s">
        <v>3082</v>
      </c>
      <c r="K243" s="28" t="s">
        <v>604</v>
      </c>
    </row>
    <row r="244" spans="1:11" x14ac:dyDescent="0.2">
      <c r="A244" t="s">
        <v>1812</v>
      </c>
      <c r="B244" t="s">
        <v>1247</v>
      </c>
      <c r="C244">
        <v>48.77</v>
      </c>
      <c r="D244" t="s">
        <v>608</v>
      </c>
      <c r="E244" t="s">
        <v>608</v>
      </c>
      <c r="F244">
        <v>26.13</v>
      </c>
      <c r="G244">
        <v>20.14</v>
      </c>
      <c r="H244">
        <v>0</v>
      </c>
      <c r="I244">
        <v>0</v>
      </c>
      <c r="J244" t="s">
        <v>3082</v>
      </c>
      <c r="K244" s="28" t="s">
        <v>604</v>
      </c>
    </row>
    <row r="245" spans="1:11" x14ac:dyDescent="0.2">
      <c r="A245" t="s">
        <v>1813</v>
      </c>
      <c r="B245" t="s">
        <v>1247</v>
      </c>
      <c r="C245">
        <v>53.29</v>
      </c>
      <c r="D245" t="s">
        <v>608</v>
      </c>
      <c r="E245" t="s">
        <v>608</v>
      </c>
      <c r="F245">
        <v>26.6</v>
      </c>
      <c r="G245">
        <v>25.44</v>
      </c>
      <c r="H245">
        <v>0</v>
      </c>
      <c r="I245">
        <v>0</v>
      </c>
      <c r="J245" t="s">
        <v>3082</v>
      </c>
      <c r="K245" s="28" t="s">
        <v>604</v>
      </c>
    </row>
    <row r="246" spans="1:11" x14ac:dyDescent="0.2">
      <c r="A246" t="s">
        <v>1814</v>
      </c>
      <c r="B246" t="s">
        <v>1247</v>
      </c>
      <c r="C246">
        <v>68.25</v>
      </c>
      <c r="D246" t="s">
        <v>608</v>
      </c>
      <c r="E246" t="s">
        <v>608</v>
      </c>
      <c r="F246">
        <v>34.35</v>
      </c>
      <c r="G246">
        <v>19.25</v>
      </c>
      <c r="H246">
        <v>0</v>
      </c>
      <c r="I246">
        <v>0</v>
      </c>
      <c r="J246" t="s">
        <v>3082</v>
      </c>
      <c r="K246" s="28" t="s">
        <v>604</v>
      </c>
    </row>
    <row r="247" spans="1:11" x14ac:dyDescent="0.2">
      <c r="A247" t="s">
        <v>1815</v>
      </c>
      <c r="B247" t="s">
        <v>1249</v>
      </c>
      <c r="C247">
        <v>56.74</v>
      </c>
      <c r="D247" t="s">
        <v>608</v>
      </c>
      <c r="E247" t="s">
        <v>608</v>
      </c>
      <c r="F247">
        <v>39.299999999999997</v>
      </c>
      <c r="G247">
        <v>27.82</v>
      </c>
      <c r="H247">
        <v>0</v>
      </c>
      <c r="I247">
        <v>0</v>
      </c>
      <c r="J247" t="s">
        <v>3082</v>
      </c>
      <c r="K247" s="28" t="s">
        <v>604</v>
      </c>
    </row>
    <row r="248" spans="1:11" x14ac:dyDescent="0.2">
      <c r="A248" t="s">
        <v>1816</v>
      </c>
      <c r="B248" t="s">
        <v>1249</v>
      </c>
      <c r="C248">
        <v>55.36</v>
      </c>
      <c r="D248" t="s">
        <v>608</v>
      </c>
      <c r="E248" t="s">
        <v>608</v>
      </c>
      <c r="F248">
        <v>41.06</v>
      </c>
      <c r="G248">
        <v>30.13</v>
      </c>
      <c r="H248">
        <v>0</v>
      </c>
      <c r="I248">
        <v>0</v>
      </c>
      <c r="J248" t="s">
        <v>3082</v>
      </c>
      <c r="K248" s="28" t="s">
        <v>604</v>
      </c>
    </row>
    <row r="249" spans="1:11" x14ac:dyDescent="0.2">
      <c r="A249" t="s">
        <v>1817</v>
      </c>
      <c r="B249" t="s">
        <v>1249</v>
      </c>
      <c r="C249">
        <v>51.38</v>
      </c>
      <c r="D249" t="s">
        <v>608</v>
      </c>
      <c r="E249" t="s">
        <v>608</v>
      </c>
      <c r="F249">
        <v>14.24</v>
      </c>
      <c r="G249">
        <v>10.48</v>
      </c>
      <c r="H249">
        <v>0</v>
      </c>
      <c r="I249">
        <v>0</v>
      </c>
      <c r="J249" t="s">
        <v>3082</v>
      </c>
      <c r="K249" s="28" t="s">
        <v>604</v>
      </c>
    </row>
    <row r="250" spans="1:11" x14ac:dyDescent="0.2">
      <c r="A250" t="s">
        <v>1818</v>
      </c>
      <c r="B250" t="s">
        <v>1249</v>
      </c>
      <c r="C250">
        <v>50.4</v>
      </c>
      <c r="D250" t="s">
        <v>608</v>
      </c>
      <c r="E250" t="s">
        <v>608</v>
      </c>
      <c r="F250">
        <v>25.7</v>
      </c>
      <c r="G250">
        <v>19.12</v>
      </c>
      <c r="H250">
        <v>0</v>
      </c>
      <c r="I250">
        <v>0</v>
      </c>
      <c r="J250" t="s">
        <v>3082</v>
      </c>
      <c r="K250" s="28" t="s">
        <v>604</v>
      </c>
    </row>
    <row r="251" spans="1:11" x14ac:dyDescent="0.2">
      <c r="A251" t="s">
        <v>1819</v>
      </c>
      <c r="B251" t="s">
        <v>1249</v>
      </c>
      <c r="C251">
        <v>80.83</v>
      </c>
      <c r="D251" t="s">
        <v>608</v>
      </c>
      <c r="E251" t="s">
        <v>608</v>
      </c>
      <c r="F251">
        <v>58.74</v>
      </c>
      <c r="G251">
        <v>38.58</v>
      </c>
      <c r="H251">
        <v>0</v>
      </c>
      <c r="I251">
        <v>0</v>
      </c>
      <c r="J251" t="s">
        <v>3082</v>
      </c>
      <c r="K251" s="28" t="s">
        <v>604</v>
      </c>
    </row>
    <row r="252" spans="1:11" x14ac:dyDescent="0.2">
      <c r="A252" t="s">
        <v>1820</v>
      </c>
      <c r="B252" t="s">
        <v>1251</v>
      </c>
      <c r="C252">
        <v>49.84</v>
      </c>
      <c r="D252" t="s">
        <v>608</v>
      </c>
      <c r="E252" t="s">
        <v>608</v>
      </c>
      <c r="F252">
        <v>23.27</v>
      </c>
      <c r="G252">
        <v>17.13</v>
      </c>
      <c r="H252">
        <v>0</v>
      </c>
      <c r="I252">
        <v>0</v>
      </c>
      <c r="J252" t="s">
        <v>3082</v>
      </c>
      <c r="K252" s="28" t="s">
        <v>604</v>
      </c>
    </row>
    <row r="253" spans="1:11" x14ac:dyDescent="0.2">
      <c r="A253" t="s">
        <v>1821</v>
      </c>
      <c r="B253" t="s">
        <v>1251</v>
      </c>
      <c r="C253">
        <v>52.02</v>
      </c>
      <c r="D253" t="s">
        <v>608</v>
      </c>
      <c r="E253" t="s">
        <v>608</v>
      </c>
      <c r="F253">
        <v>24.41</v>
      </c>
      <c r="G253">
        <v>17.52</v>
      </c>
      <c r="H253">
        <v>0</v>
      </c>
      <c r="I253">
        <v>0</v>
      </c>
      <c r="J253" t="s">
        <v>3082</v>
      </c>
      <c r="K253" s="28" t="s">
        <v>604</v>
      </c>
    </row>
    <row r="254" spans="1:11" x14ac:dyDescent="0.2">
      <c r="A254" t="s">
        <v>1822</v>
      </c>
      <c r="B254" t="s">
        <v>1251</v>
      </c>
      <c r="C254">
        <v>57.85</v>
      </c>
      <c r="D254" t="s">
        <v>608</v>
      </c>
      <c r="E254" t="s">
        <v>608</v>
      </c>
      <c r="F254">
        <v>33.69</v>
      </c>
      <c r="G254">
        <v>24.62</v>
      </c>
      <c r="H254">
        <v>0</v>
      </c>
      <c r="I254">
        <v>0</v>
      </c>
      <c r="J254" t="s">
        <v>3082</v>
      </c>
      <c r="K254" s="28" t="s">
        <v>604</v>
      </c>
    </row>
    <row r="255" spans="1:11" x14ac:dyDescent="0.2">
      <c r="A255" t="s">
        <v>1823</v>
      </c>
      <c r="B255" t="s">
        <v>1251</v>
      </c>
      <c r="C255">
        <v>47.04</v>
      </c>
      <c r="D255" t="s">
        <v>608</v>
      </c>
      <c r="E255" t="s">
        <v>608</v>
      </c>
      <c r="F255">
        <v>16.149999999999999</v>
      </c>
      <c r="G255">
        <v>12.06</v>
      </c>
      <c r="H255">
        <v>0</v>
      </c>
      <c r="I255">
        <v>0</v>
      </c>
      <c r="J255" t="s">
        <v>3082</v>
      </c>
      <c r="K255" s="28" t="s">
        <v>604</v>
      </c>
    </row>
    <row r="256" spans="1:11" x14ac:dyDescent="0.2">
      <c r="A256" t="s">
        <v>1824</v>
      </c>
      <c r="B256" t="s">
        <v>1251</v>
      </c>
      <c r="C256">
        <v>63.35</v>
      </c>
      <c r="D256" t="s">
        <v>608</v>
      </c>
      <c r="E256" t="s">
        <v>608</v>
      </c>
      <c r="F256">
        <v>23.37</v>
      </c>
      <c r="G256">
        <v>15.9</v>
      </c>
      <c r="H256">
        <v>0</v>
      </c>
      <c r="I256">
        <v>0</v>
      </c>
      <c r="J256" t="s">
        <v>3082</v>
      </c>
      <c r="K256" s="28" t="s">
        <v>604</v>
      </c>
    </row>
    <row r="257" spans="1:11" x14ac:dyDescent="0.2">
      <c r="A257" t="s">
        <v>1825</v>
      </c>
      <c r="B257" t="s">
        <v>1259</v>
      </c>
      <c r="C257">
        <v>51.16</v>
      </c>
      <c r="D257" t="s">
        <v>608</v>
      </c>
      <c r="E257" t="s">
        <v>608</v>
      </c>
      <c r="F257">
        <v>29.82</v>
      </c>
      <c r="G257">
        <v>22.47</v>
      </c>
      <c r="H257">
        <v>0</v>
      </c>
      <c r="I257">
        <v>0</v>
      </c>
      <c r="J257" t="s">
        <v>3082</v>
      </c>
      <c r="K257" s="28" t="s">
        <v>604</v>
      </c>
    </row>
    <row r="258" spans="1:11" x14ac:dyDescent="0.2">
      <c r="A258" t="s">
        <v>1826</v>
      </c>
      <c r="B258" t="s">
        <v>1259</v>
      </c>
      <c r="C258">
        <v>57.73</v>
      </c>
      <c r="D258" t="s">
        <v>608</v>
      </c>
      <c r="E258" t="s">
        <v>608</v>
      </c>
      <c r="F258">
        <v>25.27</v>
      </c>
      <c r="G258">
        <v>17.7</v>
      </c>
      <c r="H258">
        <v>2</v>
      </c>
      <c r="I258">
        <v>2</v>
      </c>
      <c r="J258" t="s">
        <v>3082</v>
      </c>
      <c r="K258" s="28" t="s">
        <v>604</v>
      </c>
    </row>
    <row r="259" spans="1:11" x14ac:dyDescent="0.2">
      <c r="A259" t="s">
        <v>1827</v>
      </c>
      <c r="B259" t="s">
        <v>1259</v>
      </c>
      <c r="C259">
        <v>53.75</v>
      </c>
      <c r="D259" t="s">
        <v>608</v>
      </c>
      <c r="E259" t="s">
        <v>608</v>
      </c>
      <c r="F259">
        <v>25.01</v>
      </c>
      <c r="G259">
        <v>18.48</v>
      </c>
      <c r="H259">
        <v>0.5</v>
      </c>
      <c r="I259">
        <v>0</v>
      </c>
      <c r="J259" t="s">
        <v>3082</v>
      </c>
      <c r="K259" s="28" t="s">
        <v>604</v>
      </c>
    </row>
    <row r="260" spans="1:11" x14ac:dyDescent="0.2">
      <c r="A260" t="s">
        <v>1828</v>
      </c>
      <c r="B260" t="s">
        <v>1259</v>
      </c>
      <c r="C260">
        <v>59.54</v>
      </c>
      <c r="D260" t="s">
        <v>608</v>
      </c>
      <c r="E260" t="s">
        <v>608</v>
      </c>
      <c r="F260">
        <v>20.77</v>
      </c>
      <c r="G260">
        <v>15.5</v>
      </c>
      <c r="H260">
        <v>0</v>
      </c>
      <c r="I260">
        <v>0</v>
      </c>
      <c r="J260" t="s">
        <v>3082</v>
      </c>
      <c r="K260" s="28" t="s">
        <v>604</v>
      </c>
    </row>
    <row r="261" spans="1:11" x14ac:dyDescent="0.2">
      <c r="A261" t="s">
        <v>1829</v>
      </c>
      <c r="B261" t="s">
        <v>1259</v>
      </c>
      <c r="C261">
        <v>69.150000000000006</v>
      </c>
      <c r="D261" t="s">
        <v>608</v>
      </c>
      <c r="E261" t="s">
        <v>608</v>
      </c>
      <c r="F261">
        <v>46.12</v>
      </c>
      <c r="G261">
        <v>33.82</v>
      </c>
      <c r="H261">
        <v>0</v>
      </c>
      <c r="I261">
        <v>0</v>
      </c>
      <c r="J261" t="s">
        <v>3082</v>
      </c>
      <c r="K261" s="28" t="s">
        <v>604</v>
      </c>
    </row>
    <row r="262" spans="1:11" x14ac:dyDescent="0.2">
      <c r="A262" t="s">
        <v>1830</v>
      </c>
      <c r="B262" t="s">
        <v>1261</v>
      </c>
      <c r="C262">
        <v>64.42</v>
      </c>
      <c r="D262" t="s">
        <v>608</v>
      </c>
      <c r="E262" t="s">
        <v>608</v>
      </c>
      <c r="F262">
        <v>43.8</v>
      </c>
      <c r="G262">
        <v>31.5</v>
      </c>
      <c r="H262">
        <v>0</v>
      </c>
      <c r="I262">
        <v>0</v>
      </c>
      <c r="J262" t="s">
        <v>3082</v>
      </c>
      <c r="K262" s="28" t="s">
        <v>604</v>
      </c>
    </row>
    <row r="263" spans="1:11" x14ac:dyDescent="0.2">
      <c r="A263" t="s">
        <v>1831</v>
      </c>
      <c r="B263" t="s">
        <v>1261</v>
      </c>
      <c r="C263">
        <v>52.01</v>
      </c>
      <c r="D263" t="s">
        <v>608</v>
      </c>
      <c r="E263" t="s">
        <v>608</v>
      </c>
      <c r="F263">
        <v>44.35</v>
      </c>
      <c r="G263">
        <v>37.24</v>
      </c>
      <c r="H263">
        <v>0.5</v>
      </c>
      <c r="I263">
        <v>0</v>
      </c>
      <c r="J263" t="s">
        <v>3082</v>
      </c>
      <c r="K263" s="28" t="s">
        <v>604</v>
      </c>
    </row>
    <row r="264" spans="1:11" x14ac:dyDescent="0.2">
      <c r="A264" t="s">
        <v>1832</v>
      </c>
      <c r="B264" t="s">
        <v>1261</v>
      </c>
      <c r="C264">
        <v>58.82</v>
      </c>
      <c r="D264" t="s">
        <v>608</v>
      </c>
      <c r="E264" t="s">
        <v>608</v>
      </c>
      <c r="F264">
        <v>27.22</v>
      </c>
      <c r="G264">
        <v>19.3</v>
      </c>
      <c r="H264">
        <v>0</v>
      </c>
      <c r="I264">
        <v>0.5</v>
      </c>
      <c r="J264" t="s">
        <v>3082</v>
      </c>
      <c r="K264" s="28" t="s">
        <v>604</v>
      </c>
    </row>
    <row r="265" spans="1:11" x14ac:dyDescent="0.2">
      <c r="A265" t="s">
        <v>1833</v>
      </c>
      <c r="B265" t="s">
        <v>1261</v>
      </c>
      <c r="C265">
        <v>72.31</v>
      </c>
      <c r="D265" t="s">
        <v>608</v>
      </c>
      <c r="E265" t="s">
        <v>608</v>
      </c>
      <c r="F265">
        <v>48.15</v>
      </c>
      <c r="G265">
        <v>35.700000000000003</v>
      </c>
      <c r="H265">
        <v>0</v>
      </c>
      <c r="I265">
        <v>0.5</v>
      </c>
      <c r="J265" t="s">
        <v>3082</v>
      </c>
      <c r="K265" s="28" t="s">
        <v>604</v>
      </c>
    </row>
    <row r="266" spans="1:11" x14ac:dyDescent="0.2">
      <c r="A266" t="s">
        <v>1834</v>
      </c>
      <c r="B266" t="s">
        <v>1261</v>
      </c>
      <c r="C266">
        <v>57.35</v>
      </c>
      <c r="D266" t="s">
        <v>608</v>
      </c>
      <c r="E266" t="s">
        <v>608</v>
      </c>
      <c r="F266">
        <v>26.79</v>
      </c>
      <c r="G266">
        <v>19.309999999999999</v>
      </c>
      <c r="H266">
        <v>0</v>
      </c>
      <c r="I266">
        <v>0</v>
      </c>
      <c r="J266" t="s">
        <v>3082</v>
      </c>
      <c r="K266" s="28" t="s">
        <v>604</v>
      </c>
    </row>
    <row r="267" spans="1:11" x14ac:dyDescent="0.2">
      <c r="A267" t="s">
        <v>1835</v>
      </c>
      <c r="B267" t="s">
        <v>1263</v>
      </c>
      <c r="C267">
        <v>60.7</v>
      </c>
      <c r="D267" t="s">
        <v>608</v>
      </c>
      <c r="E267" t="s">
        <v>608</v>
      </c>
      <c r="F267">
        <v>39.79</v>
      </c>
      <c r="G267">
        <v>30.18</v>
      </c>
      <c r="H267">
        <v>0</v>
      </c>
      <c r="I267">
        <v>0.5</v>
      </c>
      <c r="J267" t="s">
        <v>3082</v>
      </c>
      <c r="K267" s="28" t="s">
        <v>604</v>
      </c>
    </row>
    <row r="268" spans="1:11" x14ac:dyDescent="0.2">
      <c r="A268" t="s">
        <v>1836</v>
      </c>
      <c r="B268" t="s">
        <v>1263</v>
      </c>
      <c r="C268">
        <v>54.48</v>
      </c>
      <c r="D268" t="s">
        <v>608</v>
      </c>
      <c r="E268" t="s">
        <v>608</v>
      </c>
      <c r="F268">
        <v>23.72</v>
      </c>
      <c r="G268">
        <v>18.39</v>
      </c>
      <c r="H268">
        <v>0</v>
      </c>
      <c r="I268">
        <v>0</v>
      </c>
      <c r="J268" t="s">
        <v>3082</v>
      </c>
      <c r="K268" s="28" t="s">
        <v>604</v>
      </c>
    </row>
    <row r="269" spans="1:11" x14ac:dyDescent="0.2">
      <c r="A269" t="s">
        <v>1837</v>
      </c>
      <c r="B269" t="s">
        <v>1263</v>
      </c>
      <c r="C269">
        <v>53.16</v>
      </c>
      <c r="D269" t="s">
        <v>608</v>
      </c>
      <c r="E269" t="s">
        <v>608</v>
      </c>
      <c r="F269">
        <v>24.06</v>
      </c>
      <c r="G269">
        <v>17</v>
      </c>
      <c r="H269">
        <v>0.5</v>
      </c>
      <c r="I269">
        <v>0</v>
      </c>
      <c r="J269" t="s">
        <v>3082</v>
      </c>
      <c r="K269" s="28" t="s">
        <v>604</v>
      </c>
    </row>
    <row r="270" spans="1:11" x14ac:dyDescent="0.2">
      <c r="A270" t="s">
        <v>1838</v>
      </c>
      <c r="B270" t="s">
        <v>1263</v>
      </c>
      <c r="C270">
        <v>53.85</v>
      </c>
      <c r="D270" t="s">
        <v>608</v>
      </c>
      <c r="E270" t="s">
        <v>608</v>
      </c>
      <c r="F270">
        <v>26.33</v>
      </c>
      <c r="G270">
        <v>18.52</v>
      </c>
      <c r="H270">
        <v>0</v>
      </c>
      <c r="I270">
        <v>0</v>
      </c>
      <c r="J270" t="s">
        <v>3082</v>
      </c>
      <c r="K270" s="28" t="s">
        <v>604</v>
      </c>
    </row>
    <row r="271" spans="1:11" x14ac:dyDescent="0.2">
      <c r="A271" t="s">
        <v>1839</v>
      </c>
      <c r="B271" t="s">
        <v>1263</v>
      </c>
      <c r="C271">
        <v>52.8</v>
      </c>
      <c r="D271" t="s">
        <v>608</v>
      </c>
      <c r="E271" t="s">
        <v>608</v>
      </c>
      <c r="F271">
        <v>17.920000000000002</v>
      </c>
      <c r="G271">
        <v>13.22</v>
      </c>
      <c r="H271">
        <v>0</v>
      </c>
      <c r="I271">
        <v>0.5</v>
      </c>
      <c r="J271" t="s">
        <v>3082</v>
      </c>
      <c r="K271" s="28" t="s">
        <v>604</v>
      </c>
    </row>
    <row r="272" spans="1:11" x14ac:dyDescent="0.2">
      <c r="A272" t="s">
        <v>1840</v>
      </c>
      <c r="B272" t="s">
        <v>1271</v>
      </c>
      <c r="C272">
        <v>53.5</v>
      </c>
      <c r="D272" t="s">
        <v>608</v>
      </c>
      <c r="E272" t="s">
        <v>608</v>
      </c>
      <c r="F272">
        <v>30.47</v>
      </c>
      <c r="G272">
        <v>21.82</v>
      </c>
      <c r="H272">
        <v>0</v>
      </c>
      <c r="I272">
        <v>0</v>
      </c>
      <c r="J272" t="s">
        <v>3082</v>
      </c>
      <c r="K272" s="28" t="s">
        <v>604</v>
      </c>
    </row>
    <row r="273" spans="1:11" x14ac:dyDescent="0.2">
      <c r="A273" t="s">
        <v>1841</v>
      </c>
      <c r="B273" t="s">
        <v>1271</v>
      </c>
      <c r="C273">
        <v>40.69</v>
      </c>
      <c r="D273" t="s">
        <v>608</v>
      </c>
      <c r="E273" t="s">
        <v>608</v>
      </c>
      <c r="F273">
        <v>14.86</v>
      </c>
      <c r="G273">
        <v>10.99</v>
      </c>
      <c r="H273">
        <v>0</v>
      </c>
      <c r="I273">
        <v>0</v>
      </c>
      <c r="J273" t="s">
        <v>3082</v>
      </c>
      <c r="K273" s="28" t="s">
        <v>604</v>
      </c>
    </row>
    <row r="274" spans="1:11" x14ac:dyDescent="0.2">
      <c r="A274" t="s">
        <v>1842</v>
      </c>
      <c r="B274" t="s">
        <v>1271</v>
      </c>
      <c r="C274">
        <v>41.06</v>
      </c>
      <c r="D274" t="s">
        <v>608</v>
      </c>
      <c r="E274" t="s">
        <v>608</v>
      </c>
      <c r="F274">
        <v>18.739999999999998</v>
      </c>
      <c r="G274">
        <v>13.12</v>
      </c>
      <c r="H274">
        <v>0</v>
      </c>
      <c r="I274">
        <v>0</v>
      </c>
      <c r="J274" t="s">
        <v>3082</v>
      </c>
      <c r="K274" s="28" t="s">
        <v>604</v>
      </c>
    </row>
    <row r="275" spans="1:11" x14ac:dyDescent="0.2">
      <c r="A275" t="s">
        <v>1843</v>
      </c>
      <c r="B275" t="s">
        <v>1271</v>
      </c>
      <c r="C275">
        <v>43.81</v>
      </c>
      <c r="D275" t="s">
        <v>608</v>
      </c>
      <c r="E275" t="s">
        <v>608</v>
      </c>
      <c r="F275">
        <v>15.37</v>
      </c>
      <c r="G275">
        <v>10.3</v>
      </c>
      <c r="H275">
        <v>0</v>
      </c>
      <c r="I275">
        <v>0</v>
      </c>
      <c r="J275" t="s">
        <v>3082</v>
      </c>
      <c r="K275" s="28" t="s">
        <v>604</v>
      </c>
    </row>
    <row r="276" spans="1:11" x14ac:dyDescent="0.2">
      <c r="A276" t="s">
        <v>1844</v>
      </c>
      <c r="B276" t="s">
        <v>1271</v>
      </c>
      <c r="C276">
        <v>46.91</v>
      </c>
      <c r="D276" t="s">
        <v>608</v>
      </c>
      <c r="E276" t="s">
        <v>608</v>
      </c>
      <c r="F276">
        <v>18.63</v>
      </c>
      <c r="G276">
        <v>13.06</v>
      </c>
      <c r="H276">
        <v>0</v>
      </c>
      <c r="I276">
        <v>0</v>
      </c>
      <c r="J276" t="s">
        <v>3082</v>
      </c>
      <c r="K276" s="28" t="s">
        <v>604</v>
      </c>
    </row>
    <row r="277" spans="1:11" x14ac:dyDescent="0.2">
      <c r="A277" t="s">
        <v>1845</v>
      </c>
      <c r="B277" t="s">
        <v>1273</v>
      </c>
      <c r="C277">
        <v>57.02</v>
      </c>
      <c r="D277" t="s">
        <v>608</v>
      </c>
      <c r="E277" t="s">
        <v>608</v>
      </c>
      <c r="F277">
        <v>28.86</v>
      </c>
      <c r="G277">
        <v>19.62</v>
      </c>
      <c r="H277">
        <v>0</v>
      </c>
      <c r="I277">
        <v>0</v>
      </c>
      <c r="J277" t="s">
        <v>3082</v>
      </c>
      <c r="K277" s="28" t="s">
        <v>604</v>
      </c>
    </row>
    <row r="278" spans="1:11" x14ac:dyDescent="0.2">
      <c r="A278" t="s">
        <v>1846</v>
      </c>
      <c r="B278" t="s">
        <v>1273</v>
      </c>
      <c r="C278">
        <v>66</v>
      </c>
      <c r="D278" t="s">
        <v>608</v>
      </c>
      <c r="E278" t="s">
        <v>608</v>
      </c>
      <c r="F278">
        <v>49.98</v>
      </c>
      <c r="G278">
        <v>34.369999999999997</v>
      </c>
      <c r="H278">
        <v>0</v>
      </c>
      <c r="I278">
        <v>0</v>
      </c>
      <c r="J278" t="s">
        <v>3082</v>
      </c>
      <c r="K278" s="28" t="s">
        <v>604</v>
      </c>
    </row>
    <row r="279" spans="1:11" x14ac:dyDescent="0.2">
      <c r="A279" t="s">
        <v>1847</v>
      </c>
      <c r="B279" t="s">
        <v>1273</v>
      </c>
      <c r="C279">
        <v>59.48</v>
      </c>
      <c r="D279" t="s">
        <v>608</v>
      </c>
      <c r="E279" t="s">
        <v>608</v>
      </c>
      <c r="F279">
        <v>27.98</v>
      </c>
      <c r="G279">
        <v>20.079999999999998</v>
      </c>
      <c r="H279">
        <v>0</v>
      </c>
      <c r="I279">
        <v>0</v>
      </c>
      <c r="J279" t="s">
        <v>3082</v>
      </c>
      <c r="K279" s="28" t="s">
        <v>604</v>
      </c>
    </row>
    <row r="280" spans="1:11" x14ac:dyDescent="0.2">
      <c r="A280" t="s">
        <v>1848</v>
      </c>
      <c r="B280" t="s">
        <v>1273</v>
      </c>
      <c r="C280">
        <v>45.45</v>
      </c>
      <c r="D280" t="s">
        <v>608</v>
      </c>
      <c r="E280" t="s">
        <v>608</v>
      </c>
      <c r="F280">
        <v>16.309999999999999</v>
      </c>
      <c r="G280">
        <v>11.42</v>
      </c>
      <c r="H280">
        <v>0</v>
      </c>
      <c r="I280">
        <v>0</v>
      </c>
      <c r="J280" t="s">
        <v>3082</v>
      </c>
      <c r="K280" s="28" t="s">
        <v>604</v>
      </c>
    </row>
    <row r="281" spans="1:11" x14ac:dyDescent="0.2">
      <c r="A281" t="s">
        <v>1849</v>
      </c>
      <c r="B281" t="s">
        <v>1273</v>
      </c>
      <c r="C281">
        <v>52.41</v>
      </c>
      <c r="D281" t="s">
        <v>608</v>
      </c>
      <c r="E281" t="s">
        <v>608</v>
      </c>
      <c r="F281">
        <v>34.840000000000003</v>
      </c>
      <c r="G281">
        <v>25.29</v>
      </c>
      <c r="H281">
        <v>1</v>
      </c>
      <c r="I281">
        <v>1</v>
      </c>
      <c r="J281" t="s">
        <v>3082</v>
      </c>
      <c r="K281" s="28" t="s">
        <v>604</v>
      </c>
    </row>
    <row r="282" spans="1:11" x14ac:dyDescent="0.2">
      <c r="A282" t="s">
        <v>1850</v>
      </c>
      <c r="B282" t="s">
        <v>1275</v>
      </c>
      <c r="C282">
        <v>52.39</v>
      </c>
      <c r="D282" t="s">
        <v>608</v>
      </c>
      <c r="E282" t="s">
        <v>608</v>
      </c>
      <c r="F282">
        <v>22.03</v>
      </c>
      <c r="G282">
        <v>16.63</v>
      </c>
      <c r="H282">
        <v>0</v>
      </c>
      <c r="I282">
        <v>0</v>
      </c>
      <c r="J282" t="s">
        <v>3082</v>
      </c>
      <c r="K282" s="28" t="s">
        <v>604</v>
      </c>
    </row>
    <row r="283" spans="1:11" x14ac:dyDescent="0.2">
      <c r="A283" t="s">
        <v>1851</v>
      </c>
      <c r="B283" t="s">
        <v>1275</v>
      </c>
      <c r="C283">
        <v>71.099999999999994</v>
      </c>
      <c r="D283" t="s">
        <v>608</v>
      </c>
      <c r="E283" t="s">
        <v>608</v>
      </c>
      <c r="F283">
        <v>34.270000000000003</v>
      </c>
      <c r="G283">
        <v>25.16</v>
      </c>
      <c r="H283">
        <v>0</v>
      </c>
      <c r="I283">
        <v>0</v>
      </c>
      <c r="J283" t="s">
        <v>3082</v>
      </c>
      <c r="K283" s="28" t="s">
        <v>604</v>
      </c>
    </row>
    <row r="284" spans="1:11" x14ac:dyDescent="0.2">
      <c r="A284" t="s">
        <v>1852</v>
      </c>
      <c r="B284" t="s">
        <v>1275</v>
      </c>
      <c r="C284">
        <v>49.36</v>
      </c>
      <c r="D284" t="s">
        <v>608</v>
      </c>
      <c r="E284" t="s">
        <v>608</v>
      </c>
      <c r="F284">
        <v>22.07</v>
      </c>
      <c r="G284">
        <v>16.11</v>
      </c>
      <c r="H284">
        <v>0</v>
      </c>
      <c r="I284">
        <v>0</v>
      </c>
      <c r="J284" t="s">
        <v>3082</v>
      </c>
      <c r="K284" s="28" t="s">
        <v>604</v>
      </c>
    </row>
    <row r="285" spans="1:11" x14ac:dyDescent="0.2">
      <c r="A285" t="s">
        <v>1853</v>
      </c>
      <c r="B285" t="s">
        <v>1275</v>
      </c>
      <c r="C285">
        <v>51.18</v>
      </c>
      <c r="D285" t="s">
        <v>608</v>
      </c>
      <c r="E285" t="s">
        <v>608</v>
      </c>
      <c r="F285">
        <v>30.21</v>
      </c>
      <c r="G285">
        <v>22.35</v>
      </c>
      <c r="H285">
        <v>0</v>
      </c>
      <c r="I285">
        <v>0</v>
      </c>
      <c r="J285" t="s">
        <v>3082</v>
      </c>
      <c r="K285" s="28" t="s">
        <v>604</v>
      </c>
    </row>
    <row r="286" spans="1:11" x14ac:dyDescent="0.2">
      <c r="A286" t="s">
        <v>1854</v>
      </c>
      <c r="B286" t="s">
        <v>1275</v>
      </c>
      <c r="C286">
        <v>67.7</v>
      </c>
      <c r="D286" t="s">
        <v>608</v>
      </c>
      <c r="E286" t="s">
        <v>608</v>
      </c>
      <c r="F286">
        <v>45.31</v>
      </c>
      <c r="G286">
        <v>33.58</v>
      </c>
      <c r="H286">
        <v>0</v>
      </c>
      <c r="I286">
        <v>0</v>
      </c>
      <c r="J286" t="s">
        <v>3082</v>
      </c>
      <c r="K286" s="28" t="s">
        <v>604</v>
      </c>
    </row>
    <row r="287" spans="1:11" x14ac:dyDescent="0.2">
      <c r="A287" t="s">
        <v>1855</v>
      </c>
      <c r="B287" t="s">
        <v>1283</v>
      </c>
      <c r="C287">
        <v>58.66</v>
      </c>
      <c r="D287" t="s">
        <v>608</v>
      </c>
      <c r="E287" t="s">
        <v>608</v>
      </c>
      <c r="F287">
        <v>34.39</v>
      </c>
      <c r="G287">
        <v>24.28</v>
      </c>
      <c r="H287">
        <v>0</v>
      </c>
      <c r="I287">
        <v>0.5</v>
      </c>
      <c r="J287" t="s">
        <v>3082</v>
      </c>
      <c r="K287" s="28" t="s">
        <v>604</v>
      </c>
    </row>
    <row r="288" spans="1:11" x14ac:dyDescent="0.2">
      <c r="A288" t="s">
        <v>1856</v>
      </c>
      <c r="B288" t="s">
        <v>1283</v>
      </c>
      <c r="C288">
        <v>57.29</v>
      </c>
      <c r="D288" t="s">
        <v>608</v>
      </c>
      <c r="E288" t="s">
        <v>608</v>
      </c>
      <c r="F288">
        <v>33.979999999999997</v>
      </c>
      <c r="G288">
        <v>24.02</v>
      </c>
      <c r="H288">
        <v>0</v>
      </c>
      <c r="I288">
        <v>0</v>
      </c>
      <c r="J288" t="s">
        <v>3082</v>
      </c>
      <c r="K288" s="28" t="s">
        <v>604</v>
      </c>
    </row>
    <row r="289" spans="1:11" x14ac:dyDescent="0.2">
      <c r="A289" t="s">
        <v>1857</v>
      </c>
      <c r="B289" t="s">
        <v>1283</v>
      </c>
      <c r="C289">
        <v>50.26</v>
      </c>
      <c r="D289" t="s">
        <v>608</v>
      </c>
      <c r="E289" t="s">
        <v>608</v>
      </c>
      <c r="F289">
        <v>31.32</v>
      </c>
      <c r="G289">
        <v>22.62</v>
      </c>
      <c r="H289">
        <v>0</v>
      </c>
      <c r="I289">
        <v>0</v>
      </c>
      <c r="J289" t="s">
        <v>3082</v>
      </c>
      <c r="K289" s="28" t="s">
        <v>604</v>
      </c>
    </row>
    <row r="290" spans="1:11" x14ac:dyDescent="0.2">
      <c r="A290" t="s">
        <v>1858</v>
      </c>
      <c r="B290" t="s">
        <v>1283</v>
      </c>
      <c r="C290">
        <v>54.1</v>
      </c>
      <c r="D290" t="s">
        <v>608</v>
      </c>
      <c r="E290" t="s">
        <v>608</v>
      </c>
      <c r="F290">
        <v>24.93</v>
      </c>
      <c r="G290">
        <v>18.239999999999998</v>
      </c>
      <c r="H290">
        <v>0</v>
      </c>
      <c r="I290">
        <v>0</v>
      </c>
      <c r="J290" t="s">
        <v>3082</v>
      </c>
      <c r="K290" s="28" t="s">
        <v>604</v>
      </c>
    </row>
    <row r="291" spans="1:11" x14ac:dyDescent="0.2">
      <c r="A291" t="s">
        <v>1859</v>
      </c>
      <c r="B291" t="s">
        <v>1283</v>
      </c>
      <c r="C291">
        <v>42.21</v>
      </c>
      <c r="D291" t="s">
        <v>608</v>
      </c>
      <c r="E291" t="s">
        <v>608</v>
      </c>
      <c r="F291">
        <v>21.23</v>
      </c>
      <c r="G291">
        <v>14.59</v>
      </c>
      <c r="H291">
        <v>0</v>
      </c>
      <c r="I291">
        <v>0</v>
      </c>
      <c r="J291" t="s">
        <v>3082</v>
      </c>
      <c r="K291" s="28" t="s">
        <v>604</v>
      </c>
    </row>
    <row r="292" spans="1:11" x14ac:dyDescent="0.2">
      <c r="A292" t="s">
        <v>1860</v>
      </c>
      <c r="B292" t="s">
        <v>1285</v>
      </c>
      <c r="C292">
        <v>66.98</v>
      </c>
      <c r="D292" t="s">
        <v>608</v>
      </c>
      <c r="E292" t="s">
        <v>608</v>
      </c>
      <c r="F292">
        <v>41.16</v>
      </c>
      <c r="G292">
        <v>27.52</v>
      </c>
      <c r="H292">
        <v>0</v>
      </c>
      <c r="I292">
        <v>0.5</v>
      </c>
      <c r="J292" t="s">
        <v>3082</v>
      </c>
      <c r="K292" s="28" t="s">
        <v>604</v>
      </c>
    </row>
    <row r="293" spans="1:11" x14ac:dyDescent="0.2">
      <c r="A293" t="s">
        <v>1861</v>
      </c>
      <c r="B293" t="s">
        <v>1285</v>
      </c>
      <c r="C293">
        <v>61.37</v>
      </c>
      <c r="D293" t="s">
        <v>608</v>
      </c>
      <c r="E293" t="s">
        <v>608</v>
      </c>
      <c r="F293">
        <v>26.5</v>
      </c>
      <c r="G293">
        <v>18.09</v>
      </c>
      <c r="H293">
        <v>0</v>
      </c>
      <c r="I293">
        <v>0</v>
      </c>
      <c r="J293" t="s">
        <v>3082</v>
      </c>
      <c r="K293" s="28" t="s">
        <v>604</v>
      </c>
    </row>
    <row r="294" spans="1:11" x14ac:dyDescent="0.2">
      <c r="A294" t="s">
        <v>1862</v>
      </c>
      <c r="B294" t="s">
        <v>1285</v>
      </c>
      <c r="C294">
        <v>51.55</v>
      </c>
      <c r="D294" t="s">
        <v>608</v>
      </c>
      <c r="E294" t="s">
        <v>608</v>
      </c>
      <c r="F294">
        <v>21.16</v>
      </c>
      <c r="G294">
        <v>15.5</v>
      </c>
      <c r="H294">
        <v>0</v>
      </c>
      <c r="I294">
        <v>0</v>
      </c>
      <c r="J294" t="s">
        <v>3082</v>
      </c>
      <c r="K294" s="28" t="s">
        <v>604</v>
      </c>
    </row>
    <row r="295" spans="1:11" x14ac:dyDescent="0.2">
      <c r="A295" t="s">
        <v>1863</v>
      </c>
      <c r="B295" t="s">
        <v>1285</v>
      </c>
      <c r="C295">
        <v>64.77</v>
      </c>
      <c r="D295" t="s">
        <v>608</v>
      </c>
      <c r="E295" t="s">
        <v>608</v>
      </c>
      <c r="F295">
        <v>62.67</v>
      </c>
      <c r="G295">
        <v>48.52</v>
      </c>
      <c r="H295">
        <v>0</v>
      </c>
      <c r="I295">
        <v>0</v>
      </c>
      <c r="J295" t="s">
        <v>3082</v>
      </c>
      <c r="K295" s="28" t="s">
        <v>604</v>
      </c>
    </row>
    <row r="296" spans="1:11" x14ac:dyDescent="0.2">
      <c r="A296" t="s">
        <v>1864</v>
      </c>
      <c r="B296" t="s">
        <v>1285</v>
      </c>
      <c r="C296">
        <v>63.05</v>
      </c>
      <c r="D296" t="s">
        <v>608</v>
      </c>
      <c r="E296" t="s">
        <v>608</v>
      </c>
      <c r="F296">
        <v>26.35</v>
      </c>
      <c r="G296">
        <v>20.18</v>
      </c>
      <c r="H296">
        <v>0</v>
      </c>
      <c r="I296">
        <v>0</v>
      </c>
      <c r="J296" t="s">
        <v>3082</v>
      </c>
      <c r="K296" s="28" t="s">
        <v>604</v>
      </c>
    </row>
    <row r="297" spans="1:11" x14ac:dyDescent="0.2">
      <c r="A297" t="s">
        <v>1865</v>
      </c>
      <c r="B297" t="s">
        <v>1287</v>
      </c>
      <c r="C297">
        <v>47.83</v>
      </c>
      <c r="D297" t="s">
        <v>608</v>
      </c>
      <c r="E297" t="s">
        <v>608</v>
      </c>
      <c r="F297">
        <v>26.77</v>
      </c>
      <c r="G297">
        <v>19.829999999999998</v>
      </c>
      <c r="H297">
        <v>0</v>
      </c>
      <c r="I297">
        <v>0</v>
      </c>
      <c r="J297" t="s">
        <v>3082</v>
      </c>
      <c r="K297" s="28" t="s">
        <v>604</v>
      </c>
    </row>
    <row r="298" spans="1:11" x14ac:dyDescent="0.2">
      <c r="A298" t="s">
        <v>1866</v>
      </c>
      <c r="B298" t="s">
        <v>1287</v>
      </c>
      <c r="C298">
        <v>50.4</v>
      </c>
      <c r="D298" t="s">
        <v>608</v>
      </c>
      <c r="E298" t="s">
        <v>608</v>
      </c>
      <c r="F298">
        <v>22.09</v>
      </c>
      <c r="G298">
        <v>15.96</v>
      </c>
      <c r="H298">
        <v>0</v>
      </c>
      <c r="I298">
        <v>0</v>
      </c>
      <c r="J298" t="s">
        <v>3082</v>
      </c>
      <c r="K298" s="28" t="s">
        <v>604</v>
      </c>
    </row>
    <row r="299" spans="1:11" x14ac:dyDescent="0.2">
      <c r="A299" t="s">
        <v>1867</v>
      </c>
      <c r="B299" t="s">
        <v>1287</v>
      </c>
      <c r="C299">
        <v>57.82</v>
      </c>
      <c r="D299" t="s">
        <v>608</v>
      </c>
      <c r="E299" t="s">
        <v>608</v>
      </c>
      <c r="F299">
        <v>21.1</v>
      </c>
      <c r="G299">
        <v>14.46</v>
      </c>
      <c r="H299">
        <v>0</v>
      </c>
      <c r="I299">
        <v>0</v>
      </c>
      <c r="J299" t="s">
        <v>3082</v>
      </c>
      <c r="K299" s="28" t="s">
        <v>604</v>
      </c>
    </row>
    <row r="300" spans="1:11" x14ac:dyDescent="0.2">
      <c r="A300" t="s">
        <v>1868</v>
      </c>
      <c r="B300" t="s">
        <v>1287</v>
      </c>
      <c r="C300">
        <v>57.02</v>
      </c>
      <c r="D300" t="s">
        <v>608</v>
      </c>
      <c r="E300" t="s">
        <v>608</v>
      </c>
      <c r="F300">
        <v>37.47</v>
      </c>
      <c r="G300">
        <v>29.09</v>
      </c>
      <c r="H300">
        <v>0</v>
      </c>
      <c r="I300">
        <v>0</v>
      </c>
      <c r="J300" t="s">
        <v>3082</v>
      </c>
      <c r="K300" s="28" t="s">
        <v>604</v>
      </c>
    </row>
    <row r="301" spans="1:11" x14ac:dyDescent="0.2">
      <c r="A301" t="s">
        <v>1869</v>
      </c>
      <c r="B301" t="s">
        <v>1287</v>
      </c>
      <c r="C301">
        <v>55.25</v>
      </c>
      <c r="D301" t="s">
        <v>608</v>
      </c>
      <c r="E301" t="s">
        <v>608</v>
      </c>
      <c r="F301">
        <v>40.08</v>
      </c>
      <c r="G301">
        <v>31.74</v>
      </c>
      <c r="H301">
        <v>0</v>
      </c>
      <c r="I301">
        <v>0</v>
      </c>
      <c r="J301" t="s">
        <v>3082</v>
      </c>
      <c r="K301" s="28" t="s">
        <v>604</v>
      </c>
    </row>
    <row r="302" spans="1:11" x14ac:dyDescent="0.2">
      <c r="A302" t="s">
        <v>1870</v>
      </c>
      <c r="B302" t="s">
        <v>1295</v>
      </c>
      <c r="C302">
        <v>55.36</v>
      </c>
      <c r="D302" t="s">
        <v>608</v>
      </c>
      <c r="E302" t="s">
        <v>608</v>
      </c>
      <c r="F302">
        <v>34.83</v>
      </c>
      <c r="G302">
        <v>23.22</v>
      </c>
      <c r="H302">
        <v>0</v>
      </c>
      <c r="I302">
        <v>0.5</v>
      </c>
      <c r="J302" t="s">
        <v>3082</v>
      </c>
      <c r="K302" s="28" t="s">
        <v>604</v>
      </c>
    </row>
    <row r="303" spans="1:11" x14ac:dyDescent="0.2">
      <c r="A303" t="s">
        <v>1871</v>
      </c>
      <c r="B303" t="s">
        <v>1295</v>
      </c>
      <c r="C303">
        <v>62.04</v>
      </c>
      <c r="D303" t="s">
        <v>608</v>
      </c>
      <c r="E303" t="s">
        <v>608</v>
      </c>
      <c r="F303">
        <v>33.96</v>
      </c>
      <c r="G303">
        <v>24.23</v>
      </c>
      <c r="H303">
        <v>0</v>
      </c>
      <c r="I303">
        <v>0</v>
      </c>
      <c r="J303" t="s">
        <v>3082</v>
      </c>
      <c r="K303" s="28" t="s">
        <v>604</v>
      </c>
    </row>
    <row r="304" spans="1:11" x14ac:dyDescent="0.2">
      <c r="A304" t="s">
        <v>1872</v>
      </c>
      <c r="B304" t="s">
        <v>1295</v>
      </c>
      <c r="C304">
        <v>53.66</v>
      </c>
      <c r="D304" t="s">
        <v>608</v>
      </c>
      <c r="E304" t="s">
        <v>608</v>
      </c>
      <c r="F304">
        <v>25.69</v>
      </c>
      <c r="G304">
        <v>18.75</v>
      </c>
      <c r="H304">
        <v>0</v>
      </c>
      <c r="I304">
        <v>0</v>
      </c>
      <c r="J304" t="s">
        <v>3082</v>
      </c>
      <c r="K304" s="28" t="s">
        <v>604</v>
      </c>
    </row>
    <row r="305" spans="1:11" x14ac:dyDescent="0.2">
      <c r="A305" t="s">
        <v>1873</v>
      </c>
      <c r="B305" t="s">
        <v>1295</v>
      </c>
      <c r="C305">
        <v>51.45</v>
      </c>
      <c r="D305" t="s">
        <v>608</v>
      </c>
      <c r="E305" t="s">
        <v>608</v>
      </c>
      <c r="F305">
        <v>19.920000000000002</v>
      </c>
      <c r="G305">
        <v>13.65</v>
      </c>
      <c r="H305">
        <v>0</v>
      </c>
      <c r="I305">
        <v>0</v>
      </c>
      <c r="J305" t="s">
        <v>3082</v>
      </c>
      <c r="K305" s="28" t="s">
        <v>604</v>
      </c>
    </row>
    <row r="306" spans="1:11" x14ac:dyDescent="0.2">
      <c r="A306" t="s">
        <v>1874</v>
      </c>
      <c r="B306" t="s">
        <v>1295</v>
      </c>
      <c r="C306">
        <v>42.62</v>
      </c>
      <c r="D306" t="s">
        <v>608</v>
      </c>
      <c r="E306" t="s">
        <v>608</v>
      </c>
      <c r="F306">
        <v>30.75</v>
      </c>
      <c r="G306">
        <v>22.17</v>
      </c>
      <c r="H306">
        <v>0</v>
      </c>
      <c r="I306">
        <v>0</v>
      </c>
      <c r="J306" t="s">
        <v>3082</v>
      </c>
      <c r="K306" s="28" t="s">
        <v>604</v>
      </c>
    </row>
    <row r="307" spans="1:11" x14ac:dyDescent="0.2">
      <c r="A307" t="s">
        <v>1875</v>
      </c>
      <c r="B307" t="s">
        <v>1297</v>
      </c>
      <c r="C307">
        <v>55.23</v>
      </c>
      <c r="D307" t="s">
        <v>608</v>
      </c>
      <c r="E307" t="s">
        <v>608</v>
      </c>
      <c r="F307">
        <v>32.72</v>
      </c>
      <c r="G307">
        <v>23.21</v>
      </c>
      <c r="H307">
        <v>0</v>
      </c>
      <c r="I307">
        <v>0</v>
      </c>
      <c r="J307" t="s">
        <v>3082</v>
      </c>
      <c r="K307" s="28" t="s">
        <v>604</v>
      </c>
    </row>
    <row r="308" spans="1:11" x14ac:dyDescent="0.2">
      <c r="A308" t="s">
        <v>1876</v>
      </c>
      <c r="B308" t="s">
        <v>1297</v>
      </c>
      <c r="C308">
        <v>64.239999999999995</v>
      </c>
      <c r="D308" t="s">
        <v>608</v>
      </c>
      <c r="E308" t="s">
        <v>608</v>
      </c>
      <c r="F308">
        <v>40.619999999999997</v>
      </c>
      <c r="G308">
        <v>28.99</v>
      </c>
      <c r="H308">
        <v>0</v>
      </c>
      <c r="I308">
        <v>0</v>
      </c>
      <c r="J308" t="s">
        <v>3082</v>
      </c>
      <c r="K308" s="28" t="s">
        <v>604</v>
      </c>
    </row>
    <row r="309" spans="1:11" x14ac:dyDescent="0.2">
      <c r="A309" t="s">
        <v>1877</v>
      </c>
      <c r="B309" t="s">
        <v>1297</v>
      </c>
      <c r="C309">
        <v>47.91</v>
      </c>
      <c r="D309" t="s">
        <v>608</v>
      </c>
      <c r="E309" t="s">
        <v>608</v>
      </c>
      <c r="F309">
        <v>23.56</v>
      </c>
      <c r="G309">
        <v>17.8</v>
      </c>
      <c r="H309">
        <v>0</v>
      </c>
      <c r="I309">
        <v>0</v>
      </c>
      <c r="J309" t="s">
        <v>3082</v>
      </c>
      <c r="K309" s="28" t="s">
        <v>604</v>
      </c>
    </row>
    <row r="310" spans="1:11" x14ac:dyDescent="0.2">
      <c r="A310" t="s">
        <v>1878</v>
      </c>
      <c r="B310" t="s">
        <v>1297</v>
      </c>
      <c r="C310">
        <v>58.49</v>
      </c>
      <c r="D310" t="s">
        <v>608</v>
      </c>
      <c r="E310" t="s">
        <v>608</v>
      </c>
      <c r="F310">
        <v>31.26</v>
      </c>
      <c r="G310">
        <v>23.2</v>
      </c>
      <c r="H310">
        <v>0</v>
      </c>
      <c r="I310">
        <v>0</v>
      </c>
      <c r="J310" t="s">
        <v>3082</v>
      </c>
      <c r="K310" s="28" t="s">
        <v>604</v>
      </c>
    </row>
    <row r="311" spans="1:11" x14ac:dyDescent="0.2">
      <c r="A311" t="s">
        <v>1879</v>
      </c>
      <c r="B311" t="s">
        <v>1297</v>
      </c>
      <c r="C311">
        <v>49.22</v>
      </c>
      <c r="D311" t="s">
        <v>608</v>
      </c>
      <c r="E311" t="s">
        <v>608</v>
      </c>
      <c r="F311">
        <v>23.16</v>
      </c>
      <c r="G311">
        <v>16.489999999999998</v>
      </c>
      <c r="H311">
        <v>0</v>
      </c>
      <c r="I311">
        <v>0</v>
      </c>
      <c r="J311" t="s">
        <v>3082</v>
      </c>
      <c r="K311" s="28" t="s">
        <v>604</v>
      </c>
    </row>
    <row r="312" spans="1:11" x14ac:dyDescent="0.2">
      <c r="A312" t="s">
        <v>1880</v>
      </c>
      <c r="B312" t="s">
        <v>1299</v>
      </c>
      <c r="C312">
        <v>59.19</v>
      </c>
      <c r="D312" t="s">
        <v>608</v>
      </c>
      <c r="E312" t="s">
        <v>608</v>
      </c>
      <c r="F312">
        <v>40.96</v>
      </c>
      <c r="G312">
        <v>29.11</v>
      </c>
      <c r="H312">
        <v>0</v>
      </c>
      <c r="I312">
        <v>0</v>
      </c>
      <c r="J312" t="s">
        <v>3082</v>
      </c>
      <c r="K312" s="28" t="s">
        <v>604</v>
      </c>
    </row>
    <row r="313" spans="1:11" x14ac:dyDescent="0.2">
      <c r="A313" t="s">
        <v>1881</v>
      </c>
      <c r="B313" t="s">
        <v>1299</v>
      </c>
      <c r="C313">
        <v>57.24</v>
      </c>
      <c r="D313" t="s">
        <v>608</v>
      </c>
      <c r="E313" t="s">
        <v>608</v>
      </c>
      <c r="F313">
        <v>18.13</v>
      </c>
      <c r="G313">
        <v>35.74</v>
      </c>
      <c r="H313">
        <v>0</v>
      </c>
      <c r="I313">
        <v>0</v>
      </c>
      <c r="J313" t="s">
        <v>3082</v>
      </c>
      <c r="K313" s="28" t="s">
        <v>604</v>
      </c>
    </row>
    <row r="314" spans="1:11" x14ac:dyDescent="0.2">
      <c r="A314" t="s">
        <v>1882</v>
      </c>
      <c r="B314" t="s">
        <v>1299</v>
      </c>
      <c r="C314">
        <v>66.83</v>
      </c>
      <c r="D314" t="s">
        <v>608</v>
      </c>
      <c r="E314" t="s">
        <v>608</v>
      </c>
      <c r="F314">
        <v>47.97</v>
      </c>
      <c r="G314">
        <v>22.24</v>
      </c>
      <c r="H314">
        <v>0</v>
      </c>
      <c r="I314">
        <v>0</v>
      </c>
      <c r="J314" t="s">
        <v>3082</v>
      </c>
      <c r="K314" s="28" t="s">
        <v>604</v>
      </c>
    </row>
    <row r="315" spans="1:11" x14ac:dyDescent="0.2">
      <c r="A315" t="s">
        <v>1883</v>
      </c>
      <c r="B315" t="s">
        <v>1299</v>
      </c>
      <c r="C315">
        <v>57.8</v>
      </c>
      <c r="D315" t="s">
        <v>608</v>
      </c>
      <c r="E315" t="s">
        <v>608</v>
      </c>
      <c r="F315">
        <v>31.27</v>
      </c>
      <c r="G315">
        <v>17.010000000000002</v>
      </c>
      <c r="H315">
        <v>0</v>
      </c>
      <c r="I315">
        <v>0</v>
      </c>
      <c r="J315" t="s">
        <v>3082</v>
      </c>
      <c r="K315" s="28" t="s">
        <v>604</v>
      </c>
    </row>
    <row r="316" spans="1:11" x14ac:dyDescent="0.2">
      <c r="A316" t="s">
        <v>1884</v>
      </c>
      <c r="B316" t="s">
        <v>1299</v>
      </c>
      <c r="C316">
        <v>51.25</v>
      </c>
      <c r="D316" t="s">
        <v>608</v>
      </c>
      <c r="E316" t="s">
        <v>608</v>
      </c>
      <c r="F316">
        <v>22.98</v>
      </c>
      <c r="G316">
        <v>16.989999999999998</v>
      </c>
      <c r="H316">
        <v>0</v>
      </c>
      <c r="I316">
        <v>0</v>
      </c>
      <c r="J316" t="s">
        <v>3082</v>
      </c>
      <c r="K316" s="28" t="s">
        <v>604</v>
      </c>
    </row>
    <row r="317" spans="1:11" x14ac:dyDescent="0.2">
      <c r="A317" t="s">
        <v>1885</v>
      </c>
      <c r="B317" t="s">
        <v>1307</v>
      </c>
      <c r="C317">
        <v>43.13</v>
      </c>
      <c r="D317" t="s">
        <v>608</v>
      </c>
      <c r="E317" t="s">
        <v>608</v>
      </c>
      <c r="F317">
        <v>33.31</v>
      </c>
      <c r="G317">
        <v>25.2</v>
      </c>
      <c r="H317">
        <v>0</v>
      </c>
      <c r="I317">
        <v>0</v>
      </c>
      <c r="J317" t="s">
        <v>3082</v>
      </c>
      <c r="K317" s="28" t="s">
        <v>604</v>
      </c>
    </row>
    <row r="318" spans="1:11" x14ac:dyDescent="0.2">
      <c r="A318" t="s">
        <v>1886</v>
      </c>
      <c r="B318" t="s">
        <v>1307</v>
      </c>
      <c r="C318">
        <v>46.94</v>
      </c>
      <c r="D318" t="s">
        <v>608</v>
      </c>
      <c r="E318" t="s">
        <v>608</v>
      </c>
      <c r="F318">
        <v>37.549999999999997</v>
      </c>
      <c r="G318">
        <v>16.079999999999998</v>
      </c>
      <c r="H318">
        <v>0</v>
      </c>
      <c r="I318">
        <v>0</v>
      </c>
      <c r="J318" t="s">
        <v>3082</v>
      </c>
      <c r="K318" s="28" t="s">
        <v>604</v>
      </c>
    </row>
    <row r="319" spans="1:11" x14ac:dyDescent="0.2">
      <c r="A319" t="s">
        <v>1887</v>
      </c>
      <c r="B319" t="s">
        <v>1307</v>
      </c>
      <c r="C319">
        <v>57.81</v>
      </c>
      <c r="D319" t="s">
        <v>608</v>
      </c>
      <c r="E319" t="s">
        <v>608</v>
      </c>
      <c r="F319">
        <v>27.53</v>
      </c>
      <c r="G319">
        <v>11.41</v>
      </c>
      <c r="H319">
        <v>0</v>
      </c>
      <c r="I319">
        <v>0</v>
      </c>
      <c r="J319" t="s">
        <v>3082</v>
      </c>
      <c r="K319" s="28" t="s">
        <v>604</v>
      </c>
    </row>
    <row r="320" spans="1:11" x14ac:dyDescent="0.2">
      <c r="A320" t="s">
        <v>1888</v>
      </c>
      <c r="B320" t="s">
        <v>1307</v>
      </c>
      <c r="C320">
        <v>41.82</v>
      </c>
      <c r="D320" t="s">
        <v>608</v>
      </c>
      <c r="E320" t="s">
        <v>608</v>
      </c>
      <c r="F320">
        <v>20.82</v>
      </c>
      <c r="G320">
        <v>21.19</v>
      </c>
      <c r="H320">
        <v>0</v>
      </c>
      <c r="I320">
        <v>0.5</v>
      </c>
      <c r="J320" t="s">
        <v>3082</v>
      </c>
      <c r="K320" s="28" t="s">
        <v>604</v>
      </c>
    </row>
    <row r="321" spans="1:11" x14ac:dyDescent="0.2">
      <c r="A321" t="s">
        <v>1889</v>
      </c>
      <c r="B321" t="s">
        <v>1307</v>
      </c>
      <c r="C321">
        <v>54.23</v>
      </c>
      <c r="D321" t="s">
        <v>608</v>
      </c>
      <c r="E321" t="s">
        <v>608</v>
      </c>
      <c r="F321">
        <v>23.2</v>
      </c>
      <c r="G321">
        <v>16.329999999999998</v>
      </c>
      <c r="H321">
        <v>0.5</v>
      </c>
      <c r="I321">
        <v>0</v>
      </c>
      <c r="J321" t="s">
        <v>3082</v>
      </c>
      <c r="K321" s="28" t="s">
        <v>604</v>
      </c>
    </row>
    <row r="322" spans="1:11" x14ac:dyDescent="0.2">
      <c r="A322" t="s">
        <v>1890</v>
      </c>
      <c r="B322" t="s">
        <v>1309</v>
      </c>
      <c r="C322">
        <v>45.49</v>
      </c>
      <c r="D322" t="s">
        <v>608</v>
      </c>
      <c r="E322" t="s">
        <v>608</v>
      </c>
      <c r="F322">
        <v>35.57</v>
      </c>
      <c r="G322">
        <v>30.13</v>
      </c>
      <c r="H322">
        <v>0</v>
      </c>
      <c r="I322">
        <v>0</v>
      </c>
      <c r="J322" t="s">
        <v>3082</v>
      </c>
      <c r="K322" s="28" t="s">
        <v>604</v>
      </c>
    </row>
    <row r="323" spans="1:11" x14ac:dyDescent="0.2">
      <c r="A323" t="s">
        <v>1891</v>
      </c>
      <c r="B323" t="s">
        <v>1309</v>
      </c>
      <c r="C323">
        <v>50.78</v>
      </c>
      <c r="D323" t="s">
        <v>608</v>
      </c>
      <c r="E323" t="s">
        <v>608</v>
      </c>
      <c r="F323">
        <v>35.51</v>
      </c>
      <c r="G323">
        <v>33</v>
      </c>
      <c r="H323">
        <v>0</v>
      </c>
      <c r="I323">
        <v>0</v>
      </c>
      <c r="J323" t="s">
        <v>3082</v>
      </c>
      <c r="K323" s="28" t="s">
        <v>604</v>
      </c>
    </row>
    <row r="324" spans="1:11" x14ac:dyDescent="0.2">
      <c r="A324" t="s">
        <v>1892</v>
      </c>
      <c r="B324" t="s">
        <v>1309</v>
      </c>
      <c r="C324">
        <v>53.99</v>
      </c>
      <c r="D324" t="s">
        <v>608</v>
      </c>
      <c r="E324" t="s">
        <v>608</v>
      </c>
      <c r="F324">
        <v>29.87</v>
      </c>
      <c r="G324">
        <v>22.16</v>
      </c>
      <c r="H324">
        <v>0</v>
      </c>
      <c r="I324">
        <v>0</v>
      </c>
      <c r="J324" t="s">
        <v>3082</v>
      </c>
      <c r="K324" s="28" t="s">
        <v>604</v>
      </c>
    </row>
    <row r="325" spans="1:11" x14ac:dyDescent="0.2">
      <c r="A325" t="s">
        <v>1893</v>
      </c>
      <c r="B325" t="s">
        <v>1309</v>
      </c>
      <c r="C325">
        <v>62.94</v>
      </c>
      <c r="D325" t="s">
        <v>608</v>
      </c>
      <c r="E325" t="s">
        <v>608</v>
      </c>
      <c r="F325">
        <v>48.8</v>
      </c>
      <c r="G325">
        <v>24.71</v>
      </c>
      <c r="H325">
        <v>0</v>
      </c>
      <c r="I325">
        <v>0.5</v>
      </c>
      <c r="J325" t="s">
        <v>3082</v>
      </c>
      <c r="K325" s="28" t="s">
        <v>604</v>
      </c>
    </row>
    <row r="326" spans="1:11" x14ac:dyDescent="0.2">
      <c r="A326" t="s">
        <v>1894</v>
      </c>
      <c r="B326" t="s">
        <v>1309</v>
      </c>
      <c r="C326">
        <v>63.24</v>
      </c>
      <c r="D326" t="s">
        <v>608</v>
      </c>
      <c r="E326" t="s">
        <v>608</v>
      </c>
      <c r="F326">
        <v>41.15</v>
      </c>
      <c r="G326">
        <v>28.51</v>
      </c>
      <c r="H326">
        <v>0</v>
      </c>
      <c r="I326">
        <v>0</v>
      </c>
      <c r="J326" t="s">
        <v>3082</v>
      </c>
      <c r="K326" s="28" t="s">
        <v>604</v>
      </c>
    </row>
    <row r="327" spans="1:11" x14ac:dyDescent="0.2">
      <c r="A327" t="s">
        <v>1895</v>
      </c>
      <c r="B327" t="s">
        <v>1311</v>
      </c>
      <c r="C327">
        <v>43.43</v>
      </c>
      <c r="D327" t="s">
        <v>608</v>
      </c>
      <c r="E327" t="s">
        <v>608</v>
      </c>
      <c r="F327">
        <v>20.37</v>
      </c>
      <c r="G327">
        <v>17.170000000000002</v>
      </c>
      <c r="H327">
        <v>0</v>
      </c>
      <c r="I327">
        <v>0</v>
      </c>
      <c r="J327" t="s">
        <v>3082</v>
      </c>
      <c r="K327" s="28" t="s">
        <v>604</v>
      </c>
    </row>
    <row r="328" spans="1:11" x14ac:dyDescent="0.2">
      <c r="A328" t="s">
        <v>1896</v>
      </c>
      <c r="B328" t="s">
        <v>1311</v>
      </c>
      <c r="C328">
        <v>52.65</v>
      </c>
      <c r="D328" t="s">
        <v>608</v>
      </c>
      <c r="E328" t="s">
        <v>608</v>
      </c>
      <c r="F328">
        <v>27.55</v>
      </c>
      <c r="G328">
        <v>16.760000000000002</v>
      </c>
      <c r="H328">
        <v>0</v>
      </c>
      <c r="I328">
        <v>0</v>
      </c>
      <c r="J328" t="s">
        <v>3082</v>
      </c>
      <c r="K328" s="28" t="s">
        <v>604</v>
      </c>
    </row>
    <row r="329" spans="1:11" x14ac:dyDescent="0.2">
      <c r="A329" t="s">
        <v>1897</v>
      </c>
      <c r="B329" t="s">
        <v>1311</v>
      </c>
      <c r="C329">
        <v>50.22</v>
      </c>
      <c r="D329" t="s">
        <v>608</v>
      </c>
      <c r="E329" t="s">
        <v>608</v>
      </c>
      <c r="F329">
        <v>14.18</v>
      </c>
      <c r="G329">
        <v>21.58</v>
      </c>
      <c r="H329">
        <v>0</v>
      </c>
      <c r="I329">
        <v>0</v>
      </c>
      <c r="J329" t="s">
        <v>3082</v>
      </c>
      <c r="K329" s="28" t="s">
        <v>604</v>
      </c>
    </row>
    <row r="330" spans="1:11" x14ac:dyDescent="0.2">
      <c r="A330" t="s">
        <v>1898</v>
      </c>
      <c r="B330" t="s">
        <v>1311</v>
      </c>
      <c r="C330">
        <v>51.12</v>
      </c>
      <c r="D330" t="s">
        <v>608</v>
      </c>
      <c r="E330" t="s">
        <v>608</v>
      </c>
      <c r="F330">
        <v>22.68</v>
      </c>
      <c r="G330">
        <v>29.48</v>
      </c>
      <c r="H330">
        <v>0.5</v>
      </c>
      <c r="I330">
        <v>0</v>
      </c>
      <c r="J330" t="s">
        <v>3082</v>
      </c>
      <c r="K330" s="28" t="s">
        <v>604</v>
      </c>
    </row>
    <row r="331" spans="1:11" x14ac:dyDescent="0.2">
      <c r="A331" t="s">
        <v>1899</v>
      </c>
      <c r="B331" t="s">
        <v>1311</v>
      </c>
      <c r="C331">
        <v>56.65</v>
      </c>
      <c r="D331" t="s">
        <v>608</v>
      </c>
      <c r="E331" t="s">
        <v>608</v>
      </c>
      <c r="F331">
        <v>35.18</v>
      </c>
      <c r="G331">
        <v>28.49</v>
      </c>
      <c r="H331">
        <v>0</v>
      </c>
      <c r="I331">
        <v>0</v>
      </c>
      <c r="J331" t="s">
        <v>3082</v>
      </c>
      <c r="K331" s="28" t="s">
        <v>604</v>
      </c>
    </row>
    <row r="332" spans="1:11" x14ac:dyDescent="0.2">
      <c r="A332" t="s">
        <v>1900</v>
      </c>
      <c r="B332" t="s">
        <v>1901</v>
      </c>
      <c r="C332">
        <v>55.24</v>
      </c>
      <c r="D332" t="s">
        <v>608</v>
      </c>
      <c r="E332" t="s">
        <v>608</v>
      </c>
      <c r="F332">
        <v>28.94</v>
      </c>
      <c r="G332">
        <v>22.17</v>
      </c>
      <c r="H332">
        <v>0.5</v>
      </c>
      <c r="I332">
        <v>0</v>
      </c>
      <c r="J332" t="s">
        <v>608</v>
      </c>
      <c r="K332" s="28" t="s">
        <v>604</v>
      </c>
    </row>
    <row r="333" spans="1:11" x14ac:dyDescent="0.2">
      <c r="A333" t="s">
        <v>1902</v>
      </c>
      <c r="B333" t="s">
        <v>1901</v>
      </c>
      <c r="C333">
        <v>58.18</v>
      </c>
      <c r="D333" t="s">
        <v>608</v>
      </c>
      <c r="E333" t="s">
        <v>608</v>
      </c>
      <c r="F333">
        <v>26.21</v>
      </c>
      <c r="G333">
        <v>18.29</v>
      </c>
      <c r="H333">
        <v>0.5</v>
      </c>
      <c r="I333">
        <v>0</v>
      </c>
      <c r="J333" t="s">
        <v>608</v>
      </c>
      <c r="K333" s="28" t="s">
        <v>604</v>
      </c>
    </row>
    <row r="334" spans="1:11" x14ac:dyDescent="0.2">
      <c r="A334" t="s">
        <v>1903</v>
      </c>
      <c r="B334" t="s">
        <v>1901</v>
      </c>
      <c r="C334">
        <v>46.39</v>
      </c>
      <c r="D334" t="s">
        <v>608</v>
      </c>
      <c r="E334" t="s">
        <v>608</v>
      </c>
      <c r="F334">
        <v>22.94</v>
      </c>
      <c r="G334">
        <v>19.52</v>
      </c>
      <c r="H334">
        <v>1</v>
      </c>
      <c r="I334">
        <v>1</v>
      </c>
      <c r="J334" t="s">
        <v>608</v>
      </c>
      <c r="K334" s="28" t="s">
        <v>604</v>
      </c>
    </row>
    <row r="335" spans="1:11" x14ac:dyDescent="0.2">
      <c r="A335" t="s">
        <v>1904</v>
      </c>
      <c r="B335" t="s">
        <v>1901</v>
      </c>
      <c r="C335">
        <v>45.82</v>
      </c>
      <c r="D335" t="s">
        <v>608</v>
      </c>
      <c r="E335" t="s">
        <v>608</v>
      </c>
      <c r="F335">
        <v>28.17</v>
      </c>
      <c r="G335">
        <v>19.95</v>
      </c>
      <c r="H335">
        <v>0</v>
      </c>
      <c r="I335">
        <v>0</v>
      </c>
      <c r="J335" t="s">
        <v>608</v>
      </c>
      <c r="K335" s="28" t="s">
        <v>604</v>
      </c>
    </row>
    <row r="336" spans="1:11" x14ac:dyDescent="0.2">
      <c r="A336" t="s">
        <v>1905</v>
      </c>
      <c r="B336" t="s">
        <v>1901</v>
      </c>
      <c r="C336">
        <v>42.38</v>
      </c>
      <c r="D336" t="s">
        <v>608</v>
      </c>
      <c r="E336" t="s">
        <v>608</v>
      </c>
      <c r="F336">
        <v>20.48</v>
      </c>
      <c r="G336">
        <v>13.43</v>
      </c>
      <c r="H336">
        <v>0</v>
      </c>
      <c r="I336">
        <v>0</v>
      </c>
      <c r="J336" t="s">
        <v>608</v>
      </c>
      <c r="K336" s="28" t="s">
        <v>604</v>
      </c>
    </row>
    <row r="337" spans="1:11" x14ac:dyDescent="0.2">
      <c r="A337" t="s">
        <v>1906</v>
      </c>
      <c r="B337" t="s">
        <v>1907</v>
      </c>
      <c r="C337">
        <v>55.13</v>
      </c>
      <c r="D337" t="s">
        <v>608</v>
      </c>
      <c r="E337" t="s">
        <v>608</v>
      </c>
      <c r="F337">
        <v>36.06</v>
      </c>
      <c r="G337">
        <v>28.17</v>
      </c>
      <c r="H337">
        <v>0.5</v>
      </c>
      <c r="I337">
        <v>2</v>
      </c>
      <c r="J337" t="s">
        <v>608</v>
      </c>
      <c r="K337" s="28" t="s">
        <v>604</v>
      </c>
    </row>
    <row r="338" spans="1:11" x14ac:dyDescent="0.2">
      <c r="A338" t="s">
        <v>1908</v>
      </c>
      <c r="B338" t="s">
        <v>1907</v>
      </c>
      <c r="C338">
        <v>53.36</v>
      </c>
      <c r="D338" t="s">
        <v>608</v>
      </c>
      <c r="E338" t="s">
        <v>608</v>
      </c>
      <c r="F338">
        <v>31.48</v>
      </c>
      <c r="G338">
        <v>23.77</v>
      </c>
      <c r="H338">
        <v>0</v>
      </c>
      <c r="I338">
        <v>0</v>
      </c>
      <c r="J338" t="s">
        <v>608</v>
      </c>
      <c r="K338" s="28" t="s">
        <v>604</v>
      </c>
    </row>
    <row r="339" spans="1:11" x14ac:dyDescent="0.2">
      <c r="A339" t="s">
        <v>1909</v>
      </c>
      <c r="B339" t="s">
        <v>1907</v>
      </c>
      <c r="C339">
        <v>45.98</v>
      </c>
      <c r="D339" t="s">
        <v>608</v>
      </c>
      <c r="E339" t="s">
        <v>608</v>
      </c>
      <c r="F339">
        <v>24.68</v>
      </c>
      <c r="G339">
        <v>17.2</v>
      </c>
      <c r="H339">
        <v>1</v>
      </c>
      <c r="I339">
        <v>1</v>
      </c>
      <c r="J339" t="s">
        <v>608</v>
      </c>
      <c r="K339" s="28" t="s">
        <v>604</v>
      </c>
    </row>
    <row r="340" spans="1:11" x14ac:dyDescent="0.2">
      <c r="A340" t="s">
        <v>1910</v>
      </c>
      <c r="B340" t="s">
        <v>1907</v>
      </c>
      <c r="C340">
        <v>49.77</v>
      </c>
      <c r="D340" t="s">
        <v>608</v>
      </c>
      <c r="E340" t="s">
        <v>608</v>
      </c>
      <c r="F340">
        <v>14.61</v>
      </c>
      <c r="G340">
        <v>11.03</v>
      </c>
      <c r="H340">
        <v>0</v>
      </c>
      <c r="I340">
        <v>0</v>
      </c>
      <c r="J340" t="s">
        <v>608</v>
      </c>
      <c r="K340" s="28" t="s">
        <v>604</v>
      </c>
    </row>
    <row r="341" spans="1:11" x14ac:dyDescent="0.2">
      <c r="A341" t="s">
        <v>1911</v>
      </c>
      <c r="B341" t="s">
        <v>1907</v>
      </c>
      <c r="C341">
        <v>46.47</v>
      </c>
      <c r="D341" t="s">
        <v>608</v>
      </c>
      <c r="E341" t="s">
        <v>608</v>
      </c>
      <c r="F341">
        <v>24.98</v>
      </c>
      <c r="G341">
        <v>18.38</v>
      </c>
      <c r="H341">
        <v>0</v>
      </c>
      <c r="I341">
        <v>0</v>
      </c>
      <c r="J341" t="s">
        <v>608</v>
      </c>
      <c r="K341" s="28" t="s">
        <v>604</v>
      </c>
    </row>
    <row r="342" spans="1:11" x14ac:dyDescent="0.2">
      <c r="A342" t="s">
        <v>1912</v>
      </c>
      <c r="B342" t="s">
        <v>1913</v>
      </c>
      <c r="C342">
        <v>45.39</v>
      </c>
      <c r="D342" t="s">
        <v>608</v>
      </c>
      <c r="E342" t="s">
        <v>608</v>
      </c>
      <c r="F342">
        <v>19.84</v>
      </c>
      <c r="G342">
        <v>15.21</v>
      </c>
      <c r="H342">
        <v>0</v>
      </c>
      <c r="I342">
        <v>0</v>
      </c>
      <c r="J342" t="s">
        <v>608</v>
      </c>
      <c r="K342" s="28" t="s">
        <v>604</v>
      </c>
    </row>
    <row r="343" spans="1:11" x14ac:dyDescent="0.2">
      <c r="A343" t="s">
        <v>1914</v>
      </c>
      <c r="B343" t="s">
        <v>1913</v>
      </c>
      <c r="C343">
        <v>55.95</v>
      </c>
      <c r="D343" t="s">
        <v>608</v>
      </c>
      <c r="E343" t="s">
        <v>608</v>
      </c>
      <c r="F343">
        <v>18.260000000000002</v>
      </c>
      <c r="G343">
        <v>14.52</v>
      </c>
      <c r="H343">
        <v>0</v>
      </c>
      <c r="I343">
        <v>0</v>
      </c>
      <c r="J343" t="s">
        <v>608</v>
      </c>
      <c r="K343" s="28" t="s">
        <v>604</v>
      </c>
    </row>
    <row r="344" spans="1:11" x14ac:dyDescent="0.2">
      <c r="A344" t="s">
        <v>1915</v>
      </c>
      <c r="B344" t="s">
        <v>1913</v>
      </c>
      <c r="C344">
        <v>52.25</v>
      </c>
      <c r="D344" t="s">
        <v>608</v>
      </c>
      <c r="E344" t="s">
        <v>608</v>
      </c>
      <c r="F344">
        <v>31.34</v>
      </c>
      <c r="G344">
        <v>20.27</v>
      </c>
      <c r="H344">
        <v>0</v>
      </c>
      <c r="I344">
        <v>0</v>
      </c>
      <c r="J344" t="s">
        <v>608</v>
      </c>
      <c r="K344" s="28" t="s">
        <v>604</v>
      </c>
    </row>
    <row r="345" spans="1:11" x14ac:dyDescent="0.2">
      <c r="A345" t="s">
        <v>1916</v>
      </c>
      <c r="B345" t="s">
        <v>1913</v>
      </c>
      <c r="C345">
        <v>52.52</v>
      </c>
      <c r="D345" t="s">
        <v>608</v>
      </c>
      <c r="E345" t="s">
        <v>608</v>
      </c>
      <c r="F345">
        <v>23.2</v>
      </c>
      <c r="G345">
        <v>18.45</v>
      </c>
      <c r="H345">
        <v>0</v>
      </c>
      <c r="I345">
        <v>0</v>
      </c>
      <c r="J345" t="s">
        <v>608</v>
      </c>
      <c r="K345" s="28" t="s">
        <v>604</v>
      </c>
    </row>
    <row r="346" spans="1:11" x14ac:dyDescent="0.2">
      <c r="A346" t="s">
        <v>1917</v>
      </c>
      <c r="B346" t="s">
        <v>1913</v>
      </c>
      <c r="C346">
        <v>40.29</v>
      </c>
      <c r="D346" t="s">
        <v>608</v>
      </c>
      <c r="E346" t="s">
        <v>608</v>
      </c>
      <c r="F346">
        <v>15.62</v>
      </c>
      <c r="G346">
        <v>11.42</v>
      </c>
      <c r="H346">
        <v>0</v>
      </c>
      <c r="I346">
        <v>0</v>
      </c>
      <c r="J346" t="s">
        <v>608</v>
      </c>
      <c r="K346" s="28" t="s">
        <v>604</v>
      </c>
    </row>
    <row r="347" spans="1:11" x14ac:dyDescent="0.2">
      <c r="A347" t="s">
        <v>1918</v>
      </c>
      <c r="B347" t="s">
        <v>1919</v>
      </c>
      <c r="C347">
        <v>57.49</v>
      </c>
      <c r="D347" t="s">
        <v>608</v>
      </c>
      <c r="E347" t="s">
        <v>608</v>
      </c>
      <c r="F347">
        <v>23.62</v>
      </c>
      <c r="G347">
        <v>16.670000000000002</v>
      </c>
      <c r="H347">
        <v>0</v>
      </c>
      <c r="I347">
        <v>0</v>
      </c>
      <c r="J347" t="s">
        <v>608</v>
      </c>
      <c r="K347" s="28" t="s">
        <v>604</v>
      </c>
    </row>
    <row r="348" spans="1:11" x14ac:dyDescent="0.2">
      <c r="A348" t="s">
        <v>1920</v>
      </c>
      <c r="B348" t="s">
        <v>1919</v>
      </c>
      <c r="C348">
        <v>66.040000000000006</v>
      </c>
      <c r="D348" t="s">
        <v>608</v>
      </c>
      <c r="E348" t="s">
        <v>608</v>
      </c>
      <c r="F348">
        <v>46.27</v>
      </c>
      <c r="G348">
        <v>33.1</v>
      </c>
      <c r="H348">
        <v>1</v>
      </c>
      <c r="I348">
        <v>1</v>
      </c>
      <c r="J348" t="s">
        <v>608</v>
      </c>
      <c r="K348" s="28" t="s">
        <v>604</v>
      </c>
    </row>
    <row r="349" spans="1:11" x14ac:dyDescent="0.2">
      <c r="A349" t="s">
        <v>1921</v>
      </c>
      <c r="B349" t="s">
        <v>1919</v>
      </c>
      <c r="C349">
        <v>44</v>
      </c>
      <c r="D349" t="s">
        <v>608</v>
      </c>
      <c r="E349" t="s">
        <v>608</v>
      </c>
      <c r="F349">
        <v>23.27</v>
      </c>
      <c r="G349">
        <v>17.25</v>
      </c>
      <c r="H349">
        <v>0</v>
      </c>
      <c r="I349">
        <v>0</v>
      </c>
      <c r="J349" t="s">
        <v>608</v>
      </c>
      <c r="K349" s="28" t="s">
        <v>604</v>
      </c>
    </row>
    <row r="350" spans="1:11" x14ac:dyDescent="0.2">
      <c r="A350" t="s">
        <v>1922</v>
      </c>
      <c r="B350" t="s">
        <v>1919</v>
      </c>
      <c r="C350">
        <v>48.19</v>
      </c>
      <c r="D350" t="s">
        <v>608</v>
      </c>
      <c r="E350" t="s">
        <v>608</v>
      </c>
      <c r="F350">
        <v>26.87</v>
      </c>
      <c r="G350">
        <v>21</v>
      </c>
      <c r="H350">
        <v>0</v>
      </c>
      <c r="I350">
        <v>0</v>
      </c>
      <c r="J350" t="s">
        <v>608</v>
      </c>
      <c r="K350" s="28" t="s">
        <v>604</v>
      </c>
    </row>
    <row r="351" spans="1:11" x14ac:dyDescent="0.2">
      <c r="A351" t="s">
        <v>1923</v>
      </c>
      <c r="B351" t="s">
        <v>1919</v>
      </c>
      <c r="C351">
        <v>53.62</v>
      </c>
      <c r="D351" t="s">
        <v>608</v>
      </c>
      <c r="E351" t="s">
        <v>608</v>
      </c>
      <c r="F351">
        <v>24.67</v>
      </c>
      <c r="G351">
        <v>18.12</v>
      </c>
      <c r="H351">
        <v>0</v>
      </c>
      <c r="I351">
        <v>0</v>
      </c>
      <c r="J351" t="s">
        <v>608</v>
      </c>
      <c r="K351" s="28" t="s">
        <v>604</v>
      </c>
    </row>
    <row r="352" spans="1:11" x14ac:dyDescent="0.2">
      <c r="A352" t="s">
        <v>1924</v>
      </c>
      <c r="B352" t="s">
        <v>1925</v>
      </c>
      <c r="C352">
        <v>60.36</v>
      </c>
      <c r="D352" t="s">
        <v>608</v>
      </c>
      <c r="E352" t="s">
        <v>608</v>
      </c>
      <c r="F352">
        <v>46.78</v>
      </c>
      <c r="G352">
        <v>35.04</v>
      </c>
      <c r="H352">
        <v>0</v>
      </c>
      <c r="I352">
        <v>0</v>
      </c>
      <c r="J352" t="s">
        <v>608</v>
      </c>
      <c r="K352" s="28" t="s">
        <v>604</v>
      </c>
    </row>
    <row r="353" spans="1:11" x14ac:dyDescent="0.2">
      <c r="A353" t="s">
        <v>1926</v>
      </c>
      <c r="B353" t="s">
        <v>1925</v>
      </c>
      <c r="C353">
        <v>68.5</v>
      </c>
      <c r="D353" t="s">
        <v>608</v>
      </c>
      <c r="E353" t="s">
        <v>608</v>
      </c>
      <c r="F353">
        <v>65.66</v>
      </c>
      <c r="G353">
        <v>49.08</v>
      </c>
      <c r="H353">
        <v>0</v>
      </c>
      <c r="I353">
        <v>0</v>
      </c>
      <c r="J353" t="s">
        <v>608</v>
      </c>
      <c r="K353" s="28" t="s">
        <v>604</v>
      </c>
    </row>
    <row r="354" spans="1:11" x14ac:dyDescent="0.2">
      <c r="A354" t="s">
        <v>1927</v>
      </c>
      <c r="B354" t="s">
        <v>1925</v>
      </c>
      <c r="C354">
        <v>54.65</v>
      </c>
      <c r="D354" t="s">
        <v>608</v>
      </c>
      <c r="E354" t="s">
        <v>608</v>
      </c>
      <c r="F354">
        <v>34.4</v>
      </c>
      <c r="G354">
        <v>25.93</v>
      </c>
      <c r="H354">
        <v>0</v>
      </c>
      <c r="I354">
        <v>0</v>
      </c>
      <c r="J354" t="s">
        <v>608</v>
      </c>
      <c r="K354" s="28" t="s">
        <v>604</v>
      </c>
    </row>
    <row r="355" spans="1:11" x14ac:dyDescent="0.2">
      <c r="A355" t="s">
        <v>1928</v>
      </c>
      <c r="B355" t="s">
        <v>1925</v>
      </c>
      <c r="C355">
        <v>53.76</v>
      </c>
      <c r="D355" t="s">
        <v>608</v>
      </c>
      <c r="E355" t="s">
        <v>608</v>
      </c>
      <c r="F355">
        <v>26.64</v>
      </c>
      <c r="G355">
        <v>18.63</v>
      </c>
      <c r="H355">
        <v>0</v>
      </c>
      <c r="I355">
        <v>0</v>
      </c>
      <c r="J355" t="s">
        <v>608</v>
      </c>
      <c r="K355" s="28" t="s">
        <v>604</v>
      </c>
    </row>
    <row r="356" spans="1:11" x14ac:dyDescent="0.2">
      <c r="A356" t="s">
        <v>1929</v>
      </c>
      <c r="B356" t="s">
        <v>1925</v>
      </c>
      <c r="C356">
        <v>54.8</v>
      </c>
      <c r="D356" t="s">
        <v>608</v>
      </c>
      <c r="E356" t="s">
        <v>608</v>
      </c>
      <c r="F356">
        <v>29.9</v>
      </c>
      <c r="G356">
        <v>22.71</v>
      </c>
      <c r="H356">
        <v>0</v>
      </c>
      <c r="I356">
        <v>0</v>
      </c>
      <c r="J356" t="s">
        <v>608</v>
      </c>
      <c r="K356" s="28" t="s">
        <v>604</v>
      </c>
    </row>
    <row r="357" spans="1:11" x14ac:dyDescent="0.2">
      <c r="A357" t="s">
        <v>1930</v>
      </c>
      <c r="B357" t="s">
        <v>1931</v>
      </c>
      <c r="C357">
        <v>70.150000000000006</v>
      </c>
      <c r="D357" t="s">
        <v>608</v>
      </c>
      <c r="E357" t="s">
        <v>608</v>
      </c>
      <c r="F357">
        <v>39.229999999999997</v>
      </c>
      <c r="G357">
        <v>28.7</v>
      </c>
      <c r="H357">
        <v>0</v>
      </c>
      <c r="I357">
        <v>0</v>
      </c>
      <c r="J357" t="s">
        <v>608</v>
      </c>
      <c r="K357" s="28" t="s">
        <v>604</v>
      </c>
    </row>
    <row r="358" spans="1:11" x14ac:dyDescent="0.2">
      <c r="A358" t="s">
        <v>1932</v>
      </c>
      <c r="B358" t="s">
        <v>1931</v>
      </c>
      <c r="C358">
        <v>54.52</v>
      </c>
      <c r="D358" t="s">
        <v>608</v>
      </c>
      <c r="E358" t="s">
        <v>608</v>
      </c>
      <c r="F358">
        <v>47.97</v>
      </c>
      <c r="G358">
        <v>32.31</v>
      </c>
      <c r="H358">
        <v>0</v>
      </c>
      <c r="I358">
        <v>0</v>
      </c>
      <c r="J358" t="s">
        <v>608</v>
      </c>
      <c r="K358" s="28" t="s">
        <v>604</v>
      </c>
    </row>
    <row r="359" spans="1:11" x14ac:dyDescent="0.2">
      <c r="A359" t="s">
        <v>1933</v>
      </c>
      <c r="B359" t="s">
        <v>1931</v>
      </c>
      <c r="C359">
        <v>47.43</v>
      </c>
      <c r="D359" t="s">
        <v>608</v>
      </c>
      <c r="E359" t="s">
        <v>608</v>
      </c>
      <c r="F359">
        <v>23.85</v>
      </c>
      <c r="G359">
        <v>19.38</v>
      </c>
      <c r="H359">
        <v>0</v>
      </c>
      <c r="I359">
        <v>0</v>
      </c>
      <c r="J359" t="s">
        <v>608</v>
      </c>
      <c r="K359" s="28" t="s">
        <v>604</v>
      </c>
    </row>
    <row r="360" spans="1:11" x14ac:dyDescent="0.2">
      <c r="A360" t="s">
        <v>1934</v>
      </c>
      <c r="B360" t="s">
        <v>1931</v>
      </c>
      <c r="C360">
        <v>42.17</v>
      </c>
      <c r="D360" t="s">
        <v>608</v>
      </c>
      <c r="E360" t="s">
        <v>608</v>
      </c>
      <c r="F360">
        <v>11.97</v>
      </c>
      <c r="G360">
        <v>8.8699999999999992</v>
      </c>
      <c r="H360">
        <v>0</v>
      </c>
      <c r="I360">
        <v>0</v>
      </c>
      <c r="J360" t="s">
        <v>608</v>
      </c>
      <c r="K360" s="28" t="s">
        <v>604</v>
      </c>
    </row>
    <row r="361" spans="1:11" x14ac:dyDescent="0.2">
      <c r="A361" t="s">
        <v>1935</v>
      </c>
      <c r="B361" t="s">
        <v>1931</v>
      </c>
      <c r="C361">
        <v>38.76</v>
      </c>
      <c r="D361" t="s">
        <v>608</v>
      </c>
      <c r="E361" t="s">
        <v>608</v>
      </c>
      <c r="F361">
        <v>12.7</v>
      </c>
      <c r="G361">
        <v>9.32</v>
      </c>
      <c r="H361">
        <v>0</v>
      </c>
      <c r="I361">
        <v>0</v>
      </c>
      <c r="J361" t="s">
        <v>608</v>
      </c>
      <c r="K361" s="28" t="s">
        <v>604</v>
      </c>
    </row>
    <row r="362" spans="1:11" x14ac:dyDescent="0.2">
      <c r="A362" t="s">
        <v>1936</v>
      </c>
      <c r="B362" t="s">
        <v>1937</v>
      </c>
      <c r="C362">
        <v>45.75</v>
      </c>
      <c r="D362" t="s">
        <v>608</v>
      </c>
      <c r="E362" t="s">
        <v>608</v>
      </c>
      <c r="F362">
        <v>19.54</v>
      </c>
      <c r="G362">
        <v>13.75</v>
      </c>
      <c r="H362">
        <v>0</v>
      </c>
      <c r="I362">
        <v>0</v>
      </c>
      <c r="J362" t="s">
        <v>608</v>
      </c>
      <c r="K362" s="28" t="s">
        <v>604</v>
      </c>
    </row>
    <row r="363" spans="1:11" x14ac:dyDescent="0.2">
      <c r="A363" t="s">
        <v>1938</v>
      </c>
      <c r="B363" t="s">
        <v>1937</v>
      </c>
      <c r="C363">
        <v>52.46</v>
      </c>
      <c r="D363" t="s">
        <v>608</v>
      </c>
      <c r="E363" t="s">
        <v>608</v>
      </c>
      <c r="F363">
        <v>21.78</v>
      </c>
      <c r="G363">
        <v>15.63</v>
      </c>
      <c r="H363">
        <v>0</v>
      </c>
      <c r="I363">
        <v>0</v>
      </c>
      <c r="J363" t="s">
        <v>608</v>
      </c>
      <c r="K363" s="28" t="s">
        <v>604</v>
      </c>
    </row>
    <row r="364" spans="1:11" x14ac:dyDescent="0.2">
      <c r="A364" t="s">
        <v>1939</v>
      </c>
      <c r="B364" t="s">
        <v>1937</v>
      </c>
      <c r="C364">
        <v>48.47</v>
      </c>
      <c r="D364" t="s">
        <v>608</v>
      </c>
      <c r="E364" t="s">
        <v>608</v>
      </c>
      <c r="F364">
        <v>37.71</v>
      </c>
      <c r="G364">
        <v>26.39</v>
      </c>
      <c r="H364">
        <v>0</v>
      </c>
      <c r="I364">
        <v>0.5</v>
      </c>
      <c r="J364" t="s">
        <v>608</v>
      </c>
      <c r="K364" s="28" t="s">
        <v>604</v>
      </c>
    </row>
    <row r="365" spans="1:11" x14ac:dyDescent="0.2">
      <c r="A365" t="s">
        <v>1940</v>
      </c>
      <c r="B365" t="s">
        <v>1937</v>
      </c>
      <c r="C365">
        <v>42.27</v>
      </c>
      <c r="D365" t="s">
        <v>608</v>
      </c>
      <c r="E365" t="s">
        <v>608</v>
      </c>
      <c r="F365">
        <v>20.92</v>
      </c>
      <c r="G365">
        <v>15.56</v>
      </c>
      <c r="H365">
        <v>0.5</v>
      </c>
      <c r="I365">
        <v>1</v>
      </c>
      <c r="J365" t="s">
        <v>608</v>
      </c>
      <c r="K365" s="28" t="s">
        <v>604</v>
      </c>
    </row>
    <row r="366" spans="1:11" x14ac:dyDescent="0.2">
      <c r="A366" t="s">
        <v>1941</v>
      </c>
      <c r="B366" t="s">
        <v>1937</v>
      </c>
      <c r="C366">
        <v>48.72</v>
      </c>
      <c r="D366" t="s">
        <v>608</v>
      </c>
      <c r="E366" t="s">
        <v>608</v>
      </c>
      <c r="F366">
        <v>20.170000000000002</v>
      </c>
      <c r="G366">
        <v>15.01</v>
      </c>
      <c r="H366">
        <v>0</v>
      </c>
      <c r="I366">
        <v>0</v>
      </c>
      <c r="J366" t="s">
        <v>608</v>
      </c>
      <c r="K366" s="28" t="s">
        <v>604</v>
      </c>
    </row>
    <row r="367" spans="1:11" x14ac:dyDescent="0.2">
      <c r="A367" t="s">
        <v>1942</v>
      </c>
      <c r="B367" t="s">
        <v>1943</v>
      </c>
      <c r="C367">
        <v>50.83</v>
      </c>
      <c r="D367" t="s">
        <v>608</v>
      </c>
      <c r="E367" t="s">
        <v>608</v>
      </c>
      <c r="F367">
        <v>26.87</v>
      </c>
      <c r="G367">
        <v>20.329999999999998</v>
      </c>
      <c r="H367">
        <v>0</v>
      </c>
      <c r="I367">
        <v>0</v>
      </c>
      <c r="J367" t="s">
        <v>608</v>
      </c>
      <c r="K367" s="28" t="s">
        <v>604</v>
      </c>
    </row>
    <row r="368" spans="1:11" x14ac:dyDescent="0.2">
      <c r="A368" t="s">
        <v>1944</v>
      </c>
      <c r="B368" t="s">
        <v>1943</v>
      </c>
      <c r="C368">
        <v>55.23</v>
      </c>
      <c r="D368" t="s">
        <v>608</v>
      </c>
      <c r="E368" t="s">
        <v>608</v>
      </c>
      <c r="F368">
        <v>25.67</v>
      </c>
      <c r="G368">
        <v>18.77</v>
      </c>
      <c r="H368">
        <v>0.5</v>
      </c>
      <c r="I368">
        <v>0</v>
      </c>
      <c r="J368" t="s">
        <v>608</v>
      </c>
      <c r="K368" s="28" t="s">
        <v>604</v>
      </c>
    </row>
    <row r="369" spans="1:11" x14ac:dyDescent="0.2">
      <c r="A369" t="s">
        <v>1945</v>
      </c>
      <c r="B369" t="s">
        <v>1943</v>
      </c>
      <c r="C369">
        <v>55.83</v>
      </c>
      <c r="D369" t="s">
        <v>608</v>
      </c>
      <c r="E369" t="s">
        <v>608</v>
      </c>
      <c r="F369">
        <v>33.840000000000003</v>
      </c>
      <c r="G369">
        <v>23.8</v>
      </c>
      <c r="H369">
        <v>0</v>
      </c>
      <c r="I369">
        <v>0.5</v>
      </c>
      <c r="J369" t="s">
        <v>608</v>
      </c>
      <c r="K369" s="28" t="s">
        <v>604</v>
      </c>
    </row>
    <row r="370" spans="1:11" x14ac:dyDescent="0.2">
      <c r="A370" t="s">
        <v>1946</v>
      </c>
      <c r="B370" t="s">
        <v>1943</v>
      </c>
      <c r="C370">
        <v>49.02</v>
      </c>
      <c r="D370" t="s">
        <v>608</v>
      </c>
      <c r="E370" t="s">
        <v>608</v>
      </c>
      <c r="F370">
        <v>30.2</v>
      </c>
      <c r="G370">
        <v>20.84</v>
      </c>
      <c r="H370">
        <v>0.5</v>
      </c>
      <c r="I370">
        <v>0</v>
      </c>
      <c r="J370" t="s">
        <v>608</v>
      </c>
      <c r="K370" s="28" t="s">
        <v>604</v>
      </c>
    </row>
    <row r="371" spans="1:11" x14ac:dyDescent="0.2">
      <c r="A371" t="s">
        <v>1947</v>
      </c>
      <c r="B371" t="s">
        <v>1943</v>
      </c>
      <c r="C371">
        <v>55.7</v>
      </c>
      <c r="D371" t="s">
        <v>608</v>
      </c>
      <c r="E371" t="s">
        <v>608</v>
      </c>
      <c r="F371">
        <v>23.34</v>
      </c>
      <c r="G371">
        <v>16.75</v>
      </c>
      <c r="H371">
        <v>0</v>
      </c>
      <c r="I371">
        <v>0</v>
      </c>
      <c r="J371" t="s">
        <v>608</v>
      </c>
      <c r="K371" s="28" t="s">
        <v>604</v>
      </c>
    </row>
    <row r="372" spans="1:11" x14ac:dyDescent="0.2">
      <c r="A372" t="s">
        <v>1948</v>
      </c>
      <c r="B372" t="s">
        <v>1949</v>
      </c>
      <c r="C372">
        <v>53.32</v>
      </c>
      <c r="D372" t="s">
        <v>608</v>
      </c>
      <c r="E372" t="s">
        <v>608</v>
      </c>
      <c r="F372">
        <v>34.619999999999997</v>
      </c>
      <c r="G372">
        <v>23.89</v>
      </c>
      <c r="H372">
        <v>0</v>
      </c>
      <c r="I372">
        <v>0.5</v>
      </c>
      <c r="J372" t="s">
        <v>608</v>
      </c>
      <c r="K372" s="28" t="s">
        <v>604</v>
      </c>
    </row>
    <row r="373" spans="1:11" x14ac:dyDescent="0.2">
      <c r="A373" t="s">
        <v>1950</v>
      </c>
      <c r="B373" t="s">
        <v>1949</v>
      </c>
      <c r="C373">
        <v>67.44</v>
      </c>
      <c r="D373" t="s">
        <v>608</v>
      </c>
      <c r="E373" t="s">
        <v>608</v>
      </c>
      <c r="F373">
        <v>45.02</v>
      </c>
      <c r="G373">
        <v>34.93</v>
      </c>
      <c r="H373">
        <v>0</v>
      </c>
      <c r="I373">
        <v>0</v>
      </c>
      <c r="J373" t="s">
        <v>608</v>
      </c>
      <c r="K373" s="28" t="s">
        <v>604</v>
      </c>
    </row>
    <row r="374" spans="1:11" x14ac:dyDescent="0.2">
      <c r="A374" t="s">
        <v>1951</v>
      </c>
      <c r="B374" t="s">
        <v>1949</v>
      </c>
      <c r="C374">
        <v>50.66</v>
      </c>
      <c r="D374" t="s">
        <v>608</v>
      </c>
      <c r="E374" t="s">
        <v>608</v>
      </c>
      <c r="F374">
        <v>21.22</v>
      </c>
      <c r="G374">
        <v>15.46</v>
      </c>
      <c r="H374">
        <v>0</v>
      </c>
      <c r="I374">
        <v>0</v>
      </c>
      <c r="J374" t="s">
        <v>608</v>
      </c>
      <c r="K374" s="28" t="s">
        <v>604</v>
      </c>
    </row>
    <row r="375" spans="1:11" x14ac:dyDescent="0.2">
      <c r="A375" t="s">
        <v>1952</v>
      </c>
      <c r="B375" t="s">
        <v>1949</v>
      </c>
      <c r="C375">
        <v>53.91</v>
      </c>
      <c r="D375" t="s">
        <v>608</v>
      </c>
      <c r="E375" t="s">
        <v>608</v>
      </c>
      <c r="F375">
        <v>29.76</v>
      </c>
      <c r="G375">
        <v>23.6</v>
      </c>
      <c r="H375">
        <v>0</v>
      </c>
      <c r="I375">
        <v>0</v>
      </c>
      <c r="J375" t="s">
        <v>608</v>
      </c>
      <c r="K375" s="28" t="s">
        <v>604</v>
      </c>
    </row>
    <row r="376" spans="1:11" x14ac:dyDescent="0.2">
      <c r="A376" t="s">
        <v>1953</v>
      </c>
      <c r="B376" t="s">
        <v>1949</v>
      </c>
      <c r="C376">
        <v>62.06</v>
      </c>
      <c r="D376" t="s">
        <v>608</v>
      </c>
      <c r="E376" t="s">
        <v>608</v>
      </c>
      <c r="F376">
        <v>32.770000000000003</v>
      </c>
      <c r="G376">
        <v>24.03</v>
      </c>
      <c r="H376">
        <v>0</v>
      </c>
      <c r="I376">
        <v>0</v>
      </c>
      <c r="J376" t="s">
        <v>608</v>
      </c>
      <c r="K376" s="28" t="s">
        <v>604</v>
      </c>
    </row>
    <row r="377" spans="1:11" x14ac:dyDescent="0.2">
      <c r="A377" t="s">
        <v>1954</v>
      </c>
      <c r="B377" t="s">
        <v>1955</v>
      </c>
      <c r="C377">
        <v>55.81</v>
      </c>
      <c r="D377" t="s">
        <v>608</v>
      </c>
      <c r="E377" t="s">
        <v>608</v>
      </c>
      <c r="F377">
        <v>34.57</v>
      </c>
      <c r="G377">
        <v>24.22</v>
      </c>
      <c r="H377">
        <v>0</v>
      </c>
      <c r="I377">
        <v>0</v>
      </c>
      <c r="J377" t="s">
        <v>608</v>
      </c>
      <c r="K377" s="28" t="s">
        <v>604</v>
      </c>
    </row>
    <row r="378" spans="1:11" x14ac:dyDescent="0.2">
      <c r="A378" t="s">
        <v>1956</v>
      </c>
      <c r="B378" t="s">
        <v>1955</v>
      </c>
      <c r="C378">
        <v>44.43</v>
      </c>
      <c r="D378" t="s">
        <v>608</v>
      </c>
      <c r="E378" t="s">
        <v>608</v>
      </c>
      <c r="F378">
        <v>13.45</v>
      </c>
      <c r="G378">
        <v>9.51</v>
      </c>
      <c r="H378">
        <v>0</v>
      </c>
      <c r="I378">
        <v>0</v>
      </c>
      <c r="J378" t="s">
        <v>608</v>
      </c>
      <c r="K378" s="28" t="s">
        <v>604</v>
      </c>
    </row>
    <row r="379" spans="1:11" x14ac:dyDescent="0.2">
      <c r="A379" t="s">
        <v>1957</v>
      </c>
      <c r="B379" t="s">
        <v>1955</v>
      </c>
      <c r="C379">
        <v>43.89</v>
      </c>
      <c r="D379" t="s">
        <v>608</v>
      </c>
      <c r="E379" t="s">
        <v>608</v>
      </c>
      <c r="F379">
        <v>15.48</v>
      </c>
      <c r="G379">
        <v>11.3</v>
      </c>
      <c r="H379">
        <v>0</v>
      </c>
      <c r="I379">
        <v>0</v>
      </c>
      <c r="J379" t="s">
        <v>608</v>
      </c>
      <c r="K379" s="28" t="s">
        <v>604</v>
      </c>
    </row>
    <row r="380" spans="1:11" x14ac:dyDescent="0.2">
      <c r="A380" t="s">
        <v>1958</v>
      </c>
      <c r="B380" t="s">
        <v>1955</v>
      </c>
      <c r="C380">
        <v>63.26</v>
      </c>
      <c r="D380" t="s">
        <v>608</v>
      </c>
      <c r="E380" t="s">
        <v>608</v>
      </c>
      <c r="F380">
        <v>28.91</v>
      </c>
      <c r="G380">
        <v>23.25</v>
      </c>
      <c r="H380">
        <v>0</v>
      </c>
      <c r="I380">
        <v>0</v>
      </c>
      <c r="J380" t="s">
        <v>608</v>
      </c>
      <c r="K380" s="28" t="s">
        <v>604</v>
      </c>
    </row>
    <row r="381" spans="1:11" x14ac:dyDescent="0.2">
      <c r="A381" t="s">
        <v>1959</v>
      </c>
      <c r="B381" t="s">
        <v>1955</v>
      </c>
      <c r="C381">
        <v>47.63</v>
      </c>
      <c r="D381" t="s">
        <v>608</v>
      </c>
      <c r="E381" t="s">
        <v>608</v>
      </c>
      <c r="F381">
        <v>22.63</v>
      </c>
      <c r="G381">
        <v>15.6</v>
      </c>
      <c r="H381">
        <v>0</v>
      </c>
      <c r="I381">
        <v>0</v>
      </c>
      <c r="J381" t="s">
        <v>608</v>
      </c>
      <c r="K381" s="28" t="s">
        <v>604</v>
      </c>
    </row>
    <row r="382" spans="1:11" x14ac:dyDescent="0.2">
      <c r="A382" t="s">
        <v>1960</v>
      </c>
      <c r="B382" t="s">
        <v>1961</v>
      </c>
      <c r="C382">
        <v>46.06</v>
      </c>
      <c r="D382" t="s">
        <v>608</v>
      </c>
      <c r="E382" t="s">
        <v>608</v>
      </c>
      <c r="F382">
        <v>19.12</v>
      </c>
      <c r="G382">
        <v>14.69</v>
      </c>
      <c r="H382">
        <v>0</v>
      </c>
      <c r="I382">
        <v>0</v>
      </c>
      <c r="J382" t="s">
        <v>608</v>
      </c>
      <c r="K382" s="28" t="s">
        <v>604</v>
      </c>
    </row>
    <row r="383" spans="1:11" x14ac:dyDescent="0.2">
      <c r="A383" t="s">
        <v>1962</v>
      </c>
      <c r="B383" t="s">
        <v>1961</v>
      </c>
      <c r="C383">
        <v>60.45</v>
      </c>
      <c r="D383" t="s">
        <v>608</v>
      </c>
      <c r="E383" t="s">
        <v>608</v>
      </c>
      <c r="F383">
        <v>47.32</v>
      </c>
      <c r="G383">
        <v>34.56</v>
      </c>
      <c r="H383">
        <v>0</v>
      </c>
      <c r="I383">
        <v>0</v>
      </c>
      <c r="J383" t="s">
        <v>608</v>
      </c>
      <c r="K383" s="28" t="s">
        <v>604</v>
      </c>
    </row>
    <row r="384" spans="1:11" x14ac:dyDescent="0.2">
      <c r="A384" t="s">
        <v>1963</v>
      </c>
      <c r="B384" t="s">
        <v>1961</v>
      </c>
      <c r="C384">
        <v>56.18</v>
      </c>
      <c r="D384" t="s">
        <v>608</v>
      </c>
      <c r="E384" t="s">
        <v>608</v>
      </c>
      <c r="F384">
        <v>40.31</v>
      </c>
      <c r="G384">
        <v>30.19</v>
      </c>
      <c r="H384">
        <v>0</v>
      </c>
      <c r="I384">
        <v>0</v>
      </c>
      <c r="J384" t="s">
        <v>608</v>
      </c>
      <c r="K384" s="28" t="s">
        <v>604</v>
      </c>
    </row>
    <row r="385" spans="1:11" x14ac:dyDescent="0.2">
      <c r="A385" t="s">
        <v>1964</v>
      </c>
      <c r="B385" t="s">
        <v>1961</v>
      </c>
      <c r="C385">
        <v>61.8</v>
      </c>
      <c r="D385" t="s">
        <v>608</v>
      </c>
      <c r="E385" t="s">
        <v>608</v>
      </c>
      <c r="F385">
        <v>55.2</v>
      </c>
      <c r="G385">
        <v>41.11</v>
      </c>
      <c r="H385">
        <v>0</v>
      </c>
      <c r="I385">
        <v>0</v>
      </c>
      <c r="J385" t="s">
        <v>608</v>
      </c>
      <c r="K385" s="28" t="s">
        <v>604</v>
      </c>
    </row>
    <row r="386" spans="1:11" x14ac:dyDescent="0.2">
      <c r="A386" t="s">
        <v>1965</v>
      </c>
      <c r="B386" t="s">
        <v>1961</v>
      </c>
      <c r="C386">
        <v>56.18</v>
      </c>
      <c r="D386" t="s">
        <v>608</v>
      </c>
      <c r="E386" t="s">
        <v>608</v>
      </c>
      <c r="F386">
        <v>42.27</v>
      </c>
      <c r="G386">
        <v>31.74</v>
      </c>
      <c r="H386">
        <v>0</v>
      </c>
      <c r="I386">
        <v>0</v>
      </c>
      <c r="J386" t="s">
        <v>608</v>
      </c>
      <c r="K386" s="28" t="s">
        <v>604</v>
      </c>
    </row>
    <row r="387" spans="1:11" x14ac:dyDescent="0.2">
      <c r="A387" t="s">
        <v>1966</v>
      </c>
      <c r="B387" t="s">
        <v>1967</v>
      </c>
      <c r="C387">
        <v>60.47</v>
      </c>
      <c r="D387" t="s">
        <v>608</v>
      </c>
      <c r="E387" t="s">
        <v>608</v>
      </c>
      <c r="F387">
        <v>42.56</v>
      </c>
      <c r="G387">
        <v>32.11</v>
      </c>
      <c r="H387">
        <v>0</v>
      </c>
      <c r="I387">
        <v>0</v>
      </c>
      <c r="J387" t="s">
        <v>608</v>
      </c>
      <c r="K387" s="28" t="s">
        <v>604</v>
      </c>
    </row>
    <row r="388" spans="1:11" x14ac:dyDescent="0.2">
      <c r="A388" t="s">
        <v>1968</v>
      </c>
      <c r="B388" t="s">
        <v>1967</v>
      </c>
      <c r="C388">
        <v>60.11</v>
      </c>
      <c r="D388" t="s">
        <v>608</v>
      </c>
      <c r="E388" t="s">
        <v>608</v>
      </c>
      <c r="F388">
        <v>30.68</v>
      </c>
      <c r="G388">
        <v>21.9</v>
      </c>
      <c r="H388">
        <v>0</v>
      </c>
      <c r="I388">
        <v>0</v>
      </c>
      <c r="J388" t="s">
        <v>608</v>
      </c>
      <c r="K388" s="28" t="s">
        <v>604</v>
      </c>
    </row>
    <row r="389" spans="1:11" x14ac:dyDescent="0.2">
      <c r="A389" t="s">
        <v>1969</v>
      </c>
      <c r="B389" t="s">
        <v>1967</v>
      </c>
      <c r="C389">
        <v>60.41</v>
      </c>
      <c r="D389" t="s">
        <v>608</v>
      </c>
      <c r="E389" t="s">
        <v>608</v>
      </c>
      <c r="F389">
        <v>27.92</v>
      </c>
      <c r="G389">
        <v>20.71</v>
      </c>
      <c r="H389">
        <v>0</v>
      </c>
      <c r="I389">
        <v>0</v>
      </c>
      <c r="J389" t="s">
        <v>608</v>
      </c>
      <c r="K389" s="28" t="s">
        <v>604</v>
      </c>
    </row>
    <row r="390" spans="1:11" x14ac:dyDescent="0.2">
      <c r="A390" t="s">
        <v>1970</v>
      </c>
      <c r="B390" t="s">
        <v>1967</v>
      </c>
      <c r="C390">
        <v>79.459999999999994</v>
      </c>
      <c r="D390" t="s">
        <v>608</v>
      </c>
      <c r="E390" t="s">
        <v>608</v>
      </c>
      <c r="F390">
        <v>53.26</v>
      </c>
      <c r="G390">
        <v>39.04</v>
      </c>
      <c r="H390">
        <v>0</v>
      </c>
      <c r="I390">
        <v>0</v>
      </c>
      <c r="J390" t="s">
        <v>608</v>
      </c>
      <c r="K390" s="28" t="s">
        <v>604</v>
      </c>
    </row>
    <row r="391" spans="1:11" x14ac:dyDescent="0.2">
      <c r="A391" t="s">
        <v>1971</v>
      </c>
      <c r="B391" t="s">
        <v>1967</v>
      </c>
      <c r="C391">
        <v>42.95</v>
      </c>
      <c r="D391" t="s">
        <v>608</v>
      </c>
      <c r="E391" t="s">
        <v>608</v>
      </c>
      <c r="F391">
        <v>30.03</v>
      </c>
      <c r="G391">
        <v>26.04</v>
      </c>
      <c r="H391">
        <v>0</v>
      </c>
      <c r="I391">
        <v>0</v>
      </c>
      <c r="J391" t="s">
        <v>608</v>
      </c>
      <c r="K391" s="28" t="s">
        <v>604</v>
      </c>
    </row>
    <row r="392" spans="1:11" x14ac:dyDescent="0.2">
      <c r="A392" t="s">
        <v>1972</v>
      </c>
      <c r="B392" t="s">
        <v>1973</v>
      </c>
      <c r="C392">
        <v>53.06</v>
      </c>
      <c r="D392" t="s">
        <v>608</v>
      </c>
      <c r="E392" t="s">
        <v>608</v>
      </c>
      <c r="F392">
        <v>26.5</v>
      </c>
      <c r="G392">
        <v>18.53</v>
      </c>
      <c r="H392">
        <v>0</v>
      </c>
      <c r="I392">
        <v>0.5</v>
      </c>
      <c r="J392" t="s">
        <v>608</v>
      </c>
      <c r="K392" s="28" t="s">
        <v>604</v>
      </c>
    </row>
    <row r="393" spans="1:11" x14ac:dyDescent="0.2">
      <c r="A393" t="s">
        <v>1974</v>
      </c>
      <c r="B393" t="s">
        <v>1973</v>
      </c>
      <c r="C393">
        <v>51.1</v>
      </c>
      <c r="D393" t="s">
        <v>608</v>
      </c>
      <c r="E393" t="s">
        <v>608</v>
      </c>
      <c r="F393">
        <v>23.06</v>
      </c>
      <c r="G393">
        <v>17.649999999999999</v>
      </c>
      <c r="H393">
        <v>0.5</v>
      </c>
      <c r="I393">
        <v>0.5</v>
      </c>
      <c r="J393" t="s">
        <v>608</v>
      </c>
      <c r="K393" s="28" t="s">
        <v>604</v>
      </c>
    </row>
    <row r="394" spans="1:11" x14ac:dyDescent="0.2">
      <c r="A394" t="s">
        <v>1975</v>
      </c>
      <c r="B394" t="s">
        <v>1973</v>
      </c>
      <c r="C394">
        <v>47.49</v>
      </c>
      <c r="D394" t="s">
        <v>608</v>
      </c>
      <c r="E394" t="s">
        <v>608</v>
      </c>
      <c r="F394">
        <v>22.39</v>
      </c>
      <c r="G394">
        <v>16.53</v>
      </c>
      <c r="H394">
        <v>0.5</v>
      </c>
      <c r="I394">
        <v>0.5</v>
      </c>
      <c r="J394" t="s">
        <v>608</v>
      </c>
      <c r="K394" s="28" t="s">
        <v>604</v>
      </c>
    </row>
    <row r="395" spans="1:11" x14ac:dyDescent="0.2">
      <c r="A395" t="s">
        <v>1976</v>
      </c>
      <c r="B395" t="s">
        <v>1973</v>
      </c>
      <c r="C395">
        <v>57.21</v>
      </c>
      <c r="D395" t="s">
        <v>608</v>
      </c>
      <c r="E395" t="s">
        <v>608</v>
      </c>
      <c r="F395">
        <v>23.04</v>
      </c>
      <c r="G395">
        <v>17.16</v>
      </c>
      <c r="H395">
        <v>0.5</v>
      </c>
      <c r="I395">
        <v>0</v>
      </c>
      <c r="J395" t="s">
        <v>608</v>
      </c>
      <c r="K395" s="28" t="s">
        <v>604</v>
      </c>
    </row>
    <row r="396" spans="1:11" x14ac:dyDescent="0.2">
      <c r="A396" t="s">
        <v>1977</v>
      </c>
      <c r="B396" t="s">
        <v>1973</v>
      </c>
      <c r="C396">
        <v>43.5</v>
      </c>
      <c r="D396" t="s">
        <v>608</v>
      </c>
      <c r="E396" t="s">
        <v>608</v>
      </c>
      <c r="F396">
        <v>19.71</v>
      </c>
      <c r="G396">
        <v>14.38</v>
      </c>
      <c r="H396">
        <v>0</v>
      </c>
      <c r="I396">
        <v>0</v>
      </c>
      <c r="J396" t="s">
        <v>608</v>
      </c>
      <c r="K396" s="28" t="s">
        <v>604</v>
      </c>
    </row>
    <row r="397" spans="1:11" x14ac:dyDescent="0.2">
      <c r="A397" t="s">
        <v>1978</v>
      </c>
      <c r="B397" t="s">
        <v>1979</v>
      </c>
      <c r="C397">
        <v>54.53</v>
      </c>
      <c r="D397" t="s">
        <v>608</v>
      </c>
      <c r="E397" t="s">
        <v>608</v>
      </c>
      <c r="F397">
        <v>25.18</v>
      </c>
      <c r="G397">
        <v>17.5</v>
      </c>
      <c r="H397">
        <v>0</v>
      </c>
      <c r="I397">
        <v>0</v>
      </c>
      <c r="J397" t="s">
        <v>608</v>
      </c>
      <c r="K397" s="28" t="s">
        <v>604</v>
      </c>
    </row>
    <row r="398" spans="1:11" x14ac:dyDescent="0.2">
      <c r="A398" t="s">
        <v>1980</v>
      </c>
      <c r="B398" t="s">
        <v>1979</v>
      </c>
      <c r="C398">
        <v>78.31</v>
      </c>
      <c r="D398" t="s">
        <v>608</v>
      </c>
      <c r="E398" t="s">
        <v>608</v>
      </c>
      <c r="F398">
        <v>66.989999999999995</v>
      </c>
      <c r="G398">
        <v>46.34</v>
      </c>
      <c r="H398">
        <v>0</v>
      </c>
      <c r="I398">
        <v>0</v>
      </c>
      <c r="J398" t="s">
        <v>608</v>
      </c>
      <c r="K398" s="28" t="s">
        <v>604</v>
      </c>
    </row>
    <row r="399" spans="1:11" x14ac:dyDescent="0.2">
      <c r="A399" t="s">
        <v>1981</v>
      </c>
      <c r="B399" t="s">
        <v>1979</v>
      </c>
      <c r="C399">
        <v>63.81</v>
      </c>
      <c r="D399" t="s">
        <v>608</v>
      </c>
      <c r="E399" t="s">
        <v>608</v>
      </c>
      <c r="F399">
        <v>60.79</v>
      </c>
      <c r="G399">
        <v>43.14</v>
      </c>
      <c r="H399">
        <v>0</v>
      </c>
      <c r="I399">
        <v>2</v>
      </c>
      <c r="J399" t="s">
        <v>608</v>
      </c>
      <c r="K399" s="28" t="s">
        <v>604</v>
      </c>
    </row>
    <row r="400" spans="1:11" x14ac:dyDescent="0.2">
      <c r="A400" t="s">
        <v>1982</v>
      </c>
      <c r="B400" t="s">
        <v>1979</v>
      </c>
      <c r="C400">
        <v>56.3</v>
      </c>
      <c r="D400" t="s">
        <v>608</v>
      </c>
      <c r="E400" t="s">
        <v>608</v>
      </c>
      <c r="F400">
        <v>29.06</v>
      </c>
      <c r="G400">
        <v>20.45</v>
      </c>
      <c r="H400">
        <v>1</v>
      </c>
      <c r="I400">
        <v>2</v>
      </c>
      <c r="J400" t="s">
        <v>608</v>
      </c>
      <c r="K400" s="28" t="s">
        <v>604</v>
      </c>
    </row>
    <row r="401" spans="1:11" x14ac:dyDescent="0.2">
      <c r="A401" t="s">
        <v>1983</v>
      </c>
      <c r="B401" t="s">
        <v>1979</v>
      </c>
      <c r="C401">
        <v>56.24</v>
      </c>
      <c r="D401" t="s">
        <v>608</v>
      </c>
      <c r="E401" t="s">
        <v>608</v>
      </c>
      <c r="F401">
        <v>48.26</v>
      </c>
      <c r="G401">
        <v>32.19</v>
      </c>
      <c r="H401">
        <v>0.5</v>
      </c>
      <c r="I401">
        <v>0</v>
      </c>
      <c r="J401" t="s">
        <v>608</v>
      </c>
      <c r="K401" s="28" t="s">
        <v>604</v>
      </c>
    </row>
    <row r="402" spans="1:11" x14ac:dyDescent="0.2">
      <c r="A402" t="s">
        <v>1984</v>
      </c>
      <c r="B402" t="s">
        <v>1985</v>
      </c>
      <c r="C402">
        <v>49.65</v>
      </c>
      <c r="D402" t="s">
        <v>608</v>
      </c>
      <c r="E402" t="s">
        <v>608</v>
      </c>
      <c r="F402">
        <v>35.869999999999997</v>
      </c>
      <c r="G402">
        <v>26.9</v>
      </c>
      <c r="H402">
        <v>0.5</v>
      </c>
      <c r="I402">
        <v>0</v>
      </c>
      <c r="J402" t="s">
        <v>608</v>
      </c>
      <c r="K402" s="28" t="s">
        <v>604</v>
      </c>
    </row>
    <row r="403" spans="1:11" x14ac:dyDescent="0.2">
      <c r="A403" t="s">
        <v>1986</v>
      </c>
      <c r="B403" t="s">
        <v>1985</v>
      </c>
      <c r="C403">
        <v>56.07</v>
      </c>
      <c r="D403" t="s">
        <v>608</v>
      </c>
      <c r="E403" t="s">
        <v>608</v>
      </c>
      <c r="F403">
        <v>39.04</v>
      </c>
      <c r="G403">
        <v>28.55</v>
      </c>
      <c r="H403">
        <v>0</v>
      </c>
      <c r="I403">
        <v>0</v>
      </c>
      <c r="J403" t="s">
        <v>608</v>
      </c>
      <c r="K403" s="28" t="s">
        <v>604</v>
      </c>
    </row>
    <row r="404" spans="1:11" x14ac:dyDescent="0.2">
      <c r="A404" t="s">
        <v>1987</v>
      </c>
      <c r="B404" t="s">
        <v>1985</v>
      </c>
      <c r="C404">
        <v>52.16</v>
      </c>
      <c r="D404" t="s">
        <v>608</v>
      </c>
      <c r="E404" t="s">
        <v>608</v>
      </c>
      <c r="F404">
        <v>19.8</v>
      </c>
      <c r="G404">
        <v>16.45</v>
      </c>
      <c r="H404">
        <v>0</v>
      </c>
      <c r="I404">
        <v>0</v>
      </c>
      <c r="J404" t="s">
        <v>608</v>
      </c>
      <c r="K404" s="28" t="s">
        <v>604</v>
      </c>
    </row>
    <row r="405" spans="1:11" x14ac:dyDescent="0.2">
      <c r="A405" t="s">
        <v>1988</v>
      </c>
      <c r="B405" t="s">
        <v>1985</v>
      </c>
      <c r="C405">
        <v>57.69</v>
      </c>
      <c r="D405" t="s">
        <v>608</v>
      </c>
      <c r="E405" t="s">
        <v>608</v>
      </c>
      <c r="F405">
        <v>25.86</v>
      </c>
      <c r="G405">
        <v>19.34</v>
      </c>
      <c r="H405">
        <v>0</v>
      </c>
      <c r="I405">
        <v>0</v>
      </c>
      <c r="J405" t="s">
        <v>608</v>
      </c>
      <c r="K405" s="28" t="s">
        <v>604</v>
      </c>
    </row>
    <row r="406" spans="1:11" x14ac:dyDescent="0.2">
      <c r="A406" t="s">
        <v>1989</v>
      </c>
      <c r="B406" t="s">
        <v>1985</v>
      </c>
      <c r="C406">
        <v>52.19</v>
      </c>
      <c r="D406" t="s">
        <v>608</v>
      </c>
      <c r="E406" t="s">
        <v>608</v>
      </c>
      <c r="F406">
        <v>33.44</v>
      </c>
      <c r="G406">
        <v>23.66</v>
      </c>
      <c r="H406">
        <v>0</v>
      </c>
      <c r="I406">
        <v>0</v>
      </c>
      <c r="J406" t="s">
        <v>608</v>
      </c>
      <c r="K406" s="28" t="s">
        <v>604</v>
      </c>
    </row>
    <row r="407" spans="1:11" x14ac:dyDescent="0.2">
      <c r="A407" t="s">
        <v>1990</v>
      </c>
      <c r="B407" t="s">
        <v>1991</v>
      </c>
      <c r="C407">
        <v>48.66</v>
      </c>
      <c r="D407" t="s">
        <v>608</v>
      </c>
      <c r="E407" t="s">
        <v>608</v>
      </c>
      <c r="F407">
        <v>18.72</v>
      </c>
      <c r="G407">
        <v>14.3</v>
      </c>
      <c r="H407">
        <v>0.5</v>
      </c>
      <c r="I407">
        <v>0</v>
      </c>
      <c r="J407" t="s">
        <v>608</v>
      </c>
      <c r="K407" s="28" t="s">
        <v>604</v>
      </c>
    </row>
    <row r="408" spans="1:11" x14ac:dyDescent="0.2">
      <c r="A408" t="s">
        <v>1992</v>
      </c>
      <c r="B408" t="s">
        <v>1991</v>
      </c>
      <c r="C408">
        <v>44.5</v>
      </c>
      <c r="D408" t="s">
        <v>608</v>
      </c>
      <c r="E408" t="s">
        <v>608</v>
      </c>
      <c r="F408">
        <v>21.18</v>
      </c>
      <c r="G408">
        <v>14.87</v>
      </c>
      <c r="H408">
        <v>0</v>
      </c>
      <c r="I408">
        <v>0</v>
      </c>
      <c r="J408" t="s">
        <v>608</v>
      </c>
      <c r="K408" s="28" t="s">
        <v>604</v>
      </c>
    </row>
    <row r="409" spans="1:11" x14ac:dyDescent="0.2">
      <c r="A409" t="s">
        <v>1993</v>
      </c>
      <c r="B409" t="s">
        <v>1991</v>
      </c>
      <c r="C409">
        <v>47.81</v>
      </c>
      <c r="D409" t="s">
        <v>608</v>
      </c>
      <c r="E409" t="s">
        <v>608</v>
      </c>
      <c r="F409">
        <v>23.83</v>
      </c>
      <c r="G409">
        <v>18.12</v>
      </c>
      <c r="H409">
        <v>0</v>
      </c>
      <c r="I409">
        <v>0</v>
      </c>
      <c r="J409" t="s">
        <v>608</v>
      </c>
      <c r="K409" s="28" t="s">
        <v>604</v>
      </c>
    </row>
    <row r="410" spans="1:11" x14ac:dyDescent="0.2">
      <c r="A410" t="s">
        <v>1994</v>
      </c>
      <c r="B410" t="s">
        <v>1991</v>
      </c>
      <c r="C410">
        <v>50.25</v>
      </c>
      <c r="D410" t="s">
        <v>608</v>
      </c>
      <c r="E410" t="s">
        <v>608</v>
      </c>
      <c r="F410">
        <v>19.600000000000001</v>
      </c>
      <c r="G410">
        <v>14.38</v>
      </c>
      <c r="H410">
        <v>0</v>
      </c>
      <c r="I410">
        <v>0.5</v>
      </c>
      <c r="J410" t="s">
        <v>608</v>
      </c>
      <c r="K410" s="28" t="s">
        <v>604</v>
      </c>
    </row>
    <row r="411" spans="1:11" x14ac:dyDescent="0.2">
      <c r="A411" t="s">
        <v>1995</v>
      </c>
      <c r="B411" t="s">
        <v>1991</v>
      </c>
      <c r="C411">
        <v>49.85</v>
      </c>
      <c r="D411" t="s">
        <v>608</v>
      </c>
      <c r="E411" t="s">
        <v>608</v>
      </c>
      <c r="F411">
        <v>21.68</v>
      </c>
      <c r="G411">
        <v>14.95</v>
      </c>
      <c r="H411">
        <v>0.5</v>
      </c>
      <c r="I411">
        <v>1</v>
      </c>
      <c r="J411" t="s">
        <v>608</v>
      </c>
      <c r="K411" s="28" t="s">
        <v>604</v>
      </c>
    </row>
    <row r="412" spans="1:11" x14ac:dyDescent="0.2">
      <c r="A412" t="s">
        <v>1996</v>
      </c>
      <c r="B412" t="s">
        <v>1997</v>
      </c>
      <c r="C412">
        <v>68.260000000000005</v>
      </c>
      <c r="D412" t="s">
        <v>608</v>
      </c>
      <c r="E412" t="s">
        <v>608</v>
      </c>
      <c r="F412">
        <v>45.79</v>
      </c>
      <c r="G412">
        <v>32.130000000000003</v>
      </c>
      <c r="H412">
        <v>0.5</v>
      </c>
      <c r="I412">
        <v>0</v>
      </c>
      <c r="J412" t="s">
        <v>608</v>
      </c>
      <c r="K412" s="28" t="s">
        <v>604</v>
      </c>
    </row>
    <row r="413" spans="1:11" x14ac:dyDescent="0.2">
      <c r="A413" t="s">
        <v>1998</v>
      </c>
      <c r="B413" t="s">
        <v>1997</v>
      </c>
      <c r="C413">
        <v>52.14</v>
      </c>
      <c r="D413" t="s">
        <v>608</v>
      </c>
      <c r="E413" t="s">
        <v>608</v>
      </c>
      <c r="F413">
        <v>41.75</v>
      </c>
      <c r="G413">
        <v>31.68</v>
      </c>
      <c r="H413">
        <v>0</v>
      </c>
      <c r="I413">
        <v>0</v>
      </c>
      <c r="J413" t="s">
        <v>608</v>
      </c>
      <c r="K413" s="28" t="s">
        <v>604</v>
      </c>
    </row>
    <row r="414" spans="1:11" x14ac:dyDescent="0.2">
      <c r="A414" t="s">
        <v>1999</v>
      </c>
      <c r="B414" t="s">
        <v>1997</v>
      </c>
      <c r="C414">
        <v>50.88</v>
      </c>
      <c r="D414" t="s">
        <v>608</v>
      </c>
      <c r="E414" t="s">
        <v>608</v>
      </c>
      <c r="F414">
        <v>20.329999999999998</v>
      </c>
      <c r="G414">
        <v>15.21</v>
      </c>
      <c r="H414">
        <v>0</v>
      </c>
      <c r="I414">
        <v>0</v>
      </c>
      <c r="J414" t="s">
        <v>608</v>
      </c>
      <c r="K414" s="28" t="s">
        <v>604</v>
      </c>
    </row>
    <row r="415" spans="1:11" x14ac:dyDescent="0.2">
      <c r="A415" t="s">
        <v>2000</v>
      </c>
      <c r="B415" t="s">
        <v>1997</v>
      </c>
      <c r="C415">
        <v>56.13</v>
      </c>
      <c r="D415" t="s">
        <v>608</v>
      </c>
      <c r="E415" t="s">
        <v>608</v>
      </c>
      <c r="F415">
        <v>35.619999999999997</v>
      </c>
      <c r="G415">
        <v>24.23</v>
      </c>
      <c r="H415">
        <v>0</v>
      </c>
      <c r="I415">
        <v>0</v>
      </c>
      <c r="J415" t="s">
        <v>608</v>
      </c>
      <c r="K415" s="28" t="s">
        <v>604</v>
      </c>
    </row>
    <row r="416" spans="1:11" x14ac:dyDescent="0.2">
      <c r="A416" t="s">
        <v>2001</v>
      </c>
      <c r="B416" t="s">
        <v>1997</v>
      </c>
      <c r="C416">
        <v>48.03</v>
      </c>
      <c r="D416" t="s">
        <v>608</v>
      </c>
      <c r="E416" t="s">
        <v>608</v>
      </c>
      <c r="F416">
        <v>20.48</v>
      </c>
      <c r="G416">
        <v>14.35</v>
      </c>
      <c r="H416">
        <v>0</v>
      </c>
      <c r="I416">
        <v>0</v>
      </c>
      <c r="J416" t="s">
        <v>608</v>
      </c>
      <c r="K416" s="28" t="s">
        <v>604</v>
      </c>
    </row>
    <row r="417" spans="1:11" x14ac:dyDescent="0.2">
      <c r="A417" t="s">
        <v>2002</v>
      </c>
      <c r="B417" t="s">
        <v>2003</v>
      </c>
      <c r="C417">
        <v>61.55</v>
      </c>
      <c r="D417" t="s">
        <v>608</v>
      </c>
      <c r="E417" t="s">
        <v>608</v>
      </c>
      <c r="F417">
        <v>37.6</v>
      </c>
      <c r="G417">
        <v>26.08</v>
      </c>
      <c r="H417">
        <v>0</v>
      </c>
      <c r="I417">
        <v>0</v>
      </c>
      <c r="J417" t="s">
        <v>608</v>
      </c>
      <c r="K417" s="28" t="s">
        <v>604</v>
      </c>
    </row>
    <row r="418" spans="1:11" x14ac:dyDescent="0.2">
      <c r="A418" t="s">
        <v>2004</v>
      </c>
      <c r="B418" t="s">
        <v>2003</v>
      </c>
      <c r="C418">
        <v>42.89</v>
      </c>
      <c r="D418" t="s">
        <v>608</v>
      </c>
      <c r="E418" t="s">
        <v>608</v>
      </c>
      <c r="F418">
        <v>16.46</v>
      </c>
      <c r="G418">
        <v>11.57</v>
      </c>
      <c r="H418">
        <v>0</v>
      </c>
      <c r="I418">
        <v>0</v>
      </c>
      <c r="J418" t="s">
        <v>608</v>
      </c>
      <c r="K418" s="28" t="s">
        <v>604</v>
      </c>
    </row>
    <row r="419" spans="1:11" x14ac:dyDescent="0.2">
      <c r="A419" t="s">
        <v>2005</v>
      </c>
      <c r="B419" t="s">
        <v>2003</v>
      </c>
      <c r="C419">
        <v>38.409999999999997</v>
      </c>
      <c r="D419" t="s">
        <v>608</v>
      </c>
      <c r="E419" t="s">
        <v>608</v>
      </c>
      <c r="F419">
        <v>10.79</v>
      </c>
      <c r="G419">
        <v>8.2100000000000009</v>
      </c>
      <c r="H419">
        <v>0</v>
      </c>
      <c r="I419">
        <v>0</v>
      </c>
      <c r="J419" t="s">
        <v>608</v>
      </c>
      <c r="K419" s="28" t="s">
        <v>604</v>
      </c>
    </row>
    <row r="420" spans="1:11" x14ac:dyDescent="0.2">
      <c r="A420" t="s">
        <v>2006</v>
      </c>
      <c r="B420" t="s">
        <v>2003</v>
      </c>
      <c r="C420">
        <v>45.84</v>
      </c>
      <c r="D420" t="s">
        <v>608</v>
      </c>
      <c r="E420" t="s">
        <v>608</v>
      </c>
      <c r="F420">
        <v>21.98</v>
      </c>
      <c r="G420">
        <v>17.5</v>
      </c>
      <c r="H420">
        <v>0.5</v>
      </c>
      <c r="I420">
        <v>0.5</v>
      </c>
      <c r="J420" t="s">
        <v>608</v>
      </c>
      <c r="K420" s="28" t="s">
        <v>604</v>
      </c>
    </row>
    <row r="421" spans="1:11" x14ac:dyDescent="0.2">
      <c r="A421" t="s">
        <v>2007</v>
      </c>
      <c r="B421" t="s">
        <v>2003</v>
      </c>
      <c r="C421">
        <v>35.590000000000003</v>
      </c>
      <c r="D421" t="s">
        <v>608</v>
      </c>
      <c r="E421" t="s">
        <v>608</v>
      </c>
      <c r="F421">
        <v>13.03</v>
      </c>
      <c r="G421">
        <v>9.27</v>
      </c>
      <c r="H421">
        <v>0</v>
      </c>
      <c r="I421">
        <v>0</v>
      </c>
      <c r="J421" t="s">
        <v>608</v>
      </c>
      <c r="K421" s="28" t="s">
        <v>604</v>
      </c>
    </row>
    <row r="422" spans="1:11" x14ac:dyDescent="0.2">
      <c r="A422" t="s">
        <v>2008</v>
      </c>
      <c r="B422" t="s">
        <v>2009</v>
      </c>
      <c r="C422">
        <v>49.78</v>
      </c>
      <c r="D422" t="s">
        <v>608</v>
      </c>
      <c r="E422" t="s">
        <v>608</v>
      </c>
      <c r="F422">
        <v>25.7</v>
      </c>
      <c r="G422">
        <v>18.96</v>
      </c>
      <c r="H422">
        <v>0</v>
      </c>
      <c r="I422">
        <v>0</v>
      </c>
      <c r="J422" t="s">
        <v>608</v>
      </c>
      <c r="K422" s="28" t="s">
        <v>604</v>
      </c>
    </row>
    <row r="423" spans="1:11" x14ac:dyDescent="0.2">
      <c r="A423" t="s">
        <v>2010</v>
      </c>
      <c r="B423" t="s">
        <v>2009</v>
      </c>
      <c r="C423">
        <v>48.7</v>
      </c>
      <c r="D423" t="s">
        <v>608</v>
      </c>
      <c r="E423" t="s">
        <v>608</v>
      </c>
      <c r="F423">
        <v>17.75</v>
      </c>
      <c r="G423">
        <v>12.96</v>
      </c>
      <c r="H423">
        <v>0</v>
      </c>
      <c r="I423">
        <v>0</v>
      </c>
      <c r="J423" t="s">
        <v>608</v>
      </c>
      <c r="K423" s="28" t="s">
        <v>604</v>
      </c>
    </row>
    <row r="424" spans="1:11" x14ac:dyDescent="0.2">
      <c r="A424" t="s">
        <v>2011</v>
      </c>
      <c r="B424" t="s">
        <v>2009</v>
      </c>
      <c r="C424">
        <v>52.16</v>
      </c>
      <c r="D424" t="s">
        <v>608</v>
      </c>
      <c r="E424" t="s">
        <v>608</v>
      </c>
      <c r="F424">
        <v>21.52</v>
      </c>
      <c r="G424">
        <v>14.97</v>
      </c>
      <c r="H424">
        <v>0</v>
      </c>
      <c r="I424">
        <v>0</v>
      </c>
      <c r="J424" t="s">
        <v>608</v>
      </c>
      <c r="K424" s="28" t="s">
        <v>604</v>
      </c>
    </row>
    <row r="425" spans="1:11" x14ac:dyDescent="0.2">
      <c r="A425" t="s">
        <v>2012</v>
      </c>
      <c r="B425" t="s">
        <v>2009</v>
      </c>
      <c r="C425">
        <v>42.75</v>
      </c>
      <c r="D425" t="s">
        <v>608</v>
      </c>
      <c r="E425" t="s">
        <v>608</v>
      </c>
      <c r="F425">
        <v>23.1</v>
      </c>
      <c r="G425">
        <v>17.3</v>
      </c>
      <c r="H425">
        <v>0</v>
      </c>
      <c r="I425">
        <v>0</v>
      </c>
      <c r="J425" t="s">
        <v>608</v>
      </c>
      <c r="K425" s="28" t="s">
        <v>604</v>
      </c>
    </row>
    <row r="426" spans="1:11" x14ac:dyDescent="0.2">
      <c r="A426" t="s">
        <v>2013</v>
      </c>
      <c r="B426" t="s">
        <v>2009</v>
      </c>
      <c r="C426">
        <v>49.77</v>
      </c>
      <c r="D426" t="s">
        <v>608</v>
      </c>
      <c r="E426" t="s">
        <v>608</v>
      </c>
      <c r="F426">
        <v>32.78</v>
      </c>
      <c r="G426">
        <v>22.62</v>
      </c>
      <c r="H426">
        <v>0</v>
      </c>
      <c r="I426">
        <v>0</v>
      </c>
      <c r="J426" t="s">
        <v>608</v>
      </c>
      <c r="K426" s="28" t="s">
        <v>604</v>
      </c>
    </row>
    <row r="427" spans="1:11" x14ac:dyDescent="0.2">
      <c r="A427" t="s">
        <v>2014</v>
      </c>
      <c r="B427" t="s">
        <v>2015</v>
      </c>
      <c r="C427">
        <v>67.27</v>
      </c>
      <c r="D427" t="s">
        <v>608</v>
      </c>
      <c r="E427" t="s">
        <v>608</v>
      </c>
      <c r="F427">
        <v>62.35</v>
      </c>
      <c r="G427">
        <v>40.81</v>
      </c>
      <c r="H427">
        <v>0</v>
      </c>
      <c r="I427">
        <v>0</v>
      </c>
      <c r="J427" t="s">
        <v>608</v>
      </c>
      <c r="K427" s="28" t="s">
        <v>604</v>
      </c>
    </row>
    <row r="428" spans="1:11" x14ac:dyDescent="0.2">
      <c r="A428" t="s">
        <v>2016</v>
      </c>
      <c r="B428" t="s">
        <v>2015</v>
      </c>
      <c r="C428">
        <v>59.72</v>
      </c>
      <c r="D428" t="s">
        <v>608</v>
      </c>
      <c r="E428" t="s">
        <v>608</v>
      </c>
      <c r="F428">
        <v>47.06</v>
      </c>
      <c r="G428">
        <v>32.03</v>
      </c>
      <c r="H428">
        <v>0</v>
      </c>
      <c r="I428">
        <v>0</v>
      </c>
      <c r="J428" t="s">
        <v>608</v>
      </c>
      <c r="K428" s="28" t="s">
        <v>604</v>
      </c>
    </row>
    <row r="429" spans="1:11" x14ac:dyDescent="0.2">
      <c r="A429" t="s">
        <v>2017</v>
      </c>
      <c r="B429" t="s">
        <v>2015</v>
      </c>
      <c r="C429">
        <v>62.49</v>
      </c>
      <c r="D429" t="s">
        <v>608</v>
      </c>
      <c r="E429" t="s">
        <v>608</v>
      </c>
      <c r="F429">
        <v>37.880000000000003</v>
      </c>
      <c r="G429">
        <v>28.12</v>
      </c>
      <c r="H429">
        <v>0</v>
      </c>
      <c r="I429">
        <v>0</v>
      </c>
      <c r="J429" t="s">
        <v>608</v>
      </c>
      <c r="K429" s="28" t="s">
        <v>604</v>
      </c>
    </row>
    <row r="430" spans="1:11" x14ac:dyDescent="0.2">
      <c r="A430" t="s">
        <v>2018</v>
      </c>
      <c r="B430" t="s">
        <v>2015</v>
      </c>
      <c r="C430">
        <v>49.38</v>
      </c>
      <c r="D430" t="s">
        <v>608</v>
      </c>
      <c r="E430" t="s">
        <v>608</v>
      </c>
      <c r="F430">
        <v>33.97</v>
      </c>
      <c r="G430">
        <v>21.84</v>
      </c>
      <c r="H430">
        <v>0</v>
      </c>
      <c r="I430">
        <v>0</v>
      </c>
      <c r="J430" t="s">
        <v>608</v>
      </c>
      <c r="K430" s="28" t="s">
        <v>604</v>
      </c>
    </row>
    <row r="431" spans="1:11" x14ac:dyDescent="0.2">
      <c r="A431" t="s">
        <v>2019</v>
      </c>
      <c r="B431" t="s">
        <v>2015</v>
      </c>
      <c r="C431">
        <v>46.26</v>
      </c>
      <c r="D431" t="s">
        <v>608</v>
      </c>
      <c r="E431" t="s">
        <v>608</v>
      </c>
      <c r="F431">
        <v>20.97</v>
      </c>
      <c r="G431">
        <v>15.13</v>
      </c>
      <c r="H431">
        <v>0</v>
      </c>
      <c r="I431">
        <v>0</v>
      </c>
      <c r="J431" t="s">
        <v>608</v>
      </c>
      <c r="K431" s="28" t="s">
        <v>604</v>
      </c>
    </row>
    <row r="432" spans="1:11" x14ac:dyDescent="0.2">
      <c r="A432" t="s">
        <v>2020</v>
      </c>
      <c r="B432" t="s">
        <v>2021</v>
      </c>
      <c r="C432">
        <v>59.96</v>
      </c>
      <c r="D432" t="s">
        <v>608</v>
      </c>
      <c r="E432" t="s">
        <v>608</v>
      </c>
      <c r="F432">
        <v>30.02</v>
      </c>
      <c r="G432">
        <v>20.36</v>
      </c>
      <c r="H432">
        <v>0</v>
      </c>
      <c r="I432">
        <v>0</v>
      </c>
      <c r="J432" t="s">
        <v>608</v>
      </c>
      <c r="K432" s="28" t="s">
        <v>604</v>
      </c>
    </row>
    <row r="433" spans="1:11" x14ac:dyDescent="0.2">
      <c r="A433" t="s">
        <v>2022</v>
      </c>
      <c r="B433" t="s">
        <v>2021</v>
      </c>
      <c r="C433">
        <v>54.43</v>
      </c>
      <c r="D433" t="s">
        <v>608</v>
      </c>
      <c r="E433" t="s">
        <v>608</v>
      </c>
      <c r="F433">
        <v>18.32</v>
      </c>
      <c r="G433">
        <v>14</v>
      </c>
      <c r="H433">
        <v>0</v>
      </c>
      <c r="I433">
        <v>0</v>
      </c>
      <c r="J433" t="s">
        <v>608</v>
      </c>
      <c r="K433" s="28" t="s">
        <v>604</v>
      </c>
    </row>
    <row r="434" spans="1:11" x14ac:dyDescent="0.2">
      <c r="A434" t="s">
        <v>2023</v>
      </c>
      <c r="B434" t="s">
        <v>2021</v>
      </c>
      <c r="C434">
        <v>49.59</v>
      </c>
      <c r="D434" t="s">
        <v>608</v>
      </c>
      <c r="E434" t="s">
        <v>608</v>
      </c>
      <c r="F434">
        <v>25.58</v>
      </c>
      <c r="G434">
        <v>18.29</v>
      </c>
      <c r="H434">
        <v>0</v>
      </c>
      <c r="I434">
        <v>0</v>
      </c>
      <c r="J434" t="s">
        <v>608</v>
      </c>
      <c r="K434" s="28" t="s">
        <v>604</v>
      </c>
    </row>
    <row r="435" spans="1:11" x14ac:dyDescent="0.2">
      <c r="A435" t="s">
        <v>2024</v>
      </c>
      <c r="B435" t="s">
        <v>2021</v>
      </c>
      <c r="C435">
        <v>52.5</v>
      </c>
      <c r="D435" t="s">
        <v>608</v>
      </c>
      <c r="E435" t="s">
        <v>608</v>
      </c>
      <c r="F435">
        <v>32.090000000000003</v>
      </c>
      <c r="G435">
        <v>21.78</v>
      </c>
      <c r="H435">
        <v>0</v>
      </c>
      <c r="I435">
        <v>0</v>
      </c>
      <c r="J435" t="s">
        <v>608</v>
      </c>
      <c r="K435" s="28" t="s">
        <v>604</v>
      </c>
    </row>
    <row r="436" spans="1:11" x14ac:dyDescent="0.2">
      <c r="A436" t="s">
        <v>2025</v>
      </c>
      <c r="B436" t="s">
        <v>2021</v>
      </c>
      <c r="C436">
        <v>46.7</v>
      </c>
      <c r="D436" t="s">
        <v>608</v>
      </c>
      <c r="E436" t="s">
        <v>608</v>
      </c>
      <c r="F436">
        <v>23.61</v>
      </c>
      <c r="G436">
        <v>16.41</v>
      </c>
      <c r="H436">
        <v>0</v>
      </c>
      <c r="I436">
        <v>0</v>
      </c>
      <c r="J436" t="s">
        <v>608</v>
      </c>
      <c r="K436" s="28" t="s">
        <v>604</v>
      </c>
    </row>
    <row r="437" spans="1:11" x14ac:dyDescent="0.2">
      <c r="A437" t="s">
        <v>2026</v>
      </c>
      <c r="B437" t="s">
        <v>2027</v>
      </c>
      <c r="C437">
        <v>56.77</v>
      </c>
      <c r="D437" t="s">
        <v>608</v>
      </c>
      <c r="E437" t="s">
        <v>608</v>
      </c>
      <c r="F437">
        <v>35.82</v>
      </c>
      <c r="G437">
        <v>26.49</v>
      </c>
      <c r="H437">
        <v>2</v>
      </c>
      <c r="I437">
        <v>2</v>
      </c>
      <c r="J437" t="s">
        <v>608</v>
      </c>
      <c r="K437" s="28" t="s">
        <v>604</v>
      </c>
    </row>
    <row r="438" spans="1:11" x14ac:dyDescent="0.2">
      <c r="A438" t="s">
        <v>2028</v>
      </c>
      <c r="B438" t="s">
        <v>2027</v>
      </c>
      <c r="C438">
        <v>55.35</v>
      </c>
      <c r="D438" t="s">
        <v>608</v>
      </c>
      <c r="E438" t="s">
        <v>608</v>
      </c>
      <c r="F438">
        <v>22.09</v>
      </c>
      <c r="G438">
        <v>16.14</v>
      </c>
      <c r="H438">
        <v>0</v>
      </c>
      <c r="I438">
        <v>0</v>
      </c>
      <c r="J438" t="s">
        <v>608</v>
      </c>
      <c r="K438" s="28" t="s">
        <v>604</v>
      </c>
    </row>
    <row r="439" spans="1:11" x14ac:dyDescent="0.2">
      <c r="A439" t="s">
        <v>2029</v>
      </c>
      <c r="B439" t="s">
        <v>2027</v>
      </c>
      <c r="C439">
        <v>49.22</v>
      </c>
      <c r="D439" t="s">
        <v>608</v>
      </c>
      <c r="E439" t="s">
        <v>608</v>
      </c>
      <c r="F439">
        <v>15.77</v>
      </c>
      <c r="G439">
        <v>10.7</v>
      </c>
      <c r="H439">
        <v>0.5</v>
      </c>
      <c r="I439">
        <v>0</v>
      </c>
      <c r="J439" t="s">
        <v>608</v>
      </c>
      <c r="K439" s="28" t="s">
        <v>604</v>
      </c>
    </row>
    <row r="440" spans="1:11" x14ac:dyDescent="0.2">
      <c r="A440" t="s">
        <v>2030</v>
      </c>
      <c r="B440" t="s">
        <v>2027</v>
      </c>
      <c r="C440">
        <v>48.57</v>
      </c>
      <c r="D440" t="s">
        <v>608</v>
      </c>
      <c r="E440" t="s">
        <v>608</v>
      </c>
      <c r="F440">
        <v>24.75</v>
      </c>
      <c r="G440">
        <v>17.16</v>
      </c>
      <c r="H440">
        <v>0.5</v>
      </c>
      <c r="I440">
        <v>0.5</v>
      </c>
      <c r="J440" t="s">
        <v>608</v>
      </c>
      <c r="K440" s="28" t="s">
        <v>604</v>
      </c>
    </row>
    <row r="441" spans="1:11" x14ac:dyDescent="0.2">
      <c r="A441" t="s">
        <v>2031</v>
      </c>
      <c r="B441" t="s">
        <v>2027</v>
      </c>
      <c r="C441">
        <v>50.89</v>
      </c>
      <c r="D441" t="s">
        <v>608</v>
      </c>
      <c r="E441" t="s">
        <v>608</v>
      </c>
      <c r="F441">
        <v>19.03</v>
      </c>
      <c r="G441">
        <v>13.2</v>
      </c>
      <c r="H441">
        <v>0.5</v>
      </c>
      <c r="I441">
        <v>0</v>
      </c>
      <c r="J441" t="s">
        <v>608</v>
      </c>
      <c r="K441" s="28" t="s">
        <v>604</v>
      </c>
    </row>
    <row r="442" spans="1:11" x14ac:dyDescent="0.2">
      <c r="A442" t="s">
        <v>2032</v>
      </c>
      <c r="B442" t="s">
        <v>2033</v>
      </c>
      <c r="C442">
        <v>61.27</v>
      </c>
      <c r="D442" t="s">
        <v>608</v>
      </c>
      <c r="E442" t="s">
        <v>608</v>
      </c>
      <c r="F442">
        <v>44.55</v>
      </c>
      <c r="G442">
        <v>31.08</v>
      </c>
      <c r="H442">
        <v>0</v>
      </c>
      <c r="I442">
        <v>0</v>
      </c>
      <c r="J442" t="s">
        <v>608</v>
      </c>
      <c r="K442" s="28" t="s">
        <v>604</v>
      </c>
    </row>
    <row r="443" spans="1:11" x14ac:dyDescent="0.2">
      <c r="A443" t="s">
        <v>2034</v>
      </c>
      <c r="B443" t="s">
        <v>2033</v>
      </c>
      <c r="C443">
        <v>65.33</v>
      </c>
      <c r="D443" t="s">
        <v>608</v>
      </c>
      <c r="E443" t="s">
        <v>608</v>
      </c>
      <c r="F443">
        <v>31.49</v>
      </c>
      <c r="G443">
        <v>20.89</v>
      </c>
      <c r="H443">
        <v>0</v>
      </c>
      <c r="I443">
        <v>0</v>
      </c>
      <c r="J443" t="s">
        <v>608</v>
      </c>
      <c r="K443" s="28" t="s">
        <v>604</v>
      </c>
    </row>
    <row r="444" spans="1:11" x14ac:dyDescent="0.2">
      <c r="A444" t="s">
        <v>2035</v>
      </c>
      <c r="B444" t="s">
        <v>2033</v>
      </c>
      <c r="C444">
        <v>77.45</v>
      </c>
      <c r="D444" t="s">
        <v>608</v>
      </c>
      <c r="E444" t="s">
        <v>608</v>
      </c>
      <c r="F444">
        <v>65.03</v>
      </c>
      <c r="G444">
        <v>45.49</v>
      </c>
      <c r="H444">
        <v>0</v>
      </c>
      <c r="I444">
        <v>0</v>
      </c>
      <c r="J444" t="s">
        <v>608</v>
      </c>
      <c r="K444" s="28" t="s">
        <v>604</v>
      </c>
    </row>
    <row r="445" spans="1:11" x14ac:dyDescent="0.2">
      <c r="A445" t="s">
        <v>2036</v>
      </c>
      <c r="B445" t="s">
        <v>2033</v>
      </c>
      <c r="C445">
        <v>51.19</v>
      </c>
      <c r="D445" t="s">
        <v>608</v>
      </c>
      <c r="E445" t="s">
        <v>608</v>
      </c>
      <c r="F445">
        <v>34.950000000000003</v>
      </c>
      <c r="G445">
        <v>23.8</v>
      </c>
      <c r="H445">
        <v>0</v>
      </c>
      <c r="I445">
        <v>0</v>
      </c>
      <c r="J445" t="s">
        <v>608</v>
      </c>
      <c r="K445" s="28" t="s">
        <v>604</v>
      </c>
    </row>
    <row r="446" spans="1:11" x14ac:dyDescent="0.2">
      <c r="A446" t="s">
        <v>2037</v>
      </c>
      <c r="B446" t="s">
        <v>2033</v>
      </c>
      <c r="C446">
        <v>58.03</v>
      </c>
      <c r="D446" t="s">
        <v>608</v>
      </c>
      <c r="E446" t="s">
        <v>608</v>
      </c>
      <c r="F446">
        <v>49.27</v>
      </c>
      <c r="G446">
        <v>34.25</v>
      </c>
      <c r="H446">
        <v>0</v>
      </c>
      <c r="I446">
        <v>0.5</v>
      </c>
      <c r="J446" t="s">
        <v>608</v>
      </c>
      <c r="K446" s="28" t="s">
        <v>604</v>
      </c>
    </row>
    <row r="447" spans="1:11" x14ac:dyDescent="0.2">
      <c r="A447" t="s">
        <v>2038</v>
      </c>
      <c r="B447" t="s">
        <v>2039</v>
      </c>
      <c r="C447">
        <v>44.69</v>
      </c>
      <c r="D447" t="s">
        <v>608</v>
      </c>
      <c r="E447" t="s">
        <v>608</v>
      </c>
      <c r="F447">
        <v>18.57</v>
      </c>
      <c r="G447">
        <v>14.9</v>
      </c>
      <c r="H447">
        <v>0.5</v>
      </c>
      <c r="I447">
        <v>0.5</v>
      </c>
      <c r="J447" t="s">
        <v>608</v>
      </c>
      <c r="K447" s="28" t="s">
        <v>604</v>
      </c>
    </row>
    <row r="448" spans="1:11" x14ac:dyDescent="0.2">
      <c r="A448" t="s">
        <v>2040</v>
      </c>
      <c r="B448" t="s">
        <v>2039</v>
      </c>
      <c r="C448">
        <v>44.41</v>
      </c>
      <c r="D448" t="s">
        <v>608</v>
      </c>
      <c r="E448" t="s">
        <v>608</v>
      </c>
      <c r="F448">
        <v>20.9</v>
      </c>
      <c r="G448">
        <v>14.54</v>
      </c>
      <c r="H448">
        <v>0</v>
      </c>
      <c r="I448">
        <v>0</v>
      </c>
      <c r="J448" t="s">
        <v>608</v>
      </c>
      <c r="K448" s="28" t="s">
        <v>604</v>
      </c>
    </row>
    <row r="449" spans="1:11" x14ac:dyDescent="0.2">
      <c r="A449" t="s">
        <v>2041</v>
      </c>
      <c r="B449" t="s">
        <v>2039</v>
      </c>
      <c r="C449">
        <v>56.71</v>
      </c>
      <c r="D449" t="s">
        <v>608</v>
      </c>
      <c r="E449" t="s">
        <v>608</v>
      </c>
      <c r="F449">
        <v>24.79</v>
      </c>
      <c r="G449">
        <v>17.63</v>
      </c>
      <c r="H449">
        <v>0</v>
      </c>
      <c r="I449">
        <v>0</v>
      </c>
      <c r="J449" t="s">
        <v>608</v>
      </c>
      <c r="K449" s="28" t="s">
        <v>604</v>
      </c>
    </row>
    <row r="450" spans="1:11" x14ac:dyDescent="0.2">
      <c r="A450" t="s">
        <v>2042</v>
      </c>
      <c r="B450" t="s">
        <v>2039</v>
      </c>
      <c r="C450">
        <v>57.06</v>
      </c>
      <c r="D450" t="s">
        <v>608</v>
      </c>
      <c r="E450" t="s">
        <v>608</v>
      </c>
      <c r="F450">
        <v>29.53</v>
      </c>
      <c r="G450">
        <v>23.38</v>
      </c>
      <c r="H450">
        <v>0</v>
      </c>
      <c r="I450">
        <v>0</v>
      </c>
      <c r="J450" t="s">
        <v>608</v>
      </c>
      <c r="K450" s="28" t="s">
        <v>604</v>
      </c>
    </row>
    <row r="451" spans="1:11" x14ac:dyDescent="0.2">
      <c r="A451" t="s">
        <v>2043</v>
      </c>
      <c r="B451" t="s">
        <v>2039</v>
      </c>
      <c r="C451">
        <v>47.51</v>
      </c>
      <c r="D451" t="s">
        <v>608</v>
      </c>
      <c r="E451" t="s">
        <v>608</v>
      </c>
      <c r="F451">
        <v>28.4</v>
      </c>
      <c r="G451">
        <v>20.99</v>
      </c>
      <c r="H451">
        <v>0</v>
      </c>
      <c r="I451">
        <v>0</v>
      </c>
      <c r="J451" t="s">
        <v>608</v>
      </c>
      <c r="K451" s="28" t="s">
        <v>604</v>
      </c>
    </row>
    <row r="452" spans="1:11" x14ac:dyDescent="0.2">
      <c r="A452" t="s">
        <v>2044</v>
      </c>
      <c r="B452" t="s">
        <v>2045</v>
      </c>
      <c r="C452">
        <v>41.69</v>
      </c>
      <c r="D452" t="s">
        <v>608</v>
      </c>
      <c r="E452" t="s">
        <v>608</v>
      </c>
      <c r="F452">
        <v>15.58</v>
      </c>
      <c r="G452">
        <v>10.91</v>
      </c>
      <c r="H452">
        <v>0</v>
      </c>
      <c r="I452">
        <v>0</v>
      </c>
      <c r="J452" t="s">
        <v>608</v>
      </c>
      <c r="K452" s="28" t="s">
        <v>604</v>
      </c>
    </row>
    <row r="453" spans="1:11" x14ac:dyDescent="0.2">
      <c r="A453" t="s">
        <v>2046</v>
      </c>
      <c r="B453" t="s">
        <v>2045</v>
      </c>
      <c r="C453">
        <v>65.900000000000006</v>
      </c>
      <c r="D453" t="s">
        <v>608</v>
      </c>
      <c r="E453" t="s">
        <v>608</v>
      </c>
      <c r="F453">
        <v>48.72</v>
      </c>
      <c r="G453">
        <v>35.049999999999997</v>
      </c>
      <c r="H453">
        <v>0</v>
      </c>
      <c r="I453">
        <v>0</v>
      </c>
      <c r="J453" t="s">
        <v>608</v>
      </c>
      <c r="K453" s="28" t="s">
        <v>604</v>
      </c>
    </row>
    <row r="454" spans="1:11" x14ac:dyDescent="0.2">
      <c r="A454" t="s">
        <v>2047</v>
      </c>
      <c r="B454" t="s">
        <v>2045</v>
      </c>
      <c r="C454">
        <v>62.03</v>
      </c>
      <c r="D454" t="s">
        <v>608</v>
      </c>
      <c r="E454" t="s">
        <v>608</v>
      </c>
      <c r="F454">
        <v>60.99</v>
      </c>
      <c r="G454">
        <v>49.59</v>
      </c>
      <c r="H454">
        <v>0</v>
      </c>
      <c r="I454">
        <v>0.5</v>
      </c>
      <c r="J454" t="s">
        <v>608</v>
      </c>
      <c r="K454" s="28" t="s">
        <v>604</v>
      </c>
    </row>
    <row r="455" spans="1:11" x14ac:dyDescent="0.2">
      <c r="A455" t="s">
        <v>2048</v>
      </c>
      <c r="B455" t="s">
        <v>2045</v>
      </c>
      <c r="C455">
        <v>31.37</v>
      </c>
      <c r="D455" t="s">
        <v>608</v>
      </c>
      <c r="E455" t="s">
        <v>608</v>
      </c>
      <c r="F455">
        <v>14.48</v>
      </c>
      <c r="G455">
        <v>10.81</v>
      </c>
      <c r="H455">
        <v>0</v>
      </c>
      <c r="I455">
        <v>0</v>
      </c>
      <c r="J455" t="s">
        <v>608</v>
      </c>
      <c r="K455" s="28" t="s">
        <v>604</v>
      </c>
    </row>
    <row r="456" spans="1:11" x14ac:dyDescent="0.2">
      <c r="A456" t="s">
        <v>2049</v>
      </c>
      <c r="B456" t="s">
        <v>2045</v>
      </c>
      <c r="C456">
        <v>56.53</v>
      </c>
      <c r="D456" t="s">
        <v>608</v>
      </c>
      <c r="E456" t="s">
        <v>608</v>
      </c>
      <c r="F456">
        <v>38.86</v>
      </c>
      <c r="G456">
        <v>31.26</v>
      </c>
      <c r="H456">
        <v>0.5</v>
      </c>
      <c r="I456">
        <v>0</v>
      </c>
      <c r="J456" t="s">
        <v>608</v>
      </c>
      <c r="K456" s="28" t="s">
        <v>604</v>
      </c>
    </row>
    <row r="457" spans="1:11" x14ac:dyDescent="0.2">
      <c r="A457" t="s">
        <v>2050</v>
      </c>
      <c r="B457" t="s">
        <v>2051</v>
      </c>
      <c r="C457">
        <v>55.58</v>
      </c>
      <c r="D457" t="s">
        <v>608</v>
      </c>
      <c r="E457" t="s">
        <v>608</v>
      </c>
      <c r="F457">
        <v>40.49</v>
      </c>
      <c r="G457">
        <v>32.24</v>
      </c>
      <c r="H457">
        <v>0.5</v>
      </c>
      <c r="I457">
        <v>0</v>
      </c>
      <c r="J457" t="s">
        <v>608</v>
      </c>
      <c r="K457" s="28" t="s">
        <v>604</v>
      </c>
    </row>
    <row r="458" spans="1:11" x14ac:dyDescent="0.2">
      <c r="A458" t="s">
        <v>2052</v>
      </c>
      <c r="B458" t="s">
        <v>2051</v>
      </c>
      <c r="C458">
        <v>40.65</v>
      </c>
      <c r="D458" t="s">
        <v>608</v>
      </c>
      <c r="E458" t="s">
        <v>608</v>
      </c>
      <c r="F458">
        <v>21.05</v>
      </c>
      <c r="G458">
        <v>16.170000000000002</v>
      </c>
      <c r="H458">
        <v>0</v>
      </c>
      <c r="I458">
        <v>0</v>
      </c>
      <c r="J458" t="s">
        <v>608</v>
      </c>
      <c r="K458" s="28" t="s">
        <v>604</v>
      </c>
    </row>
    <row r="459" spans="1:11" x14ac:dyDescent="0.2">
      <c r="A459" t="s">
        <v>2053</v>
      </c>
      <c r="B459" t="s">
        <v>2051</v>
      </c>
      <c r="C459">
        <v>32.44</v>
      </c>
      <c r="D459" t="s">
        <v>608</v>
      </c>
      <c r="E459" t="s">
        <v>608</v>
      </c>
      <c r="F459">
        <v>15.74</v>
      </c>
      <c r="G459">
        <v>10.82</v>
      </c>
      <c r="H459">
        <v>0.5</v>
      </c>
      <c r="I459">
        <v>0</v>
      </c>
      <c r="J459" t="s">
        <v>608</v>
      </c>
      <c r="K459" s="28" t="s">
        <v>604</v>
      </c>
    </row>
    <row r="460" spans="1:11" x14ac:dyDescent="0.2">
      <c r="A460" t="s">
        <v>2054</v>
      </c>
      <c r="B460" t="s">
        <v>2051</v>
      </c>
      <c r="C460">
        <v>50.84</v>
      </c>
      <c r="D460" t="s">
        <v>608</v>
      </c>
      <c r="E460" t="s">
        <v>608</v>
      </c>
      <c r="F460">
        <v>21.01</v>
      </c>
      <c r="G460">
        <v>15.01</v>
      </c>
      <c r="H460">
        <v>3</v>
      </c>
      <c r="I460">
        <v>2</v>
      </c>
      <c r="J460" t="s">
        <v>608</v>
      </c>
      <c r="K460" s="28" t="s">
        <v>604</v>
      </c>
    </row>
    <row r="461" spans="1:11" x14ac:dyDescent="0.2">
      <c r="A461" t="s">
        <v>2055</v>
      </c>
      <c r="B461" t="s">
        <v>2051</v>
      </c>
      <c r="C461">
        <v>51.08</v>
      </c>
      <c r="D461" t="s">
        <v>608</v>
      </c>
      <c r="E461" t="s">
        <v>608</v>
      </c>
      <c r="F461">
        <v>31.74</v>
      </c>
      <c r="G461">
        <v>22.49</v>
      </c>
      <c r="H461">
        <v>1</v>
      </c>
      <c r="I461">
        <v>2</v>
      </c>
      <c r="J461" t="s">
        <v>608</v>
      </c>
      <c r="K461" s="28" t="s">
        <v>604</v>
      </c>
    </row>
    <row r="462" spans="1:11" x14ac:dyDescent="0.2">
      <c r="A462" t="s">
        <v>2056</v>
      </c>
      <c r="B462" t="s">
        <v>2057</v>
      </c>
      <c r="C462">
        <v>44.69</v>
      </c>
      <c r="D462" t="s">
        <v>608</v>
      </c>
      <c r="E462" t="s">
        <v>608</v>
      </c>
      <c r="F462">
        <v>17.77</v>
      </c>
      <c r="G462">
        <v>12.95</v>
      </c>
      <c r="H462">
        <v>0</v>
      </c>
      <c r="I462">
        <v>0</v>
      </c>
      <c r="J462" t="s">
        <v>608</v>
      </c>
      <c r="K462" s="28" t="s">
        <v>604</v>
      </c>
    </row>
    <row r="463" spans="1:11" x14ac:dyDescent="0.2">
      <c r="A463" t="s">
        <v>2058</v>
      </c>
      <c r="B463" t="s">
        <v>2057</v>
      </c>
      <c r="C463">
        <v>40.479999999999997</v>
      </c>
      <c r="D463" t="s">
        <v>608</v>
      </c>
      <c r="E463" t="s">
        <v>608</v>
      </c>
      <c r="F463">
        <v>14.68</v>
      </c>
      <c r="G463">
        <v>10.61</v>
      </c>
      <c r="H463">
        <v>0</v>
      </c>
      <c r="I463">
        <v>0</v>
      </c>
      <c r="J463" t="s">
        <v>608</v>
      </c>
      <c r="K463" s="28" t="s">
        <v>604</v>
      </c>
    </row>
    <row r="464" spans="1:11" x14ac:dyDescent="0.2">
      <c r="A464" t="s">
        <v>2059</v>
      </c>
      <c r="B464" t="s">
        <v>2057</v>
      </c>
      <c r="C464">
        <v>59.02</v>
      </c>
      <c r="D464" t="s">
        <v>608</v>
      </c>
      <c r="E464" t="s">
        <v>608</v>
      </c>
      <c r="F464">
        <v>49.2</v>
      </c>
      <c r="G464">
        <v>38.99</v>
      </c>
      <c r="H464">
        <v>0</v>
      </c>
      <c r="I464">
        <v>0</v>
      </c>
      <c r="J464" t="s">
        <v>608</v>
      </c>
      <c r="K464" s="28" t="s">
        <v>604</v>
      </c>
    </row>
    <row r="465" spans="1:11" x14ac:dyDescent="0.2">
      <c r="A465" t="s">
        <v>2060</v>
      </c>
      <c r="B465" t="s">
        <v>2057</v>
      </c>
      <c r="C465">
        <v>55.46</v>
      </c>
      <c r="D465" t="s">
        <v>608</v>
      </c>
      <c r="E465" t="s">
        <v>608</v>
      </c>
      <c r="F465">
        <v>30.4</v>
      </c>
      <c r="G465">
        <v>20.82</v>
      </c>
      <c r="H465">
        <v>0</v>
      </c>
      <c r="I465">
        <v>0</v>
      </c>
      <c r="J465" t="s">
        <v>608</v>
      </c>
      <c r="K465" s="28" t="s">
        <v>604</v>
      </c>
    </row>
    <row r="466" spans="1:11" x14ac:dyDescent="0.2">
      <c r="A466" t="s">
        <v>2061</v>
      </c>
      <c r="B466" t="s">
        <v>2057</v>
      </c>
      <c r="C466">
        <v>54.24</v>
      </c>
      <c r="D466" t="s">
        <v>608</v>
      </c>
      <c r="E466" t="s">
        <v>608</v>
      </c>
      <c r="F466">
        <v>23.86</v>
      </c>
      <c r="G466">
        <v>9.34</v>
      </c>
      <c r="H466">
        <v>0</v>
      </c>
      <c r="I466">
        <v>0.5</v>
      </c>
      <c r="J466" t="s">
        <v>608</v>
      </c>
      <c r="K466" s="28" t="s">
        <v>604</v>
      </c>
    </row>
    <row r="467" spans="1:11" x14ac:dyDescent="0.2">
      <c r="A467" t="s">
        <v>2062</v>
      </c>
      <c r="B467" t="s">
        <v>2063</v>
      </c>
      <c r="C467">
        <v>50.16</v>
      </c>
      <c r="D467" t="s">
        <v>608</v>
      </c>
      <c r="E467" t="s">
        <v>608</v>
      </c>
      <c r="F467">
        <v>26.38</v>
      </c>
      <c r="G467">
        <v>18.670000000000002</v>
      </c>
      <c r="H467">
        <v>1</v>
      </c>
      <c r="I467">
        <v>1</v>
      </c>
      <c r="J467" t="s">
        <v>608</v>
      </c>
      <c r="K467" s="28" t="s">
        <v>604</v>
      </c>
    </row>
    <row r="468" spans="1:11" x14ac:dyDescent="0.2">
      <c r="A468" t="s">
        <v>2064</v>
      </c>
      <c r="B468" t="s">
        <v>2063</v>
      </c>
      <c r="C468">
        <v>48.7</v>
      </c>
      <c r="D468" t="s">
        <v>608</v>
      </c>
      <c r="E468" t="s">
        <v>608</v>
      </c>
      <c r="F468">
        <v>33.46</v>
      </c>
      <c r="G468">
        <v>25.3</v>
      </c>
      <c r="H468">
        <v>1</v>
      </c>
      <c r="I468">
        <v>1</v>
      </c>
      <c r="J468" t="s">
        <v>608</v>
      </c>
      <c r="K468" s="28" t="s">
        <v>604</v>
      </c>
    </row>
    <row r="469" spans="1:11" x14ac:dyDescent="0.2">
      <c r="A469" t="s">
        <v>2065</v>
      </c>
      <c r="B469" t="s">
        <v>2063</v>
      </c>
      <c r="C469">
        <v>54.91</v>
      </c>
      <c r="D469" t="s">
        <v>608</v>
      </c>
      <c r="E469" t="s">
        <v>608</v>
      </c>
      <c r="F469">
        <v>34.619999999999997</v>
      </c>
      <c r="G469">
        <v>25.95</v>
      </c>
      <c r="H469">
        <v>0</v>
      </c>
      <c r="I469">
        <v>0</v>
      </c>
      <c r="J469" t="s">
        <v>608</v>
      </c>
      <c r="K469" s="28" t="s">
        <v>604</v>
      </c>
    </row>
    <row r="470" spans="1:11" x14ac:dyDescent="0.2">
      <c r="A470" t="s">
        <v>2066</v>
      </c>
      <c r="B470" t="s">
        <v>2063</v>
      </c>
      <c r="C470">
        <v>48.25</v>
      </c>
      <c r="D470" t="s">
        <v>608</v>
      </c>
      <c r="E470" t="s">
        <v>608</v>
      </c>
      <c r="F470">
        <v>21.39</v>
      </c>
      <c r="G470">
        <v>16.43</v>
      </c>
      <c r="H470">
        <v>0.5</v>
      </c>
      <c r="I470">
        <v>1</v>
      </c>
      <c r="J470" t="s">
        <v>608</v>
      </c>
      <c r="K470" s="28" t="s">
        <v>604</v>
      </c>
    </row>
    <row r="471" spans="1:11" x14ac:dyDescent="0.2">
      <c r="A471" t="s">
        <v>2067</v>
      </c>
      <c r="B471" t="s">
        <v>2063</v>
      </c>
      <c r="C471">
        <v>49.31</v>
      </c>
      <c r="D471" t="s">
        <v>608</v>
      </c>
      <c r="E471" t="s">
        <v>608</v>
      </c>
      <c r="F471">
        <v>21.47</v>
      </c>
      <c r="G471">
        <v>15.14</v>
      </c>
      <c r="H471">
        <v>0</v>
      </c>
      <c r="I471">
        <v>0</v>
      </c>
      <c r="J471" t="s">
        <v>608</v>
      </c>
      <c r="K471" s="28" t="s">
        <v>604</v>
      </c>
    </row>
    <row r="472" spans="1:11" x14ac:dyDescent="0.2">
      <c r="A472" t="s">
        <v>2068</v>
      </c>
      <c r="B472" t="s">
        <v>2069</v>
      </c>
      <c r="C472">
        <v>61.44</v>
      </c>
      <c r="D472" t="s">
        <v>608</v>
      </c>
      <c r="E472" t="s">
        <v>608</v>
      </c>
      <c r="F472">
        <v>35.89</v>
      </c>
      <c r="G472">
        <v>26.13</v>
      </c>
      <c r="H472">
        <v>0.5</v>
      </c>
      <c r="I472">
        <v>1</v>
      </c>
      <c r="J472" t="s">
        <v>608</v>
      </c>
      <c r="K472" s="28" t="s">
        <v>604</v>
      </c>
    </row>
    <row r="473" spans="1:11" x14ac:dyDescent="0.2">
      <c r="A473" t="s">
        <v>2070</v>
      </c>
      <c r="B473" t="s">
        <v>2069</v>
      </c>
      <c r="C473">
        <v>55.01</v>
      </c>
      <c r="D473" t="s">
        <v>608</v>
      </c>
      <c r="E473" t="s">
        <v>608</v>
      </c>
      <c r="F473">
        <v>39.96</v>
      </c>
      <c r="G473">
        <v>30.9</v>
      </c>
      <c r="H473">
        <v>0</v>
      </c>
      <c r="I473">
        <v>0</v>
      </c>
      <c r="J473" t="s">
        <v>608</v>
      </c>
      <c r="K473" s="28" t="s">
        <v>604</v>
      </c>
    </row>
    <row r="474" spans="1:11" x14ac:dyDescent="0.2">
      <c r="A474" t="s">
        <v>2071</v>
      </c>
      <c r="B474" t="s">
        <v>2069</v>
      </c>
      <c r="C474">
        <v>61.19</v>
      </c>
      <c r="D474" t="s">
        <v>608</v>
      </c>
      <c r="E474" t="s">
        <v>608</v>
      </c>
      <c r="F474">
        <v>49.65</v>
      </c>
      <c r="G474">
        <v>35.26</v>
      </c>
      <c r="H474">
        <v>0.5</v>
      </c>
      <c r="I474">
        <v>0.5</v>
      </c>
      <c r="J474" t="s">
        <v>608</v>
      </c>
      <c r="K474" s="28" t="s">
        <v>604</v>
      </c>
    </row>
    <row r="475" spans="1:11" x14ac:dyDescent="0.2">
      <c r="A475" t="s">
        <v>2072</v>
      </c>
      <c r="B475" t="s">
        <v>2069</v>
      </c>
      <c r="C475">
        <v>49.35</v>
      </c>
      <c r="D475" t="s">
        <v>608</v>
      </c>
      <c r="E475" t="s">
        <v>608</v>
      </c>
      <c r="F475">
        <v>28</v>
      </c>
      <c r="G475">
        <v>20.54</v>
      </c>
      <c r="H475">
        <v>0</v>
      </c>
      <c r="I475">
        <v>0</v>
      </c>
      <c r="J475" t="s">
        <v>608</v>
      </c>
      <c r="K475" s="28" t="s">
        <v>604</v>
      </c>
    </row>
    <row r="476" spans="1:11" x14ac:dyDescent="0.2">
      <c r="A476" t="s">
        <v>2073</v>
      </c>
      <c r="B476" t="s">
        <v>2069</v>
      </c>
      <c r="C476">
        <v>54.37</v>
      </c>
      <c r="D476" t="s">
        <v>608</v>
      </c>
      <c r="E476" t="s">
        <v>608</v>
      </c>
      <c r="F476">
        <v>30.44</v>
      </c>
      <c r="G476">
        <v>21.19</v>
      </c>
      <c r="H476">
        <v>0.5</v>
      </c>
      <c r="I476">
        <v>0</v>
      </c>
      <c r="J476" t="s">
        <v>608</v>
      </c>
      <c r="K476" s="28" t="s">
        <v>604</v>
      </c>
    </row>
    <row r="477" spans="1:11" x14ac:dyDescent="0.2">
      <c r="A477" t="s">
        <v>2074</v>
      </c>
      <c r="B477" t="s">
        <v>2075</v>
      </c>
      <c r="C477">
        <v>54.2</v>
      </c>
      <c r="D477" t="s">
        <v>608</v>
      </c>
      <c r="E477" t="s">
        <v>608</v>
      </c>
      <c r="F477">
        <v>30.47</v>
      </c>
      <c r="G477">
        <v>23.06</v>
      </c>
      <c r="H477">
        <v>0</v>
      </c>
      <c r="I477">
        <v>0</v>
      </c>
      <c r="J477" t="s">
        <v>608</v>
      </c>
      <c r="K477" s="28" t="s">
        <v>604</v>
      </c>
    </row>
    <row r="478" spans="1:11" x14ac:dyDescent="0.2">
      <c r="A478" t="s">
        <v>2076</v>
      </c>
      <c r="B478" t="s">
        <v>2075</v>
      </c>
      <c r="C478">
        <v>58.63</v>
      </c>
      <c r="D478" t="s">
        <v>608</v>
      </c>
      <c r="E478" t="s">
        <v>608</v>
      </c>
      <c r="F478">
        <v>31.46</v>
      </c>
      <c r="G478">
        <v>23.51</v>
      </c>
      <c r="H478">
        <v>0</v>
      </c>
      <c r="I478">
        <v>0</v>
      </c>
      <c r="J478" t="s">
        <v>608</v>
      </c>
      <c r="K478" s="28" t="s">
        <v>604</v>
      </c>
    </row>
    <row r="479" spans="1:11" x14ac:dyDescent="0.2">
      <c r="A479" t="s">
        <v>2077</v>
      </c>
      <c r="B479" t="s">
        <v>2075</v>
      </c>
      <c r="C479">
        <v>44.6</v>
      </c>
      <c r="D479" t="s">
        <v>608</v>
      </c>
      <c r="E479" t="s">
        <v>608</v>
      </c>
      <c r="F479">
        <v>29.54</v>
      </c>
      <c r="G479">
        <v>21.17</v>
      </c>
      <c r="H479">
        <v>0</v>
      </c>
      <c r="I479">
        <v>0.5</v>
      </c>
      <c r="J479" t="s">
        <v>608</v>
      </c>
      <c r="K479" s="28" t="s">
        <v>604</v>
      </c>
    </row>
    <row r="480" spans="1:11" x14ac:dyDescent="0.2">
      <c r="A480" t="s">
        <v>2078</v>
      </c>
      <c r="B480" t="s">
        <v>2075</v>
      </c>
      <c r="C480">
        <v>72.58</v>
      </c>
      <c r="D480" t="s">
        <v>608</v>
      </c>
      <c r="E480" t="s">
        <v>608</v>
      </c>
      <c r="F480">
        <v>29.73</v>
      </c>
      <c r="G480">
        <v>22.28</v>
      </c>
      <c r="H480">
        <v>1</v>
      </c>
      <c r="I480">
        <v>1</v>
      </c>
      <c r="J480" t="s">
        <v>608</v>
      </c>
      <c r="K480" s="28" t="s">
        <v>604</v>
      </c>
    </row>
    <row r="481" spans="1:11" x14ac:dyDescent="0.2">
      <c r="A481" t="s">
        <v>2079</v>
      </c>
      <c r="B481" t="s">
        <v>2075</v>
      </c>
      <c r="C481">
        <v>59.14</v>
      </c>
      <c r="D481" t="s">
        <v>608</v>
      </c>
      <c r="E481" t="s">
        <v>608</v>
      </c>
      <c r="F481">
        <v>39.39</v>
      </c>
      <c r="G481">
        <v>30.01</v>
      </c>
      <c r="H481">
        <v>0</v>
      </c>
      <c r="I481">
        <v>0.5</v>
      </c>
      <c r="J481" t="s">
        <v>608</v>
      </c>
      <c r="K481" s="28" t="s">
        <v>604</v>
      </c>
    </row>
    <row r="482" spans="1:11" x14ac:dyDescent="0.2">
      <c r="A482" t="s">
        <v>2080</v>
      </c>
      <c r="B482" t="s">
        <v>2081</v>
      </c>
      <c r="C482">
        <v>43.01</v>
      </c>
      <c r="D482" t="s">
        <v>608</v>
      </c>
      <c r="E482" t="s">
        <v>608</v>
      </c>
      <c r="F482">
        <v>21.18</v>
      </c>
      <c r="G482">
        <v>14.67</v>
      </c>
      <c r="H482">
        <v>0.5</v>
      </c>
      <c r="I482">
        <v>0.5</v>
      </c>
      <c r="J482" t="s">
        <v>608</v>
      </c>
      <c r="K482" s="28" t="s">
        <v>604</v>
      </c>
    </row>
    <row r="483" spans="1:11" x14ac:dyDescent="0.2">
      <c r="A483" t="s">
        <v>2082</v>
      </c>
      <c r="B483" t="s">
        <v>2081</v>
      </c>
      <c r="C483">
        <v>52.97</v>
      </c>
      <c r="D483" t="s">
        <v>608</v>
      </c>
      <c r="E483" t="s">
        <v>608</v>
      </c>
      <c r="F483">
        <v>33.880000000000003</v>
      </c>
      <c r="G483">
        <v>25.77</v>
      </c>
      <c r="H483">
        <v>1</v>
      </c>
      <c r="I483">
        <v>1</v>
      </c>
      <c r="J483" t="s">
        <v>608</v>
      </c>
      <c r="K483" s="28" t="s">
        <v>604</v>
      </c>
    </row>
    <row r="484" spans="1:11" x14ac:dyDescent="0.2">
      <c r="A484" t="s">
        <v>2083</v>
      </c>
      <c r="B484" t="s">
        <v>2081</v>
      </c>
      <c r="C484">
        <v>50.52</v>
      </c>
      <c r="D484" t="s">
        <v>608</v>
      </c>
      <c r="E484" t="s">
        <v>608</v>
      </c>
      <c r="F484">
        <v>25.34</v>
      </c>
      <c r="G484">
        <v>16.8</v>
      </c>
      <c r="H484">
        <v>0.5</v>
      </c>
      <c r="I484">
        <v>1</v>
      </c>
      <c r="J484" t="s">
        <v>608</v>
      </c>
      <c r="K484" s="28" t="s">
        <v>604</v>
      </c>
    </row>
    <row r="485" spans="1:11" x14ac:dyDescent="0.2">
      <c r="A485" t="s">
        <v>2084</v>
      </c>
      <c r="B485" t="s">
        <v>2081</v>
      </c>
      <c r="C485">
        <v>57.91</v>
      </c>
      <c r="D485" t="s">
        <v>608</v>
      </c>
      <c r="E485" t="s">
        <v>608</v>
      </c>
      <c r="F485">
        <v>32.42</v>
      </c>
      <c r="G485">
        <v>22.94</v>
      </c>
      <c r="H485">
        <v>0</v>
      </c>
      <c r="I485">
        <v>0</v>
      </c>
      <c r="J485" t="s">
        <v>608</v>
      </c>
      <c r="K485" s="28" t="s">
        <v>604</v>
      </c>
    </row>
    <row r="486" spans="1:11" x14ac:dyDescent="0.2">
      <c r="A486" t="s">
        <v>2085</v>
      </c>
      <c r="B486" t="s">
        <v>2081</v>
      </c>
      <c r="C486">
        <v>60.39</v>
      </c>
      <c r="D486" t="s">
        <v>608</v>
      </c>
      <c r="E486" t="s">
        <v>608</v>
      </c>
      <c r="F486">
        <v>34.43</v>
      </c>
      <c r="G486">
        <v>25.24</v>
      </c>
      <c r="H486">
        <v>0.5</v>
      </c>
      <c r="I486">
        <v>0</v>
      </c>
      <c r="J486" t="s">
        <v>608</v>
      </c>
      <c r="K486" s="28" t="s">
        <v>604</v>
      </c>
    </row>
    <row r="487" spans="1:11" x14ac:dyDescent="0.2">
      <c r="A487" t="s">
        <v>2086</v>
      </c>
      <c r="B487" t="s">
        <v>2087</v>
      </c>
      <c r="C487">
        <v>51.99</v>
      </c>
      <c r="D487" t="s">
        <v>608</v>
      </c>
      <c r="E487" t="s">
        <v>608</v>
      </c>
      <c r="F487">
        <v>22.15</v>
      </c>
      <c r="G487">
        <v>16.71</v>
      </c>
      <c r="H487">
        <v>0</v>
      </c>
      <c r="I487">
        <v>0</v>
      </c>
      <c r="J487" t="s">
        <v>608</v>
      </c>
      <c r="K487" s="28" t="s">
        <v>604</v>
      </c>
    </row>
    <row r="488" spans="1:11" x14ac:dyDescent="0.2">
      <c r="A488" t="s">
        <v>2088</v>
      </c>
      <c r="B488" t="s">
        <v>2087</v>
      </c>
      <c r="C488">
        <v>52.57</v>
      </c>
      <c r="D488" t="s">
        <v>608</v>
      </c>
      <c r="E488" t="s">
        <v>608</v>
      </c>
      <c r="F488">
        <v>24.22</v>
      </c>
      <c r="G488">
        <v>16.559999999999999</v>
      </c>
      <c r="H488">
        <v>0</v>
      </c>
      <c r="I488">
        <v>0</v>
      </c>
      <c r="J488" t="s">
        <v>608</v>
      </c>
      <c r="K488" s="28" t="s">
        <v>604</v>
      </c>
    </row>
    <row r="489" spans="1:11" x14ac:dyDescent="0.2">
      <c r="A489" t="s">
        <v>2089</v>
      </c>
      <c r="B489" t="s">
        <v>2087</v>
      </c>
      <c r="C489">
        <v>46.48</v>
      </c>
      <c r="D489" t="s">
        <v>608</v>
      </c>
      <c r="E489" t="s">
        <v>608</v>
      </c>
      <c r="F489">
        <v>27.58</v>
      </c>
      <c r="G489">
        <v>19.68</v>
      </c>
      <c r="H489">
        <v>1</v>
      </c>
      <c r="I489">
        <v>1</v>
      </c>
      <c r="J489" t="s">
        <v>608</v>
      </c>
      <c r="K489" s="28" t="s">
        <v>604</v>
      </c>
    </row>
    <row r="490" spans="1:11" x14ac:dyDescent="0.2">
      <c r="A490" t="s">
        <v>2090</v>
      </c>
      <c r="B490" t="s">
        <v>2087</v>
      </c>
      <c r="C490">
        <v>43.49</v>
      </c>
      <c r="D490" t="s">
        <v>608</v>
      </c>
      <c r="E490" t="s">
        <v>608</v>
      </c>
      <c r="F490">
        <v>30.96</v>
      </c>
      <c r="G490">
        <v>21.08</v>
      </c>
      <c r="H490">
        <v>0</v>
      </c>
      <c r="I490">
        <v>0</v>
      </c>
      <c r="J490" t="s">
        <v>608</v>
      </c>
      <c r="K490" s="28" t="s">
        <v>604</v>
      </c>
    </row>
    <row r="491" spans="1:11" x14ac:dyDescent="0.2">
      <c r="A491" t="s">
        <v>2091</v>
      </c>
      <c r="B491" t="s">
        <v>2087</v>
      </c>
      <c r="C491">
        <v>58.81</v>
      </c>
      <c r="D491" t="s">
        <v>608</v>
      </c>
      <c r="E491" t="s">
        <v>608</v>
      </c>
      <c r="F491">
        <v>40.76</v>
      </c>
      <c r="G491">
        <v>29.68</v>
      </c>
      <c r="H491">
        <v>0</v>
      </c>
      <c r="I491">
        <v>0</v>
      </c>
      <c r="J491" t="s">
        <v>608</v>
      </c>
      <c r="K491" s="28" t="s">
        <v>604</v>
      </c>
    </row>
    <row r="492" spans="1:11" x14ac:dyDescent="0.2">
      <c r="A492" t="s">
        <v>2092</v>
      </c>
      <c r="B492" t="s">
        <v>2093</v>
      </c>
      <c r="C492">
        <v>56.09</v>
      </c>
      <c r="D492" t="s">
        <v>608</v>
      </c>
      <c r="E492" t="s">
        <v>608</v>
      </c>
      <c r="F492">
        <v>34.880000000000003</v>
      </c>
      <c r="G492">
        <v>26.56</v>
      </c>
      <c r="H492">
        <v>0</v>
      </c>
      <c r="I492">
        <v>0</v>
      </c>
      <c r="J492" t="s">
        <v>608</v>
      </c>
      <c r="K492" s="28" t="s">
        <v>604</v>
      </c>
    </row>
    <row r="493" spans="1:11" x14ac:dyDescent="0.2">
      <c r="A493" t="s">
        <v>2094</v>
      </c>
      <c r="B493" t="s">
        <v>2093</v>
      </c>
      <c r="C493">
        <v>41.32</v>
      </c>
      <c r="D493" t="s">
        <v>608</v>
      </c>
      <c r="E493" t="s">
        <v>608</v>
      </c>
      <c r="F493">
        <v>19.100000000000001</v>
      </c>
      <c r="G493">
        <v>13.25</v>
      </c>
      <c r="H493">
        <v>0</v>
      </c>
      <c r="I493">
        <v>0</v>
      </c>
      <c r="J493" t="s">
        <v>608</v>
      </c>
      <c r="K493" s="28" t="s">
        <v>604</v>
      </c>
    </row>
    <row r="494" spans="1:11" x14ac:dyDescent="0.2">
      <c r="A494" t="s">
        <v>2095</v>
      </c>
      <c r="B494" t="s">
        <v>2093</v>
      </c>
      <c r="C494">
        <v>46.26</v>
      </c>
      <c r="D494" t="s">
        <v>608</v>
      </c>
      <c r="E494" t="s">
        <v>608</v>
      </c>
      <c r="F494">
        <v>19.11</v>
      </c>
      <c r="G494">
        <v>11.63</v>
      </c>
      <c r="H494">
        <v>0</v>
      </c>
      <c r="I494">
        <v>0</v>
      </c>
      <c r="J494" t="s">
        <v>608</v>
      </c>
      <c r="K494" s="28" t="s">
        <v>604</v>
      </c>
    </row>
    <row r="495" spans="1:11" x14ac:dyDescent="0.2">
      <c r="A495" t="s">
        <v>2096</v>
      </c>
      <c r="B495" t="s">
        <v>2093</v>
      </c>
      <c r="C495">
        <v>41.42</v>
      </c>
      <c r="D495" t="s">
        <v>608</v>
      </c>
      <c r="E495" t="s">
        <v>608</v>
      </c>
      <c r="F495">
        <v>16.309999999999999</v>
      </c>
      <c r="G495">
        <v>11.65</v>
      </c>
      <c r="H495">
        <v>0</v>
      </c>
      <c r="I495">
        <v>0</v>
      </c>
      <c r="J495" t="s">
        <v>608</v>
      </c>
      <c r="K495" s="28" t="s">
        <v>604</v>
      </c>
    </row>
    <row r="496" spans="1:11" x14ac:dyDescent="0.2">
      <c r="A496" t="s">
        <v>2097</v>
      </c>
      <c r="B496" t="s">
        <v>2093</v>
      </c>
      <c r="C496">
        <v>59.26</v>
      </c>
      <c r="D496" t="s">
        <v>608</v>
      </c>
      <c r="E496" t="s">
        <v>608</v>
      </c>
      <c r="F496">
        <v>36.200000000000003</v>
      </c>
      <c r="G496">
        <v>27.13</v>
      </c>
      <c r="H496">
        <v>0</v>
      </c>
      <c r="I496">
        <v>0.5</v>
      </c>
      <c r="J496" t="s">
        <v>608</v>
      </c>
      <c r="K496" s="28" t="s">
        <v>604</v>
      </c>
    </row>
    <row r="497" spans="1:11" x14ac:dyDescent="0.2">
      <c r="A497" t="s">
        <v>2098</v>
      </c>
      <c r="B497" t="s">
        <v>2099</v>
      </c>
      <c r="C497">
        <v>48.57</v>
      </c>
      <c r="D497" t="s">
        <v>608</v>
      </c>
      <c r="E497" t="s">
        <v>608</v>
      </c>
      <c r="F497">
        <v>27.17</v>
      </c>
      <c r="G497">
        <v>18.34</v>
      </c>
      <c r="H497">
        <v>0</v>
      </c>
      <c r="I497">
        <v>0</v>
      </c>
      <c r="J497" t="s">
        <v>608</v>
      </c>
      <c r="K497" s="28" t="s">
        <v>604</v>
      </c>
    </row>
    <row r="498" spans="1:11" x14ac:dyDescent="0.2">
      <c r="A498" t="s">
        <v>2100</v>
      </c>
      <c r="B498" t="s">
        <v>2099</v>
      </c>
      <c r="C498">
        <v>50.13</v>
      </c>
      <c r="D498" t="s">
        <v>608</v>
      </c>
      <c r="E498" t="s">
        <v>608</v>
      </c>
      <c r="F498">
        <v>17.66</v>
      </c>
      <c r="G498">
        <v>13.09</v>
      </c>
      <c r="H498">
        <v>0</v>
      </c>
      <c r="I498">
        <v>0</v>
      </c>
      <c r="J498" t="s">
        <v>608</v>
      </c>
      <c r="K498" s="28" t="s">
        <v>604</v>
      </c>
    </row>
    <row r="499" spans="1:11" x14ac:dyDescent="0.2">
      <c r="A499" t="s">
        <v>2101</v>
      </c>
      <c r="B499" t="s">
        <v>2099</v>
      </c>
      <c r="C499">
        <v>44.69</v>
      </c>
      <c r="D499" t="s">
        <v>608</v>
      </c>
      <c r="E499" t="s">
        <v>608</v>
      </c>
      <c r="F499">
        <v>29.08</v>
      </c>
      <c r="G499">
        <v>21.41</v>
      </c>
      <c r="H499">
        <v>1</v>
      </c>
      <c r="I499">
        <v>0.5</v>
      </c>
      <c r="J499" t="s">
        <v>608</v>
      </c>
      <c r="K499" s="28" t="s">
        <v>604</v>
      </c>
    </row>
    <row r="500" spans="1:11" x14ac:dyDescent="0.2">
      <c r="A500" t="s">
        <v>2102</v>
      </c>
      <c r="B500" t="s">
        <v>2099</v>
      </c>
      <c r="C500">
        <v>34.630000000000003</v>
      </c>
      <c r="D500" t="s">
        <v>608</v>
      </c>
      <c r="E500" t="s">
        <v>608</v>
      </c>
      <c r="F500">
        <v>19.37</v>
      </c>
      <c r="G500">
        <v>13.24</v>
      </c>
      <c r="H500">
        <v>1</v>
      </c>
      <c r="I500">
        <v>1</v>
      </c>
      <c r="J500" t="s">
        <v>608</v>
      </c>
      <c r="K500" s="28" t="s">
        <v>604</v>
      </c>
    </row>
    <row r="501" spans="1:11" x14ac:dyDescent="0.2">
      <c r="A501" t="s">
        <v>2103</v>
      </c>
      <c r="B501" t="s">
        <v>2099</v>
      </c>
      <c r="C501">
        <v>57.18</v>
      </c>
      <c r="D501" t="s">
        <v>608</v>
      </c>
      <c r="E501" t="s">
        <v>608</v>
      </c>
      <c r="F501">
        <v>44.22</v>
      </c>
      <c r="G501">
        <v>32.979999999999997</v>
      </c>
      <c r="H501">
        <v>0</v>
      </c>
      <c r="I501">
        <v>0</v>
      </c>
      <c r="J501" t="s">
        <v>608</v>
      </c>
      <c r="K501" s="28" t="s">
        <v>604</v>
      </c>
    </row>
    <row r="502" spans="1:11" x14ac:dyDescent="0.2">
      <c r="A502" t="s">
        <v>2104</v>
      </c>
      <c r="B502" t="s">
        <v>2105</v>
      </c>
      <c r="C502">
        <v>59.36</v>
      </c>
      <c r="D502" t="s">
        <v>608</v>
      </c>
      <c r="E502" t="s">
        <v>608</v>
      </c>
      <c r="F502">
        <v>48.13</v>
      </c>
      <c r="G502">
        <v>36.78</v>
      </c>
      <c r="H502">
        <v>0</v>
      </c>
      <c r="I502">
        <v>0.5</v>
      </c>
      <c r="J502" t="s">
        <v>608</v>
      </c>
      <c r="K502" s="28" t="s">
        <v>604</v>
      </c>
    </row>
    <row r="503" spans="1:11" x14ac:dyDescent="0.2">
      <c r="A503" t="s">
        <v>2106</v>
      </c>
      <c r="B503" t="s">
        <v>2105</v>
      </c>
      <c r="C503">
        <v>55.05</v>
      </c>
      <c r="D503" t="s">
        <v>608</v>
      </c>
      <c r="E503" t="s">
        <v>608</v>
      </c>
      <c r="F503">
        <v>56.16</v>
      </c>
      <c r="G503">
        <v>42.02</v>
      </c>
      <c r="H503">
        <v>0.5</v>
      </c>
      <c r="I503">
        <v>1</v>
      </c>
      <c r="J503" t="s">
        <v>608</v>
      </c>
      <c r="K503" s="28" t="s">
        <v>604</v>
      </c>
    </row>
    <row r="504" spans="1:11" x14ac:dyDescent="0.2">
      <c r="A504" t="s">
        <v>2107</v>
      </c>
      <c r="B504" t="s">
        <v>2105</v>
      </c>
      <c r="C504">
        <v>88.45</v>
      </c>
      <c r="D504" t="s">
        <v>608</v>
      </c>
      <c r="E504" t="s">
        <v>608</v>
      </c>
      <c r="F504">
        <v>94.72</v>
      </c>
      <c r="G504">
        <v>66.97</v>
      </c>
      <c r="H504">
        <v>0.5</v>
      </c>
      <c r="I504">
        <v>1</v>
      </c>
      <c r="J504" t="s">
        <v>608</v>
      </c>
      <c r="K504" s="28" t="s">
        <v>604</v>
      </c>
    </row>
    <row r="505" spans="1:11" x14ac:dyDescent="0.2">
      <c r="A505" t="s">
        <v>2108</v>
      </c>
      <c r="B505" t="s">
        <v>2105</v>
      </c>
      <c r="C505">
        <v>55.15</v>
      </c>
      <c r="D505" t="s">
        <v>608</v>
      </c>
      <c r="E505" t="s">
        <v>608</v>
      </c>
      <c r="F505">
        <v>31.97</v>
      </c>
      <c r="G505">
        <v>24.55</v>
      </c>
      <c r="H505">
        <v>0.5</v>
      </c>
      <c r="I505">
        <v>0.5</v>
      </c>
      <c r="J505" t="s">
        <v>608</v>
      </c>
      <c r="K505" s="28" t="s">
        <v>604</v>
      </c>
    </row>
    <row r="506" spans="1:11" x14ac:dyDescent="0.2">
      <c r="A506" t="s">
        <v>2109</v>
      </c>
      <c r="B506" t="s">
        <v>2105</v>
      </c>
      <c r="C506">
        <v>63.15</v>
      </c>
      <c r="D506" t="s">
        <v>608</v>
      </c>
      <c r="E506" t="s">
        <v>608</v>
      </c>
      <c r="F506">
        <v>58.02</v>
      </c>
      <c r="G506">
        <v>42.29</v>
      </c>
      <c r="H506">
        <v>1</v>
      </c>
      <c r="I506">
        <v>1</v>
      </c>
      <c r="J506" t="s">
        <v>608</v>
      </c>
      <c r="K506" s="28" t="s">
        <v>604</v>
      </c>
    </row>
    <row r="507" spans="1:11" x14ac:dyDescent="0.2">
      <c r="A507" t="s">
        <v>2110</v>
      </c>
      <c r="B507" t="s">
        <v>2111</v>
      </c>
      <c r="C507">
        <v>46.11</v>
      </c>
      <c r="D507" t="s">
        <v>608</v>
      </c>
      <c r="E507" t="s">
        <v>608</v>
      </c>
      <c r="F507">
        <v>24.81</v>
      </c>
      <c r="G507">
        <v>17.07</v>
      </c>
      <c r="H507">
        <v>0</v>
      </c>
      <c r="I507">
        <v>0.5</v>
      </c>
      <c r="J507" t="s">
        <v>608</v>
      </c>
      <c r="K507" s="28" t="s">
        <v>604</v>
      </c>
    </row>
    <row r="508" spans="1:11" x14ac:dyDescent="0.2">
      <c r="A508" t="s">
        <v>2112</v>
      </c>
      <c r="B508" t="s">
        <v>2111</v>
      </c>
      <c r="C508">
        <v>50.24</v>
      </c>
      <c r="D508" t="s">
        <v>608</v>
      </c>
      <c r="E508" t="s">
        <v>608</v>
      </c>
      <c r="F508">
        <v>20.059999999999999</v>
      </c>
      <c r="G508">
        <v>14.52</v>
      </c>
      <c r="H508">
        <v>0</v>
      </c>
      <c r="I508">
        <v>0</v>
      </c>
      <c r="J508" t="s">
        <v>608</v>
      </c>
      <c r="K508" s="28" t="s">
        <v>604</v>
      </c>
    </row>
    <row r="509" spans="1:11" x14ac:dyDescent="0.2">
      <c r="A509" t="s">
        <v>2113</v>
      </c>
      <c r="B509" t="s">
        <v>2111</v>
      </c>
      <c r="C509">
        <v>38.590000000000003</v>
      </c>
      <c r="D509" t="s">
        <v>608</v>
      </c>
      <c r="E509" t="s">
        <v>608</v>
      </c>
      <c r="F509">
        <v>15.35</v>
      </c>
      <c r="G509">
        <v>10.81</v>
      </c>
      <c r="H509">
        <v>0</v>
      </c>
      <c r="I509">
        <v>0</v>
      </c>
      <c r="J509" t="s">
        <v>608</v>
      </c>
      <c r="K509" s="28" t="s">
        <v>604</v>
      </c>
    </row>
    <row r="510" spans="1:11" x14ac:dyDescent="0.2">
      <c r="A510" t="s">
        <v>2114</v>
      </c>
      <c r="B510" t="s">
        <v>2111</v>
      </c>
      <c r="C510">
        <v>46.37</v>
      </c>
      <c r="D510" t="s">
        <v>608</v>
      </c>
      <c r="E510" t="s">
        <v>608</v>
      </c>
      <c r="F510">
        <v>27.86</v>
      </c>
      <c r="G510">
        <v>19.75</v>
      </c>
      <c r="H510">
        <v>0</v>
      </c>
      <c r="I510">
        <v>0</v>
      </c>
      <c r="J510" t="s">
        <v>608</v>
      </c>
      <c r="K510" s="28" t="s">
        <v>604</v>
      </c>
    </row>
    <row r="511" spans="1:11" x14ac:dyDescent="0.2">
      <c r="A511" t="s">
        <v>2115</v>
      </c>
      <c r="B511" t="s">
        <v>2111</v>
      </c>
      <c r="C511">
        <v>54.84</v>
      </c>
      <c r="D511" t="s">
        <v>608</v>
      </c>
      <c r="E511" t="s">
        <v>608</v>
      </c>
      <c r="F511">
        <v>32.130000000000003</v>
      </c>
      <c r="G511">
        <v>24.31</v>
      </c>
      <c r="H511">
        <v>0.5</v>
      </c>
      <c r="I511">
        <v>0</v>
      </c>
      <c r="J511" t="s">
        <v>608</v>
      </c>
      <c r="K511" s="28" t="s">
        <v>604</v>
      </c>
    </row>
    <row r="512" spans="1:11" x14ac:dyDescent="0.2">
      <c r="A512" t="s">
        <v>2116</v>
      </c>
      <c r="B512" t="s">
        <v>1319</v>
      </c>
      <c r="C512">
        <v>45.42</v>
      </c>
      <c r="D512" t="s">
        <v>608</v>
      </c>
      <c r="E512" t="s">
        <v>608</v>
      </c>
      <c r="F512">
        <v>16.190000000000001</v>
      </c>
      <c r="G512">
        <v>11.17</v>
      </c>
      <c r="H512">
        <v>0.5</v>
      </c>
      <c r="I512">
        <v>1</v>
      </c>
      <c r="J512" t="s">
        <v>608</v>
      </c>
      <c r="K512" s="28" t="s">
        <v>52</v>
      </c>
    </row>
    <row r="513" spans="1:11" x14ac:dyDescent="0.2">
      <c r="A513" t="s">
        <v>2117</v>
      </c>
      <c r="B513" t="s">
        <v>1319</v>
      </c>
      <c r="C513">
        <v>33</v>
      </c>
      <c r="D513" t="s">
        <v>608</v>
      </c>
      <c r="E513" t="s">
        <v>608</v>
      </c>
      <c r="F513">
        <v>14.36</v>
      </c>
      <c r="G513">
        <v>10.46</v>
      </c>
      <c r="H513">
        <v>0.5</v>
      </c>
      <c r="I513">
        <v>0.5</v>
      </c>
      <c r="J513" t="s">
        <v>608</v>
      </c>
      <c r="K513" s="28" t="s">
        <v>52</v>
      </c>
    </row>
    <row r="514" spans="1:11" x14ac:dyDescent="0.2">
      <c r="A514" t="s">
        <v>2118</v>
      </c>
      <c r="B514" t="s">
        <v>1319</v>
      </c>
      <c r="C514">
        <v>51.46</v>
      </c>
      <c r="D514" t="s">
        <v>608</v>
      </c>
      <c r="E514" t="s">
        <v>608</v>
      </c>
      <c r="F514">
        <v>22.01</v>
      </c>
      <c r="G514">
        <v>16.510000000000002</v>
      </c>
      <c r="H514">
        <v>0.5</v>
      </c>
      <c r="I514">
        <v>0</v>
      </c>
      <c r="J514" t="s">
        <v>608</v>
      </c>
      <c r="K514" s="28" t="s">
        <v>52</v>
      </c>
    </row>
    <row r="515" spans="1:11" x14ac:dyDescent="0.2">
      <c r="A515" t="s">
        <v>2119</v>
      </c>
      <c r="B515" t="s">
        <v>1319</v>
      </c>
      <c r="C515">
        <v>41.19</v>
      </c>
      <c r="D515" t="s">
        <v>608</v>
      </c>
      <c r="E515" t="s">
        <v>608</v>
      </c>
      <c r="F515">
        <v>11.9</v>
      </c>
      <c r="G515">
        <v>7.99</v>
      </c>
      <c r="H515">
        <v>0.5</v>
      </c>
      <c r="I515">
        <v>0.5</v>
      </c>
      <c r="J515" t="s">
        <v>608</v>
      </c>
      <c r="K515" s="28" t="s">
        <v>52</v>
      </c>
    </row>
    <row r="516" spans="1:11" x14ac:dyDescent="0.2">
      <c r="A516" t="s">
        <v>2120</v>
      </c>
      <c r="B516" t="s">
        <v>1319</v>
      </c>
      <c r="C516">
        <v>45.66</v>
      </c>
      <c r="D516" t="s">
        <v>608</v>
      </c>
      <c r="E516" t="s">
        <v>608</v>
      </c>
      <c r="F516">
        <v>15.14</v>
      </c>
      <c r="G516">
        <v>10.66</v>
      </c>
      <c r="H516">
        <v>1</v>
      </c>
      <c r="I516">
        <v>1</v>
      </c>
      <c r="J516" t="s">
        <v>608</v>
      </c>
      <c r="K516" s="28" t="s">
        <v>52</v>
      </c>
    </row>
    <row r="517" spans="1:11" x14ac:dyDescent="0.2">
      <c r="A517" t="s">
        <v>2121</v>
      </c>
      <c r="B517" t="s">
        <v>1321</v>
      </c>
      <c r="C517">
        <v>54.02</v>
      </c>
      <c r="D517" t="s">
        <v>608</v>
      </c>
      <c r="E517" t="s">
        <v>608</v>
      </c>
      <c r="F517">
        <v>53.95</v>
      </c>
      <c r="G517">
        <v>41.63</v>
      </c>
      <c r="H517">
        <v>0.5</v>
      </c>
      <c r="I517">
        <v>0</v>
      </c>
      <c r="J517" t="s">
        <v>608</v>
      </c>
      <c r="K517" s="28" t="s">
        <v>52</v>
      </c>
    </row>
    <row r="518" spans="1:11" x14ac:dyDescent="0.2">
      <c r="A518" t="s">
        <v>2122</v>
      </c>
      <c r="B518" t="s">
        <v>1321</v>
      </c>
      <c r="C518">
        <v>40.69</v>
      </c>
      <c r="D518" t="s">
        <v>608</v>
      </c>
      <c r="E518" t="s">
        <v>608</v>
      </c>
      <c r="F518">
        <v>27.29</v>
      </c>
      <c r="G518">
        <v>19.25</v>
      </c>
      <c r="H518">
        <v>1</v>
      </c>
      <c r="I518">
        <v>0.5</v>
      </c>
      <c r="J518" t="s">
        <v>608</v>
      </c>
      <c r="K518" s="28" t="s">
        <v>52</v>
      </c>
    </row>
    <row r="519" spans="1:11" x14ac:dyDescent="0.2">
      <c r="A519" t="s">
        <v>2123</v>
      </c>
      <c r="B519" t="s">
        <v>1321</v>
      </c>
      <c r="C519">
        <v>49.02</v>
      </c>
      <c r="D519" t="s">
        <v>608</v>
      </c>
      <c r="E519" t="s">
        <v>608</v>
      </c>
      <c r="F519">
        <v>30.28</v>
      </c>
      <c r="G519">
        <v>23.38</v>
      </c>
      <c r="H519">
        <v>0</v>
      </c>
      <c r="I519">
        <v>0</v>
      </c>
      <c r="J519" t="s">
        <v>608</v>
      </c>
      <c r="K519" s="28" t="s">
        <v>52</v>
      </c>
    </row>
    <row r="520" spans="1:11" x14ac:dyDescent="0.2">
      <c r="A520" t="s">
        <v>2124</v>
      </c>
      <c r="B520" t="s">
        <v>1321</v>
      </c>
      <c r="C520">
        <v>55.49</v>
      </c>
      <c r="D520" t="s">
        <v>608</v>
      </c>
      <c r="E520" t="s">
        <v>608</v>
      </c>
      <c r="F520">
        <v>42.45</v>
      </c>
      <c r="G520">
        <v>31.44</v>
      </c>
      <c r="H520">
        <v>0</v>
      </c>
      <c r="I520">
        <v>0.5</v>
      </c>
      <c r="J520" t="s">
        <v>608</v>
      </c>
      <c r="K520" s="28" t="s">
        <v>52</v>
      </c>
    </row>
    <row r="521" spans="1:11" x14ac:dyDescent="0.2">
      <c r="A521" t="s">
        <v>2125</v>
      </c>
      <c r="B521" t="s">
        <v>1321</v>
      </c>
      <c r="C521">
        <v>51.94</v>
      </c>
      <c r="D521" t="s">
        <v>608</v>
      </c>
      <c r="E521" t="s">
        <v>608</v>
      </c>
      <c r="F521">
        <v>37.78</v>
      </c>
      <c r="G521">
        <v>30.22</v>
      </c>
      <c r="H521">
        <v>0</v>
      </c>
      <c r="I521">
        <v>0.5</v>
      </c>
      <c r="J521" t="s">
        <v>608</v>
      </c>
      <c r="K521" s="28" t="s">
        <v>52</v>
      </c>
    </row>
    <row r="522" spans="1:11" x14ac:dyDescent="0.2">
      <c r="A522" t="s">
        <v>2126</v>
      </c>
      <c r="B522" t="s">
        <v>1323</v>
      </c>
      <c r="C522">
        <v>69.739999999999995</v>
      </c>
      <c r="D522" t="s">
        <v>608</v>
      </c>
      <c r="E522" t="s">
        <v>608</v>
      </c>
      <c r="F522">
        <v>39.630000000000003</v>
      </c>
      <c r="G522">
        <v>29.09</v>
      </c>
      <c r="H522">
        <v>0</v>
      </c>
      <c r="I522">
        <v>0</v>
      </c>
      <c r="J522" t="s">
        <v>608</v>
      </c>
      <c r="K522" s="28" t="s">
        <v>52</v>
      </c>
    </row>
    <row r="523" spans="1:11" x14ac:dyDescent="0.2">
      <c r="A523" t="s">
        <v>2127</v>
      </c>
      <c r="B523" t="s">
        <v>1323</v>
      </c>
      <c r="C523">
        <v>58.27</v>
      </c>
      <c r="D523" t="s">
        <v>608</v>
      </c>
      <c r="E523" t="s">
        <v>608</v>
      </c>
      <c r="F523">
        <v>34.65</v>
      </c>
      <c r="G523">
        <v>25.59</v>
      </c>
      <c r="H523">
        <v>0.5</v>
      </c>
      <c r="I523">
        <v>0</v>
      </c>
      <c r="J523" t="s">
        <v>608</v>
      </c>
      <c r="K523" s="28" t="s">
        <v>52</v>
      </c>
    </row>
    <row r="524" spans="1:11" x14ac:dyDescent="0.2">
      <c r="A524" t="s">
        <v>2128</v>
      </c>
      <c r="B524" t="s">
        <v>1323</v>
      </c>
      <c r="C524">
        <v>43.37</v>
      </c>
      <c r="D524" t="s">
        <v>608</v>
      </c>
      <c r="E524" t="s">
        <v>608</v>
      </c>
      <c r="F524">
        <v>13.7</v>
      </c>
      <c r="G524">
        <v>10.08</v>
      </c>
      <c r="H524">
        <v>0.5</v>
      </c>
      <c r="I524">
        <v>0.5</v>
      </c>
      <c r="J524" t="s">
        <v>608</v>
      </c>
      <c r="K524" s="28" t="s">
        <v>52</v>
      </c>
    </row>
    <row r="525" spans="1:11" x14ac:dyDescent="0.2">
      <c r="A525" t="s">
        <v>2129</v>
      </c>
      <c r="B525" t="s">
        <v>1323</v>
      </c>
      <c r="C525">
        <v>57.42</v>
      </c>
      <c r="D525" t="s">
        <v>608</v>
      </c>
      <c r="E525" t="s">
        <v>608</v>
      </c>
      <c r="F525">
        <v>39.549999999999997</v>
      </c>
      <c r="G525">
        <v>28.64</v>
      </c>
      <c r="H525">
        <v>0.5</v>
      </c>
      <c r="I525">
        <v>0</v>
      </c>
      <c r="J525" t="s">
        <v>608</v>
      </c>
      <c r="K525" s="28" t="s">
        <v>52</v>
      </c>
    </row>
    <row r="526" spans="1:11" x14ac:dyDescent="0.2">
      <c r="A526" t="s">
        <v>2130</v>
      </c>
      <c r="B526" t="s">
        <v>1323</v>
      </c>
      <c r="C526">
        <v>55.02</v>
      </c>
      <c r="D526" t="s">
        <v>608</v>
      </c>
      <c r="E526" t="s">
        <v>608</v>
      </c>
      <c r="F526">
        <v>25.89</v>
      </c>
      <c r="G526">
        <v>19.510000000000002</v>
      </c>
      <c r="H526">
        <v>0</v>
      </c>
      <c r="I526">
        <v>0</v>
      </c>
      <c r="J526" t="s">
        <v>608</v>
      </c>
      <c r="K526" s="28" t="s">
        <v>52</v>
      </c>
    </row>
    <row r="527" spans="1:11" x14ac:dyDescent="0.2">
      <c r="A527" t="s">
        <v>2131</v>
      </c>
      <c r="B527" t="s">
        <v>1331</v>
      </c>
      <c r="C527">
        <v>42.2</v>
      </c>
      <c r="D527" t="s">
        <v>608</v>
      </c>
      <c r="E527" t="s">
        <v>608</v>
      </c>
      <c r="F527">
        <v>22.11</v>
      </c>
      <c r="G527">
        <v>16.38</v>
      </c>
      <c r="H527">
        <v>0</v>
      </c>
      <c r="I527">
        <v>0</v>
      </c>
      <c r="J527" t="s">
        <v>608</v>
      </c>
      <c r="K527" s="28" t="s">
        <v>52</v>
      </c>
    </row>
    <row r="528" spans="1:11" x14ac:dyDescent="0.2">
      <c r="A528" t="s">
        <v>2132</v>
      </c>
      <c r="B528" t="s">
        <v>1331</v>
      </c>
      <c r="C528">
        <v>37.340000000000003</v>
      </c>
      <c r="D528" t="s">
        <v>608</v>
      </c>
      <c r="E528" t="s">
        <v>608</v>
      </c>
      <c r="F528">
        <v>16.62</v>
      </c>
      <c r="G528">
        <v>12.89</v>
      </c>
      <c r="H528">
        <v>0.5</v>
      </c>
      <c r="I528">
        <v>0.5</v>
      </c>
      <c r="J528" t="s">
        <v>608</v>
      </c>
      <c r="K528" s="28" t="s">
        <v>52</v>
      </c>
    </row>
    <row r="529" spans="1:11" x14ac:dyDescent="0.2">
      <c r="A529" t="s">
        <v>2133</v>
      </c>
      <c r="B529" t="s">
        <v>1331</v>
      </c>
      <c r="C529">
        <v>40.950000000000003</v>
      </c>
      <c r="D529" t="s">
        <v>608</v>
      </c>
      <c r="E529" t="s">
        <v>608</v>
      </c>
      <c r="F529">
        <v>26.84</v>
      </c>
      <c r="G529">
        <v>20.22</v>
      </c>
      <c r="H529">
        <v>0</v>
      </c>
      <c r="I529">
        <v>0.5</v>
      </c>
      <c r="J529" t="s">
        <v>608</v>
      </c>
      <c r="K529" s="28" t="s">
        <v>52</v>
      </c>
    </row>
    <row r="530" spans="1:11" x14ac:dyDescent="0.2">
      <c r="A530" t="s">
        <v>2134</v>
      </c>
      <c r="B530" t="s">
        <v>1331</v>
      </c>
      <c r="C530">
        <v>44.39</v>
      </c>
      <c r="D530" t="s">
        <v>608</v>
      </c>
      <c r="E530" t="s">
        <v>608</v>
      </c>
      <c r="F530">
        <v>20.76</v>
      </c>
      <c r="G530">
        <v>14.02</v>
      </c>
      <c r="H530">
        <v>0</v>
      </c>
      <c r="I530">
        <v>0</v>
      </c>
      <c r="J530" t="s">
        <v>608</v>
      </c>
      <c r="K530" s="28" t="s">
        <v>52</v>
      </c>
    </row>
    <row r="531" spans="1:11" x14ac:dyDescent="0.2">
      <c r="A531" t="s">
        <v>2135</v>
      </c>
      <c r="B531" t="s">
        <v>1331</v>
      </c>
      <c r="C531">
        <v>61.28</v>
      </c>
      <c r="D531" t="s">
        <v>608</v>
      </c>
      <c r="E531" t="s">
        <v>608</v>
      </c>
      <c r="F531">
        <v>40.29</v>
      </c>
      <c r="G531">
        <v>30.12</v>
      </c>
      <c r="H531">
        <v>3</v>
      </c>
      <c r="I531">
        <v>2</v>
      </c>
      <c r="J531" t="s">
        <v>608</v>
      </c>
      <c r="K531" s="28" t="s">
        <v>52</v>
      </c>
    </row>
    <row r="532" spans="1:11" x14ac:dyDescent="0.2">
      <c r="A532" t="s">
        <v>2136</v>
      </c>
      <c r="B532" t="s">
        <v>1333</v>
      </c>
      <c r="C532">
        <v>67.41</v>
      </c>
      <c r="D532" t="s">
        <v>608</v>
      </c>
      <c r="E532" t="s">
        <v>608</v>
      </c>
      <c r="F532">
        <v>43.99</v>
      </c>
      <c r="G532">
        <v>29.94</v>
      </c>
      <c r="H532">
        <v>0.5</v>
      </c>
      <c r="I532">
        <v>0.5</v>
      </c>
      <c r="J532" t="s">
        <v>608</v>
      </c>
      <c r="K532" s="28" t="s">
        <v>52</v>
      </c>
    </row>
    <row r="533" spans="1:11" x14ac:dyDescent="0.2">
      <c r="A533" t="s">
        <v>2137</v>
      </c>
      <c r="B533" t="s">
        <v>1333</v>
      </c>
      <c r="C533">
        <v>59.07</v>
      </c>
      <c r="D533" t="s">
        <v>608</v>
      </c>
      <c r="E533" t="s">
        <v>608</v>
      </c>
      <c r="F533">
        <v>36.24</v>
      </c>
      <c r="G533">
        <v>24.06</v>
      </c>
      <c r="H533">
        <v>0.5</v>
      </c>
      <c r="I533">
        <v>0</v>
      </c>
      <c r="J533" t="s">
        <v>608</v>
      </c>
      <c r="K533" s="28" t="s">
        <v>52</v>
      </c>
    </row>
    <row r="534" spans="1:11" x14ac:dyDescent="0.2">
      <c r="A534" t="s">
        <v>2138</v>
      </c>
      <c r="B534" t="s">
        <v>1333</v>
      </c>
      <c r="C534">
        <v>32.15</v>
      </c>
      <c r="D534" t="s">
        <v>608</v>
      </c>
      <c r="E534" t="s">
        <v>608</v>
      </c>
      <c r="F534">
        <v>18.260000000000002</v>
      </c>
      <c r="G534">
        <v>13.88</v>
      </c>
      <c r="H534">
        <v>0</v>
      </c>
      <c r="I534">
        <v>0</v>
      </c>
      <c r="J534" t="s">
        <v>608</v>
      </c>
      <c r="K534" s="28" t="s">
        <v>52</v>
      </c>
    </row>
    <row r="535" spans="1:11" x14ac:dyDescent="0.2">
      <c r="A535" t="s">
        <v>2139</v>
      </c>
      <c r="B535" t="s">
        <v>1333</v>
      </c>
      <c r="C535">
        <v>33.9</v>
      </c>
      <c r="D535" t="s">
        <v>608</v>
      </c>
      <c r="E535" t="s">
        <v>608</v>
      </c>
      <c r="F535">
        <v>8.69</v>
      </c>
      <c r="G535">
        <v>6.3</v>
      </c>
      <c r="H535">
        <v>0.5</v>
      </c>
      <c r="I535">
        <v>0.5</v>
      </c>
      <c r="J535" t="s">
        <v>608</v>
      </c>
      <c r="K535" s="28" t="s">
        <v>52</v>
      </c>
    </row>
    <row r="536" spans="1:11" x14ac:dyDescent="0.2">
      <c r="A536" t="s">
        <v>2140</v>
      </c>
      <c r="B536" t="s">
        <v>1333</v>
      </c>
      <c r="C536">
        <v>56.72</v>
      </c>
      <c r="D536" t="s">
        <v>608</v>
      </c>
      <c r="E536" t="s">
        <v>608</v>
      </c>
      <c r="F536">
        <v>23</v>
      </c>
      <c r="G536">
        <v>16.809999999999999</v>
      </c>
      <c r="H536">
        <v>0</v>
      </c>
      <c r="I536">
        <v>0</v>
      </c>
      <c r="J536" t="s">
        <v>608</v>
      </c>
      <c r="K536" s="28" t="s">
        <v>52</v>
      </c>
    </row>
    <row r="537" spans="1:11" x14ac:dyDescent="0.2">
      <c r="A537" t="s">
        <v>2141</v>
      </c>
      <c r="B537" t="s">
        <v>1335</v>
      </c>
      <c r="C537">
        <v>39.39</v>
      </c>
      <c r="D537" t="s">
        <v>608</v>
      </c>
      <c r="E537" t="s">
        <v>608</v>
      </c>
      <c r="F537">
        <v>26.11</v>
      </c>
      <c r="G537">
        <v>19.91</v>
      </c>
      <c r="H537">
        <v>1</v>
      </c>
      <c r="I537">
        <v>1</v>
      </c>
      <c r="J537" t="s">
        <v>608</v>
      </c>
      <c r="K537" s="28" t="s">
        <v>52</v>
      </c>
    </row>
    <row r="538" spans="1:11" x14ac:dyDescent="0.2">
      <c r="A538" t="s">
        <v>2142</v>
      </c>
      <c r="B538" t="s">
        <v>1335</v>
      </c>
      <c r="C538">
        <v>56.05</v>
      </c>
      <c r="D538" t="s">
        <v>608</v>
      </c>
      <c r="E538" t="s">
        <v>608</v>
      </c>
      <c r="F538">
        <v>32.56</v>
      </c>
      <c r="G538">
        <v>23.47</v>
      </c>
      <c r="H538">
        <v>0</v>
      </c>
      <c r="I538">
        <v>0.5</v>
      </c>
      <c r="J538" t="s">
        <v>608</v>
      </c>
      <c r="K538" s="28" t="s">
        <v>52</v>
      </c>
    </row>
    <row r="539" spans="1:11" x14ac:dyDescent="0.2">
      <c r="A539" t="s">
        <v>2143</v>
      </c>
      <c r="B539" t="s">
        <v>1335</v>
      </c>
      <c r="C539">
        <v>59.88</v>
      </c>
      <c r="D539" t="s">
        <v>608</v>
      </c>
      <c r="E539" t="s">
        <v>608</v>
      </c>
      <c r="F539">
        <v>91.8</v>
      </c>
      <c r="G539">
        <v>77.44</v>
      </c>
      <c r="H539">
        <v>0</v>
      </c>
      <c r="I539">
        <v>0.5</v>
      </c>
      <c r="J539" t="s">
        <v>608</v>
      </c>
      <c r="K539" s="28" t="s">
        <v>52</v>
      </c>
    </row>
    <row r="540" spans="1:11" x14ac:dyDescent="0.2">
      <c r="A540" t="s">
        <v>2144</v>
      </c>
      <c r="B540" t="s">
        <v>1335</v>
      </c>
      <c r="C540">
        <v>44.93</v>
      </c>
      <c r="D540" t="s">
        <v>608</v>
      </c>
      <c r="E540" t="s">
        <v>608</v>
      </c>
      <c r="F540">
        <v>24.83</v>
      </c>
      <c r="G540">
        <v>18.11</v>
      </c>
      <c r="H540">
        <v>0</v>
      </c>
      <c r="I540">
        <v>0</v>
      </c>
      <c r="J540" t="s">
        <v>608</v>
      </c>
      <c r="K540" s="28" t="s">
        <v>52</v>
      </c>
    </row>
    <row r="541" spans="1:11" x14ac:dyDescent="0.2">
      <c r="A541" t="s">
        <v>2145</v>
      </c>
      <c r="B541" t="s">
        <v>1335</v>
      </c>
      <c r="C541">
        <v>43.62</v>
      </c>
      <c r="D541" t="s">
        <v>608</v>
      </c>
      <c r="E541" t="s">
        <v>608</v>
      </c>
      <c r="F541">
        <v>22.83</v>
      </c>
      <c r="G541">
        <v>15.89</v>
      </c>
      <c r="H541">
        <v>0</v>
      </c>
      <c r="I541">
        <v>0.5</v>
      </c>
      <c r="J541" t="s">
        <v>608</v>
      </c>
      <c r="K541" s="28" t="s">
        <v>52</v>
      </c>
    </row>
    <row r="542" spans="1:11" x14ac:dyDescent="0.2">
      <c r="A542" t="s">
        <v>2146</v>
      </c>
      <c r="B542" t="s">
        <v>1343</v>
      </c>
      <c r="C542">
        <v>42.39</v>
      </c>
      <c r="D542" t="s">
        <v>608</v>
      </c>
      <c r="E542" t="s">
        <v>608</v>
      </c>
      <c r="F542">
        <v>19.739999999999998</v>
      </c>
      <c r="G542">
        <v>13.85</v>
      </c>
      <c r="H542">
        <v>0</v>
      </c>
      <c r="I542">
        <v>0</v>
      </c>
      <c r="J542" t="s">
        <v>608</v>
      </c>
      <c r="K542" s="28" t="s">
        <v>52</v>
      </c>
    </row>
    <row r="543" spans="1:11" x14ac:dyDescent="0.2">
      <c r="A543" t="s">
        <v>2147</v>
      </c>
      <c r="B543" t="s">
        <v>1343</v>
      </c>
      <c r="C543">
        <v>58.22</v>
      </c>
      <c r="D543" t="s">
        <v>608</v>
      </c>
      <c r="E543" t="s">
        <v>608</v>
      </c>
      <c r="F543">
        <v>30.3</v>
      </c>
      <c r="G543">
        <v>20.54</v>
      </c>
      <c r="H543">
        <v>0</v>
      </c>
      <c r="I543">
        <v>0</v>
      </c>
      <c r="J543" t="s">
        <v>608</v>
      </c>
      <c r="K543" s="28" t="s">
        <v>52</v>
      </c>
    </row>
    <row r="544" spans="1:11" x14ac:dyDescent="0.2">
      <c r="A544" t="s">
        <v>2148</v>
      </c>
      <c r="B544" t="s">
        <v>1343</v>
      </c>
      <c r="C544">
        <v>67.61</v>
      </c>
      <c r="D544" t="s">
        <v>608</v>
      </c>
      <c r="E544" t="s">
        <v>608</v>
      </c>
      <c r="F544">
        <v>58.98</v>
      </c>
      <c r="G544">
        <v>42.73</v>
      </c>
      <c r="H544">
        <v>0.5</v>
      </c>
      <c r="I544">
        <v>0</v>
      </c>
      <c r="J544" t="s">
        <v>608</v>
      </c>
      <c r="K544" s="28" t="s">
        <v>52</v>
      </c>
    </row>
    <row r="545" spans="1:11" x14ac:dyDescent="0.2">
      <c r="A545" t="s">
        <v>2149</v>
      </c>
      <c r="B545" t="s">
        <v>1343</v>
      </c>
      <c r="C545">
        <v>42.06</v>
      </c>
      <c r="D545" t="s">
        <v>608</v>
      </c>
      <c r="E545" t="s">
        <v>608</v>
      </c>
      <c r="F545">
        <v>17.75</v>
      </c>
      <c r="G545">
        <v>12.48</v>
      </c>
      <c r="H545">
        <v>0</v>
      </c>
      <c r="I545">
        <v>0</v>
      </c>
      <c r="J545" t="s">
        <v>608</v>
      </c>
      <c r="K545" s="28" t="s">
        <v>52</v>
      </c>
    </row>
    <row r="546" spans="1:11" x14ac:dyDescent="0.2">
      <c r="A546" t="s">
        <v>2150</v>
      </c>
      <c r="B546" t="s">
        <v>1343</v>
      </c>
      <c r="C546">
        <v>39.31</v>
      </c>
      <c r="D546" t="s">
        <v>608</v>
      </c>
      <c r="E546" t="s">
        <v>608</v>
      </c>
      <c r="F546">
        <v>24.89</v>
      </c>
      <c r="G546">
        <v>17.760000000000002</v>
      </c>
      <c r="H546">
        <v>0</v>
      </c>
      <c r="I546">
        <v>0.5</v>
      </c>
      <c r="J546" t="s">
        <v>608</v>
      </c>
      <c r="K546" s="28" t="s">
        <v>52</v>
      </c>
    </row>
    <row r="547" spans="1:11" x14ac:dyDescent="0.2">
      <c r="A547" t="s">
        <v>2151</v>
      </c>
      <c r="B547" t="s">
        <v>1345</v>
      </c>
      <c r="C547">
        <v>58.71</v>
      </c>
      <c r="D547" t="s">
        <v>608</v>
      </c>
      <c r="E547" t="s">
        <v>608</v>
      </c>
      <c r="F547">
        <v>49.44</v>
      </c>
      <c r="G547">
        <v>38.369999999999997</v>
      </c>
      <c r="H547">
        <v>3</v>
      </c>
      <c r="I547">
        <v>2</v>
      </c>
      <c r="J547" t="s">
        <v>608</v>
      </c>
      <c r="K547" s="28" t="s">
        <v>52</v>
      </c>
    </row>
    <row r="548" spans="1:11" x14ac:dyDescent="0.2">
      <c r="A548" t="s">
        <v>2152</v>
      </c>
      <c r="B548" t="s">
        <v>1345</v>
      </c>
      <c r="C548">
        <v>42.13</v>
      </c>
      <c r="D548" t="s">
        <v>608</v>
      </c>
      <c r="E548" t="s">
        <v>608</v>
      </c>
      <c r="F548">
        <v>25.71</v>
      </c>
      <c r="G548">
        <v>18.82</v>
      </c>
      <c r="H548">
        <v>0</v>
      </c>
      <c r="I548">
        <v>0.5</v>
      </c>
      <c r="J548" t="s">
        <v>608</v>
      </c>
      <c r="K548" s="28" t="s">
        <v>52</v>
      </c>
    </row>
    <row r="549" spans="1:11" x14ac:dyDescent="0.2">
      <c r="A549" t="s">
        <v>2153</v>
      </c>
      <c r="B549" t="s">
        <v>1345</v>
      </c>
      <c r="C549">
        <v>54.81</v>
      </c>
      <c r="D549" t="s">
        <v>608</v>
      </c>
      <c r="E549" t="s">
        <v>608</v>
      </c>
      <c r="F549">
        <v>40.090000000000003</v>
      </c>
      <c r="G549">
        <v>30.35</v>
      </c>
      <c r="H549">
        <v>0</v>
      </c>
      <c r="I549">
        <v>0.5</v>
      </c>
      <c r="J549" t="s">
        <v>608</v>
      </c>
      <c r="K549" s="28" t="s">
        <v>52</v>
      </c>
    </row>
    <row r="550" spans="1:11" x14ac:dyDescent="0.2">
      <c r="A550" t="s">
        <v>2154</v>
      </c>
      <c r="B550" t="s">
        <v>1345</v>
      </c>
      <c r="C550">
        <v>71.16</v>
      </c>
      <c r="D550" t="s">
        <v>608</v>
      </c>
      <c r="E550" t="s">
        <v>608</v>
      </c>
      <c r="F550">
        <v>65.7</v>
      </c>
      <c r="G550">
        <v>45.23</v>
      </c>
      <c r="H550">
        <v>0</v>
      </c>
      <c r="I550">
        <v>0</v>
      </c>
      <c r="J550" t="s">
        <v>608</v>
      </c>
      <c r="K550" s="28" t="s">
        <v>52</v>
      </c>
    </row>
    <row r="551" spans="1:11" x14ac:dyDescent="0.2">
      <c r="A551" t="s">
        <v>2155</v>
      </c>
      <c r="B551" t="s">
        <v>1345</v>
      </c>
      <c r="C551">
        <v>58.01</v>
      </c>
      <c r="D551" t="s">
        <v>608</v>
      </c>
      <c r="E551" t="s">
        <v>608</v>
      </c>
      <c r="F551">
        <v>38.93</v>
      </c>
      <c r="G551">
        <v>27.95</v>
      </c>
      <c r="H551">
        <v>0</v>
      </c>
      <c r="I551">
        <v>0.5</v>
      </c>
      <c r="J551" t="s">
        <v>608</v>
      </c>
      <c r="K551" s="28" t="s">
        <v>52</v>
      </c>
    </row>
    <row r="552" spans="1:11" x14ac:dyDescent="0.2">
      <c r="A552" t="s">
        <v>2156</v>
      </c>
      <c r="B552" t="s">
        <v>1347</v>
      </c>
      <c r="C552">
        <v>63.9</v>
      </c>
      <c r="D552" t="s">
        <v>608</v>
      </c>
      <c r="E552" t="s">
        <v>608</v>
      </c>
      <c r="F552">
        <v>27.33</v>
      </c>
      <c r="G552">
        <v>19.64</v>
      </c>
      <c r="H552">
        <v>0</v>
      </c>
      <c r="I552">
        <v>0.5</v>
      </c>
      <c r="J552" t="s">
        <v>608</v>
      </c>
      <c r="K552" s="28" t="s">
        <v>52</v>
      </c>
    </row>
    <row r="553" spans="1:11" x14ac:dyDescent="0.2">
      <c r="A553" t="s">
        <v>2157</v>
      </c>
      <c r="B553" t="s">
        <v>1347</v>
      </c>
      <c r="C553">
        <v>48.11</v>
      </c>
      <c r="D553" t="s">
        <v>608</v>
      </c>
      <c r="E553" t="s">
        <v>608</v>
      </c>
      <c r="F553">
        <v>18.34</v>
      </c>
      <c r="G553">
        <v>14.54</v>
      </c>
      <c r="H553">
        <v>0</v>
      </c>
      <c r="I553">
        <v>0</v>
      </c>
      <c r="J553" t="s">
        <v>608</v>
      </c>
      <c r="K553" s="28" t="s">
        <v>52</v>
      </c>
    </row>
    <row r="554" spans="1:11" x14ac:dyDescent="0.2">
      <c r="A554" t="s">
        <v>2158</v>
      </c>
      <c r="B554" t="s">
        <v>1347</v>
      </c>
      <c r="C554">
        <v>44.82</v>
      </c>
      <c r="D554" t="s">
        <v>608</v>
      </c>
      <c r="E554" t="s">
        <v>608</v>
      </c>
      <c r="F554">
        <v>22.81</v>
      </c>
      <c r="G554">
        <v>15.85</v>
      </c>
      <c r="H554">
        <v>0</v>
      </c>
      <c r="I554">
        <v>0</v>
      </c>
      <c r="J554" t="s">
        <v>608</v>
      </c>
      <c r="K554" s="28" t="s">
        <v>52</v>
      </c>
    </row>
    <row r="555" spans="1:11" x14ac:dyDescent="0.2">
      <c r="A555" t="s">
        <v>2159</v>
      </c>
      <c r="B555" t="s">
        <v>1347</v>
      </c>
      <c r="C555">
        <v>46.34</v>
      </c>
      <c r="D555" t="s">
        <v>608</v>
      </c>
      <c r="E555" t="s">
        <v>608</v>
      </c>
      <c r="F555">
        <v>19.239999999999998</v>
      </c>
      <c r="G555">
        <v>14.8</v>
      </c>
      <c r="H555">
        <v>0</v>
      </c>
      <c r="I555">
        <v>0.5</v>
      </c>
      <c r="J555" t="s">
        <v>608</v>
      </c>
      <c r="K555" s="28" t="s">
        <v>52</v>
      </c>
    </row>
    <row r="556" spans="1:11" x14ac:dyDescent="0.2">
      <c r="A556" t="s">
        <v>2160</v>
      </c>
      <c r="B556" t="s">
        <v>1347</v>
      </c>
      <c r="C556">
        <v>54.44</v>
      </c>
      <c r="D556" t="s">
        <v>608</v>
      </c>
      <c r="E556" t="s">
        <v>608</v>
      </c>
      <c r="F556">
        <v>42.88</v>
      </c>
      <c r="G556">
        <v>30.97</v>
      </c>
      <c r="H556">
        <v>0</v>
      </c>
      <c r="I556">
        <v>0</v>
      </c>
      <c r="J556" t="s">
        <v>608</v>
      </c>
      <c r="K556" s="28" t="s">
        <v>52</v>
      </c>
    </row>
    <row r="557" spans="1:11" x14ac:dyDescent="0.2">
      <c r="A557" t="s">
        <v>2161</v>
      </c>
      <c r="B557" t="s">
        <v>1355</v>
      </c>
      <c r="C557">
        <v>59.08</v>
      </c>
      <c r="D557" t="s">
        <v>608</v>
      </c>
      <c r="E557" t="s">
        <v>608</v>
      </c>
      <c r="F557">
        <v>41.08</v>
      </c>
      <c r="G557">
        <v>30.97</v>
      </c>
      <c r="H557">
        <v>0.5</v>
      </c>
      <c r="I557">
        <v>0</v>
      </c>
      <c r="J557" t="s">
        <v>608</v>
      </c>
      <c r="K557" s="28" t="s">
        <v>52</v>
      </c>
    </row>
    <row r="558" spans="1:11" x14ac:dyDescent="0.2">
      <c r="A558" t="s">
        <v>2162</v>
      </c>
      <c r="B558" t="s">
        <v>1355</v>
      </c>
      <c r="C558">
        <v>54.68</v>
      </c>
      <c r="D558" t="s">
        <v>608</v>
      </c>
      <c r="E558" t="s">
        <v>608</v>
      </c>
      <c r="F558">
        <v>40.159999999999997</v>
      </c>
      <c r="G558">
        <v>27.02</v>
      </c>
      <c r="H558">
        <v>0</v>
      </c>
      <c r="I558">
        <v>0</v>
      </c>
      <c r="J558" t="s">
        <v>608</v>
      </c>
      <c r="K558" s="28" t="s">
        <v>52</v>
      </c>
    </row>
    <row r="559" spans="1:11" x14ac:dyDescent="0.2">
      <c r="A559" t="s">
        <v>2163</v>
      </c>
      <c r="B559" t="s">
        <v>1355</v>
      </c>
      <c r="C559">
        <v>43.67</v>
      </c>
      <c r="D559" t="s">
        <v>608</v>
      </c>
      <c r="E559" t="s">
        <v>608</v>
      </c>
      <c r="F559">
        <v>15.68</v>
      </c>
      <c r="G559">
        <v>11.13</v>
      </c>
      <c r="H559">
        <v>1</v>
      </c>
      <c r="I559">
        <v>2</v>
      </c>
      <c r="J559" t="s">
        <v>608</v>
      </c>
      <c r="K559" s="28" t="s">
        <v>52</v>
      </c>
    </row>
    <row r="560" spans="1:11" x14ac:dyDescent="0.2">
      <c r="A560" t="s">
        <v>2164</v>
      </c>
      <c r="B560" t="s">
        <v>1355</v>
      </c>
      <c r="C560">
        <v>44.6</v>
      </c>
      <c r="D560" t="s">
        <v>608</v>
      </c>
      <c r="E560" t="s">
        <v>608</v>
      </c>
      <c r="F560">
        <v>20.71</v>
      </c>
      <c r="G560">
        <v>14.08</v>
      </c>
      <c r="H560">
        <v>0.5</v>
      </c>
      <c r="I560">
        <v>0</v>
      </c>
      <c r="J560" t="s">
        <v>608</v>
      </c>
      <c r="K560" s="28" t="s">
        <v>52</v>
      </c>
    </row>
    <row r="561" spans="1:11" x14ac:dyDescent="0.2">
      <c r="A561" t="s">
        <v>2165</v>
      </c>
      <c r="B561" t="s">
        <v>1355</v>
      </c>
      <c r="C561">
        <v>41.35</v>
      </c>
      <c r="D561" t="s">
        <v>608</v>
      </c>
      <c r="E561" t="s">
        <v>608</v>
      </c>
      <c r="F561">
        <v>22.3</v>
      </c>
      <c r="G561">
        <v>16.11</v>
      </c>
      <c r="H561">
        <v>0</v>
      </c>
      <c r="I561">
        <v>0</v>
      </c>
      <c r="J561" t="s">
        <v>608</v>
      </c>
      <c r="K561" s="28" t="s">
        <v>52</v>
      </c>
    </row>
    <row r="562" spans="1:11" x14ac:dyDescent="0.2">
      <c r="A562" t="s">
        <v>2166</v>
      </c>
      <c r="B562" t="s">
        <v>1357</v>
      </c>
      <c r="C562">
        <v>51.5</v>
      </c>
      <c r="D562" t="s">
        <v>608</v>
      </c>
      <c r="E562" t="s">
        <v>608</v>
      </c>
      <c r="F562">
        <v>24.05</v>
      </c>
      <c r="G562">
        <v>16.82</v>
      </c>
      <c r="H562">
        <v>1</v>
      </c>
      <c r="I562">
        <v>2</v>
      </c>
      <c r="J562" t="s">
        <v>608</v>
      </c>
      <c r="K562" s="28" t="s">
        <v>52</v>
      </c>
    </row>
    <row r="563" spans="1:11" x14ac:dyDescent="0.2">
      <c r="A563" t="s">
        <v>2167</v>
      </c>
      <c r="B563" t="s">
        <v>1357</v>
      </c>
      <c r="C563">
        <v>44.64</v>
      </c>
      <c r="D563" t="s">
        <v>608</v>
      </c>
      <c r="E563" t="s">
        <v>608</v>
      </c>
      <c r="F563">
        <v>30.18</v>
      </c>
      <c r="G563">
        <v>22.8</v>
      </c>
      <c r="H563">
        <v>3</v>
      </c>
      <c r="I563">
        <v>4</v>
      </c>
      <c r="J563" t="s">
        <v>608</v>
      </c>
      <c r="K563" s="28" t="s">
        <v>52</v>
      </c>
    </row>
    <row r="564" spans="1:11" x14ac:dyDescent="0.2">
      <c r="A564" t="s">
        <v>2168</v>
      </c>
      <c r="B564" t="s">
        <v>1357</v>
      </c>
      <c r="C564">
        <v>55.2</v>
      </c>
      <c r="D564" t="s">
        <v>608</v>
      </c>
      <c r="E564" t="s">
        <v>608</v>
      </c>
      <c r="F564">
        <v>35.54</v>
      </c>
      <c r="G564">
        <v>23.19</v>
      </c>
      <c r="H564">
        <v>1</v>
      </c>
      <c r="I564">
        <v>1</v>
      </c>
      <c r="J564" t="s">
        <v>608</v>
      </c>
      <c r="K564" s="28" t="s">
        <v>52</v>
      </c>
    </row>
    <row r="565" spans="1:11" x14ac:dyDescent="0.2">
      <c r="A565" t="s">
        <v>2169</v>
      </c>
      <c r="B565" t="s">
        <v>1357</v>
      </c>
      <c r="C565">
        <v>33.58</v>
      </c>
      <c r="D565" t="s">
        <v>608</v>
      </c>
      <c r="E565" t="s">
        <v>608</v>
      </c>
      <c r="F565">
        <v>16.510000000000002</v>
      </c>
      <c r="G565">
        <v>11.82</v>
      </c>
      <c r="H565">
        <v>0.5</v>
      </c>
      <c r="I565">
        <v>0.5</v>
      </c>
      <c r="J565" t="s">
        <v>608</v>
      </c>
      <c r="K565" s="28" t="s">
        <v>52</v>
      </c>
    </row>
    <row r="566" spans="1:11" x14ac:dyDescent="0.2">
      <c r="A566" t="s">
        <v>2170</v>
      </c>
      <c r="B566" t="s">
        <v>1357</v>
      </c>
      <c r="C566">
        <v>64.72</v>
      </c>
      <c r="D566" t="s">
        <v>608</v>
      </c>
      <c r="E566" t="s">
        <v>608</v>
      </c>
      <c r="F566">
        <v>45.41</v>
      </c>
      <c r="G566">
        <v>33.020000000000003</v>
      </c>
      <c r="H566">
        <v>0</v>
      </c>
      <c r="I566">
        <v>0</v>
      </c>
      <c r="J566" t="s">
        <v>608</v>
      </c>
      <c r="K566" s="28" t="s">
        <v>52</v>
      </c>
    </row>
    <row r="567" spans="1:11" x14ac:dyDescent="0.2">
      <c r="A567" t="s">
        <v>2171</v>
      </c>
      <c r="B567" t="s">
        <v>1359</v>
      </c>
      <c r="C567">
        <v>65.72</v>
      </c>
      <c r="D567" t="s">
        <v>608</v>
      </c>
      <c r="E567" t="s">
        <v>608</v>
      </c>
      <c r="F567">
        <v>42.84</v>
      </c>
      <c r="G567">
        <v>29.35</v>
      </c>
      <c r="H567">
        <v>0</v>
      </c>
      <c r="I567">
        <v>0</v>
      </c>
      <c r="J567" t="s">
        <v>608</v>
      </c>
      <c r="K567" s="28" t="s">
        <v>52</v>
      </c>
    </row>
    <row r="568" spans="1:11" x14ac:dyDescent="0.2">
      <c r="A568" t="s">
        <v>2172</v>
      </c>
      <c r="B568" t="s">
        <v>1359</v>
      </c>
      <c r="C568">
        <v>41.54</v>
      </c>
      <c r="D568" t="s">
        <v>608</v>
      </c>
      <c r="E568" t="s">
        <v>608</v>
      </c>
      <c r="F568">
        <v>17.05</v>
      </c>
      <c r="G568">
        <v>13.04</v>
      </c>
      <c r="H568">
        <v>0.5</v>
      </c>
      <c r="I568">
        <v>0</v>
      </c>
      <c r="J568" t="s">
        <v>608</v>
      </c>
      <c r="K568" s="28" t="s">
        <v>52</v>
      </c>
    </row>
    <row r="569" spans="1:11" x14ac:dyDescent="0.2">
      <c r="A569" t="s">
        <v>2173</v>
      </c>
      <c r="B569" t="s">
        <v>1359</v>
      </c>
      <c r="C569">
        <v>49.46</v>
      </c>
      <c r="D569" t="s">
        <v>608</v>
      </c>
      <c r="E569" t="s">
        <v>608</v>
      </c>
      <c r="F569">
        <v>24.96</v>
      </c>
      <c r="G569">
        <v>18.260000000000002</v>
      </c>
      <c r="H569">
        <v>1</v>
      </c>
      <c r="I569">
        <v>1</v>
      </c>
      <c r="J569" t="s">
        <v>608</v>
      </c>
      <c r="K569" s="28" t="s">
        <v>52</v>
      </c>
    </row>
    <row r="570" spans="1:11" x14ac:dyDescent="0.2">
      <c r="A570" t="s">
        <v>2174</v>
      </c>
      <c r="B570" t="s">
        <v>1359</v>
      </c>
      <c r="C570">
        <v>35.78</v>
      </c>
      <c r="D570" t="s">
        <v>608</v>
      </c>
      <c r="E570" t="s">
        <v>608</v>
      </c>
      <c r="F570">
        <v>14.15</v>
      </c>
      <c r="G570">
        <v>9.2100000000000009</v>
      </c>
      <c r="H570">
        <v>0</v>
      </c>
      <c r="I570">
        <v>0</v>
      </c>
      <c r="J570" t="s">
        <v>608</v>
      </c>
      <c r="K570" s="28" t="s">
        <v>52</v>
      </c>
    </row>
    <row r="571" spans="1:11" x14ac:dyDescent="0.2">
      <c r="A571" t="s">
        <v>2175</v>
      </c>
      <c r="B571" t="s">
        <v>1359</v>
      </c>
      <c r="C571">
        <v>43.81</v>
      </c>
      <c r="D571" t="s">
        <v>608</v>
      </c>
      <c r="E571" t="s">
        <v>608</v>
      </c>
      <c r="F571">
        <v>20.78</v>
      </c>
      <c r="G571">
        <v>15.24</v>
      </c>
      <c r="H571">
        <v>0</v>
      </c>
      <c r="I571">
        <v>0.5</v>
      </c>
      <c r="J571" t="s">
        <v>608</v>
      </c>
      <c r="K571" s="28" t="s">
        <v>52</v>
      </c>
    </row>
    <row r="572" spans="1:11" x14ac:dyDescent="0.2">
      <c r="A572" t="s">
        <v>2176</v>
      </c>
      <c r="B572" t="s">
        <v>1367</v>
      </c>
      <c r="C572">
        <v>55.99</v>
      </c>
      <c r="D572" t="s">
        <v>608</v>
      </c>
      <c r="E572" t="s">
        <v>608</v>
      </c>
      <c r="F572">
        <v>41.3</v>
      </c>
      <c r="G572">
        <v>32.409999999999997</v>
      </c>
      <c r="H572">
        <v>0</v>
      </c>
      <c r="I572">
        <v>0</v>
      </c>
      <c r="J572" t="s">
        <v>608</v>
      </c>
      <c r="K572" s="28" t="s">
        <v>52</v>
      </c>
    </row>
    <row r="573" spans="1:11" x14ac:dyDescent="0.2">
      <c r="A573" t="s">
        <v>2177</v>
      </c>
      <c r="B573" t="s">
        <v>1367</v>
      </c>
      <c r="C573">
        <v>67.72</v>
      </c>
      <c r="D573" t="s">
        <v>608</v>
      </c>
      <c r="E573" t="s">
        <v>608</v>
      </c>
      <c r="F573">
        <v>61.73</v>
      </c>
      <c r="G573">
        <v>43.75</v>
      </c>
      <c r="H573">
        <v>0.5</v>
      </c>
      <c r="I573">
        <v>1</v>
      </c>
      <c r="J573" t="s">
        <v>608</v>
      </c>
      <c r="K573" s="28" t="s">
        <v>52</v>
      </c>
    </row>
    <row r="574" spans="1:11" x14ac:dyDescent="0.2">
      <c r="A574" t="s">
        <v>2178</v>
      </c>
      <c r="B574" t="s">
        <v>1367</v>
      </c>
      <c r="C574">
        <v>64.319999999999993</v>
      </c>
      <c r="D574" t="s">
        <v>608</v>
      </c>
      <c r="E574" t="s">
        <v>608</v>
      </c>
      <c r="F574">
        <v>32.1</v>
      </c>
      <c r="G574">
        <v>23.28</v>
      </c>
      <c r="H574">
        <v>1</v>
      </c>
      <c r="I574">
        <v>0.5</v>
      </c>
      <c r="J574" t="s">
        <v>608</v>
      </c>
      <c r="K574" s="28" t="s">
        <v>52</v>
      </c>
    </row>
    <row r="575" spans="1:11" x14ac:dyDescent="0.2">
      <c r="A575" t="s">
        <v>2179</v>
      </c>
      <c r="B575" t="s">
        <v>1367</v>
      </c>
      <c r="C575">
        <v>54.4</v>
      </c>
      <c r="D575" t="s">
        <v>608</v>
      </c>
      <c r="E575" t="s">
        <v>608</v>
      </c>
      <c r="F575">
        <v>32.25</v>
      </c>
      <c r="G575">
        <v>22.87</v>
      </c>
      <c r="H575">
        <v>0.5</v>
      </c>
      <c r="I575">
        <v>0</v>
      </c>
      <c r="J575" t="s">
        <v>608</v>
      </c>
      <c r="K575" s="28" t="s">
        <v>52</v>
      </c>
    </row>
    <row r="576" spans="1:11" x14ac:dyDescent="0.2">
      <c r="A576" t="s">
        <v>2180</v>
      </c>
      <c r="B576" t="s">
        <v>1367</v>
      </c>
      <c r="C576">
        <v>51.19</v>
      </c>
      <c r="D576" t="s">
        <v>608</v>
      </c>
      <c r="E576" t="s">
        <v>608</v>
      </c>
      <c r="F576">
        <v>19.8</v>
      </c>
      <c r="G576">
        <v>14.98</v>
      </c>
      <c r="H576">
        <v>0</v>
      </c>
      <c r="I576">
        <v>0</v>
      </c>
      <c r="J576" t="s">
        <v>608</v>
      </c>
      <c r="K576" s="28" t="s">
        <v>52</v>
      </c>
    </row>
    <row r="577" spans="1:11" x14ac:dyDescent="0.2">
      <c r="A577" t="s">
        <v>2181</v>
      </c>
      <c r="B577" t="s">
        <v>1369</v>
      </c>
      <c r="C577">
        <v>83.79</v>
      </c>
      <c r="D577" t="s">
        <v>608</v>
      </c>
      <c r="E577" t="s">
        <v>608</v>
      </c>
      <c r="F577">
        <v>79.680000000000007</v>
      </c>
      <c r="G577">
        <v>59.65</v>
      </c>
      <c r="H577">
        <v>0</v>
      </c>
      <c r="I577">
        <v>0</v>
      </c>
      <c r="J577" t="s">
        <v>608</v>
      </c>
      <c r="K577" s="28" t="s">
        <v>52</v>
      </c>
    </row>
    <row r="578" spans="1:11" x14ac:dyDescent="0.2">
      <c r="A578" t="s">
        <v>2182</v>
      </c>
      <c r="B578" t="s">
        <v>1369</v>
      </c>
      <c r="C578">
        <v>67.37</v>
      </c>
      <c r="D578" t="s">
        <v>608</v>
      </c>
      <c r="E578" t="s">
        <v>608</v>
      </c>
      <c r="F578">
        <v>33.200000000000003</v>
      </c>
      <c r="G578">
        <v>25.03</v>
      </c>
      <c r="H578">
        <v>0</v>
      </c>
      <c r="I578">
        <v>0.5</v>
      </c>
      <c r="J578" t="s">
        <v>608</v>
      </c>
      <c r="K578" s="28" t="s">
        <v>52</v>
      </c>
    </row>
    <row r="579" spans="1:11" x14ac:dyDescent="0.2">
      <c r="A579" t="s">
        <v>2183</v>
      </c>
      <c r="B579" t="s">
        <v>1369</v>
      </c>
      <c r="C579">
        <v>63.18</v>
      </c>
      <c r="D579" t="s">
        <v>608</v>
      </c>
      <c r="E579" t="s">
        <v>608</v>
      </c>
      <c r="F579">
        <v>38.9</v>
      </c>
      <c r="G579">
        <v>29.25</v>
      </c>
      <c r="H579">
        <v>0</v>
      </c>
      <c r="I579">
        <v>0</v>
      </c>
      <c r="J579" t="s">
        <v>608</v>
      </c>
      <c r="K579" s="28" t="s">
        <v>52</v>
      </c>
    </row>
    <row r="580" spans="1:11" x14ac:dyDescent="0.2">
      <c r="A580" t="s">
        <v>2184</v>
      </c>
      <c r="B580" t="s">
        <v>1369</v>
      </c>
      <c r="C580">
        <v>67.13</v>
      </c>
      <c r="D580" t="s">
        <v>608</v>
      </c>
      <c r="E580" t="s">
        <v>608</v>
      </c>
      <c r="F580">
        <v>57.39</v>
      </c>
      <c r="G580">
        <v>44</v>
      </c>
      <c r="H580">
        <v>0</v>
      </c>
      <c r="I580">
        <v>0</v>
      </c>
      <c r="J580" t="s">
        <v>608</v>
      </c>
      <c r="K580" s="28" t="s">
        <v>52</v>
      </c>
    </row>
    <row r="581" spans="1:11" x14ac:dyDescent="0.2">
      <c r="A581" t="s">
        <v>2185</v>
      </c>
      <c r="B581" t="s">
        <v>1369</v>
      </c>
      <c r="C581">
        <v>60.64</v>
      </c>
      <c r="D581" t="s">
        <v>608</v>
      </c>
      <c r="E581" t="s">
        <v>608</v>
      </c>
      <c r="F581">
        <v>34.619999999999997</v>
      </c>
      <c r="G581">
        <v>33.06</v>
      </c>
      <c r="H581">
        <v>0.5</v>
      </c>
      <c r="I581">
        <v>0</v>
      </c>
      <c r="J581" t="s">
        <v>608</v>
      </c>
      <c r="K581" s="28" t="s">
        <v>52</v>
      </c>
    </row>
    <row r="582" spans="1:11" x14ac:dyDescent="0.2">
      <c r="A582" t="s">
        <v>2186</v>
      </c>
      <c r="B582" t="s">
        <v>1371</v>
      </c>
      <c r="C582">
        <v>76.739999999999995</v>
      </c>
      <c r="D582" t="s">
        <v>608</v>
      </c>
      <c r="E582" t="s">
        <v>608</v>
      </c>
      <c r="F582">
        <v>45.42</v>
      </c>
      <c r="G582">
        <v>24.18</v>
      </c>
      <c r="H582">
        <v>0</v>
      </c>
      <c r="I582">
        <v>0</v>
      </c>
      <c r="J582" t="s">
        <v>608</v>
      </c>
      <c r="K582" s="28" t="s">
        <v>52</v>
      </c>
    </row>
    <row r="583" spans="1:11" x14ac:dyDescent="0.2">
      <c r="A583" t="s">
        <v>2187</v>
      </c>
      <c r="B583" t="s">
        <v>1371</v>
      </c>
      <c r="C583">
        <v>64.11</v>
      </c>
      <c r="D583" t="s">
        <v>608</v>
      </c>
      <c r="E583" t="s">
        <v>608</v>
      </c>
      <c r="F583">
        <v>25.73</v>
      </c>
      <c r="G583">
        <v>17.350000000000001</v>
      </c>
      <c r="H583">
        <v>0</v>
      </c>
      <c r="I583">
        <v>0.5</v>
      </c>
      <c r="J583" t="s">
        <v>608</v>
      </c>
      <c r="K583" s="28" t="s">
        <v>52</v>
      </c>
    </row>
    <row r="584" spans="1:11" x14ac:dyDescent="0.2">
      <c r="A584" t="s">
        <v>2188</v>
      </c>
      <c r="B584" t="s">
        <v>1371</v>
      </c>
      <c r="C584">
        <v>67.819999999999993</v>
      </c>
      <c r="D584" t="s">
        <v>608</v>
      </c>
      <c r="E584" t="s">
        <v>608</v>
      </c>
      <c r="F584">
        <v>26.33</v>
      </c>
      <c r="G584">
        <v>20.170000000000002</v>
      </c>
      <c r="H584">
        <v>0</v>
      </c>
      <c r="I584">
        <v>0</v>
      </c>
      <c r="J584" t="s">
        <v>608</v>
      </c>
      <c r="K584" s="28" t="s">
        <v>52</v>
      </c>
    </row>
    <row r="585" spans="1:11" x14ac:dyDescent="0.2">
      <c r="A585" t="s">
        <v>2189</v>
      </c>
      <c r="B585" t="s">
        <v>1371</v>
      </c>
      <c r="C585">
        <v>57.14</v>
      </c>
      <c r="D585" t="s">
        <v>608</v>
      </c>
      <c r="E585" t="s">
        <v>608</v>
      </c>
      <c r="F585">
        <v>19.7</v>
      </c>
      <c r="G585">
        <v>14.16</v>
      </c>
      <c r="H585">
        <v>0.5</v>
      </c>
      <c r="I585">
        <v>0</v>
      </c>
      <c r="J585" t="s">
        <v>608</v>
      </c>
      <c r="K585" s="28" t="s">
        <v>52</v>
      </c>
    </row>
    <row r="586" spans="1:11" x14ac:dyDescent="0.2">
      <c r="A586" t="s">
        <v>2190</v>
      </c>
      <c r="B586" t="s">
        <v>1371</v>
      </c>
      <c r="C586">
        <v>71.540000000000006</v>
      </c>
      <c r="D586" t="s">
        <v>608</v>
      </c>
      <c r="E586" t="s">
        <v>608</v>
      </c>
      <c r="F586">
        <v>19.39</v>
      </c>
      <c r="G586">
        <v>14</v>
      </c>
      <c r="H586">
        <v>0</v>
      </c>
      <c r="I586">
        <v>0</v>
      </c>
      <c r="J586" t="s">
        <v>608</v>
      </c>
      <c r="K586" s="28" t="s">
        <v>52</v>
      </c>
    </row>
    <row r="587" spans="1:11" x14ac:dyDescent="0.2">
      <c r="A587" t="s">
        <v>2191</v>
      </c>
      <c r="B587" t="s">
        <v>1379</v>
      </c>
      <c r="C587">
        <v>46.24</v>
      </c>
      <c r="D587" t="s">
        <v>608</v>
      </c>
      <c r="E587" t="s">
        <v>608</v>
      </c>
      <c r="F587">
        <v>25.28</v>
      </c>
      <c r="G587">
        <v>18.73</v>
      </c>
      <c r="H587">
        <v>0</v>
      </c>
      <c r="I587">
        <v>0</v>
      </c>
      <c r="J587" t="s">
        <v>608</v>
      </c>
      <c r="K587" s="28" t="s">
        <v>52</v>
      </c>
    </row>
    <row r="588" spans="1:11" x14ac:dyDescent="0.2">
      <c r="A588" t="s">
        <v>2192</v>
      </c>
      <c r="B588" t="s">
        <v>1379</v>
      </c>
      <c r="C588">
        <v>56.33</v>
      </c>
      <c r="D588" t="s">
        <v>608</v>
      </c>
      <c r="E588" t="s">
        <v>608</v>
      </c>
      <c r="F588">
        <v>37.08</v>
      </c>
      <c r="G588">
        <v>23.69</v>
      </c>
      <c r="H588">
        <v>0</v>
      </c>
      <c r="I588">
        <v>0</v>
      </c>
      <c r="J588" t="s">
        <v>608</v>
      </c>
      <c r="K588" s="28" t="s">
        <v>52</v>
      </c>
    </row>
    <row r="589" spans="1:11" x14ac:dyDescent="0.2">
      <c r="A589" t="s">
        <v>2193</v>
      </c>
      <c r="B589" t="s">
        <v>1379</v>
      </c>
      <c r="C589">
        <v>61.99</v>
      </c>
      <c r="D589" t="s">
        <v>608</v>
      </c>
      <c r="E589" t="s">
        <v>608</v>
      </c>
      <c r="F589">
        <v>37.17</v>
      </c>
      <c r="G589">
        <v>27.7</v>
      </c>
      <c r="H589">
        <v>0.5</v>
      </c>
      <c r="I589">
        <v>0.5</v>
      </c>
      <c r="J589" t="s">
        <v>608</v>
      </c>
      <c r="K589" s="28" t="s">
        <v>52</v>
      </c>
    </row>
    <row r="590" spans="1:11" x14ac:dyDescent="0.2">
      <c r="A590" t="s">
        <v>2194</v>
      </c>
      <c r="B590" t="s">
        <v>1379</v>
      </c>
      <c r="C590">
        <v>49.16</v>
      </c>
      <c r="D590" t="s">
        <v>608</v>
      </c>
      <c r="E590" t="s">
        <v>608</v>
      </c>
      <c r="F590">
        <v>21.76</v>
      </c>
      <c r="G590">
        <v>15.43</v>
      </c>
      <c r="H590">
        <v>0</v>
      </c>
      <c r="I590">
        <v>0</v>
      </c>
      <c r="J590" t="s">
        <v>3083</v>
      </c>
      <c r="K590" s="28" t="s">
        <v>52</v>
      </c>
    </row>
    <row r="591" spans="1:11" x14ac:dyDescent="0.2">
      <c r="A591" t="s">
        <v>2195</v>
      </c>
      <c r="B591" t="s">
        <v>1379</v>
      </c>
      <c r="C591">
        <v>44.73</v>
      </c>
      <c r="D591" t="s">
        <v>608</v>
      </c>
      <c r="E591" t="s">
        <v>608</v>
      </c>
      <c r="F591">
        <v>17.649999999999999</v>
      </c>
      <c r="G591">
        <v>13</v>
      </c>
      <c r="H591">
        <v>0.5</v>
      </c>
      <c r="I591">
        <v>1</v>
      </c>
      <c r="J591" t="s">
        <v>608</v>
      </c>
      <c r="K591" s="28" t="s">
        <v>52</v>
      </c>
    </row>
    <row r="592" spans="1:11" x14ac:dyDescent="0.2">
      <c r="A592" t="s">
        <v>2196</v>
      </c>
      <c r="B592" t="s">
        <v>1381</v>
      </c>
      <c r="C592">
        <v>63.74</v>
      </c>
      <c r="D592" t="s">
        <v>608</v>
      </c>
      <c r="E592" t="s">
        <v>608</v>
      </c>
      <c r="F592">
        <v>50.44</v>
      </c>
      <c r="G592">
        <v>35.68</v>
      </c>
      <c r="H592">
        <v>1</v>
      </c>
      <c r="I592">
        <v>1</v>
      </c>
      <c r="J592" t="s">
        <v>608</v>
      </c>
      <c r="K592" s="28" t="s">
        <v>52</v>
      </c>
    </row>
    <row r="593" spans="1:11" x14ac:dyDescent="0.2">
      <c r="A593" t="s">
        <v>2197</v>
      </c>
      <c r="B593" t="s">
        <v>1381</v>
      </c>
      <c r="C593">
        <v>45.34</v>
      </c>
      <c r="D593" t="s">
        <v>608</v>
      </c>
      <c r="E593" t="s">
        <v>608</v>
      </c>
      <c r="F593">
        <v>30.84</v>
      </c>
      <c r="G593">
        <v>23.92</v>
      </c>
      <c r="H593">
        <v>0</v>
      </c>
      <c r="I593">
        <v>0</v>
      </c>
      <c r="J593" t="s">
        <v>608</v>
      </c>
      <c r="K593" s="28" t="s">
        <v>52</v>
      </c>
    </row>
    <row r="594" spans="1:11" x14ac:dyDescent="0.2">
      <c r="A594" t="s">
        <v>2198</v>
      </c>
      <c r="B594" t="s">
        <v>1381</v>
      </c>
      <c r="C594">
        <v>49.85</v>
      </c>
      <c r="D594" t="s">
        <v>608</v>
      </c>
      <c r="E594" t="s">
        <v>608</v>
      </c>
      <c r="F594">
        <v>23.44</v>
      </c>
      <c r="G594">
        <v>16.89</v>
      </c>
      <c r="H594">
        <v>0</v>
      </c>
      <c r="I594">
        <v>0</v>
      </c>
      <c r="J594" t="s">
        <v>608</v>
      </c>
      <c r="K594" s="28" t="s">
        <v>52</v>
      </c>
    </row>
    <row r="595" spans="1:11" x14ac:dyDescent="0.2">
      <c r="A595" t="s">
        <v>2199</v>
      </c>
      <c r="B595" t="s">
        <v>1381</v>
      </c>
      <c r="C595">
        <v>52.8</v>
      </c>
      <c r="D595" t="s">
        <v>608</v>
      </c>
      <c r="E595" t="s">
        <v>608</v>
      </c>
      <c r="F595">
        <v>29.79</v>
      </c>
      <c r="G595">
        <v>20.73</v>
      </c>
      <c r="H595">
        <v>0</v>
      </c>
      <c r="I595">
        <v>0</v>
      </c>
      <c r="J595" t="s">
        <v>608</v>
      </c>
      <c r="K595" s="28" t="s">
        <v>52</v>
      </c>
    </row>
    <row r="596" spans="1:11" x14ac:dyDescent="0.2">
      <c r="A596" t="s">
        <v>2200</v>
      </c>
      <c r="B596" t="s">
        <v>1381</v>
      </c>
      <c r="C596">
        <v>46.52</v>
      </c>
      <c r="D596" t="s">
        <v>608</v>
      </c>
      <c r="E596" t="s">
        <v>608</v>
      </c>
      <c r="F596">
        <v>27.54</v>
      </c>
      <c r="G596">
        <v>20.87</v>
      </c>
      <c r="H596">
        <v>0</v>
      </c>
      <c r="I596">
        <v>0</v>
      </c>
      <c r="J596" t="s">
        <v>608</v>
      </c>
      <c r="K596" s="28" t="s">
        <v>52</v>
      </c>
    </row>
    <row r="597" spans="1:11" x14ac:dyDescent="0.2">
      <c r="A597" t="s">
        <v>2201</v>
      </c>
      <c r="B597" t="s">
        <v>1383</v>
      </c>
      <c r="C597">
        <v>50.21</v>
      </c>
      <c r="D597" t="s">
        <v>608</v>
      </c>
      <c r="E597" t="s">
        <v>608</v>
      </c>
      <c r="F597">
        <v>34.619999999999997</v>
      </c>
      <c r="G597">
        <v>25.43</v>
      </c>
      <c r="H597">
        <v>0</v>
      </c>
      <c r="I597">
        <v>0</v>
      </c>
      <c r="J597" t="s">
        <v>608</v>
      </c>
      <c r="K597" s="28" t="s">
        <v>52</v>
      </c>
    </row>
    <row r="598" spans="1:11" x14ac:dyDescent="0.2">
      <c r="A598" t="s">
        <v>2202</v>
      </c>
      <c r="B598" t="s">
        <v>1383</v>
      </c>
      <c r="C598">
        <v>43.73</v>
      </c>
      <c r="D598" t="s">
        <v>608</v>
      </c>
      <c r="E598" t="s">
        <v>608</v>
      </c>
      <c r="F598">
        <v>31.22</v>
      </c>
      <c r="G598">
        <v>23.86</v>
      </c>
      <c r="H598">
        <v>0</v>
      </c>
      <c r="I598">
        <v>0</v>
      </c>
      <c r="J598" t="s">
        <v>608</v>
      </c>
      <c r="K598" s="28" t="s">
        <v>52</v>
      </c>
    </row>
    <row r="599" spans="1:11" x14ac:dyDescent="0.2">
      <c r="A599" t="s">
        <v>2203</v>
      </c>
      <c r="B599" t="s">
        <v>1383</v>
      </c>
      <c r="C599">
        <v>38.42</v>
      </c>
      <c r="D599" t="s">
        <v>608</v>
      </c>
      <c r="E599" t="s">
        <v>608</v>
      </c>
      <c r="F599">
        <v>7.68</v>
      </c>
      <c r="G599">
        <v>6.11</v>
      </c>
      <c r="H599">
        <v>0</v>
      </c>
      <c r="I599">
        <v>0</v>
      </c>
      <c r="J599" t="s">
        <v>608</v>
      </c>
      <c r="K599" s="28" t="s">
        <v>52</v>
      </c>
    </row>
    <row r="600" spans="1:11" x14ac:dyDescent="0.2">
      <c r="A600" t="s">
        <v>2204</v>
      </c>
      <c r="B600" t="s">
        <v>1383</v>
      </c>
      <c r="C600">
        <v>35.31</v>
      </c>
      <c r="D600" t="s">
        <v>608</v>
      </c>
      <c r="E600" t="s">
        <v>608</v>
      </c>
      <c r="F600">
        <v>14.2</v>
      </c>
      <c r="G600">
        <v>11.83</v>
      </c>
      <c r="H600">
        <v>0</v>
      </c>
      <c r="I600">
        <v>0</v>
      </c>
      <c r="J600" t="s">
        <v>608</v>
      </c>
      <c r="K600" s="28" t="s">
        <v>52</v>
      </c>
    </row>
    <row r="601" spans="1:11" x14ac:dyDescent="0.2">
      <c r="A601" t="s">
        <v>2205</v>
      </c>
      <c r="B601" t="s">
        <v>1383</v>
      </c>
      <c r="C601">
        <v>40.119999999999997</v>
      </c>
      <c r="D601" t="s">
        <v>608</v>
      </c>
      <c r="E601" t="s">
        <v>608</v>
      </c>
      <c r="F601">
        <v>16.04</v>
      </c>
      <c r="G601">
        <v>12.29</v>
      </c>
      <c r="H601">
        <v>0</v>
      </c>
      <c r="I601">
        <v>0</v>
      </c>
      <c r="J601" t="s">
        <v>608</v>
      </c>
      <c r="K601" s="28" t="s">
        <v>52</v>
      </c>
    </row>
    <row r="602" spans="1:11" x14ac:dyDescent="0.2">
      <c r="A602" t="s">
        <v>2206</v>
      </c>
      <c r="B602" t="s">
        <v>1391</v>
      </c>
      <c r="C602">
        <v>53.91</v>
      </c>
      <c r="D602" t="s">
        <v>608</v>
      </c>
      <c r="E602" t="s">
        <v>608</v>
      </c>
      <c r="F602">
        <v>36.590000000000003</v>
      </c>
      <c r="G602">
        <v>26.67</v>
      </c>
      <c r="H602">
        <v>0.5</v>
      </c>
      <c r="I602">
        <v>0.5</v>
      </c>
      <c r="J602" t="s">
        <v>608</v>
      </c>
      <c r="K602" s="28" t="s">
        <v>52</v>
      </c>
    </row>
    <row r="603" spans="1:11" x14ac:dyDescent="0.2">
      <c r="A603" t="s">
        <v>2207</v>
      </c>
      <c r="B603" t="s">
        <v>1391</v>
      </c>
      <c r="C603">
        <v>55.25</v>
      </c>
      <c r="D603" t="s">
        <v>608</v>
      </c>
      <c r="E603" t="s">
        <v>608</v>
      </c>
      <c r="F603">
        <v>29.5</v>
      </c>
      <c r="G603">
        <v>20.079999999999998</v>
      </c>
      <c r="H603">
        <v>1</v>
      </c>
      <c r="I603">
        <v>1</v>
      </c>
      <c r="J603" t="s">
        <v>608</v>
      </c>
      <c r="K603" s="28" t="s">
        <v>52</v>
      </c>
    </row>
    <row r="604" spans="1:11" x14ac:dyDescent="0.2">
      <c r="A604" t="s">
        <v>2208</v>
      </c>
      <c r="B604" t="s">
        <v>1391</v>
      </c>
      <c r="C604">
        <v>49.43</v>
      </c>
      <c r="D604" t="s">
        <v>608</v>
      </c>
      <c r="E604" t="s">
        <v>608</v>
      </c>
      <c r="F604">
        <v>24.33</v>
      </c>
      <c r="G604">
        <v>15.48</v>
      </c>
      <c r="H604">
        <v>2</v>
      </c>
      <c r="I604">
        <v>2</v>
      </c>
      <c r="J604" t="s">
        <v>608</v>
      </c>
      <c r="K604" s="28" t="s">
        <v>52</v>
      </c>
    </row>
    <row r="605" spans="1:11" x14ac:dyDescent="0.2">
      <c r="A605" t="s">
        <v>2209</v>
      </c>
      <c r="B605" t="s">
        <v>1391</v>
      </c>
      <c r="C605">
        <v>47.83</v>
      </c>
      <c r="D605" t="s">
        <v>608</v>
      </c>
      <c r="E605" t="s">
        <v>608</v>
      </c>
      <c r="F605">
        <v>19.670000000000002</v>
      </c>
      <c r="G605">
        <v>12.76</v>
      </c>
      <c r="H605">
        <v>0</v>
      </c>
      <c r="I605">
        <v>0</v>
      </c>
      <c r="J605" t="s">
        <v>3084</v>
      </c>
      <c r="K605" s="28" t="s">
        <v>52</v>
      </c>
    </row>
    <row r="606" spans="1:11" x14ac:dyDescent="0.2">
      <c r="A606" t="s">
        <v>2210</v>
      </c>
      <c r="B606" t="s">
        <v>1391</v>
      </c>
      <c r="C606">
        <v>51.43</v>
      </c>
      <c r="D606" t="s">
        <v>608</v>
      </c>
      <c r="E606" t="s">
        <v>608</v>
      </c>
      <c r="F606">
        <v>22.13</v>
      </c>
      <c r="G606">
        <v>14.92</v>
      </c>
      <c r="H606">
        <v>0</v>
      </c>
      <c r="I606">
        <v>0</v>
      </c>
      <c r="J606" t="s">
        <v>608</v>
      </c>
      <c r="K606" s="28" t="s">
        <v>52</v>
      </c>
    </row>
    <row r="607" spans="1:11" x14ac:dyDescent="0.2">
      <c r="A607" t="s">
        <v>2211</v>
      </c>
      <c r="B607" t="s">
        <v>1393</v>
      </c>
      <c r="C607">
        <v>58.83</v>
      </c>
      <c r="D607" t="s">
        <v>608</v>
      </c>
      <c r="E607" t="s">
        <v>608</v>
      </c>
      <c r="F607">
        <v>45.42</v>
      </c>
      <c r="G607">
        <v>33.630000000000003</v>
      </c>
      <c r="H607">
        <v>0</v>
      </c>
      <c r="I607">
        <v>0</v>
      </c>
      <c r="J607" t="s">
        <v>608</v>
      </c>
      <c r="K607" s="28" t="s">
        <v>52</v>
      </c>
    </row>
    <row r="608" spans="1:11" x14ac:dyDescent="0.2">
      <c r="A608" t="s">
        <v>2212</v>
      </c>
      <c r="B608" t="s">
        <v>1393</v>
      </c>
      <c r="C608">
        <v>43.69</v>
      </c>
      <c r="D608" t="s">
        <v>608</v>
      </c>
      <c r="E608" t="s">
        <v>608</v>
      </c>
      <c r="F608">
        <v>22.13</v>
      </c>
      <c r="G608">
        <v>16.34</v>
      </c>
      <c r="H608">
        <v>0</v>
      </c>
      <c r="I608">
        <v>0</v>
      </c>
      <c r="J608" t="s">
        <v>608</v>
      </c>
      <c r="K608" s="28" t="s">
        <v>52</v>
      </c>
    </row>
    <row r="609" spans="1:11" x14ac:dyDescent="0.2">
      <c r="A609" t="s">
        <v>2213</v>
      </c>
      <c r="B609" t="s">
        <v>1393</v>
      </c>
      <c r="C609">
        <v>55.61</v>
      </c>
      <c r="D609" t="s">
        <v>608</v>
      </c>
      <c r="E609" t="s">
        <v>608</v>
      </c>
      <c r="F609">
        <v>43.28</v>
      </c>
      <c r="G609">
        <v>31.62</v>
      </c>
      <c r="H609">
        <v>1</v>
      </c>
      <c r="I609">
        <v>2</v>
      </c>
      <c r="J609" t="s">
        <v>608</v>
      </c>
      <c r="K609" s="28" t="s">
        <v>52</v>
      </c>
    </row>
    <row r="610" spans="1:11" x14ac:dyDescent="0.2">
      <c r="A610" t="s">
        <v>2214</v>
      </c>
      <c r="B610" t="s">
        <v>1393</v>
      </c>
      <c r="C610">
        <v>46.33</v>
      </c>
      <c r="D610" t="s">
        <v>608</v>
      </c>
      <c r="E610" t="s">
        <v>608</v>
      </c>
      <c r="F610">
        <v>16.670000000000002</v>
      </c>
      <c r="G610">
        <v>13.29</v>
      </c>
      <c r="H610">
        <v>0</v>
      </c>
      <c r="I610">
        <v>0</v>
      </c>
      <c r="J610" t="s">
        <v>608</v>
      </c>
      <c r="K610" s="28" t="s">
        <v>52</v>
      </c>
    </row>
    <row r="611" spans="1:11" x14ac:dyDescent="0.2">
      <c r="A611" t="s">
        <v>2215</v>
      </c>
      <c r="B611" t="s">
        <v>1393</v>
      </c>
      <c r="C611">
        <v>62.64</v>
      </c>
      <c r="D611" t="s">
        <v>608</v>
      </c>
      <c r="E611" t="s">
        <v>608</v>
      </c>
      <c r="F611">
        <v>47.15</v>
      </c>
      <c r="G611">
        <v>36.01</v>
      </c>
      <c r="H611">
        <v>0.5</v>
      </c>
      <c r="I611">
        <v>1</v>
      </c>
      <c r="J611" t="s">
        <v>608</v>
      </c>
      <c r="K611" s="28" t="s">
        <v>52</v>
      </c>
    </row>
    <row r="612" spans="1:11" x14ac:dyDescent="0.2">
      <c r="A612" t="s">
        <v>2216</v>
      </c>
      <c r="B612" t="s">
        <v>1395</v>
      </c>
      <c r="C612">
        <v>44.81</v>
      </c>
      <c r="D612" t="s">
        <v>608</v>
      </c>
      <c r="E612" t="s">
        <v>608</v>
      </c>
      <c r="F612">
        <v>13.32</v>
      </c>
      <c r="G612">
        <v>9.2100000000000009</v>
      </c>
      <c r="H612">
        <v>0</v>
      </c>
      <c r="I612">
        <v>0</v>
      </c>
      <c r="J612" t="s">
        <v>608</v>
      </c>
      <c r="K612" s="28" t="s">
        <v>52</v>
      </c>
    </row>
    <row r="613" spans="1:11" x14ac:dyDescent="0.2">
      <c r="A613" t="s">
        <v>2217</v>
      </c>
      <c r="B613" t="s">
        <v>1395</v>
      </c>
      <c r="C613">
        <v>43.08</v>
      </c>
      <c r="D613" t="s">
        <v>608</v>
      </c>
      <c r="E613" t="s">
        <v>608</v>
      </c>
      <c r="F613">
        <v>23.88</v>
      </c>
      <c r="G613">
        <v>16.86</v>
      </c>
      <c r="H613">
        <v>0.5</v>
      </c>
      <c r="I613">
        <v>0</v>
      </c>
      <c r="J613" t="s">
        <v>608</v>
      </c>
      <c r="K613" s="28" t="s">
        <v>52</v>
      </c>
    </row>
    <row r="614" spans="1:11" x14ac:dyDescent="0.2">
      <c r="A614" t="s">
        <v>2218</v>
      </c>
      <c r="B614" t="s">
        <v>1395</v>
      </c>
      <c r="C614">
        <v>40.479999999999997</v>
      </c>
      <c r="D614" t="s">
        <v>608</v>
      </c>
      <c r="E614" t="s">
        <v>608</v>
      </c>
      <c r="F614">
        <v>17.91</v>
      </c>
      <c r="G614">
        <v>12.98</v>
      </c>
      <c r="H614">
        <v>0</v>
      </c>
      <c r="I614">
        <v>0</v>
      </c>
      <c r="J614" t="s">
        <v>608</v>
      </c>
      <c r="K614" s="28" t="s">
        <v>52</v>
      </c>
    </row>
    <row r="615" spans="1:11" x14ac:dyDescent="0.2">
      <c r="A615" t="s">
        <v>2219</v>
      </c>
      <c r="B615" t="s">
        <v>1395</v>
      </c>
      <c r="C615">
        <v>45.1</v>
      </c>
      <c r="D615" t="s">
        <v>608</v>
      </c>
      <c r="E615" t="s">
        <v>608</v>
      </c>
      <c r="F615">
        <v>20.25</v>
      </c>
      <c r="G615">
        <v>14.53</v>
      </c>
      <c r="H615">
        <v>0</v>
      </c>
      <c r="I615">
        <v>0</v>
      </c>
      <c r="J615" t="s">
        <v>608</v>
      </c>
      <c r="K615" s="28" t="s">
        <v>52</v>
      </c>
    </row>
    <row r="616" spans="1:11" x14ac:dyDescent="0.2">
      <c r="A616" t="s">
        <v>2220</v>
      </c>
      <c r="B616" t="s">
        <v>1395</v>
      </c>
      <c r="C616">
        <v>43.72</v>
      </c>
      <c r="D616" t="s">
        <v>608</v>
      </c>
      <c r="E616" t="s">
        <v>608</v>
      </c>
      <c r="F616">
        <v>22.6</v>
      </c>
      <c r="G616">
        <v>17.05</v>
      </c>
      <c r="H616">
        <v>0</v>
      </c>
      <c r="I616">
        <v>0</v>
      </c>
      <c r="J616" t="s">
        <v>608</v>
      </c>
      <c r="K616" s="28" t="s">
        <v>52</v>
      </c>
    </row>
    <row r="617" spans="1:11" x14ac:dyDescent="0.2">
      <c r="A617" t="s">
        <v>2221</v>
      </c>
      <c r="B617" t="s">
        <v>1403</v>
      </c>
      <c r="C617">
        <v>43.48</v>
      </c>
      <c r="D617" t="s">
        <v>608</v>
      </c>
      <c r="E617" t="s">
        <v>608</v>
      </c>
      <c r="F617">
        <v>23.95</v>
      </c>
      <c r="G617">
        <v>19</v>
      </c>
      <c r="H617">
        <v>0</v>
      </c>
      <c r="I617">
        <v>0</v>
      </c>
      <c r="J617" t="s">
        <v>608</v>
      </c>
      <c r="K617" s="28" t="s">
        <v>52</v>
      </c>
    </row>
    <row r="618" spans="1:11" x14ac:dyDescent="0.2">
      <c r="A618" t="s">
        <v>2222</v>
      </c>
      <c r="B618" t="s">
        <v>1403</v>
      </c>
      <c r="C618">
        <v>43.37</v>
      </c>
      <c r="D618" t="s">
        <v>608</v>
      </c>
      <c r="E618" t="s">
        <v>608</v>
      </c>
      <c r="F618">
        <v>22.24</v>
      </c>
      <c r="G618">
        <v>16.600000000000001</v>
      </c>
      <c r="H618">
        <v>0</v>
      </c>
      <c r="I618">
        <v>0</v>
      </c>
      <c r="J618" t="s">
        <v>608</v>
      </c>
      <c r="K618" s="28" t="s">
        <v>52</v>
      </c>
    </row>
    <row r="619" spans="1:11" x14ac:dyDescent="0.2">
      <c r="A619" t="s">
        <v>2223</v>
      </c>
      <c r="B619" t="s">
        <v>1403</v>
      </c>
      <c r="C619">
        <v>46.61</v>
      </c>
      <c r="D619" t="s">
        <v>608</v>
      </c>
      <c r="E619" t="s">
        <v>608</v>
      </c>
      <c r="F619">
        <v>30.02</v>
      </c>
      <c r="G619">
        <v>23.23</v>
      </c>
      <c r="H619">
        <v>0</v>
      </c>
      <c r="I619">
        <v>0</v>
      </c>
      <c r="J619" t="s">
        <v>608</v>
      </c>
      <c r="K619" s="28" t="s">
        <v>52</v>
      </c>
    </row>
    <row r="620" spans="1:11" x14ac:dyDescent="0.2">
      <c r="A620" t="s">
        <v>2224</v>
      </c>
      <c r="B620" t="s">
        <v>1403</v>
      </c>
      <c r="C620">
        <v>41.05</v>
      </c>
      <c r="D620" t="s">
        <v>608</v>
      </c>
      <c r="E620" t="s">
        <v>608</v>
      </c>
      <c r="F620">
        <v>20.37</v>
      </c>
      <c r="G620">
        <v>14.49</v>
      </c>
      <c r="H620">
        <v>0</v>
      </c>
      <c r="I620">
        <v>0</v>
      </c>
      <c r="J620" t="s">
        <v>608</v>
      </c>
      <c r="K620" s="28" t="s">
        <v>52</v>
      </c>
    </row>
    <row r="621" spans="1:11" x14ac:dyDescent="0.2">
      <c r="A621" t="s">
        <v>2225</v>
      </c>
      <c r="B621" t="s">
        <v>1403</v>
      </c>
      <c r="C621">
        <v>36.9</v>
      </c>
      <c r="D621" t="s">
        <v>608</v>
      </c>
      <c r="E621" t="s">
        <v>608</v>
      </c>
      <c r="F621">
        <v>12.12</v>
      </c>
      <c r="G621">
        <v>8.33</v>
      </c>
      <c r="H621">
        <v>0</v>
      </c>
      <c r="I621">
        <v>0</v>
      </c>
      <c r="J621" t="s">
        <v>608</v>
      </c>
      <c r="K621" s="28" t="s">
        <v>52</v>
      </c>
    </row>
    <row r="622" spans="1:11" x14ac:dyDescent="0.2">
      <c r="A622" t="s">
        <v>2226</v>
      </c>
      <c r="B622" t="s">
        <v>1405</v>
      </c>
      <c r="C622">
        <v>57.75</v>
      </c>
      <c r="D622" t="s">
        <v>608</v>
      </c>
      <c r="E622" t="s">
        <v>608</v>
      </c>
      <c r="F622">
        <v>39.020000000000003</v>
      </c>
      <c r="G622">
        <v>30.83</v>
      </c>
      <c r="H622">
        <v>0.5</v>
      </c>
      <c r="I622">
        <v>1</v>
      </c>
      <c r="J622" t="s">
        <v>608</v>
      </c>
      <c r="K622" s="28" t="s">
        <v>52</v>
      </c>
    </row>
    <row r="623" spans="1:11" x14ac:dyDescent="0.2">
      <c r="A623" t="s">
        <v>2227</v>
      </c>
      <c r="B623" t="s">
        <v>1405</v>
      </c>
      <c r="C623">
        <v>47.51</v>
      </c>
      <c r="D623" t="s">
        <v>608</v>
      </c>
      <c r="E623" t="s">
        <v>608</v>
      </c>
      <c r="F623">
        <v>27.32</v>
      </c>
      <c r="G623">
        <v>19.27</v>
      </c>
      <c r="H623">
        <v>1</v>
      </c>
      <c r="I623">
        <v>1</v>
      </c>
      <c r="J623" t="s">
        <v>608</v>
      </c>
      <c r="K623" s="28" t="s">
        <v>52</v>
      </c>
    </row>
    <row r="624" spans="1:11" x14ac:dyDescent="0.2">
      <c r="A624" t="s">
        <v>2228</v>
      </c>
      <c r="B624" t="s">
        <v>1405</v>
      </c>
      <c r="C624">
        <v>65.02</v>
      </c>
      <c r="D624" t="s">
        <v>608</v>
      </c>
      <c r="E624" t="s">
        <v>608</v>
      </c>
      <c r="F624">
        <v>51.96</v>
      </c>
      <c r="G624">
        <v>38.33</v>
      </c>
      <c r="H624">
        <v>0</v>
      </c>
      <c r="I624">
        <v>0</v>
      </c>
      <c r="J624" t="s">
        <v>608</v>
      </c>
      <c r="K624" s="28" t="s">
        <v>52</v>
      </c>
    </row>
    <row r="625" spans="1:11" x14ac:dyDescent="0.2">
      <c r="A625" t="s">
        <v>2229</v>
      </c>
      <c r="B625" t="s">
        <v>1405</v>
      </c>
      <c r="C625">
        <v>59.03</v>
      </c>
      <c r="D625" t="s">
        <v>608</v>
      </c>
      <c r="E625" t="s">
        <v>608</v>
      </c>
      <c r="F625">
        <v>37.799999999999997</v>
      </c>
      <c r="G625">
        <v>28.45</v>
      </c>
      <c r="H625">
        <v>0</v>
      </c>
      <c r="I625">
        <v>0</v>
      </c>
      <c r="J625" t="s">
        <v>608</v>
      </c>
      <c r="K625" s="28" t="s">
        <v>52</v>
      </c>
    </row>
    <row r="626" spans="1:11" x14ac:dyDescent="0.2">
      <c r="A626" t="s">
        <v>2230</v>
      </c>
      <c r="B626" t="s">
        <v>1405</v>
      </c>
      <c r="C626">
        <v>59.43</v>
      </c>
      <c r="D626" t="s">
        <v>608</v>
      </c>
      <c r="E626" t="s">
        <v>608</v>
      </c>
      <c r="F626">
        <v>40.26</v>
      </c>
      <c r="G626">
        <v>34.72</v>
      </c>
      <c r="H626">
        <v>0</v>
      </c>
      <c r="I626">
        <v>0</v>
      </c>
      <c r="J626" t="s">
        <v>608</v>
      </c>
      <c r="K626" s="28" t="s">
        <v>52</v>
      </c>
    </row>
    <row r="627" spans="1:11" x14ac:dyDescent="0.2">
      <c r="A627" t="s">
        <v>2231</v>
      </c>
      <c r="B627" t="s">
        <v>1407</v>
      </c>
      <c r="C627">
        <v>41.16</v>
      </c>
      <c r="D627" t="s">
        <v>608</v>
      </c>
      <c r="E627" t="s">
        <v>608</v>
      </c>
      <c r="F627">
        <v>36.58</v>
      </c>
      <c r="G627">
        <v>26.37</v>
      </c>
      <c r="H627">
        <v>0</v>
      </c>
      <c r="I627">
        <v>0</v>
      </c>
      <c r="J627" t="s">
        <v>608</v>
      </c>
      <c r="K627" s="28" t="s">
        <v>52</v>
      </c>
    </row>
    <row r="628" spans="1:11" x14ac:dyDescent="0.2">
      <c r="A628" t="s">
        <v>2232</v>
      </c>
      <c r="B628" t="s">
        <v>1407</v>
      </c>
      <c r="C628">
        <v>49.95</v>
      </c>
      <c r="D628" t="s">
        <v>608</v>
      </c>
      <c r="E628" t="s">
        <v>608</v>
      </c>
      <c r="F628">
        <v>27.56</v>
      </c>
      <c r="G628">
        <v>19.989999999999998</v>
      </c>
      <c r="H628">
        <v>0.5</v>
      </c>
      <c r="I628">
        <v>0</v>
      </c>
      <c r="J628" t="s">
        <v>608</v>
      </c>
      <c r="K628" s="28" t="s">
        <v>52</v>
      </c>
    </row>
    <row r="629" spans="1:11" x14ac:dyDescent="0.2">
      <c r="A629" t="s">
        <v>2233</v>
      </c>
      <c r="B629" t="s">
        <v>1407</v>
      </c>
      <c r="C629">
        <v>53.35</v>
      </c>
      <c r="D629" t="s">
        <v>608</v>
      </c>
      <c r="E629" t="s">
        <v>608</v>
      </c>
      <c r="F629">
        <v>26.5</v>
      </c>
      <c r="G629">
        <v>20.309999999999999</v>
      </c>
      <c r="H629">
        <v>0</v>
      </c>
      <c r="I629">
        <v>0</v>
      </c>
      <c r="J629" t="s">
        <v>608</v>
      </c>
      <c r="K629" s="28" t="s">
        <v>52</v>
      </c>
    </row>
    <row r="630" spans="1:11" x14ac:dyDescent="0.2">
      <c r="A630" t="s">
        <v>2234</v>
      </c>
      <c r="B630" t="s">
        <v>1407</v>
      </c>
      <c r="C630">
        <v>55.61</v>
      </c>
      <c r="D630" t="s">
        <v>608</v>
      </c>
      <c r="E630" t="s">
        <v>608</v>
      </c>
      <c r="F630">
        <v>38.700000000000003</v>
      </c>
      <c r="G630">
        <v>25.57</v>
      </c>
      <c r="H630">
        <v>0</v>
      </c>
      <c r="I630">
        <v>0.5</v>
      </c>
      <c r="J630" t="s">
        <v>608</v>
      </c>
      <c r="K630" s="28" t="s">
        <v>52</v>
      </c>
    </row>
    <row r="631" spans="1:11" x14ac:dyDescent="0.2">
      <c r="A631" t="s">
        <v>2235</v>
      </c>
      <c r="B631" t="s">
        <v>1407</v>
      </c>
      <c r="C631">
        <v>33.299999999999997</v>
      </c>
      <c r="D631" t="s">
        <v>608</v>
      </c>
      <c r="E631" t="s">
        <v>608</v>
      </c>
      <c r="F631">
        <v>23.08</v>
      </c>
      <c r="G631">
        <v>15.35</v>
      </c>
      <c r="H631">
        <v>0</v>
      </c>
      <c r="I631">
        <v>0.5</v>
      </c>
      <c r="J631" t="s">
        <v>608</v>
      </c>
      <c r="K631" s="28" t="s">
        <v>52</v>
      </c>
    </row>
    <row r="632" spans="1:11" x14ac:dyDescent="0.2">
      <c r="A632" t="s">
        <v>2236</v>
      </c>
      <c r="B632" t="s">
        <v>1415</v>
      </c>
      <c r="C632">
        <v>40.590000000000003</v>
      </c>
      <c r="D632" t="s">
        <v>608</v>
      </c>
      <c r="E632" t="s">
        <v>608</v>
      </c>
      <c r="F632">
        <v>12.44</v>
      </c>
      <c r="G632">
        <v>9.9600000000000009</v>
      </c>
      <c r="H632">
        <v>0</v>
      </c>
      <c r="I632">
        <v>0</v>
      </c>
      <c r="J632" t="s">
        <v>608</v>
      </c>
      <c r="K632" s="28" t="s">
        <v>52</v>
      </c>
    </row>
    <row r="633" spans="1:11" x14ac:dyDescent="0.2">
      <c r="A633" t="s">
        <v>2237</v>
      </c>
      <c r="B633" t="s">
        <v>1415</v>
      </c>
      <c r="C633">
        <v>41.16</v>
      </c>
      <c r="D633" t="s">
        <v>608</v>
      </c>
      <c r="E633" t="s">
        <v>608</v>
      </c>
      <c r="F633">
        <v>13.83</v>
      </c>
      <c r="G633">
        <v>10.33</v>
      </c>
      <c r="H633">
        <v>0</v>
      </c>
      <c r="I633">
        <v>0</v>
      </c>
      <c r="J633" t="s">
        <v>608</v>
      </c>
      <c r="K633" s="28" t="s">
        <v>52</v>
      </c>
    </row>
    <row r="634" spans="1:11" x14ac:dyDescent="0.2">
      <c r="A634" t="s">
        <v>2238</v>
      </c>
      <c r="B634" t="s">
        <v>1415</v>
      </c>
      <c r="C634">
        <v>55.68</v>
      </c>
      <c r="D634" t="s">
        <v>608</v>
      </c>
      <c r="E634" t="s">
        <v>608</v>
      </c>
      <c r="F634">
        <v>55.19</v>
      </c>
      <c r="G634">
        <v>41.54</v>
      </c>
      <c r="H634">
        <v>0</v>
      </c>
      <c r="I634">
        <v>0</v>
      </c>
      <c r="J634" t="s">
        <v>608</v>
      </c>
      <c r="K634" s="28" t="s">
        <v>52</v>
      </c>
    </row>
    <row r="635" spans="1:11" x14ac:dyDescent="0.2">
      <c r="A635" t="s">
        <v>2239</v>
      </c>
      <c r="B635" t="s">
        <v>1415</v>
      </c>
      <c r="C635">
        <v>31.9</v>
      </c>
      <c r="D635" t="s">
        <v>608</v>
      </c>
      <c r="E635" t="s">
        <v>608</v>
      </c>
      <c r="F635">
        <v>6.91</v>
      </c>
      <c r="G635">
        <v>4.99</v>
      </c>
      <c r="H635">
        <v>0</v>
      </c>
      <c r="I635">
        <v>0</v>
      </c>
      <c r="J635" t="s">
        <v>608</v>
      </c>
      <c r="K635" s="28" t="s">
        <v>52</v>
      </c>
    </row>
    <row r="636" spans="1:11" x14ac:dyDescent="0.2">
      <c r="A636" t="s">
        <v>2240</v>
      </c>
      <c r="B636" t="s">
        <v>1415</v>
      </c>
      <c r="C636">
        <v>41.08</v>
      </c>
      <c r="D636" t="s">
        <v>608</v>
      </c>
      <c r="E636" t="s">
        <v>608</v>
      </c>
      <c r="F636">
        <v>20.41</v>
      </c>
      <c r="G636">
        <v>14.26</v>
      </c>
      <c r="H636">
        <v>0</v>
      </c>
      <c r="I636">
        <v>0</v>
      </c>
      <c r="J636" t="s">
        <v>608</v>
      </c>
      <c r="K636" s="28" t="s">
        <v>52</v>
      </c>
    </row>
    <row r="637" spans="1:11" x14ac:dyDescent="0.2">
      <c r="A637" t="s">
        <v>2241</v>
      </c>
      <c r="B637" t="s">
        <v>1417</v>
      </c>
      <c r="C637">
        <v>51.45</v>
      </c>
      <c r="D637" t="s">
        <v>608</v>
      </c>
      <c r="E637" t="s">
        <v>608</v>
      </c>
      <c r="F637">
        <v>29.39</v>
      </c>
      <c r="G637">
        <v>22.14</v>
      </c>
      <c r="H637">
        <v>3</v>
      </c>
      <c r="I637">
        <v>2</v>
      </c>
      <c r="J637" t="s">
        <v>608</v>
      </c>
      <c r="K637" s="28" t="s">
        <v>52</v>
      </c>
    </row>
    <row r="638" spans="1:11" x14ac:dyDescent="0.2">
      <c r="A638" t="s">
        <v>2242</v>
      </c>
      <c r="B638" t="s">
        <v>1417</v>
      </c>
      <c r="C638">
        <v>44.83</v>
      </c>
      <c r="D638" t="s">
        <v>608</v>
      </c>
      <c r="E638" t="s">
        <v>608</v>
      </c>
      <c r="F638">
        <v>35.21</v>
      </c>
      <c r="G638">
        <v>26.77</v>
      </c>
      <c r="H638">
        <v>0.5</v>
      </c>
      <c r="I638">
        <v>0.5</v>
      </c>
      <c r="J638" t="s">
        <v>608</v>
      </c>
      <c r="K638" s="28" t="s">
        <v>52</v>
      </c>
    </row>
    <row r="639" spans="1:11" x14ac:dyDescent="0.2">
      <c r="A639" t="s">
        <v>2243</v>
      </c>
      <c r="B639" t="s">
        <v>1417</v>
      </c>
      <c r="C639">
        <v>58.89</v>
      </c>
      <c r="D639" t="s">
        <v>608</v>
      </c>
      <c r="E639" t="s">
        <v>608</v>
      </c>
      <c r="F639">
        <v>56.35</v>
      </c>
      <c r="G639">
        <v>39.74</v>
      </c>
      <c r="H639">
        <v>0</v>
      </c>
      <c r="I639">
        <v>0</v>
      </c>
      <c r="J639" t="s">
        <v>608</v>
      </c>
      <c r="K639" s="28" t="s">
        <v>52</v>
      </c>
    </row>
    <row r="640" spans="1:11" x14ac:dyDescent="0.2">
      <c r="A640" t="s">
        <v>2244</v>
      </c>
      <c r="B640" t="s">
        <v>1417</v>
      </c>
      <c r="C640">
        <v>55.01</v>
      </c>
      <c r="D640" t="s">
        <v>608</v>
      </c>
      <c r="E640" t="s">
        <v>608</v>
      </c>
      <c r="F640">
        <v>47.03</v>
      </c>
      <c r="G640">
        <v>38.869999999999997</v>
      </c>
      <c r="H640">
        <v>0</v>
      </c>
      <c r="I640">
        <v>0</v>
      </c>
      <c r="J640" t="s">
        <v>608</v>
      </c>
      <c r="K640" s="28" t="s">
        <v>52</v>
      </c>
    </row>
    <row r="641" spans="1:11" x14ac:dyDescent="0.2">
      <c r="A641" t="s">
        <v>2245</v>
      </c>
      <c r="B641" t="s">
        <v>1417</v>
      </c>
      <c r="C641">
        <v>57.36</v>
      </c>
      <c r="D641" t="s">
        <v>608</v>
      </c>
      <c r="E641" t="s">
        <v>608</v>
      </c>
      <c r="F641">
        <v>45.89</v>
      </c>
      <c r="G641">
        <v>40.270000000000003</v>
      </c>
      <c r="H641">
        <v>0</v>
      </c>
      <c r="I641">
        <v>0</v>
      </c>
      <c r="J641" t="s">
        <v>608</v>
      </c>
      <c r="K641" s="28" t="s">
        <v>52</v>
      </c>
    </row>
    <row r="642" spans="1:11" x14ac:dyDescent="0.2">
      <c r="A642" t="s">
        <v>2246</v>
      </c>
      <c r="B642" t="s">
        <v>1419</v>
      </c>
      <c r="C642">
        <v>33.17</v>
      </c>
      <c r="D642" t="s">
        <v>608</v>
      </c>
      <c r="E642" t="s">
        <v>608</v>
      </c>
      <c r="F642">
        <v>7.15</v>
      </c>
      <c r="G642">
        <v>5.15</v>
      </c>
      <c r="H642">
        <v>0</v>
      </c>
      <c r="I642">
        <v>0</v>
      </c>
      <c r="J642" t="s">
        <v>608</v>
      </c>
      <c r="K642" s="28" t="s">
        <v>52</v>
      </c>
    </row>
    <row r="643" spans="1:11" x14ac:dyDescent="0.2">
      <c r="A643" t="s">
        <v>2247</v>
      </c>
      <c r="B643" t="s">
        <v>1419</v>
      </c>
      <c r="C643">
        <v>42.36</v>
      </c>
      <c r="D643" t="s">
        <v>608</v>
      </c>
      <c r="E643" t="s">
        <v>608</v>
      </c>
      <c r="F643">
        <v>13.31</v>
      </c>
      <c r="G643">
        <v>11.05</v>
      </c>
      <c r="H643">
        <v>0</v>
      </c>
      <c r="I643">
        <v>0.5</v>
      </c>
      <c r="J643" t="s">
        <v>608</v>
      </c>
      <c r="K643" s="28" t="s">
        <v>52</v>
      </c>
    </row>
    <row r="644" spans="1:11" x14ac:dyDescent="0.2">
      <c r="A644" t="s">
        <v>2248</v>
      </c>
      <c r="B644" t="s">
        <v>1419</v>
      </c>
      <c r="C644">
        <v>32.31</v>
      </c>
      <c r="D644" t="s">
        <v>608</v>
      </c>
      <c r="E644" t="s">
        <v>608</v>
      </c>
      <c r="F644">
        <v>11.1</v>
      </c>
      <c r="G644">
        <v>8.9600000000000009</v>
      </c>
      <c r="H644">
        <v>0</v>
      </c>
      <c r="I644">
        <v>0</v>
      </c>
      <c r="J644" t="s">
        <v>608</v>
      </c>
      <c r="K644" s="28" t="s">
        <v>52</v>
      </c>
    </row>
    <row r="645" spans="1:11" x14ac:dyDescent="0.2">
      <c r="A645" t="s">
        <v>2249</v>
      </c>
      <c r="B645" t="s">
        <v>1419</v>
      </c>
      <c r="C645">
        <v>40.64</v>
      </c>
      <c r="D645" t="s">
        <v>608</v>
      </c>
      <c r="E645" t="s">
        <v>608</v>
      </c>
      <c r="F645">
        <v>17.93</v>
      </c>
      <c r="G645">
        <v>13.26</v>
      </c>
      <c r="H645">
        <v>0.5</v>
      </c>
      <c r="I645">
        <v>0</v>
      </c>
      <c r="J645" t="s">
        <v>608</v>
      </c>
      <c r="K645" s="28" t="s">
        <v>52</v>
      </c>
    </row>
    <row r="646" spans="1:11" x14ac:dyDescent="0.2">
      <c r="A646" t="s">
        <v>2250</v>
      </c>
      <c r="B646" t="s">
        <v>1419</v>
      </c>
      <c r="C646">
        <v>31.92</v>
      </c>
      <c r="D646" t="s">
        <v>608</v>
      </c>
      <c r="E646" t="s">
        <v>608</v>
      </c>
      <c r="F646">
        <v>9.8699999999999992</v>
      </c>
      <c r="G646">
        <v>7.6</v>
      </c>
      <c r="H646">
        <v>1</v>
      </c>
      <c r="I646">
        <v>0.5</v>
      </c>
      <c r="J646" t="s">
        <v>608</v>
      </c>
      <c r="K646" s="28" t="s">
        <v>52</v>
      </c>
    </row>
    <row r="647" spans="1:11" x14ac:dyDescent="0.2">
      <c r="A647" t="s">
        <v>2251</v>
      </c>
      <c r="B647" t="s">
        <v>1427</v>
      </c>
      <c r="C647">
        <v>34.26</v>
      </c>
      <c r="D647" t="s">
        <v>608</v>
      </c>
      <c r="E647" t="s">
        <v>608</v>
      </c>
      <c r="F647">
        <v>22.31</v>
      </c>
      <c r="G647">
        <v>18.559999999999999</v>
      </c>
      <c r="H647">
        <v>0</v>
      </c>
      <c r="I647">
        <v>0</v>
      </c>
      <c r="J647" t="s">
        <v>608</v>
      </c>
      <c r="K647" s="28" t="s">
        <v>52</v>
      </c>
    </row>
    <row r="648" spans="1:11" x14ac:dyDescent="0.2">
      <c r="A648" t="s">
        <v>2252</v>
      </c>
      <c r="B648" t="s">
        <v>1427</v>
      </c>
      <c r="C648">
        <v>54.13</v>
      </c>
      <c r="D648" t="s">
        <v>608</v>
      </c>
      <c r="E648" t="s">
        <v>608</v>
      </c>
      <c r="F648">
        <v>33.83</v>
      </c>
      <c r="G648">
        <v>24.31</v>
      </c>
      <c r="H648">
        <v>0</v>
      </c>
      <c r="I648">
        <v>0.5</v>
      </c>
      <c r="J648" t="s">
        <v>608</v>
      </c>
      <c r="K648" s="28" t="s">
        <v>52</v>
      </c>
    </row>
    <row r="649" spans="1:11" x14ac:dyDescent="0.2">
      <c r="A649" t="s">
        <v>2253</v>
      </c>
      <c r="B649" t="s">
        <v>1427</v>
      </c>
      <c r="C649">
        <v>52.49</v>
      </c>
      <c r="D649" t="s">
        <v>608</v>
      </c>
      <c r="E649" t="s">
        <v>608</v>
      </c>
      <c r="F649">
        <v>43.03</v>
      </c>
      <c r="G649">
        <v>34.01</v>
      </c>
      <c r="H649">
        <v>0</v>
      </c>
      <c r="I649">
        <v>0</v>
      </c>
      <c r="J649" t="s">
        <v>608</v>
      </c>
      <c r="K649" s="28" t="s">
        <v>52</v>
      </c>
    </row>
    <row r="650" spans="1:11" x14ac:dyDescent="0.2">
      <c r="A650" t="s">
        <v>2254</v>
      </c>
      <c r="B650" t="s">
        <v>1427</v>
      </c>
      <c r="C650">
        <v>41.87</v>
      </c>
      <c r="D650" t="s">
        <v>608</v>
      </c>
      <c r="E650" t="s">
        <v>608</v>
      </c>
      <c r="F650">
        <v>15.9</v>
      </c>
      <c r="G650">
        <v>11.61</v>
      </c>
      <c r="H650">
        <v>1</v>
      </c>
      <c r="I650">
        <v>1</v>
      </c>
      <c r="J650" t="s">
        <v>608</v>
      </c>
      <c r="K650" s="28" t="s">
        <v>52</v>
      </c>
    </row>
    <row r="651" spans="1:11" x14ac:dyDescent="0.2">
      <c r="A651" t="s">
        <v>2255</v>
      </c>
      <c r="B651" t="s">
        <v>1427</v>
      </c>
      <c r="C651">
        <v>46.92</v>
      </c>
      <c r="D651" t="s">
        <v>608</v>
      </c>
      <c r="E651" t="s">
        <v>608</v>
      </c>
      <c r="F651">
        <v>18.8</v>
      </c>
      <c r="G651">
        <v>13.12</v>
      </c>
      <c r="H651">
        <v>0</v>
      </c>
      <c r="I651">
        <v>0</v>
      </c>
      <c r="J651" t="s">
        <v>3085</v>
      </c>
      <c r="K651" s="28" t="s">
        <v>52</v>
      </c>
    </row>
    <row r="652" spans="1:11" x14ac:dyDescent="0.2">
      <c r="A652" t="s">
        <v>2256</v>
      </c>
      <c r="B652" t="s">
        <v>1429</v>
      </c>
      <c r="C652">
        <v>60.47</v>
      </c>
      <c r="D652" t="s">
        <v>608</v>
      </c>
      <c r="E652" t="s">
        <v>608</v>
      </c>
      <c r="F652">
        <v>41.9</v>
      </c>
      <c r="G652">
        <v>29.24</v>
      </c>
      <c r="H652">
        <v>0.5</v>
      </c>
      <c r="I652">
        <v>2</v>
      </c>
      <c r="J652" t="s">
        <v>608</v>
      </c>
      <c r="K652" s="28" t="s">
        <v>52</v>
      </c>
    </row>
    <row r="653" spans="1:11" x14ac:dyDescent="0.2">
      <c r="A653" t="s">
        <v>2257</v>
      </c>
      <c r="B653" t="s">
        <v>1429</v>
      </c>
      <c r="C653">
        <v>56.8</v>
      </c>
      <c r="D653" t="s">
        <v>608</v>
      </c>
      <c r="E653" t="s">
        <v>608</v>
      </c>
      <c r="F653">
        <v>37.6</v>
      </c>
      <c r="G653">
        <v>27.27</v>
      </c>
      <c r="H653">
        <v>0.5</v>
      </c>
      <c r="I653">
        <v>2</v>
      </c>
      <c r="J653" t="s">
        <v>608</v>
      </c>
      <c r="K653" s="28" t="s">
        <v>52</v>
      </c>
    </row>
    <row r="654" spans="1:11" x14ac:dyDescent="0.2">
      <c r="A654" t="s">
        <v>2258</v>
      </c>
      <c r="B654" t="s">
        <v>1429</v>
      </c>
      <c r="C654">
        <v>45.12</v>
      </c>
      <c r="D654" t="s">
        <v>608</v>
      </c>
      <c r="E654" t="s">
        <v>608</v>
      </c>
      <c r="F654">
        <v>23.26</v>
      </c>
      <c r="G654">
        <v>17.16</v>
      </c>
      <c r="H654">
        <v>1</v>
      </c>
      <c r="I654">
        <v>2</v>
      </c>
      <c r="J654" t="s">
        <v>608</v>
      </c>
      <c r="K654" s="28" t="s">
        <v>52</v>
      </c>
    </row>
    <row r="655" spans="1:11" x14ac:dyDescent="0.2">
      <c r="A655" t="s">
        <v>2259</v>
      </c>
      <c r="B655" t="s">
        <v>1429</v>
      </c>
      <c r="C655">
        <v>69.459999999999994</v>
      </c>
      <c r="D655" t="s">
        <v>608</v>
      </c>
      <c r="E655" t="s">
        <v>608</v>
      </c>
      <c r="F655">
        <v>57.3</v>
      </c>
      <c r="G655">
        <v>42.07</v>
      </c>
      <c r="H655">
        <v>2</v>
      </c>
      <c r="I655">
        <v>2</v>
      </c>
      <c r="J655" t="s">
        <v>3086</v>
      </c>
      <c r="K655" s="28" t="s">
        <v>52</v>
      </c>
    </row>
    <row r="656" spans="1:11" x14ac:dyDescent="0.2">
      <c r="A656" t="s">
        <v>2260</v>
      </c>
      <c r="B656" t="s">
        <v>1429</v>
      </c>
      <c r="C656">
        <v>48.44</v>
      </c>
      <c r="D656" t="s">
        <v>608</v>
      </c>
      <c r="E656" t="s">
        <v>608</v>
      </c>
      <c r="F656">
        <v>32.08</v>
      </c>
      <c r="G656">
        <v>23.72</v>
      </c>
      <c r="H656">
        <v>1</v>
      </c>
      <c r="I656">
        <v>1</v>
      </c>
      <c r="J656" t="s">
        <v>3087</v>
      </c>
      <c r="K656" s="28" t="s">
        <v>52</v>
      </c>
    </row>
    <row r="657" spans="1:11" x14ac:dyDescent="0.2">
      <c r="A657" t="s">
        <v>2261</v>
      </c>
      <c r="B657" t="s">
        <v>1431</v>
      </c>
      <c r="C657">
        <v>69</v>
      </c>
      <c r="D657" t="s">
        <v>608</v>
      </c>
      <c r="E657" t="s">
        <v>608</v>
      </c>
      <c r="F657">
        <v>56.62</v>
      </c>
      <c r="G657">
        <v>39.47</v>
      </c>
      <c r="H657">
        <v>0.5</v>
      </c>
      <c r="I657">
        <v>0</v>
      </c>
      <c r="J657" t="s">
        <v>608</v>
      </c>
      <c r="K657" s="28" t="s">
        <v>52</v>
      </c>
    </row>
    <row r="658" spans="1:11" x14ac:dyDescent="0.2">
      <c r="A658" t="s">
        <v>2262</v>
      </c>
      <c r="B658" t="s">
        <v>1431</v>
      </c>
      <c r="C658">
        <v>65.58</v>
      </c>
      <c r="D658" t="s">
        <v>608</v>
      </c>
      <c r="E658" t="s">
        <v>608</v>
      </c>
      <c r="F658">
        <v>39.47</v>
      </c>
      <c r="G658">
        <v>27.69</v>
      </c>
      <c r="H658">
        <v>0</v>
      </c>
      <c r="I658">
        <v>0</v>
      </c>
      <c r="J658" t="s">
        <v>608</v>
      </c>
      <c r="K658" s="28" t="s">
        <v>52</v>
      </c>
    </row>
    <row r="659" spans="1:11" x14ac:dyDescent="0.2">
      <c r="A659" t="s">
        <v>2263</v>
      </c>
      <c r="B659" t="s">
        <v>1431</v>
      </c>
      <c r="C659">
        <v>43.33</v>
      </c>
      <c r="D659" t="s">
        <v>608</v>
      </c>
      <c r="E659" t="s">
        <v>608</v>
      </c>
      <c r="F659">
        <v>14.04</v>
      </c>
      <c r="G659">
        <v>9.42</v>
      </c>
      <c r="H659">
        <v>1</v>
      </c>
      <c r="I659">
        <v>2</v>
      </c>
      <c r="J659" t="s">
        <v>608</v>
      </c>
      <c r="K659" s="28" t="s">
        <v>52</v>
      </c>
    </row>
    <row r="660" spans="1:11" x14ac:dyDescent="0.2">
      <c r="A660" t="s">
        <v>2264</v>
      </c>
      <c r="B660" t="s">
        <v>1431</v>
      </c>
      <c r="C660">
        <v>45.49</v>
      </c>
      <c r="D660" t="s">
        <v>608</v>
      </c>
      <c r="E660" t="s">
        <v>608</v>
      </c>
      <c r="F660">
        <v>21.94</v>
      </c>
      <c r="G660">
        <v>16.09</v>
      </c>
      <c r="H660">
        <v>0</v>
      </c>
      <c r="I660">
        <v>0</v>
      </c>
      <c r="J660" t="s">
        <v>608</v>
      </c>
      <c r="K660" s="28" t="s">
        <v>52</v>
      </c>
    </row>
    <row r="661" spans="1:11" x14ac:dyDescent="0.2">
      <c r="A661" t="s">
        <v>2265</v>
      </c>
      <c r="B661" t="s">
        <v>1431</v>
      </c>
      <c r="C661">
        <v>36.68</v>
      </c>
      <c r="D661" t="s">
        <v>608</v>
      </c>
      <c r="E661" t="s">
        <v>608</v>
      </c>
      <c r="F661">
        <v>16.559999999999999</v>
      </c>
      <c r="G661">
        <v>11.55</v>
      </c>
      <c r="H661">
        <v>0.5</v>
      </c>
      <c r="I661">
        <v>0</v>
      </c>
      <c r="J661" t="s">
        <v>608</v>
      </c>
      <c r="K661" s="28" t="s">
        <v>52</v>
      </c>
    </row>
    <row r="662" spans="1:11" x14ac:dyDescent="0.2">
      <c r="A662" t="s">
        <v>2266</v>
      </c>
      <c r="B662" t="s">
        <v>1439</v>
      </c>
      <c r="C662">
        <v>58.32</v>
      </c>
      <c r="D662" t="s">
        <v>608</v>
      </c>
      <c r="E662" t="s">
        <v>608</v>
      </c>
      <c r="F662">
        <v>26.36</v>
      </c>
      <c r="G662">
        <v>18.22</v>
      </c>
      <c r="H662">
        <v>0</v>
      </c>
      <c r="I662">
        <v>0</v>
      </c>
      <c r="J662" t="s">
        <v>285</v>
      </c>
      <c r="K662" s="28" t="s">
        <v>52</v>
      </c>
    </row>
    <row r="663" spans="1:11" x14ac:dyDescent="0.2">
      <c r="A663" t="s">
        <v>2267</v>
      </c>
      <c r="B663" t="s">
        <v>1439</v>
      </c>
      <c r="C663">
        <v>44.05</v>
      </c>
      <c r="D663" t="s">
        <v>608</v>
      </c>
      <c r="E663" t="s">
        <v>608</v>
      </c>
      <c r="F663">
        <v>26.13</v>
      </c>
      <c r="G663">
        <v>19.440000000000001</v>
      </c>
      <c r="H663">
        <v>0.5</v>
      </c>
      <c r="I663">
        <v>0</v>
      </c>
      <c r="J663" t="s">
        <v>608</v>
      </c>
      <c r="K663" s="28" t="s">
        <v>52</v>
      </c>
    </row>
    <row r="664" spans="1:11" x14ac:dyDescent="0.2">
      <c r="A664" t="s">
        <v>2268</v>
      </c>
      <c r="B664" t="s">
        <v>1439</v>
      </c>
      <c r="C664">
        <v>60.04</v>
      </c>
      <c r="D664" t="s">
        <v>608</v>
      </c>
      <c r="E664" t="s">
        <v>608</v>
      </c>
      <c r="F664">
        <v>30.29</v>
      </c>
      <c r="G664">
        <v>23.25</v>
      </c>
      <c r="H664">
        <v>0</v>
      </c>
      <c r="I664">
        <v>0</v>
      </c>
      <c r="J664" t="s">
        <v>608</v>
      </c>
      <c r="K664" s="28" t="s">
        <v>52</v>
      </c>
    </row>
    <row r="665" spans="1:11" x14ac:dyDescent="0.2">
      <c r="A665" t="s">
        <v>2269</v>
      </c>
      <c r="B665" t="s">
        <v>1439</v>
      </c>
      <c r="C665">
        <v>43.08</v>
      </c>
      <c r="D665" t="s">
        <v>608</v>
      </c>
      <c r="E665" t="s">
        <v>608</v>
      </c>
      <c r="F665">
        <v>21.04</v>
      </c>
      <c r="G665">
        <v>15.13</v>
      </c>
      <c r="H665">
        <v>0</v>
      </c>
      <c r="I665">
        <v>0.5</v>
      </c>
      <c r="J665" t="s">
        <v>3088</v>
      </c>
      <c r="K665" s="28" t="s">
        <v>52</v>
      </c>
    </row>
    <row r="666" spans="1:11" x14ac:dyDescent="0.2">
      <c r="A666" t="s">
        <v>2270</v>
      </c>
      <c r="B666" t="s">
        <v>1439</v>
      </c>
      <c r="C666">
        <v>41.53</v>
      </c>
      <c r="D666" t="s">
        <v>608</v>
      </c>
      <c r="E666" t="s">
        <v>608</v>
      </c>
      <c r="F666">
        <v>20.81</v>
      </c>
      <c r="G666">
        <v>15.11</v>
      </c>
      <c r="H666">
        <v>0</v>
      </c>
      <c r="I666">
        <v>0</v>
      </c>
      <c r="J666" t="s">
        <v>3089</v>
      </c>
      <c r="K666" s="28" t="s">
        <v>52</v>
      </c>
    </row>
    <row r="667" spans="1:11" x14ac:dyDescent="0.2">
      <c r="A667" t="s">
        <v>2271</v>
      </c>
      <c r="B667" t="s">
        <v>1441</v>
      </c>
      <c r="C667">
        <v>64.8</v>
      </c>
      <c r="D667" t="s">
        <v>608</v>
      </c>
      <c r="E667" t="s">
        <v>608</v>
      </c>
      <c r="F667">
        <v>41.58</v>
      </c>
      <c r="G667">
        <v>33.24</v>
      </c>
      <c r="H667">
        <v>0</v>
      </c>
      <c r="I667">
        <v>0</v>
      </c>
      <c r="J667" t="s">
        <v>161</v>
      </c>
      <c r="K667" s="28" t="s">
        <v>52</v>
      </c>
    </row>
    <row r="668" spans="1:11" x14ac:dyDescent="0.2">
      <c r="A668" t="s">
        <v>2272</v>
      </c>
      <c r="B668" t="s">
        <v>1441</v>
      </c>
      <c r="C668">
        <v>47.59</v>
      </c>
      <c r="D668" t="s">
        <v>608</v>
      </c>
      <c r="E668" t="s">
        <v>608</v>
      </c>
      <c r="F668">
        <v>32.770000000000003</v>
      </c>
      <c r="G668">
        <v>23.83</v>
      </c>
      <c r="H668">
        <v>0.5</v>
      </c>
      <c r="I668">
        <v>1</v>
      </c>
      <c r="J668" t="s">
        <v>3090</v>
      </c>
      <c r="K668" s="28" t="s">
        <v>52</v>
      </c>
    </row>
    <row r="669" spans="1:11" x14ac:dyDescent="0.2">
      <c r="A669" t="s">
        <v>2273</v>
      </c>
      <c r="B669" t="s">
        <v>1441</v>
      </c>
      <c r="C669">
        <v>59.87</v>
      </c>
      <c r="D669" t="s">
        <v>608</v>
      </c>
      <c r="E669" t="s">
        <v>608</v>
      </c>
      <c r="F669">
        <v>52.3</v>
      </c>
      <c r="G669">
        <v>37.49</v>
      </c>
      <c r="H669">
        <v>0.5</v>
      </c>
      <c r="I669">
        <v>1</v>
      </c>
      <c r="J669" t="s">
        <v>3091</v>
      </c>
      <c r="K669" s="28" t="s">
        <v>52</v>
      </c>
    </row>
    <row r="670" spans="1:11" x14ac:dyDescent="0.2">
      <c r="A670" t="s">
        <v>2274</v>
      </c>
      <c r="B670" t="s">
        <v>1441</v>
      </c>
      <c r="C670">
        <v>44.54</v>
      </c>
      <c r="D670" t="s">
        <v>608</v>
      </c>
      <c r="E670" t="s">
        <v>608</v>
      </c>
      <c r="F670">
        <v>27.3</v>
      </c>
      <c r="G670">
        <v>20.32</v>
      </c>
      <c r="H670">
        <v>0</v>
      </c>
      <c r="I670">
        <v>0</v>
      </c>
      <c r="J670" t="s">
        <v>608</v>
      </c>
      <c r="K670" s="28" t="s">
        <v>52</v>
      </c>
    </row>
    <row r="671" spans="1:11" x14ac:dyDescent="0.2">
      <c r="A671" t="s">
        <v>2275</v>
      </c>
      <c r="B671" t="s">
        <v>1441</v>
      </c>
      <c r="C671">
        <v>50.87</v>
      </c>
      <c r="D671" t="s">
        <v>608</v>
      </c>
      <c r="E671" t="s">
        <v>608</v>
      </c>
      <c r="F671">
        <v>20.09</v>
      </c>
      <c r="G671">
        <v>16.87</v>
      </c>
      <c r="H671">
        <v>0</v>
      </c>
      <c r="I671">
        <v>0.5</v>
      </c>
      <c r="J671" t="s">
        <v>608</v>
      </c>
      <c r="K671" s="28" t="s">
        <v>52</v>
      </c>
    </row>
    <row r="672" spans="1:11" x14ac:dyDescent="0.2">
      <c r="A672" t="s">
        <v>2276</v>
      </c>
      <c r="B672" t="s">
        <v>1443</v>
      </c>
      <c r="C672">
        <v>47.73</v>
      </c>
      <c r="D672" t="s">
        <v>608</v>
      </c>
      <c r="E672" t="s">
        <v>608</v>
      </c>
      <c r="F672">
        <v>18.940000000000001</v>
      </c>
      <c r="G672">
        <v>15.55</v>
      </c>
      <c r="H672">
        <v>0</v>
      </c>
      <c r="I672">
        <v>0.5</v>
      </c>
      <c r="J672" t="s">
        <v>608</v>
      </c>
      <c r="K672" s="28" t="s">
        <v>52</v>
      </c>
    </row>
    <row r="673" spans="1:11" x14ac:dyDescent="0.2">
      <c r="A673" t="s">
        <v>2277</v>
      </c>
      <c r="B673" t="s">
        <v>1443</v>
      </c>
      <c r="C673">
        <v>56.53</v>
      </c>
      <c r="D673" t="s">
        <v>608</v>
      </c>
      <c r="E673" t="s">
        <v>608</v>
      </c>
      <c r="F673">
        <v>39.549999999999997</v>
      </c>
      <c r="G673">
        <v>29.8</v>
      </c>
      <c r="H673">
        <v>0.5</v>
      </c>
      <c r="I673">
        <v>0</v>
      </c>
      <c r="J673" t="s">
        <v>608</v>
      </c>
      <c r="K673" s="28" t="s">
        <v>52</v>
      </c>
    </row>
    <row r="674" spans="1:11" x14ac:dyDescent="0.2">
      <c r="A674" t="s">
        <v>2278</v>
      </c>
      <c r="B674" t="s">
        <v>1443</v>
      </c>
      <c r="C674">
        <v>49.52</v>
      </c>
      <c r="D674" t="s">
        <v>608</v>
      </c>
      <c r="E674" t="s">
        <v>608</v>
      </c>
      <c r="F674">
        <v>25.62</v>
      </c>
      <c r="G674">
        <v>20.92</v>
      </c>
      <c r="H674">
        <v>0</v>
      </c>
      <c r="I674">
        <v>0</v>
      </c>
      <c r="J674" t="s">
        <v>608</v>
      </c>
      <c r="K674" s="28" t="s">
        <v>52</v>
      </c>
    </row>
    <row r="675" spans="1:11" x14ac:dyDescent="0.2">
      <c r="A675" t="s">
        <v>2279</v>
      </c>
      <c r="B675" t="s">
        <v>1443</v>
      </c>
      <c r="C675">
        <v>49.18</v>
      </c>
      <c r="D675" t="s">
        <v>608</v>
      </c>
      <c r="E675" t="s">
        <v>608</v>
      </c>
      <c r="F675">
        <v>14.72</v>
      </c>
      <c r="G675">
        <v>10.76</v>
      </c>
      <c r="H675">
        <v>0</v>
      </c>
      <c r="I675">
        <v>0</v>
      </c>
      <c r="J675" t="s">
        <v>608</v>
      </c>
      <c r="K675" s="28" t="s">
        <v>52</v>
      </c>
    </row>
    <row r="676" spans="1:11" x14ac:dyDescent="0.2">
      <c r="A676" t="s">
        <v>2280</v>
      </c>
      <c r="B676" t="s">
        <v>1443</v>
      </c>
      <c r="C676">
        <v>50.59</v>
      </c>
      <c r="D676" t="s">
        <v>608</v>
      </c>
      <c r="E676" t="s">
        <v>608</v>
      </c>
      <c r="F676">
        <v>15.58</v>
      </c>
      <c r="G676">
        <v>10.99</v>
      </c>
      <c r="H676">
        <v>0</v>
      </c>
      <c r="I676">
        <v>0</v>
      </c>
      <c r="J676" t="s">
        <v>608</v>
      </c>
      <c r="K676" s="28" t="s">
        <v>52</v>
      </c>
    </row>
    <row r="677" spans="1:11" x14ac:dyDescent="0.2">
      <c r="A677" t="s">
        <v>2281</v>
      </c>
      <c r="B677" t="s">
        <v>1451</v>
      </c>
      <c r="C677">
        <v>57.75</v>
      </c>
      <c r="D677" t="s">
        <v>608</v>
      </c>
      <c r="E677" t="s">
        <v>608</v>
      </c>
      <c r="F677">
        <v>39.520000000000003</v>
      </c>
      <c r="G677">
        <v>29.27</v>
      </c>
      <c r="H677">
        <v>0</v>
      </c>
      <c r="I677">
        <v>0.5</v>
      </c>
      <c r="J677" t="s">
        <v>608</v>
      </c>
      <c r="K677" s="28" t="s">
        <v>52</v>
      </c>
    </row>
    <row r="678" spans="1:11" x14ac:dyDescent="0.2">
      <c r="A678" t="s">
        <v>2282</v>
      </c>
      <c r="B678" t="s">
        <v>1451</v>
      </c>
      <c r="C678">
        <v>25.58</v>
      </c>
      <c r="D678" t="s">
        <v>608</v>
      </c>
      <c r="E678" t="s">
        <v>608</v>
      </c>
      <c r="F678">
        <v>18.13</v>
      </c>
      <c r="G678">
        <v>13.58</v>
      </c>
      <c r="H678">
        <v>3</v>
      </c>
      <c r="I678">
        <v>2</v>
      </c>
      <c r="J678" t="s">
        <v>608</v>
      </c>
      <c r="K678" s="28" t="s">
        <v>52</v>
      </c>
    </row>
    <row r="679" spans="1:11" x14ac:dyDescent="0.2">
      <c r="A679" t="s">
        <v>2283</v>
      </c>
      <c r="B679" t="s">
        <v>1451</v>
      </c>
      <c r="C679">
        <v>62.48</v>
      </c>
      <c r="D679" t="s">
        <v>608</v>
      </c>
      <c r="E679" t="s">
        <v>608</v>
      </c>
      <c r="F679">
        <v>59.15</v>
      </c>
      <c r="G679">
        <v>44.17</v>
      </c>
      <c r="H679">
        <v>0</v>
      </c>
      <c r="I679">
        <v>0</v>
      </c>
      <c r="J679" t="s">
        <v>3092</v>
      </c>
      <c r="K679" s="28" t="s">
        <v>52</v>
      </c>
    </row>
    <row r="680" spans="1:11" x14ac:dyDescent="0.2">
      <c r="A680" t="s">
        <v>2284</v>
      </c>
      <c r="B680" t="s">
        <v>1451</v>
      </c>
      <c r="C680">
        <v>65.33</v>
      </c>
      <c r="D680" t="s">
        <v>608</v>
      </c>
      <c r="E680" t="s">
        <v>608</v>
      </c>
      <c r="F680">
        <v>35.49</v>
      </c>
      <c r="G680">
        <v>26.75</v>
      </c>
      <c r="H680">
        <v>2</v>
      </c>
      <c r="I680">
        <v>2</v>
      </c>
      <c r="J680" t="s">
        <v>203</v>
      </c>
      <c r="K680" s="28" t="s">
        <v>52</v>
      </c>
    </row>
    <row r="681" spans="1:11" x14ac:dyDescent="0.2">
      <c r="A681" t="s">
        <v>2285</v>
      </c>
      <c r="B681" t="s">
        <v>1451</v>
      </c>
      <c r="C681">
        <v>57.39</v>
      </c>
      <c r="D681" t="s">
        <v>608</v>
      </c>
      <c r="E681" t="s">
        <v>608</v>
      </c>
      <c r="F681">
        <v>42.8</v>
      </c>
      <c r="G681">
        <v>30.81</v>
      </c>
      <c r="H681">
        <v>0.5</v>
      </c>
      <c r="I681">
        <v>1</v>
      </c>
      <c r="J681" t="s">
        <v>608</v>
      </c>
      <c r="K681" s="28" t="s">
        <v>52</v>
      </c>
    </row>
    <row r="682" spans="1:11" x14ac:dyDescent="0.2">
      <c r="A682" t="s">
        <v>2286</v>
      </c>
      <c r="B682" t="s">
        <v>1453</v>
      </c>
      <c r="C682">
        <v>52.03</v>
      </c>
      <c r="D682" t="s">
        <v>608</v>
      </c>
      <c r="E682" t="s">
        <v>608</v>
      </c>
      <c r="F682">
        <v>26.84</v>
      </c>
      <c r="G682">
        <v>17.97</v>
      </c>
      <c r="H682">
        <v>0.5</v>
      </c>
      <c r="I682">
        <v>0.5</v>
      </c>
      <c r="J682" t="s">
        <v>128</v>
      </c>
      <c r="K682" s="28" t="s">
        <v>52</v>
      </c>
    </row>
    <row r="683" spans="1:11" x14ac:dyDescent="0.2">
      <c r="A683" t="s">
        <v>2287</v>
      </c>
      <c r="B683" t="s">
        <v>1453</v>
      </c>
      <c r="C683">
        <v>49.47</v>
      </c>
      <c r="D683" t="s">
        <v>608</v>
      </c>
      <c r="E683" t="s">
        <v>608</v>
      </c>
      <c r="F683">
        <v>31.95</v>
      </c>
      <c r="G683">
        <v>24.06</v>
      </c>
      <c r="H683">
        <v>0</v>
      </c>
      <c r="I683">
        <v>0</v>
      </c>
      <c r="J683" t="s">
        <v>608</v>
      </c>
      <c r="K683" s="28" t="s">
        <v>52</v>
      </c>
    </row>
    <row r="684" spans="1:11" x14ac:dyDescent="0.2">
      <c r="A684" t="s">
        <v>2288</v>
      </c>
      <c r="B684" t="s">
        <v>1453</v>
      </c>
      <c r="C684">
        <v>41.77</v>
      </c>
      <c r="D684" t="s">
        <v>608</v>
      </c>
      <c r="E684" t="s">
        <v>608</v>
      </c>
      <c r="F684">
        <v>14.97</v>
      </c>
      <c r="G684">
        <v>11.39</v>
      </c>
      <c r="H684">
        <v>0.5</v>
      </c>
      <c r="I684">
        <v>0</v>
      </c>
      <c r="J684" t="s">
        <v>608</v>
      </c>
      <c r="K684" s="28" t="s">
        <v>52</v>
      </c>
    </row>
    <row r="685" spans="1:11" x14ac:dyDescent="0.2">
      <c r="A685" t="s">
        <v>2289</v>
      </c>
      <c r="B685" t="s">
        <v>1453</v>
      </c>
      <c r="C685">
        <v>44.67</v>
      </c>
      <c r="D685" t="s">
        <v>608</v>
      </c>
      <c r="E685" t="s">
        <v>608</v>
      </c>
      <c r="F685">
        <v>31.82</v>
      </c>
      <c r="G685">
        <v>20.010000000000002</v>
      </c>
      <c r="H685">
        <v>0</v>
      </c>
      <c r="I685">
        <v>0.5</v>
      </c>
      <c r="J685" t="s">
        <v>608</v>
      </c>
      <c r="K685" s="28" t="s">
        <v>52</v>
      </c>
    </row>
    <row r="686" spans="1:11" x14ac:dyDescent="0.2">
      <c r="A686" t="s">
        <v>2290</v>
      </c>
      <c r="B686" t="s">
        <v>1453</v>
      </c>
      <c r="C686">
        <v>44.48</v>
      </c>
      <c r="D686" t="s">
        <v>608</v>
      </c>
      <c r="E686" t="s">
        <v>608</v>
      </c>
      <c r="F686">
        <v>31.89</v>
      </c>
      <c r="G686">
        <v>23.54</v>
      </c>
      <c r="H686">
        <v>0</v>
      </c>
      <c r="I686">
        <v>0</v>
      </c>
      <c r="J686" t="s">
        <v>277</v>
      </c>
      <c r="K686" s="28" t="s">
        <v>52</v>
      </c>
    </row>
    <row r="687" spans="1:11" x14ac:dyDescent="0.2">
      <c r="A687" t="s">
        <v>2291</v>
      </c>
      <c r="B687" t="s">
        <v>1455</v>
      </c>
      <c r="C687">
        <v>56.49</v>
      </c>
      <c r="D687" t="s">
        <v>608</v>
      </c>
      <c r="E687" t="s">
        <v>608</v>
      </c>
      <c r="F687">
        <v>27</v>
      </c>
      <c r="G687">
        <v>21.7</v>
      </c>
      <c r="H687">
        <v>0</v>
      </c>
      <c r="I687">
        <v>0.5</v>
      </c>
      <c r="J687" t="s">
        <v>608</v>
      </c>
      <c r="K687" s="28" t="s">
        <v>52</v>
      </c>
    </row>
    <row r="688" spans="1:11" x14ac:dyDescent="0.2">
      <c r="A688" t="s">
        <v>2292</v>
      </c>
      <c r="B688" t="s">
        <v>1455</v>
      </c>
      <c r="C688">
        <v>46.01</v>
      </c>
      <c r="D688" t="s">
        <v>608</v>
      </c>
      <c r="E688" t="s">
        <v>608</v>
      </c>
      <c r="F688">
        <v>20.48</v>
      </c>
      <c r="G688">
        <v>15.43</v>
      </c>
      <c r="H688">
        <v>0.5</v>
      </c>
      <c r="I688">
        <v>0</v>
      </c>
      <c r="J688" t="s">
        <v>608</v>
      </c>
      <c r="K688" s="28" t="s">
        <v>52</v>
      </c>
    </row>
    <row r="689" spans="1:11" x14ac:dyDescent="0.2">
      <c r="A689" t="s">
        <v>2293</v>
      </c>
      <c r="B689" t="s">
        <v>1455</v>
      </c>
      <c r="C689">
        <v>45.04</v>
      </c>
      <c r="D689" t="s">
        <v>608</v>
      </c>
      <c r="E689" t="s">
        <v>608</v>
      </c>
      <c r="F689">
        <v>35.79</v>
      </c>
      <c r="G689">
        <v>29.13</v>
      </c>
      <c r="H689">
        <v>0</v>
      </c>
      <c r="I689">
        <v>0</v>
      </c>
      <c r="J689" t="s">
        <v>608</v>
      </c>
      <c r="K689" s="28" t="s">
        <v>52</v>
      </c>
    </row>
    <row r="690" spans="1:11" x14ac:dyDescent="0.2">
      <c r="A690" t="s">
        <v>2294</v>
      </c>
      <c r="B690" t="s">
        <v>1455</v>
      </c>
      <c r="C690">
        <v>47.95</v>
      </c>
      <c r="D690" t="s">
        <v>608</v>
      </c>
      <c r="E690" t="s">
        <v>608</v>
      </c>
      <c r="F690">
        <v>33.5</v>
      </c>
      <c r="G690">
        <v>24.4</v>
      </c>
      <c r="H690">
        <v>0</v>
      </c>
      <c r="I690">
        <v>0</v>
      </c>
      <c r="J690" t="s">
        <v>608</v>
      </c>
      <c r="K690" s="28" t="s">
        <v>52</v>
      </c>
    </row>
    <row r="691" spans="1:11" x14ac:dyDescent="0.2">
      <c r="A691" t="s">
        <v>2295</v>
      </c>
      <c r="B691" t="s">
        <v>1455</v>
      </c>
      <c r="C691">
        <v>45.95</v>
      </c>
      <c r="D691" t="s">
        <v>608</v>
      </c>
      <c r="E691" t="s">
        <v>608</v>
      </c>
      <c r="F691">
        <v>19.71</v>
      </c>
      <c r="G691">
        <v>13.64</v>
      </c>
      <c r="H691">
        <v>0</v>
      </c>
      <c r="I691">
        <v>0</v>
      </c>
      <c r="J691" t="s">
        <v>608</v>
      </c>
      <c r="K691" s="28" t="s">
        <v>52</v>
      </c>
    </row>
    <row r="692" spans="1:11" x14ac:dyDescent="0.2">
      <c r="A692" t="s">
        <v>2296</v>
      </c>
      <c r="B692" t="s">
        <v>1463</v>
      </c>
      <c r="C692">
        <v>59.77</v>
      </c>
      <c r="D692" t="s">
        <v>608</v>
      </c>
      <c r="E692" t="s">
        <v>608</v>
      </c>
      <c r="F692">
        <v>51.89</v>
      </c>
      <c r="G692">
        <v>39.01</v>
      </c>
      <c r="H692">
        <v>0</v>
      </c>
      <c r="I692">
        <v>0</v>
      </c>
      <c r="J692" t="s">
        <v>608</v>
      </c>
      <c r="K692" s="28" t="s">
        <v>52</v>
      </c>
    </row>
    <row r="693" spans="1:11" x14ac:dyDescent="0.2">
      <c r="A693" t="s">
        <v>2297</v>
      </c>
      <c r="B693" t="s">
        <v>1463</v>
      </c>
      <c r="C693">
        <v>48.13</v>
      </c>
      <c r="D693" t="s">
        <v>608</v>
      </c>
      <c r="E693" t="s">
        <v>608</v>
      </c>
      <c r="F693">
        <v>12.61</v>
      </c>
      <c r="G693">
        <v>9.57</v>
      </c>
      <c r="H693">
        <v>0</v>
      </c>
      <c r="I693">
        <v>0</v>
      </c>
      <c r="J693" t="s">
        <v>608</v>
      </c>
      <c r="K693" s="28" t="s">
        <v>52</v>
      </c>
    </row>
    <row r="694" spans="1:11" x14ac:dyDescent="0.2">
      <c r="A694" t="s">
        <v>2298</v>
      </c>
      <c r="B694" t="s">
        <v>1463</v>
      </c>
      <c r="C694">
        <v>35.729999999999997</v>
      </c>
      <c r="D694" t="s">
        <v>608</v>
      </c>
      <c r="E694" t="s">
        <v>608</v>
      </c>
      <c r="F694">
        <v>16.07</v>
      </c>
      <c r="G694">
        <v>12.42</v>
      </c>
      <c r="H694">
        <v>0</v>
      </c>
      <c r="I694">
        <v>0</v>
      </c>
      <c r="J694" t="s">
        <v>608</v>
      </c>
      <c r="K694" s="28" t="s">
        <v>52</v>
      </c>
    </row>
    <row r="695" spans="1:11" x14ac:dyDescent="0.2">
      <c r="A695" t="s">
        <v>2299</v>
      </c>
      <c r="B695" t="s">
        <v>1463</v>
      </c>
      <c r="C695">
        <v>36.56</v>
      </c>
      <c r="D695" t="s">
        <v>608</v>
      </c>
      <c r="E695" t="s">
        <v>608</v>
      </c>
      <c r="F695">
        <v>10.54</v>
      </c>
      <c r="G695">
        <v>8.16</v>
      </c>
      <c r="H695">
        <v>0.5</v>
      </c>
      <c r="I695">
        <v>0</v>
      </c>
      <c r="J695" t="s">
        <v>608</v>
      </c>
      <c r="K695" s="28" t="s">
        <v>52</v>
      </c>
    </row>
    <row r="696" spans="1:11" x14ac:dyDescent="0.2">
      <c r="A696" t="s">
        <v>2300</v>
      </c>
      <c r="B696" t="s">
        <v>1463</v>
      </c>
      <c r="C696">
        <v>39.58</v>
      </c>
      <c r="D696" t="s">
        <v>608</v>
      </c>
      <c r="E696" t="s">
        <v>608</v>
      </c>
      <c r="F696">
        <v>15.8</v>
      </c>
      <c r="G696">
        <v>11.79</v>
      </c>
      <c r="H696">
        <v>2</v>
      </c>
      <c r="I696">
        <v>3</v>
      </c>
      <c r="J696" t="s">
        <v>608</v>
      </c>
      <c r="K696" s="28" t="s">
        <v>52</v>
      </c>
    </row>
    <row r="697" spans="1:11" x14ac:dyDescent="0.2">
      <c r="A697" t="s">
        <v>2301</v>
      </c>
      <c r="B697" t="s">
        <v>1465</v>
      </c>
      <c r="C697">
        <v>66.650000000000006</v>
      </c>
      <c r="D697" t="s">
        <v>608</v>
      </c>
      <c r="E697" t="s">
        <v>608</v>
      </c>
      <c r="F697">
        <v>49.33</v>
      </c>
      <c r="G697">
        <v>32.24</v>
      </c>
      <c r="H697">
        <v>0.5</v>
      </c>
      <c r="I697">
        <v>0</v>
      </c>
      <c r="J697" t="s">
        <v>608</v>
      </c>
      <c r="K697" s="28" t="s">
        <v>52</v>
      </c>
    </row>
    <row r="698" spans="1:11" x14ac:dyDescent="0.2">
      <c r="A698" t="s">
        <v>2302</v>
      </c>
      <c r="B698" t="s">
        <v>1465</v>
      </c>
      <c r="C698">
        <v>67.42</v>
      </c>
      <c r="D698" t="s">
        <v>608</v>
      </c>
      <c r="E698" t="s">
        <v>608</v>
      </c>
      <c r="F698">
        <v>47.92</v>
      </c>
      <c r="G698">
        <v>36.549999999999997</v>
      </c>
      <c r="H698">
        <v>0</v>
      </c>
      <c r="I698">
        <v>0.5</v>
      </c>
      <c r="J698" t="s">
        <v>608</v>
      </c>
      <c r="K698" s="28" t="s">
        <v>52</v>
      </c>
    </row>
    <row r="699" spans="1:11" x14ac:dyDescent="0.2">
      <c r="A699" t="s">
        <v>2303</v>
      </c>
      <c r="B699" t="s">
        <v>1465</v>
      </c>
      <c r="C699">
        <v>53.72</v>
      </c>
      <c r="D699" t="s">
        <v>608</v>
      </c>
      <c r="E699" t="s">
        <v>608</v>
      </c>
      <c r="F699">
        <v>34.35</v>
      </c>
      <c r="G699">
        <v>25.6</v>
      </c>
      <c r="H699">
        <v>0.5</v>
      </c>
      <c r="I699">
        <v>0</v>
      </c>
      <c r="J699" t="s">
        <v>608</v>
      </c>
      <c r="K699" s="28" t="s">
        <v>52</v>
      </c>
    </row>
    <row r="700" spans="1:11" x14ac:dyDescent="0.2">
      <c r="A700" t="s">
        <v>2304</v>
      </c>
      <c r="B700" t="s">
        <v>1465</v>
      </c>
      <c r="C700">
        <v>75.36</v>
      </c>
      <c r="D700" t="s">
        <v>608</v>
      </c>
      <c r="E700" t="s">
        <v>608</v>
      </c>
      <c r="F700">
        <v>100.48</v>
      </c>
      <c r="G700">
        <v>77.52</v>
      </c>
      <c r="H700">
        <v>0</v>
      </c>
      <c r="I700">
        <v>0</v>
      </c>
      <c r="J700" t="s">
        <v>3093</v>
      </c>
      <c r="K700" s="28" t="s">
        <v>52</v>
      </c>
    </row>
    <row r="701" spans="1:11" x14ac:dyDescent="0.2">
      <c r="A701" t="s">
        <v>2305</v>
      </c>
      <c r="B701" t="s">
        <v>1465</v>
      </c>
      <c r="C701">
        <v>54.87</v>
      </c>
      <c r="D701" t="s">
        <v>608</v>
      </c>
      <c r="E701" t="s">
        <v>608</v>
      </c>
      <c r="F701">
        <v>40.72</v>
      </c>
      <c r="G701">
        <v>31.81</v>
      </c>
      <c r="H701">
        <v>0</v>
      </c>
      <c r="I701">
        <v>0</v>
      </c>
      <c r="J701" t="s">
        <v>608</v>
      </c>
      <c r="K701" s="28" t="s">
        <v>52</v>
      </c>
    </row>
    <row r="702" spans="1:11" x14ac:dyDescent="0.2">
      <c r="A702" t="s">
        <v>2306</v>
      </c>
      <c r="B702" t="s">
        <v>1467</v>
      </c>
      <c r="C702">
        <v>54.05</v>
      </c>
      <c r="D702" t="s">
        <v>608</v>
      </c>
      <c r="E702" t="s">
        <v>608</v>
      </c>
      <c r="F702">
        <v>21.81</v>
      </c>
      <c r="G702">
        <v>16.170000000000002</v>
      </c>
      <c r="H702">
        <v>0</v>
      </c>
      <c r="I702">
        <v>0</v>
      </c>
      <c r="J702" t="s">
        <v>608</v>
      </c>
      <c r="K702" s="28" t="s">
        <v>52</v>
      </c>
    </row>
    <row r="703" spans="1:11" x14ac:dyDescent="0.2">
      <c r="A703" t="s">
        <v>2307</v>
      </c>
      <c r="B703" t="s">
        <v>1467</v>
      </c>
      <c r="C703">
        <v>48.67</v>
      </c>
      <c r="D703" t="s">
        <v>608</v>
      </c>
      <c r="E703" t="s">
        <v>608</v>
      </c>
      <c r="F703">
        <v>38.69</v>
      </c>
      <c r="G703">
        <v>30.69</v>
      </c>
      <c r="H703">
        <v>0</v>
      </c>
      <c r="I703">
        <v>0</v>
      </c>
      <c r="J703" t="s">
        <v>608</v>
      </c>
      <c r="K703" s="28" t="s">
        <v>52</v>
      </c>
    </row>
    <row r="704" spans="1:11" x14ac:dyDescent="0.2">
      <c r="A704" t="s">
        <v>2308</v>
      </c>
      <c r="B704" t="s">
        <v>1467</v>
      </c>
      <c r="C704">
        <v>40.61</v>
      </c>
      <c r="D704" t="s">
        <v>608</v>
      </c>
      <c r="E704" t="s">
        <v>608</v>
      </c>
      <c r="F704">
        <v>25.67</v>
      </c>
      <c r="G704">
        <v>21.02</v>
      </c>
      <c r="H704">
        <v>0</v>
      </c>
      <c r="I704">
        <v>0</v>
      </c>
      <c r="J704" t="s">
        <v>608</v>
      </c>
      <c r="K704" s="28" t="s">
        <v>52</v>
      </c>
    </row>
    <row r="705" spans="1:11" x14ac:dyDescent="0.2">
      <c r="A705" t="s">
        <v>2309</v>
      </c>
      <c r="B705" t="s">
        <v>1467</v>
      </c>
      <c r="C705">
        <v>50.66</v>
      </c>
      <c r="D705" t="s">
        <v>608</v>
      </c>
      <c r="E705" t="s">
        <v>608</v>
      </c>
      <c r="F705">
        <v>14.75</v>
      </c>
      <c r="G705">
        <v>10.89</v>
      </c>
      <c r="H705">
        <v>0</v>
      </c>
      <c r="I705">
        <v>0.5</v>
      </c>
      <c r="J705" t="s">
        <v>608</v>
      </c>
      <c r="K705" s="28" t="s">
        <v>52</v>
      </c>
    </row>
    <row r="706" spans="1:11" x14ac:dyDescent="0.2">
      <c r="A706" t="s">
        <v>2310</v>
      </c>
      <c r="B706" t="s">
        <v>1467</v>
      </c>
      <c r="C706">
        <v>40.159999999999997</v>
      </c>
      <c r="D706" t="s">
        <v>608</v>
      </c>
      <c r="E706" t="s">
        <v>608</v>
      </c>
      <c r="F706">
        <v>9.51</v>
      </c>
      <c r="G706">
        <v>7.63</v>
      </c>
      <c r="H706">
        <v>0</v>
      </c>
      <c r="I706">
        <v>0</v>
      </c>
      <c r="J706" t="s">
        <v>608</v>
      </c>
      <c r="K706" s="28" t="s">
        <v>52</v>
      </c>
    </row>
    <row r="707" spans="1:11" x14ac:dyDescent="0.2">
      <c r="A707" t="s">
        <v>50</v>
      </c>
      <c r="B707" t="s">
        <v>51</v>
      </c>
      <c r="C707">
        <v>66.599999999999994</v>
      </c>
      <c r="D707" t="s">
        <v>608</v>
      </c>
      <c r="E707" t="s">
        <v>608</v>
      </c>
      <c r="F707">
        <v>72.16</v>
      </c>
      <c r="G707">
        <v>55.91</v>
      </c>
      <c r="H707">
        <v>1</v>
      </c>
      <c r="I707">
        <v>2</v>
      </c>
      <c r="J707" t="s">
        <v>608</v>
      </c>
      <c r="K707" s="28" t="s">
        <v>52</v>
      </c>
    </row>
    <row r="708" spans="1:11" x14ac:dyDescent="0.2">
      <c r="A708" t="s">
        <v>53</v>
      </c>
      <c r="B708" t="s">
        <v>51</v>
      </c>
      <c r="C708">
        <v>69.069999999999993</v>
      </c>
      <c r="D708" t="s">
        <v>608</v>
      </c>
      <c r="E708" t="s">
        <v>608</v>
      </c>
      <c r="F708">
        <v>56.97</v>
      </c>
      <c r="G708">
        <v>41.49</v>
      </c>
      <c r="H708">
        <v>0</v>
      </c>
      <c r="I708">
        <v>0.5</v>
      </c>
      <c r="J708" t="s">
        <v>608</v>
      </c>
      <c r="K708" s="28" t="s">
        <v>52</v>
      </c>
    </row>
    <row r="709" spans="1:11" x14ac:dyDescent="0.2">
      <c r="A709" t="s">
        <v>54</v>
      </c>
      <c r="B709" t="s">
        <v>51</v>
      </c>
      <c r="C709">
        <v>59.71</v>
      </c>
      <c r="D709" t="s">
        <v>608</v>
      </c>
      <c r="E709" t="s">
        <v>608</v>
      </c>
      <c r="F709">
        <v>27.76</v>
      </c>
      <c r="G709">
        <v>19.440000000000001</v>
      </c>
      <c r="H709">
        <v>0</v>
      </c>
      <c r="I709">
        <v>0</v>
      </c>
      <c r="J709" t="s">
        <v>608</v>
      </c>
      <c r="K709" s="28" t="s">
        <v>52</v>
      </c>
    </row>
    <row r="710" spans="1:11" x14ac:dyDescent="0.2">
      <c r="A710" t="s">
        <v>55</v>
      </c>
      <c r="B710" t="s">
        <v>51</v>
      </c>
      <c r="C710">
        <v>38.619999999999997</v>
      </c>
      <c r="D710" t="s">
        <v>608</v>
      </c>
      <c r="E710" t="s">
        <v>608</v>
      </c>
      <c r="F710">
        <v>10.88</v>
      </c>
      <c r="G710">
        <v>7.69</v>
      </c>
      <c r="H710">
        <v>0</v>
      </c>
      <c r="I710">
        <v>0</v>
      </c>
      <c r="J710" t="s">
        <v>608</v>
      </c>
      <c r="K710" s="28" t="s">
        <v>52</v>
      </c>
    </row>
    <row r="711" spans="1:11" x14ac:dyDescent="0.2">
      <c r="A711" t="s">
        <v>56</v>
      </c>
      <c r="B711" t="s">
        <v>51</v>
      </c>
      <c r="C711">
        <v>33.44</v>
      </c>
      <c r="D711" t="s">
        <v>608</v>
      </c>
      <c r="E711" t="s">
        <v>608</v>
      </c>
      <c r="F711">
        <v>15.46</v>
      </c>
      <c r="G711">
        <v>11.68</v>
      </c>
      <c r="H711">
        <v>0</v>
      </c>
      <c r="I711">
        <v>0</v>
      </c>
      <c r="J711" t="s">
        <v>608</v>
      </c>
      <c r="K711" s="28" t="s">
        <v>52</v>
      </c>
    </row>
    <row r="712" spans="1:11" x14ac:dyDescent="0.2">
      <c r="A712" t="s">
        <v>57</v>
      </c>
      <c r="B712" t="s">
        <v>58</v>
      </c>
      <c r="C712">
        <v>44.37</v>
      </c>
      <c r="D712" t="s">
        <v>608</v>
      </c>
      <c r="E712" t="s">
        <v>608</v>
      </c>
      <c r="F712">
        <v>24.73</v>
      </c>
      <c r="G712">
        <v>19.63</v>
      </c>
      <c r="H712">
        <v>0</v>
      </c>
      <c r="I712">
        <v>0</v>
      </c>
      <c r="J712" t="s">
        <v>59</v>
      </c>
      <c r="K712" s="28" t="s">
        <v>52</v>
      </c>
    </row>
    <row r="713" spans="1:11" x14ac:dyDescent="0.2">
      <c r="A713" t="s">
        <v>60</v>
      </c>
      <c r="B713" t="s">
        <v>58</v>
      </c>
      <c r="C713">
        <v>47.51</v>
      </c>
      <c r="D713" t="s">
        <v>608</v>
      </c>
      <c r="E713" t="s">
        <v>608</v>
      </c>
      <c r="F713">
        <v>17.5</v>
      </c>
      <c r="G713">
        <v>13.92</v>
      </c>
      <c r="H713">
        <v>0</v>
      </c>
      <c r="I713">
        <v>0</v>
      </c>
      <c r="J713" t="s">
        <v>608</v>
      </c>
      <c r="K713" s="28" t="s">
        <v>52</v>
      </c>
    </row>
    <row r="714" spans="1:11" x14ac:dyDescent="0.2">
      <c r="A714" t="s">
        <v>61</v>
      </c>
      <c r="B714" t="s">
        <v>58</v>
      </c>
      <c r="C714">
        <v>42.9</v>
      </c>
      <c r="D714" t="s">
        <v>608</v>
      </c>
      <c r="E714" t="s">
        <v>608</v>
      </c>
      <c r="F714">
        <v>20.87</v>
      </c>
      <c r="G714">
        <v>17.829999999999998</v>
      </c>
      <c r="H714">
        <v>0</v>
      </c>
      <c r="I714">
        <v>1</v>
      </c>
      <c r="J714" t="s">
        <v>608</v>
      </c>
      <c r="K714" s="28" t="s">
        <v>52</v>
      </c>
    </row>
    <row r="715" spans="1:11" x14ac:dyDescent="0.2">
      <c r="A715" t="s">
        <v>62</v>
      </c>
      <c r="B715" t="s">
        <v>58</v>
      </c>
      <c r="C715">
        <v>63.69</v>
      </c>
      <c r="D715" t="s">
        <v>608</v>
      </c>
      <c r="E715" t="s">
        <v>608</v>
      </c>
      <c r="F715">
        <v>41.53</v>
      </c>
      <c r="G715">
        <v>31.6</v>
      </c>
      <c r="H715">
        <v>0</v>
      </c>
      <c r="I715">
        <v>0</v>
      </c>
      <c r="J715" t="s">
        <v>63</v>
      </c>
      <c r="K715" s="28" t="s">
        <v>52</v>
      </c>
    </row>
    <row r="716" spans="1:11" x14ac:dyDescent="0.2">
      <c r="A716" t="s">
        <v>64</v>
      </c>
      <c r="B716" t="s">
        <v>58</v>
      </c>
      <c r="C716">
        <v>49.96</v>
      </c>
      <c r="D716" t="s">
        <v>608</v>
      </c>
      <c r="E716" t="s">
        <v>608</v>
      </c>
      <c r="F716">
        <v>33.76</v>
      </c>
      <c r="G716">
        <v>29.19</v>
      </c>
      <c r="H716">
        <v>0</v>
      </c>
      <c r="I716">
        <v>0.5</v>
      </c>
      <c r="J716" t="s">
        <v>65</v>
      </c>
      <c r="K716" s="28" t="s">
        <v>52</v>
      </c>
    </row>
    <row r="717" spans="1:11" x14ac:dyDescent="0.2">
      <c r="A717" t="s">
        <v>66</v>
      </c>
      <c r="B717" t="s">
        <v>67</v>
      </c>
      <c r="C717">
        <v>53.12</v>
      </c>
      <c r="D717" t="s">
        <v>608</v>
      </c>
      <c r="E717" t="s">
        <v>608</v>
      </c>
      <c r="F717">
        <v>19.579999999999998</v>
      </c>
      <c r="G717">
        <v>14.88</v>
      </c>
      <c r="H717">
        <v>0</v>
      </c>
      <c r="I717">
        <v>0</v>
      </c>
      <c r="J717" t="s">
        <v>608</v>
      </c>
      <c r="K717" s="28" t="s">
        <v>52</v>
      </c>
    </row>
    <row r="718" spans="1:11" x14ac:dyDescent="0.2">
      <c r="A718" t="s">
        <v>68</v>
      </c>
      <c r="B718" t="s">
        <v>67</v>
      </c>
      <c r="C718">
        <v>50.64</v>
      </c>
      <c r="D718" t="s">
        <v>608</v>
      </c>
      <c r="E718" t="s">
        <v>608</v>
      </c>
      <c r="F718">
        <v>31.18</v>
      </c>
      <c r="G718">
        <v>23.22</v>
      </c>
      <c r="H718">
        <v>0</v>
      </c>
      <c r="I718">
        <v>0.5</v>
      </c>
      <c r="J718" t="s">
        <v>608</v>
      </c>
      <c r="K718" s="28" t="s">
        <v>52</v>
      </c>
    </row>
    <row r="719" spans="1:11" x14ac:dyDescent="0.2">
      <c r="A719" t="s">
        <v>69</v>
      </c>
      <c r="B719" t="s">
        <v>67</v>
      </c>
      <c r="C719">
        <v>48.4</v>
      </c>
      <c r="D719" t="s">
        <v>608</v>
      </c>
      <c r="E719" t="s">
        <v>608</v>
      </c>
      <c r="F719">
        <v>20.37</v>
      </c>
      <c r="G719">
        <v>15.47</v>
      </c>
      <c r="H719">
        <v>0</v>
      </c>
      <c r="I719">
        <v>0</v>
      </c>
      <c r="J719" t="s">
        <v>608</v>
      </c>
      <c r="K719" s="28" t="s">
        <v>52</v>
      </c>
    </row>
    <row r="720" spans="1:11" x14ac:dyDescent="0.2">
      <c r="A720" t="s">
        <v>70</v>
      </c>
      <c r="B720" t="s">
        <v>67</v>
      </c>
      <c r="C720">
        <v>36.880000000000003</v>
      </c>
      <c r="D720" t="s">
        <v>608</v>
      </c>
      <c r="E720" t="s">
        <v>608</v>
      </c>
      <c r="F720">
        <v>14.51</v>
      </c>
      <c r="G720">
        <v>12.43</v>
      </c>
      <c r="H720">
        <v>1</v>
      </c>
      <c r="I720">
        <v>1</v>
      </c>
      <c r="J720" t="s">
        <v>608</v>
      </c>
      <c r="K720" s="28" t="s">
        <v>52</v>
      </c>
    </row>
    <row r="721" spans="1:11" x14ac:dyDescent="0.2">
      <c r="A721" t="s">
        <v>71</v>
      </c>
      <c r="B721" t="s">
        <v>67</v>
      </c>
      <c r="C721">
        <v>50.56</v>
      </c>
      <c r="D721" t="s">
        <v>608</v>
      </c>
      <c r="E721" t="s">
        <v>608</v>
      </c>
      <c r="F721">
        <v>27.73</v>
      </c>
      <c r="G721">
        <v>22.86</v>
      </c>
      <c r="H721">
        <v>0</v>
      </c>
      <c r="I721">
        <v>0</v>
      </c>
      <c r="J721" t="s">
        <v>608</v>
      </c>
      <c r="K721" s="28" t="s">
        <v>52</v>
      </c>
    </row>
    <row r="722" spans="1:11" x14ac:dyDescent="0.2">
      <c r="A722" t="s">
        <v>72</v>
      </c>
      <c r="B722" t="s">
        <v>73</v>
      </c>
      <c r="C722">
        <v>43.56</v>
      </c>
      <c r="D722" t="s">
        <v>608</v>
      </c>
      <c r="E722" t="s">
        <v>608</v>
      </c>
      <c r="F722">
        <v>31.7</v>
      </c>
      <c r="G722">
        <v>23.25</v>
      </c>
      <c r="H722">
        <v>0</v>
      </c>
      <c r="I722">
        <v>0</v>
      </c>
      <c r="J722" t="s">
        <v>608</v>
      </c>
      <c r="K722" s="28" t="s">
        <v>52</v>
      </c>
    </row>
    <row r="723" spans="1:11" x14ac:dyDescent="0.2">
      <c r="A723" t="s">
        <v>74</v>
      </c>
      <c r="B723" t="s">
        <v>73</v>
      </c>
      <c r="C723">
        <v>32.17</v>
      </c>
      <c r="D723" t="s">
        <v>608</v>
      </c>
      <c r="E723" t="s">
        <v>608</v>
      </c>
      <c r="F723">
        <v>9.6</v>
      </c>
      <c r="G723">
        <v>6.89</v>
      </c>
      <c r="H723">
        <v>0</v>
      </c>
      <c r="I723">
        <v>0</v>
      </c>
      <c r="J723" t="s">
        <v>75</v>
      </c>
      <c r="K723" s="28" t="s">
        <v>52</v>
      </c>
    </row>
    <row r="724" spans="1:11" x14ac:dyDescent="0.2">
      <c r="A724" t="s">
        <v>76</v>
      </c>
      <c r="B724" t="s">
        <v>73</v>
      </c>
      <c r="C724">
        <v>36.57</v>
      </c>
      <c r="D724" t="s">
        <v>608</v>
      </c>
      <c r="E724" t="s">
        <v>608</v>
      </c>
      <c r="F724">
        <v>18.86</v>
      </c>
      <c r="G724">
        <v>13.6</v>
      </c>
      <c r="H724">
        <v>0</v>
      </c>
      <c r="I724">
        <v>0</v>
      </c>
      <c r="J724" t="s">
        <v>608</v>
      </c>
      <c r="K724" s="28" t="s">
        <v>52</v>
      </c>
    </row>
    <row r="725" spans="1:11" x14ac:dyDescent="0.2">
      <c r="A725" t="s">
        <v>77</v>
      </c>
      <c r="B725" t="s">
        <v>73</v>
      </c>
      <c r="C725">
        <v>43.82</v>
      </c>
      <c r="D725" t="s">
        <v>608</v>
      </c>
      <c r="E725" t="s">
        <v>608</v>
      </c>
      <c r="F725">
        <v>12.65</v>
      </c>
      <c r="G725">
        <v>8.6</v>
      </c>
      <c r="H725">
        <v>0.5</v>
      </c>
      <c r="I725">
        <v>0</v>
      </c>
      <c r="J725" t="s">
        <v>608</v>
      </c>
      <c r="K725" s="28" t="s">
        <v>52</v>
      </c>
    </row>
    <row r="726" spans="1:11" x14ac:dyDescent="0.2">
      <c r="A726" t="s">
        <v>78</v>
      </c>
      <c r="B726" t="s">
        <v>73</v>
      </c>
      <c r="C726">
        <v>52.81</v>
      </c>
      <c r="D726" t="s">
        <v>608</v>
      </c>
      <c r="E726" t="s">
        <v>608</v>
      </c>
      <c r="F726">
        <v>35.729999999999997</v>
      </c>
      <c r="G726">
        <v>28.23</v>
      </c>
      <c r="H726">
        <v>0.5</v>
      </c>
      <c r="I726">
        <v>0</v>
      </c>
      <c r="J726" t="s">
        <v>608</v>
      </c>
      <c r="K726" s="28" t="s">
        <v>52</v>
      </c>
    </row>
    <row r="727" spans="1:11" x14ac:dyDescent="0.2">
      <c r="A727" t="s">
        <v>79</v>
      </c>
      <c r="B727" t="s">
        <v>80</v>
      </c>
      <c r="C727">
        <v>53.39</v>
      </c>
      <c r="D727" t="s">
        <v>608</v>
      </c>
      <c r="E727" t="s">
        <v>608</v>
      </c>
      <c r="F727">
        <v>19.93</v>
      </c>
      <c r="G727">
        <v>14.31</v>
      </c>
      <c r="H727">
        <v>0</v>
      </c>
      <c r="I727">
        <v>0</v>
      </c>
      <c r="J727" t="s">
        <v>608</v>
      </c>
      <c r="K727" s="28" t="s">
        <v>52</v>
      </c>
    </row>
    <row r="728" spans="1:11" x14ac:dyDescent="0.2">
      <c r="A728" t="s">
        <v>81</v>
      </c>
      <c r="B728" t="s">
        <v>80</v>
      </c>
      <c r="C728">
        <v>51.36</v>
      </c>
      <c r="D728" t="s">
        <v>608</v>
      </c>
      <c r="E728" t="s">
        <v>608</v>
      </c>
      <c r="F728">
        <v>41.81</v>
      </c>
      <c r="G728">
        <v>28.23</v>
      </c>
      <c r="H728">
        <v>0</v>
      </c>
      <c r="I728">
        <v>0.5</v>
      </c>
      <c r="J728" t="s">
        <v>608</v>
      </c>
      <c r="K728" s="28" t="s">
        <v>52</v>
      </c>
    </row>
    <row r="729" spans="1:11" x14ac:dyDescent="0.2">
      <c r="A729" t="s">
        <v>82</v>
      </c>
      <c r="B729" t="s">
        <v>80</v>
      </c>
      <c r="C729">
        <v>49.6</v>
      </c>
      <c r="D729" t="s">
        <v>608</v>
      </c>
      <c r="E729" t="s">
        <v>608</v>
      </c>
      <c r="F729">
        <v>39.04</v>
      </c>
      <c r="G729">
        <v>28.26</v>
      </c>
      <c r="H729">
        <v>0</v>
      </c>
      <c r="I729">
        <v>0</v>
      </c>
      <c r="J729" t="s">
        <v>83</v>
      </c>
      <c r="K729" s="28" t="s">
        <v>52</v>
      </c>
    </row>
    <row r="730" spans="1:11" x14ac:dyDescent="0.2">
      <c r="A730" t="s">
        <v>84</v>
      </c>
      <c r="B730" t="s">
        <v>80</v>
      </c>
      <c r="C730">
        <v>54.95</v>
      </c>
      <c r="D730" t="s">
        <v>608</v>
      </c>
      <c r="E730" t="s">
        <v>608</v>
      </c>
      <c r="F730">
        <v>47.98</v>
      </c>
      <c r="G730">
        <v>34.36</v>
      </c>
      <c r="H730">
        <v>0.5</v>
      </c>
      <c r="I730">
        <v>0</v>
      </c>
      <c r="J730" t="s">
        <v>608</v>
      </c>
      <c r="K730" s="28" t="s">
        <v>52</v>
      </c>
    </row>
    <row r="731" spans="1:11" x14ac:dyDescent="0.2">
      <c r="A731" t="s">
        <v>85</v>
      </c>
      <c r="B731" t="s">
        <v>80</v>
      </c>
      <c r="C731">
        <v>56.46</v>
      </c>
      <c r="D731" t="s">
        <v>608</v>
      </c>
      <c r="E731" t="s">
        <v>608</v>
      </c>
      <c r="F731">
        <v>51.93</v>
      </c>
      <c r="G731">
        <v>41.95</v>
      </c>
      <c r="H731">
        <v>2</v>
      </c>
      <c r="I731">
        <v>2</v>
      </c>
      <c r="J731" t="s">
        <v>608</v>
      </c>
      <c r="K731" s="28" t="s">
        <v>52</v>
      </c>
    </row>
    <row r="732" spans="1:11" x14ac:dyDescent="0.2">
      <c r="A732" t="s">
        <v>86</v>
      </c>
      <c r="B732" t="s">
        <v>87</v>
      </c>
      <c r="C732">
        <v>58.34</v>
      </c>
      <c r="D732" t="s">
        <v>608</v>
      </c>
      <c r="E732" t="s">
        <v>608</v>
      </c>
      <c r="F732">
        <v>32.57</v>
      </c>
      <c r="G732">
        <v>23.81</v>
      </c>
      <c r="H732">
        <v>0</v>
      </c>
      <c r="I732">
        <v>0</v>
      </c>
      <c r="J732" t="s">
        <v>608</v>
      </c>
      <c r="K732" t="s">
        <v>52</v>
      </c>
    </row>
    <row r="733" spans="1:11" x14ac:dyDescent="0.2">
      <c r="A733" t="s">
        <v>88</v>
      </c>
      <c r="B733" t="s">
        <v>87</v>
      </c>
      <c r="C733">
        <v>46.4</v>
      </c>
      <c r="D733" t="s">
        <v>608</v>
      </c>
      <c r="E733" t="s">
        <v>608</v>
      </c>
      <c r="F733">
        <v>17.72</v>
      </c>
      <c r="G733">
        <v>12.13</v>
      </c>
      <c r="H733">
        <v>0.5</v>
      </c>
      <c r="I733">
        <v>0</v>
      </c>
      <c r="J733" t="s">
        <v>608</v>
      </c>
      <c r="K733" t="s">
        <v>52</v>
      </c>
    </row>
    <row r="734" spans="1:11" x14ac:dyDescent="0.2">
      <c r="A734" t="s">
        <v>89</v>
      </c>
      <c r="B734" t="s">
        <v>87</v>
      </c>
      <c r="C734">
        <v>52.94</v>
      </c>
      <c r="D734" t="s">
        <v>608</v>
      </c>
      <c r="E734" t="s">
        <v>608</v>
      </c>
      <c r="F734">
        <v>21.42</v>
      </c>
      <c r="G734">
        <v>15.25</v>
      </c>
      <c r="H734">
        <v>0</v>
      </c>
      <c r="I734">
        <v>0</v>
      </c>
      <c r="J734" t="s">
        <v>608</v>
      </c>
      <c r="K734" t="s">
        <v>52</v>
      </c>
    </row>
    <row r="735" spans="1:11" x14ac:dyDescent="0.2">
      <c r="A735" t="s">
        <v>90</v>
      </c>
      <c r="B735" t="s">
        <v>87</v>
      </c>
      <c r="C735">
        <v>45.4</v>
      </c>
      <c r="D735" t="s">
        <v>608</v>
      </c>
      <c r="E735" t="s">
        <v>608</v>
      </c>
      <c r="F735">
        <v>15.58</v>
      </c>
      <c r="G735">
        <v>12.04</v>
      </c>
      <c r="H735">
        <v>0</v>
      </c>
      <c r="I735">
        <v>0</v>
      </c>
      <c r="J735" t="s">
        <v>608</v>
      </c>
      <c r="K735" t="s">
        <v>52</v>
      </c>
    </row>
    <row r="736" spans="1:11" x14ac:dyDescent="0.2">
      <c r="A736" t="s">
        <v>91</v>
      </c>
      <c r="B736" t="s">
        <v>87</v>
      </c>
      <c r="C736">
        <v>39.020000000000003</v>
      </c>
      <c r="D736" t="s">
        <v>608</v>
      </c>
      <c r="E736" t="s">
        <v>608</v>
      </c>
      <c r="F736">
        <v>12.14</v>
      </c>
      <c r="G736">
        <v>10.07</v>
      </c>
      <c r="H736">
        <v>0</v>
      </c>
      <c r="I736">
        <v>0</v>
      </c>
      <c r="J736" t="s">
        <v>608</v>
      </c>
      <c r="K736" t="s">
        <v>52</v>
      </c>
    </row>
    <row r="737" spans="1:11" x14ac:dyDescent="0.2">
      <c r="A737" t="s">
        <v>92</v>
      </c>
      <c r="B737" t="s">
        <v>93</v>
      </c>
      <c r="C737">
        <v>54.3</v>
      </c>
      <c r="D737" t="s">
        <v>608</v>
      </c>
      <c r="E737" t="s">
        <v>608</v>
      </c>
      <c r="F737">
        <v>36.19</v>
      </c>
      <c r="G737">
        <v>26.32</v>
      </c>
      <c r="H737">
        <v>0</v>
      </c>
      <c r="I737">
        <v>0.5</v>
      </c>
      <c r="J737" t="s">
        <v>608</v>
      </c>
      <c r="K737" t="s">
        <v>52</v>
      </c>
    </row>
    <row r="738" spans="1:11" x14ac:dyDescent="0.2">
      <c r="A738" t="s">
        <v>94</v>
      </c>
      <c r="B738" t="s">
        <v>93</v>
      </c>
      <c r="C738">
        <v>55.01</v>
      </c>
      <c r="D738" t="s">
        <v>608</v>
      </c>
      <c r="E738" t="s">
        <v>608</v>
      </c>
      <c r="F738">
        <v>38.96</v>
      </c>
      <c r="G738">
        <v>28.52</v>
      </c>
      <c r="H738">
        <v>1</v>
      </c>
      <c r="I738">
        <v>0.5</v>
      </c>
      <c r="J738" t="s">
        <v>608</v>
      </c>
      <c r="K738" t="s">
        <v>52</v>
      </c>
    </row>
    <row r="739" spans="1:11" x14ac:dyDescent="0.2">
      <c r="A739" t="s">
        <v>95</v>
      </c>
      <c r="B739" t="s">
        <v>93</v>
      </c>
      <c r="C739">
        <v>47.13</v>
      </c>
      <c r="D739" t="s">
        <v>608</v>
      </c>
      <c r="E739" t="s">
        <v>608</v>
      </c>
      <c r="F739">
        <v>21.8</v>
      </c>
      <c r="G739">
        <v>16.559999999999999</v>
      </c>
      <c r="H739">
        <v>0</v>
      </c>
      <c r="I739">
        <v>0</v>
      </c>
      <c r="J739" t="s">
        <v>608</v>
      </c>
      <c r="K739" t="s">
        <v>52</v>
      </c>
    </row>
    <row r="740" spans="1:11" x14ac:dyDescent="0.2">
      <c r="A740" t="s">
        <v>96</v>
      </c>
      <c r="B740" t="s">
        <v>93</v>
      </c>
      <c r="C740">
        <v>46.65</v>
      </c>
      <c r="D740" t="s">
        <v>608</v>
      </c>
      <c r="E740" t="s">
        <v>608</v>
      </c>
      <c r="F740">
        <v>36.04</v>
      </c>
      <c r="G740">
        <v>26.13</v>
      </c>
      <c r="H740">
        <v>0</v>
      </c>
      <c r="I740">
        <v>0.5</v>
      </c>
      <c r="J740" t="s">
        <v>97</v>
      </c>
      <c r="K740" t="s">
        <v>52</v>
      </c>
    </row>
    <row r="741" spans="1:11" x14ac:dyDescent="0.2">
      <c r="A741" t="s">
        <v>98</v>
      </c>
      <c r="B741" t="s">
        <v>93</v>
      </c>
      <c r="C741">
        <v>51.05</v>
      </c>
      <c r="D741" t="s">
        <v>608</v>
      </c>
      <c r="E741" t="s">
        <v>608</v>
      </c>
      <c r="F741">
        <v>34.32</v>
      </c>
      <c r="G741">
        <v>24.11</v>
      </c>
      <c r="H741">
        <v>0.5</v>
      </c>
      <c r="I741">
        <v>0.5</v>
      </c>
      <c r="J741" t="s">
        <v>608</v>
      </c>
      <c r="K741" t="s">
        <v>52</v>
      </c>
    </row>
    <row r="742" spans="1:11" x14ac:dyDescent="0.2">
      <c r="A742" t="s">
        <v>99</v>
      </c>
      <c r="B742" t="s">
        <v>100</v>
      </c>
      <c r="C742">
        <v>39.5</v>
      </c>
      <c r="D742" t="s">
        <v>608</v>
      </c>
      <c r="E742" t="s">
        <v>608</v>
      </c>
      <c r="F742">
        <v>20.94</v>
      </c>
      <c r="G742">
        <v>17.05</v>
      </c>
      <c r="H742">
        <v>0</v>
      </c>
      <c r="I742">
        <v>0.5</v>
      </c>
      <c r="J742" t="s">
        <v>608</v>
      </c>
      <c r="K742" t="s">
        <v>52</v>
      </c>
    </row>
    <row r="743" spans="1:11" x14ac:dyDescent="0.2">
      <c r="A743" t="s">
        <v>101</v>
      </c>
      <c r="B743" t="s">
        <v>100</v>
      </c>
      <c r="C743">
        <v>42.72</v>
      </c>
      <c r="D743" t="s">
        <v>608</v>
      </c>
      <c r="E743" t="s">
        <v>608</v>
      </c>
      <c r="F743">
        <v>22.16</v>
      </c>
      <c r="G743">
        <v>16.579999999999998</v>
      </c>
      <c r="H743">
        <v>0.5</v>
      </c>
      <c r="I743">
        <v>0</v>
      </c>
      <c r="J743" t="s">
        <v>102</v>
      </c>
      <c r="K743" t="s">
        <v>52</v>
      </c>
    </row>
    <row r="744" spans="1:11" x14ac:dyDescent="0.2">
      <c r="A744" t="s">
        <v>103</v>
      </c>
      <c r="B744" t="s">
        <v>100</v>
      </c>
      <c r="C744">
        <v>40.119999999999997</v>
      </c>
      <c r="D744" t="s">
        <v>608</v>
      </c>
      <c r="E744" t="s">
        <v>608</v>
      </c>
      <c r="F744">
        <v>31.15</v>
      </c>
      <c r="G744">
        <v>24.58</v>
      </c>
      <c r="H744">
        <v>0.5</v>
      </c>
      <c r="I744">
        <v>0</v>
      </c>
      <c r="J744" t="s">
        <v>608</v>
      </c>
      <c r="K744" t="s">
        <v>52</v>
      </c>
    </row>
    <row r="745" spans="1:11" x14ac:dyDescent="0.2">
      <c r="A745" t="s">
        <v>104</v>
      </c>
      <c r="B745" t="s">
        <v>100</v>
      </c>
      <c r="C745">
        <v>56.3</v>
      </c>
      <c r="D745" t="s">
        <v>608</v>
      </c>
      <c r="E745" t="s">
        <v>608</v>
      </c>
      <c r="F745">
        <v>44.53</v>
      </c>
      <c r="G745">
        <v>33.9</v>
      </c>
      <c r="H745">
        <v>0</v>
      </c>
      <c r="I745">
        <v>0</v>
      </c>
      <c r="J745" t="s">
        <v>608</v>
      </c>
      <c r="K745" t="s">
        <v>52</v>
      </c>
    </row>
    <row r="746" spans="1:11" x14ac:dyDescent="0.2">
      <c r="A746" t="s">
        <v>105</v>
      </c>
      <c r="B746" t="s">
        <v>100</v>
      </c>
      <c r="C746">
        <v>48.4</v>
      </c>
      <c r="D746" t="s">
        <v>608</v>
      </c>
      <c r="E746" t="s">
        <v>608</v>
      </c>
      <c r="F746">
        <v>25.2</v>
      </c>
      <c r="G746">
        <v>19.02</v>
      </c>
      <c r="H746">
        <v>1</v>
      </c>
      <c r="I746">
        <v>1</v>
      </c>
      <c r="J746" t="s">
        <v>608</v>
      </c>
      <c r="K746" t="s">
        <v>52</v>
      </c>
    </row>
    <row r="747" spans="1:11" x14ac:dyDescent="0.2">
      <c r="A747" t="s">
        <v>106</v>
      </c>
      <c r="B747" t="s">
        <v>107</v>
      </c>
      <c r="C747">
        <v>44.15</v>
      </c>
      <c r="D747" t="s">
        <v>608</v>
      </c>
      <c r="E747" t="s">
        <v>608</v>
      </c>
      <c r="F747">
        <v>25.8</v>
      </c>
      <c r="G747">
        <v>22.08</v>
      </c>
      <c r="H747">
        <v>0</v>
      </c>
      <c r="I747">
        <v>0.5</v>
      </c>
      <c r="J747" t="s">
        <v>608</v>
      </c>
      <c r="K747" t="s">
        <v>52</v>
      </c>
    </row>
    <row r="748" spans="1:11" x14ac:dyDescent="0.2">
      <c r="A748" t="s">
        <v>108</v>
      </c>
      <c r="B748" t="s">
        <v>107</v>
      </c>
      <c r="C748">
        <v>38.97</v>
      </c>
      <c r="D748" t="s">
        <v>608</v>
      </c>
      <c r="E748" t="s">
        <v>608</v>
      </c>
      <c r="F748">
        <v>20.37</v>
      </c>
      <c r="G748">
        <v>16.93</v>
      </c>
      <c r="H748">
        <v>0</v>
      </c>
      <c r="I748">
        <v>0</v>
      </c>
      <c r="J748" t="s">
        <v>608</v>
      </c>
      <c r="K748" t="s">
        <v>52</v>
      </c>
    </row>
    <row r="749" spans="1:11" x14ac:dyDescent="0.2">
      <c r="A749" t="s">
        <v>109</v>
      </c>
      <c r="B749" t="s">
        <v>107</v>
      </c>
      <c r="C749">
        <v>51.32</v>
      </c>
      <c r="D749" t="s">
        <v>608</v>
      </c>
      <c r="E749" t="s">
        <v>608</v>
      </c>
      <c r="F749">
        <v>37.21</v>
      </c>
      <c r="G749">
        <v>29.08</v>
      </c>
      <c r="H749">
        <v>1</v>
      </c>
      <c r="I749">
        <v>0.5</v>
      </c>
      <c r="J749" t="s">
        <v>608</v>
      </c>
      <c r="K749" t="s">
        <v>52</v>
      </c>
    </row>
    <row r="750" spans="1:11" x14ac:dyDescent="0.2">
      <c r="A750" t="s">
        <v>110</v>
      </c>
      <c r="B750" t="s">
        <v>107</v>
      </c>
      <c r="C750">
        <v>38.69</v>
      </c>
      <c r="D750" t="s">
        <v>608</v>
      </c>
      <c r="E750" t="s">
        <v>608</v>
      </c>
      <c r="F750">
        <v>17.21</v>
      </c>
      <c r="G750">
        <v>13.48</v>
      </c>
      <c r="H750">
        <v>0</v>
      </c>
      <c r="I750">
        <v>0</v>
      </c>
      <c r="J750" t="s">
        <v>608</v>
      </c>
      <c r="K750" t="s">
        <v>52</v>
      </c>
    </row>
    <row r="751" spans="1:11" x14ac:dyDescent="0.2">
      <c r="A751" t="s">
        <v>111</v>
      </c>
      <c r="B751" t="s">
        <v>107</v>
      </c>
      <c r="C751">
        <v>47.26</v>
      </c>
      <c r="D751" t="s">
        <v>608</v>
      </c>
      <c r="E751" t="s">
        <v>608</v>
      </c>
      <c r="F751">
        <v>20.94</v>
      </c>
      <c r="G751">
        <v>14.43</v>
      </c>
      <c r="H751">
        <v>0</v>
      </c>
      <c r="I751">
        <v>0.5</v>
      </c>
      <c r="J751" t="s">
        <v>608</v>
      </c>
      <c r="K751" t="s">
        <v>52</v>
      </c>
    </row>
    <row r="752" spans="1:11" x14ac:dyDescent="0.2">
      <c r="A752" t="s">
        <v>112</v>
      </c>
      <c r="B752" t="s">
        <v>113</v>
      </c>
      <c r="C752">
        <v>45.08</v>
      </c>
      <c r="D752" t="s">
        <v>608</v>
      </c>
      <c r="E752" t="s">
        <v>608</v>
      </c>
      <c r="F752">
        <v>42.77</v>
      </c>
      <c r="G752">
        <v>32.96</v>
      </c>
      <c r="H752">
        <v>0</v>
      </c>
      <c r="I752">
        <v>0.5</v>
      </c>
      <c r="J752" t="s">
        <v>608</v>
      </c>
      <c r="K752" t="s">
        <v>52</v>
      </c>
    </row>
    <row r="753" spans="1:11" x14ac:dyDescent="0.2">
      <c r="A753" t="s">
        <v>114</v>
      </c>
      <c r="B753" t="s">
        <v>113</v>
      </c>
      <c r="C753">
        <v>50.56</v>
      </c>
      <c r="D753" t="s">
        <v>608</v>
      </c>
      <c r="E753" t="s">
        <v>608</v>
      </c>
      <c r="F753">
        <v>27.68</v>
      </c>
      <c r="G753">
        <v>20.96</v>
      </c>
      <c r="H753">
        <v>0</v>
      </c>
      <c r="I753">
        <v>0</v>
      </c>
      <c r="J753" t="s">
        <v>608</v>
      </c>
      <c r="K753" t="s">
        <v>52</v>
      </c>
    </row>
    <row r="754" spans="1:11" x14ac:dyDescent="0.2">
      <c r="A754" t="s">
        <v>115</v>
      </c>
      <c r="B754" t="s">
        <v>113</v>
      </c>
      <c r="C754">
        <v>51.43</v>
      </c>
      <c r="D754" t="s">
        <v>608</v>
      </c>
      <c r="E754" t="s">
        <v>608</v>
      </c>
      <c r="F754">
        <v>27.5</v>
      </c>
      <c r="G754">
        <v>21.29</v>
      </c>
      <c r="H754">
        <v>0</v>
      </c>
      <c r="I754">
        <v>0</v>
      </c>
      <c r="J754" t="s">
        <v>608</v>
      </c>
      <c r="K754" t="s">
        <v>52</v>
      </c>
    </row>
    <row r="755" spans="1:11" x14ac:dyDescent="0.2">
      <c r="A755" t="s">
        <v>116</v>
      </c>
      <c r="B755" t="s">
        <v>113</v>
      </c>
      <c r="C755">
        <v>42.02</v>
      </c>
      <c r="D755" t="s">
        <v>608</v>
      </c>
      <c r="E755" t="s">
        <v>608</v>
      </c>
      <c r="F755">
        <v>29.6</v>
      </c>
      <c r="G755">
        <v>22.3</v>
      </c>
      <c r="H755">
        <v>2</v>
      </c>
      <c r="I755">
        <v>2</v>
      </c>
      <c r="J755" t="s">
        <v>608</v>
      </c>
      <c r="K755" t="s">
        <v>52</v>
      </c>
    </row>
    <row r="756" spans="1:11" x14ac:dyDescent="0.2">
      <c r="A756" t="s">
        <v>117</v>
      </c>
      <c r="B756" t="s">
        <v>113</v>
      </c>
      <c r="C756">
        <v>35.53</v>
      </c>
      <c r="D756" t="s">
        <v>608</v>
      </c>
      <c r="E756" t="s">
        <v>608</v>
      </c>
      <c r="F756">
        <v>23.47</v>
      </c>
      <c r="G756">
        <v>17.989999999999998</v>
      </c>
      <c r="H756">
        <v>0</v>
      </c>
      <c r="I756">
        <v>0</v>
      </c>
      <c r="J756" t="s">
        <v>118</v>
      </c>
      <c r="K756" t="s">
        <v>52</v>
      </c>
    </row>
    <row r="757" spans="1:11" x14ac:dyDescent="0.2">
      <c r="A757" t="s">
        <v>119</v>
      </c>
      <c r="B757" t="s">
        <v>120</v>
      </c>
      <c r="C757">
        <v>58.48</v>
      </c>
      <c r="D757" t="s">
        <v>608</v>
      </c>
      <c r="E757" t="s">
        <v>608</v>
      </c>
      <c r="F757">
        <v>40.369999999999997</v>
      </c>
      <c r="G757">
        <v>28.62</v>
      </c>
      <c r="H757">
        <v>0</v>
      </c>
      <c r="I757">
        <v>0</v>
      </c>
      <c r="J757" t="s">
        <v>608</v>
      </c>
      <c r="K757" t="s">
        <v>52</v>
      </c>
    </row>
    <row r="758" spans="1:11" x14ac:dyDescent="0.2">
      <c r="A758" t="s">
        <v>121</v>
      </c>
      <c r="B758" t="s">
        <v>120</v>
      </c>
      <c r="C758">
        <v>53.8</v>
      </c>
      <c r="D758" t="s">
        <v>608</v>
      </c>
      <c r="E758" t="s">
        <v>608</v>
      </c>
      <c r="F758">
        <v>47.81</v>
      </c>
      <c r="G758">
        <v>37.729999999999997</v>
      </c>
      <c r="H758">
        <v>0.5</v>
      </c>
      <c r="I758">
        <v>0</v>
      </c>
      <c r="J758" t="s">
        <v>608</v>
      </c>
      <c r="K758" t="s">
        <v>52</v>
      </c>
    </row>
    <row r="759" spans="1:11" x14ac:dyDescent="0.2">
      <c r="A759" t="s">
        <v>122</v>
      </c>
      <c r="B759" t="s">
        <v>120</v>
      </c>
      <c r="C759">
        <v>44.84</v>
      </c>
      <c r="D759" t="s">
        <v>608</v>
      </c>
      <c r="E759" t="s">
        <v>608</v>
      </c>
      <c r="F759">
        <v>17.71</v>
      </c>
      <c r="G759">
        <v>12.71</v>
      </c>
      <c r="H759">
        <v>0</v>
      </c>
      <c r="I759">
        <v>0</v>
      </c>
      <c r="J759" t="s">
        <v>608</v>
      </c>
      <c r="K759" t="s">
        <v>52</v>
      </c>
    </row>
    <row r="760" spans="1:11" x14ac:dyDescent="0.2">
      <c r="A760" t="s">
        <v>123</v>
      </c>
      <c r="B760" t="s">
        <v>120</v>
      </c>
      <c r="C760">
        <v>53.86</v>
      </c>
      <c r="D760" t="s">
        <v>608</v>
      </c>
      <c r="E760" t="s">
        <v>608</v>
      </c>
      <c r="F760">
        <v>46.67</v>
      </c>
      <c r="G760">
        <v>32.68</v>
      </c>
      <c r="H760">
        <v>0.5</v>
      </c>
      <c r="I760">
        <v>0</v>
      </c>
      <c r="J760" t="s">
        <v>608</v>
      </c>
      <c r="K760" t="s">
        <v>52</v>
      </c>
    </row>
    <row r="761" spans="1:11" x14ac:dyDescent="0.2">
      <c r="A761" t="s">
        <v>124</v>
      </c>
      <c r="B761" t="s">
        <v>120</v>
      </c>
      <c r="C761">
        <v>43.51</v>
      </c>
      <c r="D761" t="s">
        <v>608</v>
      </c>
      <c r="E761" t="s">
        <v>608</v>
      </c>
      <c r="F761">
        <v>23.31</v>
      </c>
      <c r="G761">
        <v>17.14</v>
      </c>
      <c r="H761">
        <v>0</v>
      </c>
      <c r="I761">
        <v>0</v>
      </c>
      <c r="J761" t="s">
        <v>125</v>
      </c>
      <c r="K761" t="s">
        <v>52</v>
      </c>
    </row>
    <row r="762" spans="1:11" x14ac:dyDescent="0.2">
      <c r="A762" t="s">
        <v>126</v>
      </c>
      <c r="B762" t="s">
        <v>127</v>
      </c>
      <c r="C762">
        <v>66.28</v>
      </c>
      <c r="D762" t="s">
        <v>608</v>
      </c>
      <c r="E762" t="s">
        <v>608</v>
      </c>
      <c r="F762">
        <v>51.67</v>
      </c>
      <c r="G762">
        <v>36.58</v>
      </c>
      <c r="H762">
        <v>0.5</v>
      </c>
      <c r="I762">
        <v>0</v>
      </c>
      <c r="J762" t="s">
        <v>128</v>
      </c>
      <c r="K762" t="s">
        <v>52</v>
      </c>
    </row>
    <row r="763" spans="1:11" x14ac:dyDescent="0.2">
      <c r="A763" t="s">
        <v>129</v>
      </c>
      <c r="B763" t="s">
        <v>127</v>
      </c>
      <c r="C763">
        <v>37.54</v>
      </c>
      <c r="D763" t="s">
        <v>608</v>
      </c>
      <c r="E763" t="s">
        <v>608</v>
      </c>
      <c r="F763">
        <v>27.24</v>
      </c>
      <c r="G763">
        <v>20.73</v>
      </c>
      <c r="H763">
        <v>0.5</v>
      </c>
      <c r="I763">
        <v>0</v>
      </c>
      <c r="J763" t="s">
        <v>608</v>
      </c>
      <c r="K763" t="s">
        <v>52</v>
      </c>
    </row>
    <row r="764" spans="1:11" x14ac:dyDescent="0.2">
      <c r="A764" t="s">
        <v>130</v>
      </c>
      <c r="B764" t="s">
        <v>127</v>
      </c>
      <c r="C764">
        <v>36.71</v>
      </c>
      <c r="D764" t="s">
        <v>608</v>
      </c>
      <c r="E764" t="s">
        <v>608</v>
      </c>
      <c r="F764">
        <v>8.4700000000000006</v>
      </c>
      <c r="G764">
        <v>6.15</v>
      </c>
      <c r="H764">
        <v>0</v>
      </c>
      <c r="I764">
        <v>0</v>
      </c>
      <c r="J764" t="s">
        <v>131</v>
      </c>
      <c r="K764" t="s">
        <v>52</v>
      </c>
    </row>
    <row r="765" spans="1:11" x14ac:dyDescent="0.2">
      <c r="A765" t="s">
        <v>132</v>
      </c>
      <c r="B765" t="s">
        <v>127</v>
      </c>
      <c r="C765">
        <v>44.38</v>
      </c>
      <c r="D765" t="s">
        <v>608</v>
      </c>
      <c r="E765" t="s">
        <v>608</v>
      </c>
      <c r="F765">
        <v>30.94</v>
      </c>
      <c r="G765">
        <v>24.53</v>
      </c>
      <c r="H765">
        <v>0.5</v>
      </c>
      <c r="I765">
        <v>0</v>
      </c>
      <c r="J765" t="s">
        <v>608</v>
      </c>
      <c r="K765" t="s">
        <v>52</v>
      </c>
    </row>
    <row r="766" spans="1:11" x14ac:dyDescent="0.2">
      <c r="A766" t="s">
        <v>133</v>
      </c>
      <c r="B766" t="s">
        <v>127</v>
      </c>
      <c r="C766">
        <v>33.25</v>
      </c>
      <c r="D766" t="s">
        <v>608</v>
      </c>
      <c r="E766" t="s">
        <v>608</v>
      </c>
      <c r="F766">
        <v>24.53</v>
      </c>
      <c r="G766">
        <v>18.190000000000001</v>
      </c>
      <c r="H766">
        <v>0</v>
      </c>
      <c r="I766">
        <v>0</v>
      </c>
      <c r="J766" t="s">
        <v>608</v>
      </c>
      <c r="K766" t="s">
        <v>52</v>
      </c>
    </row>
    <row r="767" spans="1:11" x14ac:dyDescent="0.2">
      <c r="A767" t="s">
        <v>134</v>
      </c>
      <c r="B767" t="s">
        <v>135</v>
      </c>
      <c r="C767">
        <v>56.59</v>
      </c>
      <c r="D767" t="s">
        <v>608</v>
      </c>
      <c r="E767" t="s">
        <v>608</v>
      </c>
      <c r="F767">
        <v>50.8</v>
      </c>
      <c r="G767">
        <v>40.08</v>
      </c>
      <c r="H767">
        <v>0</v>
      </c>
      <c r="I767">
        <v>0</v>
      </c>
      <c r="J767" t="s">
        <v>136</v>
      </c>
      <c r="K767" t="s">
        <v>52</v>
      </c>
    </row>
    <row r="768" spans="1:11" x14ac:dyDescent="0.2">
      <c r="A768" t="s">
        <v>137</v>
      </c>
      <c r="B768" t="s">
        <v>135</v>
      </c>
      <c r="C768">
        <v>49.83</v>
      </c>
      <c r="D768" t="s">
        <v>608</v>
      </c>
      <c r="E768" t="s">
        <v>608</v>
      </c>
      <c r="F768">
        <v>32.369999999999997</v>
      </c>
      <c r="G768">
        <v>24.14</v>
      </c>
      <c r="H768">
        <v>0</v>
      </c>
      <c r="I768">
        <v>0</v>
      </c>
      <c r="J768" t="s">
        <v>138</v>
      </c>
      <c r="K768" t="s">
        <v>52</v>
      </c>
    </row>
    <row r="769" spans="1:11" x14ac:dyDescent="0.2">
      <c r="A769" t="s">
        <v>139</v>
      </c>
      <c r="B769" t="s">
        <v>135</v>
      </c>
      <c r="C769">
        <v>35</v>
      </c>
      <c r="D769" t="s">
        <v>608</v>
      </c>
      <c r="E769" t="s">
        <v>608</v>
      </c>
      <c r="F769">
        <v>21.45</v>
      </c>
      <c r="G769">
        <v>14.35</v>
      </c>
      <c r="H769">
        <v>0</v>
      </c>
      <c r="I769">
        <v>0</v>
      </c>
      <c r="J769" t="s">
        <v>608</v>
      </c>
      <c r="K769" t="s">
        <v>52</v>
      </c>
    </row>
    <row r="770" spans="1:11" x14ac:dyDescent="0.2">
      <c r="A770" t="s">
        <v>140</v>
      </c>
      <c r="B770" t="s">
        <v>135</v>
      </c>
      <c r="C770">
        <v>37.5</v>
      </c>
      <c r="D770" t="s">
        <v>608</v>
      </c>
      <c r="E770" t="s">
        <v>608</v>
      </c>
      <c r="F770">
        <v>19.84</v>
      </c>
      <c r="G770">
        <v>14.99</v>
      </c>
      <c r="H770">
        <v>0</v>
      </c>
      <c r="I770">
        <v>0</v>
      </c>
      <c r="J770" t="s">
        <v>608</v>
      </c>
      <c r="K770" t="s">
        <v>52</v>
      </c>
    </row>
    <row r="771" spans="1:11" x14ac:dyDescent="0.2">
      <c r="A771" t="s">
        <v>141</v>
      </c>
      <c r="B771" t="s">
        <v>135</v>
      </c>
      <c r="C771">
        <v>37.340000000000003</v>
      </c>
      <c r="D771" t="s">
        <v>608</v>
      </c>
      <c r="E771" t="s">
        <v>608</v>
      </c>
      <c r="F771">
        <v>18.37</v>
      </c>
      <c r="G771">
        <v>12.68</v>
      </c>
      <c r="H771">
        <v>0</v>
      </c>
      <c r="I771">
        <v>0</v>
      </c>
      <c r="J771" t="s">
        <v>608</v>
      </c>
      <c r="K771" t="s">
        <v>52</v>
      </c>
    </row>
    <row r="772" spans="1:11" x14ac:dyDescent="0.2">
      <c r="A772" t="s">
        <v>142</v>
      </c>
      <c r="B772" t="s">
        <v>143</v>
      </c>
      <c r="C772">
        <v>71.209999999999994</v>
      </c>
      <c r="D772" t="s">
        <v>608</v>
      </c>
      <c r="E772" t="s">
        <v>608</v>
      </c>
      <c r="F772">
        <v>71.680000000000007</v>
      </c>
      <c r="G772">
        <v>53.5</v>
      </c>
      <c r="H772">
        <v>0</v>
      </c>
      <c r="I772">
        <v>0</v>
      </c>
      <c r="J772" t="s">
        <v>144</v>
      </c>
      <c r="K772" t="s">
        <v>52</v>
      </c>
    </row>
    <row r="773" spans="1:11" x14ac:dyDescent="0.2">
      <c r="A773" t="s">
        <v>145</v>
      </c>
      <c r="B773" t="s">
        <v>143</v>
      </c>
      <c r="C773">
        <v>53.56</v>
      </c>
      <c r="D773" t="s">
        <v>608</v>
      </c>
      <c r="E773" t="s">
        <v>608</v>
      </c>
      <c r="F773">
        <v>34.51</v>
      </c>
      <c r="G773">
        <v>26.43</v>
      </c>
      <c r="H773">
        <v>0</v>
      </c>
      <c r="I773">
        <v>0</v>
      </c>
      <c r="J773" t="s">
        <v>608</v>
      </c>
      <c r="K773" t="s">
        <v>52</v>
      </c>
    </row>
    <row r="774" spans="1:11" x14ac:dyDescent="0.2">
      <c r="A774" t="s">
        <v>146</v>
      </c>
      <c r="B774" t="s">
        <v>143</v>
      </c>
      <c r="C774">
        <v>71.599999999999994</v>
      </c>
      <c r="D774" t="s">
        <v>608</v>
      </c>
      <c r="E774" t="s">
        <v>608</v>
      </c>
      <c r="F774">
        <v>117.78</v>
      </c>
      <c r="G774">
        <v>89.34</v>
      </c>
      <c r="H774">
        <v>1</v>
      </c>
      <c r="I774">
        <v>0.5</v>
      </c>
      <c r="J774" t="s">
        <v>608</v>
      </c>
      <c r="K774" t="s">
        <v>52</v>
      </c>
    </row>
    <row r="775" spans="1:11" x14ac:dyDescent="0.2">
      <c r="A775" t="s">
        <v>147</v>
      </c>
      <c r="B775" t="s">
        <v>143</v>
      </c>
      <c r="C775">
        <v>58.29</v>
      </c>
      <c r="D775" t="s">
        <v>608</v>
      </c>
      <c r="E775" t="s">
        <v>608</v>
      </c>
      <c r="F775">
        <v>62.32</v>
      </c>
      <c r="G775">
        <v>46.87</v>
      </c>
      <c r="H775">
        <v>0</v>
      </c>
      <c r="I775">
        <v>0</v>
      </c>
      <c r="J775" t="s">
        <v>608</v>
      </c>
      <c r="K775" t="s">
        <v>52</v>
      </c>
    </row>
    <row r="776" spans="1:11" x14ac:dyDescent="0.2">
      <c r="A776" t="s">
        <v>148</v>
      </c>
      <c r="B776" t="s">
        <v>143</v>
      </c>
      <c r="C776">
        <v>48.09</v>
      </c>
      <c r="D776" t="s">
        <v>608</v>
      </c>
      <c r="E776" t="s">
        <v>608</v>
      </c>
      <c r="F776">
        <v>48.65</v>
      </c>
      <c r="G776">
        <v>35.94</v>
      </c>
      <c r="H776">
        <v>0</v>
      </c>
      <c r="I776">
        <v>0</v>
      </c>
      <c r="J776" t="s">
        <v>608</v>
      </c>
      <c r="K776" t="s">
        <v>52</v>
      </c>
    </row>
    <row r="777" spans="1:11" x14ac:dyDescent="0.2">
      <c r="A777" t="s">
        <v>149</v>
      </c>
      <c r="B777" t="s">
        <v>150</v>
      </c>
      <c r="C777">
        <v>50.47</v>
      </c>
      <c r="D777" t="s">
        <v>608</v>
      </c>
      <c r="E777" t="s">
        <v>608</v>
      </c>
      <c r="F777">
        <v>42.95</v>
      </c>
      <c r="G777">
        <v>32.74</v>
      </c>
      <c r="H777">
        <v>0.5</v>
      </c>
      <c r="I777">
        <v>0</v>
      </c>
      <c r="J777" t="s">
        <v>608</v>
      </c>
      <c r="K777" t="s">
        <v>52</v>
      </c>
    </row>
    <row r="778" spans="1:11" x14ac:dyDescent="0.2">
      <c r="A778" t="s">
        <v>151</v>
      </c>
      <c r="B778" t="s">
        <v>150</v>
      </c>
      <c r="C778">
        <v>53.47</v>
      </c>
      <c r="D778" t="s">
        <v>608</v>
      </c>
      <c r="E778" t="s">
        <v>608</v>
      </c>
      <c r="F778">
        <v>38.61</v>
      </c>
      <c r="G778">
        <v>31.54</v>
      </c>
      <c r="H778">
        <v>0.5</v>
      </c>
      <c r="I778">
        <v>0</v>
      </c>
      <c r="J778" t="s">
        <v>152</v>
      </c>
      <c r="K778" t="s">
        <v>52</v>
      </c>
    </row>
    <row r="779" spans="1:11" x14ac:dyDescent="0.2">
      <c r="A779" t="s">
        <v>153</v>
      </c>
      <c r="B779" t="s">
        <v>150</v>
      </c>
      <c r="C779">
        <v>53.94</v>
      </c>
      <c r="D779" t="s">
        <v>608</v>
      </c>
      <c r="E779" t="s">
        <v>608</v>
      </c>
      <c r="F779">
        <v>20.88</v>
      </c>
      <c r="G779">
        <v>15.34</v>
      </c>
      <c r="H779">
        <v>0</v>
      </c>
      <c r="I779">
        <v>0</v>
      </c>
      <c r="J779" t="s">
        <v>608</v>
      </c>
      <c r="K779" t="s">
        <v>52</v>
      </c>
    </row>
    <row r="780" spans="1:11" x14ac:dyDescent="0.2">
      <c r="A780" t="s">
        <v>154</v>
      </c>
      <c r="B780" t="s">
        <v>150</v>
      </c>
      <c r="C780">
        <v>56.72</v>
      </c>
      <c r="D780" t="s">
        <v>608</v>
      </c>
      <c r="E780" t="s">
        <v>608</v>
      </c>
      <c r="F780">
        <v>30.89</v>
      </c>
      <c r="G780">
        <v>21.29</v>
      </c>
      <c r="H780">
        <v>0</v>
      </c>
      <c r="I780">
        <v>0</v>
      </c>
      <c r="J780" t="s">
        <v>608</v>
      </c>
      <c r="K780" t="s">
        <v>52</v>
      </c>
    </row>
    <row r="781" spans="1:11" x14ac:dyDescent="0.2">
      <c r="A781" t="s">
        <v>155</v>
      </c>
      <c r="B781" t="s">
        <v>150</v>
      </c>
      <c r="C781">
        <v>39.909999999999997</v>
      </c>
      <c r="D781" t="s">
        <v>608</v>
      </c>
      <c r="E781" t="s">
        <v>608</v>
      </c>
      <c r="F781">
        <v>20.94</v>
      </c>
      <c r="G781">
        <v>16.61</v>
      </c>
      <c r="H781">
        <v>0</v>
      </c>
      <c r="I781">
        <v>0</v>
      </c>
      <c r="J781" t="s">
        <v>118</v>
      </c>
      <c r="K781" t="s">
        <v>52</v>
      </c>
    </row>
    <row r="782" spans="1:11" x14ac:dyDescent="0.2">
      <c r="A782" t="s">
        <v>156</v>
      </c>
      <c r="B782" t="s">
        <v>157</v>
      </c>
      <c r="C782">
        <v>65.099999999999994</v>
      </c>
      <c r="D782" t="s">
        <v>608</v>
      </c>
      <c r="E782" t="s">
        <v>608</v>
      </c>
      <c r="F782">
        <v>34.07</v>
      </c>
      <c r="G782">
        <v>25.26</v>
      </c>
      <c r="H782">
        <v>0.5</v>
      </c>
      <c r="I782">
        <v>0.5</v>
      </c>
      <c r="J782" t="s">
        <v>608</v>
      </c>
      <c r="K782" t="s">
        <v>52</v>
      </c>
    </row>
    <row r="783" spans="1:11" x14ac:dyDescent="0.2">
      <c r="A783" t="s">
        <v>158</v>
      </c>
      <c r="B783" t="s">
        <v>157</v>
      </c>
      <c r="C783">
        <v>46.46</v>
      </c>
      <c r="D783" t="s">
        <v>608</v>
      </c>
      <c r="E783" t="s">
        <v>608</v>
      </c>
      <c r="F783">
        <v>26.25</v>
      </c>
      <c r="G783">
        <v>20.65</v>
      </c>
      <c r="H783">
        <v>0.5</v>
      </c>
      <c r="I783">
        <v>0</v>
      </c>
      <c r="J783" t="s">
        <v>159</v>
      </c>
      <c r="K783" t="s">
        <v>52</v>
      </c>
    </row>
    <row r="784" spans="1:11" x14ac:dyDescent="0.2">
      <c r="A784" t="s">
        <v>160</v>
      </c>
      <c r="B784" t="s">
        <v>157</v>
      </c>
      <c r="C784">
        <v>45.23</v>
      </c>
      <c r="D784" t="s">
        <v>608</v>
      </c>
      <c r="E784" t="s">
        <v>608</v>
      </c>
      <c r="F784">
        <v>20.86</v>
      </c>
      <c r="G784">
        <v>15.61</v>
      </c>
      <c r="H784">
        <v>0</v>
      </c>
      <c r="I784">
        <v>0</v>
      </c>
      <c r="J784" t="s">
        <v>161</v>
      </c>
      <c r="K784" t="s">
        <v>52</v>
      </c>
    </row>
    <row r="785" spans="1:11" x14ac:dyDescent="0.2">
      <c r="A785" t="s">
        <v>162</v>
      </c>
      <c r="B785" t="s">
        <v>157</v>
      </c>
      <c r="C785">
        <v>74.11</v>
      </c>
      <c r="D785" t="s">
        <v>608</v>
      </c>
      <c r="E785" t="s">
        <v>608</v>
      </c>
      <c r="F785">
        <v>50.12</v>
      </c>
      <c r="G785">
        <v>36.65</v>
      </c>
      <c r="H785">
        <v>0</v>
      </c>
      <c r="I785">
        <v>0</v>
      </c>
      <c r="J785" t="s">
        <v>608</v>
      </c>
      <c r="K785" t="s">
        <v>52</v>
      </c>
    </row>
    <row r="786" spans="1:11" x14ac:dyDescent="0.2">
      <c r="A786" t="s">
        <v>163</v>
      </c>
      <c r="B786" t="s">
        <v>157</v>
      </c>
      <c r="C786">
        <v>43.4</v>
      </c>
      <c r="D786" t="s">
        <v>608</v>
      </c>
      <c r="E786" t="s">
        <v>608</v>
      </c>
      <c r="F786">
        <v>20.36</v>
      </c>
      <c r="G786">
        <v>15.16</v>
      </c>
      <c r="H786">
        <v>1</v>
      </c>
      <c r="I786">
        <v>1</v>
      </c>
      <c r="J786" t="s">
        <v>608</v>
      </c>
      <c r="K786" t="s">
        <v>52</v>
      </c>
    </row>
    <row r="787" spans="1:11" x14ac:dyDescent="0.2">
      <c r="A787" t="s">
        <v>164</v>
      </c>
      <c r="B787" t="s">
        <v>165</v>
      </c>
      <c r="C787">
        <v>52.93</v>
      </c>
      <c r="D787" t="s">
        <v>608</v>
      </c>
      <c r="E787" t="s">
        <v>608</v>
      </c>
      <c r="F787">
        <v>40.14</v>
      </c>
      <c r="G787">
        <v>30.48</v>
      </c>
      <c r="H787">
        <v>0</v>
      </c>
      <c r="I787">
        <v>0</v>
      </c>
      <c r="J787" t="s">
        <v>138</v>
      </c>
      <c r="K787" t="s">
        <v>52</v>
      </c>
    </row>
    <row r="788" spans="1:11" x14ac:dyDescent="0.2">
      <c r="A788" t="s">
        <v>166</v>
      </c>
      <c r="B788" t="s">
        <v>165</v>
      </c>
      <c r="C788">
        <v>58.39</v>
      </c>
      <c r="D788" t="s">
        <v>608</v>
      </c>
      <c r="E788" t="s">
        <v>608</v>
      </c>
      <c r="F788">
        <v>45.27</v>
      </c>
      <c r="G788">
        <v>31.06</v>
      </c>
      <c r="H788">
        <v>0.5</v>
      </c>
      <c r="I788">
        <v>0</v>
      </c>
      <c r="J788" t="s">
        <v>608</v>
      </c>
      <c r="K788" t="s">
        <v>52</v>
      </c>
    </row>
    <row r="789" spans="1:11" x14ac:dyDescent="0.2">
      <c r="A789" t="s">
        <v>167</v>
      </c>
      <c r="B789" t="s">
        <v>165</v>
      </c>
      <c r="C789">
        <v>55.7</v>
      </c>
      <c r="D789" t="s">
        <v>608</v>
      </c>
      <c r="E789" t="s">
        <v>608</v>
      </c>
      <c r="F789">
        <v>39.61</v>
      </c>
      <c r="G789">
        <v>31.53</v>
      </c>
      <c r="H789">
        <v>0</v>
      </c>
      <c r="I789">
        <v>0</v>
      </c>
      <c r="J789" t="s">
        <v>168</v>
      </c>
      <c r="K789" t="s">
        <v>52</v>
      </c>
    </row>
    <row r="790" spans="1:11" x14ac:dyDescent="0.2">
      <c r="A790" t="s">
        <v>169</v>
      </c>
      <c r="B790" t="s">
        <v>165</v>
      </c>
      <c r="C790">
        <v>57.77</v>
      </c>
      <c r="D790" t="s">
        <v>608</v>
      </c>
      <c r="E790" t="s">
        <v>608</v>
      </c>
      <c r="F790">
        <v>36.380000000000003</v>
      </c>
      <c r="G790">
        <v>26.43</v>
      </c>
      <c r="H790">
        <v>0.5</v>
      </c>
      <c r="I790">
        <v>0</v>
      </c>
      <c r="J790" t="s">
        <v>608</v>
      </c>
      <c r="K790" t="s">
        <v>52</v>
      </c>
    </row>
    <row r="791" spans="1:11" x14ac:dyDescent="0.2">
      <c r="A791" t="s">
        <v>170</v>
      </c>
      <c r="B791" t="s">
        <v>165</v>
      </c>
      <c r="C791">
        <v>62.11</v>
      </c>
      <c r="D791" t="s">
        <v>608</v>
      </c>
      <c r="E791" t="s">
        <v>608</v>
      </c>
      <c r="F791">
        <v>45</v>
      </c>
      <c r="G791">
        <v>34.4</v>
      </c>
      <c r="H791">
        <v>2</v>
      </c>
      <c r="I791">
        <v>1</v>
      </c>
      <c r="J791" t="s">
        <v>608</v>
      </c>
      <c r="K791" t="s">
        <v>52</v>
      </c>
    </row>
    <row r="792" spans="1:11" x14ac:dyDescent="0.2">
      <c r="A792" t="s">
        <v>171</v>
      </c>
      <c r="B792" t="s">
        <v>172</v>
      </c>
      <c r="C792">
        <v>48.7</v>
      </c>
      <c r="D792" t="s">
        <v>608</v>
      </c>
      <c r="E792" t="s">
        <v>608</v>
      </c>
      <c r="F792">
        <v>23.2</v>
      </c>
      <c r="G792">
        <v>17.5</v>
      </c>
      <c r="H792">
        <v>0</v>
      </c>
      <c r="I792">
        <v>0.5</v>
      </c>
      <c r="J792" t="s">
        <v>608</v>
      </c>
      <c r="K792" t="s">
        <v>52</v>
      </c>
    </row>
    <row r="793" spans="1:11" x14ac:dyDescent="0.2">
      <c r="A793" t="s">
        <v>173</v>
      </c>
      <c r="B793" t="s">
        <v>172</v>
      </c>
      <c r="C793">
        <v>36.299999999999997</v>
      </c>
      <c r="D793" t="s">
        <v>608</v>
      </c>
      <c r="E793" t="s">
        <v>608</v>
      </c>
      <c r="F793">
        <v>20.190000000000001</v>
      </c>
      <c r="G793">
        <v>15.81</v>
      </c>
      <c r="H793">
        <v>0</v>
      </c>
      <c r="I793">
        <v>0</v>
      </c>
      <c r="J793" t="s">
        <v>608</v>
      </c>
      <c r="K793" t="s">
        <v>52</v>
      </c>
    </row>
    <row r="794" spans="1:11" x14ac:dyDescent="0.2">
      <c r="A794" t="s">
        <v>174</v>
      </c>
      <c r="B794" t="s">
        <v>172</v>
      </c>
      <c r="C794">
        <v>39.11</v>
      </c>
      <c r="D794" t="s">
        <v>608</v>
      </c>
      <c r="E794" t="s">
        <v>608</v>
      </c>
      <c r="F794">
        <v>9.3000000000000007</v>
      </c>
      <c r="G794">
        <v>7.21</v>
      </c>
      <c r="H794">
        <v>0</v>
      </c>
      <c r="I794">
        <v>0.5</v>
      </c>
      <c r="J794" t="s">
        <v>608</v>
      </c>
      <c r="K794" t="s">
        <v>52</v>
      </c>
    </row>
    <row r="795" spans="1:11" x14ac:dyDescent="0.2">
      <c r="A795" t="s">
        <v>175</v>
      </c>
      <c r="B795" t="s">
        <v>172</v>
      </c>
      <c r="C795">
        <v>40.94</v>
      </c>
      <c r="D795" t="s">
        <v>608</v>
      </c>
      <c r="E795" t="s">
        <v>608</v>
      </c>
      <c r="F795">
        <v>10.45</v>
      </c>
      <c r="G795">
        <v>7.94</v>
      </c>
      <c r="H795">
        <v>0</v>
      </c>
      <c r="I795">
        <v>0.5</v>
      </c>
      <c r="J795" t="s">
        <v>608</v>
      </c>
      <c r="K795" t="s">
        <v>52</v>
      </c>
    </row>
    <row r="796" spans="1:11" x14ac:dyDescent="0.2">
      <c r="A796" t="s">
        <v>176</v>
      </c>
      <c r="B796" t="s">
        <v>172</v>
      </c>
      <c r="C796">
        <v>45.15</v>
      </c>
      <c r="D796" t="s">
        <v>608</v>
      </c>
      <c r="E796" t="s">
        <v>608</v>
      </c>
      <c r="F796">
        <v>14.62</v>
      </c>
      <c r="G796">
        <v>10.28</v>
      </c>
      <c r="H796">
        <v>0</v>
      </c>
      <c r="I796">
        <v>0</v>
      </c>
      <c r="J796" t="s">
        <v>608</v>
      </c>
      <c r="K796" t="s">
        <v>52</v>
      </c>
    </row>
    <row r="797" spans="1:11" x14ac:dyDescent="0.2">
      <c r="A797" t="s">
        <v>177</v>
      </c>
      <c r="B797" t="s">
        <v>178</v>
      </c>
      <c r="C797">
        <v>46.15</v>
      </c>
      <c r="D797" t="s">
        <v>608</v>
      </c>
      <c r="E797" t="s">
        <v>608</v>
      </c>
      <c r="F797">
        <v>38.96</v>
      </c>
      <c r="G797">
        <v>30.19</v>
      </c>
      <c r="H797">
        <v>0.5</v>
      </c>
      <c r="I797">
        <v>0</v>
      </c>
      <c r="J797" t="s">
        <v>608</v>
      </c>
      <c r="K797" t="s">
        <v>52</v>
      </c>
    </row>
    <row r="798" spans="1:11" x14ac:dyDescent="0.2">
      <c r="A798" t="s">
        <v>179</v>
      </c>
      <c r="B798" t="s">
        <v>178</v>
      </c>
      <c r="C798">
        <v>44.99</v>
      </c>
      <c r="D798" t="s">
        <v>608</v>
      </c>
      <c r="E798" t="s">
        <v>608</v>
      </c>
      <c r="F798">
        <v>40.31</v>
      </c>
      <c r="G798">
        <v>28.04</v>
      </c>
      <c r="H798">
        <v>1</v>
      </c>
      <c r="I798">
        <v>1</v>
      </c>
      <c r="J798" t="s">
        <v>125</v>
      </c>
      <c r="K798" t="s">
        <v>52</v>
      </c>
    </row>
    <row r="799" spans="1:11" x14ac:dyDescent="0.2">
      <c r="A799" t="s">
        <v>180</v>
      </c>
      <c r="B799" t="s">
        <v>178</v>
      </c>
      <c r="C799">
        <v>59.03</v>
      </c>
      <c r="D799" t="s">
        <v>608</v>
      </c>
      <c r="E799" t="s">
        <v>608</v>
      </c>
      <c r="F799">
        <v>41.96</v>
      </c>
      <c r="G799">
        <v>30.32</v>
      </c>
      <c r="H799">
        <v>1</v>
      </c>
      <c r="I799">
        <v>2</v>
      </c>
      <c r="J799" t="s">
        <v>608</v>
      </c>
      <c r="K799" t="s">
        <v>52</v>
      </c>
    </row>
    <row r="800" spans="1:11" x14ac:dyDescent="0.2">
      <c r="A800" t="s">
        <v>181</v>
      </c>
      <c r="B800" t="s">
        <v>178</v>
      </c>
      <c r="C800">
        <v>50.96</v>
      </c>
      <c r="D800" t="s">
        <v>608</v>
      </c>
      <c r="E800" t="s">
        <v>608</v>
      </c>
      <c r="F800">
        <v>32.18</v>
      </c>
      <c r="G800">
        <v>22.12</v>
      </c>
      <c r="H800">
        <v>0</v>
      </c>
      <c r="I800">
        <v>0</v>
      </c>
      <c r="J800" t="s">
        <v>608</v>
      </c>
      <c r="K800" t="s">
        <v>52</v>
      </c>
    </row>
    <row r="801" spans="1:11" x14ac:dyDescent="0.2">
      <c r="A801" t="s">
        <v>182</v>
      </c>
      <c r="B801" t="s">
        <v>178</v>
      </c>
      <c r="C801">
        <v>37.11</v>
      </c>
      <c r="D801" t="s">
        <v>608</v>
      </c>
      <c r="E801" t="s">
        <v>608</v>
      </c>
      <c r="F801">
        <v>16.46</v>
      </c>
      <c r="G801">
        <v>13.14</v>
      </c>
      <c r="H801">
        <v>0.5</v>
      </c>
      <c r="I801">
        <v>0</v>
      </c>
      <c r="J801" t="s">
        <v>608</v>
      </c>
      <c r="K801" t="s">
        <v>52</v>
      </c>
    </row>
    <row r="802" spans="1:11" x14ac:dyDescent="0.2">
      <c r="A802" t="s">
        <v>183</v>
      </c>
      <c r="B802" t="s">
        <v>184</v>
      </c>
      <c r="C802">
        <v>58.94</v>
      </c>
      <c r="D802" t="s">
        <v>608</v>
      </c>
      <c r="E802" t="s">
        <v>608</v>
      </c>
      <c r="F802">
        <v>32.96</v>
      </c>
      <c r="G802">
        <v>24.75</v>
      </c>
      <c r="H802">
        <v>0</v>
      </c>
      <c r="I802">
        <v>0.5</v>
      </c>
      <c r="J802" t="s">
        <v>608</v>
      </c>
      <c r="K802" t="s">
        <v>52</v>
      </c>
    </row>
    <row r="803" spans="1:11" x14ac:dyDescent="0.2">
      <c r="A803" t="s">
        <v>185</v>
      </c>
      <c r="B803" t="s">
        <v>184</v>
      </c>
      <c r="C803">
        <v>53.04</v>
      </c>
      <c r="D803" t="s">
        <v>608</v>
      </c>
      <c r="E803" t="s">
        <v>608</v>
      </c>
      <c r="F803">
        <v>32.85</v>
      </c>
      <c r="G803">
        <v>25.08</v>
      </c>
      <c r="H803">
        <v>0</v>
      </c>
      <c r="I803">
        <v>0</v>
      </c>
      <c r="J803" t="s">
        <v>608</v>
      </c>
      <c r="K803" t="s">
        <v>52</v>
      </c>
    </row>
    <row r="804" spans="1:11" x14ac:dyDescent="0.2">
      <c r="A804" t="s">
        <v>186</v>
      </c>
      <c r="B804" t="s">
        <v>184</v>
      </c>
      <c r="C804">
        <v>39.99</v>
      </c>
      <c r="D804" t="s">
        <v>608</v>
      </c>
      <c r="E804" t="s">
        <v>608</v>
      </c>
      <c r="F804">
        <v>15.64</v>
      </c>
      <c r="G804">
        <v>12.73</v>
      </c>
      <c r="H804">
        <v>0</v>
      </c>
      <c r="I804">
        <v>0.5</v>
      </c>
      <c r="J804" t="s">
        <v>608</v>
      </c>
      <c r="K804" t="s">
        <v>52</v>
      </c>
    </row>
    <row r="805" spans="1:11" x14ac:dyDescent="0.2">
      <c r="A805" t="s">
        <v>187</v>
      </c>
      <c r="B805" t="s">
        <v>184</v>
      </c>
      <c r="C805">
        <v>56.32</v>
      </c>
      <c r="D805" t="s">
        <v>608</v>
      </c>
      <c r="E805" t="s">
        <v>608</v>
      </c>
      <c r="F805">
        <v>54.28</v>
      </c>
      <c r="G805">
        <v>40.270000000000003</v>
      </c>
      <c r="H805">
        <v>0.5</v>
      </c>
      <c r="I805">
        <v>0.5</v>
      </c>
      <c r="J805" t="s">
        <v>608</v>
      </c>
      <c r="K805" t="s">
        <v>52</v>
      </c>
    </row>
    <row r="806" spans="1:11" x14ac:dyDescent="0.2">
      <c r="A806" t="s">
        <v>188</v>
      </c>
      <c r="B806" t="s">
        <v>184</v>
      </c>
      <c r="C806">
        <v>48.99</v>
      </c>
      <c r="D806" t="s">
        <v>608</v>
      </c>
      <c r="E806" t="s">
        <v>608</v>
      </c>
      <c r="F806">
        <v>52.96</v>
      </c>
      <c r="G806">
        <v>40.82</v>
      </c>
      <c r="H806">
        <v>0</v>
      </c>
      <c r="I806">
        <v>0</v>
      </c>
      <c r="J806" t="s">
        <v>608</v>
      </c>
      <c r="K806" t="s">
        <v>52</v>
      </c>
    </row>
    <row r="807" spans="1:11" x14ac:dyDescent="0.2">
      <c r="A807" t="s">
        <v>189</v>
      </c>
      <c r="B807" t="s">
        <v>190</v>
      </c>
      <c r="C807">
        <v>34.32</v>
      </c>
      <c r="D807" t="s">
        <v>608</v>
      </c>
      <c r="E807" t="s">
        <v>608</v>
      </c>
      <c r="F807">
        <v>10.02</v>
      </c>
      <c r="G807">
        <v>7.56</v>
      </c>
      <c r="H807">
        <v>0.5</v>
      </c>
      <c r="I807">
        <v>0.5</v>
      </c>
      <c r="J807" t="s">
        <v>608</v>
      </c>
      <c r="K807" t="s">
        <v>52</v>
      </c>
    </row>
    <row r="808" spans="1:11" x14ac:dyDescent="0.2">
      <c r="A808" t="s">
        <v>191</v>
      </c>
      <c r="B808" t="s">
        <v>190</v>
      </c>
      <c r="C808">
        <v>52.8</v>
      </c>
      <c r="D808" t="s">
        <v>608</v>
      </c>
      <c r="E808" t="s">
        <v>608</v>
      </c>
      <c r="F808">
        <v>39.83</v>
      </c>
      <c r="G808">
        <v>29.95</v>
      </c>
      <c r="H808">
        <v>0</v>
      </c>
      <c r="I808">
        <v>0.5</v>
      </c>
      <c r="J808" t="s">
        <v>608</v>
      </c>
      <c r="K808" t="s">
        <v>52</v>
      </c>
    </row>
    <row r="809" spans="1:11" x14ac:dyDescent="0.2">
      <c r="A809" t="s">
        <v>192</v>
      </c>
      <c r="B809" t="s">
        <v>190</v>
      </c>
      <c r="C809">
        <v>42.19</v>
      </c>
      <c r="D809" t="s">
        <v>608</v>
      </c>
      <c r="E809" t="s">
        <v>608</v>
      </c>
      <c r="F809">
        <v>11.31</v>
      </c>
      <c r="G809">
        <v>8.8800000000000008</v>
      </c>
      <c r="H809">
        <v>0</v>
      </c>
      <c r="I809">
        <v>0</v>
      </c>
      <c r="J809" t="s">
        <v>608</v>
      </c>
      <c r="K809" t="s">
        <v>52</v>
      </c>
    </row>
    <row r="810" spans="1:11" x14ac:dyDescent="0.2">
      <c r="A810" t="s">
        <v>193</v>
      </c>
      <c r="B810" t="s">
        <v>190</v>
      </c>
      <c r="C810">
        <v>47.59</v>
      </c>
      <c r="D810" t="s">
        <v>608</v>
      </c>
      <c r="E810" t="s">
        <v>608</v>
      </c>
      <c r="F810">
        <v>28.7</v>
      </c>
      <c r="G810">
        <v>21.97</v>
      </c>
      <c r="H810">
        <v>0</v>
      </c>
      <c r="I810">
        <v>0.5</v>
      </c>
      <c r="J810" t="s">
        <v>608</v>
      </c>
      <c r="K810" t="s">
        <v>52</v>
      </c>
    </row>
    <row r="811" spans="1:11" x14ac:dyDescent="0.2">
      <c r="A811" t="s">
        <v>194</v>
      </c>
      <c r="B811" t="s">
        <v>190</v>
      </c>
      <c r="C811">
        <v>42.53</v>
      </c>
      <c r="D811" t="s">
        <v>608</v>
      </c>
      <c r="E811" t="s">
        <v>608</v>
      </c>
      <c r="F811">
        <v>13.23</v>
      </c>
      <c r="G811">
        <v>9.4700000000000006</v>
      </c>
      <c r="H811">
        <v>0.5</v>
      </c>
      <c r="I811">
        <v>0</v>
      </c>
      <c r="J811" t="s">
        <v>608</v>
      </c>
      <c r="K811" t="s">
        <v>52</v>
      </c>
    </row>
    <row r="812" spans="1:11" x14ac:dyDescent="0.2">
      <c r="A812" t="s">
        <v>195</v>
      </c>
      <c r="B812" t="s">
        <v>196</v>
      </c>
      <c r="C812">
        <v>56.23</v>
      </c>
      <c r="D812" t="s">
        <v>608</v>
      </c>
      <c r="E812" t="s">
        <v>608</v>
      </c>
      <c r="F812">
        <v>39.619999999999997</v>
      </c>
      <c r="G812">
        <v>30.13</v>
      </c>
      <c r="H812">
        <v>0</v>
      </c>
      <c r="I812">
        <v>0</v>
      </c>
      <c r="J812" t="s">
        <v>608</v>
      </c>
      <c r="K812" t="s">
        <v>52</v>
      </c>
    </row>
    <row r="813" spans="1:11" x14ac:dyDescent="0.2">
      <c r="A813" t="s">
        <v>197</v>
      </c>
      <c r="B813" t="s">
        <v>196</v>
      </c>
      <c r="C813">
        <v>41.22</v>
      </c>
      <c r="D813" t="s">
        <v>608</v>
      </c>
      <c r="E813" t="s">
        <v>608</v>
      </c>
      <c r="F813">
        <v>14.51</v>
      </c>
      <c r="G813">
        <v>10.93</v>
      </c>
      <c r="H813">
        <v>0</v>
      </c>
      <c r="I813">
        <v>0</v>
      </c>
      <c r="J813" t="s">
        <v>608</v>
      </c>
      <c r="K813" t="s">
        <v>52</v>
      </c>
    </row>
    <row r="814" spans="1:11" x14ac:dyDescent="0.2">
      <c r="A814" t="s">
        <v>198</v>
      </c>
      <c r="B814" t="s">
        <v>196</v>
      </c>
      <c r="C814">
        <v>43.01</v>
      </c>
      <c r="D814" t="s">
        <v>608</v>
      </c>
      <c r="E814" t="s">
        <v>608</v>
      </c>
      <c r="F814">
        <v>21.21</v>
      </c>
      <c r="G814">
        <v>18.18</v>
      </c>
      <c r="H814">
        <v>0</v>
      </c>
      <c r="I814">
        <v>0</v>
      </c>
      <c r="J814" t="s">
        <v>608</v>
      </c>
      <c r="K814" t="s">
        <v>52</v>
      </c>
    </row>
    <row r="815" spans="1:11" x14ac:dyDescent="0.2">
      <c r="A815" t="s">
        <v>199</v>
      </c>
      <c r="B815" t="s">
        <v>196</v>
      </c>
      <c r="C815">
        <v>46.44</v>
      </c>
      <c r="D815" t="s">
        <v>608</v>
      </c>
      <c r="E815" t="s">
        <v>608</v>
      </c>
      <c r="F815">
        <v>17.95</v>
      </c>
      <c r="G815">
        <v>13.54</v>
      </c>
      <c r="H815">
        <v>0</v>
      </c>
      <c r="I815">
        <v>1</v>
      </c>
      <c r="J815" t="s">
        <v>608</v>
      </c>
      <c r="K815" t="s">
        <v>52</v>
      </c>
    </row>
    <row r="816" spans="1:11" x14ac:dyDescent="0.2">
      <c r="A816" t="s">
        <v>200</v>
      </c>
      <c r="B816" t="s">
        <v>196</v>
      </c>
      <c r="C816">
        <v>49.25</v>
      </c>
      <c r="D816" t="s">
        <v>608</v>
      </c>
      <c r="E816" t="s">
        <v>608</v>
      </c>
      <c r="F816">
        <v>20</v>
      </c>
      <c r="G816">
        <v>15.15</v>
      </c>
      <c r="H816">
        <v>0</v>
      </c>
      <c r="I816">
        <v>0</v>
      </c>
      <c r="J816" t="s">
        <v>608</v>
      </c>
      <c r="K816" t="s">
        <v>52</v>
      </c>
    </row>
    <row r="817" spans="1:11" x14ac:dyDescent="0.2">
      <c r="A817" t="s">
        <v>201</v>
      </c>
      <c r="B817" t="s">
        <v>202</v>
      </c>
      <c r="C817">
        <v>69.069999999999993</v>
      </c>
      <c r="D817" t="s">
        <v>608</v>
      </c>
      <c r="E817" t="s">
        <v>608</v>
      </c>
      <c r="F817">
        <v>51.97</v>
      </c>
      <c r="G817">
        <v>39.630000000000003</v>
      </c>
      <c r="H817">
        <v>1</v>
      </c>
      <c r="I817">
        <v>2</v>
      </c>
      <c r="J817" t="s">
        <v>203</v>
      </c>
      <c r="K817" t="s">
        <v>52</v>
      </c>
    </row>
    <row r="818" spans="1:11" x14ac:dyDescent="0.2">
      <c r="A818" t="s">
        <v>204</v>
      </c>
      <c r="B818" t="s">
        <v>202</v>
      </c>
      <c r="C818">
        <v>59.46</v>
      </c>
      <c r="D818" t="s">
        <v>608</v>
      </c>
      <c r="E818" t="s">
        <v>608</v>
      </c>
      <c r="F818">
        <v>52.69</v>
      </c>
      <c r="G818">
        <v>41</v>
      </c>
      <c r="H818">
        <v>0</v>
      </c>
      <c r="I818">
        <v>0</v>
      </c>
      <c r="J818" t="s">
        <v>125</v>
      </c>
      <c r="K818" t="s">
        <v>52</v>
      </c>
    </row>
    <row r="819" spans="1:11" x14ac:dyDescent="0.2">
      <c r="A819" t="s">
        <v>205</v>
      </c>
      <c r="B819" t="s">
        <v>202</v>
      </c>
      <c r="C819">
        <v>53.8</v>
      </c>
      <c r="D819" t="s">
        <v>608</v>
      </c>
      <c r="E819" t="s">
        <v>608</v>
      </c>
      <c r="F819">
        <v>27.17</v>
      </c>
      <c r="G819">
        <v>19.190000000000001</v>
      </c>
      <c r="H819">
        <v>0</v>
      </c>
      <c r="I819">
        <v>0</v>
      </c>
      <c r="J819" t="s">
        <v>206</v>
      </c>
      <c r="K819" t="s">
        <v>52</v>
      </c>
    </row>
    <row r="820" spans="1:11" x14ac:dyDescent="0.2">
      <c r="A820" t="s">
        <v>207</v>
      </c>
      <c r="B820" t="s">
        <v>202</v>
      </c>
      <c r="C820">
        <v>48.7</v>
      </c>
      <c r="D820" t="s">
        <v>608</v>
      </c>
      <c r="E820" t="s">
        <v>608</v>
      </c>
      <c r="F820">
        <v>30.15</v>
      </c>
      <c r="G820">
        <v>23.04</v>
      </c>
      <c r="H820">
        <v>0</v>
      </c>
      <c r="I820">
        <v>0</v>
      </c>
      <c r="J820" t="s">
        <v>608</v>
      </c>
      <c r="K820" t="s">
        <v>52</v>
      </c>
    </row>
    <row r="821" spans="1:11" x14ac:dyDescent="0.2">
      <c r="A821" t="s">
        <v>208</v>
      </c>
      <c r="B821" t="s">
        <v>202</v>
      </c>
      <c r="C821">
        <v>46.33</v>
      </c>
      <c r="D821" t="s">
        <v>608</v>
      </c>
      <c r="E821" t="s">
        <v>608</v>
      </c>
      <c r="F821">
        <v>28.89</v>
      </c>
      <c r="G821">
        <v>22.22</v>
      </c>
      <c r="H821">
        <v>0</v>
      </c>
      <c r="I821">
        <v>0.5</v>
      </c>
      <c r="J821" t="s">
        <v>608</v>
      </c>
      <c r="K821" t="s">
        <v>52</v>
      </c>
    </row>
    <row r="822" spans="1:11" x14ac:dyDescent="0.2">
      <c r="A822" t="s">
        <v>209</v>
      </c>
      <c r="B822" t="s">
        <v>210</v>
      </c>
      <c r="C822">
        <v>40.880000000000003</v>
      </c>
      <c r="D822" t="s">
        <v>608</v>
      </c>
      <c r="E822" t="s">
        <v>608</v>
      </c>
      <c r="F822">
        <v>11.68</v>
      </c>
      <c r="G822">
        <v>8.61</v>
      </c>
      <c r="H822">
        <v>0</v>
      </c>
      <c r="I822">
        <v>0</v>
      </c>
      <c r="J822" t="s">
        <v>608</v>
      </c>
      <c r="K822" t="s">
        <v>52</v>
      </c>
    </row>
    <row r="823" spans="1:11" x14ac:dyDescent="0.2">
      <c r="A823" t="s">
        <v>211</v>
      </c>
      <c r="B823" t="s">
        <v>210</v>
      </c>
      <c r="C823">
        <v>41.86</v>
      </c>
      <c r="D823" t="s">
        <v>608</v>
      </c>
      <c r="E823" t="s">
        <v>608</v>
      </c>
      <c r="F823">
        <v>22.93</v>
      </c>
      <c r="G823">
        <v>17.34</v>
      </c>
      <c r="H823">
        <v>0</v>
      </c>
      <c r="I823">
        <v>0.5</v>
      </c>
      <c r="J823" t="s">
        <v>608</v>
      </c>
      <c r="K823" t="s">
        <v>52</v>
      </c>
    </row>
    <row r="824" spans="1:11" x14ac:dyDescent="0.2">
      <c r="A824" t="s">
        <v>212</v>
      </c>
      <c r="B824" t="s">
        <v>210</v>
      </c>
      <c r="C824">
        <v>45.18</v>
      </c>
      <c r="D824" t="s">
        <v>608</v>
      </c>
      <c r="E824" t="s">
        <v>608</v>
      </c>
      <c r="F824">
        <v>15.89</v>
      </c>
      <c r="G824">
        <v>12.33</v>
      </c>
      <c r="H824">
        <v>0</v>
      </c>
      <c r="I824">
        <v>0</v>
      </c>
      <c r="J824" t="s">
        <v>608</v>
      </c>
      <c r="K824" t="s">
        <v>52</v>
      </c>
    </row>
    <row r="825" spans="1:11" x14ac:dyDescent="0.2">
      <c r="A825" t="s">
        <v>213</v>
      </c>
      <c r="B825" t="s">
        <v>210</v>
      </c>
      <c r="C825">
        <v>39.799999999999997</v>
      </c>
      <c r="D825" t="s">
        <v>608</v>
      </c>
      <c r="E825" t="s">
        <v>608</v>
      </c>
      <c r="F825">
        <v>13.53</v>
      </c>
      <c r="G825">
        <v>11.07</v>
      </c>
      <c r="H825">
        <v>0</v>
      </c>
      <c r="I825">
        <v>0.5</v>
      </c>
      <c r="J825" t="s">
        <v>608</v>
      </c>
      <c r="K825" t="s">
        <v>52</v>
      </c>
    </row>
    <row r="826" spans="1:11" x14ac:dyDescent="0.2">
      <c r="A826" t="s">
        <v>214</v>
      </c>
      <c r="B826" t="s">
        <v>210</v>
      </c>
      <c r="C826">
        <v>38.29</v>
      </c>
      <c r="D826" t="s">
        <v>608</v>
      </c>
      <c r="E826" t="s">
        <v>608</v>
      </c>
      <c r="F826">
        <v>15.49</v>
      </c>
      <c r="G826">
        <v>12.08</v>
      </c>
      <c r="H826">
        <v>0</v>
      </c>
      <c r="I826">
        <v>0.5</v>
      </c>
      <c r="J826" t="s">
        <v>608</v>
      </c>
      <c r="K826" t="s">
        <v>52</v>
      </c>
    </row>
    <row r="827" spans="1:11" x14ac:dyDescent="0.2">
      <c r="A827" t="s">
        <v>2311</v>
      </c>
      <c r="B827" t="s">
        <v>1475</v>
      </c>
      <c r="C827">
        <v>76.45</v>
      </c>
      <c r="D827" t="s">
        <v>608</v>
      </c>
      <c r="E827" t="s">
        <v>608</v>
      </c>
      <c r="F827">
        <v>62.81</v>
      </c>
      <c r="G827">
        <v>49.8</v>
      </c>
      <c r="H827">
        <v>2</v>
      </c>
      <c r="I827">
        <v>2</v>
      </c>
      <c r="J827" t="s">
        <v>608</v>
      </c>
      <c r="K827" t="s">
        <v>52</v>
      </c>
    </row>
    <row r="828" spans="1:11" x14ac:dyDescent="0.2">
      <c r="A828" t="s">
        <v>2312</v>
      </c>
      <c r="B828" t="s">
        <v>1475</v>
      </c>
      <c r="C828">
        <v>42.65</v>
      </c>
      <c r="D828" t="s">
        <v>608</v>
      </c>
      <c r="E828" t="s">
        <v>608</v>
      </c>
      <c r="F828">
        <v>20.87</v>
      </c>
      <c r="G828">
        <v>14.97</v>
      </c>
      <c r="H828">
        <v>0.5</v>
      </c>
      <c r="I828">
        <v>0</v>
      </c>
      <c r="J828" t="s">
        <v>608</v>
      </c>
      <c r="K828" t="s">
        <v>52</v>
      </c>
    </row>
    <row r="829" spans="1:11" x14ac:dyDescent="0.2">
      <c r="A829" t="s">
        <v>2313</v>
      </c>
      <c r="B829" t="s">
        <v>1475</v>
      </c>
      <c r="C829">
        <v>57.88</v>
      </c>
      <c r="D829" t="s">
        <v>608</v>
      </c>
      <c r="E829" t="s">
        <v>608</v>
      </c>
      <c r="F829">
        <v>29.32</v>
      </c>
      <c r="G829">
        <v>23.42</v>
      </c>
      <c r="H829">
        <v>0.5</v>
      </c>
      <c r="I829">
        <v>0</v>
      </c>
      <c r="J829" t="s">
        <v>608</v>
      </c>
      <c r="K829" t="s">
        <v>52</v>
      </c>
    </row>
    <row r="830" spans="1:11" x14ac:dyDescent="0.2">
      <c r="A830" t="s">
        <v>2314</v>
      </c>
      <c r="B830" t="s">
        <v>1475</v>
      </c>
      <c r="C830">
        <v>44.14</v>
      </c>
      <c r="D830" t="s">
        <v>608</v>
      </c>
      <c r="E830" t="s">
        <v>608</v>
      </c>
      <c r="F830">
        <v>25.31</v>
      </c>
      <c r="G830">
        <v>19.18</v>
      </c>
      <c r="H830">
        <v>0</v>
      </c>
      <c r="I830">
        <v>0</v>
      </c>
      <c r="J830" t="s">
        <v>608</v>
      </c>
      <c r="K830" t="s">
        <v>52</v>
      </c>
    </row>
    <row r="831" spans="1:11" x14ac:dyDescent="0.2">
      <c r="A831" t="s">
        <v>2315</v>
      </c>
      <c r="B831" t="s">
        <v>1475</v>
      </c>
      <c r="C831">
        <v>41.27</v>
      </c>
      <c r="D831" t="s">
        <v>608</v>
      </c>
      <c r="E831" t="s">
        <v>608</v>
      </c>
      <c r="F831">
        <v>17.8</v>
      </c>
      <c r="G831">
        <v>12.82</v>
      </c>
      <c r="H831">
        <v>0</v>
      </c>
      <c r="I831">
        <v>0</v>
      </c>
      <c r="J831" t="s">
        <v>608</v>
      </c>
      <c r="K831" t="s">
        <v>52</v>
      </c>
    </row>
    <row r="832" spans="1:11" x14ac:dyDescent="0.2">
      <c r="A832" t="s">
        <v>2316</v>
      </c>
      <c r="B832" t="s">
        <v>1477</v>
      </c>
      <c r="C832">
        <v>58.81</v>
      </c>
      <c r="D832" t="s">
        <v>608</v>
      </c>
      <c r="E832" t="s">
        <v>608</v>
      </c>
      <c r="F832">
        <v>77.44</v>
      </c>
      <c r="G832">
        <v>61.25</v>
      </c>
      <c r="H832">
        <v>0</v>
      </c>
      <c r="I832">
        <v>0</v>
      </c>
      <c r="J832" t="s">
        <v>608</v>
      </c>
      <c r="K832" t="s">
        <v>52</v>
      </c>
    </row>
    <row r="833" spans="1:11" x14ac:dyDescent="0.2">
      <c r="A833" t="s">
        <v>2317</v>
      </c>
      <c r="B833" t="s">
        <v>1477</v>
      </c>
      <c r="C833">
        <v>54.61</v>
      </c>
      <c r="D833" t="s">
        <v>608</v>
      </c>
      <c r="E833" t="s">
        <v>608</v>
      </c>
      <c r="F833">
        <v>52.49</v>
      </c>
      <c r="G833">
        <v>40.159999999999997</v>
      </c>
      <c r="H833">
        <v>0</v>
      </c>
      <c r="I833">
        <v>0</v>
      </c>
      <c r="J833" t="s">
        <v>608</v>
      </c>
      <c r="K833" t="s">
        <v>52</v>
      </c>
    </row>
    <row r="834" spans="1:11" x14ac:dyDescent="0.2">
      <c r="A834" t="s">
        <v>2318</v>
      </c>
      <c r="B834" t="s">
        <v>1477</v>
      </c>
      <c r="C834">
        <v>64.66</v>
      </c>
      <c r="D834" t="s">
        <v>608</v>
      </c>
      <c r="E834" t="s">
        <v>608</v>
      </c>
      <c r="F834">
        <v>62.31</v>
      </c>
      <c r="G834">
        <v>43.38</v>
      </c>
      <c r="H834">
        <v>1</v>
      </c>
      <c r="I834">
        <v>2</v>
      </c>
      <c r="J834" t="s">
        <v>608</v>
      </c>
      <c r="K834" t="s">
        <v>52</v>
      </c>
    </row>
    <row r="835" spans="1:11" x14ac:dyDescent="0.2">
      <c r="A835" t="s">
        <v>2319</v>
      </c>
      <c r="B835" t="s">
        <v>1477</v>
      </c>
      <c r="C835">
        <v>63.6</v>
      </c>
      <c r="D835" t="s">
        <v>608</v>
      </c>
      <c r="E835" t="s">
        <v>608</v>
      </c>
      <c r="F835">
        <v>58.03</v>
      </c>
      <c r="G835">
        <v>40.42</v>
      </c>
      <c r="H835">
        <v>0</v>
      </c>
      <c r="I835">
        <v>0</v>
      </c>
      <c r="J835" t="s">
        <v>608</v>
      </c>
      <c r="K835" t="s">
        <v>52</v>
      </c>
    </row>
    <row r="836" spans="1:11" x14ac:dyDescent="0.2">
      <c r="A836" t="s">
        <v>2320</v>
      </c>
      <c r="B836" t="s">
        <v>1477</v>
      </c>
      <c r="C836">
        <v>58.41</v>
      </c>
      <c r="D836" t="s">
        <v>608</v>
      </c>
      <c r="E836" t="s">
        <v>608</v>
      </c>
      <c r="F836">
        <v>43.56</v>
      </c>
      <c r="G836">
        <v>33.18</v>
      </c>
      <c r="H836">
        <v>0</v>
      </c>
      <c r="I836">
        <v>0</v>
      </c>
      <c r="J836" t="s">
        <v>1043</v>
      </c>
      <c r="K836" t="s">
        <v>52</v>
      </c>
    </row>
    <row r="837" spans="1:11" x14ac:dyDescent="0.2">
      <c r="A837" t="s">
        <v>2321</v>
      </c>
      <c r="B837" t="s">
        <v>1479</v>
      </c>
      <c r="C837">
        <v>50.48</v>
      </c>
      <c r="D837" t="s">
        <v>608</v>
      </c>
      <c r="E837" t="s">
        <v>608</v>
      </c>
      <c r="F837">
        <v>24.45</v>
      </c>
      <c r="G837">
        <v>18.579999999999998</v>
      </c>
      <c r="H837">
        <v>0</v>
      </c>
      <c r="I837">
        <v>0</v>
      </c>
      <c r="J837" t="s">
        <v>608</v>
      </c>
      <c r="K837" t="s">
        <v>52</v>
      </c>
    </row>
    <row r="838" spans="1:11" x14ac:dyDescent="0.2">
      <c r="A838" t="s">
        <v>2322</v>
      </c>
      <c r="B838" t="s">
        <v>1479</v>
      </c>
      <c r="C838">
        <v>40.33</v>
      </c>
      <c r="D838" t="s">
        <v>608</v>
      </c>
      <c r="E838" t="s">
        <v>608</v>
      </c>
      <c r="F838">
        <v>20.36</v>
      </c>
      <c r="G838">
        <v>15.17</v>
      </c>
      <c r="H838">
        <v>0</v>
      </c>
      <c r="I838">
        <v>0</v>
      </c>
      <c r="J838" t="s">
        <v>608</v>
      </c>
      <c r="K838" t="s">
        <v>52</v>
      </c>
    </row>
    <row r="839" spans="1:11" x14ac:dyDescent="0.2">
      <c r="A839" t="s">
        <v>2323</v>
      </c>
      <c r="B839" t="s">
        <v>1479</v>
      </c>
      <c r="C839">
        <v>44.56</v>
      </c>
      <c r="D839" t="s">
        <v>608</v>
      </c>
      <c r="E839" t="s">
        <v>608</v>
      </c>
      <c r="F839">
        <v>14.67</v>
      </c>
      <c r="G839">
        <v>10.53</v>
      </c>
      <c r="H839">
        <v>0</v>
      </c>
      <c r="I839">
        <v>0</v>
      </c>
      <c r="J839" t="s">
        <v>608</v>
      </c>
      <c r="K839" t="s">
        <v>52</v>
      </c>
    </row>
    <row r="840" spans="1:11" x14ac:dyDescent="0.2">
      <c r="A840" t="s">
        <v>2324</v>
      </c>
      <c r="B840" t="s">
        <v>1479</v>
      </c>
      <c r="C840">
        <v>40.36</v>
      </c>
      <c r="D840" t="s">
        <v>608</v>
      </c>
      <c r="E840" t="s">
        <v>608</v>
      </c>
      <c r="F840">
        <v>13.92</v>
      </c>
      <c r="G840">
        <v>10.130000000000001</v>
      </c>
      <c r="H840">
        <v>0</v>
      </c>
      <c r="I840">
        <v>0</v>
      </c>
      <c r="J840" t="s">
        <v>608</v>
      </c>
      <c r="K840" t="s">
        <v>52</v>
      </c>
    </row>
    <row r="841" spans="1:11" x14ac:dyDescent="0.2">
      <c r="A841" t="s">
        <v>2325</v>
      </c>
      <c r="B841" t="s">
        <v>1479</v>
      </c>
      <c r="C841">
        <v>35.65</v>
      </c>
      <c r="D841" t="s">
        <v>608</v>
      </c>
      <c r="E841" t="s">
        <v>608</v>
      </c>
      <c r="F841">
        <v>7.82</v>
      </c>
      <c r="G841">
        <v>5.98</v>
      </c>
      <c r="H841">
        <v>0</v>
      </c>
      <c r="I841">
        <v>0</v>
      </c>
      <c r="J841" t="s">
        <v>608</v>
      </c>
      <c r="K841" t="s">
        <v>52</v>
      </c>
    </row>
    <row r="842" spans="1:11" x14ac:dyDescent="0.2">
      <c r="A842" t="s">
        <v>684</v>
      </c>
      <c r="B842" t="s">
        <v>685</v>
      </c>
      <c r="C842">
        <v>62.72</v>
      </c>
      <c r="D842" t="s">
        <v>608</v>
      </c>
      <c r="E842" t="s">
        <v>608</v>
      </c>
      <c r="F842">
        <v>45.3</v>
      </c>
      <c r="G842">
        <v>32.43</v>
      </c>
      <c r="H842">
        <v>0.5</v>
      </c>
      <c r="I842">
        <v>0.5</v>
      </c>
      <c r="J842" t="s">
        <v>686</v>
      </c>
      <c r="K842" t="s">
        <v>52</v>
      </c>
    </row>
    <row r="843" spans="1:11" x14ac:dyDescent="0.2">
      <c r="A843" t="s">
        <v>687</v>
      </c>
      <c r="B843" t="s">
        <v>685</v>
      </c>
      <c r="C843">
        <v>60.08</v>
      </c>
      <c r="D843" t="s">
        <v>608</v>
      </c>
      <c r="E843" t="s">
        <v>608</v>
      </c>
      <c r="F843">
        <v>64.56</v>
      </c>
      <c r="G843">
        <v>49.13</v>
      </c>
      <c r="H843">
        <v>0</v>
      </c>
      <c r="I843">
        <v>0</v>
      </c>
      <c r="J843" t="s">
        <v>608</v>
      </c>
      <c r="K843" t="s">
        <v>52</v>
      </c>
    </row>
    <row r="844" spans="1:11" x14ac:dyDescent="0.2">
      <c r="A844" t="s">
        <v>688</v>
      </c>
      <c r="B844" t="s">
        <v>685</v>
      </c>
      <c r="C844">
        <v>56.52</v>
      </c>
      <c r="D844" t="s">
        <v>608</v>
      </c>
      <c r="E844" t="s">
        <v>608</v>
      </c>
      <c r="F844">
        <v>53.68</v>
      </c>
      <c r="G844">
        <v>40.36</v>
      </c>
      <c r="H844">
        <v>0</v>
      </c>
      <c r="I844">
        <v>0</v>
      </c>
      <c r="J844" t="s">
        <v>608</v>
      </c>
      <c r="K844" t="s">
        <v>52</v>
      </c>
    </row>
    <row r="845" spans="1:11" x14ac:dyDescent="0.2">
      <c r="A845" t="s">
        <v>689</v>
      </c>
      <c r="B845" t="s">
        <v>685</v>
      </c>
      <c r="C845">
        <v>60.07</v>
      </c>
      <c r="D845" t="s">
        <v>608</v>
      </c>
      <c r="E845" t="s">
        <v>608</v>
      </c>
      <c r="F845">
        <v>38.21</v>
      </c>
      <c r="G845">
        <v>29.08</v>
      </c>
      <c r="H845">
        <v>0</v>
      </c>
      <c r="I845">
        <v>0</v>
      </c>
      <c r="J845" t="s">
        <v>608</v>
      </c>
      <c r="K845" t="s">
        <v>52</v>
      </c>
    </row>
    <row r="846" spans="1:11" x14ac:dyDescent="0.2">
      <c r="A846" t="s">
        <v>690</v>
      </c>
      <c r="B846" t="s">
        <v>685</v>
      </c>
      <c r="C846">
        <v>49.76</v>
      </c>
      <c r="D846" t="s">
        <v>608</v>
      </c>
      <c r="E846" t="s">
        <v>608</v>
      </c>
      <c r="F846">
        <v>28.81</v>
      </c>
      <c r="G846">
        <v>19.91</v>
      </c>
      <c r="H846">
        <v>0.5</v>
      </c>
      <c r="I846">
        <v>1</v>
      </c>
      <c r="J846" t="s">
        <v>608</v>
      </c>
      <c r="K846" t="s">
        <v>52</v>
      </c>
    </row>
    <row r="847" spans="1:11" x14ac:dyDescent="0.2">
      <c r="A847" t="s">
        <v>691</v>
      </c>
      <c r="B847" t="s">
        <v>692</v>
      </c>
      <c r="C847">
        <v>47.88</v>
      </c>
      <c r="D847" t="s">
        <v>608</v>
      </c>
      <c r="E847" t="s">
        <v>608</v>
      </c>
      <c r="F847">
        <v>32.130000000000003</v>
      </c>
      <c r="G847">
        <v>28.78</v>
      </c>
      <c r="H847">
        <v>0</v>
      </c>
      <c r="I847">
        <v>0</v>
      </c>
      <c r="J847" t="s">
        <v>693</v>
      </c>
      <c r="K847" t="s">
        <v>52</v>
      </c>
    </row>
    <row r="848" spans="1:11" x14ac:dyDescent="0.2">
      <c r="A848" t="s">
        <v>694</v>
      </c>
      <c r="B848" t="s">
        <v>692</v>
      </c>
      <c r="C848">
        <v>55.99</v>
      </c>
      <c r="D848" t="s">
        <v>608</v>
      </c>
      <c r="E848" t="s">
        <v>608</v>
      </c>
      <c r="F848">
        <v>44.54</v>
      </c>
      <c r="G848">
        <v>34.270000000000003</v>
      </c>
      <c r="H848">
        <v>0</v>
      </c>
      <c r="I848">
        <v>0</v>
      </c>
      <c r="J848" t="s">
        <v>608</v>
      </c>
      <c r="K848" t="s">
        <v>52</v>
      </c>
    </row>
    <row r="849" spans="1:11" x14ac:dyDescent="0.2">
      <c r="A849" t="s">
        <v>695</v>
      </c>
      <c r="B849" t="s">
        <v>692</v>
      </c>
      <c r="C849">
        <v>53.55</v>
      </c>
      <c r="D849" t="s">
        <v>608</v>
      </c>
      <c r="E849" t="s">
        <v>608</v>
      </c>
      <c r="F849">
        <v>28.59</v>
      </c>
      <c r="G849">
        <v>23.47</v>
      </c>
      <c r="H849">
        <v>0.5</v>
      </c>
      <c r="I849">
        <v>0.5</v>
      </c>
      <c r="J849" t="s">
        <v>608</v>
      </c>
      <c r="K849" t="s">
        <v>52</v>
      </c>
    </row>
    <row r="850" spans="1:11" x14ac:dyDescent="0.2">
      <c r="A850" t="s">
        <v>696</v>
      </c>
      <c r="B850" t="s">
        <v>692</v>
      </c>
      <c r="C850">
        <v>51.45</v>
      </c>
      <c r="D850" t="s">
        <v>608</v>
      </c>
      <c r="E850" t="s">
        <v>608</v>
      </c>
      <c r="F850">
        <v>28.89</v>
      </c>
      <c r="G850">
        <v>21.81</v>
      </c>
      <c r="H850">
        <v>0</v>
      </c>
      <c r="I850">
        <v>0.5</v>
      </c>
      <c r="J850" t="s">
        <v>608</v>
      </c>
      <c r="K850" t="s">
        <v>52</v>
      </c>
    </row>
    <row r="851" spans="1:11" x14ac:dyDescent="0.2">
      <c r="A851" t="s">
        <v>697</v>
      </c>
      <c r="B851" t="s">
        <v>692</v>
      </c>
      <c r="C851">
        <v>51.32</v>
      </c>
      <c r="D851" t="s">
        <v>608</v>
      </c>
      <c r="E851" t="s">
        <v>608</v>
      </c>
      <c r="F851">
        <v>28.6</v>
      </c>
      <c r="G851">
        <v>20.12</v>
      </c>
      <c r="H851">
        <v>0</v>
      </c>
      <c r="I851">
        <v>0</v>
      </c>
      <c r="J851" t="s">
        <v>698</v>
      </c>
      <c r="K851" t="s">
        <v>52</v>
      </c>
    </row>
    <row r="852" spans="1:11" x14ac:dyDescent="0.2">
      <c r="A852" t="s">
        <v>699</v>
      </c>
      <c r="B852" t="s">
        <v>700</v>
      </c>
      <c r="C852">
        <v>55.56</v>
      </c>
      <c r="D852" t="s">
        <v>608</v>
      </c>
      <c r="E852" t="s">
        <v>608</v>
      </c>
      <c r="F852">
        <v>24.94</v>
      </c>
      <c r="G852">
        <v>17.920000000000002</v>
      </c>
      <c r="H852">
        <v>0.5</v>
      </c>
      <c r="I852">
        <v>0</v>
      </c>
      <c r="J852" t="s">
        <v>608</v>
      </c>
      <c r="K852" t="s">
        <v>52</v>
      </c>
    </row>
    <row r="853" spans="1:11" x14ac:dyDescent="0.2">
      <c r="A853" t="s">
        <v>701</v>
      </c>
      <c r="B853" t="s">
        <v>700</v>
      </c>
      <c r="C853">
        <v>63.6</v>
      </c>
      <c r="D853" t="s">
        <v>608</v>
      </c>
      <c r="E853" t="s">
        <v>608</v>
      </c>
      <c r="F853">
        <v>40.68</v>
      </c>
      <c r="G853">
        <v>31.3</v>
      </c>
      <c r="H853">
        <v>0</v>
      </c>
      <c r="I853">
        <v>0</v>
      </c>
      <c r="J853" t="s">
        <v>608</v>
      </c>
      <c r="K853" t="s">
        <v>52</v>
      </c>
    </row>
    <row r="854" spans="1:11" x14ac:dyDescent="0.2">
      <c r="A854" t="s">
        <v>702</v>
      </c>
      <c r="B854" t="s">
        <v>700</v>
      </c>
      <c r="C854">
        <v>43</v>
      </c>
      <c r="D854" t="s">
        <v>608</v>
      </c>
      <c r="E854" t="s">
        <v>608</v>
      </c>
      <c r="F854">
        <v>25.32</v>
      </c>
      <c r="G854">
        <v>18.37</v>
      </c>
      <c r="H854">
        <v>0</v>
      </c>
      <c r="I854">
        <v>0</v>
      </c>
      <c r="J854" t="s">
        <v>608</v>
      </c>
      <c r="K854" t="s">
        <v>52</v>
      </c>
    </row>
    <row r="855" spans="1:11" x14ac:dyDescent="0.2">
      <c r="A855" t="s">
        <v>703</v>
      </c>
      <c r="B855" t="s">
        <v>700</v>
      </c>
      <c r="C855">
        <v>63.7</v>
      </c>
      <c r="D855" t="s">
        <v>608</v>
      </c>
      <c r="E855" t="s">
        <v>608</v>
      </c>
      <c r="F855">
        <v>41.59</v>
      </c>
      <c r="G855">
        <v>30.93</v>
      </c>
      <c r="H855">
        <v>0</v>
      </c>
      <c r="I855">
        <v>0</v>
      </c>
      <c r="J855" t="s">
        <v>608</v>
      </c>
      <c r="K855" t="s">
        <v>52</v>
      </c>
    </row>
    <row r="856" spans="1:11" x14ac:dyDescent="0.2">
      <c r="A856" t="s">
        <v>704</v>
      </c>
      <c r="B856" t="s">
        <v>700</v>
      </c>
      <c r="C856">
        <v>41.39</v>
      </c>
      <c r="D856" t="s">
        <v>608</v>
      </c>
      <c r="E856" t="s">
        <v>608</v>
      </c>
      <c r="F856">
        <v>22.12</v>
      </c>
      <c r="G856">
        <v>16.86</v>
      </c>
      <c r="H856">
        <v>0</v>
      </c>
      <c r="I856">
        <v>0</v>
      </c>
      <c r="J856" t="s">
        <v>608</v>
      </c>
      <c r="K856" t="s">
        <v>52</v>
      </c>
    </row>
    <row r="857" spans="1:11" x14ac:dyDescent="0.2">
      <c r="A857" t="s">
        <v>705</v>
      </c>
      <c r="B857" t="s">
        <v>482</v>
      </c>
      <c r="C857">
        <v>57.89</v>
      </c>
      <c r="D857" t="s">
        <v>608</v>
      </c>
      <c r="E857" t="s">
        <v>608</v>
      </c>
      <c r="F857">
        <v>40.229999999999997</v>
      </c>
      <c r="G857">
        <v>31.34</v>
      </c>
      <c r="H857">
        <v>0</v>
      </c>
      <c r="I857">
        <v>0</v>
      </c>
      <c r="J857" t="s">
        <v>608</v>
      </c>
      <c r="K857" t="s">
        <v>52</v>
      </c>
    </row>
    <row r="858" spans="1:11" x14ac:dyDescent="0.2">
      <c r="A858" t="s">
        <v>706</v>
      </c>
      <c r="B858" t="s">
        <v>482</v>
      </c>
      <c r="C858">
        <v>38.270000000000003</v>
      </c>
      <c r="D858" t="s">
        <v>608</v>
      </c>
      <c r="E858" t="s">
        <v>608</v>
      </c>
      <c r="F858">
        <v>25.09</v>
      </c>
      <c r="G858">
        <v>18.54</v>
      </c>
      <c r="H858">
        <v>1</v>
      </c>
      <c r="I858">
        <v>1</v>
      </c>
      <c r="J858" t="s">
        <v>608</v>
      </c>
      <c r="K858" t="s">
        <v>52</v>
      </c>
    </row>
    <row r="859" spans="1:11" x14ac:dyDescent="0.2">
      <c r="A859" t="s">
        <v>707</v>
      </c>
      <c r="B859" t="s">
        <v>482</v>
      </c>
      <c r="C859">
        <v>57.09</v>
      </c>
      <c r="D859" t="s">
        <v>608</v>
      </c>
      <c r="E859" t="s">
        <v>608</v>
      </c>
      <c r="F859">
        <v>37.83</v>
      </c>
      <c r="G859">
        <v>28.13</v>
      </c>
      <c r="H859">
        <v>0</v>
      </c>
      <c r="I859">
        <v>1</v>
      </c>
      <c r="J859" t="s">
        <v>608</v>
      </c>
      <c r="K859" t="s">
        <v>52</v>
      </c>
    </row>
    <row r="860" spans="1:11" x14ac:dyDescent="0.2">
      <c r="A860" t="s">
        <v>708</v>
      </c>
      <c r="B860" t="s">
        <v>482</v>
      </c>
      <c r="C860">
        <v>42.6</v>
      </c>
      <c r="D860" t="s">
        <v>608</v>
      </c>
      <c r="E860" t="s">
        <v>608</v>
      </c>
      <c r="F860">
        <v>24.18</v>
      </c>
      <c r="G860">
        <v>19.809999999999999</v>
      </c>
      <c r="H860">
        <v>0.5</v>
      </c>
      <c r="I860">
        <v>0</v>
      </c>
      <c r="J860" t="s">
        <v>608</v>
      </c>
      <c r="K860" t="s">
        <v>52</v>
      </c>
    </row>
    <row r="861" spans="1:11" x14ac:dyDescent="0.2">
      <c r="A861" t="s">
        <v>709</v>
      </c>
      <c r="B861" t="s">
        <v>482</v>
      </c>
      <c r="C861">
        <v>49.73</v>
      </c>
      <c r="D861" t="s">
        <v>608</v>
      </c>
      <c r="E861" t="s">
        <v>608</v>
      </c>
      <c r="F861">
        <v>19.059999999999999</v>
      </c>
      <c r="G861">
        <v>13.77</v>
      </c>
      <c r="H861">
        <v>0</v>
      </c>
      <c r="I861">
        <v>0</v>
      </c>
      <c r="J861" t="s">
        <v>608</v>
      </c>
      <c r="K861" t="s">
        <v>52</v>
      </c>
    </row>
    <row r="862" spans="1:11" x14ac:dyDescent="0.2">
      <c r="A862" t="s">
        <v>710</v>
      </c>
      <c r="B862" t="s">
        <v>496</v>
      </c>
      <c r="C862">
        <v>56.38</v>
      </c>
      <c r="D862" t="s">
        <v>608</v>
      </c>
      <c r="E862" t="s">
        <v>608</v>
      </c>
      <c r="F862">
        <v>42.47</v>
      </c>
      <c r="G862">
        <v>32.200000000000003</v>
      </c>
      <c r="H862">
        <v>2</v>
      </c>
      <c r="I862">
        <v>2</v>
      </c>
      <c r="J862" t="s">
        <v>608</v>
      </c>
      <c r="K862" t="s">
        <v>52</v>
      </c>
    </row>
    <row r="863" spans="1:11" x14ac:dyDescent="0.2">
      <c r="A863" t="s">
        <v>711</v>
      </c>
      <c r="B863" t="s">
        <v>496</v>
      </c>
      <c r="C863">
        <v>48.98</v>
      </c>
      <c r="D863" t="s">
        <v>608</v>
      </c>
      <c r="E863" t="s">
        <v>608</v>
      </c>
      <c r="F863">
        <v>18.420000000000002</v>
      </c>
      <c r="G863">
        <v>13.34</v>
      </c>
      <c r="H863">
        <v>0.5</v>
      </c>
      <c r="I863">
        <v>0</v>
      </c>
      <c r="J863" t="s">
        <v>608</v>
      </c>
      <c r="K863" t="s">
        <v>52</v>
      </c>
    </row>
    <row r="864" spans="1:11" x14ac:dyDescent="0.2">
      <c r="A864" t="s">
        <v>712</v>
      </c>
      <c r="B864" t="s">
        <v>496</v>
      </c>
      <c r="C864">
        <v>53.64</v>
      </c>
      <c r="D864" t="s">
        <v>608</v>
      </c>
      <c r="E864" t="s">
        <v>608</v>
      </c>
      <c r="F864">
        <v>45.85</v>
      </c>
      <c r="G864">
        <v>36.11</v>
      </c>
      <c r="H864">
        <v>0</v>
      </c>
      <c r="I864">
        <v>0</v>
      </c>
      <c r="J864" t="s">
        <v>608</v>
      </c>
      <c r="K864" t="s">
        <v>52</v>
      </c>
    </row>
    <row r="865" spans="1:11" x14ac:dyDescent="0.2">
      <c r="A865" t="s">
        <v>713</v>
      </c>
      <c r="B865" t="s">
        <v>496</v>
      </c>
      <c r="C865">
        <v>49.69</v>
      </c>
      <c r="D865" t="s">
        <v>608</v>
      </c>
      <c r="E865" t="s">
        <v>608</v>
      </c>
      <c r="F865">
        <v>22.62</v>
      </c>
      <c r="G865">
        <v>16.52</v>
      </c>
      <c r="H865">
        <v>0</v>
      </c>
      <c r="I865">
        <v>0</v>
      </c>
      <c r="J865" t="s">
        <v>608</v>
      </c>
      <c r="K865" t="s">
        <v>52</v>
      </c>
    </row>
    <row r="866" spans="1:11" x14ac:dyDescent="0.2">
      <c r="A866" t="s">
        <v>714</v>
      </c>
      <c r="B866" t="s">
        <v>496</v>
      </c>
      <c r="C866">
        <v>45.58</v>
      </c>
      <c r="D866" t="s">
        <v>608</v>
      </c>
      <c r="E866" t="s">
        <v>608</v>
      </c>
      <c r="F866">
        <v>17.52</v>
      </c>
      <c r="G866">
        <v>13.51</v>
      </c>
      <c r="H866">
        <v>0</v>
      </c>
      <c r="I866">
        <v>0</v>
      </c>
      <c r="J866" t="s">
        <v>608</v>
      </c>
      <c r="K866" t="s">
        <v>52</v>
      </c>
    </row>
    <row r="867" spans="1:11" x14ac:dyDescent="0.2">
      <c r="A867" t="s">
        <v>715</v>
      </c>
      <c r="B867" t="s">
        <v>508</v>
      </c>
      <c r="C867">
        <v>60.83</v>
      </c>
      <c r="D867" t="s">
        <v>608</v>
      </c>
      <c r="E867" t="s">
        <v>608</v>
      </c>
      <c r="F867">
        <v>31.88</v>
      </c>
      <c r="G867">
        <v>26.02</v>
      </c>
      <c r="H867">
        <v>0</v>
      </c>
      <c r="I867">
        <v>0</v>
      </c>
      <c r="J867" t="s">
        <v>608</v>
      </c>
      <c r="K867" t="s">
        <v>52</v>
      </c>
    </row>
    <row r="868" spans="1:11" x14ac:dyDescent="0.2">
      <c r="A868" t="s">
        <v>716</v>
      </c>
      <c r="B868" t="s">
        <v>508</v>
      </c>
      <c r="C868">
        <v>54.02</v>
      </c>
      <c r="D868" t="s">
        <v>608</v>
      </c>
      <c r="E868" t="s">
        <v>608</v>
      </c>
      <c r="F868">
        <v>31.37</v>
      </c>
      <c r="G868">
        <v>24.12</v>
      </c>
      <c r="H868">
        <v>0</v>
      </c>
      <c r="I868">
        <v>0</v>
      </c>
      <c r="J868" t="s">
        <v>608</v>
      </c>
      <c r="K868" t="s">
        <v>52</v>
      </c>
    </row>
    <row r="869" spans="1:11" x14ac:dyDescent="0.2">
      <c r="A869" t="s">
        <v>717</v>
      </c>
      <c r="B869" t="s">
        <v>508</v>
      </c>
      <c r="C869">
        <v>76.06</v>
      </c>
      <c r="D869" t="s">
        <v>608</v>
      </c>
      <c r="E869" t="s">
        <v>608</v>
      </c>
      <c r="F869">
        <v>60.14</v>
      </c>
      <c r="G869">
        <v>44.14</v>
      </c>
      <c r="H869">
        <v>0</v>
      </c>
      <c r="I869">
        <v>0</v>
      </c>
      <c r="J869" t="s">
        <v>608</v>
      </c>
      <c r="K869" t="s">
        <v>52</v>
      </c>
    </row>
    <row r="870" spans="1:11" x14ac:dyDescent="0.2">
      <c r="A870" t="s">
        <v>718</v>
      </c>
      <c r="B870" t="s">
        <v>508</v>
      </c>
      <c r="C870">
        <v>48.35</v>
      </c>
      <c r="D870" t="s">
        <v>608</v>
      </c>
      <c r="E870" t="s">
        <v>608</v>
      </c>
      <c r="F870">
        <v>17.52</v>
      </c>
      <c r="G870">
        <v>13.26</v>
      </c>
      <c r="H870">
        <v>0</v>
      </c>
      <c r="I870">
        <v>0</v>
      </c>
      <c r="J870" t="s">
        <v>608</v>
      </c>
      <c r="K870" t="s">
        <v>52</v>
      </c>
    </row>
    <row r="871" spans="1:11" x14ac:dyDescent="0.2">
      <c r="A871" t="s">
        <v>719</v>
      </c>
      <c r="B871" t="s">
        <v>508</v>
      </c>
      <c r="C871">
        <v>58.5</v>
      </c>
      <c r="D871" t="s">
        <v>608</v>
      </c>
      <c r="E871" t="s">
        <v>608</v>
      </c>
      <c r="F871">
        <v>21.12</v>
      </c>
      <c r="G871">
        <v>16.07</v>
      </c>
      <c r="H871">
        <v>2</v>
      </c>
      <c r="I871">
        <v>3</v>
      </c>
      <c r="J871" t="s">
        <v>608</v>
      </c>
      <c r="K871" t="s">
        <v>52</v>
      </c>
    </row>
    <row r="872" spans="1:11" x14ac:dyDescent="0.2">
      <c r="A872" t="s">
        <v>481</v>
      </c>
      <c r="B872" t="s">
        <v>482</v>
      </c>
      <c r="C872">
        <v>31.49</v>
      </c>
      <c r="D872">
        <v>25.6</v>
      </c>
      <c r="E872">
        <v>7.2</v>
      </c>
      <c r="F872">
        <v>3.65</v>
      </c>
      <c r="G872">
        <v>2.93</v>
      </c>
      <c r="H872" t="s">
        <v>608</v>
      </c>
      <c r="I872" t="s">
        <v>608</v>
      </c>
      <c r="J872" t="s">
        <v>720</v>
      </c>
      <c r="K872" t="s">
        <v>52</v>
      </c>
    </row>
    <row r="873" spans="1:11" x14ac:dyDescent="0.2">
      <c r="A873" t="s">
        <v>483</v>
      </c>
      <c r="B873" t="s">
        <v>482</v>
      </c>
      <c r="C873">
        <v>25.12</v>
      </c>
      <c r="D873">
        <v>15.01</v>
      </c>
      <c r="E873">
        <v>8.23</v>
      </c>
      <c r="F873">
        <v>2.2400000000000002</v>
      </c>
      <c r="G873">
        <v>1.77</v>
      </c>
      <c r="H873" t="s">
        <v>608</v>
      </c>
      <c r="I873" t="s">
        <v>608</v>
      </c>
      <c r="J873" t="s">
        <v>720</v>
      </c>
      <c r="K873" t="s">
        <v>52</v>
      </c>
    </row>
    <row r="874" spans="1:11" x14ac:dyDescent="0.2">
      <c r="A874" t="s">
        <v>484</v>
      </c>
      <c r="B874" t="s">
        <v>482</v>
      </c>
      <c r="C874">
        <v>13.9</v>
      </c>
      <c r="D874">
        <v>11.33</v>
      </c>
      <c r="E874">
        <v>5.3</v>
      </c>
      <c r="F874">
        <v>0.47</v>
      </c>
      <c r="G874">
        <v>0.35</v>
      </c>
      <c r="H874" t="s">
        <v>608</v>
      </c>
      <c r="I874" t="s">
        <v>608</v>
      </c>
      <c r="J874" t="s">
        <v>720</v>
      </c>
      <c r="K874" t="s">
        <v>52</v>
      </c>
    </row>
    <row r="875" spans="1:11" x14ac:dyDescent="0.2">
      <c r="A875" t="s">
        <v>485</v>
      </c>
      <c r="B875" t="s">
        <v>482</v>
      </c>
      <c r="C875">
        <v>35.020000000000003</v>
      </c>
      <c r="D875">
        <v>24.15</v>
      </c>
      <c r="E875">
        <v>17.07</v>
      </c>
      <c r="F875">
        <v>9.39</v>
      </c>
      <c r="G875">
        <v>7.1</v>
      </c>
      <c r="H875" t="s">
        <v>608</v>
      </c>
      <c r="I875" t="s">
        <v>608</v>
      </c>
      <c r="J875" t="s">
        <v>720</v>
      </c>
      <c r="K875" t="s">
        <v>52</v>
      </c>
    </row>
    <row r="876" spans="1:11" x14ac:dyDescent="0.2">
      <c r="A876" t="s">
        <v>486</v>
      </c>
      <c r="B876" t="s">
        <v>482</v>
      </c>
      <c r="C876">
        <v>20</v>
      </c>
      <c r="D876">
        <v>13.96</v>
      </c>
      <c r="E876">
        <v>8.0299999999999994</v>
      </c>
      <c r="F876">
        <v>1.79</v>
      </c>
      <c r="G876">
        <v>1.47</v>
      </c>
      <c r="H876" t="s">
        <v>608</v>
      </c>
      <c r="I876" t="s">
        <v>608</v>
      </c>
      <c r="J876" t="s">
        <v>720</v>
      </c>
      <c r="K876" t="s">
        <v>52</v>
      </c>
    </row>
    <row r="877" spans="1:11" x14ac:dyDescent="0.2">
      <c r="A877" t="s">
        <v>487</v>
      </c>
      <c r="B877" t="s">
        <v>482</v>
      </c>
      <c r="C877">
        <v>20.51</v>
      </c>
      <c r="D877">
        <v>25.6</v>
      </c>
      <c r="E877">
        <v>13.28</v>
      </c>
      <c r="F877">
        <v>4.4000000000000004</v>
      </c>
      <c r="G877">
        <v>3.3</v>
      </c>
      <c r="H877" t="s">
        <v>608</v>
      </c>
      <c r="I877" t="s">
        <v>608</v>
      </c>
      <c r="J877" t="s">
        <v>720</v>
      </c>
      <c r="K877" t="s">
        <v>52</v>
      </c>
    </row>
    <row r="878" spans="1:11" x14ac:dyDescent="0.2">
      <c r="A878" t="s">
        <v>488</v>
      </c>
      <c r="B878" t="s">
        <v>482</v>
      </c>
      <c r="C878">
        <v>16.190000000000001</v>
      </c>
      <c r="D878">
        <v>12.98</v>
      </c>
      <c r="E878">
        <v>5.57</v>
      </c>
      <c r="F878">
        <v>0.98</v>
      </c>
      <c r="G878">
        <v>0.77</v>
      </c>
      <c r="H878" t="s">
        <v>608</v>
      </c>
      <c r="I878" t="s">
        <v>608</v>
      </c>
      <c r="J878" t="s">
        <v>720</v>
      </c>
      <c r="K878" t="s">
        <v>52</v>
      </c>
    </row>
    <row r="879" spans="1:11" x14ac:dyDescent="0.2">
      <c r="A879" t="s">
        <v>489</v>
      </c>
      <c r="B879" t="s">
        <v>482</v>
      </c>
      <c r="C879">
        <v>36.729999999999997</v>
      </c>
      <c r="D879">
        <v>32.659999999999997</v>
      </c>
      <c r="E879">
        <v>21.44</v>
      </c>
      <c r="F879">
        <v>13.43</v>
      </c>
      <c r="G879">
        <v>9.7799999999999994</v>
      </c>
      <c r="H879" t="s">
        <v>608</v>
      </c>
      <c r="I879" t="s">
        <v>608</v>
      </c>
      <c r="J879" t="s">
        <v>720</v>
      </c>
      <c r="K879" t="s">
        <v>52</v>
      </c>
    </row>
    <row r="880" spans="1:11" x14ac:dyDescent="0.2">
      <c r="A880" t="s">
        <v>490</v>
      </c>
      <c r="B880" t="s">
        <v>482</v>
      </c>
      <c r="C880">
        <v>17.22</v>
      </c>
      <c r="D880">
        <v>16.440000000000001</v>
      </c>
      <c r="E880">
        <v>3.56</v>
      </c>
      <c r="F880">
        <v>1.23</v>
      </c>
      <c r="G880">
        <v>1.0900000000000001</v>
      </c>
      <c r="H880" t="s">
        <v>608</v>
      </c>
      <c r="I880" t="s">
        <v>608</v>
      </c>
      <c r="J880" t="s">
        <v>720</v>
      </c>
      <c r="K880" t="s">
        <v>52</v>
      </c>
    </row>
    <row r="881" spans="1:11" x14ac:dyDescent="0.2">
      <c r="A881" t="s">
        <v>491</v>
      </c>
      <c r="B881" t="s">
        <v>482</v>
      </c>
      <c r="C881">
        <v>39.89</v>
      </c>
      <c r="D881">
        <v>31.75</v>
      </c>
      <c r="E881">
        <v>18.09</v>
      </c>
      <c r="F881">
        <v>13.02</v>
      </c>
      <c r="G881">
        <v>10.06</v>
      </c>
      <c r="H881" t="s">
        <v>608</v>
      </c>
      <c r="I881" t="s">
        <v>608</v>
      </c>
      <c r="J881" t="s">
        <v>720</v>
      </c>
      <c r="K881" t="s">
        <v>52</v>
      </c>
    </row>
    <row r="882" spans="1:11" x14ac:dyDescent="0.2">
      <c r="A882" t="s">
        <v>492</v>
      </c>
      <c r="B882" t="s">
        <v>482</v>
      </c>
      <c r="C882">
        <v>29.94</v>
      </c>
      <c r="D882">
        <v>32.58</v>
      </c>
      <c r="E882">
        <v>12.5</v>
      </c>
      <c r="F882">
        <v>6.28</v>
      </c>
      <c r="G882">
        <v>4.47</v>
      </c>
      <c r="H882" t="s">
        <v>608</v>
      </c>
      <c r="I882" t="s">
        <v>608</v>
      </c>
      <c r="J882" t="s">
        <v>720</v>
      </c>
      <c r="K882" t="s">
        <v>52</v>
      </c>
    </row>
    <row r="883" spans="1:11" x14ac:dyDescent="0.2">
      <c r="A883" t="s">
        <v>493</v>
      </c>
      <c r="B883" t="s">
        <v>482</v>
      </c>
      <c r="C883">
        <v>23.86</v>
      </c>
      <c r="D883">
        <v>18.36</v>
      </c>
      <c r="E883">
        <v>9.57</v>
      </c>
      <c r="F883">
        <v>3.11</v>
      </c>
      <c r="G883">
        <v>2.4900000000000002</v>
      </c>
      <c r="H883" t="s">
        <v>608</v>
      </c>
      <c r="I883" t="s">
        <v>608</v>
      </c>
      <c r="J883" t="s">
        <v>720</v>
      </c>
      <c r="K883" t="s">
        <v>52</v>
      </c>
    </row>
    <row r="884" spans="1:11" x14ac:dyDescent="0.2">
      <c r="A884" t="s">
        <v>494</v>
      </c>
      <c r="B884" t="s">
        <v>482</v>
      </c>
      <c r="C884">
        <v>31.72</v>
      </c>
      <c r="D884">
        <v>25.45</v>
      </c>
      <c r="E884">
        <v>10.65</v>
      </c>
      <c r="F884">
        <v>4.91</v>
      </c>
      <c r="G884">
        <v>3.61</v>
      </c>
      <c r="H884" t="s">
        <v>608</v>
      </c>
      <c r="I884" t="s">
        <v>608</v>
      </c>
      <c r="J884" t="s">
        <v>720</v>
      </c>
      <c r="K884" t="s">
        <v>52</v>
      </c>
    </row>
    <row r="885" spans="1:11" x14ac:dyDescent="0.2">
      <c r="A885" t="s">
        <v>495</v>
      </c>
      <c r="B885" t="s">
        <v>496</v>
      </c>
      <c r="C885">
        <v>43.09</v>
      </c>
      <c r="D885">
        <v>38.33</v>
      </c>
      <c r="E885">
        <v>15.49</v>
      </c>
      <c r="F885">
        <v>17.62</v>
      </c>
      <c r="G885">
        <v>11.96</v>
      </c>
      <c r="H885" t="s">
        <v>608</v>
      </c>
      <c r="I885" t="s">
        <v>608</v>
      </c>
      <c r="J885" t="s">
        <v>720</v>
      </c>
      <c r="K885" t="s">
        <v>52</v>
      </c>
    </row>
    <row r="886" spans="1:11" x14ac:dyDescent="0.2">
      <c r="A886" t="s">
        <v>497</v>
      </c>
      <c r="B886" t="s">
        <v>496</v>
      </c>
      <c r="C886">
        <v>22.59</v>
      </c>
      <c r="D886">
        <v>23.24</v>
      </c>
      <c r="E886">
        <v>12.37</v>
      </c>
      <c r="F886">
        <v>3.4</v>
      </c>
      <c r="G886">
        <v>2.35</v>
      </c>
      <c r="H886" t="s">
        <v>608</v>
      </c>
      <c r="I886" t="s">
        <v>608</v>
      </c>
      <c r="J886" t="s">
        <v>720</v>
      </c>
      <c r="K886" t="s">
        <v>52</v>
      </c>
    </row>
    <row r="887" spans="1:11" x14ac:dyDescent="0.2">
      <c r="A887" t="s">
        <v>498</v>
      </c>
      <c r="B887" t="s">
        <v>496</v>
      </c>
      <c r="C887">
        <v>32.99</v>
      </c>
      <c r="D887">
        <v>17.8</v>
      </c>
      <c r="E887">
        <v>13.47</v>
      </c>
      <c r="F887">
        <v>4.74</v>
      </c>
      <c r="G887">
        <v>3.49</v>
      </c>
      <c r="H887" t="s">
        <v>608</v>
      </c>
      <c r="I887" t="s">
        <v>608</v>
      </c>
      <c r="J887" t="s">
        <v>720</v>
      </c>
      <c r="K887" t="s">
        <v>52</v>
      </c>
    </row>
    <row r="888" spans="1:11" x14ac:dyDescent="0.2">
      <c r="A888" t="s">
        <v>499</v>
      </c>
      <c r="B888" t="s">
        <v>496</v>
      </c>
      <c r="C888">
        <v>36.909999999999997</v>
      </c>
      <c r="D888">
        <v>43.2</v>
      </c>
      <c r="E888">
        <v>15.79</v>
      </c>
      <c r="F888">
        <v>15.8</v>
      </c>
      <c r="G888">
        <v>12.47</v>
      </c>
      <c r="H888" t="s">
        <v>608</v>
      </c>
      <c r="I888" t="s">
        <v>608</v>
      </c>
      <c r="J888" t="s">
        <v>720</v>
      </c>
      <c r="K888" t="s">
        <v>52</v>
      </c>
    </row>
    <row r="889" spans="1:11" x14ac:dyDescent="0.2">
      <c r="A889" t="s">
        <v>500</v>
      </c>
      <c r="B889" t="s">
        <v>496</v>
      </c>
      <c r="C889">
        <v>19.11</v>
      </c>
      <c r="D889">
        <v>15.19</v>
      </c>
      <c r="E889">
        <v>6.16</v>
      </c>
      <c r="F889">
        <v>1.17</v>
      </c>
      <c r="G889">
        <v>0.9</v>
      </c>
      <c r="H889" t="s">
        <v>608</v>
      </c>
      <c r="I889" t="s">
        <v>608</v>
      </c>
      <c r="J889" t="s">
        <v>720</v>
      </c>
      <c r="K889" t="s">
        <v>52</v>
      </c>
    </row>
    <row r="890" spans="1:11" x14ac:dyDescent="0.2">
      <c r="A890" t="s">
        <v>501</v>
      </c>
      <c r="B890" t="s">
        <v>496</v>
      </c>
      <c r="C890">
        <v>22.58</v>
      </c>
      <c r="D890">
        <v>15.57</v>
      </c>
      <c r="E890">
        <v>7.85</v>
      </c>
      <c r="F890">
        <v>2.0099999999999998</v>
      </c>
      <c r="G890">
        <v>1.45</v>
      </c>
      <c r="H890" t="s">
        <v>608</v>
      </c>
      <c r="I890" t="s">
        <v>608</v>
      </c>
      <c r="J890" t="s">
        <v>720</v>
      </c>
      <c r="K890" t="s">
        <v>52</v>
      </c>
    </row>
    <row r="891" spans="1:11" x14ac:dyDescent="0.2">
      <c r="A891" t="s">
        <v>502</v>
      </c>
      <c r="B891" t="s">
        <v>496</v>
      </c>
      <c r="C891">
        <v>22.82</v>
      </c>
      <c r="D891">
        <v>15.97</v>
      </c>
      <c r="E891">
        <v>9</v>
      </c>
      <c r="F891">
        <v>2.2200000000000002</v>
      </c>
      <c r="G891">
        <v>1.65</v>
      </c>
      <c r="H891" t="s">
        <v>608</v>
      </c>
      <c r="I891" t="s">
        <v>608</v>
      </c>
      <c r="J891" t="s">
        <v>720</v>
      </c>
      <c r="K891" t="s">
        <v>52</v>
      </c>
    </row>
    <row r="892" spans="1:11" x14ac:dyDescent="0.2">
      <c r="A892" t="s">
        <v>503</v>
      </c>
      <c r="B892" t="s">
        <v>496</v>
      </c>
      <c r="C892">
        <v>32.89</v>
      </c>
      <c r="D892">
        <v>30.64</v>
      </c>
      <c r="E892">
        <v>12.61</v>
      </c>
      <c r="F892">
        <v>7.38</v>
      </c>
      <c r="G892">
        <v>5.67</v>
      </c>
      <c r="H892" t="s">
        <v>608</v>
      </c>
      <c r="I892" t="s">
        <v>608</v>
      </c>
      <c r="J892" t="s">
        <v>720</v>
      </c>
      <c r="K892" t="s">
        <v>52</v>
      </c>
    </row>
    <row r="893" spans="1:11" x14ac:dyDescent="0.2">
      <c r="A893" t="s">
        <v>504</v>
      </c>
      <c r="B893" t="s">
        <v>496</v>
      </c>
      <c r="C893">
        <v>20.8</v>
      </c>
      <c r="D893">
        <v>18.47</v>
      </c>
      <c r="E893">
        <v>10.55</v>
      </c>
      <c r="F893">
        <v>3.36</v>
      </c>
      <c r="G893">
        <v>2.5099999999999998</v>
      </c>
      <c r="H893" t="s">
        <v>608</v>
      </c>
      <c r="I893" t="s">
        <v>608</v>
      </c>
      <c r="J893" t="s">
        <v>720</v>
      </c>
      <c r="K893" t="s">
        <v>52</v>
      </c>
    </row>
    <row r="894" spans="1:11" x14ac:dyDescent="0.2">
      <c r="A894" t="s">
        <v>505</v>
      </c>
      <c r="B894" t="s">
        <v>496</v>
      </c>
      <c r="C894">
        <v>29.39</v>
      </c>
      <c r="D894">
        <v>19.05</v>
      </c>
      <c r="E894">
        <v>12.65</v>
      </c>
      <c r="F894">
        <v>4.5</v>
      </c>
      <c r="G894">
        <v>3.22</v>
      </c>
      <c r="H894" t="s">
        <v>608</v>
      </c>
      <c r="I894" t="s">
        <v>608</v>
      </c>
      <c r="J894" t="s">
        <v>720</v>
      </c>
      <c r="K894" t="s">
        <v>52</v>
      </c>
    </row>
    <row r="895" spans="1:11" x14ac:dyDescent="0.2">
      <c r="A895" t="s">
        <v>506</v>
      </c>
      <c r="B895" t="s">
        <v>496</v>
      </c>
      <c r="C895">
        <v>29.21</v>
      </c>
      <c r="D895">
        <v>19.22</v>
      </c>
      <c r="E895">
        <v>15.86</v>
      </c>
      <c r="F895">
        <v>5.37</v>
      </c>
      <c r="G895">
        <v>4.0199999999999996</v>
      </c>
      <c r="H895" t="s">
        <v>608</v>
      </c>
      <c r="I895" t="s">
        <v>608</v>
      </c>
      <c r="J895" t="s">
        <v>720</v>
      </c>
      <c r="K895" t="s">
        <v>52</v>
      </c>
    </row>
    <row r="896" spans="1:11" x14ac:dyDescent="0.2">
      <c r="A896" t="s">
        <v>507</v>
      </c>
      <c r="B896" t="s">
        <v>508</v>
      </c>
      <c r="C896">
        <v>24.47</v>
      </c>
      <c r="D896">
        <v>27.76</v>
      </c>
      <c r="E896">
        <v>11.89</v>
      </c>
      <c r="F896">
        <v>3.62</v>
      </c>
      <c r="G896">
        <v>2.73</v>
      </c>
      <c r="H896" t="s">
        <v>608</v>
      </c>
      <c r="I896" t="s">
        <v>608</v>
      </c>
      <c r="J896" t="s">
        <v>720</v>
      </c>
      <c r="K896" t="s">
        <v>52</v>
      </c>
    </row>
    <row r="897" spans="1:11" x14ac:dyDescent="0.2">
      <c r="A897" t="s">
        <v>509</v>
      </c>
      <c r="B897" t="s">
        <v>508</v>
      </c>
      <c r="C897">
        <v>23.44</v>
      </c>
      <c r="D897">
        <v>29.39</v>
      </c>
      <c r="E897">
        <v>8.9600000000000009</v>
      </c>
      <c r="F897">
        <v>3.85</v>
      </c>
      <c r="G897">
        <v>3.28</v>
      </c>
      <c r="H897" t="s">
        <v>608</v>
      </c>
      <c r="I897" t="s">
        <v>608</v>
      </c>
      <c r="J897" t="s">
        <v>720</v>
      </c>
      <c r="K897" t="s">
        <v>52</v>
      </c>
    </row>
    <row r="898" spans="1:11" x14ac:dyDescent="0.2">
      <c r="A898" t="s">
        <v>510</v>
      </c>
      <c r="B898" t="s">
        <v>508</v>
      </c>
      <c r="C898">
        <v>33.82</v>
      </c>
      <c r="D898">
        <v>26.71</v>
      </c>
      <c r="E898">
        <v>13.38</v>
      </c>
      <c r="F898">
        <v>5.89</v>
      </c>
      <c r="G898">
        <v>4.54</v>
      </c>
      <c r="H898" t="s">
        <v>608</v>
      </c>
      <c r="I898" t="s">
        <v>608</v>
      </c>
      <c r="J898" t="s">
        <v>720</v>
      </c>
      <c r="K898" t="s">
        <v>52</v>
      </c>
    </row>
    <row r="899" spans="1:11" x14ac:dyDescent="0.2">
      <c r="A899" t="s">
        <v>511</v>
      </c>
      <c r="B899" t="s">
        <v>508</v>
      </c>
      <c r="C899">
        <v>20.36</v>
      </c>
      <c r="D899">
        <v>15.29</v>
      </c>
      <c r="E899">
        <v>7.65</v>
      </c>
      <c r="F899">
        <v>1.2</v>
      </c>
      <c r="G899">
        <v>0.9</v>
      </c>
      <c r="H899" t="s">
        <v>608</v>
      </c>
      <c r="I899" t="s">
        <v>608</v>
      </c>
      <c r="J899" t="s">
        <v>720</v>
      </c>
      <c r="K899" t="s">
        <v>52</v>
      </c>
    </row>
    <row r="900" spans="1:11" x14ac:dyDescent="0.2">
      <c r="A900" t="s">
        <v>512</v>
      </c>
      <c r="B900" t="s">
        <v>508</v>
      </c>
      <c r="C900">
        <v>11.47</v>
      </c>
      <c r="D900">
        <v>10.02</v>
      </c>
      <c r="E900">
        <v>6.37</v>
      </c>
      <c r="F900">
        <v>0.86</v>
      </c>
      <c r="G900">
        <v>0.71</v>
      </c>
      <c r="H900" t="s">
        <v>608</v>
      </c>
      <c r="I900" t="s">
        <v>608</v>
      </c>
      <c r="J900" t="s">
        <v>720</v>
      </c>
      <c r="K900" t="s">
        <v>52</v>
      </c>
    </row>
    <row r="901" spans="1:11" x14ac:dyDescent="0.2">
      <c r="A901" t="s">
        <v>513</v>
      </c>
      <c r="B901" t="s">
        <v>508</v>
      </c>
      <c r="C901">
        <v>38.19</v>
      </c>
      <c r="D901">
        <v>24.11</v>
      </c>
      <c r="E901">
        <v>14.46</v>
      </c>
      <c r="F901">
        <v>9.93</v>
      </c>
      <c r="G901">
        <v>7.58</v>
      </c>
      <c r="H901" t="s">
        <v>608</v>
      </c>
      <c r="I901" t="s">
        <v>608</v>
      </c>
      <c r="J901" t="s">
        <v>720</v>
      </c>
      <c r="K901" t="s">
        <v>52</v>
      </c>
    </row>
    <row r="902" spans="1:11" x14ac:dyDescent="0.2">
      <c r="A902" t="s">
        <v>514</v>
      </c>
      <c r="B902" t="s">
        <v>508</v>
      </c>
      <c r="C902">
        <v>28.01</v>
      </c>
      <c r="D902">
        <v>22.84</v>
      </c>
      <c r="E902">
        <v>11.35</v>
      </c>
      <c r="F902">
        <v>4.46</v>
      </c>
      <c r="G902">
        <v>3.38</v>
      </c>
      <c r="H902" t="s">
        <v>608</v>
      </c>
      <c r="I902" t="s">
        <v>608</v>
      </c>
      <c r="J902" t="s">
        <v>720</v>
      </c>
      <c r="K902" t="s">
        <v>52</v>
      </c>
    </row>
    <row r="903" spans="1:11" x14ac:dyDescent="0.2">
      <c r="A903" t="s">
        <v>515</v>
      </c>
      <c r="B903" t="s">
        <v>508</v>
      </c>
      <c r="C903">
        <v>26.75</v>
      </c>
      <c r="D903">
        <v>17.690000000000001</v>
      </c>
      <c r="E903">
        <v>12.31</v>
      </c>
      <c r="F903">
        <v>3.15</v>
      </c>
      <c r="G903">
        <v>2.35</v>
      </c>
      <c r="H903" t="s">
        <v>608</v>
      </c>
      <c r="I903" t="s">
        <v>608</v>
      </c>
      <c r="J903" t="s">
        <v>720</v>
      </c>
      <c r="K903" t="s">
        <v>52</v>
      </c>
    </row>
    <row r="904" spans="1:11" x14ac:dyDescent="0.2">
      <c r="A904" t="s">
        <v>516</v>
      </c>
      <c r="B904" t="s">
        <v>508</v>
      </c>
      <c r="C904">
        <v>26.85</v>
      </c>
      <c r="D904">
        <v>19.05</v>
      </c>
      <c r="E904">
        <v>8.82</v>
      </c>
      <c r="F904">
        <v>3.12</v>
      </c>
      <c r="G904">
        <v>2.4300000000000002</v>
      </c>
      <c r="H904" t="s">
        <v>608</v>
      </c>
      <c r="I904" t="s">
        <v>608</v>
      </c>
      <c r="J904" t="s">
        <v>720</v>
      </c>
      <c r="K904" t="s">
        <v>52</v>
      </c>
    </row>
    <row r="905" spans="1:11" x14ac:dyDescent="0.2">
      <c r="A905" t="s">
        <v>517</v>
      </c>
      <c r="B905" t="s">
        <v>508</v>
      </c>
      <c r="C905">
        <v>20.61</v>
      </c>
      <c r="D905">
        <v>25.53</v>
      </c>
      <c r="E905">
        <v>14.81</v>
      </c>
      <c r="F905">
        <v>6.64</v>
      </c>
      <c r="G905">
        <v>5.64</v>
      </c>
      <c r="H905" t="s">
        <v>608</v>
      </c>
      <c r="I905" t="s">
        <v>608</v>
      </c>
      <c r="J905" t="s">
        <v>720</v>
      </c>
      <c r="K905" t="s">
        <v>52</v>
      </c>
    </row>
    <row r="906" spans="1:11" x14ac:dyDescent="0.2">
      <c r="A906" t="s">
        <v>518</v>
      </c>
      <c r="B906" t="s">
        <v>508</v>
      </c>
      <c r="C906">
        <v>54.39</v>
      </c>
      <c r="D906">
        <v>35.270000000000003</v>
      </c>
      <c r="E906">
        <v>8.93</v>
      </c>
      <c r="F906">
        <v>7.88</v>
      </c>
      <c r="G906">
        <v>6.02</v>
      </c>
      <c r="H906" t="s">
        <v>608</v>
      </c>
      <c r="I906" t="s">
        <v>608</v>
      </c>
      <c r="J906" t="s">
        <v>720</v>
      </c>
      <c r="K906" t="s">
        <v>52</v>
      </c>
    </row>
    <row r="907" spans="1:11" x14ac:dyDescent="0.2">
      <c r="A907" t="s">
        <v>519</v>
      </c>
      <c r="B907" t="s">
        <v>508</v>
      </c>
      <c r="C907">
        <v>32.799999999999997</v>
      </c>
      <c r="D907">
        <v>34.51</v>
      </c>
      <c r="E907">
        <v>12.57</v>
      </c>
      <c r="F907">
        <v>7.46</v>
      </c>
      <c r="G907">
        <v>5.53</v>
      </c>
      <c r="H907" t="s">
        <v>608</v>
      </c>
      <c r="I907" t="s">
        <v>608</v>
      </c>
      <c r="J907" t="s">
        <v>720</v>
      </c>
      <c r="K907" t="s">
        <v>52</v>
      </c>
    </row>
    <row r="908" spans="1:11" x14ac:dyDescent="0.2">
      <c r="A908" t="s">
        <v>520</v>
      </c>
      <c r="B908" t="s">
        <v>508</v>
      </c>
      <c r="C908">
        <v>20.65</v>
      </c>
      <c r="D908">
        <v>16.43</v>
      </c>
      <c r="E908">
        <v>7.53</v>
      </c>
      <c r="F908">
        <v>1.95</v>
      </c>
      <c r="G908">
        <v>1.51</v>
      </c>
      <c r="H908" t="s">
        <v>608</v>
      </c>
      <c r="I908" t="s">
        <v>608</v>
      </c>
      <c r="J908" t="s">
        <v>720</v>
      </c>
      <c r="K908" t="s">
        <v>52</v>
      </c>
    </row>
    <row r="909" spans="1:11" x14ac:dyDescent="0.2">
      <c r="A909" t="s">
        <v>521</v>
      </c>
      <c r="B909" t="s">
        <v>508</v>
      </c>
      <c r="C909">
        <v>31.04</v>
      </c>
      <c r="D909">
        <v>25.02</v>
      </c>
      <c r="E909">
        <v>15.09</v>
      </c>
      <c r="F909">
        <v>7.01</v>
      </c>
      <c r="G909">
        <v>5.45</v>
      </c>
      <c r="H909" t="s">
        <v>608</v>
      </c>
      <c r="I909" t="s">
        <v>608</v>
      </c>
      <c r="J909" t="s">
        <v>720</v>
      </c>
      <c r="K909" t="s">
        <v>52</v>
      </c>
    </row>
    <row r="910" spans="1:11" x14ac:dyDescent="0.2">
      <c r="A910" t="s">
        <v>522</v>
      </c>
      <c r="B910" t="s">
        <v>508</v>
      </c>
      <c r="C910">
        <v>40.21</v>
      </c>
      <c r="D910">
        <v>32.99</v>
      </c>
      <c r="E910">
        <v>16.510000000000002</v>
      </c>
      <c r="F910">
        <v>10.61</v>
      </c>
      <c r="G910">
        <v>7.59</v>
      </c>
      <c r="H910" t="s">
        <v>608</v>
      </c>
      <c r="I910" t="s">
        <v>608</v>
      </c>
      <c r="J910" t="s">
        <v>720</v>
      </c>
      <c r="K910" t="s">
        <v>52</v>
      </c>
    </row>
    <row r="911" spans="1:11" x14ac:dyDescent="0.2">
      <c r="A911" t="s">
        <v>523</v>
      </c>
      <c r="B911" t="s">
        <v>508</v>
      </c>
      <c r="C911">
        <v>32.78</v>
      </c>
      <c r="D911">
        <v>31.99</v>
      </c>
      <c r="E911">
        <v>15.69</v>
      </c>
      <c r="F911">
        <v>6.98</v>
      </c>
      <c r="G911">
        <v>4.93</v>
      </c>
      <c r="H911" t="s">
        <v>608</v>
      </c>
      <c r="I911" t="s">
        <v>608</v>
      </c>
      <c r="J911" t="s">
        <v>720</v>
      </c>
      <c r="K911" t="s">
        <v>52</v>
      </c>
    </row>
    <row r="912" spans="1:11" x14ac:dyDescent="0.2">
      <c r="A912" t="s">
        <v>721</v>
      </c>
      <c r="B912" t="s">
        <v>525</v>
      </c>
      <c r="C912">
        <v>62.09</v>
      </c>
      <c r="D912" t="s">
        <v>608</v>
      </c>
      <c r="E912" t="s">
        <v>608</v>
      </c>
      <c r="F912">
        <v>38.99</v>
      </c>
      <c r="G912">
        <v>26.59</v>
      </c>
      <c r="H912">
        <v>0</v>
      </c>
      <c r="I912">
        <v>0</v>
      </c>
      <c r="J912" t="s">
        <v>608</v>
      </c>
      <c r="K912" t="s">
        <v>52</v>
      </c>
    </row>
    <row r="913" spans="1:11" x14ac:dyDescent="0.2">
      <c r="A913" t="s">
        <v>722</v>
      </c>
      <c r="B913" t="s">
        <v>525</v>
      </c>
      <c r="C913">
        <v>46.73</v>
      </c>
      <c r="D913" t="s">
        <v>608</v>
      </c>
      <c r="E913" t="s">
        <v>608</v>
      </c>
      <c r="F913">
        <v>29.03</v>
      </c>
      <c r="G913">
        <v>21.56</v>
      </c>
      <c r="H913">
        <v>0</v>
      </c>
      <c r="I913">
        <v>0</v>
      </c>
      <c r="J913" t="s">
        <v>608</v>
      </c>
      <c r="K913" t="s">
        <v>52</v>
      </c>
    </row>
    <row r="914" spans="1:11" x14ac:dyDescent="0.2">
      <c r="A914" t="s">
        <v>723</v>
      </c>
      <c r="B914" t="s">
        <v>525</v>
      </c>
      <c r="C914">
        <v>41.6</v>
      </c>
      <c r="D914" t="s">
        <v>608</v>
      </c>
      <c r="E914" t="s">
        <v>608</v>
      </c>
      <c r="F914">
        <v>23.27</v>
      </c>
      <c r="G914">
        <v>17.489999999999998</v>
      </c>
      <c r="H914">
        <v>2</v>
      </c>
      <c r="I914">
        <v>2</v>
      </c>
      <c r="J914" t="s">
        <v>608</v>
      </c>
      <c r="K914" t="s">
        <v>52</v>
      </c>
    </row>
    <row r="915" spans="1:11" x14ac:dyDescent="0.2">
      <c r="A915" t="s">
        <v>724</v>
      </c>
      <c r="B915" t="s">
        <v>525</v>
      </c>
      <c r="C915">
        <v>47.92</v>
      </c>
      <c r="D915" t="s">
        <v>608</v>
      </c>
      <c r="E915" t="s">
        <v>608</v>
      </c>
      <c r="F915">
        <v>19.96</v>
      </c>
      <c r="G915">
        <v>14.68</v>
      </c>
      <c r="H915">
        <v>0</v>
      </c>
      <c r="I915">
        <v>0</v>
      </c>
      <c r="J915" t="s">
        <v>608</v>
      </c>
      <c r="K915" t="s">
        <v>52</v>
      </c>
    </row>
    <row r="916" spans="1:11" x14ac:dyDescent="0.2">
      <c r="A916" t="s">
        <v>725</v>
      </c>
      <c r="B916" t="s">
        <v>525</v>
      </c>
      <c r="C916">
        <v>55.1</v>
      </c>
      <c r="D916" t="s">
        <v>608</v>
      </c>
      <c r="E916" t="s">
        <v>608</v>
      </c>
      <c r="F916">
        <v>24.36</v>
      </c>
      <c r="G916">
        <v>17.559999999999999</v>
      </c>
      <c r="H916">
        <v>0</v>
      </c>
      <c r="I916">
        <v>0</v>
      </c>
      <c r="J916" t="s">
        <v>608</v>
      </c>
      <c r="K916" t="s">
        <v>52</v>
      </c>
    </row>
    <row r="917" spans="1:11" x14ac:dyDescent="0.2">
      <c r="A917" t="s">
        <v>726</v>
      </c>
      <c r="B917" t="s">
        <v>537</v>
      </c>
      <c r="C917">
        <v>58.34</v>
      </c>
      <c r="D917" t="s">
        <v>608</v>
      </c>
      <c r="E917" t="s">
        <v>608</v>
      </c>
      <c r="F917">
        <v>30.81</v>
      </c>
      <c r="G917">
        <v>24.23</v>
      </c>
      <c r="H917">
        <v>0</v>
      </c>
      <c r="I917">
        <v>0</v>
      </c>
      <c r="J917" t="s">
        <v>727</v>
      </c>
      <c r="K917" t="s">
        <v>52</v>
      </c>
    </row>
    <row r="918" spans="1:11" x14ac:dyDescent="0.2">
      <c r="A918" t="s">
        <v>728</v>
      </c>
      <c r="B918" t="s">
        <v>537</v>
      </c>
      <c r="C918">
        <v>44.48</v>
      </c>
      <c r="D918" t="s">
        <v>608</v>
      </c>
      <c r="E918" t="s">
        <v>608</v>
      </c>
      <c r="F918">
        <v>20.92</v>
      </c>
      <c r="G918">
        <v>15.99</v>
      </c>
      <c r="H918">
        <v>0</v>
      </c>
      <c r="I918">
        <v>0</v>
      </c>
      <c r="J918" t="s">
        <v>608</v>
      </c>
      <c r="K918" t="s">
        <v>52</v>
      </c>
    </row>
    <row r="919" spans="1:11" x14ac:dyDescent="0.2">
      <c r="A919" t="s">
        <v>729</v>
      </c>
      <c r="B919" t="s">
        <v>537</v>
      </c>
      <c r="C919">
        <v>60.11</v>
      </c>
      <c r="D919" t="s">
        <v>608</v>
      </c>
      <c r="E919" t="s">
        <v>608</v>
      </c>
      <c r="F919">
        <v>60.65</v>
      </c>
      <c r="G919">
        <v>41.26</v>
      </c>
      <c r="H919">
        <v>0</v>
      </c>
      <c r="I919">
        <v>0</v>
      </c>
      <c r="J919" t="s">
        <v>608</v>
      </c>
      <c r="K919" t="s">
        <v>52</v>
      </c>
    </row>
    <row r="920" spans="1:11" x14ac:dyDescent="0.2">
      <c r="A920" t="s">
        <v>730</v>
      </c>
      <c r="B920" t="s">
        <v>537</v>
      </c>
      <c r="C920">
        <v>55.7</v>
      </c>
      <c r="D920" t="s">
        <v>608</v>
      </c>
      <c r="E920" t="s">
        <v>608</v>
      </c>
      <c r="F920">
        <v>30.4</v>
      </c>
      <c r="G920">
        <v>21.74</v>
      </c>
      <c r="H920">
        <v>0</v>
      </c>
      <c r="I920">
        <v>0</v>
      </c>
      <c r="J920" t="s">
        <v>608</v>
      </c>
      <c r="K920" t="s">
        <v>52</v>
      </c>
    </row>
    <row r="921" spans="1:11" x14ac:dyDescent="0.2">
      <c r="A921" t="s">
        <v>731</v>
      </c>
      <c r="B921" t="s">
        <v>537</v>
      </c>
      <c r="C921">
        <v>60.61</v>
      </c>
      <c r="D921" t="s">
        <v>608</v>
      </c>
      <c r="E921" t="s">
        <v>608</v>
      </c>
      <c r="F921">
        <v>46.2</v>
      </c>
      <c r="G921">
        <v>32.74</v>
      </c>
      <c r="H921">
        <v>0</v>
      </c>
      <c r="I921">
        <v>0</v>
      </c>
      <c r="J921" t="s">
        <v>608</v>
      </c>
      <c r="K921" t="s">
        <v>52</v>
      </c>
    </row>
    <row r="922" spans="1:11" x14ac:dyDescent="0.2">
      <c r="A922" t="s">
        <v>732</v>
      </c>
      <c r="B922" t="s">
        <v>551</v>
      </c>
      <c r="C922">
        <v>59.12</v>
      </c>
      <c r="D922" t="s">
        <v>608</v>
      </c>
      <c r="E922" t="s">
        <v>608</v>
      </c>
      <c r="F922">
        <v>38.79</v>
      </c>
      <c r="G922">
        <v>29.77</v>
      </c>
      <c r="H922">
        <v>0</v>
      </c>
      <c r="I922">
        <v>0</v>
      </c>
      <c r="J922" t="s">
        <v>608</v>
      </c>
      <c r="K922" t="s">
        <v>52</v>
      </c>
    </row>
    <row r="923" spans="1:11" x14ac:dyDescent="0.2">
      <c r="A923" t="s">
        <v>733</v>
      </c>
      <c r="B923" t="s">
        <v>551</v>
      </c>
      <c r="C923">
        <v>45.82</v>
      </c>
      <c r="D923" t="s">
        <v>608</v>
      </c>
      <c r="E923" t="s">
        <v>608</v>
      </c>
      <c r="F923">
        <v>27.82</v>
      </c>
      <c r="G923">
        <v>21.37</v>
      </c>
      <c r="H923">
        <v>0</v>
      </c>
      <c r="I923">
        <v>0</v>
      </c>
      <c r="J923" t="s">
        <v>608</v>
      </c>
      <c r="K923" t="s">
        <v>52</v>
      </c>
    </row>
    <row r="924" spans="1:11" x14ac:dyDescent="0.2">
      <c r="A924" t="s">
        <v>734</v>
      </c>
      <c r="B924" t="s">
        <v>551</v>
      </c>
      <c r="C924">
        <v>59.14</v>
      </c>
      <c r="D924" t="s">
        <v>608</v>
      </c>
      <c r="E924" t="s">
        <v>608</v>
      </c>
      <c r="F924">
        <v>38.79</v>
      </c>
      <c r="G924">
        <v>30.86</v>
      </c>
      <c r="H924">
        <v>0</v>
      </c>
      <c r="I924">
        <v>0</v>
      </c>
      <c r="J924" t="s">
        <v>608</v>
      </c>
      <c r="K924" t="s">
        <v>52</v>
      </c>
    </row>
    <row r="925" spans="1:11" x14ac:dyDescent="0.2">
      <c r="A925" t="s">
        <v>735</v>
      </c>
      <c r="B925" t="s">
        <v>551</v>
      </c>
      <c r="C925">
        <v>47.86</v>
      </c>
      <c r="D925" t="s">
        <v>608</v>
      </c>
      <c r="E925" t="s">
        <v>608</v>
      </c>
      <c r="F925">
        <v>27.45</v>
      </c>
      <c r="G925">
        <v>21.95</v>
      </c>
      <c r="H925">
        <v>0</v>
      </c>
      <c r="I925">
        <v>0</v>
      </c>
      <c r="J925" t="s">
        <v>608</v>
      </c>
      <c r="K925" t="s">
        <v>52</v>
      </c>
    </row>
    <row r="926" spans="1:11" x14ac:dyDescent="0.2">
      <c r="A926" t="s">
        <v>736</v>
      </c>
      <c r="B926" t="s">
        <v>551</v>
      </c>
      <c r="C926">
        <v>38.950000000000003</v>
      </c>
      <c r="D926" t="s">
        <v>608</v>
      </c>
      <c r="E926" t="s">
        <v>608</v>
      </c>
      <c r="F926">
        <v>12.95</v>
      </c>
      <c r="G926">
        <v>9.39</v>
      </c>
      <c r="H926">
        <v>0</v>
      </c>
      <c r="I926">
        <v>0</v>
      </c>
      <c r="J926" t="s">
        <v>608</v>
      </c>
      <c r="K926" t="s">
        <v>52</v>
      </c>
    </row>
    <row r="927" spans="1:11" x14ac:dyDescent="0.2">
      <c r="A927" t="s">
        <v>524</v>
      </c>
      <c r="B927" t="s">
        <v>525</v>
      </c>
      <c r="C927">
        <v>32.9</v>
      </c>
      <c r="D927">
        <v>31.13</v>
      </c>
      <c r="E927">
        <v>13.57</v>
      </c>
      <c r="F927">
        <v>8.44</v>
      </c>
      <c r="G927">
        <v>6.67</v>
      </c>
      <c r="H927" t="s">
        <v>608</v>
      </c>
      <c r="I927" t="s">
        <v>608</v>
      </c>
      <c r="J927">
        <v>0</v>
      </c>
      <c r="K927" t="s">
        <v>52</v>
      </c>
    </row>
    <row r="928" spans="1:11" x14ac:dyDescent="0.2">
      <c r="A928" t="s">
        <v>526</v>
      </c>
      <c r="B928" t="s">
        <v>525</v>
      </c>
      <c r="C928">
        <v>37.72</v>
      </c>
      <c r="D928">
        <v>32.33</v>
      </c>
      <c r="E928">
        <v>21.82</v>
      </c>
      <c r="F928">
        <v>16.63</v>
      </c>
      <c r="G928">
        <v>11.24</v>
      </c>
      <c r="H928" t="s">
        <v>608</v>
      </c>
      <c r="I928" t="s">
        <v>608</v>
      </c>
      <c r="J928" t="s">
        <v>737</v>
      </c>
      <c r="K928" t="s">
        <v>52</v>
      </c>
    </row>
    <row r="929" spans="1:11" x14ac:dyDescent="0.2">
      <c r="A929" t="s">
        <v>527</v>
      </c>
      <c r="B929" t="s">
        <v>525</v>
      </c>
      <c r="C929">
        <v>30.93</v>
      </c>
      <c r="D929">
        <v>26.12</v>
      </c>
      <c r="E929">
        <v>8.69</v>
      </c>
      <c r="F929">
        <v>5.34</v>
      </c>
      <c r="G929">
        <v>4.05</v>
      </c>
      <c r="H929" t="s">
        <v>608</v>
      </c>
      <c r="I929" t="s">
        <v>608</v>
      </c>
      <c r="J929">
        <v>0</v>
      </c>
      <c r="K929" t="s">
        <v>52</v>
      </c>
    </row>
    <row r="930" spans="1:11" x14ac:dyDescent="0.2">
      <c r="A930" t="s">
        <v>528</v>
      </c>
      <c r="B930" t="s">
        <v>525</v>
      </c>
      <c r="C930">
        <v>22.69</v>
      </c>
      <c r="D930">
        <v>25.39</v>
      </c>
      <c r="E930">
        <v>6.8</v>
      </c>
      <c r="F930">
        <v>2.27</v>
      </c>
      <c r="G930">
        <v>1.95</v>
      </c>
      <c r="H930" t="s">
        <v>608</v>
      </c>
      <c r="I930" t="s">
        <v>608</v>
      </c>
      <c r="J930" t="s">
        <v>635</v>
      </c>
      <c r="K930" t="s">
        <v>52</v>
      </c>
    </row>
    <row r="931" spans="1:11" x14ac:dyDescent="0.2">
      <c r="A931" t="s">
        <v>529</v>
      </c>
      <c r="B931" t="s">
        <v>525</v>
      </c>
      <c r="C931">
        <v>26.79</v>
      </c>
      <c r="D931">
        <v>19.97</v>
      </c>
      <c r="E931">
        <v>8.4600000000000009</v>
      </c>
      <c r="F931">
        <v>3.73</v>
      </c>
      <c r="G931">
        <v>2.82</v>
      </c>
      <c r="H931" t="s">
        <v>608</v>
      </c>
      <c r="I931" t="s">
        <v>608</v>
      </c>
      <c r="J931">
        <v>0</v>
      </c>
      <c r="K931" t="s">
        <v>52</v>
      </c>
    </row>
    <row r="932" spans="1:11" x14ac:dyDescent="0.2">
      <c r="A932" t="s">
        <v>530</v>
      </c>
      <c r="B932" t="s">
        <v>525</v>
      </c>
      <c r="C932">
        <v>26.22</v>
      </c>
      <c r="D932">
        <v>21.3</v>
      </c>
      <c r="E932">
        <v>11.46</v>
      </c>
      <c r="F932">
        <v>4.8099999999999996</v>
      </c>
      <c r="G932">
        <v>3.71</v>
      </c>
      <c r="H932" t="s">
        <v>608</v>
      </c>
      <c r="I932" t="s">
        <v>608</v>
      </c>
      <c r="J932">
        <v>0</v>
      </c>
      <c r="K932" t="s">
        <v>52</v>
      </c>
    </row>
    <row r="933" spans="1:11" x14ac:dyDescent="0.2">
      <c r="A933" t="s">
        <v>531</v>
      </c>
      <c r="B933" t="s">
        <v>525</v>
      </c>
      <c r="C933">
        <v>23.26</v>
      </c>
      <c r="D933">
        <v>19.89</v>
      </c>
      <c r="E933">
        <v>8.5</v>
      </c>
      <c r="F933">
        <v>3.78</v>
      </c>
      <c r="G933">
        <v>3.16</v>
      </c>
      <c r="H933" t="s">
        <v>608</v>
      </c>
      <c r="I933" t="s">
        <v>608</v>
      </c>
      <c r="J933">
        <v>0</v>
      </c>
      <c r="K933" t="s">
        <v>52</v>
      </c>
    </row>
    <row r="934" spans="1:11" x14ac:dyDescent="0.2">
      <c r="A934" t="s">
        <v>532</v>
      </c>
      <c r="B934" t="s">
        <v>525</v>
      </c>
      <c r="C934">
        <v>26.55</v>
      </c>
      <c r="D934">
        <v>21.41</v>
      </c>
      <c r="E934">
        <v>12.22</v>
      </c>
      <c r="F934">
        <v>3.68</v>
      </c>
      <c r="G934">
        <v>2.75</v>
      </c>
      <c r="H934" t="s">
        <v>608</v>
      </c>
      <c r="I934" t="s">
        <v>608</v>
      </c>
      <c r="J934">
        <v>0</v>
      </c>
      <c r="K934" t="s">
        <v>52</v>
      </c>
    </row>
    <row r="935" spans="1:11" x14ac:dyDescent="0.2">
      <c r="A935" t="s">
        <v>533</v>
      </c>
      <c r="B935" t="s">
        <v>525</v>
      </c>
      <c r="C935">
        <v>24.95</v>
      </c>
      <c r="D935">
        <v>17.66</v>
      </c>
      <c r="E935">
        <v>12.28</v>
      </c>
      <c r="F935">
        <v>3.48</v>
      </c>
      <c r="G935">
        <v>2.85</v>
      </c>
      <c r="H935" t="s">
        <v>608</v>
      </c>
      <c r="I935" t="s">
        <v>608</v>
      </c>
      <c r="J935">
        <v>0</v>
      </c>
      <c r="K935" t="s">
        <v>52</v>
      </c>
    </row>
    <row r="936" spans="1:11" x14ac:dyDescent="0.2">
      <c r="A936" t="s">
        <v>534</v>
      </c>
      <c r="B936" t="s">
        <v>525</v>
      </c>
      <c r="C936">
        <v>14.44</v>
      </c>
      <c r="D936">
        <v>12.9</v>
      </c>
      <c r="E936">
        <v>3.63</v>
      </c>
      <c r="F936">
        <v>0.45</v>
      </c>
      <c r="G936">
        <v>0.35</v>
      </c>
      <c r="H936" t="s">
        <v>608</v>
      </c>
      <c r="I936" t="s">
        <v>608</v>
      </c>
      <c r="J936" t="s">
        <v>635</v>
      </c>
      <c r="K936" t="s">
        <v>52</v>
      </c>
    </row>
    <row r="937" spans="1:11" x14ac:dyDescent="0.2">
      <c r="A937" t="s">
        <v>535</v>
      </c>
      <c r="B937" t="s">
        <v>525</v>
      </c>
      <c r="C937">
        <v>19.05</v>
      </c>
      <c r="D937">
        <v>14.64</v>
      </c>
      <c r="E937">
        <v>5.87</v>
      </c>
      <c r="F937">
        <v>1.1200000000000001</v>
      </c>
      <c r="G937">
        <v>0.77</v>
      </c>
      <c r="H937" t="s">
        <v>608</v>
      </c>
      <c r="I937" t="s">
        <v>608</v>
      </c>
      <c r="J937">
        <v>0</v>
      </c>
      <c r="K937" t="s">
        <v>52</v>
      </c>
    </row>
    <row r="938" spans="1:11" x14ac:dyDescent="0.2">
      <c r="A938" t="s">
        <v>536</v>
      </c>
      <c r="B938" t="s">
        <v>537</v>
      </c>
      <c r="C938">
        <v>32.65</v>
      </c>
      <c r="D938">
        <v>32.119999999999997</v>
      </c>
      <c r="E938">
        <v>14.91</v>
      </c>
      <c r="F938">
        <v>12.62</v>
      </c>
      <c r="G938">
        <v>9.09</v>
      </c>
      <c r="H938" t="s">
        <v>608</v>
      </c>
      <c r="I938" t="s">
        <v>608</v>
      </c>
      <c r="J938">
        <v>0</v>
      </c>
      <c r="K938" t="s">
        <v>52</v>
      </c>
    </row>
    <row r="939" spans="1:11" x14ac:dyDescent="0.2">
      <c r="A939" t="s">
        <v>538</v>
      </c>
      <c r="B939" t="s">
        <v>537</v>
      </c>
      <c r="C939">
        <v>30.42</v>
      </c>
      <c r="D939">
        <v>25.74</v>
      </c>
      <c r="E939">
        <v>11.19</v>
      </c>
      <c r="F939">
        <v>6.84</v>
      </c>
      <c r="G939">
        <v>5.04</v>
      </c>
      <c r="H939" t="s">
        <v>608</v>
      </c>
      <c r="I939" t="s">
        <v>608</v>
      </c>
      <c r="J939">
        <v>0</v>
      </c>
      <c r="K939" t="s">
        <v>52</v>
      </c>
    </row>
    <row r="940" spans="1:11" x14ac:dyDescent="0.2">
      <c r="A940" t="s">
        <v>539</v>
      </c>
      <c r="B940" t="s">
        <v>537</v>
      </c>
      <c r="C940">
        <v>21.89</v>
      </c>
      <c r="D940">
        <v>23.06</v>
      </c>
      <c r="E940">
        <v>10.01</v>
      </c>
      <c r="F940">
        <v>3.22</v>
      </c>
      <c r="G940">
        <v>2.54</v>
      </c>
      <c r="H940" t="s">
        <v>608</v>
      </c>
      <c r="I940" t="s">
        <v>608</v>
      </c>
      <c r="J940">
        <v>0</v>
      </c>
      <c r="K940" t="s">
        <v>52</v>
      </c>
    </row>
    <row r="941" spans="1:11" x14ac:dyDescent="0.2">
      <c r="A941" t="s">
        <v>540</v>
      </c>
      <c r="B941" t="s">
        <v>537</v>
      </c>
      <c r="C941">
        <v>30.18</v>
      </c>
      <c r="D941">
        <v>26.34</v>
      </c>
      <c r="E941">
        <v>12.4</v>
      </c>
      <c r="F941">
        <v>7.08</v>
      </c>
      <c r="G941">
        <v>5.69</v>
      </c>
      <c r="H941" t="s">
        <v>608</v>
      </c>
      <c r="I941" t="s">
        <v>608</v>
      </c>
      <c r="J941">
        <v>0</v>
      </c>
      <c r="K941" t="s">
        <v>52</v>
      </c>
    </row>
    <row r="942" spans="1:11" x14ac:dyDescent="0.2">
      <c r="A942" t="s">
        <v>541</v>
      </c>
      <c r="B942" t="s">
        <v>537</v>
      </c>
      <c r="C942">
        <v>31.99</v>
      </c>
      <c r="D942">
        <v>24.18</v>
      </c>
      <c r="E942">
        <v>12.23</v>
      </c>
      <c r="F942">
        <v>6.26</v>
      </c>
      <c r="G942">
        <v>4.66</v>
      </c>
      <c r="H942" t="s">
        <v>608</v>
      </c>
      <c r="I942" t="s">
        <v>608</v>
      </c>
      <c r="J942">
        <v>0</v>
      </c>
      <c r="K942" t="s">
        <v>52</v>
      </c>
    </row>
    <row r="943" spans="1:11" x14ac:dyDescent="0.2">
      <c r="A943" t="s">
        <v>542</v>
      </c>
      <c r="B943" t="s">
        <v>537</v>
      </c>
      <c r="C943">
        <v>32.43</v>
      </c>
      <c r="D943">
        <v>20.420000000000002</v>
      </c>
      <c r="E943">
        <v>11.6</v>
      </c>
      <c r="F943">
        <v>6.09</v>
      </c>
      <c r="G943">
        <v>4.1900000000000004</v>
      </c>
      <c r="H943" t="s">
        <v>608</v>
      </c>
      <c r="I943" t="s">
        <v>608</v>
      </c>
      <c r="J943">
        <v>0</v>
      </c>
      <c r="K943" t="s">
        <v>52</v>
      </c>
    </row>
    <row r="944" spans="1:11" x14ac:dyDescent="0.2">
      <c r="A944" t="s">
        <v>543</v>
      </c>
      <c r="B944" t="s">
        <v>537</v>
      </c>
      <c r="C944">
        <v>27.09</v>
      </c>
      <c r="D944">
        <v>22.91</v>
      </c>
      <c r="E944">
        <v>8.1300000000000008</v>
      </c>
      <c r="F944">
        <v>3.97</v>
      </c>
      <c r="G944">
        <v>3.17</v>
      </c>
      <c r="H944" t="s">
        <v>608</v>
      </c>
      <c r="I944" t="s">
        <v>608</v>
      </c>
      <c r="J944">
        <v>0</v>
      </c>
      <c r="K944" t="s">
        <v>52</v>
      </c>
    </row>
    <row r="945" spans="1:11" x14ac:dyDescent="0.2">
      <c r="A945" t="s">
        <v>544</v>
      </c>
      <c r="B945" t="s">
        <v>537</v>
      </c>
      <c r="C945">
        <v>33.82</v>
      </c>
      <c r="D945">
        <v>21.36</v>
      </c>
      <c r="E945">
        <v>5.65</v>
      </c>
      <c r="F945">
        <v>5.04</v>
      </c>
      <c r="G945">
        <v>3.78</v>
      </c>
      <c r="H945" t="s">
        <v>608</v>
      </c>
      <c r="I945" t="s">
        <v>608</v>
      </c>
      <c r="J945">
        <v>0</v>
      </c>
      <c r="K945" t="s">
        <v>52</v>
      </c>
    </row>
    <row r="946" spans="1:11" x14ac:dyDescent="0.2">
      <c r="A946" t="s">
        <v>545</v>
      </c>
      <c r="B946" t="s">
        <v>537</v>
      </c>
      <c r="C946">
        <v>35.49</v>
      </c>
      <c r="D946">
        <v>26.47</v>
      </c>
      <c r="E946">
        <v>14.01</v>
      </c>
      <c r="F946">
        <v>7.22</v>
      </c>
      <c r="G946">
        <v>5.54</v>
      </c>
      <c r="H946" t="s">
        <v>608</v>
      </c>
      <c r="I946" t="s">
        <v>608</v>
      </c>
      <c r="J946">
        <v>0</v>
      </c>
      <c r="K946" t="s">
        <v>52</v>
      </c>
    </row>
    <row r="947" spans="1:11" x14ac:dyDescent="0.2">
      <c r="A947" t="s">
        <v>546</v>
      </c>
      <c r="B947" t="s">
        <v>537</v>
      </c>
      <c r="C947">
        <v>25.89</v>
      </c>
      <c r="D947">
        <v>21.21</v>
      </c>
      <c r="E947">
        <v>12.5</v>
      </c>
      <c r="F947">
        <v>6.3</v>
      </c>
      <c r="G947">
        <v>5.56</v>
      </c>
      <c r="H947" t="s">
        <v>608</v>
      </c>
      <c r="I947" t="s">
        <v>608</v>
      </c>
      <c r="J947">
        <v>0</v>
      </c>
      <c r="K947" t="s">
        <v>52</v>
      </c>
    </row>
    <row r="948" spans="1:11" x14ac:dyDescent="0.2">
      <c r="A948" t="s">
        <v>547</v>
      </c>
      <c r="B948" t="s">
        <v>537</v>
      </c>
      <c r="C948">
        <v>27.12</v>
      </c>
      <c r="D948">
        <v>18.62</v>
      </c>
      <c r="E948">
        <v>9.89</v>
      </c>
      <c r="F948">
        <v>3.58</v>
      </c>
      <c r="G948">
        <v>2.6</v>
      </c>
      <c r="H948" t="s">
        <v>608</v>
      </c>
      <c r="I948" t="s">
        <v>608</v>
      </c>
      <c r="J948">
        <v>0</v>
      </c>
      <c r="K948" t="s">
        <v>52</v>
      </c>
    </row>
    <row r="949" spans="1:11" x14ac:dyDescent="0.2">
      <c r="A949" t="s">
        <v>548</v>
      </c>
      <c r="B949" t="s">
        <v>537</v>
      </c>
      <c r="C949">
        <v>39.020000000000003</v>
      </c>
      <c r="D949">
        <v>26.55</v>
      </c>
      <c r="E949">
        <v>11.1</v>
      </c>
      <c r="F949">
        <v>7.85</v>
      </c>
      <c r="G949">
        <v>5.8</v>
      </c>
      <c r="H949" t="s">
        <v>608</v>
      </c>
      <c r="I949" t="s">
        <v>608</v>
      </c>
      <c r="J949">
        <v>0</v>
      </c>
      <c r="K949" t="s">
        <v>52</v>
      </c>
    </row>
    <row r="950" spans="1:11" x14ac:dyDescent="0.2">
      <c r="A950" t="s">
        <v>549</v>
      </c>
      <c r="B950" t="s">
        <v>537</v>
      </c>
      <c r="C950">
        <v>22.16</v>
      </c>
      <c r="D950">
        <v>17.28</v>
      </c>
      <c r="E950">
        <v>9.9</v>
      </c>
      <c r="F950">
        <v>2.36</v>
      </c>
      <c r="G950">
        <v>1.75</v>
      </c>
      <c r="H950" t="s">
        <v>608</v>
      </c>
      <c r="I950" t="s">
        <v>608</v>
      </c>
      <c r="J950">
        <v>0</v>
      </c>
      <c r="K950" t="s">
        <v>52</v>
      </c>
    </row>
    <row r="951" spans="1:11" x14ac:dyDescent="0.2">
      <c r="A951" t="s">
        <v>550</v>
      </c>
      <c r="B951" t="s">
        <v>551</v>
      </c>
      <c r="C951">
        <v>29.41</v>
      </c>
      <c r="D951">
        <v>22.26</v>
      </c>
      <c r="E951">
        <v>9.57</v>
      </c>
      <c r="F951">
        <v>3.98</v>
      </c>
      <c r="G951">
        <v>3.18</v>
      </c>
      <c r="H951" t="s">
        <v>608</v>
      </c>
      <c r="I951" t="s">
        <v>608</v>
      </c>
      <c r="J951">
        <v>0</v>
      </c>
      <c r="K951" t="s">
        <v>52</v>
      </c>
    </row>
    <row r="952" spans="1:11" x14ac:dyDescent="0.2">
      <c r="A952" t="s">
        <v>552</v>
      </c>
      <c r="B952" t="s">
        <v>551</v>
      </c>
      <c r="C952">
        <v>19.86</v>
      </c>
      <c r="D952">
        <v>19.239999999999998</v>
      </c>
      <c r="E952">
        <v>5.6</v>
      </c>
      <c r="F952">
        <v>1.66</v>
      </c>
      <c r="G952">
        <v>1.38</v>
      </c>
      <c r="H952" t="s">
        <v>608</v>
      </c>
      <c r="I952" t="s">
        <v>608</v>
      </c>
      <c r="J952" t="s">
        <v>635</v>
      </c>
      <c r="K952" t="s">
        <v>52</v>
      </c>
    </row>
    <row r="953" spans="1:11" x14ac:dyDescent="0.2">
      <c r="A953" t="s">
        <v>553</v>
      </c>
      <c r="B953" t="s">
        <v>551</v>
      </c>
      <c r="C953">
        <v>25.42</v>
      </c>
      <c r="D953">
        <v>22.74</v>
      </c>
      <c r="E953">
        <v>13.43</v>
      </c>
      <c r="F953">
        <v>5.37</v>
      </c>
      <c r="G953">
        <v>4.42</v>
      </c>
      <c r="H953" t="s">
        <v>608</v>
      </c>
      <c r="I953" t="s">
        <v>608</v>
      </c>
      <c r="J953">
        <v>0</v>
      </c>
      <c r="K953" t="s">
        <v>52</v>
      </c>
    </row>
    <row r="954" spans="1:11" x14ac:dyDescent="0.2">
      <c r="A954" t="s">
        <v>554</v>
      </c>
      <c r="B954" t="s">
        <v>551</v>
      </c>
      <c r="C954">
        <v>26.89</v>
      </c>
      <c r="D954">
        <v>28.11</v>
      </c>
      <c r="E954">
        <v>10.77</v>
      </c>
      <c r="F954">
        <v>4.6500000000000004</v>
      </c>
      <c r="G954">
        <v>3.4</v>
      </c>
      <c r="H954" t="s">
        <v>608</v>
      </c>
      <c r="I954" t="s">
        <v>608</v>
      </c>
      <c r="J954">
        <v>0</v>
      </c>
      <c r="K954" t="s">
        <v>52</v>
      </c>
    </row>
    <row r="955" spans="1:11" x14ac:dyDescent="0.2">
      <c r="A955" t="s">
        <v>555</v>
      </c>
      <c r="B955" t="s">
        <v>551</v>
      </c>
      <c r="C955">
        <v>29.54</v>
      </c>
      <c r="D955">
        <v>17.66</v>
      </c>
      <c r="E955">
        <v>5.42</v>
      </c>
      <c r="F955">
        <v>2.77</v>
      </c>
      <c r="G955">
        <v>2.2799999999999998</v>
      </c>
      <c r="H955" t="s">
        <v>608</v>
      </c>
      <c r="I955" t="s">
        <v>608</v>
      </c>
      <c r="J955">
        <v>0</v>
      </c>
      <c r="K955" t="s">
        <v>52</v>
      </c>
    </row>
    <row r="956" spans="1:11" x14ac:dyDescent="0.2">
      <c r="A956" t="s">
        <v>556</v>
      </c>
      <c r="B956" t="s">
        <v>551</v>
      </c>
      <c r="C956">
        <v>37.479999999999997</v>
      </c>
      <c r="D956">
        <v>24.57</v>
      </c>
      <c r="E956">
        <v>10.26</v>
      </c>
      <c r="F956">
        <v>5.82</v>
      </c>
      <c r="G956">
        <v>4.18</v>
      </c>
      <c r="H956" t="s">
        <v>608</v>
      </c>
      <c r="I956" t="s">
        <v>608</v>
      </c>
      <c r="J956">
        <v>0</v>
      </c>
      <c r="K956" t="s">
        <v>52</v>
      </c>
    </row>
    <row r="957" spans="1:11" x14ac:dyDescent="0.2">
      <c r="A957" t="s">
        <v>557</v>
      </c>
      <c r="B957" t="s">
        <v>551</v>
      </c>
      <c r="C957">
        <v>30.25</v>
      </c>
      <c r="D957">
        <v>28.59</v>
      </c>
      <c r="E957">
        <v>11.47</v>
      </c>
      <c r="F957">
        <v>4.41</v>
      </c>
      <c r="G957">
        <v>3.39</v>
      </c>
      <c r="H957" t="s">
        <v>608</v>
      </c>
      <c r="I957" t="s">
        <v>608</v>
      </c>
      <c r="J957">
        <v>0</v>
      </c>
      <c r="K957" t="s">
        <v>52</v>
      </c>
    </row>
    <row r="958" spans="1:11" x14ac:dyDescent="0.2">
      <c r="A958" t="s">
        <v>558</v>
      </c>
      <c r="B958" t="s">
        <v>551</v>
      </c>
      <c r="C958">
        <v>19.48</v>
      </c>
      <c r="D958">
        <v>18.47</v>
      </c>
      <c r="E958">
        <v>12.82</v>
      </c>
      <c r="F958">
        <v>2.74</v>
      </c>
      <c r="G958">
        <v>2.1800000000000002</v>
      </c>
      <c r="H958" t="s">
        <v>608</v>
      </c>
      <c r="I958" t="s">
        <v>608</v>
      </c>
      <c r="J958">
        <v>0</v>
      </c>
      <c r="K958" t="s">
        <v>52</v>
      </c>
    </row>
    <row r="959" spans="1:11" x14ac:dyDescent="0.2">
      <c r="A959" t="s">
        <v>559</v>
      </c>
      <c r="B959" t="s">
        <v>551</v>
      </c>
      <c r="C959">
        <v>27.26</v>
      </c>
      <c r="D959">
        <v>16.260000000000002</v>
      </c>
      <c r="E959">
        <v>11.15</v>
      </c>
      <c r="F959">
        <v>2.96</v>
      </c>
      <c r="G959">
        <v>1.75</v>
      </c>
      <c r="H959" t="s">
        <v>608</v>
      </c>
      <c r="I959" t="s">
        <v>608</v>
      </c>
      <c r="J959">
        <v>0</v>
      </c>
      <c r="K959" t="s">
        <v>52</v>
      </c>
    </row>
    <row r="960" spans="1:11" x14ac:dyDescent="0.2">
      <c r="A960" t="s">
        <v>560</v>
      </c>
      <c r="B960" t="s">
        <v>551</v>
      </c>
      <c r="C960">
        <v>22.56</v>
      </c>
      <c r="D960">
        <v>17.98</v>
      </c>
      <c r="E960">
        <v>8.64</v>
      </c>
      <c r="F960">
        <v>1.75</v>
      </c>
      <c r="G960">
        <v>1.26</v>
      </c>
      <c r="H960" t="s">
        <v>608</v>
      </c>
      <c r="I960" t="s">
        <v>608</v>
      </c>
      <c r="J960">
        <v>0</v>
      </c>
      <c r="K960" t="s">
        <v>52</v>
      </c>
    </row>
    <row r="961" spans="1:11" x14ac:dyDescent="0.2">
      <c r="A961" t="s">
        <v>561</v>
      </c>
      <c r="B961" t="s">
        <v>551</v>
      </c>
      <c r="C961">
        <v>16.63</v>
      </c>
      <c r="D961">
        <v>15.82</v>
      </c>
      <c r="E961">
        <v>9.2200000000000006</v>
      </c>
      <c r="F961">
        <v>1.49</v>
      </c>
      <c r="G961">
        <v>1.1599999999999999</v>
      </c>
      <c r="H961" t="s">
        <v>608</v>
      </c>
      <c r="I961" t="s">
        <v>608</v>
      </c>
      <c r="J961" t="s">
        <v>635</v>
      </c>
      <c r="K961" t="s">
        <v>52</v>
      </c>
    </row>
    <row r="962" spans="1:11" x14ac:dyDescent="0.2">
      <c r="A962" t="s">
        <v>738</v>
      </c>
      <c r="B962" t="s">
        <v>563</v>
      </c>
      <c r="C962">
        <v>47.85</v>
      </c>
      <c r="D962" t="s">
        <v>608</v>
      </c>
      <c r="E962" t="s">
        <v>608</v>
      </c>
      <c r="F962">
        <v>23.84</v>
      </c>
      <c r="G962">
        <v>19.329999999999998</v>
      </c>
      <c r="H962">
        <v>0</v>
      </c>
      <c r="I962">
        <v>0</v>
      </c>
      <c r="J962" t="s">
        <v>608</v>
      </c>
      <c r="K962" t="s">
        <v>52</v>
      </c>
    </row>
    <row r="963" spans="1:11" x14ac:dyDescent="0.2">
      <c r="A963" t="s">
        <v>739</v>
      </c>
      <c r="B963" t="s">
        <v>563</v>
      </c>
      <c r="C963">
        <v>48.93</v>
      </c>
      <c r="D963" t="s">
        <v>608</v>
      </c>
      <c r="E963" t="s">
        <v>608</v>
      </c>
      <c r="F963">
        <v>35.200000000000003</v>
      </c>
      <c r="G963">
        <v>26.33</v>
      </c>
      <c r="H963">
        <v>0</v>
      </c>
      <c r="I963">
        <v>0.5</v>
      </c>
      <c r="J963" t="s">
        <v>608</v>
      </c>
      <c r="K963" t="s">
        <v>52</v>
      </c>
    </row>
    <row r="964" spans="1:11" x14ac:dyDescent="0.2">
      <c r="A964" t="s">
        <v>740</v>
      </c>
      <c r="B964" t="s">
        <v>563</v>
      </c>
      <c r="C964">
        <v>57.4</v>
      </c>
      <c r="D964" t="s">
        <v>608</v>
      </c>
      <c r="E964" t="s">
        <v>608</v>
      </c>
      <c r="F964">
        <v>21.87</v>
      </c>
      <c r="G964">
        <v>16.8</v>
      </c>
      <c r="H964">
        <v>0</v>
      </c>
      <c r="I964">
        <v>0</v>
      </c>
      <c r="J964" t="s">
        <v>608</v>
      </c>
      <c r="K964" t="s">
        <v>52</v>
      </c>
    </row>
    <row r="965" spans="1:11" x14ac:dyDescent="0.2">
      <c r="A965" t="s">
        <v>741</v>
      </c>
      <c r="B965" t="s">
        <v>563</v>
      </c>
      <c r="C965">
        <v>51.43</v>
      </c>
      <c r="D965" t="s">
        <v>608</v>
      </c>
      <c r="E965" t="s">
        <v>608</v>
      </c>
      <c r="F965">
        <v>30.5</v>
      </c>
      <c r="G965">
        <v>22.54</v>
      </c>
      <c r="H965">
        <v>0</v>
      </c>
      <c r="I965">
        <v>0</v>
      </c>
      <c r="J965" t="s">
        <v>608</v>
      </c>
      <c r="K965" t="s">
        <v>52</v>
      </c>
    </row>
    <row r="966" spans="1:11" x14ac:dyDescent="0.2">
      <c r="A966" t="s">
        <v>742</v>
      </c>
      <c r="B966" t="s">
        <v>563</v>
      </c>
      <c r="C966">
        <v>60.95</v>
      </c>
      <c r="D966" t="s">
        <v>608</v>
      </c>
      <c r="E966" t="s">
        <v>608</v>
      </c>
      <c r="F966">
        <v>25.27</v>
      </c>
      <c r="G966">
        <v>18.27</v>
      </c>
      <c r="H966">
        <v>0</v>
      </c>
      <c r="I966">
        <v>0</v>
      </c>
      <c r="J966" t="s">
        <v>608</v>
      </c>
      <c r="K966" t="s">
        <v>52</v>
      </c>
    </row>
    <row r="967" spans="1:11" x14ac:dyDescent="0.2">
      <c r="A967" t="s">
        <v>743</v>
      </c>
      <c r="B967" t="s">
        <v>576</v>
      </c>
      <c r="C967">
        <v>61.95</v>
      </c>
      <c r="D967" t="s">
        <v>608</v>
      </c>
      <c r="E967" t="s">
        <v>608</v>
      </c>
      <c r="F967">
        <v>43.65</v>
      </c>
      <c r="G967">
        <v>31.26</v>
      </c>
      <c r="H967">
        <v>0</v>
      </c>
      <c r="I967">
        <v>0</v>
      </c>
      <c r="J967" t="s">
        <v>608</v>
      </c>
      <c r="K967" t="s">
        <v>52</v>
      </c>
    </row>
    <row r="968" spans="1:11" x14ac:dyDescent="0.2">
      <c r="A968" t="s">
        <v>744</v>
      </c>
      <c r="B968" t="s">
        <v>576</v>
      </c>
      <c r="C968">
        <v>47.14</v>
      </c>
      <c r="D968" t="s">
        <v>608</v>
      </c>
      <c r="E968" t="s">
        <v>608</v>
      </c>
      <c r="F968">
        <v>27.88</v>
      </c>
      <c r="G968">
        <v>19.82</v>
      </c>
      <c r="H968">
        <v>0.5</v>
      </c>
      <c r="I968">
        <v>0</v>
      </c>
      <c r="J968" t="s">
        <v>608</v>
      </c>
      <c r="K968" t="s">
        <v>52</v>
      </c>
    </row>
    <row r="969" spans="1:11" x14ac:dyDescent="0.2">
      <c r="A969" t="s">
        <v>745</v>
      </c>
      <c r="B969" t="s">
        <v>576</v>
      </c>
      <c r="C969">
        <v>54.46</v>
      </c>
      <c r="D969" t="s">
        <v>608</v>
      </c>
      <c r="E969" t="s">
        <v>608</v>
      </c>
      <c r="F969">
        <v>42.23</v>
      </c>
      <c r="G969">
        <v>31.79</v>
      </c>
      <c r="H969">
        <v>0</v>
      </c>
      <c r="I969">
        <v>0</v>
      </c>
      <c r="J969" t="s">
        <v>608</v>
      </c>
      <c r="K969" t="s">
        <v>52</v>
      </c>
    </row>
    <row r="970" spans="1:11" x14ac:dyDescent="0.2">
      <c r="A970" t="s">
        <v>746</v>
      </c>
      <c r="B970" t="s">
        <v>576</v>
      </c>
      <c r="C970">
        <v>68.84</v>
      </c>
      <c r="D970" t="s">
        <v>608</v>
      </c>
      <c r="E970" t="s">
        <v>608</v>
      </c>
      <c r="F970">
        <v>53.11</v>
      </c>
      <c r="G970">
        <v>37.78</v>
      </c>
      <c r="H970">
        <v>0</v>
      </c>
      <c r="I970">
        <v>0</v>
      </c>
      <c r="J970" t="s">
        <v>608</v>
      </c>
      <c r="K970" t="s">
        <v>52</v>
      </c>
    </row>
    <row r="971" spans="1:11" x14ac:dyDescent="0.2">
      <c r="A971" t="s">
        <v>747</v>
      </c>
      <c r="B971" t="s">
        <v>576</v>
      </c>
      <c r="C971">
        <v>55.49</v>
      </c>
      <c r="D971" t="s">
        <v>608</v>
      </c>
      <c r="E971" t="s">
        <v>608</v>
      </c>
      <c r="F971">
        <v>41.12</v>
      </c>
      <c r="G971">
        <v>31.73</v>
      </c>
      <c r="H971">
        <v>0</v>
      </c>
      <c r="I971">
        <v>0</v>
      </c>
      <c r="J971" t="s">
        <v>608</v>
      </c>
      <c r="K971" t="s">
        <v>52</v>
      </c>
    </row>
    <row r="972" spans="1:11" x14ac:dyDescent="0.2">
      <c r="A972" t="s">
        <v>748</v>
      </c>
      <c r="B972" t="s">
        <v>590</v>
      </c>
      <c r="C972">
        <v>63.2</v>
      </c>
      <c r="D972" t="s">
        <v>608</v>
      </c>
      <c r="E972" t="s">
        <v>608</v>
      </c>
      <c r="F972">
        <v>30.47</v>
      </c>
      <c r="G972">
        <v>23.21</v>
      </c>
      <c r="H972">
        <v>0</v>
      </c>
      <c r="I972">
        <v>0</v>
      </c>
      <c r="J972" t="s">
        <v>608</v>
      </c>
      <c r="K972" t="s">
        <v>52</v>
      </c>
    </row>
    <row r="973" spans="1:11" x14ac:dyDescent="0.2">
      <c r="A973" t="s">
        <v>749</v>
      </c>
      <c r="B973" t="s">
        <v>590</v>
      </c>
      <c r="C973">
        <v>53.94</v>
      </c>
      <c r="D973" t="s">
        <v>608</v>
      </c>
      <c r="E973" t="s">
        <v>608</v>
      </c>
      <c r="F973">
        <v>43.45</v>
      </c>
      <c r="G973">
        <v>33.51</v>
      </c>
      <c r="H973">
        <v>0</v>
      </c>
      <c r="I973">
        <v>0</v>
      </c>
      <c r="J973" t="s">
        <v>608</v>
      </c>
      <c r="K973" t="s">
        <v>52</v>
      </c>
    </row>
    <row r="974" spans="1:11" x14ac:dyDescent="0.2">
      <c r="A974" t="s">
        <v>750</v>
      </c>
      <c r="B974" t="s">
        <v>590</v>
      </c>
      <c r="C974">
        <v>46.61</v>
      </c>
      <c r="D974" t="s">
        <v>608</v>
      </c>
      <c r="E974" t="s">
        <v>608</v>
      </c>
      <c r="F974">
        <v>33.619999999999997</v>
      </c>
      <c r="G974">
        <v>23.14</v>
      </c>
      <c r="H974">
        <v>0</v>
      </c>
      <c r="I974">
        <v>0</v>
      </c>
      <c r="J974" t="s">
        <v>608</v>
      </c>
      <c r="K974" t="s">
        <v>52</v>
      </c>
    </row>
    <row r="975" spans="1:11" x14ac:dyDescent="0.2">
      <c r="A975" t="s">
        <v>751</v>
      </c>
      <c r="B975" t="s">
        <v>590</v>
      </c>
      <c r="C975">
        <v>43.84</v>
      </c>
      <c r="D975" t="s">
        <v>608</v>
      </c>
      <c r="E975" t="s">
        <v>608</v>
      </c>
      <c r="F975">
        <v>19.29</v>
      </c>
      <c r="G975">
        <v>14.01</v>
      </c>
      <c r="H975">
        <v>0</v>
      </c>
      <c r="I975">
        <v>0</v>
      </c>
      <c r="J975" t="s">
        <v>608</v>
      </c>
      <c r="K975" t="s">
        <v>52</v>
      </c>
    </row>
    <row r="976" spans="1:11" x14ac:dyDescent="0.2">
      <c r="A976" t="s">
        <v>752</v>
      </c>
      <c r="B976" t="s">
        <v>590</v>
      </c>
      <c r="C976">
        <v>62.71</v>
      </c>
      <c r="D976" t="s">
        <v>608</v>
      </c>
      <c r="E976" t="s">
        <v>608</v>
      </c>
      <c r="F976">
        <v>30.93</v>
      </c>
      <c r="G976">
        <v>22.18</v>
      </c>
      <c r="H976">
        <v>0</v>
      </c>
      <c r="I976">
        <v>0</v>
      </c>
      <c r="J976" t="s">
        <v>608</v>
      </c>
      <c r="K976" t="s">
        <v>52</v>
      </c>
    </row>
    <row r="977" spans="1:11" x14ac:dyDescent="0.2">
      <c r="A977" t="s">
        <v>562</v>
      </c>
      <c r="B977" t="s">
        <v>563</v>
      </c>
      <c r="C977">
        <v>41.41</v>
      </c>
      <c r="D977">
        <v>39.58</v>
      </c>
      <c r="E977">
        <v>19.09</v>
      </c>
      <c r="F977">
        <v>18.989999999999998</v>
      </c>
      <c r="G977">
        <v>13.87</v>
      </c>
      <c r="H977" t="s">
        <v>608</v>
      </c>
      <c r="I977" t="s">
        <v>608</v>
      </c>
      <c r="J977">
        <v>0</v>
      </c>
      <c r="K977" t="s">
        <v>52</v>
      </c>
    </row>
    <row r="978" spans="1:11" x14ac:dyDescent="0.2">
      <c r="A978" t="s">
        <v>564</v>
      </c>
      <c r="B978" t="s">
        <v>563</v>
      </c>
      <c r="C978">
        <v>36.409999999999997</v>
      </c>
      <c r="D978">
        <v>34.28</v>
      </c>
      <c r="E978">
        <v>22.55</v>
      </c>
      <c r="F978">
        <v>15.99</v>
      </c>
      <c r="G978">
        <v>12.12</v>
      </c>
      <c r="H978" t="s">
        <v>608</v>
      </c>
      <c r="I978" t="s">
        <v>608</v>
      </c>
      <c r="J978">
        <v>0</v>
      </c>
      <c r="K978" t="s">
        <v>52</v>
      </c>
    </row>
    <row r="979" spans="1:11" x14ac:dyDescent="0.2">
      <c r="A979" t="s">
        <v>565</v>
      </c>
      <c r="B979" t="s">
        <v>563</v>
      </c>
      <c r="C979">
        <v>32.68</v>
      </c>
      <c r="D979">
        <v>30.04</v>
      </c>
      <c r="E979">
        <v>13.8</v>
      </c>
      <c r="F979">
        <v>10.220000000000001</v>
      </c>
      <c r="G979">
        <v>8.1999999999999993</v>
      </c>
      <c r="H979" t="s">
        <v>608</v>
      </c>
      <c r="I979" t="s">
        <v>608</v>
      </c>
      <c r="J979">
        <v>0</v>
      </c>
      <c r="K979" t="s">
        <v>52</v>
      </c>
    </row>
    <row r="980" spans="1:11" x14ac:dyDescent="0.2">
      <c r="A980" t="s">
        <v>566</v>
      </c>
      <c r="B980" t="s">
        <v>563</v>
      </c>
      <c r="C980">
        <v>29.76</v>
      </c>
      <c r="D980">
        <v>31.56</v>
      </c>
      <c r="E980">
        <v>14.13</v>
      </c>
      <c r="F980">
        <v>7.47</v>
      </c>
      <c r="G980">
        <v>5.61</v>
      </c>
      <c r="H980" t="s">
        <v>608</v>
      </c>
      <c r="I980" t="s">
        <v>608</v>
      </c>
      <c r="J980">
        <v>0</v>
      </c>
      <c r="K980" t="s">
        <v>52</v>
      </c>
    </row>
    <row r="981" spans="1:11" x14ac:dyDescent="0.2">
      <c r="A981" t="s">
        <v>567</v>
      </c>
      <c r="B981" t="s">
        <v>563</v>
      </c>
      <c r="C981">
        <v>24.19</v>
      </c>
      <c r="D981">
        <v>24.49</v>
      </c>
      <c r="E981">
        <v>13.57</v>
      </c>
      <c r="F981">
        <v>5.64</v>
      </c>
      <c r="G981">
        <v>3.99</v>
      </c>
      <c r="H981" t="s">
        <v>608</v>
      </c>
      <c r="I981" t="s">
        <v>608</v>
      </c>
      <c r="J981">
        <v>0</v>
      </c>
      <c r="K981" t="s">
        <v>52</v>
      </c>
    </row>
    <row r="982" spans="1:11" x14ac:dyDescent="0.2">
      <c r="A982" t="s">
        <v>568</v>
      </c>
      <c r="B982" t="s">
        <v>563</v>
      </c>
      <c r="C982">
        <v>26.55</v>
      </c>
      <c r="D982">
        <v>17.989999999999998</v>
      </c>
      <c r="E982">
        <v>10.38</v>
      </c>
      <c r="F982">
        <v>3.9</v>
      </c>
      <c r="G982">
        <v>2.75</v>
      </c>
      <c r="H982" t="s">
        <v>608</v>
      </c>
      <c r="I982" t="s">
        <v>608</v>
      </c>
      <c r="J982">
        <v>0</v>
      </c>
      <c r="K982" t="s">
        <v>52</v>
      </c>
    </row>
    <row r="983" spans="1:11" x14ac:dyDescent="0.2">
      <c r="A983" t="s">
        <v>569</v>
      </c>
      <c r="B983" t="s">
        <v>563</v>
      </c>
      <c r="C983">
        <v>29.11</v>
      </c>
      <c r="D983">
        <v>20.2</v>
      </c>
      <c r="E983">
        <v>20.14</v>
      </c>
      <c r="F983">
        <v>7.77</v>
      </c>
      <c r="G983">
        <v>5.79</v>
      </c>
      <c r="H983" t="s">
        <v>608</v>
      </c>
      <c r="I983" t="s">
        <v>608</v>
      </c>
      <c r="J983">
        <v>0</v>
      </c>
      <c r="K983" t="s">
        <v>52</v>
      </c>
    </row>
    <row r="984" spans="1:11" x14ac:dyDescent="0.2">
      <c r="A984" t="s">
        <v>570</v>
      </c>
      <c r="B984" t="s">
        <v>563</v>
      </c>
      <c r="C984">
        <v>27.89</v>
      </c>
      <c r="D984">
        <v>24.9</v>
      </c>
      <c r="E984">
        <v>14.01</v>
      </c>
      <c r="F984">
        <v>4.41</v>
      </c>
      <c r="G984">
        <v>3.3</v>
      </c>
      <c r="H984" t="s">
        <v>608</v>
      </c>
      <c r="I984" t="s">
        <v>608</v>
      </c>
      <c r="J984">
        <v>0</v>
      </c>
      <c r="K984" t="s">
        <v>52</v>
      </c>
    </row>
    <row r="985" spans="1:11" x14ac:dyDescent="0.2">
      <c r="A985" t="s">
        <v>571</v>
      </c>
      <c r="B985" t="s">
        <v>563</v>
      </c>
      <c r="C985">
        <v>26.38</v>
      </c>
      <c r="D985">
        <v>19.850000000000001</v>
      </c>
      <c r="E985">
        <v>11.94</v>
      </c>
      <c r="F985">
        <v>3.61</v>
      </c>
      <c r="G985">
        <v>2.5</v>
      </c>
      <c r="H985" t="s">
        <v>608</v>
      </c>
      <c r="I985" t="s">
        <v>608</v>
      </c>
      <c r="J985">
        <v>0</v>
      </c>
      <c r="K985" t="s">
        <v>52</v>
      </c>
    </row>
    <row r="986" spans="1:11" x14ac:dyDescent="0.2">
      <c r="A986" t="s">
        <v>572</v>
      </c>
      <c r="B986" t="s">
        <v>563</v>
      </c>
      <c r="C986">
        <v>18.940000000000001</v>
      </c>
      <c r="D986">
        <v>22.86</v>
      </c>
      <c r="E986">
        <v>10.55</v>
      </c>
      <c r="F986">
        <v>3.52</v>
      </c>
      <c r="G986">
        <v>2.04</v>
      </c>
      <c r="H986" t="s">
        <v>608</v>
      </c>
      <c r="I986" t="s">
        <v>608</v>
      </c>
      <c r="J986">
        <v>0</v>
      </c>
      <c r="K986" t="s">
        <v>52</v>
      </c>
    </row>
    <row r="987" spans="1:11" x14ac:dyDescent="0.2">
      <c r="A987" t="s">
        <v>573</v>
      </c>
      <c r="B987" t="s">
        <v>563</v>
      </c>
      <c r="C987">
        <v>19.5</v>
      </c>
      <c r="D987">
        <v>19.059999999999999</v>
      </c>
      <c r="E987">
        <v>10.16</v>
      </c>
      <c r="F987">
        <v>2.09</v>
      </c>
      <c r="G987">
        <v>1.51</v>
      </c>
      <c r="H987" t="s">
        <v>608</v>
      </c>
      <c r="I987" t="s">
        <v>608</v>
      </c>
      <c r="J987">
        <v>0</v>
      </c>
      <c r="K987" t="s">
        <v>52</v>
      </c>
    </row>
    <row r="988" spans="1:11" x14ac:dyDescent="0.2">
      <c r="A988" t="s">
        <v>574</v>
      </c>
      <c r="B988" t="s">
        <v>563</v>
      </c>
      <c r="C988">
        <v>18.02</v>
      </c>
      <c r="D988">
        <v>14.14</v>
      </c>
      <c r="E988">
        <v>6.24</v>
      </c>
      <c r="F988">
        <v>1.39</v>
      </c>
      <c r="G988">
        <v>1.1399999999999999</v>
      </c>
      <c r="H988" t="s">
        <v>608</v>
      </c>
      <c r="I988" t="s">
        <v>608</v>
      </c>
      <c r="J988">
        <v>0</v>
      </c>
      <c r="K988" t="s">
        <v>52</v>
      </c>
    </row>
    <row r="989" spans="1:11" x14ac:dyDescent="0.2">
      <c r="A989" t="s">
        <v>575</v>
      </c>
      <c r="B989" t="s">
        <v>576</v>
      </c>
      <c r="C989">
        <v>42.02</v>
      </c>
      <c r="D989">
        <v>38.47</v>
      </c>
      <c r="E989">
        <v>27.24</v>
      </c>
      <c r="F989">
        <v>26.87</v>
      </c>
      <c r="G989">
        <v>16.16</v>
      </c>
      <c r="H989" t="s">
        <v>608</v>
      </c>
      <c r="I989" t="s">
        <v>608</v>
      </c>
      <c r="J989">
        <v>0</v>
      </c>
      <c r="K989" t="s">
        <v>52</v>
      </c>
    </row>
    <row r="990" spans="1:11" x14ac:dyDescent="0.2">
      <c r="A990" t="s">
        <v>577</v>
      </c>
      <c r="B990" t="s">
        <v>576</v>
      </c>
      <c r="C990">
        <v>37.18</v>
      </c>
      <c r="D990">
        <v>36.04</v>
      </c>
      <c r="E990">
        <v>10.07</v>
      </c>
      <c r="F990">
        <v>9.09</v>
      </c>
      <c r="G990">
        <v>6.25</v>
      </c>
      <c r="H990" t="s">
        <v>608</v>
      </c>
      <c r="I990" t="s">
        <v>608</v>
      </c>
      <c r="J990">
        <v>0</v>
      </c>
      <c r="K990" t="s">
        <v>52</v>
      </c>
    </row>
    <row r="991" spans="1:11" x14ac:dyDescent="0.2">
      <c r="A991" t="s">
        <v>578</v>
      </c>
      <c r="B991" t="s">
        <v>576</v>
      </c>
      <c r="C991">
        <v>37.159999999999997</v>
      </c>
      <c r="D991">
        <v>27.4</v>
      </c>
      <c r="E991">
        <v>17.47</v>
      </c>
      <c r="F991">
        <v>8.93</v>
      </c>
      <c r="G991">
        <v>6.53</v>
      </c>
      <c r="H991" t="s">
        <v>608</v>
      </c>
      <c r="I991" t="s">
        <v>608</v>
      </c>
      <c r="J991">
        <v>0</v>
      </c>
      <c r="K991" t="s">
        <v>52</v>
      </c>
    </row>
    <row r="992" spans="1:11" x14ac:dyDescent="0.2">
      <c r="A992" t="s">
        <v>579</v>
      </c>
      <c r="B992" t="s">
        <v>576</v>
      </c>
      <c r="C992">
        <v>33.1</v>
      </c>
      <c r="D992">
        <v>27.28</v>
      </c>
      <c r="E992">
        <v>18.37</v>
      </c>
      <c r="F992">
        <v>12.2</v>
      </c>
      <c r="G992">
        <v>10.39</v>
      </c>
      <c r="H992" t="s">
        <v>608</v>
      </c>
      <c r="I992" t="s">
        <v>608</v>
      </c>
      <c r="J992">
        <v>0</v>
      </c>
      <c r="K992" t="s">
        <v>52</v>
      </c>
    </row>
    <row r="993" spans="1:11" x14ac:dyDescent="0.2">
      <c r="A993" t="s">
        <v>580</v>
      </c>
      <c r="B993" t="s">
        <v>576</v>
      </c>
      <c r="C993">
        <v>32.119999999999997</v>
      </c>
      <c r="D993">
        <v>22.4</v>
      </c>
      <c r="E993">
        <v>13.5</v>
      </c>
      <c r="F993">
        <v>7.59</v>
      </c>
      <c r="G993">
        <v>5.54</v>
      </c>
      <c r="H993" t="s">
        <v>608</v>
      </c>
      <c r="I993" t="s">
        <v>608</v>
      </c>
      <c r="J993">
        <v>0</v>
      </c>
      <c r="K993" t="s">
        <v>52</v>
      </c>
    </row>
    <row r="994" spans="1:11" x14ac:dyDescent="0.2">
      <c r="A994" t="s">
        <v>581</v>
      </c>
      <c r="B994" t="s">
        <v>576</v>
      </c>
      <c r="C994">
        <v>25.28</v>
      </c>
      <c r="D994">
        <v>19.87</v>
      </c>
      <c r="E994">
        <v>12.25</v>
      </c>
      <c r="F994">
        <v>4.71</v>
      </c>
      <c r="G994">
        <v>3.2</v>
      </c>
      <c r="H994" t="s">
        <v>608</v>
      </c>
      <c r="I994" t="s">
        <v>608</v>
      </c>
      <c r="J994">
        <v>0</v>
      </c>
      <c r="K994" t="s">
        <v>52</v>
      </c>
    </row>
    <row r="995" spans="1:11" x14ac:dyDescent="0.2">
      <c r="A995" t="s">
        <v>582</v>
      </c>
      <c r="B995" t="s">
        <v>576</v>
      </c>
      <c r="C995">
        <v>29.01</v>
      </c>
      <c r="D995">
        <v>21.56</v>
      </c>
      <c r="E995">
        <v>17.34</v>
      </c>
      <c r="F995">
        <v>7.42</v>
      </c>
      <c r="G995">
        <v>5.56</v>
      </c>
      <c r="H995" t="s">
        <v>608</v>
      </c>
      <c r="I995" t="s">
        <v>608</v>
      </c>
      <c r="J995">
        <v>0</v>
      </c>
      <c r="K995" t="s">
        <v>52</v>
      </c>
    </row>
    <row r="996" spans="1:11" x14ac:dyDescent="0.2">
      <c r="A996" t="s">
        <v>583</v>
      </c>
      <c r="B996" t="s">
        <v>576</v>
      </c>
      <c r="C996">
        <v>22.84</v>
      </c>
      <c r="D996">
        <v>21.22</v>
      </c>
      <c r="E996">
        <v>14.45</v>
      </c>
      <c r="F996">
        <v>4.5</v>
      </c>
      <c r="G996">
        <v>3.5</v>
      </c>
      <c r="H996" t="s">
        <v>608</v>
      </c>
      <c r="I996" t="s">
        <v>608</v>
      </c>
      <c r="J996" t="s">
        <v>753</v>
      </c>
      <c r="K996" t="s">
        <v>52</v>
      </c>
    </row>
    <row r="997" spans="1:11" x14ac:dyDescent="0.2">
      <c r="A997" t="s">
        <v>584</v>
      </c>
      <c r="B997" t="s">
        <v>576</v>
      </c>
      <c r="C997">
        <v>18.940000000000001</v>
      </c>
      <c r="D997">
        <v>16.16</v>
      </c>
      <c r="E997">
        <v>7.77</v>
      </c>
      <c r="F997">
        <v>2.3199999999999998</v>
      </c>
      <c r="G997">
        <v>1.89</v>
      </c>
      <c r="H997" t="s">
        <v>608</v>
      </c>
      <c r="I997" t="s">
        <v>608</v>
      </c>
      <c r="J997">
        <v>0</v>
      </c>
      <c r="K997" t="s">
        <v>52</v>
      </c>
    </row>
    <row r="998" spans="1:11" x14ac:dyDescent="0.2">
      <c r="A998" t="s">
        <v>585</v>
      </c>
      <c r="B998" t="s">
        <v>576</v>
      </c>
      <c r="C998">
        <v>19.38</v>
      </c>
      <c r="D998">
        <v>12.06</v>
      </c>
      <c r="E998">
        <v>7.84</v>
      </c>
      <c r="F998">
        <v>1.89</v>
      </c>
      <c r="G998">
        <v>1.52</v>
      </c>
      <c r="H998" t="s">
        <v>608</v>
      </c>
      <c r="I998" t="s">
        <v>608</v>
      </c>
      <c r="J998">
        <v>0</v>
      </c>
      <c r="K998" t="s">
        <v>52</v>
      </c>
    </row>
    <row r="999" spans="1:11" x14ac:dyDescent="0.2">
      <c r="A999" t="s">
        <v>586</v>
      </c>
      <c r="B999" t="s">
        <v>576</v>
      </c>
      <c r="C999">
        <v>18.47</v>
      </c>
      <c r="D999">
        <v>15.43</v>
      </c>
      <c r="E999">
        <v>6.89</v>
      </c>
      <c r="F999">
        <v>1.7</v>
      </c>
      <c r="G999">
        <v>1.35</v>
      </c>
      <c r="H999" t="s">
        <v>608</v>
      </c>
      <c r="I999" t="s">
        <v>608</v>
      </c>
      <c r="J999">
        <v>0</v>
      </c>
      <c r="K999" t="s">
        <v>52</v>
      </c>
    </row>
    <row r="1000" spans="1:11" x14ac:dyDescent="0.2">
      <c r="A1000" t="s">
        <v>587</v>
      </c>
      <c r="B1000" t="s">
        <v>576</v>
      </c>
      <c r="C1000">
        <v>9.9700000000000006</v>
      </c>
      <c r="D1000">
        <v>5.32</v>
      </c>
      <c r="E1000">
        <v>2.2200000000000002</v>
      </c>
      <c r="F1000">
        <v>7.0000000000000007E-2</v>
      </c>
      <c r="G1000">
        <v>0.05</v>
      </c>
      <c r="H1000" t="s">
        <v>608</v>
      </c>
      <c r="I1000" t="s">
        <v>608</v>
      </c>
      <c r="J1000" t="s">
        <v>635</v>
      </c>
      <c r="K1000" t="s">
        <v>52</v>
      </c>
    </row>
    <row r="1001" spans="1:11" x14ac:dyDescent="0.2">
      <c r="A1001" t="s">
        <v>588</v>
      </c>
      <c r="B1001" t="s">
        <v>576</v>
      </c>
      <c r="C1001">
        <v>11.57</v>
      </c>
      <c r="D1001">
        <v>10.14</v>
      </c>
      <c r="E1001">
        <v>2.57</v>
      </c>
      <c r="F1001">
        <v>0.19</v>
      </c>
      <c r="G1001">
        <v>0.11</v>
      </c>
      <c r="H1001" t="s">
        <v>608</v>
      </c>
      <c r="I1001" t="s">
        <v>608</v>
      </c>
      <c r="J1001" t="s">
        <v>635</v>
      </c>
      <c r="K1001" t="s">
        <v>52</v>
      </c>
    </row>
    <row r="1002" spans="1:11" x14ac:dyDescent="0.2">
      <c r="A1002" t="s">
        <v>589</v>
      </c>
      <c r="B1002" t="s">
        <v>590</v>
      </c>
      <c r="C1002">
        <v>40.49</v>
      </c>
      <c r="D1002">
        <v>33.61</v>
      </c>
      <c r="E1002">
        <v>16.579999999999998</v>
      </c>
      <c r="F1002">
        <v>17.600000000000001</v>
      </c>
      <c r="G1002">
        <v>14.64</v>
      </c>
      <c r="H1002" t="s">
        <v>608</v>
      </c>
      <c r="I1002" t="s">
        <v>608</v>
      </c>
      <c r="J1002">
        <v>0</v>
      </c>
      <c r="K1002" t="s">
        <v>52</v>
      </c>
    </row>
    <row r="1003" spans="1:11" x14ac:dyDescent="0.2">
      <c r="A1003" t="s">
        <v>591</v>
      </c>
      <c r="B1003" t="s">
        <v>590</v>
      </c>
      <c r="C1003">
        <v>36.700000000000003</v>
      </c>
      <c r="D1003">
        <v>32.97</v>
      </c>
      <c r="E1003">
        <v>18.71</v>
      </c>
      <c r="F1003">
        <v>16.63</v>
      </c>
      <c r="G1003">
        <v>13.42</v>
      </c>
      <c r="H1003" t="s">
        <v>608</v>
      </c>
      <c r="I1003" t="s">
        <v>608</v>
      </c>
      <c r="J1003">
        <v>0</v>
      </c>
      <c r="K1003" t="s">
        <v>52</v>
      </c>
    </row>
    <row r="1004" spans="1:11" x14ac:dyDescent="0.2">
      <c r="A1004" t="s">
        <v>592</v>
      </c>
      <c r="B1004" t="s">
        <v>590</v>
      </c>
      <c r="C1004">
        <v>33</v>
      </c>
      <c r="D1004">
        <v>25.4</v>
      </c>
      <c r="E1004">
        <v>14.25</v>
      </c>
      <c r="F1004">
        <v>9.19</v>
      </c>
      <c r="G1004">
        <v>7.08</v>
      </c>
      <c r="H1004" t="s">
        <v>608</v>
      </c>
      <c r="I1004" t="s">
        <v>608</v>
      </c>
      <c r="J1004">
        <v>0</v>
      </c>
      <c r="K1004" t="s">
        <v>52</v>
      </c>
    </row>
    <row r="1005" spans="1:11" x14ac:dyDescent="0.2">
      <c r="A1005" t="s">
        <v>593</v>
      </c>
      <c r="B1005" t="s">
        <v>590</v>
      </c>
      <c r="C1005">
        <v>32.19</v>
      </c>
      <c r="D1005">
        <v>26.23</v>
      </c>
      <c r="E1005">
        <v>13.7</v>
      </c>
      <c r="F1005">
        <v>6.85</v>
      </c>
      <c r="G1005">
        <v>5.69</v>
      </c>
      <c r="H1005" t="s">
        <v>608</v>
      </c>
      <c r="I1005" t="s">
        <v>608</v>
      </c>
      <c r="J1005">
        <v>0</v>
      </c>
      <c r="K1005" t="s">
        <v>52</v>
      </c>
    </row>
    <row r="1006" spans="1:11" x14ac:dyDescent="0.2">
      <c r="A1006" t="s">
        <v>594</v>
      </c>
      <c r="B1006" t="s">
        <v>590</v>
      </c>
      <c r="C1006">
        <v>25.59</v>
      </c>
      <c r="D1006">
        <v>24.26</v>
      </c>
      <c r="E1006">
        <v>14.34</v>
      </c>
      <c r="F1006">
        <v>7.4</v>
      </c>
      <c r="G1006">
        <v>5.44</v>
      </c>
      <c r="H1006" t="s">
        <v>608</v>
      </c>
      <c r="I1006" t="s">
        <v>608</v>
      </c>
      <c r="J1006">
        <v>0</v>
      </c>
      <c r="K1006" t="s">
        <v>52</v>
      </c>
    </row>
    <row r="1007" spans="1:11" x14ac:dyDescent="0.2">
      <c r="A1007" t="s">
        <v>595</v>
      </c>
      <c r="B1007" t="s">
        <v>590</v>
      </c>
      <c r="C1007">
        <v>29.69</v>
      </c>
      <c r="D1007">
        <v>23.02</v>
      </c>
      <c r="E1007">
        <v>11.74</v>
      </c>
      <c r="F1007">
        <v>5.12</v>
      </c>
      <c r="G1007">
        <v>3.79</v>
      </c>
      <c r="H1007" t="s">
        <v>608</v>
      </c>
      <c r="I1007" t="s">
        <v>608</v>
      </c>
      <c r="J1007">
        <v>0</v>
      </c>
      <c r="K1007" t="s">
        <v>52</v>
      </c>
    </row>
    <row r="1008" spans="1:11" x14ac:dyDescent="0.2">
      <c r="A1008" t="s">
        <v>596</v>
      </c>
      <c r="B1008" t="s">
        <v>590</v>
      </c>
      <c r="C1008">
        <v>28.54</v>
      </c>
      <c r="D1008">
        <v>26.99</v>
      </c>
      <c r="E1008">
        <v>16.52</v>
      </c>
      <c r="F1008">
        <v>5.72</v>
      </c>
      <c r="G1008">
        <v>4.54</v>
      </c>
      <c r="H1008" t="s">
        <v>608</v>
      </c>
      <c r="I1008" t="s">
        <v>608</v>
      </c>
      <c r="J1008">
        <v>0</v>
      </c>
      <c r="K1008" t="s">
        <v>52</v>
      </c>
    </row>
    <row r="1009" spans="1:11" x14ac:dyDescent="0.2">
      <c r="A1009" t="s">
        <v>597</v>
      </c>
      <c r="B1009" t="s">
        <v>590</v>
      </c>
      <c r="C1009">
        <v>24.66</v>
      </c>
      <c r="D1009">
        <v>22.98</v>
      </c>
      <c r="E1009">
        <v>9.8800000000000008</v>
      </c>
      <c r="F1009">
        <v>4.03</v>
      </c>
      <c r="G1009">
        <v>3.29</v>
      </c>
      <c r="H1009" t="s">
        <v>608</v>
      </c>
      <c r="I1009" t="s">
        <v>608</v>
      </c>
      <c r="J1009">
        <v>0</v>
      </c>
      <c r="K1009" t="s">
        <v>52</v>
      </c>
    </row>
    <row r="1010" spans="1:11" x14ac:dyDescent="0.2">
      <c r="A1010" t="s">
        <v>598</v>
      </c>
      <c r="B1010" t="s">
        <v>590</v>
      </c>
      <c r="C1010">
        <v>24.51</v>
      </c>
      <c r="D1010">
        <v>18.88</v>
      </c>
      <c r="E1010">
        <v>11.9</v>
      </c>
      <c r="F1010">
        <v>3.34</v>
      </c>
      <c r="G1010">
        <v>2.4700000000000002</v>
      </c>
      <c r="H1010" t="s">
        <v>608</v>
      </c>
      <c r="I1010" t="s">
        <v>608</v>
      </c>
      <c r="J1010">
        <v>0</v>
      </c>
      <c r="K1010" t="s">
        <v>52</v>
      </c>
    </row>
    <row r="1011" spans="1:11" x14ac:dyDescent="0.2">
      <c r="A1011" t="s">
        <v>599</v>
      </c>
      <c r="B1011" t="s">
        <v>590</v>
      </c>
      <c r="C1011">
        <v>25.76</v>
      </c>
      <c r="D1011">
        <v>14.18</v>
      </c>
      <c r="E1011">
        <v>14.31</v>
      </c>
      <c r="F1011">
        <v>3.14</v>
      </c>
      <c r="G1011">
        <v>2.56</v>
      </c>
      <c r="H1011" t="s">
        <v>608</v>
      </c>
      <c r="I1011" t="s">
        <v>608</v>
      </c>
      <c r="J1011">
        <v>0</v>
      </c>
      <c r="K1011" t="s">
        <v>52</v>
      </c>
    </row>
    <row r="1012" spans="1:11" x14ac:dyDescent="0.2">
      <c r="A1012" t="s">
        <v>600</v>
      </c>
      <c r="B1012" t="s">
        <v>590</v>
      </c>
      <c r="C1012">
        <v>19.29</v>
      </c>
      <c r="D1012">
        <v>16.97</v>
      </c>
      <c r="E1012">
        <v>6.83</v>
      </c>
      <c r="F1012">
        <v>1.82</v>
      </c>
      <c r="G1012">
        <v>1.4</v>
      </c>
      <c r="H1012" t="s">
        <v>608</v>
      </c>
      <c r="I1012" t="s">
        <v>608</v>
      </c>
      <c r="J1012" t="s">
        <v>635</v>
      </c>
      <c r="K1012" t="s">
        <v>52</v>
      </c>
    </row>
    <row r="1013" spans="1:11" x14ac:dyDescent="0.2">
      <c r="A1013" t="s">
        <v>601</v>
      </c>
      <c r="B1013" t="s">
        <v>590</v>
      </c>
      <c r="C1013">
        <v>20.13</v>
      </c>
      <c r="D1013">
        <v>12.67</v>
      </c>
      <c r="E1013">
        <v>9.42</v>
      </c>
      <c r="F1013">
        <v>1.76</v>
      </c>
      <c r="G1013">
        <v>1.34</v>
      </c>
      <c r="H1013" t="s">
        <v>608</v>
      </c>
      <c r="I1013" t="s">
        <v>608</v>
      </c>
      <c r="J1013" t="s">
        <v>635</v>
      </c>
      <c r="K1013" t="s">
        <v>52</v>
      </c>
    </row>
    <row r="1014" spans="1:11" x14ac:dyDescent="0.2">
      <c r="A1014" t="s">
        <v>602</v>
      </c>
      <c r="B1014" t="s">
        <v>590</v>
      </c>
      <c r="C1014">
        <v>12.41</v>
      </c>
      <c r="D1014">
        <v>12.8</v>
      </c>
      <c r="E1014">
        <v>5.64</v>
      </c>
      <c r="F1014">
        <v>0.72</v>
      </c>
      <c r="G1014">
        <v>0.52</v>
      </c>
      <c r="H1014" t="s">
        <v>608</v>
      </c>
      <c r="I1014" t="s">
        <v>608</v>
      </c>
      <c r="J1014" t="s">
        <v>635</v>
      </c>
      <c r="K1014" t="s">
        <v>52</v>
      </c>
    </row>
    <row r="1015" spans="1:11" x14ac:dyDescent="0.2">
      <c r="A1015" t="s">
        <v>606</v>
      </c>
      <c r="B1015" t="s">
        <v>607</v>
      </c>
      <c r="C1015">
        <v>85</v>
      </c>
      <c r="D1015" t="s">
        <v>608</v>
      </c>
      <c r="E1015" t="s">
        <v>608</v>
      </c>
      <c r="F1015">
        <v>107.72</v>
      </c>
      <c r="G1015">
        <v>79.430000000000007</v>
      </c>
      <c r="H1015">
        <v>0.5</v>
      </c>
      <c r="I1015">
        <v>1</v>
      </c>
      <c r="J1015" t="s">
        <v>608</v>
      </c>
      <c r="K1015" t="s">
        <v>52</v>
      </c>
    </row>
    <row r="1016" spans="1:11" x14ac:dyDescent="0.2">
      <c r="A1016" t="s">
        <v>609</v>
      </c>
      <c r="B1016" t="s">
        <v>607</v>
      </c>
      <c r="C1016">
        <v>69.09</v>
      </c>
      <c r="D1016" t="s">
        <v>608</v>
      </c>
      <c r="E1016" t="s">
        <v>608</v>
      </c>
      <c r="F1016">
        <v>56.38</v>
      </c>
      <c r="G1016">
        <v>41.42</v>
      </c>
      <c r="H1016">
        <v>2</v>
      </c>
      <c r="I1016">
        <v>2</v>
      </c>
      <c r="J1016" t="s">
        <v>608</v>
      </c>
      <c r="K1016" t="s">
        <v>52</v>
      </c>
    </row>
    <row r="1017" spans="1:11" x14ac:dyDescent="0.2">
      <c r="A1017" t="s">
        <v>610</v>
      </c>
      <c r="B1017" t="s">
        <v>607</v>
      </c>
      <c r="C1017">
        <v>51.25</v>
      </c>
      <c r="D1017" t="s">
        <v>608</v>
      </c>
      <c r="E1017" t="s">
        <v>608</v>
      </c>
      <c r="F1017">
        <v>45.2</v>
      </c>
      <c r="G1017">
        <v>29.63</v>
      </c>
      <c r="H1017">
        <v>0.5</v>
      </c>
      <c r="I1017">
        <v>0.5</v>
      </c>
      <c r="J1017" t="s">
        <v>608</v>
      </c>
      <c r="K1017" t="s">
        <v>52</v>
      </c>
    </row>
    <row r="1018" spans="1:11" x14ac:dyDescent="0.2">
      <c r="A1018" t="s">
        <v>611</v>
      </c>
      <c r="B1018" t="s">
        <v>607</v>
      </c>
      <c r="C1018">
        <v>67.069999999999993</v>
      </c>
      <c r="D1018" t="s">
        <v>608</v>
      </c>
      <c r="E1018" t="s">
        <v>608</v>
      </c>
      <c r="F1018">
        <v>65.95</v>
      </c>
      <c r="G1018">
        <v>46.76</v>
      </c>
      <c r="H1018">
        <v>2</v>
      </c>
      <c r="I1018">
        <v>2</v>
      </c>
      <c r="J1018" t="s">
        <v>608</v>
      </c>
      <c r="K1018" t="s">
        <v>52</v>
      </c>
    </row>
    <row r="1019" spans="1:11" x14ac:dyDescent="0.2">
      <c r="A1019" t="s">
        <v>612</v>
      </c>
      <c r="B1019" t="s">
        <v>607</v>
      </c>
      <c r="C1019">
        <v>59.73</v>
      </c>
      <c r="D1019" t="s">
        <v>608</v>
      </c>
      <c r="E1019" t="s">
        <v>608</v>
      </c>
      <c r="F1019">
        <v>29.24</v>
      </c>
      <c r="G1019">
        <v>20.9</v>
      </c>
      <c r="H1019">
        <v>1</v>
      </c>
      <c r="I1019">
        <v>0.5</v>
      </c>
      <c r="J1019" t="s">
        <v>608</v>
      </c>
      <c r="K1019" t="s">
        <v>52</v>
      </c>
    </row>
    <row r="1020" spans="1:11" x14ac:dyDescent="0.2">
      <c r="A1020" t="s">
        <v>613</v>
      </c>
      <c r="B1020" t="s">
        <v>614</v>
      </c>
      <c r="C1020">
        <v>66.959999999999994</v>
      </c>
      <c r="D1020" t="s">
        <v>608</v>
      </c>
      <c r="E1020" t="s">
        <v>608</v>
      </c>
      <c r="F1020">
        <v>56.02</v>
      </c>
      <c r="G1020">
        <v>36.369999999999997</v>
      </c>
      <c r="H1020">
        <v>0</v>
      </c>
      <c r="I1020">
        <v>0</v>
      </c>
      <c r="J1020" t="s">
        <v>608</v>
      </c>
      <c r="K1020" t="s">
        <v>52</v>
      </c>
    </row>
    <row r="1021" spans="1:11" x14ac:dyDescent="0.2">
      <c r="A1021" t="s">
        <v>615</v>
      </c>
      <c r="B1021" t="s">
        <v>614</v>
      </c>
      <c r="C1021">
        <v>78.2</v>
      </c>
      <c r="D1021" t="s">
        <v>608</v>
      </c>
      <c r="E1021" t="s">
        <v>608</v>
      </c>
      <c r="F1021">
        <v>57.65</v>
      </c>
      <c r="G1021">
        <v>38.049999999999997</v>
      </c>
      <c r="H1021">
        <v>0</v>
      </c>
      <c r="I1021">
        <v>0</v>
      </c>
      <c r="J1021" t="s">
        <v>608</v>
      </c>
      <c r="K1021" t="s">
        <v>52</v>
      </c>
    </row>
    <row r="1022" spans="1:11" x14ac:dyDescent="0.2">
      <c r="A1022" t="s">
        <v>616</v>
      </c>
      <c r="B1022" t="s">
        <v>614</v>
      </c>
      <c r="C1022">
        <v>81.28</v>
      </c>
      <c r="D1022" t="s">
        <v>608</v>
      </c>
      <c r="E1022" t="s">
        <v>608</v>
      </c>
      <c r="F1022">
        <v>80.099999999999994</v>
      </c>
      <c r="G1022">
        <v>55.09</v>
      </c>
      <c r="H1022">
        <v>0</v>
      </c>
      <c r="I1022">
        <v>0</v>
      </c>
      <c r="J1022" t="s">
        <v>608</v>
      </c>
      <c r="K1022" t="s">
        <v>52</v>
      </c>
    </row>
    <row r="1023" spans="1:11" x14ac:dyDescent="0.2">
      <c r="A1023" t="s">
        <v>617</v>
      </c>
      <c r="B1023" t="s">
        <v>614</v>
      </c>
      <c r="C1023">
        <v>42.7</v>
      </c>
      <c r="D1023" t="s">
        <v>608</v>
      </c>
      <c r="E1023" t="s">
        <v>608</v>
      </c>
      <c r="F1023">
        <v>27.63</v>
      </c>
      <c r="G1023">
        <v>20.25</v>
      </c>
      <c r="H1023">
        <v>0</v>
      </c>
      <c r="I1023">
        <v>0</v>
      </c>
      <c r="J1023" t="s">
        <v>608</v>
      </c>
      <c r="K1023" t="s">
        <v>52</v>
      </c>
    </row>
    <row r="1024" spans="1:11" x14ac:dyDescent="0.2">
      <c r="A1024" t="s">
        <v>618</v>
      </c>
      <c r="B1024" t="s">
        <v>614</v>
      </c>
      <c r="C1024">
        <v>64.91</v>
      </c>
      <c r="D1024" t="s">
        <v>608</v>
      </c>
      <c r="E1024" t="s">
        <v>608</v>
      </c>
      <c r="F1024">
        <v>51.26</v>
      </c>
      <c r="G1024">
        <v>39.75</v>
      </c>
      <c r="H1024">
        <v>2</v>
      </c>
      <c r="I1024">
        <v>2</v>
      </c>
      <c r="J1024" t="s">
        <v>608</v>
      </c>
      <c r="K1024" t="s">
        <v>52</v>
      </c>
    </row>
    <row r="1025" spans="1:11" x14ac:dyDescent="0.2">
      <c r="A1025" t="s">
        <v>619</v>
      </c>
      <c r="B1025" t="s">
        <v>620</v>
      </c>
      <c r="C1025">
        <v>54.17</v>
      </c>
      <c r="D1025" t="s">
        <v>608</v>
      </c>
      <c r="E1025" t="s">
        <v>608</v>
      </c>
      <c r="F1025">
        <v>46.68</v>
      </c>
      <c r="G1025">
        <v>35.43</v>
      </c>
      <c r="H1025">
        <v>0</v>
      </c>
      <c r="I1025">
        <v>0</v>
      </c>
      <c r="J1025" t="s">
        <v>608</v>
      </c>
      <c r="K1025" t="s">
        <v>52</v>
      </c>
    </row>
    <row r="1026" spans="1:11" x14ac:dyDescent="0.2">
      <c r="A1026" t="s">
        <v>621</v>
      </c>
      <c r="B1026" t="s">
        <v>620</v>
      </c>
      <c r="C1026">
        <v>67.37</v>
      </c>
      <c r="D1026" t="s">
        <v>608</v>
      </c>
      <c r="E1026" t="s">
        <v>608</v>
      </c>
      <c r="F1026">
        <v>46.39</v>
      </c>
      <c r="G1026">
        <v>34.9</v>
      </c>
      <c r="H1026">
        <v>0</v>
      </c>
      <c r="I1026">
        <v>0</v>
      </c>
      <c r="J1026" t="s">
        <v>608</v>
      </c>
      <c r="K1026" t="s">
        <v>52</v>
      </c>
    </row>
    <row r="1027" spans="1:11" x14ac:dyDescent="0.2">
      <c r="A1027" t="s">
        <v>622</v>
      </c>
      <c r="B1027" t="s">
        <v>620</v>
      </c>
      <c r="C1027">
        <v>67.13</v>
      </c>
      <c r="D1027" t="s">
        <v>608</v>
      </c>
      <c r="E1027" t="s">
        <v>608</v>
      </c>
      <c r="F1027">
        <v>52.33</v>
      </c>
      <c r="G1027">
        <v>39.590000000000003</v>
      </c>
      <c r="H1027">
        <v>0</v>
      </c>
      <c r="I1027">
        <v>0</v>
      </c>
      <c r="J1027" t="s">
        <v>608</v>
      </c>
      <c r="K1027" t="s">
        <v>52</v>
      </c>
    </row>
    <row r="1028" spans="1:11" x14ac:dyDescent="0.2">
      <c r="A1028" t="s">
        <v>623</v>
      </c>
      <c r="B1028" t="s">
        <v>620</v>
      </c>
      <c r="C1028">
        <v>55.44</v>
      </c>
      <c r="D1028" t="s">
        <v>608</v>
      </c>
      <c r="E1028" t="s">
        <v>608</v>
      </c>
      <c r="F1028">
        <v>35.79</v>
      </c>
      <c r="G1028">
        <v>27.57</v>
      </c>
      <c r="H1028">
        <v>0</v>
      </c>
      <c r="I1028">
        <v>0</v>
      </c>
      <c r="J1028" t="s">
        <v>608</v>
      </c>
      <c r="K1028" t="s">
        <v>52</v>
      </c>
    </row>
    <row r="1029" spans="1:11" x14ac:dyDescent="0.2">
      <c r="A1029" t="s">
        <v>624</v>
      </c>
      <c r="B1029" t="s">
        <v>620</v>
      </c>
      <c r="C1029">
        <v>64.78</v>
      </c>
      <c r="D1029" t="s">
        <v>608</v>
      </c>
      <c r="E1029" t="s">
        <v>608</v>
      </c>
      <c r="F1029">
        <v>32.799999999999997</v>
      </c>
      <c r="G1029">
        <v>24.19</v>
      </c>
      <c r="H1029">
        <v>0.5</v>
      </c>
      <c r="I1029">
        <v>0</v>
      </c>
      <c r="J1029" t="s">
        <v>608</v>
      </c>
      <c r="K1029" t="s">
        <v>52</v>
      </c>
    </row>
    <row r="1030" spans="1:11" x14ac:dyDescent="0.2">
      <c r="A1030" t="s">
        <v>625</v>
      </c>
      <c r="B1030" t="s">
        <v>607</v>
      </c>
      <c r="C1030">
        <v>39.93</v>
      </c>
      <c r="D1030">
        <v>34.43</v>
      </c>
      <c r="E1030">
        <v>19.48</v>
      </c>
      <c r="F1030">
        <v>16.22</v>
      </c>
      <c r="G1030">
        <v>11.4</v>
      </c>
      <c r="H1030" t="s">
        <v>608</v>
      </c>
      <c r="I1030" t="s">
        <v>608</v>
      </c>
      <c r="J1030" t="s">
        <v>608</v>
      </c>
      <c r="K1030" t="s">
        <v>52</v>
      </c>
    </row>
    <row r="1031" spans="1:11" x14ac:dyDescent="0.2">
      <c r="A1031" t="s">
        <v>626</v>
      </c>
      <c r="B1031" t="s">
        <v>607</v>
      </c>
      <c r="C1031">
        <v>37.04</v>
      </c>
      <c r="D1031">
        <v>24.95</v>
      </c>
      <c r="E1031">
        <v>19.579999999999998</v>
      </c>
      <c r="F1031">
        <v>8.57</v>
      </c>
      <c r="G1031">
        <v>6.9</v>
      </c>
      <c r="H1031" t="s">
        <v>608</v>
      </c>
      <c r="I1031" t="s">
        <v>608</v>
      </c>
      <c r="J1031" t="s">
        <v>608</v>
      </c>
      <c r="K1031" t="s">
        <v>52</v>
      </c>
    </row>
    <row r="1032" spans="1:11" x14ac:dyDescent="0.2">
      <c r="A1032" t="s">
        <v>627</v>
      </c>
      <c r="B1032" t="s">
        <v>607</v>
      </c>
      <c r="C1032">
        <v>33.770000000000003</v>
      </c>
      <c r="D1032">
        <v>18.88</v>
      </c>
      <c r="E1032">
        <v>10.199999999999999</v>
      </c>
      <c r="F1032">
        <v>4.4000000000000004</v>
      </c>
      <c r="G1032">
        <v>3.36</v>
      </c>
      <c r="H1032" t="s">
        <v>608</v>
      </c>
      <c r="I1032" t="s">
        <v>608</v>
      </c>
      <c r="J1032" t="s">
        <v>608</v>
      </c>
      <c r="K1032" t="s">
        <v>52</v>
      </c>
    </row>
    <row r="1033" spans="1:11" x14ac:dyDescent="0.2">
      <c r="A1033" t="s">
        <v>628</v>
      </c>
      <c r="B1033" t="s">
        <v>607</v>
      </c>
      <c r="C1033">
        <v>29.91</v>
      </c>
      <c r="D1033">
        <v>20.77</v>
      </c>
      <c r="E1033">
        <v>15.78</v>
      </c>
      <c r="F1033">
        <v>7.71</v>
      </c>
      <c r="G1033">
        <v>5.1100000000000003</v>
      </c>
      <c r="H1033" t="s">
        <v>608</v>
      </c>
      <c r="I1033" t="s">
        <v>608</v>
      </c>
      <c r="J1033" t="s">
        <v>608</v>
      </c>
      <c r="K1033" t="s">
        <v>52</v>
      </c>
    </row>
    <row r="1034" spans="1:11" x14ac:dyDescent="0.2">
      <c r="A1034" t="s">
        <v>629</v>
      </c>
      <c r="B1034" t="s">
        <v>607</v>
      </c>
      <c r="C1034">
        <v>28.65</v>
      </c>
      <c r="D1034">
        <v>20.7</v>
      </c>
      <c r="E1034">
        <v>14.25</v>
      </c>
      <c r="F1034">
        <v>6.6</v>
      </c>
      <c r="G1034">
        <v>4.66</v>
      </c>
      <c r="H1034" t="s">
        <v>608</v>
      </c>
      <c r="I1034" t="s">
        <v>608</v>
      </c>
      <c r="J1034" t="s">
        <v>608</v>
      </c>
      <c r="K1034" t="s">
        <v>52</v>
      </c>
    </row>
    <row r="1035" spans="1:11" x14ac:dyDescent="0.2">
      <c r="A1035" t="s">
        <v>630</v>
      </c>
      <c r="B1035" t="s">
        <v>607</v>
      </c>
      <c r="C1035">
        <v>23.08</v>
      </c>
      <c r="D1035">
        <v>23.08</v>
      </c>
      <c r="E1035">
        <v>13.48</v>
      </c>
      <c r="F1035">
        <v>6.35</v>
      </c>
      <c r="G1035">
        <v>4.54</v>
      </c>
      <c r="H1035" t="s">
        <v>608</v>
      </c>
      <c r="I1035" t="s">
        <v>608</v>
      </c>
      <c r="J1035" t="s">
        <v>608</v>
      </c>
      <c r="K1035" t="s">
        <v>52</v>
      </c>
    </row>
    <row r="1036" spans="1:11" x14ac:dyDescent="0.2">
      <c r="A1036" t="s">
        <v>631</v>
      </c>
      <c r="B1036" t="s">
        <v>607</v>
      </c>
      <c r="C1036">
        <v>26.19</v>
      </c>
      <c r="D1036">
        <v>22.18</v>
      </c>
      <c r="E1036">
        <v>11.16</v>
      </c>
      <c r="F1036">
        <v>5.83</v>
      </c>
      <c r="G1036">
        <v>4.96</v>
      </c>
      <c r="H1036" t="s">
        <v>608</v>
      </c>
      <c r="I1036" t="s">
        <v>608</v>
      </c>
      <c r="J1036" t="s">
        <v>608</v>
      </c>
      <c r="K1036" t="s">
        <v>52</v>
      </c>
    </row>
    <row r="1037" spans="1:11" x14ac:dyDescent="0.2">
      <c r="A1037" t="s">
        <v>632</v>
      </c>
      <c r="B1037" t="s">
        <v>607</v>
      </c>
      <c r="C1037">
        <v>24</v>
      </c>
      <c r="D1037">
        <v>23.87</v>
      </c>
      <c r="E1037">
        <v>11.32</v>
      </c>
      <c r="F1037">
        <v>4.3099999999999996</v>
      </c>
      <c r="G1037">
        <v>3.01</v>
      </c>
      <c r="H1037" t="s">
        <v>608</v>
      </c>
      <c r="I1037" t="s">
        <v>608</v>
      </c>
      <c r="J1037" t="s">
        <v>608</v>
      </c>
      <c r="K1037" t="s">
        <v>52</v>
      </c>
    </row>
    <row r="1038" spans="1:11" x14ac:dyDescent="0.2">
      <c r="A1038" t="s">
        <v>633</v>
      </c>
      <c r="B1038" t="s">
        <v>607</v>
      </c>
      <c r="C1038">
        <v>20.98</v>
      </c>
      <c r="D1038">
        <v>18.7</v>
      </c>
      <c r="E1038">
        <v>10.44</v>
      </c>
      <c r="F1038">
        <v>3.43</v>
      </c>
      <c r="G1038">
        <v>2.6</v>
      </c>
      <c r="H1038" t="s">
        <v>608</v>
      </c>
      <c r="I1038" t="s">
        <v>608</v>
      </c>
      <c r="J1038" t="s">
        <v>608</v>
      </c>
      <c r="K1038" t="s">
        <v>52</v>
      </c>
    </row>
    <row r="1039" spans="1:11" x14ac:dyDescent="0.2">
      <c r="A1039" t="s">
        <v>634</v>
      </c>
      <c r="B1039" t="s">
        <v>607</v>
      </c>
      <c r="C1039">
        <v>20.51</v>
      </c>
      <c r="D1039">
        <v>22.42</v>
      </c>
      <c r="E1039">
        <v>14.27</v>
      </c>
      <c r="F1039">
        <v>3.23</v>
      </c>
      <c r="G1039">
        <v>2.59</v>
      </c>
      <c r="H1039" t="s">
        <v>608</v>
      </c>
      <c r="I1039" t="s">
        <v>608</v>
      </c>
      <c r="J1039" t="s">
        <v>635</v>
      </c>
      <c r="K1039" t="s">
        <v>52</v>
      </c>
    </row>
    <row r="1040" spans="1:11" x14ac:dyDescent="0.2">
      <c r="A1040" t="s">
        <v>636</v>
      </c>
      <c r="B1040" t="s">
        <v>607</v>
      </c>
      <c r="C1040">
        <v>16.98</v>
      </c>
      <c r="D1040">
        <v>12.98</v>
      </c>
      <c r="E1040">
        <v>7.98</v>
      </c>
      <c r="F1040">
        <v>1.1100000000000001</v>
      </c>
      <c r="G1040">
        <v>0.8</v>
      </c>
      <c r="H1040" t="s">
        <v>608</v>
      </c>
      <c r="I1040" t="s">
        <v>608</v>
      </c>
      <c r="J1040" t="s">
        <v>635</v>
      </c>
      <c r="K1040" t="s">
        <v>52</v>
      </c>
    </row>
    <row r="1041" spans="1:11" x14ac:dyDescent="0.2">
      <c r="A1041" t="s">
        <v>637</v>
      </c>
      <c r="B1041" t="s">
        <v>614</v>
      </c>
      <c r="C1041">
        <v>36.369999999999997</v>
      </c>
      <c r="D1041">
        <v>21.72</v>
      </c>
      <c r="E1041">
        <v>13.8</v>
      </c>
      <c r="F1041">
        <v>7.87</v>
      </c>
      <c r="G1041">
        <v>5.75</v>
      </c>
      <c r="H1041" t="s">
        <v>608</v>
      </c>
      <c r="I1041" t="s">
        <v>608</v>
      </c>
      <c r="J1041" t="s">
        <v>608</v>
      </c>
      <c r="K1041" t="s">
        <v>52</v>
      </c>
    </row>
    <row r="1042" spans="1:11" x14ac:dyDescent="0.2">
      <c r="A1042" t="s">
        <v>638</v>
      </c>
      <c r="B1042" t="s">
        <v>614</v>
      </c>
      <c r="C1042">
        <v>35.46</v>
      </c>
      <c r="D1042">
        <v>31.73</v>
      </c>
      <c r="E1042">
        <v>16.239999999999998</v>
      </c>
      <c r="F1042">
        <v>8.44</v>
      </c>
      <c r="G1042">
        <v>5.91</v>
      </c>
      <c r="H1042" t="s">
        <v>608</v>
      </c>
      <c r="I1042" t="s">
        <v>608</v>
      </c>
      <c r="J1042" t="s">
        <v>608</v>
      </c>
      <c r="K1042" t="s">
        <v>52</v>
      </c>
    </row>
    <row r="1043" spans="1:11" x14ac:dyDescent="0.2">
      <c r="A1043" t="s">
        <v>639</v>
      </c>
      <c r="B1043" t="s">
        <v>614</v>
      </c>
      <c r="C1043">
        <v>33.86</v>
      </c>
      <c r="D1043">
        <v>29.47</v>
      </c>
      <c r="E1043">
        <v>16.47</v>
      </c>
      <c r="F1043">
        <v>12.29</v>
      </c>
      <c r="G1043">
        <v>8.82</v>
      </c>
      <c r="H1043" t="s">
        <v>608</v>
      </c>
      <c r="I1043" t="s">
        <v>608</v>
      </c>
      <c r="J1043" t="s">
        <v>608</v>
      </c>
      <c r="K1043" t="s">
        <v>52</v>
      </c>
    </row>
    <row r="1044" spans="1:11" x14ac:dyDescent="0.2">
      <c r="A1044" t="s">
        <v>640</v>
      </c>
      <c r="B1044" t="s">
        <v>614</v>
      </c>
      <c r="C1044">
        <v>34.020000000000003</v>
      </c>
      <c r="D1044">
        <v>29.48</v>
      </c>
      <c r="E1044">
        <v>11.79</v>
      </c>
      <c r="F1044">
        <v>7.38</v>
      </c>
      <c r="G1044">
        <v>5.3</v>
      </c>
      <c r="H1044" t="s">
        <v>608</v>
      </c>
      <c r="I1044" t="s">
        <v>608</v>
      </c>
      <c r="J1044" t="s">
        <v>608</v>
      </c>
      <c r="K1044" t="s">
        <v>52</v>
      </c>
    </row>
    <row r="1045" spans="1:11" x14ac:dyDescent="0.2">
      <c r="A1045" t="s">
        <v>641</v>
      </c>
      <c r="B1045" t="s">
        <v>614</v>
      </c>
      <c r="C1045">
        <v>27.56</v>
      </c>
      <c r="D1045">
        <v>24.58</v>
      </c>
      <c r="E1045">
        <v>13.13</v>
      </c>
      <c r="F1045">
        <v>7.42</v>
      </c>
      <c r="G1045">
        <v>5.17</v>
      </c>
      <c r="H1045" t="s">
        <v>608</v>
      </c>
      <c r="I1045" t="s">
        <v>608</v>
      </c>
      <c r="J1045" t="s">
        <v>608</v>
      </c>
      <c r="K1045" t="s">
        <v>52</v>
      </c>
    </row>
    <row r="1046" spans="1:11" x14ac:dyDescent="0.2">
      <c r="A1046" t="s">
        <v>642</v>
      </c>
      <c r="B1046" t="s">
        <v>614</v>
      </c>
      <c r="C1046">
        <v>30.18</v>
      </c>
      <c r="D1046">
        <v>27.13</v>
      </c>
      <c r="E1046">
        <v>12</v>
      </c>
      <c r="F1046">
        <v>7.93</v>
      </c>
      <c r="G1046">
        <v>6.05</v>
      </c>
      <c r="H1046" t="s">
        <v>608</v>
      </c>
      <c r="I1046" t="s">
        <v>608</v>
      </c>
      <c r="J1046" t="s">
        <v>608</v>
      </c>
      <c r="K1046" t="s">
        <v>52</v>
      </c>
    </row>
    <row r="1047" spans="1:11" x14ac:dyDescent="0.2">
      <c r="A1047" t="s">
        <v>643</v>
      </c>
      <c r="B1047" t="s">
        <v>614</v>
      </c>
      <c r="C1047">
        <v>32.76</v>
      </c>
      <c r="D1047">
        <v>22.96</v>
      </c>
      <c r="E1047">
        <v>13.32</v>
      </c>
      <c r="F1047">
        <v>6.79</v>
      </c>
      <c r="G1047">
        <v>4.96</v>
      </c>
      <c r="H1047" t="s">
        <v>608</v>
      </c>
      <c r="I1047" t="s">
        <v>608</v>
      </c>
      <c r="J1047" t="s">
        <v>608</v>
      </c>
      <c r="K1047" t="s">
        <v>52</v>
      </c>
    </row>
    <row r="1048" spans="1:11" x14ac:dyDescent="0.2">
      <c r="A1048" t="s">
        <v>644</v>
      </c>
      <c r="B1048" t="s">
        <v>614</v>
      </c>
      <c r="C1048">
        <v>26</v>
      </c>
      <c r="D1048">
        <v>15.47</v>
      </c>
      <c r="E1048">
        <v>14.96</v>
      </c>
      <c r="F1048">
        <v>4.71</v>
      </c>
      <c r="G1048">
        <v>3.32</v>
      </c>
      <c r="H1048" t="s">
        <v>608</v>
      </c>
      <c r="I1048" t="s">
        <v>608</v>
      </c>
      <c r="J1048" t="s">
        <v>608</v>
      </c>
      <c r="K1048" t="s">
        <v>52</v>
      </c>
    </row>
    <row r="1049" spans="1:11" x14ac:dyDescent="0.2">
      <c r="A1049" t="s">
        <v>645</v>
      </c>
      <c r="B1049" t="s">
        <v>614</v>
      </c>
      <c r="C1049">
        <v>25.83</v>
      </c>
      <c r="D1049">
        <v>16.98</v>
      </c>
      <c r="E1049">
        <v>10.029999999999999</v>
      </c>
      <c r="F1049">
        <v>4.07</v>
      </c>
      <c r="G1049">
        <v>2.9</v>
      </c>
      <c r="H1049" t="s">
        <v>608</v>
      </c>
      <c r="I1049" t="s">
        <v>608</v>
      </c>
      <c r="J1049" t="s">
        <v>608</v>
      </c>
      <c r="K1049" t="s">
        <v>52</v>
      </c>
    </row>
    <row r="1050" spans="1:11" x14ac:dyDescent="0.2">
      <c r="A1050" t="s">
        <v>646</v>
      </c>
      <c r="B1050" t="s">
        <v>614</v>
      </c>
      <c r="C1050">
        <v>18.34</v>
      </c>
      <c r="D1050">
        <v>18.739999999999998</v>
      </c>
      <c r="E1050">
        <v>5.38</v>
      </c>
      <c r="F1050">
        <v>1.0900000000000001</v>
      </c>
      <c r="G1050">
        <v>0.84</v>
      </c>
      <c r="H1050" t="s">
        <v>608</v>
      </c>
      <c r="I1050" t="s">
        <v>608</v>
      </c>
      <c r="J1050" t="s">
        <v>635</v>
      </c>
      <c r="K1050" t="s">
        <v>52</v>
      </c>
    </row>
    <row r="1051" spans="1:11" x14ac:dyDescent="0.2">
      <c r="A1051" t="s">
        <v>647</v>
      </c>
      <c r="B1051" t="s">
        <v>614</v>
      </c>
      <c r="C1051">
        <v>14.11</v>
      </c>
      <c r="D1051">
        <v>12.08</v>
      </c>
      <c r="E1051">
        <v>7.54</v>
      </c>
      <c r="F1051">
        <v>1.03</v>
      </c>
      <c r="G1051">
        <v>0.74</v>
      </c>
      <c r="H1051" t="s">
        <v>608</v>
      </c>
      <c r="I1051" t="s">
        <v>608</v>
      </c>
      <c r="J1051" t="s">
        <v>635</v>
      </c>
      <c r="K1051" t="s">
        <v>52</v>
      </c>
    </row>
    <row r="1052" spans="1:11" x14ac:dyDescent="0.2">
      <c r="A1052" t="s">
        <v>648</v>
      </c>
      <c r="B1052" t="s">
        <v>614</v>
      </c>
      <c r="C1052">
        <v>10.91</v>
      </c>
      <c r="D1052">
        <v>8.35</v>
      </c>
      <c r="E1052">
        <v>5.35</v>
      </c>
      <c r="F1052">
        <v>0.38</v>
      </c>
      <c r="G1052">
        <v>0.25</v>
      </c>
      <c r="H1052" t="s">
        <v>608</v>
      </c>
      <c r="I1052" t="s">
        <v>608</v>
      </c>
      <c r="J1052" t="s">
        <v>635</v>
      </c>
      <c r="K1052" t="s">
        <v>52</v>
      </c>
    </row>
    <row r="1053" spans="1:11" x14ac:dyDescent="0.2">
      <c r="A1053" t="s">
        <v>649</v>
      </c>
      <c r="B1053" t="s">
        <v>620</v>
      </c>
      <c r="C1053">
        <v>33.299999999999997</v>
      </c>
      <c r="D1053">
        <v>23.15</v>
      </c>
      <c r="E1053">
        <v>9.44</v>
      </c>
      <c r="F1053">
        <v>18.07</v>
      </c>
      <c r="G1053">
        <v>13.7</v>
      </c>
      <c r="H1053" t="s">
        <v>608</v>
      </c>
      <c r="I1053" t="s">
        <v>608</v>
      </c>
      <c r="J1053" t="s">
        <v>608</v>
      </c>
      <c r="K1053" t="s">
        <v>52</v>
      </c>
    </row>
    <row r="1054" spans="1:11" x14ac:dyDescent="0.2">
      <c r="A1054" t="s">
        <v>650</v>
      </c>
      <c r="B1054" t="s">
        <v>620</v>
      </c>
      <c r="C1054">
        <v>34.18</v>
      </c>
      <c r="D1054">
        <v>16.91</v>
      </c>
      <c r="E1054">
        <v>7.27</v>
      </c>
      <c r="F1054">
        <v>7.76</v>
      </c>
      <c r="G1054">
        <v>5.77</v>
      </c>
      <c r="H1054" t="s">
        <v>608</v>
      </c>
      <c r="I1054" t="s">
        <v>608</v>
      </c>
      <c r="J1054" t="s">
        <v>608</v>
      </c>
      <c r="K1054" t="s">
        <v>52</v>
      </c>
    </row>
    <row r="1055" spans="1:11" x14ac:dyDescent="0.2">
      <c r="A1055" t="s">
        <v>651</v>
      </c>
      <c r="B1055" t="s">
        <v>620</v>
      </c>
      <c r="C1055">
        <v>27.09</v>
      </c>
      <c r="D1055">
        <v>18.52</v>
      </c>
      <c r="E1055">
        <v>7.9</v>
      </c>
      <c r="F1055">
        <v>9.2799999999999994</v>
      </c>
      <c r="G1055">
        <v>7.31</v>
      </c>
      <c r="H1055" t="s">
        <v>608</v>
      </c>
      <c r="I1055" t="s">
        <v>608</v>
      </c>
      <c r="J1055" t="s">
        <v>608</v>
      </c>
      <c r="K1055" t="s">
        <v>52</v>
      </c>
    </row>
    <row r="1056" spans="1:11" x14ac:dyDescent="0.2">
      <c r="A1056" t="s">
        <v>652</v>
      </c>
      <c r="B1056" t="s">
        <v>620</v>
      </c>
      <c r="C1056">
        <v>28.55</v>
      </c>
      <c r="D1056">
        <v>25.16</v>
      </c>
      <c r="E1056">
        <v>6.51</v>
      </c>
      <c r="F1056">
        <v>9.74</v>
      </c>
      <c r="G1056">
        <v>7.16</v>
      </c>
      <c r="H1056" t="s">
        <v>608</v>
      </c>
      <c r="I1056" t="s">
        <v>608</v>
      </c>
      <c r="J1056" t="s">
        <v>608</v>
      </c>
      <c r="K1056" t="s">
        <v>52</v>
      </c>
    </row>
    <row r="1057" spans="1:11" x14ac:dyDescent="0.2">
      <c r="A1057" t="s">
        <v>653</v>
      </c>
      <c r="B1057" t="s">
        <v>620</v>
      </c>
      <c r="C1057">
        <v>29.24</v>
      </c>
      <c r="D1057">
        <v>24.74</v>
      </c>
      <c r="E1057">
        <v>7.95</v>
      </c>
      <c r="F1057">
        <v>8.6999999999999993</v>
      </c>
      <c r="G1057">
        <v>6.49</v>
      </c>
      <c r="H1057" t="s">
        <v>608</v>
      </c>
      <c r="I1057" t="s">
        <v>608</v>
      </c>
      <c r="J1057" t="s">
        <v>608</v>
      </c>
      <c r="K1057" t="s">
        <v>52</v>
      </c>
    </row>
    <row r="1058" spans="1:11" x14ac:dyDescent="0.2">
      <c r="A1058" t="s">
        <v>654</v>
      </c>
      <c r="B1058" t="s">
        <v>620</v>
      </c>
      <c r="C1058">
        <v>26.77</v>
      </c>
      <c r="D1058">
        <v>18.52</v>
      </c>
      <c r="E1058">
        <v>6.53</v>
      </c>
      <c r="F1058">
        <v>7.43</v>
      </c>
      <c r="G1058">
        <v>5.77</v>
      </c>
      <c r="H1058" t="s">
        <v>608</v>
      </c>
      <c r="I1058" t="s">
        <v>608</v>
      </c>
      <c r="J1058" t="s">
        <v>608</v>
      </c>
      <c r="K1058" t="s">
        <v>52</v>
      </c>
    </row>
    <row r="1059" spans="1:11" x14ac:dyDescent="0.2">
      <c r="A1059" t="s">
        <v>655</v>
      </c>
      <c r="B1059" t="s">
        <v>620</v>
      </c>
      <c r="C1059">
        <v>25.29</v>
      </c>
      <c r="D1059">
        <v>16.170000000000002</v>
      </c>
      <c r="E1059">
        <v>11.72</v>
      </c>
      <c r="F1059">
        <v>9.91</v>
      </c>
      <c r="G1059">
        <v>7.62</v>
      </c>
      <c r="H1059" t="s">
        <v>608</v>
      </c>
      <c r="I1059" t="s">
        <v>608</v>
      </c>
      <c r="J1059" t="s">
        <v>608</v>
      </c>
      <c r="K1059" t="s">
        <v>52</v>
      </c>
    </row>
    <row r="1060" spans="1:11" x14ac:dyDescent="0.2">
      <c r="A1060" t="s">
        <v>656</v>
      </c>
      <c r="B1060" t="s">
        <v>620</v>
      </c>
      <c r="C1060">
        <v>22.49</v>
      </c>
      <c r="D1060">
        <v>16.57</v>
      </c>
      <c r="E1060">
        <v>4.34</v>
      </c>
      <c r="F1060">
        <v>5.71</v>
      </c>
      <c r="G1060">
        <v>4.24</v>
      </c>
      <c r="H1060" t="s">
        <v>608</v>
      </c>
      <c r="I1060" t="s">
        <v>608</v>
      </c>
      <c r="J1060" t="s">
        <v>608</v>
      </c>
      <c r="K1060" t="s">
        <v>52</v>
      </c>
    </row>
    <row r="1061" spans="1:11" x14ac:dyDescent="0.2">
      <c r="A1061" t="s">
        <v>657</v>
      </c>
      <c r="B1061" t="s">
        <v>620</v>
      </c>
      <c r="C1061">
        <v>20.309999999999999</v>
      </c>
      <c r="D1061">
        <v>9.92</v>
      </c>
      <c r="E1061">
        <v>3.66</v>
      </c>
      <c r="F1061">
        <v>2.46</v>
      </c>
      <c r="G1061">
        <v>1.85</v>
      </c>
      <c r="H1061" t="s">
        <v>608</v>
      </c>
      <c r="I1061" t="s">
        <v>608</v>
      </c>
      <c r="J1061" t="s">
        <v>635</v>
      </c>
      <c r="K1061" t="s">
        <v>52</v>
      </c>
    </row>
    <row r="1062" spans="1:11" x14ac:dyDescent="0.2">
      <c r="A1062" t="s">
        <v>658</v>
      </c>
      <c r="B1062" t="s">
        <v>620</v>
      </c>
      <c r="C1062">
        <v>13.87</v>
      </c>
      <c r="D1062">
        <v>12.09</v>
      </c>
      <c r="E1062">
        <v>6.69</v>
      </c>
      <c r="F1062">
        <v>2.11</v>
      </c>
      <c r="G1062">
        <v>1.63</v>
      </c>
      <c r="H1062" t="s">
        <v>608</v>
      </c>
      <c r="I1062" t="s">
        <v>608</v>
      </c>
      <c r="J1062" t="s">
        <v>635</v>
      </c>
      <c r="K1062" t="s">
        <v>52</v>
      </c>
    </row>
    <row r="1063" spans="1:11" x14ac:dyDescent="0.2">
      <c r="A1063" t="s">
        <v>659</v>
      </c>
      <c r="B1063" t="s">
        <v>620</v>
      </c>
      <c r="C1063">
        <v>21.2</v>
      </c>
      <c r="D1063">
        <v>11.81</v>
      </c>
      <c r="E1063">
        <v>4.9800000000000004</v>
      </c>
      <c r="F1063">
        <v>1.22</v>
      </c>
      <c r="G1063">
        <v>0.93</v>
      </c>
      <c r="H1063" t="s">
        <v>608</v>
      </c>
      <c r="I1063" t="s">
        <v>608</v>
      </c>
      <c r="J1063" t="s">
        <v>635</v>
      </c>
      <c r="K1063" t="s">
        <v>52</v>
      </c>
    </row>
    <row r="1064" spans="1:11" x14ac:dyDescent="0.2">
      <c r="A1064" t="s">
        <v>660</v>
      </c>
      <c r="B1064" t="s">
        <v>620</v>
      </c>
      <c r="C1064">
        <v>17.82</v>
      </c>
      <c r="D1064">
        <v>16.170000000000002</v>
      </c>
      <c r="E1064">
        <v>8.65</v>
      </c>
      <c r="F1064">
        <v>1.8</v>
      </c>
      <c r="G1064">
        <v>1.44</v>
      </c>
      <c r="H1064" t="s">
        <v>608</v>
      </c>
      <c r="I1064" t="s">
        <v>608</v>
      </c>
      <c r="J1064" t="s">
        <v>635</v>
      </c>
      <c r="K1064" t="s">
        <v>52</v>
      </c>
    </row>
    <row r="1065" spans="1:11" x14ac:dyDescent="0.2">
      <c r="A1065" t="s">
        <v>661</v>
      </c>
      <c r="B1065" t="s">
        <v>620</v>
      </c>
      <c r="C1065">
        <v>9.6300000000000008</v>
      </c>
      <c r="D1065">
        <v>9.5500000000000007</v>
      </c>
      <c r="E1065">
        <v>2.13</v>
      </c>
      <c r="F1065">
        <v>0.08</v>
      </c>
      <c r="G1065">
        <v>0.04</v>
      </c>
      <c r="H1065" t="s">
        <v>608</v>
      </c>
      <c r="I1065" t="s">
        <v>608</v>
      </c>
      <c r="J1065" t="s">
        <v>635</v>
      </c>
      <c r="K1065" t="s">
        <v>52</v>
      </c>
    </row>
    <row r="1066" spans="1:11" x14ac:dyDescent="0.2">
      <c r="A1066" t="s">
        <v>831</v>
      </c>
      <c r="B1066" t="s">
        <v>832</v>
      </c>
      <c r="C1066">
        <v>48.34</v>
      </c>
      <c r="D1066" t="s">
        <v>608</v>
      </c>
      <c r="E1066" t="s">
        <v>608</v>
      </c>
      <c r="F1066">
        <v>23.75</v>
      </c>
      <c r="G1066">
        <v>19.02</v>
      </c>
      <c r="H1066">
        <v>0</v>
      </c>
      <c r="I1066">
        <v>0</v>
      </c>
      <c r="J1066" t="s">
        <v>833</v>
      </c>
      <c r="K1066" t="s">
        <v>52</v>
      </c>
    </row>
    <row r="1067" spans="1:11" x14ac:dyDescent="0.2">
      <c r="A1067" t="s">
        <v>834</v>
      </c>
      <c r="B1067" t="s">
        <v>832</v>
      </c>
      <c r="C1067">
        <v>64.510000000000005</v>
      </c>
      <c r="D1067" t="s">
        <v>608</v>
      </c>
      <c r="E1067" t="s">
        <v>608</v>
      </c>
      <c r="F1067">
        <v>39</v>
      </c>
      <c r="G1067">
        <v>27.4</v>
      </c>
      <c r="H1067">
        <v>0</v>
      </c>
      <c r="I1067">
        <v>0</v>
      </c>
      <c r="J1067" t="s">
        <v>608</v>
      </c>
      <c r="K1067" t="s">
        <v>52</v>
      </c>
    </row>
    <row r="1068" spans="1:11" x14ac:dyDescent="0.2">
      <c r="A1068" t="s">
        <v>835</v>
      </c>
      <c r="B1068" t="s">
        <v>832</v>
      </c>
      <c r="C1068">
        <v>45.32</v>
      </c>
      <c r="D1068" t="s">
        <v>608</v>
      </c>
      <c r="E1068" t="s">
        <v>608</v>
      </c>
      <c r="F1068">
        <v>32.28</v>
      </c>
      <c r="G1068">
        <v>23.95</v>
      </c>
      <c r="H1068">
        <v>0.5</v>
      </c>
      <c r="I1068">
        <v>1</v>
      </c>
      <c r="J1068" t="s">
        <v>608</v>
      </c>
      <c r="K1068" t="s">
        <v>52</v>
      </c>
    </row>
    <row r="1069" spans="1:11" x14ac:dyDescent="0.2">
      <c r="A1069" t="s">
        <v>836</v>
      </c>
      <c r="B1069" t="s">
        <v>832</v>
      </c>
      <c r="C1069">
        <v>58.78</v>
      </c>
      <c r="D1069" t="s">
        <v>608</v>
      </c>
      <c r="E1069" t="s">
        <v>608</v>
      </c>
      <c r="F1069">
        <v>41.67</v>
      </c>
      <c r="G1069">
        <v>28.82</v>
      </c>
      <c r="H1069">
        <v>2</v>
      </c>
      <c r="I1069">
        <v>1</v>
      </c>
      <c r="J1069" t="s">
        <v>608</v>
      </c>
      <c r="K1069" t="s">
        <v>52</v>
      </c>
    </row>
    <row r="1070" spans="1:11" x14ac:dyDescent="0.2">
      <c r="A1070" t="s">
        <v>837</v>
      </c>
      <c r="B1070" t="s">
        <v>832</v>
      </c>
      <c r="C1070">
        <v>32.020000000000003</v>
      </c>
      <c r="D1070" t="s">
        <v>608</v>
      </c>
      <c r="E1070" t="s">
        <v>608</v>
      </c>
      <c r="F1070">
        <v>11.8</v>
      </c>
      <c r="G1070">
        <v>8.6</v>
      </c>
      <c r="H1070">
        <v>0</v>
      </c>
      <c r="I1070">
        <v>0</v>
      </c>
      <c r="J1070" t="s">
        <v>608</v>
      </c>
      <c r="K1070" t="s">
        <v>52</v>
      </c>
    </row>
    <row r="1071" spans="1:11" x14ac:dyDescent="0.2">
      <c r="A1071" t="s">
        <v>838</v>
      </c>
      <c r="B1071" t="s">
        <v>839</v>
      </c>
      <c r="C1071">
        <v>46.11</v>
      </c>
      <c r="D1071" t="s">
        <v>608</v>
      </c>
      <c r="E1071" t="s">
        <v>608</v>
      </c>
      <c r="F1071">
        <v>29.05</v>
      </c>
      <c r="G1071">
        <v>20.9</v>
      </c>
      <c r="H1071">
        <v>0</v>
      </c>
      <c r="I1071">
        <v>0</v>
      </c>
      <c r="J1071" t="s">
        <v>608</v>
      </c>
      <c r="K1071" t="s">
        <v>52</v>
      </c>
    </row>
    <row r="1072" spans="1:11" x14ac:dyDescent="0.2">
      <c r="A1072" t="s">
        <v>840</v>
      </c>
      <c r="B1072" t="s">
        <v>839</v>
      </c>
      <c r="C1072">
        <v>44.2</v>
      </c>
      <c r="D1072" t="s">
        <v>608</v>
      </c>
      <c r="E1072" t="s">
        <v>608</v>
      </c>
      <c r="F1072">
        <v>19.82</v>
      </c>
      <c r="G1072">
        <v>15.04</v>
      </c>
      <c r="H1072">
        <v>0</v>
      </c>
      <c r="I1072">
        <v>0</v>
      </c>
      <c r="J1072" t="s">
        <v>608</v>
      </c>
      <c r="K1072" t="s">
        <v>52</v>
      </c>
    </row>
    <row r="1073" spans="1:11" x14ac:dyDescent="0.2">
      <c r="A1073" t="s">
        <v>841</v>
      </c>
      <c r="B1073" t="s">
        <v>839</v>
      </c>
      <c r="C1073">
        <v>61.7</v>
      </c>
      <c r="D1073" t="s">
        <v>608</v>
      </c>
      <c r="E1073" t="s">
        <v>608</v>
      </c>
      <c r="F1073">
        <v>34.17</v>
      </c>
      <c r="G1073">
        <v>23.9</v>
      </c>
      <c r="H1073">
        <v>0.5</v>
      </c>
      <c r="I1073">
        <v>0.5</v>
      </c>
      <c r="J1073" t="s">
        <v>842</v>
      </c>
      <c r="K1073" t="s">
        <v>52</v>
      </c>
    </row>
    <row r="1074" spans="1:11" x14ac:dyDescent="0.2">
      <c r="A1074" t="s">
        <v>843</v>
      </c>
      <c r="B1074" t="s">
        <v>839</v>
      </c>
      <c r="C1074">
        <v>59.99</v>
      </c>
      <c r="D1074" t="s">
        <v>608</v>
      </c>
      <c r="E1074" t="s">
        <v>608</v>
      </c>
      <c r="F1074">
        <v>45.64</v>
      </c>
      <c r="G1074">
        <v>35.950000000000003</v>
      </c>
      <c r="H1074">
        <v>0</v>
      </c>
      <c r="I1074">
        <v>0</v>
      </c>
      <c r="J1074" t="s">
        <v>844</v>
      </c>
      <c r="K1074" t="s">
        <v>52</v>
      </c>
    </row>
    <row r="1075" spans="1:11" x14ac:dyDescent="0.2">
      <c r="A1075" t="s">
        <v>845</v>
      </c>
      <c r="B1075" t="s">
        <v>839</v>
      </c>
      <c r="C1075">
        <v>59.48</v>
      </c>
      <c r="D1075" t="s">
        <v>608</v>
      </c>
      <c r="E1075" t="s">
        <v>608</v>
      </c>
      <c r="F1075">
        <v>30.5</v>
      </c>
      <c r="G1075">
        <v>21.89</v>
      </c>
      <c r="H1075">
        <v>0</v>
      </c>
      <c r="I1075">
        <v>0</v>
      </c>
      <c r="J1075" t="s">
        <v>608</v>
      </c>
      <c r="K1075" t="s">
        <v>52</v>
      </c>
    </row>
    <row r="1076" spans="1:11" x14ac:dyDescent="0.2">
      <c r="A1076" t="s">
        <v>846</v>
      </c>
      <c r="B1076" t="s">
        <v>847</v>
      </c>
      <c r="C1076">
        <v>54.77</v>
      </c>
      <c r="D1076" t="s">
        <v>608</v>
      </c>
      <c r="E1076" t="s">
        <v>608</v>
      </c>
      <c r="F1076">
        <v>30.49</v>
      </c>
      <c r="G1076">
        <v>23.04</v>
      </c>
      <c r="H1076">
        <v>0</v>
      </c>
      <c r="I1076">
        <v>0</v>
      </c>
      <c r="J1076" t="s">
        <v>608</v>
      </c>
      <c r="K1076" t="s">
        <v>52</v>
      </c>
    </row>
    <row r="1077" spans="1:11" x14ac:dyDescent="0.2">
      <c r="A1077" t="s">
        <v>848</v>
      </c>
      <c r="B1077" t="s">
        <v>847</v>
      </c>
      <c r="C1077">
        <v>43.16</v>
      </c>
      <c r="D1077" t="s">
        <v>608</v>
      </c>
      <c r="E1077" t="s">
        <v>608</v>
      </c>
      <c r="F1077">
        <v>32.229999999999997</v>
      </c>
      <c r="G1077">
        <v>24.17</v>
      </c>
      <c r="H1077">
        <v>0</v>
      </c>
      <c r="I1077">
        <v>0</v>
      </c>
      <c r="J1077" t="s">
        <v>608</v>
      </c>
      <c r="K1077" t="s">
        <v>52</v>
      </c>
    </row>
    <row r="1078" spans="1:11" x14ac:dyDescent="0.2">
      <c r="A1078" t="s">
        <v>849</v>
      </c>
      <c r="B1078" t="s">
        <v>847</v>
      </c>
      <c r="C1078">
        <v>58.51</v>
      </c>
      <c r="D1078" t="s">
        <v>608</v>
      </c>
      <c r="E1078" t="s">
        <v>608</v>
      </c>
      <c r="F1078">
        <v>24.29</v>
      </c>
      <c r="G1078">
        <v>16.53</v>
      </c>
      <c r="H1078">
        <v>0</v>
      </c>
      <c r="I1078">
        <v>0</v>
      </c>
      <c r="J1078" t="s">
        <v>608</v>
      </c>
      <c r="K1078" t="s">
        <v>52</v>
      </c>
    </row>
    <row r="1079" spans="1:11" x14ac:dyDescent="0.2">
      <c r="A1079" t="s">
        <v>850</v>
      </c>
      <c r="B1079" t="s">
        <v>847</v>
      </c>
      <c r="C1079">
        <v>54.03</v>
      </c>
      <c r="D1079" t="s">
        <v>608</v>
      </c>
      <c r="E1079" t="s">
        <v>608</v>
      </c>
      <c r="F1079">
        <v>29.65</v>
      </c>
      <c r="G1079">
        <v>22.02</v>
      </c>
      <c r="H1079">
        <v>0</v>
      </c>
      <c r="I1079">
        <v>0</v>
      </c>
      <c r="J1079" t="s">
        <v>608</v>
      </c>
      <c r="K1079" t="s">
        <v>52</v>
      </c>
    </row>
    <row r="1080" spans="1:11" x14ac:dyDescent="0.2">
      <c r="A1080" t="s">
        <v>851</v>
      </c>
      <c r="B1080" t="s">
        <v>847</v>
      </c>
      <c r="C1080">
        <v>48.54</v>
      </c>
      <c r="D1080" t="s">
        <v>608</v>
      </c>
      <c r="E1080" t="s">
        <v>608</v>
      </c>
      <c r="F1080">
        <v>28.98</v>
      </c>
      <c r="G1080">
        <v>22.77</v>
      </c>
      <c r="H1080">
        <v>0</v>
      </c>
      <c r="I1080">
        <v>0</v>
      </c>
      <c r="J1080" t="s">
        <v>608</v>
      </c>
      <c r="K1080" t="s">
        <v>52</v>
      </c>
    </row>
    <row r="1081" spans="1:11" x14ac:dyDescent="0.2">
      <c r="A1081" t="s">
        <v>852</v>
      </c>
      <c r="B1081" t="s">
        <v>832</v>
      </c>
      <c r="C1081">
        <v>41.94</v>
      </c>
      <c r="D1081">
        <v>36.58</v>
      </c>
      <c r="E1081">
        <v>20.52</v>
      </c>
      <c r="F1081">
        <v>17.57</v>
      </c>
      <c r="G1081">
        <v>13.52</v>
      </c>
      <c r="H1081" t="s">
        <v>608</v>
      </c>
      <c r="I1081" t="s">
        <v>608</v>
      </c>
      <c r="J1081" t="s">
        <v>608</v>
      </c>
      <c r="K1081" t="s">
        <v>52</v>
      </c>
    </row>
    <row r="1082" spans="1:11" x14ac:dyDescent="0.2">
      <c r="A1082" t="s">
        <v>853</v>
      </c>
      <c r="B1082" t="s">
        <v>832</v>
      </c>
      <c r="C1082">
        <v>32.49</v>
      </c>
      <c r="D1082">
        <v>29.63</v>
      </c>
      <c r="E1082">
        <v>16.16</v>
      </c>
      <c r="F1082">
        <v>9.17</v>
      </c>
      <c r="G1082">
        <v>6.71</v>
      </c>
      <c r="H1082" t="s">
        <v>608</v>
      </c>
      <c r="I1082" t="s">
        <v>608</v>
      </c>
      <c r="J1082" t="s">
        <v>854</v>
      </c>
      <c r="K1082" t="s">
        <v>52</v>
      </c>
    </row>
    <row r="1083" spans="1:11" x14ac:dyDescent="0.2">
      <c r="A1083" t="s">
        <v>855</v>
      </c>
      <c r="B1083" t="s">
        <v>832</v>
      </c>
      <c r="C1083">
        <v>35.549999999999997</v>
      </c>
      <c r="D1083">
        <v>32.549999999999997</v>
      </c>
      <c r="E1083">
        <v>21.2</v>
      </c>
      <c r="F1083">
        <v>16.16</v>
      </c>
      <c r="G1083">
        <v>11.94</v>
      </c>
      <c r="H1083" t="s">
        <v>608</v>
      </c>
      <c r="I1083" t="s">
        <v>608</v>
      </c>
      <c r="J1083" t="s">
        <v>608</v>
      </c>
      <c r="K1083" t="s">
        <v>52</v>
      </c>
    </row>
    <row r="1084" spans="1:11" x14ac:dyDescent="0.2">
      <c r="A1084" t="s">
        <v>856</v>
      </c>
      <c r="B1084" t="s">
        <v>832</v>
      </c>
      <c r="C1084">
        <v>34.08</v>
      </c>
      <c r="D1084">
        <v>25.72</v>
      </c>
      <c r="E1084">
        <v>19.02</v>
      </c>
      <c r="F1084">
        <v>13</v>
      </c>
      <c r="G1084">
        <v>9.07</v>
      </c>
      <c r="H1084" t="s">
        <v>608</v>
      </c>
      <c r="I1084" t="s">
        <v>608</v>
      </c>
      <c r="J1084" t="s">
        <v>608</v>
      </c>
      <c r="K1084" t="s">
        <v>52</v>
      </c>
    </row>
    <row r="1085" spans="1:11" x14ac:dyDescent="0.2">
      <c r="A1085" t="s">
        <v>857</v>
      </c>
      <c r="B1085" t="s">
        <v>832</v>
      </c>
      <c r="C1085">
        <v>30.22</v>
      </c>
      <c r="D1085">
        <v>26.92</v>
      </c>
      <c r="E1085">
        <v>16.43</v>
      </c>
      <c r="F1085">
        <v>9.36</v>
      </c>
      <c r="G1085">
        <v>7.48</v>
      </c>
      <c r="H1085" t="s">
        <v>608</v>
      </c>
      <c r="I1085" t="s">
        <v>608</v>
      </c>
      <c r="J1085" t="s">
        <v>608</v>
      </c>
      <c r="K1085" t="s">
        <v>52</v>
      </c>
    </row>
    <row r="1086" spans="1:11" x14ac:dyDescent="0.2">
      <c r="A1086" t="s">
        <v>858</v>
      </c>
      <c r="B1086" t="s">
        <v>832</v>
      </c>
      <c r="C1086">
        <v>27.83</v>
      </c>
      <c r="D1086">
        <v>19.84</v>
      </c>
      <c r="E1086">
        <v>8.93</v>
      </c>
      <c r="F1086">
        <v>4.22</v>
      </c>
      <c r="G1086">
        <v>3.47</v>
      </c>
      <c r="H1086" t="s">
        <v>608</v>
      </c>
      <c r="I1086" t="s">
        <v>608</v>
      </c>
      <c r="J1086" t="s">
        <v>608</v>
      </c>
      <c r="K1086" t="s">
        <v>52</v>
      </c>
    </row>
    <row r="1087" spans="1:11" x14ac:dyDescent="0.2">
      <c r="A1087" t="s">
        <v>859</v>
      </c>
      <c r="B1087" t="s">
        <v>832</v>
      </c>
      <c r="C1087">
        <v>22.17</v>
      </c>
      <c r="D1087">
        <v>22.63</v>
      </c>
      <c r="E1087">
        <v>2.41</v>
      </c>
      <c r="F1087">
        <v>1.01</v>
      </c>
      <c r="G1087">
        <v>0.88</v>
      </c>
      <c r="H1087" t="s">
        <v>608</v>
      </c>
      <c r="I1087" t="s">
        <v>608</v>
      </c>
      <c r="J1087" t="s">
        <v>860</v>
      </c>
      <c r="K1087" t="s">
        <v>52</v>
      </c>
    </row>
    <row r="1088" spans="1:11" x14ac:dyDescent="0.2">
      <c r="A1088" t="s">
        <v>861</v>
      </c>
      <c r="B1088" t="s">
        <v>832</v>
      </c>
      <c r="C1088">
        <v>14.74</v>
      </c>
      <c r="D1088">
        <v>9.27</v>
      </c>
      <c r="E1088">
        <v>2.64</v>
      </c>
      <c r="F1088">
        <v>0.18</v>
      </c>
      <c r="G1088">
        <v>0.17</v>
      </c>
      <c r="H1088" t="s">
        <v>608</v>
      </c>
      <c r="I1088" t="s">
        <v>608</v>
      </c>
      <c r="J1088" t="s">
        <v>862</v>
      </c>
      <c r="K1088" t="s">
        <v>52</v>
      </c>
    </row>
    <row r="1089" spans="1:11" x14ac:dyDescent="0.2">
      <c r="A1089" t="s">
        <v>863</v>
      </c>
      <c r="B1089" t="s">
        <v>832</v>
      </c>
      <c r="C1089">
        <v>11.93</v>
      </c>
      <c r="D1089">
        <v>8.8800000000000008</v>
      </c>
      <c r="E1089">
        <v>3.78</v>
      </c>
      <c r="F1089">
        <v>0.23</v>
      </c>
      <c r="G1089">
        <v>0.16</v>
      </c>
      <c r="H1089" t="s">
        <v>608</v>
      </c>
      <c r="I1089" t="s">
        <v>608</v>
      </c>
      <c r="J1089" t="s">
        <v>862</v>
      </c>
      <c r="K1089" t="s">
        <v>52</v>
      </c>
    </row>
    <row r="1090" spans="1:11" x14ac:dyDescent="0.2">
      <c r="A1090" t="s">
        <v>864</v>
      </c>
      <c r="B1090" t="s">
        <v>832</v>
      </c>
      <c r="C1090">
        <v>11.63</v>
      </c>
      <c r="D1090">
        <v>10.29</v>
      </c>
      <c r="E1090">
        <v>3.32</v>
      </c>
      <c r="F1090">
        <v>0.25</v>
      </c>
      <c r="G1090">
        <v>0.09</v>
      </c>
      <c r="H1090" t="s">
        <v>608</v>
      </c>
      <c r="I1090" t="s">
        <v>608</v>
      </c>
      <c r="J1090" t="s">
        <v>862</v>
      </c>
      <c r="K1090" t="s">
        <v>52</v>
      </c>
    </row>
    <row r="1091" spans="1:11" x14ac:dyDescent="0.2">
      <c r="A1091" t="s">
        <v>865</v>
      </c>
      <c r="B1091" t="s">
        <v>832</v>
      </c>
      <c r="C1091">
        <v>11.91</v>
      </c>
      <c r="D1091" t="s">
        <v>608</v>
      </c>
      <c r="E1091">
        <v>2.58</v>
      </c>
      <c r="F1091">
        <v>0.11</v>
      </c>
      <c r="G1091">
        <v>0.06</v>
      </c>
      <c r="H1091" t="s">
        <v>608</v>
      </c>
      <c r="I1091" t="s">
        <v>608</v>
      </c>
      <c r="J1091" t="s">
        <v>862</v>
      </c>
      <c r="K1091" t="s">
        <v>52</v>
      </c>
    </row>
    <row r="1092" spans="1:11" x14ac:dyDescent="0.2">
      <c r="A1092" t="s">
        <v>866</v>
      </c>
      <c r="B1092" t="s">
        <v>832</v>
      </c>
      <c r="C1092">
        <v>11.02</v>
      </c>
      <c r="D1092">
        <v>4.8899999999999997</v>
      </c>
      <c r="E1092">
        <v>2.08</v>
      </c>
      <c r="F1092">
        <v>0.06</v>
      </c>
      <c r="G1092">
        <v>0.03</v>
      </c>
      <c r="H1092" t="s">
        <v>608</v>
      </c>
      <c r="I1092" t="s">
        <v>608</v>
      </c>
      <c r="J1092" t="s">
        <v>862</v>
      </c>
      <c r="K1092" t="s">
        <v>52</v>
      </c>
    </row>
    <row r="1093" spans="1:11" x14ac:dyDescent="0.2">
      <c r="A1093" t="s">
        <v>867</v>
      </c>
      <c r="B1093" t="s">
        <v>839</v>
      </c>
      <c r="C1093">
        <v>40.479999999999997</v>
      </c>
      <c r="D1093">
        <v>29.02</v>
      </c>
      <c r="E1093">
        <v>19.2</v>
      </c>
      <c r="F1093">
        <v>15.41</v>
      </c>
      <c r="G1093">
        <v>11.79</v>
      </c>
      <c r="H1093" t="s">
        <v>608</v>
      </c>
      <c r="I1093" t="s">
        <v>608</v>
      </c>
      <c r="J1093" t="s">
        <v>608</v>
      </c>
      <c r="K1093" t="s">
        <v>52</v>
      </c>
    </row>
    <row r="1094" spans="1:11" x14ac:dyDescent="0.2">
      <c r="A1094" t="s">
        <v>868</v>
      </c>
      <c r="B1094" t="s">
        <v>839</v>
      </c>
      <c r="C1094">
        <v>37.590000000000003</v>
      </c>
      <c r="D1094">
        <v>20.11</v>
      </c>
      <c r="E1094">
        <v>13.02</v>
      </c>
      <c r="F1094">
        <v>9.0500000000000007</v>
      </c>
      <c r="G1094">
        <v>5.48</v>
      </c>
      <c r="H1094" t="s">
        <v>608</v>
      </c>
      <c r="I1094" t="s">
        <v>608</v>
      </c>
      <c r="J1094" t="s">
        <v>608</v>
      </c>
      <c r="K1094" t="s">
        <v>52</v>
      </c>
    </row>
    <row r="1095" spans="1:11" x14ac:dyDescent="0.2">
      <c r="A1095" t="s">
        <v>869</v>
      </c>
      <c r="B1095" t="s">
        <v>839</v>
      </c>
      <c r="C1095">
        <v>28.57</v>
      </c>
      <c r="D1095">
        <v>16.14</v>
      </c>
      <c r="E1095">
        <v>15.29</v>
      </c>
      <c r="F1095">
        <v>4.55</v>
      </c>
      <c r="G1095">
        <v>4.17</v>
      </c>
      <c r="H1095" t="s">
        <v>608</v>
      </c>
      <c r="I1095" t="s">
        <v>608</v>
      </c>
      <c r="J1095" t="s">
        <v>608</v>
      </c>
      <c r="K1095" t="s">
        <v>52</v>
      </c>
    </row>
    <row r="1096" spans="1:11" x14ac:dyDescent="0.2">
      <c r="A1096" t="s">
        <v>870</v>
      </c>
      <c r="B1096" t="s">
        <v>839</v>
      </c>
      <c r="C1096">
        <v>31.67</v>
      </c>
      <c r="D1096">
        <v>20.76</v>
      </c>
      <c r="E1096">
        <v>8.44</v>
      </c>
      <c r="F1096">
        <v>5.08</v>
      </c>
      <c r="G1096">
        <v>4.3</v>
      </c>
      <c r="H1096" t="s">
        <v>608</v>
      </c>
      <c r="I1096" t="s">
        <v>608</v>
      </c>
      <c r="J1096" t="s">
        <v>860</v>
      </c>
      <c r="K1096" t="s">
        <v>52</v>
      </c>
    </row>
    <row r="1097" spans="1:11" x14ac:dyDescent="0.2">
      <c r="A1097" t="s">
        <v>871</v>
      </c>
      <c r="B1097" t="s">
        <v>839</v>
      </c>
      <c r="C1097">
        <v>23.89</v>
      </c>
      <c r="D1097">
        <v>17.95</v>
      </c>
      <c r="E1097">
        <v>5.12</v>
      </c>
      <c r="F1097">
        <v>1.86</v>
      </c>
      <c r="G1097">
        <v>1.6</v>
      </c>
      <c r="H1097" t="s">
        <v>608</v>
      </c>
      <c r="I1097" t="s">
        <v>608</v>
      </c>
      <c r="J1097" t="s">
        <v>872</v>
      </c>
      <c r="K1097" t="s">
        <v>52</v>
      </c>
    </row>
    <row r="1098" spans="1:11" x14ac:dyDescent="0.2">
      <c r="A1098" t="s">
        <v>873</v>
      </c>
      <c r="B1098" t="s">
        <v>839</v>
      </c>
      <c r="C1098">
        <v>24.25</v>
      </c>
      <c r="D1098">
        <v>16.04</v>
      </c>
      <c r="E1098">
        <v>9.36</v>
      </c>
      <c r="F1098">
        <v>2.65</v>
      </c>
      <c r="G1098">
        <v>2.0099999999999998</v>
      </c>
      <c r="H1098" t="s">
        <v>608</v>
      </c>
      <c r="I1098" t="s">
        <v>608</v>
      </c>
      <c r="J1098" t="s">
        <v>608</v>
      </c>
      <c r="K1098" t="s">
        <v>52</v>
      </c>
    </row>
    <row r="1099" spans="1:11" x14ac:dyDescent="0.2">
      <c r="A1099" t="s">
        <v>874</v>
      </c>
      <c r="B1099" t="s">
        <v>839</v>
      </c>
      <c r="C1099">
        <v>27.65</v>
      </c>
      <c r="D1099">
        <v>21.6</v>
      </c>
      <c r="E1099">
        <v>16.18</v>
      </c>
      <c r="F1099">
        <v>4.83</v>
      </c>
      <c r="G1099">
        <v>3.83</v>
      </c>
      <c r="H1099" t="s">
        <v>608</v>
      </c>
      <c r="I1099" t="s">
        <v>608</v>
      </c>
      <c r="J1099" t="s">
        <v>608</v>
      </c>
      <c r="K1099" t="s">
        <v>52</v>
      </c>
    </row>
    <row r="1100" spans="1:11" x14ac:dyDescent="0.2">
      <c r="A1100" t="s">
        <v>875</v>
      </c>
      <c r="B1100" t="s">
        <v>839</v>
      </c>
      <c r="C1100">
        <v>15.18</v>
      </c>
      <c r="D1100">
        <v>13.45</v>
      </c>
      <c r="E1100">
        <v>4.68</v>
      </c>
      <c r="F1100">
        <v>0.72</v>
      </c>
      <c r="G1100">
        <v>0.63</v>
      </c>
      <c r="H1100" t="s">
        <v>608</v>
      </c>
      <c r="I1100" t="s">
        <v>608</v>
      </c>
      <c r="J1100" t="s">
        <v>862</v>
      </c>
      <c r="K1100" t="s">
        <v>52</v>
      </c>
    </row>
    <row r="1101" spans="1:11" x14ac:dyDescent="0.2">
      <c r="A1101" t="s">
        <v>876</v>
      </c>
      <c r="B1101" t="s">
        <v>839</v>
      </c>
      <c r="C1101">
        <v>13.56</v>
      </c>
      <c r="D1101">
        <v>11.38</v>
      </c>
      <c r="E1101">
        <v>7.51</v>
      </c>
      <c r="F1101">
        <v>0.67</v>
      </c>
      <c r="G1101">
        <v>0.54</v>
      </c>
      <c r="H1101" t="s">
        <v>608</v>
      </c>
      <c r="I1101" t="s">
        <v>608</v>
      </c>
      <c r="J1101" t="s">
        <v>862</v>
      </c>
      <c r="K1101" t="s">
        <v>52</v>
      </c>
    </row>
    <row r="1102" spans="1:11" x14ac:dyDescent="0.2">
      <c r="A1102" t="s">
        <v>877</v>
      </c>
      <c r="B1102" t="s">
        <v>839</v>
      </c>
      <c r="C1102">
        <v>14.79</v>
      </c>
      <c r="D1102">
        <v>11.33</v>
      </c>
      <c r="E1102">
        <v>2.82</v>
      </c>
      <c r="F1102">
        <v>0.43</v>
      </c>
      <c r="G1102">
        <v>0.34</v>
      </c>
      <c r="H1102" t="s">
        <v>608</v>
      </c>
      <c r="I1102" t="s">
        <v>608</v>
      </c>
      <c r="J1102" t="s">
        <v>862</v>
      </c>
      <c r="K1102" t="s">
        <v>52</v>
      </c>
    </row>
    <row r="1103" spans="1:11" x14ac:dyDescent="0.2">
      <c r="A1103" t="s">
        <v>878</v>
      </c>
      <c r="B1103" t="s">
        <v>839</v>
      </c>
      <c r="C1103">
        <v>14.77</v>
      </c>
      <c r="D1103">
        <v>8.6</v>
      </c>
      <c r="E1103">
        <v>5.67</v>
      </c>
      <c r="F1103">
        <v>0.89</v>
      </c>
      <c r="G1103">
        <v>0.83</v>
      </c>
      <c r="H1103" t="s">
        <v>608</v>
      </c>
      <c r="I1103" t="s">
        <v>608</v>
      </c>
      <c r="J1103" t="s">
        <v>860</v>
      </c>
      <c r="K1103" t="s">
        <v>52</v>
      </c>
    </row>
    <row r="1104" spans="1:11" x14ac:dyDescent="0.2">
      <c r="A1104" t="s">
        <v>879</v>
      </c>
      <c r="B1104" t="s">
        <v>839</v>
      </c>
      <c r="C1104">
        <v>16.489999999999998</v>
      </c>
      <c r="D1104">
        <v>12.41</v>
      </c>
      <c r="E1104">
        <v>4.67</v>
      </c>
      <c r="F1104">
        <v>1.02</v>
      </c>
      <c r="G1104">
        <v>0.83</v>
      </c>
      <c r="H1104" t="s">
        <v>608</v>
      </c>
      <c r="I1104" t="s">
        <v>608</v>
      </c>
      <c r="J1104" t="s">
        <v>860</v>
      </c>
      <c r="K1104" t="s">
        <v>52</v>
      </c>
    </row>
    <row r="1105" spans="1:11" x14ac:dyDescent="0.2">
      <c r="A1105" t="s">
        <v>880</v>
      </c>
      <c r="B1105" t="s">
        <v>847</v>
      </c>
      <c r="C1105">
        <v>40.869999999999997</v>
      </c>
      <c r="D1105">
        <v>28.54</v>
      </c>
      <c r="E1105">
        <v>16.5</v>
      </c>
      <c r="F1105">
        <v>12.43</v>
      </c>
      <c r="G1105">
        <v>9.67</v>
      </c>
      <c r="H1105" t="s">
        <v>608</v>
      </c>
      <c r="I1105" t="s">
        <v>608</v>
      </c>
      <c r="J1105" t="s">
        <v>608</v>
      </c>
      <c r="K1105" t="s">
        <v>52</v>
      </c>
    </row>
    <row r="1106" spans="1:11" x14ac:dyDescent="0.2">
      <c r="A1106" t="s">
        <v>881</v>
      </c>
      <c r="B1106" t="s">
        <v>847</v>
      </c>
      <c r="C1106">
        <v>36.14</v>
      </c>
      <c r="D1106">
        <v>21.6</v>
      </c>
      <c r="E1106">
        <v>9.24</v>
      </c>
      <c r="F1106">
        <v>5.72</v>
      </c>
      <c r="G1106">
        <v>4.7</v>
      </c>
      <c r="H1106" t="s">
        <v>608</v>
      </c>
      <c r="I1106" t="s">
        <v>608</v>
      </c>
      <c r="J1106" t="s">
        <v>608</v>
      </c>
      <c r="K1106" t="s">
        <v>52</v>
      </c>
    </row>
    <row r="1107" spans="1:11" x14ac:dyDescent="0.2">
      <c r="A1107" t="s">
        <v>882</v>
      </c>
      <c r="B1107" t="s">
        <v>847</v>
      </c>
      <c r="C1107">
        <v>28.64</v>
      </c>
      <c r="D1107">
        <v>29.39</v>
      </c>
      <c r="E1107">
        <v>14.28</v>
      </c>
      <c r="F1107">
        <v>6.35</v>
      </c>
      <c r="G1107">
        <v>4.82</v>
      </c>
      <c r="H1107" t="s">
        <v>608</v>
      </c>
      <c r="I1107" t="s">
        <v>608</v>
      </c>
      <c r="J1107" t="s">
        <v>608</v>
      </c>
      <c r="K1107" t="s">
        <v>52</v>
      </c>
    </row>
    <row r="1108" spans="1:11" x14ac:dyDescent="0.2">
      <c r="A1108" t="s">
        <v>883</v>
      </c>
      <c r="B1108" t="s">
        <v>847</v>
      </c>
      <c r="C1108">
        <v>32.520000000000003</v>
      </c>
      <c r="D1108">
        <v>16.940000000000001</v>
      </c>
      <c r="E1108">
        <v>10.32</v>
      </c>
      <c r="F1108">
        <v>3.48</v>
      </c>
      <c r="G1108">
        <v>2.68</v>
      </c>
      <c r="H1108" t="s">
        <v>608</v>
      </c>
      <c r="I1108" t="s">
        <v>608</v>
      </c>
      <c r="J1108" t="s">
        <v>608</v>
      </c>
      <c r="K1108" t="s">
        <v>52</v>
      </c>
    </row>
    <row r="1109" spans="1:11" x14ac:dyDescent="0.2">
      <c r="A1109" t="s">
        <v>884</v>
      </c>
      <c r="B1109" t="s">
        <v>847</v>
      </c>
      <c r="C1109">
        <v>22.09</v>
      </c>
      <c r="D1109">
        <v>22.86</v>
      </c>
      <c r="E1109">
        <v>15.87</v>
      </c>
      <c r="F1109">
        <v>4.8600000000000003</v>
      </c>
      <c r="G1109">
        <v>3.57</v>
      </c>
      <c r="H1109" t="s">
        <v>608</v>
      </c>
      <c r="I1109" t="s">
        <v>608</v>
      </c>
      <c r="J1109" t="s">
        <v>608</v>
      </c>
      <c r="K1109" t="s">
        <v>52</v>
      </c>
    </row>
    <row r="1110" spans="1:11" x14ac:dyDescent="0.2">
      <c r="A1110" t="s">
        <v>885</v>
      </c>
      <c r="B1110" t="s">
        <v>847</v>
      </c>
      <c r="C1110">
        <v>26.69</v>
      </c>
      <c r="D1110">
        <v>16.29</v>
      </c>
      <c r="E1110">
        <v>9.41</v>
      </c>
      <c r="F1110">
        <v>3.03</v>
      </c>
      <c r="G1110">
        <v>2.6</v>
      </c>
      <c r="H1110" t="s">
        <v>608</v>
      </c>
      <c r="I1110" t="s">
        <v>608</v>
      </c>
      <c r="J1110" t="s">
        <v>608</v>
      </c>
      <c r="K1110" t="s">
        <v>52</v>
      </c>
    </row>
    <row r="1111" spans="1:11" x14ac:dyDescent="0.2">
      <c r="A1111" t="s">
        <v>886</v>
      </c>
      <c r="B1111" t="s">
        <v>847</v>
      </c>
      <c r="C1111">
        <v>21.51</v>
      </c>
      <c r="D1111">
        <v>17.09</v>
      </c>
      <c r="E1111">
        <v>12.87</v>
      </c>
      <c r="F1111">
        <v>4.1500000000000004</v>
      </c>
      <c r="G1111">
        <v>3.02</v>
      </c>
      <c r="H1111" t="s">
        <v>608</v>
      </c>
      <c r="I1111" t="s">
        <v>608</v>
      </c>
      <c r="J1111" t="s">
        <v>608</v>
      </c>
      <c r="K1111" t="s">
        <v>52</v>
      </c>
    </row>
    <row r="1112" spans="1:11" x14ac:dyDescent="0.2">
      <c r="A1112" t="s">
        <v>887</v>
      </c>
      <c r="B1112" t="s">
        <v>847</v>
      </c>
      <c r="C1112">
        <v>18.12</v>
      </c>
      <c r="D1112">
        <v>15.12</v>
      </c>
      <c r="E1112">
        <v>3.82</v>
      </c>
      <c r="F1112">
        <v>1.0900000000000001</v>
      </c>
      <c r="G1112">
        <v>0.98</v>
      </c>
      <c r="H1112" t="s">
        <v>608</v>
      </c>
      <c r="I1112" t="s">
        <v>608</v>
      </c>
      <c r="J1112" t="s">
        <v>860</v>
      </c>
      <c r="K1112" t="s">
        <v>52</v>
      </c>
    </row>
    <row r="1113" spans="1:11" x14ac:dyDescent="0.2">
      <c r="A1113" t="s">
        <v>888</v>
      </c>
      <c r="B1113" t="s">
        <v>847</v>
      </c>
      <c r="C1113">
        <v>13.34</v>
      </c>
      <c r="D1113">
        <v>11.19</v>
      </c>
      <c r="E1113">
        <v>2</v>
      </c>
      <c r="F1113">
        <v>0.17</v>
      </c>
      <c r="G1113">
        <v>0.15</v>
      </c>
      <c r="H1113" t="s">
        <v>608</v>
      </c>
      <c r="I1113" t="s">
        <v>608</v>
      </c>
      <c r="J1113" t="s">
        <v>635</v>
      </c>
      <c r="K1113" t="s">
        <v>52</v>
      </c>
    </row>
    <row r="1114" spans="1:11" x14ac:dyDescent="0.2">
      <c r="A1114" t="s">
        <v>889</v>
      </c>
      <c r="B1114" t="s">
        <v>847</v>
      </c>
      <c r="C1114">
        <v>9.23</v>
      </c>
      <c r="D1114">
        <v>6.18</v>
      </c>
      <c r="E1114">
        <v>1.59</v>
      </c>
      <c r="F1114">
        <v>0.08</v>
      </c>
      <c r="G1114">
        <v>0.05</v>
      </c>
      <c r="H1114" t="s">
        <v>608</v>
      </c>
      <c r="I1114" t="s">
        <v>608</v>
      </c>
      <c r="J1114" t="s">
        <v>635</v>
      </c>
      <c r="K1114" t="s">
        <v>52</v>
      </c>
    </row>
    <row r="1115" spans="1:11" x14ac:dyDescent="0.2">
      <c r="A1115" t="s">
        <v>2326</v>
      </c>
      <c r="B1115" t="s">
        <v>1061</v>
      </c>
      <c r="C1115">
        <v>43.13</v>
      </c>
      <c r="D1115" t="s">
        <v>608</v>
      </c>
      <c r="E1115" t="s">
        <v>608</v>
      </c>
      <c r="F1115">
        <v>20.67</v>
      </c>
      <c r="G1115">
        <v>15.18</v>
      </c>
      <c r="H1115">
        <v>0</v>
      </c>
      <c r="I1115">
        <v>0</v>
      </c>
      <c r="J1115" t="s">
        <v>3082</v>
      </c>
      <c r="K1115" t="s">
        <v>604</v>
      </c>
    </row>
    <row r="1116" spans="1:11" x14ac:dyDescent="0.2">
      <c r="A1116" t="s">
        <v>2327</v>
      </c>
      <c r="B1116" t="s">
        <v>1061</v>
      </c>
      <c r="C1116">
        <v>56.97</v>
      </c>
      <c r="D1116" t="s">
        <v>608</v>
      </c>
      <c r="E1116" t="s">
        <v>608</v>
      </c>
      <c r="F1116">
        <v>38.44</v>
      </c>
      <c r="G1116">
        <v>28</v>
      </c>
      <c r="H1116">
        <v>1</v>
      </c>
      <c r="I1116">
        <v>0.5</v>
      </c>
      <c r="J1116" t="s">
        <v>3082</v>
      </c>
      <c r="K1116" t="s">
        <v>604</v>
      </c>
    </row>
    <row r="1117" spans="1:11" x14ac:dyDescent="0.2">
      <c r="A1117" t="s">
        <v>2328</v>
      </c>
      <c r="B1117" t="s">
        <v>1061</v>
      </c>
      <c r="C1117">
        <v>60.02</v>
      </c>
      <c r="D1117" t="s">
        <v>608</v>
      </c>
      <c r="E1117" t="s">
        <v>608</v>
      </c>
      <c r="F1117">
        <v>27.59</v>
      </c>
      <c r="G1117">
        <v>19.239999999999998</v>
      </c>
      <c r="H1117">
        <v>0</v>
      </c>
      <c r="I1117">
        <v>0</v>
      </c>
      <c r="J1117" t="s">
        <v>3082</v>
      </c>
      <c r="K1117" t="s">
        <v>604</v>
      </c>
    </row>
    <row r="1118" spans="1:11" x14ac:dyDescent="0.2">
      <c r="A1118" t="s">
        <v>2329</v>
      </c>
      <c r="B1118" t="s">
        <v>1061</v>
      </c>
      <c r="C1118">
        <v>46.2</v>
      </c>
      <c r="D1118" t="s">
        <v>608</v>
      </c>
      <c r="E1118" t="s">
        <v>608</v>
      </c>
      <c r="F1118">
        <v>25.84</v>
      </c>
      <c r="G1118">
        <v>16.82</v>
      </c>
      <c r="H1118">
        <v>0</v>
      </c>
      <c r="I1118">
        <v>0.5</v>
      </c>
      <c r="J1118" t="s">
        <v>3082</v>
      </c>
      <c r="K1118" t="s">
        <v>604</v>
      </c>
    </row>
    <row r="1119" spans="1:11" x14ac:dyDescent="0.2">
      <c r="A1119" t="s">
        <v>2330</v>
      </c>
      <c r="B1119" t="s">
        <v>1061</v>
      </c>
      <c r="C1119">
        <v>49.59</v>
      </c>
      <c r="D1119" t="s">
        <v>608</v>
      </c>
      <c r="E1119" t="s">
        <v>608</v>
      </c>
      <c r="F1119">
        <v>22.39</v>
      </c>
      <c r="G1119">
        <v>16.3</v>
      </c>
      <c r="H1119">
        <v>2</v>
      </c>
      <c r="I1119">
        <v>2</v>
      </c>
      <c r="J1119" t="s">
        <v>3082</v>
      </c>
      <c r="K1119" t="s">
        <v>604</v>
      </c>
    </row>
    <row r="1120" spans="1:11" x14ac:dyDescent="0.2">
      <c r="A1120" t="s">
        <v>2331</v>
      </c>
      <c r="B1120" t="s">
        <v>1063</v>
      </c>
      <c r="C1120">
        <v>58.79</v>
      </c>
      <c r="D1120" t="s">
        <v>608</v>
      </c>
      <c r="E1120" t="s">
        <v>608</v>
      </c>
      <c r="F1120">
        <v>28.87</v>
      </c>
      <c r="G1120">
        <v>20.87</v>
      </c>
      <c r="H1120">
        <v>0.5</v>
      </c>
      <c r="I1120">
        <v>0.5</v>
      </c>
      <c r="J1120" t="s">
        <v>3082</v>
      </c>
      <c r="K1120" t="s">
        <v>604</v>
      </c>
    </row>
    <row r="1121" spans="1:11" x14ac:dyDescent="0.2">
      <c r="A1121" t="s">
        <v>2332</v>
      </c>
      <c r="B1121" t="s">
        <v>1063</v>
      </c>
      <c r="C1121">
        <v>69.47</v>
      </c>
      <c r="D1121" t="s">
        <v>608</v>
      </c>
      <c r="E1121" t="s">
        <v>608</v>
      </c>
      <c r="F1121">
        <v>88.91</v>
      </c>
      <c r="G1121">
        <v>66.680000000000007</v>
      </c>
      <c r="H1121">
        <v>2</v>
      </c>
      <c r="I1121">
        <v>2</v>
      </c>
      <c r="J1121" t="s">
        <v>3082</v>
      </c>
      <c r="K1121" t="s">
        <v>604</v>
      </c>
    </row>
    <row r="1122" spans="1:11" x14ac:dyDescent="0.2">
      <c r="A1122" t="s">
        <v>2333</v>
      </c>
      <c r="B1122" t="s">
        <v>1063</v>
      </c>
      <c r="C1122">
        <v>50.7</v>
      </c>
      <c r="D1122" t="s">
        <v>608</v>
      </c>
      <c r="E1122" t="s">
        <v>608</v>
      </c>
      <c r="F1122">
        <v>43.07</v>
      </c>
      <c r="G1122">
        <v>31.6</v>
      </c>
      <c r="H1122">
        <v>2</v>
      </c>
      <c r="I1122">
        <v>2</v>
      </c>
      <c r="J1122" t="s">
        <v>3082</v>
      </c>
      <c r="K1122" t="s">
        <v>604</v>
      </c>
    </row>
    <row r="1123" spans="1:11" x14ac:dyDescent="0.2">
      <c r="A1123" t="s">
        <v>2334</v>
      </c>
      <c r="B1123" t="s">
        <v>1063</v>
      </c>
      <c r="C1123">
        <v>53.52</v>
      </c>
      <c r="D1123" t="s">
        <v>608</v>
      </c>
      <c r="E1123" t="s">
        <v>608</v>
      </c>
      <c r="F1123">
        <v>34.56</v>
      </c>
      <c r="G1123">
        <v>24.97</v>
      </c>
      <c r="H1123">
        <v>1</v>
      </c>
      <c r="I1123">
        <v>1</v>
      </c>
      <c r="J1123" t="s">
        <v>3082</v>
      </c>
      <c r="K1123" t="s">
        <v>604</v>
      </c>
    </row>
    <row r="1124" spans="1:11" x14ac:dyDescent="0.2">
      <c r="A1124" t="s">
        <v>2335</v>
      </c>
      <c r="B1124" t="s">
        <v>1063</v>
      </c>
      <c r="C1124">
        <v>60.16</v>
      </c>
      <c r="D1124" t="s">
        <v>608</v>
      </c>
      <c r="E1124" t="s">
        <v>608</v>
      </c>
      <c r="F1124">
        <v>34.46</v>
      </c>
      <c r="G1124">
        <v>24.32</v>
      </c>
      <c r="H1124">
        <v>1</v>
      </c>
      <c r="I1124">
        <v>2</v>
      </c>
      <c r="J1124" t="s">
        <v>3082</v>
      </c>
      <c r="K1124" t="s">
        <v>604</v>
      </c>
    </row>
    <row r="1125" spans="1:11" x14ac:dyDescent="0.2">
      <c r="A1125" t="s">
        <v>2336</v>
      </c>
      <c r="B1125" t="s">
        <v>1065</v>
      </c>
      <c r="C1125">
        <v>54.71</v>
      </c>
      <c r="D1125" t="s">
        <v>608</v>
      </c>
      <c r="E1125" t="s">
        <v>608</v>
      </c>
      <c r="F1125">
        <v>21.43</v>
      </c>
      <c r="G1125">
        <v>15.09</v>
      </c>
      <c r="H1125">
        <v>1</v>
      </c>
      <c r="I1125">
        <v>1</v>
      </c>
      <c r="J1125" t="s">
        <v>3082</v>
      </c>
      <c r="K1125" t="s">
        <v>604</v>
      </c>
    </row>
    <row r="1126" spans="1:11" x14ac:dyDescent="0.2">
      <c r="A1126" t="s">
        <v>2337</v>
      </c>
      <c r="B1126" t="s">
        <v>1065</v>
      </c>
      <c r="C1126">
        <v>66.62</v>
      </c>
      <c r="D1126" t="s">
        <v>608</v>
      </c>
      <c r="E1126" t="s">
        <v>608</v>
      </c>
      <c r="F1126">
        <v>66.2</v>
      </c>
      <c r="G1126">
        <v>51.12</v>
      </c>
      <c r="H1126">
        <v>1</v>
      </c>
      <c r="I1126">
        <v>1</v>
      </c>
      <c r="J1126" t="s">
        <v>3082</v>
      </c>
      <c r="K1126" t="s">
        <v>604</v>
      </c>
    </row>
    <row r="1127" spans="1:11" x14ac:dyDescent="0.2">
      <c r="A1127" t="s">
        <v>2338</v>
      </c>
      <c r="B1127" t="s">
        <v>1065</v>
      </c>
      <c r="C1127">
        <v>49.83</v>
      </c>
      <c r="D1127" t="s">
        <v>608</v>
      </c>
      <c r="E1127" t="s">
        <v>608</v>
      </c>
      <c r="F1127">
        <v>20.55</v>
      </c>
      <c r="G1127">
        <v>14.68</v>
      </c>
      <c r="H1127">
        <v>0.5</v>
      </c>
      <c r="I1127">
        <v>0</v>
      </c>
      <c r="J1127" t="s">
        <v>3082</v>
      </c>
      <c r="K1127" t="s">
        <v>604</v>
      </c>
    </row>
    <row r="1128" spans="1:11" x14ac:dyDescent="0.2">
      <c r="A1128" t="s">
        <v>2339</v>
      </c>
      <c r="B1128" t="s">
        <v>1065</v>
      </c>
      <c r="C1128">
        <v>58.29</v>
      </c>
      <c r="D1128" t="s">
        <v>608</v>
      </c>
      <c r="E1128" t="s">
        <v>608</v>
      </c>
      <c r="F1128">
        <v>39.369999999999997</v>
      </c>
      <c r="G1128">
        <v>28.55</v>
      </c>
      <c r="H1128">
        <v>0</v>
      </c>
      <c r="I1128">
        <v>0</v>
      </c>
      <c r="J1128" t="s">
        <v>3082</v>
      </c>
      <c r="K1128" t="s">
        <v>604</v>
      </c>
    </row>
    <row r="1129" spans="1:11" x14ac:dyDescent="0.2">
      <c r="A1129" t="s">
        <v>2340</v>
      </c>
      <c r="B1129" t="s">
        <v>1065</v>
      </c>
      <c r="C1129">
        <v>45.26</v>
      </c>
      <c r="D1129" t="s">
        <v>608</v>
      </c>
      <c r="E1129" t="s">
        <v>608</v>
      </c>
      <c r="F1129">
        <v>22.73</v>
      </c>
      <c r="G1129">
        <v>17.5</v>
      </c>
      <c r="H1129">
        <v>0</v>
      </c>
      <c r="I1129">
        <v>0.5</v>
      </c>
      <c r="J1129" t="s">
        <v>3082</v>
      </c>
      <c r="K1129" t="s">
        <v>604</v>
      </c>
    </row>
    <row r="1130" spans="1:11" x14ac:dyDescent="0.2">
      <c r="A1130" t="s">
        <v>2341</v>
      </c>
      <c r="B1130" t="s">
        <v>1073</v>
      </c>
      <c r="C1130">
        <v>76.83</v>
      </c>
      <c r="D1130" t="s">
        <v>608</v>
      </c>
      <c r="E1130" t="s">
        <v>608</v>
      </c>
      <c r="F1130">
        <v>68.069999999999993</v>
      </c>
      <c r="G1130">
        <v>47.6</v>
      </c>
      <c r="H1130">
        <v>0</v>
      </c>
      <c r="I1130">
        <v>0</v>
      </c>
      <c r="J1130" t="s">
        <v>3082</v>
      </c>
      <c r="K1130" t="s">
        <v>604</v>
      </c>
    </row>
    <row r="1131" spans="1:11" x14ac:dyDescent="0.2">
      <c r="A1131" t="s">
        <v>2342</v>
      </c>
      <c r="B1131" t="s">
        <v>1073</v>
      </c>
      <c r="C1131">
        <v>64.180000000000007</v>
      </c>
      <c r="D1131" t="s">
        <v>608</v>
      </c>
      <c r="E1131" t="s">
        <v>608</v>
      </c>
      <c r="F1131">
        <v>67</v>
      </c>
      <c r="G1131">
        <v>48.64</v>
      </c>
      <c r="H1131">
        <v>1</v>
      </c>
      <c r="I1131">
        <v>1</v>
      </c>
      <c r="J1131" t="s">
        <v>3082</v>
      </c>
      <c r="K1131" t="s">
        <v>604</v>
      </c>
    </row>
    <row r="1132" spans="1:11" x14ac:dyDescent="0.2">
      <c r="A1132" t="s">
        <v>2343</v>
      </c>
      <c r="B1132" t="s">
        <v>1073</v>
      </c>
      <c r="C1132">
        <v>59.13</v>
      </c>
      <c r="D1132" t="s">
        <v>608</v>
      </c>
      <c r="E1132" t="s">
        <v>608</v>
      </c>
      <c r="F1132">
        <v>44.54</v>
      </c>
      <c r="G1132">
        <v>32.46</v>
      </c>
      <c r="H1132">
        <v>1</v>
      </c>
      <c r="I1132">
        <v>1</v>
      </c>
      <c r="J1132" t="s">
        <v>3082</v>
      </c>
      <c r="K1132" t="s">
        <v>604</v>
      </c>
    </row>
    <row r="1133" spans="1:11" x14ac:dyDescent="0.2">
      <c r="A1133" t="s">
        <v>2344</v>
      </c>
      <c r="B1133" t="s">
        <v>1073</v>
      </c>
      <c r="C1133">
        <v>54.33</v>
      </c>
      <c r="D1133" t="s">
        <v>608</v>
      </c>
      <c r="E1133" t="s">
        <v>608</v>
      </c>
      <c r="F1133">
        <v>31.32</v>
      </c>
      <c r="G1133">
        <v>25.73</v>
      </c>
      <c r="H1133">
        <v>3</v>
      </c>
      <c r="I1133">
        <v>4</v>
      </c>
      <c r="J1133" t="s">
        <v>3082</v>
      </c>
      <c r="K1133" t="s">
        <v>604</v>
      </c>
    </row>
    <row r="1134" spans="1:11" x14ac:dyDescent="0.2">
      <c r="A1134" t="s">
        <v>2345</v>
      </c>
      <c r="B1134" t="s">
        <v>1073</v>
      </c>
      <c r="C1134">
        <v>69.23</v>
      </c>
      <c r="D1134" t="s">
        <v>608</v>
      </c>
      <c r="E1134" t="s">
        <v>608</v>
      </c>
      <c r="F1134">
        <v>68.61</v>
      </c>
      <c r="G1134">
        <v>52.58</v>
      </c>
      <c r="H1134">
        <v>0.5</v>
      </c>
      <c r="I1134">
        <v>1</v>
      </c>
      <c r="J1134" t="s">
        <v>3082</v>
      </c>
      <c r="K1134" t="s">
        <v>604</v>
      </c>
    </row>
    <row r="1135" spans="1:11" x14ac:dyDescent="0.2">
      <c r="A1135" t="s">
        <v>2346</v>
      </c>
      <c r="B1135" t="s">
        <v>1075</v>
      </c>
      <c r="C1135">
        <v>69.47</v>
      </c>
      <c r="D1135" t="s">
        <v>608</v>
      </c>
      <c r="E1135" t="s">
        <v>608</v>
      </c>
      <c r="F1135">
        <v>76.569999999999993</v>
      </c>
      <c r="G1135">
        <v>53.8</v>
      </c>
      <c r="H1135">
        <v>0</v>
      </c>
      <c r="I1135">
        <v>0</v>
      </c>
      <c r="J1135" t="s">
        <v>3082</v>
      </c>
      <c r="K1135" t="s">
        <v>604</v>
      </c>
    </row>
    <row r="1136" spans="1:11" x14ac:dyDescent="0.2">
      <c r="A1136" t="s">
        <v>2347</v>
      </c>
      <c r="B1136" t="s">
        <v>1075</v>
      </c>
      <c r="C1136">
        <v>63.5</v>
      </c>
      <c r="D1136" t="s">
        <v>608</v>
      </c>
      <c r="E1136" t="s">
        <v>608</v>
      </c>
      <c r="F1136">
        <v>55.63</v>
      </c>
      <c r="G1136">
        <v>43.82</v>
      </c>
      <c r="H1136">
        <v>0.5</v>
      </c>
      <c r="I1136">
        <v>0</v>
      </c>
      <c r="J1136" t="s">
        <v>3082</v>
      </c>
      <c r="K1136" t="s">
        <v>604</v>
      </c>
    </row>
    <row r="1137" spans="1:11" x14ac:dyDescent="0.2">
      <c r="A1137" t="s">
        <v>2348</v>
      </c>
      <c r="B1137" t="s">
        <v>1075</v>
      </c>
      <c r="C1137">
        <v>60.91</v>
      </c>
      <c r="D1137" t="s">
        <v>608</v>
      </c>
      <c r="E1137" t="s">
        <v>608</v>
      </c>
      <c r="F1137">
        <v>63.56</v>
      </c>
      <c r="G1137">
        <v>46.38</v>
      </c>
      <c r="H1137">
        <v>0</v>
      </c>
      <c r="I1137">
        <v>0</v>
      </c>
      <c r="J1137" t="s">
        <v>3082</v>
      </c>
      <c r="K1137" t="s">
        <v>604</v>
      </c>
    </row>
    <row r="1138" spans="1:11" x14ac:dyDescent="0.2">
      <c r="A1138" t="s">
        <v>2349</v>
      </c>
      <c r="B1138" t="s">
        <v>1075</v>
      </c>
      <c r="C1138">
        <v>76.72</v>
      </c>
      <c r="D1138" t="s">
        <v>608</v>
      </c>
      <c r="E1138" t="s">
        <v>608</v>
      </c>
      <c r="F1138">
        <v>63.69</v>
      </c>
      <c r="G1138">
        <v>50.23</v>
      </c>
      <c r="H1138">
        <v>1</v>
      </c>
      <c r="I1138">
        <v>1</v>
      </c>
      <c r="J1138" t="s">
        <v>3082</v>
      </c>
      <c r="K1138" t="s">
        <v>604</v>
      </c>
    </row>
    <row r="1139" spans="1:11" x14ac:dyDescent="0.2">
      <c r="A1139" t="s">
        <v>2350</v>
      </c>
      <c r="B1139" t="s">
        <v>1075</v>
      </c>
      <c r="C1139">
        <v>81.99</v>
      </c>
      <c r="D1139" t="s">
        <v>608</v>
      </c>
      <c r="E1139" t="s">
        <v>608</v>
      </c>
      <c r="F1139">
        <v>122.24</v>
      </c>
      <c r="G1139">
        <v>90.52</v>
      </c>
      <c r="H1139">
        <v>0.5</v>
      </c>
      <c r="I1139">
        <v>0</v>
      </c>
      <c r="J1139" t="s">
        <v>3082</v>
      </c>
      <c r="K1139" t="s">
        <v>604</v>
      </c>
    </row>
    <row r="1140" spans="1:11" x14ac:dyDescent="0.2">
      <c r="A1140" t="s">
        <v>2351</v>
      </c>
      <c r="B1140" t="s">
        <v>1077</v>
      </c>
      <c r="C1140">
        <v>52.82</v>
      </c>
      <c r="D1140" t="s">
        <v>608</v>
      </c>
      <c r="E1140" t="s">
        <v>608</v>
      </c>
      <c r="F1140">
        <v>27.03</v>
      </c>
      <c r="G1140">
        <v>19.47</v>
      </c>
      <c r="H1140">
        <v>1</v>
      </c>
      <c r="I1140">
        <v>2</v>
      </c>
      <c r="J1140" t="s">
        <v>3082</v>
      </c>
      <c r="K1140" t="s">
        <v>604</v>
      </c>
    </row>
    <row r="1141" spans="1:11" x14ac:dyDescent="0.2">
      <c r="A1141" t="s">
        <v>2352</v>
      </c>
      <c r="B1141" t="s">
        <v>1077</v>
      </c>
      <c r="C1141">
        <v>50.4</v>
      </c>
      <c r="D1141" t="s">
        <v>608</v>
      </c>
      <c r="E1141" t="s">
        <v>608</v>
      </c>
      <c r="F1141">
        <v>26.56</v>
      </c>
      <c r="G1141">
        <v>20.27</v>
      </c>
      <c r="H1141">
        <v>0</v>
      </c>
      <c r="I1141">
        <v>0</v>
      </c>
      <c r="J1141" t="s">
        <v>3082</v>
      </c>
      <c r="K1141" t="s">
        <v>604</v>
      </c>
    </row>
    <row r="1142" spans="1:11" x14ac:dyDescent="0.2">
      <c r="A1142" t="s">
        <v>2353</v>
      </c>
      <c r="B1142" t="s">
        <v>1077</v>
      </c>
      <c r="C1142">
        <v>50.5</v>
      </c>
      <c r="D1142" t="s">
        <v>608</v>
      </c>
      <c r="E1142" t="s">
        <v>608</v>
      </c>
      <c r="F1142">
        <v>25.04</v>
      </c>
      <c r="G1142">
        <v>18.920000000000002</v>
      </c>
      <c r="H1142">
        <v>0</v>
      </c>
      <c r="I1142">
        <v>0</v>
      </c>
      <c r="J1142" t="s">
        <v>3082</v>
      </c>
      <c r="K1142" t="s">
        <v>604</v>
      </c>
    </row>
    <row r="1143" spans="1:11" x14ac:dyDescent="0.2">
      <c r="A1143" t="s">
        <v>2354</v>
      </c>
      <c r="B1143" t="s">
        <v>1077</v>
      </c>
      <c r="C1143">
        <v>71.58</v>
      </c>
      <c r="D1143" t="s">
        <v>608</v>
      </c>
      <c r="E1143" t="s">
        <v>608</v>
      </c>
      <c r="F1143">
        <v>90.35</v>
      </c>
      <c r="G1143">
        <v>73.290000000000006</v>
      </c>
      <c r="H1143">
        <v>2</v>
      </c>
      <c r="I1143">
        <v>2</v>
      </c>
      <c r="J1143" t="s">
        <v>3082</v>
      </c>
      <c r="K1143" t="s">
        <v>604</v>
      </c>
    </row>
    <row r="1144" spans="1:11" x14ac:dyDescent="0.2">
      <c r="A1144" t="s">
        <v>2355</v>
      </c>
      <c r="B1144" t="s">
        <v>1077</v>
      </c>
      <c r="C1144">
        <v>37.869999999999997</v>
      </c>
      <c r="D1144" t="s">
        <v>608</v>
      </c>
      <c r="E1144" t="s">
        <v>608</v>
      </c>
      <c r="F1144">
        <v>12.11</v>
      </c>
      <c r="G1144">
        <v>9.24</v>
      </c>
      <c r="H1144">
        <v>0.5</v>
      </c>
      <c r="I1144">
        <v>0</v>
      </c>
      <c r="J1144" t="s">
        <v>3082</v>
      </c>
      <c r="K1144" t="s">
        <v>604</v>
      </c>
    </row>
    <row r="1145" spans="1:11" x14ac:dyDescent="0.2">
      <c r="A1145" t="s">
        <v>2356</v>
      </c>
      <c r="B1145" t="s">
        <v>1079</v>
      </c>
      <c r="C1145">
        <v>67.13</v>
      </c>
      <c r="D1145" t="s">
        <v>608</v>
      </c>
      <c r="E1145" t="s">
        <v>608</v>
      </c>
      <c r="F1145">
        <v>91.8</v>
      </c>
      <c r="G1145">
        <v>71.78</v>
      </c>
      <c r="H1145">
        <v>0</v>
      </c>
      <c r="I1145">
        <v>0</v>
      </c>
      <c r="J1145" t="s">
        <v>3082</v>
      </c>
      <c r="K1145" t="s">
        <v>604</v>
      </c>
    </row>
    <row r="1146" spans="1:11" x14ac:dyDescent="0.2">
      <c r="A1146" t="s">
        <v>2357</v>
      </c>
      <c r="B1146" t="s">
        <v>1079</v>
      </c>
      <c r="C1146">
        <v>48.42</v>
      </c>
      <c r="D1146" t="s">
        <v>608</v>
      </c>
      <c r="E1146" t="s">
        <v>608</v>
      </c>
      <c r="F1146">
        <v>34.520000000000003</v>
      </c>
      <c r="G1146">
        <v>24.58</v>
      </c>
      <c r="H1146">
        <v>0</v>
      </c>
      <c r="I1146">
        <v>0</v>
      </c>
      <c r="J1146" t="s">
        <v>3082</v>
      </c>
      <c r="K1146" t="s">
        <v>604</v>
      </c>
    </row>
    <row r="1147" spans="1:11" x14ac:dyDescent="0.2">
      <c r="A1147" t="s">
        <v>2358</v>
      </c>
      <c r="B1147" t="s">
        <v>1079</v>
      </c>
      <c r="C1147">
        <v>59.74</v>
      </c>
      <c r="D1147" t="s">
        <v>608</v>
      </c>
      <c r="E1147" t="s">
        <v>608</v>
      </c>
      <c r="F1147">
        <v>40.6</v>
      </c>
      <c r="G1147">
        <v>30.23</v>
      </c>
      <c r="H1147">
        <v>1</v>
      </c>
      <c r="I1147">
        <v>1</v>
      </c>
      <c r="J1147" t="s">
        <v>3082</v>
      </c>
      <c r="K1147" t="s">
        <v>604</v>
      </c>
    </row>
    <row r="1148" spans="1:11" x14ac:dyDescent="0.2">
      <c r="A1148" t="s">
        <v>2359</v>
      </c>
      <c r="B1148" t="s">
        <v>1079</v>
      </c>
      <c r="C1148">
        <v>42.56</v>
      </c>
      <c r="D1148" t="s">
        <v>608</v>
      </c>
      <c r="E1148" t="s">
        <v>608</v>
      </c>
      <c r="F1148">
        <v>24.95</v>
      </c>
      <c r="G1148">
        <v>17.079999999999998</v>
      </c>
      <c r="H1148">
        <v>0</v>
      </c>
      <c r="I1148">
        <v>0</v>
      </c>
      <c r="J1148" t="s">
        <v>3082</v>
      </c>
      <c r="K1148" t="s">
        <v>604</v>
      </c>
    </row>
    <row r="1149" spans="1:11" x14ac:dyDescent="0.2">
      <c r="A1149" t="s">
        <v>2360</v>
      </c>
      <c r="B1149" t="s">
        <v>1079</v>
      </c>
      <c r="C1149">
        <v>55.74</v>
      </c>
      <c r="D1149" t="s">
        <v>608</v>
      </c>
      <c r="E1149" t="s">
        <v>608</v>
      </c>
      <c r="F1149">
        <v>29.29</v>
      </c>
      <c r="G1149">
        <v>18.79</v>
      </c>
      <c r="H1149">
        <v>1</v>
      </c>
      <c r="I1149">
        <v>1</v>
      </c>
      <c r="J1149" t="s">
        <v>3082</v>
      </c>
      <c r="K1149" t="s">
        <v>604</v>
      </c>
    </row>
    <row r="1150" spans="1:11" x14ac:dyDescent="0.2">
      <c r="A1150" t="s">
        <v>2361</v>
      </c>
      <c r="B1150" t="s">
        <v>1081</v>
      </c>
      <c r="C1150">
        <v>48.7</v>
      </c>
      <c r="D1150" t="s">
        <v>608</v>
      </c>
      <c r="E1150" t="s">
        <v>608</v>
      </c>
      <c r="F1150">
        <v>32.93</v>
      </c>
      <c r="G1150">
        <v>24.68</v>
      </c>
      <c r="H1150">
        <v>0.5</v>
      </c>
      <c r="I1150">
        <v>0.5</v>
      </c>
      <c r="J1150" t="s">
        <v>3082</v>
      </c>
      <c r="K1150" t="s">
        <v>604</v>
      </c>
    </row>
    <row r="1151" spans="1:11" x14ac:dyDescent="0.2">
      <c r="A1151" t="s">
        <v>2362</v>
      </c>
      <c r="B1151" t="s">
        <v>1081</v>
      </c>
      <c r="C1151">
        <v>57.66</v>
      </c>
      <c r="D1151" t="s">
        <v>608</v>
      </c>
      <c r="E1151" t="s">
        <v>608</v>
      </c>
      <c r="F1151">
        <v>46.14</v>
      </c>
      <c r="G1151">
        <v>33.549999999999997</v>
      </c>
      <c r="H1151">
        <v>2</v>
      </c>
      <c r="I1151">
        <v>3</v>
      </c>
      <c r="J1151" t="s">
        <v>3082</v>
      </c>
      <c r="K1151" t="s">
        <v>604</v>
      </c>
    </row>
    <row r="1152" spans="1:11" x14ac:dyDescent="0.2">
      <c r="A1152" t="s">
        <v>2363</v>
      </c>
      <c r="B1152" t="s">
        <v>1081</v>
      </c>
      <c r="C1152">
        <v>52.97</v>
      </c>
      <c r="D1152" t="s">
        <v>608</v>
      </c>
      <c r="E1152" t="s">
        <v>608</v>
      </c>
      <c r="F1152">
        <v>21.76</v>
      </c>
      <c r="G1152">
        <v>15.49</v>
      </c>
      <c r="H1152">
        <v>2</v>
      </c>
      <c r="I1152">
        <v>3</v>
      </c>
      <c r="J1152" t="s">
        <v>3082</v>
      </c>
      <c r="K1152" t="s">
        <v>604</v>
      </c>
    </row>
    <row r="1153" spans="1:11" x14ac:dyDescent="0.2">
      <c r="A1153" t="s">
        <v>2364</v>
      </c>
      <c r="B1153" t="s">
        <v>1081</v>
      </c>
      <c r="C1153">
        <v>48.09</v>
      </c>
      <c r="D1153" t="s">
        <v>608</v>
      </c>
      <c r="E1153" t="s">
        <v>608</v>
      </c>
      <c r="F1153">
        <v>18.45</v>
      </c>
      <c r="G1153">
        <v>14.31</v>
      </c>
      <c r="H1153">
        <v>3</v>
      </c>
      <c r="I1153">
        <v>3</v>
      </c>
      <c r="J1153" t="s">
        <v>3082</v>
      </c>
      <c r="K1153" t="s">
        <v>604</v>
      </c>
    </row>
    <row r="1154" spans="1:11" x14ac:dyDescent="0.2">
      <c r="A1154" t="s">
        <v>2365</v>
      </c>
      <c r="B1154" t="s">
        <v>1081</v>
      </c>
      <c r="C1154">
        <v>58.1</v>
      </c>
      <c r="D1154" t="s">
        <v>608</v>
      </c>
      <c r="E1154" t="s">
        <v>608</v>
      </c>
      <c r="F1154">
        <v>43.86</v>
      </c>
      <c r="G1154">
        <v>32.1</v>
      </c>
      <c r="H1154">
        <v>2</v>
      </c>
      <c r="I1154">
        <v>3</v>
      </c>
      <c r="J1154" t="s">
        <v>3082</v>
      </c>
      <c r="K1154" t="s">
        <v>604</v>
      </c>
    </row>
    <row r="1155" spans="1:11" x14ac:dyDescent="0.2">
      <c r="A1155" t="s">
        <v>2366</v>
      </c>
      <c r="B1155" t="s">
        <v>1083</v>
      </c>
      <c r="C1155">
        <v>58.52</v>
      </c>
      <c r="D1155" t="s">
        <v>608</v>
      </c>
      <c r="E1155" t="s">
        <v>608</v>
      </c>
      <c r="F1155">
        <v>52.2</v>
      </c>
      <c r="G1155">
        <v>43.62</v>
      </c>
      <c r="H1155">
        <v>1</v>
      </c>
      <c r="I1155">
        <v>1</v>
      </c>
      <c r="J1155" t="s">
        <v>3082</v>
      </c>
      <c r="K1155" t="s">
        <v>604</v>
      </c>
    </row>
    <row r="1156" spans="1:11" x14ac:dyDescent="0.2">
      <c r="A1156" t="s">
        <v>2367</v>
      </c>
      <c r="B1156" t="s">
        <v>1083</v>
      </c>
      <c r="C1156">
        <v>63.73</v>
      </c>
      <c r="D1156" t="s">
        <v>608</v>
      </c>
      <c r="E1156" t="s">
        <v>608</v>
      </c>
      <c r="F1156">
        <v>42.11</v>
      </c>
      <c r="G1156">
        <v>31.86</v>
      </c>
      <c r="H1156">
        <v>1</v>
      </c>
      <c r="I1156">
        <v>1</v>
      </c>
      <c r="J1156" t="s">
        <v>3082</v>
      </c>
      <c r="K1156" t="s">
        <v>604</v>
      </c>
    </row>
    <row r="1157" spans="1:11" x14ac:dyDescent="0.2">
      <c r="A1157" t="s">
        <v>2368</v>
      </c>
      <c r="B1157" t="s">
        <v>1083</v>
      </c>
      <c r="C1157">
        <v>71.69</v>
      </c>
      <c r="D1157" t="s">
        <v>608</v>
      </c>
      <c r="E1157" t="s">
        <v>608</v>
      </c>
      <c r="F1157">
        <v>73.099999999999994</v>
      </c>
      <c r="G1157">
        <v>57.66</v>
      </c>
      <c r="H1157">
        <v>1</v>
      </c>
      <c r="I1157">
        <v>2</v>
      </c>
      <c r="J1157" t="s">
        <v>3082</v>
      </c>
      <c r="K1157" t="s">
        <v>604</v>
      </c>
    </row>
    <row r="1158" spans="1:11" x14ac:dyDescent="0.2">
      <c r="A1158" t="s">
        <v>2369</v>
      </c>
      <c r="B1158" t="s">
        <v>1083</v>
      </c>
      <c r="C1158">
        <v>52.48</v>
      </c>
      <c r="D1158" t="s">
        <v>608</v>
      </c>
      <c r="E1158" t="s">
        <v>608</v>
      </c>
      <c r="F1158">
        <v>25.96</v>
      </c>
      <c r="G1158">
        <v>19.79</v>
      </c>
      <c r="H1158">
        <v>2</v>
      </c>
      <c r="I1158">
        <v>1</v>
      </c>
      <c r="J1158" t="s">
        <v>3082</v>
      </c>
      <c r="K1158" t="s">
        <v>604</v>
      </c>
    </row>
    <row r="1159" spans="1:11" x14ac:dyDescent="0.2">
      <c r="A1159" t="s">
        <v>2370</v>
      </c>
      <c r="B1159" t="s">
        <v>1083</v>
      </c>
      <c r="C1159">
        <v>80.290000000000006</v>
      </c>
      <c r="D1159" t="s">
        <v>608</v>
      </c>
      <c r="E1159" t="s">
        <v>608</v>
      </c>
      <c r="F1159">
        <v>82.09</v>
      </c>
      <c r="G1159">
        <v>63.03</v>
      </c>
      <c r="H1159">
        <v>1</v>
      </c>
      <c r="I1159">
        <v>1</v>
      </c>
      <c r="J1159" t="s">
        <v>3082</v>
      </c>
      <c r="K1159" t="s">
        <v>604</v>
      </c>
    </row>
    <row r="1160" spans="1:11" x14ac:dyDescent="0.2">
      <c r="A1160" t="s">
        <v>2371</v>
      </c>
      <c r="B1160" t="s">
        <v>1097</v>
      </c>
      <c r="C1160">
        <v>42.36</v>
      </c>
      <c r="D1160" t="s">
        <v>608</v>
      </c>
      <c r="E1160" t="s">
        <v>608</v>
      </c>
      <c r="F1160">
        <v>27.43</v>
      </c>
      <c r="G1160">
        <v>21.47</v>
      </c>
      <c r="H1160">
        <v>1</v>
      </c>
      <c r="I1160">
        <v>1</v>
      </c>
      <c r="J1160" t="s">
        <v>3082</v>
      </c>
      <c r="K1160" t="s">
        <v>604</v>
      </c>
    </row>
    <row r="1161" spans="1:11" x14ac:dyDescent="0.2">
      <c r="A1161" t="s">
        <v>2372</v>
      </c>
      <c r="B1161" t="s">
        <v>1097</v>
      </c>
      <c r="C1161">
        <v>55.14</v>
      </c>
      <c r="D1161" t="s">
        <v>608</v>
      </c>
      <c r="E1161" t="s">
        <v>608</v>
      </c>
      <c r="F1161">
        <v>22.76</v>
      </c>
      <c r="G1161">
        <v>17.77</v>
      </c>
      <c r="H1161">
        <v>0</v>
      </c>
      <c r="I1161">
        <v>0</v>
      </c>
      <c r="J1161" t="s">
        <v>3082</v>
      </c>
      <c r="K1161" t="s">
        <v>604</v>
      </c>
    </row>
    <row r="1162" spans="1:11" x14ac:dyDescent="0.2">
      <c r="A1162" t="s">
        <v>2373</v>
      </c>
      <c r="B1162" t="s">
        <v>1097</v>
      </c>
      <c r="C1162">
        <v>49.68</v>
      </c>
      <c r="D1162" t="s">
        <v>608</v>
      </c>
      <c r="E1162" t="s">
        <v>608</v>
      </c>
      <c r="F1162">
        <v>22.41</v>
      </c>
      <c r="G1162">
        <v>16.77</v>
      </c>
      <c r="H1162">
        <v>0</v>
      </c>
      <c r="I1162">
        <v>0</v>
      </c>
      <c r="J1162" t="s">
        <v>3082</v>
      </c>
      <c r="K1162" t="s">
        <v>604</v>
      </c>
    </row>
    <row r="1163" spans="1:11" x14ac:dyDescent="0.2">
      <c r="A1163" t="s">
        <v>2374</v>
      </c>
      <c r="B1163" t="s">
        <v>1097</v>
      </c>
      <c r="C1163">
        <v>54.43</v>
      </c>
      <c r="D1163" t="s">
        <v>608</v>
      </c>
      <c r="E1163" t="s">
        <v>608</v>
      </c>
      <c r="F1163">
        <v>35.51</v>
      </c>
      <c r="G1163">
        <v>25.9</v>
      </c>
      <c r="H1163">
        <v>0</v>
      </c>
      <c r="I1163">
        <v>0</v>
      </c>
      <c r="J1163" t="s">
        <v>3082</v>
      </c>
      <c r="K1163" t="s">
        <v>604</v>
      </c>
    </row>
    <row r="1164" spans="1:11" x14ac:dyDescent="0.2">
      <c r="A1164" t="s">
        <v>2375</v>
      </c>
      <c r="B1164" t="s">
        <v>1097</v>
      </c>
      <c r="C1164">
        <v>62.49</v>
      </c>
      <c r="D1164" t="s">
        <v>608</v>
      </c>
      <c r="E1164" t="s">
        <v>608</v>
      </c>
      <c r="F1164">
        <v>56.8</v>
      </c>
      <c r="G1164">
        <v>41.92</v>
      </c>
      <c r="H1164">
        <v>0</v>
      </c>
      <c r="I1164">
        <v>0.5</v>
      </c>
      <c r="J1164" t="s">
        <v>3082</v>
      </c>
      <c r="K1164" t="s">
        <v>604</v>
      </c>
    </row>
    <row r="1165" spans="1:11" x14ac:dyDescent="0.2">
      <c r="A1165" t="s">
        <v>2376</v>
      </c>
      <c r="B1165" t="s">
        <v>1099</v>
      </c>
      <c r="C1165">
        <v>54.81</v>
      </c>
      <c r="D1165" t="s">
        <v>608</v>
      </c>
      <c r="E1165" t="s">
        <v>608</v>
      </c>
      <c r="F1165">
        <v>36.86</v>
      </c>
      <c r="G1165">
        <v>25.79</v>
      </c>
      <c r="H1165">
        <v>1</v>
      </c>
      <c r="I1165">
        <v>1</v>
      </c>
      <c r="J1165" t="s">
        <v>3082</v>
      </c>
      <c r="K1165" t="s">
        <v>604</v>
      </c>
    </row>
    <row r="1166" spans="1:11" x14ac:dyDescent="0.2">
      <c r="A1166" t="s">
        <v>2377</v>
      </c>
      <c r="B1166" t="s">
        <v>1099</v>
      </c>
      <c r="C1166">
        <v>48.73</v>
      </c>
      <c r="D1166" t="s">
        <v>608</v>
      </c>
      <c r="E1166" t="s">
        <v>608</v>
      </c>
      <c r="F1166">
        <v>28.03</v>
      </c>
      <c r="G1166">
        <v>20.87</v>
      </c>
      <c r="H1166">
        <v>0</v>
      </c>
      <c r="I1166">
        <v>0</v>
      </c>
      <c r="J1166" t="s">
        <v>3082</v>
      </c>
      <c r="K1166" t="s">
        <v>604</v>
      </c>
    </row>
    <row r="1167" spans="1:11" x14ac:dyDescent="0.2">
      <c r="A1167" t="s">
        <v>2378</v>
      </c>
      <c r="B1167" t="s">
        <v>1099</v>
      </c>
      <c r="C1167">
        <v>88.79</v>
      </c>
      <c r="D1167" t="s">
        <v>608</v>
      </c>
      <c r="E1167" t="s">
        <v>608</v>
      </c>
      <c r="F1167">
        <v>86.77</v>
      </c>
      <c r="G1167">
        <v>60.73</v>
      </c>
      <c r="H1167">
        <v>0</v>
      </c>
      <c r="I1167">
        <v>0</v>
      </c>
      <c r="J1167" t="s">
        <v>3082</v>
      </c>
      <c r="K1167" t="s">
        <v>604</v>
      </c>
    </row>
    <row r="1168" spans="1:11" x14ac:dyDescent="0.2">
      <c r="A1168" t="s">
        <v>2379</v>
      </c>
      <c r="B1168" t="s">
        <v>1099</v>
      </c>
      <c r="C1168">
        <v>46.96</v>
      </c>
      <c r="D1168" t="s">
        <v>608</v>
      </c>
      <c r="E1168" t="s">
        <v>608</v>
      </c>
      <c r="F1168">
        <v>27.47</v>
      </c>
      <c r="G1168">
        <v>20.09</v>
      </c>
      <c r="H1168">
        <v>0</v>
      </c>
      <c r="I1168">
        <v>0</v>
      </c>
      <c r="J1168" t="s">
        <v>3082</v>
      </c>
      <c r="K1168" t="s">
        <v>604</v>
      </c>
    </row>
    <row r="1169" spans="1:11" x14ac:dyDescent="0.2">
      <c r="A1169" t="s">
        <v>2380</v>
      </c>
      <c r="B1169" t="s">
        <v>1099</v>
      </c>
      <c r="C1169">
        <v>56.23</v>
      </c>
      <c r="D1169" t="s">
        <v>608</v>
      </c>
      <c r="E1169" t="s">
        <v>608</v>
      </c>
      <c r="F1169">
        <v>35.200000000000003</v>
      </c>
      <c r="G1169">
        <v>26.52</v>
      </c>
      <c r="H1169">
        <v>3</v>
      </c>
      <c r="I1169">
        <v>4</v>
      </c>
      <c r="J1169" t="s">
        <v>3082</v>
      </c>
      <c r="K1169" t="s">
        <v>604</v>
      </c>
    </row>
    <row r="1170" spans="1:11" x14ac:dyDescent="0.2">
      <c r="A1170" t="s">
        <v>2381</v>
      </c>
      <c r="B1170" t="s">
        <v>1101</v>
      </c>
      <c r="C1170">
        <v>61.47</v>
      </c>
      <c r="D1170" t="s">
        <v>608</v>
      </c>
      <c r="E1170" t="s">
        <v>608</v>
      </c>
      <c r="F1170">
        <v>39.56</v>
      </c>
      <c r="G1170">
        <v>26.97</v>
      </c>
      <c r="H1170">
        <v>0.5</v>
      </c>
      <c r="I1170">
        <v>0</v>
      </c>
      <c r="J1170" t="s">
        <v>3082</v>
      </c>
      <c r="K1170" t="s">
        <v>604</v>
      </c>
    </row>
    <row r="1171" spans="1:11" x14ac:dyDescent="0.2">
      <c r="A1171" t="s">
        <v>2382</v>
      </c>
      <c r="B1171" t="s">
        <v>1101</v>
      </c>
      <c r="C1171">
        <v>43.07</v>
      </c>
      <c r="D1171" t="s">
        <v>608</v>
      </c>
      <c r="E1171" t="s">
        <v>608</v>
      </c>
      <c r="F1171">
        <v>27.16</v>
      </c>
      <c r="G1171">
        <v>19.71</v>
      </c>
      <c r="H1171">
        <v>0</v>
      </c>
      <c r="I1171">
        <v>0</v>
      </c>
      <c r="J1171" t="s">
        <v>3082</v>
      </c>
      <c r="K1171" t="s">
        <v>604</v>
      </c>
    </row>
    <row r="1172" spans="1:11" x14ac:dyDescent="0.2">
      <c r="A1172" t="s">
        <v>2383</v>
      </c>
      <c r="B1172" t="s">
        <v>1101</v>
      </c>
      <c r="C1172">
        <v>61.87</v>
      </c>
      <c r="D1172" t="s">
        <v>608</v>
      </c>
      <c r="E1172" t="s">
        <v>608</v>
      </c>
      <c r="F1172">
        <v>72.39</v>
      </c>
      <c r="G1172">
        <v>50.3</v>
      </c>
      <c r="H1172">
        <v>0</v>
      </c>
      <c r="I1172">
        <v>0</v>
      </c>
      <c r="J1172" t="s">
        <v>3082</v>
      </c>
      <c r="K1172" t="s">
        <v>604</v>
      </c>
    </row>
    <row r="1173" spans="1:11" x14ac:dyDescent="0.2">
      <c r="A1173" t="s">
        <v>2384</v>
      </c>
      <c r="B1173" t="s">
        <v>1101</v>
      </c>
      <c r="C1173">
        <v>50.57</v>
      </c>
      <c r="D1173" t="s">
        <v>608</v>
      </c>
      <c r="E1173" t="s">
        <v>608</v>
      </c>
      <c r="F1173">
        <v>18.89</v>
      </c>
      <c r="G1173">
        <v>13.8</v>
      </c>
      <c r="H1173">
        <v>0</v>
      </c>
      <c r="I1173">
        <v>0</v>
      </c>
      <c r="J1173" t="s">
        <v>3082</v>
      </c>
      <c r="K1173" t="s">
        <v>604</v>
      </c>
    </row>
    <row r="1174" spans="1:11" x14ac:dyDescent="0.2">
      <c r="A1174" t="s">
        <v>2385</v>
      </c>
      <c r="B1174" t="s">
        <v>1101</v>
      </c>
      <c r="C1174">
        <v>63.73</v>
      </c>
      <c r="D1174" t="s">
        <v>608</v>
      </c>
      <c r="E1174" t="s">
        <v>608</v>
      </c>
      <c r="F1174">
        <v>43.97</v>
      </c>
      <c r="G1174">
        <v>33.54</v>
      </c>
      <c r="H1174">
        <v>0.5</v>
      </c>
      <c r="I1174">
        <v>0</v>
      </c>
      <c r="J1174" t="s">
        <v>3082</v>
      </c>
      <c r="K1174" t="s">
        <v>604</v>
      </c>
    </row>
    <row r="1175" spans="1:11" x14ac:dyDescent="0.2">
      <c r="A1175" t="s">
        <v>2386</v>
      </c>
      <c r="B1175" t="s">
        <v>1109</v>
      </c>
      <c r="C1175">
        <v>63.39</v>
      </c>
      <c r="D1175" t="s">
        <v>608</v>
      </c>
      <c r="E1175" t="s">
        <v>608</v>
      </c>
      <c r="F1175">
        <v>50.43</v>
      </c>
      <c r="G1175">
        <v>37.270000000000003</v>
      </c>
      <c r="H1175">
        <v>0</v>
      </c>
      <c r="I1175">
        <v>0</v>
      </c>
      <c r="J1175" t="s">
        <v>3082</v>
      </c>
      <c r="K1175" t="s">
        <v>604</v>
      </c>
    </row>
    <row r="1176" spans="1:11" x14ac:dyDescent="0.2">
      <c r="A1176" t="s">
        <v>2387</v>
      </c>
      <c r="B1176" t="s">
        <v>1109</v>
      </c>
      <c r="C1176">
        <v>47.61</v>
      </c>
      <c r="D1176" t="s">
        <v>608</v>
      </c>
      <c r="E1176" t="s">
        <v>608</v>
      </c>
      <c r="F1176">
        <v>20.28</v>
      </c>
      <c r="G1176">
        <v>15.44</v>
      </c>
      <c r="H1176">
        <v>0</v>
      </c>
      <c r="I1176">
        <v>0</v>
      </c>
      <c r="J1176" t="s">
        <v>3082</v>
      </c>
      <c r="K1176" t="s">
        <v>604</v>
      </c>
    </row>
    <row r="1177" spans="1:11" x14ac:dyDescent="0.2">
      <c r="A1177" t="s">
        <v>2388</v>
      </c>
      <c r="B1177" t="s">
        <v>1109</v>
      </c>
      <c r="C1177">
        <v>51.33</v>
      </c>
      <c r="D1177" t="s">
        <v>608</v>
      </c>
      <c r="E1177" t="s">
        <v>608</v>
      </c>
      <c r="F1177">
        <v>25.44</v>
      </c>
      <c r="G1177">
        <v>18.36</v>
      </c>
      <c r="H1177">
        <v>0.5</v>
      </c>
      <c r="I1177">
        <v>0</v>
      </c>
      <c r="J1177" t="s">
        <v>3082</v>
      </c>
      <c r="K1177" t="s">
        <v>604</v>
      </c>
    </row>
    <row r="1178" spans="1:11" x14ac:dyDescent="0.2">
      <c r="A1178" t="s">
        <v>2389</v>
      </c>
      <c r="B1178" t="s">
        <v>1109</v>
      </c>
      <c r="C1178">
        <v>58.02</v>
      </c>
      <c r="D1178" t="s">
        <v>608</v>
      </c>
      <c r="E1178" t="s">
        <v>608</v>
      </c>
      <c r="F1178">
        <v>34.11</v>
      </c>
      <c r="G1178">
        <v>24.88</v>
      </c>
      <c r="H1178">
        <v>0.5</v>
      </c>
      <c r="I1178">
        <v>1</v>
      </c>
      <c r="J1178" t="s">
        <v>3082</v>
      </c>
      <c r="K1178" t="s">
        <v>604</v>
      </c>
    </row>
    <row r="1179" spans="1:11" x14ac:dyDescent="0.2">
      <c r="A1179" t="s">
        <v>2390</v>
      </c>
      <c r="B1179" t="s">
        <v>1109</v>
      </c>
      <c r="C1179">
        <v>49.05</v>
      </c>
      <c r="D1179" t="s">
        <v>608</v>
      </c>
      <c r="E1179" t="s">
        <v>608</v>
      </c>
      <c r="F1179">
        <v>21.44</v>
      </c>
      <c r="G1179">
        <v>16.309999999999999</v>
      </c>
      <c r="H1179">
        <v>0.5</v>
      </c>
      <c r="I1179">
        <v>0</v>
      </c>
      <c r="J1179" t="s">
        <v>3082</v>
      </c>
      <c r="K1179" t="s">
        <v>604</v>
      </c>
    </row>
    <row r="1180" spans="1:11" x14ac:dyDescent="0.2">
      <c r="A1180" t="s">
        <v>2391</v>
      </c>
      <c r="B1180" t="s">
        <v>1111</v>
      </c>
      <c r="C1180">
        <v>63.4</v>
      </c>
      <c r="D1180" t="s">
        <v>608</v>
      </c>
      <c r="E1180" t="s">
        <v>608</v>
      </c>
      <c r="F1180">
        <v>27.63</v>
      </c>
      <c r="G1180">
        <v>21.1</v>
      </c>
      <c r="H1180">
        <v>0</v>
      </c>
      <c r="I1180">
        <v>0</v>
      </c>
      <c r="J1180" t="s">
        <v>3082</v>
      </c>
      <c r="K1180" t="s">
        <v>604</v>
      </c>
    </row>
    <row r="1181" spans="1:11" x14ac:dyDescent="0.2">
      <c r="A1181" t="s">
        <v>2392</v>
      </c>
      <c r="B1181" t="s">
        <v>1111</v>
      </c>
      <c r="C1181">
        <v>59.38</v>
      </c>
      <c r="D1181" t="s">
        <v>608</v>
      </c>
      <c r="E1181" t="s">
        <v>608</v>
      </c>
      <c r="F1181">
        <v>31.13</v>
      </c>
      <c r="G1181">
        <v>22.84</v>
      </c>
      <c r="H1181">
        <v>1</v>
      </c>
      <c r="I1181">
        <v>3</v>
      </c>
      <c r="J1181" t="s">
        <v>3082</v>
      </c>
      <c r="K1181" t="s">
        <v>604</v>
      </c>
    </row>
    <row r="1182" spans="1:11" x14ac:dyDescent="0.2">
      <c r="A1182" t="s">
        <v>2393</v>
      </c>
      <c r="B1182" t="s">
        <v>1111</v>
      </c>
      <c r="C1182">
        <v>54.54</v>
      </c>
      <c r="D1182" t="s">
        <v>608</v>
      </c>
      <c r="E1182" t="s">
        <v>608</v>
      </c>
      <c r="F1182">
        <v>34.770000000000003</v>
      </c>
      <c r="G1182">
        <v>25.22</v>
      </c>
      <c r="H1182">
        <v>2</v>
      </c>
      <c r="I1182">
        <v>2</v>
      </c>
      <c r="J1182" t="s">
        <v>3082</v>
      </c>
      <c r="K1182" t="s">
        <v>604</v>
      </c>
    </row>
    <row r="1183" spans="1:11" x14ac:dyDescent="0.2">
      <c r="A1183" t="s">
        <v>2394</v>
      </c>
      <c r="B1183" t="s">
        <v>1111</v>
      </c>
      <c r="C1183">
        <v>68.150000000000006</v>
      </c>
      <c r="D1183" t="s">
        <v>608</v>
      </c>
      <c r="E1183" t="s">
        <v>608</v>
      </c>
      <c r="F1183">
        <v>64.11</v>
      </c>
      <c r="G1183">
        <v>48.35</v>
      </c>
      <c r="H1183">
        <v>1</v>
      </c>
      <c r="I1183">
        <v>1</v>
      </c>
      <c r="J1183" t="s">
        <v>3082</v>
      </c>
      <c r="K1183" t="s">
        <v>604</v>
      </c>
    </row>
    <row r="1184" spans="1:11" x14ac:dyDescent="0.2">
      <c r="A1184" t="s">
        <v>2395</v>
      </c>
      <c r="B1184" t="s">
        <v>1111</v>
      </c>
      <c r="C1184">
        <v>54.42</v>
      </c>
      <c r="D1184" t="s">
        <v>608</v>
      </c>
      <c r="E1184" t="s">
        <v>608</v>
      </c>
      <c r="F1184">
        <v>37.83</v>
      </c>
      <c r="G1184">
        <v>26.6</v>
      </c>
      <c r="H1184">
        <v>0</v>
      </c>
      <c r="I1184">
        <v>0</v>
      </c>
      <c r="J1184" t="s">
        <v>3082</v>
      </c>
      <c r="K1184" t="s">
        <v>604</v>
      </c>
    </row>
    <row r="1185" spans="1:11" x14ac:dyDescent="0.2">
      <c r="A1185" t="s">
        <v>2396</v>
      </c>
      <c r="B1185" t="s">
        <v>1113</v>
      </c>
      <c r="C1185">
        <v>50.2</v>
      </c>
      <c r="D1185" t="s">
        <v>608</v>
      </c>
      <c r="E1185" t="s">
        <v>608</v>
      </c>
      <c r="F1185">
        <v>44.17</v>
      </c>
      <c r="G1185">
        <v>31.97</v>
      </c>
      <c r="H1185">
        <v>0</v>
      </c>
      <c r="I1185">
        <v>0</v>
      </c>
      <c r="J1185" t="s">
        <v>3082</v>
      </c>
      <c r="K1185" t="s">
        <v>604</v>
      </c>
    </row>
    <row r="1186" spans="1:11" x14ac:dyDescent="0.2">
      <c r="A1186" t="s">
        <v>2397</v>
      </c>
      <c r="B1186" t="s">
        <v>1113</v>
      </c>
      <c r="C1186">
        <v>65.13</v>
      </c>
      <c r="D1186" t="s">
        <v>608</v>
      </c>
      <c r="E1186" t="s">
        <v>608</v>
      </c>
      <c r="F1186">
        <v>82.5</v>
      </c>
      <c r="G1186">
        <v>62.75</v>
      </c>
      <c r="H1186">
        <v>0</v>
      </c>
      <c r="I1186">
        <v>0</v>
      </c>
      <c r="J1186" t="s">
        <v>3082</v>
      </c>
      <c r="K1186" t="s">
        <v>604</v>
      </c>
    </row>
    <row r="1187" spans="1:11" x14ac:dyDescent="0.2">
      <c r="A1187" t="s">
        <v>2398</v>
      </c>
      <c r="B1187" t="s">
        <v>1113</v>
      </c>
      <c r="C1187">
        <v>66.08</v>
      </c>
      <c r="D1187" t="s">
        <v>608</v>
      </c>
      <c r="E1187" t="s">
        <v>608</v>
      </c>
      <c r="F1187">
        <v>37.15</v>
      </c>
      <c r="G1187">
        <v>26.27</v>
      </c>
      <c r="H1187">
        <v>0</v>
      </c>
      <c r="I1187">
        <v>0</v>
      </c>
      <c r="J1187" t="s">
        <v>3082</v>
      </c>
      <c r="K1187" t="s">
        <v>604</v>
      </c>
    </row>
    <row r="1188" spans="1:11" x14ac:dyDescent="0.2">
      <c r="A1188" t="s">
        <v>2399</v>
      </c>
      <c r="B1188" t="s">
        <v>1113</v>
      </c>
      <c r="C1188">
        <v>62.66</v>
      </c>
      <c r="D1188" t="s">
        <v>608</v>
      </c>
      <c r="E1188" t="s">
        <v>608</v>
      </c>
      <c r="F1188">
        <v>37.99</v>
      </c>
      <c r="G1188">
        <v>25.69</v>
      </c>
      <c r="H1188">
        <v>0.5</v>
      </c>
      <c r="I1188">
        <v>0.5</v>
      </c>
      <c r="J1188" t="s">
        <v>3082</v>
      </c>
      <c r="K1188" t="s">
        <v>604</v>
      </c>
    </row>
    <row r="1189" spans="1:11" x14ac:dyDescent="0.2">
      <c r="A1189" t="s">
        <v>2400</v>
      </c>
      <c r="B1189" t="s">
        <v>1113</v>
      </c>
      <c r="C1189">
        <v>65.38</v>
      </c>
      <c r="D1189" t="s">
        <v>608</v>
      </c>
      <c r="E1189" t="s">
        <v>608</v>
      </c>
      <c r="F1189">
        <v>58.16</v>
      </c>
      <c r="G1189">
        <v>42.07</v>
      </c>
      <c r="H1189">
        <v>0</v>
      </c>
      <c r="I1189">
        <v>0</v>
      </c>
      <c r="J1189" t="s">
        <v>3082</v>
      </c>
      <c r="K1189" t="s">
        <v>604</v>
      </c>
    </row>
    <row r="1190" spans="1:11" x14ac:dyDescent="0.2">
      <c r="A1190" t="s">
        <v>2401</v>
      </c>
      <c r="B1190" t="s">
        <v>1121</v>
      </c>
      <c r="C1190">
        <v>41.79</v>
      </c>
      <c r="D1190" t="s">
        <v>608</v>
      </c>
      <c r="E1190" t="s">
        <v>608</v>
      </c>
      <c r="F1190">
        <v>14.32</v>
      </c>
      <c r="G1190">
        <v>10.52</v>
      </c>
      <c r="H1190">
        <v>0</v>
      </c>
      <c r="I1190">
        <v>0</v>
      </c>
      <c r="J1190" t="s">
        <v>3082</v>
      </c>
      <c r="K1190" t="s">
        <v>604</v>
      </c>
    </row>
    <row r="1191" spans="1:11" x14ac:dyDescent="0.2">
      <c r="A1191" t="s">
        <v>2402</v>
      </c>
      <c r="B1191" t="s">
        <v>1121</v>
      </c>
      <c r="C1191">
        <v>46.34</v>
      </c>
      <c r="D1191" t="s">
        <v>608</v>
      </c>
      <c r="E1191" t="s">
        <v>608</v>
      </c>
      <c r="F1191">
        <v>17.989999999999998</v>
      </c>
      <c r="G1191">
        <v>13.89</v>
      </c>
      <c r="H1191">
        <v>0</v>
      </c>
      <c r="I1191">
        <v>0</v>
      </c>
      <c r="J1191" t="s">
        <v>3082</v>
      </c>
      <c r="K1191" t="s">
        <v>604</v>
      </c>
    </row>
    <row r="1192" spans="1:11" x14ac:dyDescent="0.2">
      <c r="A1192" t="s">
        <v>2403</v>
      </c>
      <c r="B1192" t="s">
        <v>1121</v>
      </c>
      <c r="C1192">
        <v>60.89</v>
      </c>
      <c r="D1192" t="s">
        <v>608</v>
      </c>
      <c r="E1192" t="s">
        <v>608</v>
      </c>
      <c r="F1192">
        <v>41.08</v>
      </c>
      <c r="G1192">
        <v>29.8</v>
      </c>
      <c r="H1192">
        <v>0.5</v>
      </c>
      <c r="I1192">
        <v>0</v>
      </c>
      <c r="J1192" t="s">
        <v>3082</v>
      </c>
      <c r="K1192" t="s">
        <v>604</v>
      </c>
    </row>
    <row r="1193" spans="1:11" x14ac:dyDescent="0.2">
      <c r="A1193" t="s">
        <v>2404</v>
      </c>
      <c r="B1193" t="s">
        <v>1121</v>
      </c>
      <c r="C1193">
        <v>45.2</v>
      </c>
      <c r="D1193" t="s">
        <v>608</v>
      </c>
      <c r="E1193" t="s">
        <v>608</v>
      </c>
      <c r="F1193">
        <v>17.52</v>
      </c>
      <c r="G1193">
        <v>12.43</v>
      </c>
      <c r="H1193">
        <v>0</v>
      </c>
      <c r="I1193">
        <v>0</v>
      </c>
      <c r="J1193" t="s">
        <v>3082</v>
      </c>
      <c r="K1193" t="s">
        <v>604</v>
      </c>
    </row>
    <row r="1194" spans="1:11" x14ac:dyDescent="0.2">
      <c r="A1194" t="s">
        <v>2405</v>
      </c>
      <c r="B1194" t="s">
        <v>1121</v>
      </c>
      <c r="C1194">
        <v>74.05</v>
      </c>
      <c r="D1194" t="s">
        <v>608</v>
      </c>
      <c r="E1194" t="s">
        <v>608</v>
      </c>
      <c r="F1194">
        <v>52.74</v>
      </c>
      <c r="G1194">
        <v>37.1</v>
      </c>
      <c r="H1194">
        <v>0.5</v>
      </c>
      <c r="I1194">
        <v>1</v>
      </c>
      <c r="J1194" t="s">
        <v>3082</v>
      </c>
      <c r="K1194" t="s">
        <v>604</v>
      </c>
    </row>
    <row r="1195" spans="1:11" x14ac:dyDescent="0.2">
      <c r="A1195" t="s">
        <v>2406</v>
      </c>
      <c r="B1195" t="s">
        <v>1123</v>
      </c>
      <c r="C1195">
        <v>54.59</v>
      </c>
      <c r="D1195" t="s">
        <v>608</v>
      </c>
      <c r="E1195" t="s">
        <v>608</v>
      </c>
      <c r="F1195">
        <v>36.369999999999997</v>
      </c>
      <c r="G1195">
        <v>24.43</v>
      </c>
      <c r="H1195">
        <v>0</v>
      </c>
      <c r="I1195">
        <v>0</v>
      </c>
      <c r="J1195" t="s">
        <v>3082</v>
      </c>
      <c r="K1195" t="s">
        <v>604</v>
      </c>
    </row>
    <row r="1196" spans="1:11" x14ac:dyDescent="0.2">
      <c r="A1196" t="s">
        <v>2407</v>
      </c>
      <c r="B1196" t="s">
        <v>1123</v>
      </c>
      <c r="C1196">
        <v>37.86</v>
      </c>
      <c r="D1196" t="s">
        <v>608</v>
      </c>
      <c r="E1196" t="s">
        <v>608</v>
      </c>
      <c r="F1196">
        <v>14.37</v>
      </c>
      <c r="G1196">
        <v>10.59</v>
      </c>
      <c r="H1196">
        <v>0</v>
      </c>
      <c r="I1196">
        <v>0</v>
      </c>
      <c r="J1196" t="s">
        <v>3082</v>
      </c>
      <c r="K1196" t="s">
        <v>604</v>
      </c>
    </row>
    <row r="1197" spans="1:11" x14ac:dyDescent="0.2">
      <c r="A1197" t="s">
        <v>2408</v>
      </c>
      <c r="B1197" t="s">
        <v>1123</v>
      </c>
      <c r="C1197">
        <v>44.97</v>
      </c>
      <c r="D1197" t="s">
        <v>608</v>
      </c>
      <c r="E1197" t="s">
        <v>608</v>
      </c>
      <c r="F1197">
        <v>18.29</v>
      </c>
      <c r="G1197">
        <v>14.8</v>
      </c>
      <c r="H1197">
        <v>0.5</v>
      </c>
      <c r="I1197">
        <v>1</v>
      </c>
      <c r="J1197" t="s">
        <v>3082</v>
      </c>
      <c r="K1197" t="s">
        <v>604</v>
      </c>
    </row>
    <row r="1198" spans="1:11" x14ac:dyDescent="0.2">
      <c r="A1198" t="s">
        <v>2409</v>
      </c>
      <c r="B1198" t="s">
        <v>1123</v>
      </c>
      <c r="C1198">
        <v>63.87</v>
      </c>
      <c r="D1198" t="s">
        <v>608</v>
      </c>
      <c r="E1198" t="s">
        <v>608</v>
      </c>
      <c r="F1198">
        <v>45.78</v>
      </c>
      <c r="G1198">
        <v>33.94</v>
      </c>
      <c r="H1198">
        <v>1</v>
      </c>
      <c r="I1198">
        <v>1</v>
      </c>
      <c r="J1198" t="s">
        <v>3082</v>
      </c>
      <c r="K1198" t="s">
        <v>604</v>
      </c>
    </row>
    <row r="1199" spans="1:11" x14ac:dyDescent="0.2">
      <c r="A1199" t="s">
        <v>2410</v>
      </c>
      <c r="B1199" t="s">
        <v>1123</v>
      </c>
      <c r="C1199">
        <v>61.38</v>
      </c>
      <c r="D1199" t="s">
        <v>608</v>
      </c>
      <c r="E1199" t="s">
        <v>608</v>
      </c>
      <c r="F1199">
        <v>50.55</v>
      </c>
      <c r="G1199">
        <v>35.42</v>
      </c>
      <c r="H1199">
        <v>1</v>
      </c>
      <c r="I1199">
        <v>2</v>
      </c>
      <c r="J1199" t="s">
        <v>3082</v>
      </c>
      <c r="K1199" t="s">
        <v>604</v>
      </c>
    </row>
    <row r="1200" spans="1:11" x14ac:dyDescent="0.2">
      <c r="A1200" t="s">
        <v>2411</v>
      </c>
      <c r="B1200" t="s">
        <v>1125</v>
      </c>
      <c r="C1200">
        <v>65.37</v>
      </c>
      <c r="D1200" t="s">
        <v>608</v>
      </c>
      <c r="E1200" t="s">
        <v>608</v>
      </c>
      <c r="F1200">
        <v>46.82</v>
      </c>
      <c r="G1200">
        <v>39.299999999999997</v>
      </c>
      <c r="H1200">
        <v>2</v>
      </c>
      <c r="I1200">
        <v>2</v>
      </c>
      <c r="J1200" t="s">
        <v>3082</v>
      </c>
      <c r="K1200" t="s">
        <v>604</v>
      </c>
    </row>
    <row r="1201" spans="1:11" x14ac:dyDescent="0.2">
      <c r="A1201" t="s">
        <v>2412</v>
      </c>
      <c r="B1201" t="s">
        <v>1125</v>
      </c>
      <c r="C1201">
        <v>71.39</v>
      </c>
      <c r="D1201" t="s">
        <v>608</v>
      </c>
      <c r="E1201" t="s">
        <v>608</v>
      </c>
      <c r="F1201">
        <v>50.94</v>
      </c>
      <c r="G1201">
        <v>40.6</v>
      </c>
      <c r="H1201">
        <v>0</v>
      </c>
      <c r="I1201">
        <v>0</v>
      </c>
      <c r="J1201" t="s">
        <v>3082</v>
      </c>
      <c r="K1201" t="s">
        <v>604</v>
      </c>
    </row>
    <row r="1202" spans="1:11" x14ac:dyDescent="0.2">
      <c r="A1202" t="s">
        <v>2413</v>
      </c>
      <c r="B1202" t="s">
        <v>1125</v>
      </c>
      <c r="C1202">
        <v>43.45</v>
      </c>
      <c r="D1202" t="s">
        <v>608</v>
      </c>
      <c r="E1202" t="s">
        <v>608</v>
      </c>
      <c r="F1202">
        <v>16.71</v>
      </c>
      <c r="G1202">
        <v>12.65</v>
      </c>
      <c r="H1202">
        <v>0.5</v>
      </c>
      <c r="I1202">
        <v>0</v>
      </c>
      <c r="J1202" t="s">
        <v>3082</v>
      </c>
      <c r="K1202" t="s">
        <v>604</v>
      </c>
    </row>
    <row r="1203" spans="1:11" x14ac:dyDescent="0.2">
      <c r="A1203" t="s">
        <v>2414</v>
      </c>
      <c r="B1203" t="s">
        <v>1125</v>
      </c>
      <c r="C1203">
        <v>64.040000000000006</v>
      </c>
      <c r="D1203" t="s">
        <v>608</v>
      </c>
      <c r="E1203" t="s">
        <v>608</v>
      </c>
      <c r="F1203">
        <v>80.31</v>
      </c>
      <c r="G1203">
        <v>56.22</v>
      </c>
      <c r="H1203">
        <v>0</v>
      </c>
      <c r="I1203">
        <v>0</v>
      </c>
      <c r="J1203" t="s">
        <v>3082</v>
      </c>
      <c r="K1203" t="s">
        <v>604</v>
      </c>
    </row>
    <row r="1204" spans="1:11" x14ac:dyDescent="0.2">
      <c r="A1204" t="s">
        <v>2415</v>
      </c>
      <c r="B1204" t="s">
        <v>1125</v>
      </c>
      <c r="C1204">
        <v>35.44</v>
      </c>
      <c r="D1204" t="s">
        <v>608</v>
      </c>
      <c r="E1204" t="s">
        <v>608</v>
      </c>
      <c r="F1204">
        <v>21.47</v>
      </c>
      <c r="G1204">
        <v>16.46</v>
      </c>
      <c r="H1204">
        <v>1</v>
      </c>
      <c r="I1204">
        <v>2</v>
      </c>
      <c r="J1204" t="s">
        <v>3082</v>
      </c>
      <c r="K1204" t="s">
        <v>604</v>
      </c>
    </row>
    <row r="1205" spans="1:11" x14ac:dyDescent="0.2">
      <c r="A1205" t="s">
        <v>2416</v>
      </c>
      <c r="B1205" t="s">
        <v>1127</v>
      </c>
      <c r="C1205">
        <v>53.32</v>
      </c>
      <c r="D1205" t="s">
        <v>608</v>
      </c>
      <c r="E1205" t="s">
        <v>608</v>
      </c>
      <c r="F1205">
        <v>24.31</v>
      </c>
      <c r="G1205">
        <v>17.010000000000002</v>
      </c>
      <c r="H1205">
        <v>0</v>
      </c>
      <c r="I1205">
        <v>0</v>
      </c>
      <c r="J1205" t="s">
        <v>3082</v>
      </c>
      <c r="K1205" t="s">
        <v>604</v>
      </c>
    </row>
    <row r="1206" spans="1:11" x14ac:dyDescent="0.2">
      <c r="A1206" t="s">
        <v>2417</v>
      </c>
      <c r="B1206" t="s">
        <v>1127</v>
      </c>
      <c r="C1206">
        <v>51.26</v>
      </c>
      <c r="D1206" t="s">
        <v>608</v>
      </c>
      <c r="E1206" t="s">
        <v>608</v>
      </c>
      <c r="F1206">
        <v>50.33</v>
      </c>
      <c r="G1206">
        <v>36.619999999999997</v>
      </c>
      <c r="H1206">
        <v>0</v>
      </c>
      <c r="I1206">
        <v>0</v>
      </c>
      <c r="J1206" t="s">
        <v>3082</v>
      </c>
      <c r="K1206" t="s">
        <v>604</v>
      </c>
    </row>
    <row r="1207" spans="1:11" x14ac:dyDescent="0.2">
      <c r="A1207" t="s">
        <v>2418</v>
      </c>
      <c r="B1207" t="s">
        <v>1127</v>
      </c>
      <c r="C1207">
        <v>60.33</v>
      </c>
      <c r="D1207" t="s">
        <v>608</v>
      </c>
      <c r="E1207" t="s">
        <v>608</v>
      </c>
      <c r="F1207">
        <v>48.66</v>
      </c>
      <c r="G1207">
        <v>37.520000000000003</v>
      </c>
      <c r="H1207">
        <v>0</v>
      </c>
      <c r="I1207">
        <v>0</v>
      </c>
      <c r="J1207" t="s">
        <v>3082</v>
      </c>
      <c r="K1207" t="s">
        <v>604</v>
      </c>
    </row>
    <row r="1208" spans="1:11" x14ac:dyDescent="0.2">
      <c r="A1208" t="s">
        <v>2419</v>
      </c>
      <c r="B1208" t="s">
        <v>1127</v>
      </c>
      <c r="C1208">
        <v>62.23</v>
      </c>
      <c r="D1208" t="s">
        <v>608</v>
      </c>
      <c r="E1208" t="s">
        <v>608</v>
      </c>
      <c r="F1208">
        <v>36.35</v>
      </c>
      <c r="G1208">
        <v>29.27</v>
      </c>
      <c r="H1208">
        <v>0</v>
      </c>
      <c r="I1208">
        <v>0</v>
      </c>
      <c r="J1208" t="s">
        <v>3082</v>
      </c>
      <c r="K1208" t="s">
        <v>604</v>
      </c>
    </row>
    <row r="1209" spans="1:11" x14ac:dyDescent="0.2">
      <c r="A1209" t="s">
        <v>2420</v>
      </c>
      <c r="B1209" t="s">
        <v>1127</v>
      </c>
      <c r="C1209">
        <v>59.16</v>
      </c>
      <c r="D1209" t="s">
        <v>608</v>
      </c>
      <c r="E1209" t="s">
        <v>608</v>
      </c>
      <c r="F1209">
        <v>47.63</v>
      </c>
      <c r="G1209">
        <v>32.799999999999997</v>
      </c>
      <c r="H1209">
        <v>0</v>
      </c>
      <c r="I1209">
        <v>0</v>
      </c>
      <c r="J1209" t="s">
        <v>3082</v>
      </c>
      <c r="K1209" t="s">
        <v>604</v>
      </c>
    </row>
    <row r="1210" spans="1:11" x14ac:dyDescent="0.2">
      <c r="A1210" t="s">
        <v>2421</v>
      </c>
      <c r="B1210" t="s">
        <v>1129</v>
      </c>
      <c r="C1210">
        <v>38.83</v>
      </c>
      <c r="D1210" t="s">
        <v>608</v>
      </c>
      <c r="E1210" t="s">
        <v>608</v>
      </c>
      <c r="F1210">
        <v>23.46</v>
      </c>
      <c r="G1210">
        <v>18.91</v>
      </c>
      <c r="H1210">
        <v>0</v>
      </c>
      <c r="I1210">
        <v>0</v>
      </c>
      <c r="J1210" t="s">
        <v>3082</v>
      </c>
      <c r="K1210" t="s">
        <v>604</v>
      </c>
    </row>
    <row r="1211" spans="1:11" x14ac:dyDescent="0.2">
      <c r="A1211" t="s">
        <v>2422</v>
      </c>
      <c r="B1211" t="s">
        <v>1129</v>
      </c>
      <c r="C1211">
        <v>46.44</v>
      </c>
      <c r="D1211" t="s">
        <v>608</v>
      </c>
      <c r="E1211" t="s">
        <v>608</v>
      </c>
      <c r="F1211">
        <v>24.62</v>
      </c>
      <c r="G1211">
        <v>19.71</v>
      </c>
      <c r="H1211">
        <v>0</v>
      </c>
      <c r="I1211">
        <v>0</v>
      </c>
      <c r="J1211" t="s">
        <v>3082</v>
      </c>
      <c r="K1211" t="s">
        <v>604</v>
      </c>
    </row>
    <row r="1212" spans="1:11" x14ac:dyDescent="0.2">
      <c r="A1212" t="s">
        <v>2423</v>
      </c>
      <c r="B1212" t="s">
        <v>1129</v>
      </c>
      <c r="C1212">
        <v>63.23</v>
      </c>
      <c r="D1212" t="s">
        <v>608</v>
      </c>
      <c r="E1212" t="s">
        <v>608</v>
      </c>
      <c r="F1212">
        <v>54.92</v>
      </c>
      <c r="G1212">
        <v>43.76</v>
      </c>
      <c r="H1212">
        <v>0</v>
      </c>
      <c r="I1212">
        <v>0</v>
      </c>
      <c r="J1212" t="s">
        <v>3082</v>
      </c>
      <c r="K1212" t="s">
        <v>604</v>
      </c>
    </row>
    <row r="1213" spans="1:11" x14ac:dyDescent="0.2">
      <c r="A1213" t="s">
        <v>2424</v>
      </c>
      <c r="B1213" t="s">
        <v>1129</v>
      </c>
      <c r="C1213">
        <v>49.39</v>
      </c>
      <c r="D1213" t="s">
        <v>608</v>
      </c>
      <c r="E1213" t="s">
        <v>608</v>
      </c>
      <c r="F1213">
        <v>24.72</v>
      </c>
      <c r="G1213">
        <v>19.02</v>
      </c>
      <c r="H1213">
        <v>1</v>
      </c>
      <c r="I1213">
        <v>1</v>
      </c>
      <c r="J1213" t="s">
        <v>3082</v>
      </c>
      <c r="K1213" t="s">
        <v>604</v>
      </c>
    </row>
    <row r="1214" spans="1:11" x14ac:dyDescent="0.2">
      <c r="A1214" t="s">
        <v>2425</v>
      </c>
      <c r="B1214" t="s">
        <v>1129</v>
      </c>
      <c r="C1214">
        <v>53.12</v>
      </c>
      <c r="D1214" t="s">
        <v>608</v>
      </c>
      <c r="E1214" t="s">
        <v>608</v>
      </c>
      <c r="F1214">
        <v>31.09</v>
      </c>
      <c r="G1214">
        <v>24.2</v>
      </c>
      <c r="H1214">
        <v>1</v>
      </c>
      <c r="I1214">
        <v>0</v>
      </c>
      <c r="J1214" t="s">
        <v>3082</v>
      </c>
      <c r="K1214" t="s">
        <v>604</v>
      </c>
    </row>
    <row r="1215" spans="1:11" x14ac:dyDescent="0.2">
      <c r="A1215" t="s">
        <v>2426</v>
      </c>
      <c r="B1215" t="s">
        <v>1131</v>
      </c>
      <c r="C1215">
        <v>56.58</v>
      </c>
      <c r="D1215" t="s">
        <v>608</v>
      </c>
      <c r="E1215" t="s">
        <v>608</v>
      </c>
      <c r="F1215">
        <v>34.26</v>
      </c>
      <c r="G1215">
        <v>25.61</v>
      </c>
      <c r="H1215">
        <v>0</v>
      </c>
      <c r="I1215">
        <v>0</v>
      </c>
      <c r="J1215" t="s">
        <v>3082</v>
      </c>
      <c r="K1215" t="s">
        <v>604</v>
      </c>
    </row>
    <row r="1216" spans="1:11" x14ac:dyDescent="0.2">
      <c r="A1216" t="s">
        <v>2427</v>
      </c>
      <c r="B1216" t="s">
        <v>1131</v>
      </c>
      <c r="C1216">
        <v>53.58</v>
      </c>
      <c r="D1216" t="s">
        <v>608</v>
      </c>
      <c r="E1216" t="s">
        <v>608</v>
      </c>
      <c r="F1216">
        <v>23.38</v>
      </c>
      <c r="G1216">
        <v>18.79</v>
      </c>
      <c r="H1216">
        <v>0</v>
      </c>
      <c r="I1216">
        <v>0</v>
      </c>
      <c r="J1216" t="s">
        <v>3082</v>
      </c>
      <c r="K1216" t="s">
        <v>604</v>
      </c>
    </row>
    <row r="1217" spans="1:11" x14ac:dyDescent="0.2">
      <c r="A1217" t="s">
        <v>2428</v>
      </c>
      <c r="B1217" t="s">
        <v>1131</v>
      </c>
      <c r="C1217">
        <v>61.27</v>
      </c>
      <c r="D1217" t="s">
        <v>608</v>
      </c>
      <c r="E1217" t="s">
        <v>608</v>
      </c>
      <c r="F1217">
        <v>32.24</v>
      </c>
      <c r="G1217">
        <v>22.56</v>
      </c>
      <c r="H1217">
        <v>0</v>
      </c>
      <c r="I1217">
        <v>0</v>
      </c>
      <c r="J1217" t="s">
        <v>3082</v>
      </c>
      <c r="K1217" t="s">
        <v>604</v>
      </c>
    </row>
    <row r="1218" spans="1:11" x14ac:dyDescent="0.2">
      <c r="A1218" t="s">
        <v>2429</v>
      </c>
      <c r="B1218" t="s">
        <v>1131</v>
      </c>
      <c r="C1218">
        <v>76.05</v>
      </c>
      <c r="D1218" t="s">
        <v>608</v>
      </c>
      <c r="E1218" t="s">
        <v>608</v>
      </c>
      <c r="F1218">
        <v>62.85</v>
      </c>
      <c r="G1218">
        <v>44.61</v>
      </c>
      <c r="H1218">
        <v>1</v>
      </c>
      <c r="I1218">
        <v>2</v>
      </c>
      <c r="J1218" t="s">
        <v>3082</v>
      </c>
      <c r="K1218" t="s">
        <v>604</v>
      </c>
    </row>
    <row r="1219" spans="1:11" x14ac:dyDescent="0.2">
      <c r="A1219" t="s">
        <v>2430</v>
      </c>
      <c r="B1219" t="s">
        <v>1131</v>
      </c>
      <c r="C1219">
        <v>62.76</v>
      </c>
      <c r="D1219" t="s">
        <v>608</v>
      </c>
      <c r="E1219" t="s">
        <v>608</v>
      </c>
      <c r="F1219">
        <v>51.38</v>
      </c>
      <c r="G1219">
        <v>39.35</v>
      </c>
      <c r="H1219">
        <v>2</v>
      </c>
      <c r="I1219">
        <v>2</v>
      </c>
      <c r="J1219" t="s">
        <v>3082</v>
      </c>
      <c r="K1219" t="s">
        <v>604</v>
      </c>
    </row>
    <row r="1220" spans="1:11" x14ac:dyDescent="0.2">
      <c r="A1220" t="s">
        <v>2431</v>
      </c>
      <c r="B1220" t="s">
        <v>1145</v>
      </c>
      <c r="C1220">
        <v>44.83</v>
      </c>
      <c r="D1220" t="s">
        <v>608</v>
      </c>
      <c r="E1220" t="s">
        <v>608</v>
      </c>
      <c r="F1220">
        <v>28.05</v>
      </c>
      <c r="G1220">
        <v>24.14</v>
      </c>
      <c r="H1220">
        <v>1</v>
      </c>
      <c r="I1220">
        <v>0.5</v>
      </c>
      <c r="J1220" t="s">
        <v>3082</v>
      </c>
      <c r="K1220" t="s">
        <v>604</v>
      </c>
    </row>
    <row r="1221" spans="1:11" x14ac:dyDescent="0.2">
      <c r="A1221" t="s">
        <v>2432</v>
      </c>
      <c r="B1221" t="s">
        <v>1145</v>
      </c>
      <c r="C1221">
        <v>42.11</v>
      </c>
      <c r="D1221" t="s">
        <v>608</v>
      </c>
      <c r="E1221" t="s">
        <v>608</v>
      </c>
      <c r="F1221">
        <v>14.17</v>
      </c>
      <c r="G1221">
        <v>11.9</v>
      </c>
      <c r="H1221">
        <v>1</v>
      </c>
      <c r="I1221">
        <v>1</v>
      </c>
      <c r="J1221" t="s">
        <v>3082</v>
      </c>
      <c r="K1221" t="s">
        <v>604</v>
      </c>
    </row>
    <row r="1222" spans="1:11" x14ac:dyDescent="0.2">
      <c r="A1222" t="s">
        <v>2433</v>
      </c>
      <c r="B1222" t="s">
        <v>1145</v>
      </c>
      <c r="C1222">
        <v>47.73</v>
      </c>
      <c r="D1222" t="s">
        <v>608</v>
      </c>
      <c r="E1222" t="s">
        <v>608</v>
      </c>
      <c r="F1222">
        <v>21.87</v>
      </c>
      <c r="G1222">
        <v>19.18</v>
      </c>
      <c r="H1222">
        <v>1</v>
      </c>
      <c r="I1222">
        <v>1</v>
      </c>
      <c r="J1222" t="s">
        <v>3082</v>
      </c>
      <c r="K1222" t="s">
        <v>604</v>
      </c>
    </row>
    <row r="1223" spans="1:11" x14ac:dyDescent="0.2">
      <c r="A1223" t="s">
        <v>2434</v>
      </c>
      <c r="B1223" t="s">
        <v>1145</v>
      </c>
      <c r="C1223">
        <v>53.29</v>
      </c>
      <c r="D1223" t="s">
        <v>608</v>
      </c>
      <c r="E1223" t="s">
        <v>608</v>
      </c>
      <c r="F1223">
        <v>21.95</v>
      </c>
      <c r="G1223">
        <v>17.73</v>
      </c>
      <c r="H1223">
        <v>0</v>
      </c>
      <c r="I1223">
        <v>0</v>
      </c>
      <c r="J1223" t="s">
        <v>3082</v>
      </c>
      <c r="K1223" t="s">
        <v>604</v>
      </c>
    </row>
    <row r="1224" spans="1:11" x14ac:dyDescent="0.2">
      <c r="A1224" t="s">
        <v>2435</v>
      </c>
      <c r="B1224" t="s">
        <v>1145</v>
      </c>
      <c r="C1224">
        <v>41.53</v>
      </c>
      <c r="D1224" t="s">
        <v>608</v>
      </c>
      <c r="E1224" t="s">
        <v>608</v>
      </c>
      <c r="F1224">
        <v>21.99</v>
      </c>
      <c r="G1224">
        <v>18.66</v>
      </c>
      <c r="H1224">
        <v>0</v>
      </c>
      <c r="I1224">
        <v>0</v>
      </c>
      <c r="J1224" t="s">
        <v>3082</v>
      </c>
      <c r="K1224" t="s">
        <v>604</v>
      </c>
    </row>
    <row r="1225" spans="1:11" x14ac:dyDescent="0.2">
      <c r="A1225" t="s">
        <v>2436</v>
      </c>
      <c r="B1225" t="s">
        <v>1147</v>
      </c>
      <c r="C1225">
        <v>59.19</v>
      </c>
      <c r="D1225" t="s">
        <v>608</v>
      </c>
      <c r="E1225" t="s">
        <v>608</v>
      </c>
      <c r="F1225">
        <v>41.73</v>
      </c>
      <c r="G1225">
        <v>35.590000000000003</v>
      </c>
      <c r="H1225">
        <v>1</v>
      </c>
      <c r="I1225">
        <v>0.5</v>
      </c>
      <c r="J1225" t="s">
        <v>3082</v>
      </c>
      <c r="K1225" t="s">
        <v>604</v>
      </c>
    </row>
    <row r="1226" spans="1:11" x14ac:dyDescent="0.2">
      <c r="A1226" t="s">
        <v>2437</v>
      </c>
      <c r="B1226" t="s">
        <v>1147</v>
      </c>
      <c r="C1226">
        <v>46.23</v>
      </c>
      <c r="D1226" t="s">
        <v>608</v>
      </c>
      <c r="E1226" t="s">
        <v>608</v>
      </c>
      <c r="F1226">
        <v>18.190000000000001</v>
      </c>
      <c r="G1226">
        <v>14.72</v>
      </c>
      <c r="H1226">
        <v>0</v>
      </c>
      <c r="I1226">
        <v>0</v>
      </c>
      <c r="J1226" t="s">
        <v>3082</v>
      </c>
      <c r="K1226" t="s">
        <v>604</v>
      </c>
    </row>
    <row r="1227" spans="1:11" x14ac:dyDescent="0.2">
      <c r="A1227" t="s">
        <v>2438</v>
      </c>
      <c r="B1227" t="s">
        <v>1147</v>
      </c>
      <c r="C1227">
        <v>58.88</v>
      </c>
      <c r="D1227" t="s">
        <v>608</v>
      </c>
      <c r="E1227" t="s">
        <v>608</v>
      </c>
      <c r="F1227">
        <v>34.6</v>
      </c>
      <c r="G1227">
        <v>29.24</v>
      </c>
      <c r="H1227">
        <v>1</v>
      </c>
      <c r="I1227">
        <v>1</v>
      </c>
      <c r="J1227" t="s">
        <v>3082</v>
      </c>
      <c r="K1227" t="s">
        <v>604</v>
      </c>
    </row>
    <row r="1228" spans="1:11" x14ac:dyDescent="0.2">
      <c r="A1228" t="s">
        <v>2439</v>
      </c>
      <c r="B1228" t="s">
        <v>1147</v>
      </c>
      <c r="C1228">
        <v>45.55</v>
      </c>
      <c r="D1228" t="s">
        <v>608</v>
      </c>
      <c r="E1228" t="s">
        <v>608</v>
      </c>
      <c r="F1228">
        <v>20.89</v>
      </c>
      <c r="G1228">
        <v>15.49</v>
      </c>
      <c r="H1228">
        <v>1</v>
      </c>
      <c r="I1228">
        <v>1</v>
      </c>
      <c r="J1228" t="s">
        <v>3082</v>
      </c>
      <c r="K1228" t="s">
        <v>604</v>
      </c>
    </row>
    <row r="1229" spans="1:11" x14ac:dyDescent="0.2">
      <c r="A1229" t="s">
        <v>2440</v>
      </c>
      <c r="B1229" t="s">
        <v>1147</v>
      </c>
      <c r="C1229">
        <v>52.69</v>
      </c>
      <c r="D1229" t="s">
        <v>608</v>
      </c>
      <c r="E1229" t="s">
        <v>608</v>
      </c>
      <c r="F1229">
        <v>38.47</v>
      </c>
      <c r="G1229">
        <v>32.07</v>
      </c>
      <c r="H1229">
        <v>0</v>
      </c>
      <c r="I1229">
        <v>0</v>
      </c>
      <c r="J1229" t="s">
        <v>3082</v>
      </c>
      <c r="K1229" t="s">
        <v>604</v>
      </c>
    </row>
    <row r="1230" spans="1:11" x14ac:dyDescent="0.2">
      <c r="A1230" t="s">
        <v>2441</v>
      </c>
      <c r="B1230" t="s">
        <v>1149</v>
      </c>
      <c r="C1230">
        <v>39.950000000000003</v>
      </c>
      <c r="D1230" t="s">
        <v>608</v>
      </c>
      <c r="E1230" t="s">
        <v>608</v>
      </c>
      <c r="F1230">
        <v>10.29</v>
      </c>
      <c r="G1230">
        <v>8.06</v>
      </c>
      <c r="H1230">
        <v>0.5</v>
      </c>
      <c r="I1230">
        <v>0</v>
      </c>
      <c r="J1230" t="s">
        <v>3082</v>
      </c>
      <c r="K1230" t="s">
        <v>604</v>
      </c>
    </row>
    <row r="1231" spans="1:11" x14ac:dyDescent="0.2">
      <c r="A1231" t="s">
        <v>2442</v>
      </c>
      <c r="B1231" t="s">
        <v>1149</v>
      </c>
      <c r="C1231">
        <v>42.37</v>
      </c>
      <c r="D1231" t="s">
        <v>608</v>
      </c>
      <c r="E1231" t="s">
        <v>608</v>
      </c>
      <c r="F1231">
        <v>19.98</v>
      </c>
      <c r="G1231">
        <v>16.760000000000002</v>
      </c>
      <c r="H1231">
        <v>1</v>
      </c>
      <c r="I1231">
        <v>1</v>
      </c>
      <c r="J1231" t="s">
        <v>3082</v>
      </c>
      <c r="K1231" t="s">
        <v>604</v>
      </c>
    </row>
    <row r="1232" spans="1:11" x14ac:dyDescent="0.2">
      <c r="A1232" t="s">
        <v>2443</v>
      </c>
      <c r="B1232" t="s">
        <v>1149</v>
      </c>
      <c r="C1232">
        <v>54.55</v>
      </c>
      <c r="D1232" t="s">
        <v>608</v>
      </c>
      <c r="E1232" t="s">
        <v>608</v>
      </c>
      <c r="F1232">
        <v>24.35</v>
      </c>
      <c r="G1232">
        <v>19.25</v>
      </c>
      <c r="H1232">
        <v>0.5</v>
      </c>
      <c r="I1232">
        <v>0.5</v>
      </c>
      <c r="J1232" t="s">
        <v>3082</v>
      </c>
      <c r="K1232" t="s">
        <v>604</v>
      </c>
    </row>
    <row r="1233" spans="1:11" x14ac:dyDescent="0.2">
      <c r="A1233" t="s">
        <v>2444</v>
      </c>
      <c r="B1233" t="s">
        <v>1149</v>
      </c>
      <c r="C1233">
        <v>68.36</v>
      </c>
      <c r="D1233" t="s">
        <v>608</v>
      </c>
      <c r="E1233" t="s">
        <v>608</v>
      </c>
      <c r="F1233">
        <v>66.16</v>
      </c>
      <c r="G1233">
        <v>55.68</v>
      </c>
      <c r="H1233">
        <v>2</v>
      </c>
      <c r="I1233">
        <v>1</v>
      </c>
      <c r="J1233" t="s">
        <v>3082</v>
      </c>
      <c r="K1233" t="s">
        <v>604</v>
      </c>
    </row>
    <row r="1234" spans="1:11" x14ac:dyDescent="0.2">
      <c r="A1234" t="s">
        <v>2445</v>
      </c>
      <c r="B1234" t="s">
        <v>1149</v>
      </c>
      <c r="C1234">
        <v>67.89</v>
      </c>
      <c r="D1234" t="s">
        <v>608</v>
      </c>
      <c r="E1234" t="s">
        <v>608</v>
      </c>
      <c r="F1234">
        <v>51.99</v>
      </c>
      <c r="G1234">
        <v>45.7</v>
      </c>
      <c r="H1234">
        <v>2</v>
      </c>
      <c r="I1234">
        <v>1</v>
      </c>
      <c r="J1234" t="s">
        <v>3082</v>
      </c>
      <c r="K1234" t="s">
        <v>604</v>
      </c>
    </row>
    <row r="1235" spans="1:11" x14ac:dyDescent="0.2">
      <c r="A1235" t="s">
        <v>2446</v>
      </c>
      <c r="B1235" t="s">
        <v>1157</v>
      </c>
      <c r="C1235">
        <v>68.180000000000007</v>
      </c>
      <c r="D1235" t="s">
        <v>608</v>
      </c>
      <c r="E1235" t="s">
        <v>608</v>
      </c>
      <c r="F1235">
        <v>46.97</v>
      </c>
      <c r="G1235">
        <v>34.96</v>
      </c>
      <c r="H1235">
        <v>0.5</v>
      </c>
      <c r="I1235">
        <v>0</v>
      </c>
      <c r="J1235" t="s">
        <v>3082</v>
      </c>
      <c r="K1235" t="s">
        <v>604</v>
      </c>
    </row>
    <row r="1236" spans="1:11" x14ac:dyDescent="0.2">
      <c r="A1236" t="s">
        <v>2447</v>
      </c>
      <c r="B1236" t="s">
        <v>1157</v>
      </c>
      <c r="C1236">
        <v>48.38</v>
      </c>
      <c r="D1236" t="s">
        <v>608</v>
      </c>
      <c r="E1236" t="s">
        <v>608</v>
      </c>
      <c r="F1236">
        <v>15.94</v>
      </c>
      <c r="G1236">
        <v>11.3</v>
      </c>
      <c r="H1236">
        <v>0</v>
      </c>
      <c r="I1236">
        <v>0</v>
      </c>
      <c r="J1236" t="s">
        <v>3082</v>
      </c>
      <c r="K1236" t="s">
        <v>604</v>
      </c>
    </row>
    <row r="1237" spans="1:11" x14ac:dyDescent="0.2">
      <c r="A1237" t="s">
        <v>2448</v>
      </c>
      <c r="B1237" t="s">
        <v>1157</v>
      </c>
      <c r="C1237">
        <v>41.62</v>
      </c>
      <c r="D1237" t="s">
        <v>608</v>
      </c>
      <c r="E1237" t="s">
        <v>608</v>
      </c>
      <c r="F1237">
        <v>20.97</v>
      </c>
      <c r="G1237">
        <v>14.23</v>
      </c>
      <c r="H1237">
        <v>1</v>
      </c>
      <c r="I1237">
        <v>1</v>
      </c>
      <c r="J1237" t="s">
        <v>3082</v>
      </c>
      <c r="K1237" t="s">
        <v>604</v>
      </c>
    </row>
    <row r="1238" spans="1:11" x14ac:dyDescent="0.2">
      <c r="A1238" t="s">
        <v>2449</v>
      </c>
      <c r="B1238" t="s">
        <v>1157</v>
      </c>
      <c r="C1238">
        <v>41.05</v>
      </c>
      <c r="D1238" t="s">
        <v>608</v>
      </c>
      <c r="E1238" t="s">
        <v>608</v>
      </c>
      <c r="F1238">
        <v>18.010000000000002</v>
      </c>
      <c r="G1238">
        <v>13.21</v>
      </c>
      <c r="H1238">
        <v>0</v>
      </c>
      <c r="I1238">
        <v>0</v>
      </c>
      <c r="J1238" t="s">
        <v>3082</v>
      </c>
      <c r="K1238" t="s">
        <v>604</v>
      </c>
    </row>
    <row r="1239" spans="1:11" x14ac:dyDescent="0.2">
      <c r="A1239" t="s">
        <v>2450</v>
      </c>
      <c r="B1239" t="s">
        <v>1157</v>
      </c>
      <c r="C1239">
        <v>48.98</v>
      </c>
      <c r="D1239" t="s">
        <v>608</v>
      </c>
      <c r="E1239" t="s">
        <v>608</v>
      </c>
      <c r="F1239">
        <v>25.41</v>
      </c>
      <c r="G1239">
        <v>17.5</v>
      </c>
      <c r="H1239">
        <v>0</v>
      </c>
      <c r="I1239">
        <v>1</v>
      </c>
      <c r="J1239" t="s">
        <v>3082</v>
      </c>
      <c r="K1239" t="s">
        <v>604</v>
      </c>
    </row>
    <row r="1240" spans="1:11" x14ac:dyDescent="0.2">
      <c r="A1240" t="s">
        <v>2451</v>
      </c>
      <c r="B1240" t="s">
        <v>1159</v>
      </c>
      <c r="C1240">
        <v>63.5</v>
      </c>
      <c r="D1240" t="s">
        <v>608</v>
      </c>
      <c r="E1240" t="s">
        <v>608</v>
      </c>
      <c r="F1240">
        <v>85.99</v>
      </c>
      <c r="G1240">
        <v>63.67</v>
      </c>
      <c r="H1240">
        <v>0.5</v>
      </c>
      <c r="I1240">
        <v>0</v>
      </c>
      <c r="J1240" t="s">
        <v>3082</v>
      </c>
      <c r="K1240" t="s">
        <v>604</v>
      </c>
    </row>
    <row r="1241" spans="1:11" x14ac:dyDescent="0.2">
      <c r="A1241" t="s">
        <v>2452</v>
      </c>
      <c r="B1241" t="s">
        <v>1159</v>
      </c>
      <c r="C1241">
        <v>67.67</v>
      </c>
      <c r="D1241" t="s">
        <v>608</v>
      </c>
      <c r="E1241" t="s">
        <v>608</v>
      </c>
      <c r="F1241">
        <v>58.91</v>
      </c>
      <c r="G1241">
        <v>43.15</v>
      </c>
      <c r="H1241">
        <v>1</v>
      </c>
      <c r="I1241">
        <v>1</v>
      </c>
      <c r="J1241" t="s">
        <v>3082</v>
      </c>
      <c r="K1241" t="s">
        <v>604</v>
      </c>
    </row>
    <row r="1242" spans="1:11" x14ac:dyDescent="0.2">
      <c r="A1242" t="s">
        <v>2453</v>
      </c>
      <c r="B1242" t="s">
        <v>1159</v>
      </c>
      <c r="C1242">
        <v>60.74</v>
      </c>
      <c r="D1242" t="s">
        <v>608</v>
      </c>
      <c r="E1242" t="s">
        <v>608</v>
      </c>
      <c r="F1242">
        <v>45.06</v>
      </c>
      <c r="G1242">
        <v>33.81</v>
      </c>
      <c r="H1242">
        <v>0</v>
      </c>
      <c r="I1242">
        <v>0</v>
      </c>
      <c r="J1242" t="s">
        <v>3082</v>
      </c>
      <c r="K1242" t="s">
        <v>604</v>
      </c>
    </row>
    <row r="1243" spans="1:11" x14ac:dyDescent="0.2">
      <c r="A1243" t="s">
        <v>2454</v>
      </c>
      <c r="B1243" t="s">
        <v>1159</v>
      </c>
      <c r="C1243">
        <v>72.2</v>
      </c>
      <c r="D1243" t="s">
        <v>608</v>
      </c>
      <c r="E1243" t="s">
        <v>608</v>
      </c>
      <c r="F1243">
        <v>50.52</v>
      </c>
      <c r="G1243">
        <v>33.33</v>
      </c>
      <c r="H1243">
        <v>0.5</v>
      </c>
      <c r="I1243">
        <v>0</v>
      </c>
      <c r="J1243" t="s">
        <v>3082</v>
      </c>
      <c r="K1243" t="s">
        <v>604</v>
      </c>
    </row>
    <row r="1244" spans="1:11" x14ac:dyDescent="0.2">
      <c r="A1244" t="s">
        <v>2455</v>
      </c>
      <c r="B1244" t="s">
        <v>1159</v>
      </c>
      <c r="C1244">
        <v>64.78</v>
      </c>
      <c r="D1244" t="s">
        <v>608</v>
      </c>
      <c r="E1244" t="s">
        <v>608</v>
      </c>
      <c r="F1244">
        <v>40.58</v>
      </c>
      <c r="G1244">
        <v>27.45</v>
      </c>
      <c r="H1244">
        <v>0</v>
      </c>
      <c r="I1244">
        <v>0.5</v>
      </c>
      <c r="J1244" t="s">
        <v>3082</v>
      </c>
      <c r="K1244" t="s">
        <v>604</v>
      </c>
    </row>
    <row r="1245" spans="1:11" x14ac:dyDescent="0.2">
      <c r="A1245" t="s">
        <v>2456</v>
      </c>
      <c r="B1245" t="s">
        <v>1161</v>
      </c>
      <c r="C1245">
        <v>61.71</v>
      </c>
      <c r="D1245" t="s">
        <v>608</v>
      </c>
      <c r="E1245" t="s">
        <v>608</v>
      </c>
      <c r="F1245">
        <v>26.27</v>
      </c>
      <c r="G1245">
        <v>24.33</v>
      </c>
      <c r="H1245">
        <v>0</v>
      </c>
      <c r="I1245">
        <v>0</v>
      </c>
      <c r="J1245" t="s">
        <v>3082</v>
      </c>
      <c r="K1245" t="s">
        <v>604</v>
      </c>
    </row>
    <row r="1246" spans="1:11" x14ac:dyDescent="0.2">
      <c r="A1246" t="s">
        <v>2457</v>
      </c>
      <c r="B1246" t="s">
        <v>1161</v>
      </c>
      <c r="C1246">
        <v>47.94</v>
      </c>
      <c r="D1246" t="s">
        <v>608</v>
      </c>
      <c r="E1246" t="s">
        <v>608</v>
      </c>
      <c r="F1246">
        <v>28.77</v>
      </c>
      <c r="G1246">
        <v>20.52</v>
      </c>
      <c r="H1246">
        <v>0</v>
      </c>
      <c r="I1246">
        <v>0</v>
      </c>
      <c r="J1246" t="s">
        <v>3082</v>
      </c>
      <c r="K1246" t="s">
        <v>604</v>
      </c>
    </row>
    <row r="1247" spans="1:11" x14ac:dyDescent="0.2">
      <c r="A1247" t="s">
        <v>2458</v>
      </c>
      <c r="B1247" t="s">
        <v>1161</v>
      </c>
      <c r="C1247">
        <v>49.96</v>
      </c>
      <c r="D1247" t="s">
        <v>608</v>
      </c>
      <c r="E1247" t="s">
        <v>608</v>
      </c>
      <c r="F1247">
        <v>29.33</v>
      </c>
      <c r="G1247">
        <v>21.28</v>
      </c>
      <c r="H1247">
        <v>2</v>
      </c>
      <c r="I1247">
        <v>2</v>
      </c>
      <c r="J1247" t="s">
        <v>3082</v>
      </c>
      <c r="K1247" t="s">
        <v>604</v>
      </c>
    </row>
    <row r="1248" spans="1:11" x14ac:dyDescent="0.2">
      <c r="A1248" t="s">
        <v>2459</v>
      </c>
      <c r="B1248" t="s">
        <v>1161</v>
      </c>
      <c r="C1248">
        <v>60.58</v>
      </c>
      <c r="D1248" t="s">
        <v>608</v>
      </c>
      <c r="E1248" t="s">
        <v>608</v>
      </c>
      <c r="F1248">
        <v>28.05</v>
      </c>
      <c r="G1248">
        <v>19.52</v>
      </c>
      <c r="H1248">
        <v>1</v>
      </c>
      <c r="I1248">
        <v>0.5</v>
      </c>
      <c r="J1248" t="s">
        <v>3082</v>
      </c>
      <c r="K1248" t="s">
        <v>604</v>
      </c>
    </row>
    <row r="1249" spans="1:11" x14ac:dyDescent="0.2">
      <c r="A1249" t="s">
        <v>2460</v>
      </c>
      <c r="B1249" t="s">
        <v>1161</v>
      </c>
      <c r="C1249">
        <v>56.49</v>
      </c>
      <c r="D1249" t="s">
        <v>608</v>
      </c>
      <c r="E1249" t="s">
        <v>608</v>
      </c>
      <c r="F1249">
        <v>45.74</v>
      </c>
      <c r="G1249">
        <v>27.82</v>
      </c>
      <c r="H1249">
        <v>2</v>
      </c>
      <c r="I1249">
        <v>2</v>
      </c>
      <c r="J1249" t="s">
        <v>3082</v>
      </c>
      <c r="K1249" t="s">
        <v>604</v>
      </c>
    </row>
    <row r="1250" spans="1:11" x14ac:dyDescent="0.2">
      <c r="A1250" t="s">
        <v>2461</v>
      </c>
      <c r="B1250" t="s">
        <v>1169</v>
      </c>
      <c r="C1250">
        <v>52.54</v>
      </c>
      <c r="D1250" t="s">
        <v>608</v>
      </c>
      <c r="E1250" t="s">
        <v>608</v>
      </c>
      <c r="F1250">
        <v>20.5</v>
      </c>
      <c r="G1250">
        <v>14.04</v>
      </c>
      <c r="H1250">
        <v>0</v>
      </c>
      <c r="I1250">
        <v>0</v>
      </c>
      <c r="J1250" t="s">
        <v>3082</v>
      </c>
      <c r="K1250" t="s">
        <v>604</v>
      </c>
    </row>
    <row r="1251" spans="1:11" x14ac:dyDescent="0.2">
      <c r="A1251" t="s">
        <v>2462</v>
      </c>
      <c r="B1251" t="s">
        <v>1169</v>
      </c>
      <c r="C1251">
        <v>53.39</v>
      </c>
      <c r="D1251" t="s">
        <v>608</v>
      </c>
      <c r="E1251" t="s">
        <v>608</v>
      </c>
      <c r="F1251">
        <v>34.380000000000003</v>
      </c>
      <c r="G1251">
        <v>25.24</v>
      </c>
      <c r="H1251">
        <v>0.5</v>
      </c>
      <c r="I1251">
        <v>0.5</v>
      </c>
      <c r="J1251" t="s">
        <v>3082</v>
      </c>
      <c r="K1251" t="s">
        <v>604</v>
      </c>
    </row>
    <row r="1252" spans="1:11" x14ac:dyDescent="0.2">
      <c r="A1252" t="s">
        <v>2463</v>
      </c>
      <c r="B1252" t="s">
        <v>1169</v>
      </c>
      <c r="C1252">
        <v>49.7</v>
      </c>
      <c r="D1252" t="s">
        <v>608</v>
      </c>
      <c r="E1252" t="s">
        <v>608</v>
      </c>
      <c r="F1252">
        <v>21.6</v>
      </c>
      <c r="G1252">
        <v>15.68</v>
      </c>
      <c r="H1252">
        <v>1</v>
      </c>
      <c r="I1252">
        <v>1</v>
      </c>
      <c r="J1252" t="s">
        <v>3082</v>
      </c>
      <c r="K1252" t="s">
        <v>604</v>
      </c>
    </row>
    <row r="1253" spans="1:11" x14ac:dyDescent="0.2">
      <c r="A1253" t="s">
        <v>2464</v>
      </c>
      <c r="B1253" t="s">
        <v>1169</v>
      </c>
      <c r="C1253">
        <v>43.32</v>
      </c>
      <c r="D1253" t="s">
        <v>608</v>
      </c>
      <c r="E1253" t="s">
        <v>608</v>
      </c>
      <c r="F1253">
        <v>26.49</v>
      </c>
      <c r="G1253">
        <v>19.670000000000002</v>
      </c>
      <c r="H1253">
        <v>0.5</v>
      </c>
      <c r="I1253">
        <v>0.5</v>
      </c>
      <c r="J1253" t="s">
        <v>3082</v>
      </c>
      <c r="K1253" t="s">
        <v>604</v>
      </c>
    </row>
    <row r="1254" spans="1:11" x14ac:dyDescent="0.2">
      <c r="A1254" t="s">
        <v>2465</v>
      </c>
      <c r="B1254" t="s">
        <v>1169</v>
      </c>
      <c r="C1254">
        <v>47.05</v>
      </c>
      <c r="D1254" t="s">
        <v>608</v>
      </c>
      <c r="E1254" t="s">
        <v>608</v>
      </c>
      <c r="F1254">
        <v>27.64</v>
      </c>
      <c r="G1254">
        <v>21.94</v>
      </c>
      <c r="H1254">
        <v>0</v>
      </c>
      <c r="I1254">
        <v>0</v>
      </c>
      <c r="J1254" t="s">
        <v>3082</v>
      </c>
      <c r="K1254" t="s">
        <v>604</v>
      </c>
    </row>
    <row r="1255" spans="1:11" x14ac:dyDescent="0.2">
      <c r="A1255" t="s">
        <v>2466</v>
      </c>
      <c r="B1255" t="s">
        <v>1171</v>
      </c>
      <c r="C1255">
        <v>68.31</v>
      </c>
      <c r="D1255" t="s">
        <v>608</v>
      </c>
      <c r="E1255" t="s">
        <v>608</v>
      </c>
      <c r="F1255">
        <v>42.66</v>
      </c>
      <c r="G1255">
        <v>28.89</v>
      </c>
      <c r="H1255">
        <v>0</v>
      </c>
      <c r="I1255">
        <v>0.5</v>
      </c>
      <c r="J1255" t="s">
        <v>3082</v>
      </c>
      <c r="K1255" t="s">
        <v>604</v>
      </c>
    </row>
    <row r="1256" spans="1:11" x14ac:dyDescent="0.2">
      <c r="A1256" t="s">
        <v>2467</v>
      </c>
      <c r="B1256" t="s">
        <v>1171</v>
      </c>
      <c r="C1256">
        <v>46.85</v>
      </c>
      <c r="D1256" t="s">
        <v>608</v>
      </c>
      <c r="E1256" t="s">
        <v>608</v>
      </c>
      <c r="F1256">
        <v>11.92</v>
      </c>
      <c r="G1256">
        <v>10.1</v>
      </c>
      <c r="H1256">
        <v>1</v>
      </c>
      <c r="I1256">
        <v>1</v>
      </c>
      <c r="J1256" t="s">
        <v>3082</v>
      </c>
      <c r="K1256" t="s">
        <v>604</v>
      </c>
    </row>
    <row r="1257" spans="1:11" x14ac:dyDescent="0.2">
      <c r="A1257" t="s">
        <v>2468</v>
      </c>
      <c r="B1257" t="s">
        <v>1171</v>
      </c>
      <c r="C1257">
        <v>49.04</v>
      </c>
      <c r="D1257" t="s">
        <v>608</v>
      </c>
      <c r="E1257" t="s">
        <v>608</v>
      </c>
      <c r="F1257">
        <v>29.03</v>
      </c>
      <c r="G1257">
        <v>21.49</v>
      </c>
      <c r="H1257">
        <v>1</v>
      </c>
      <c r="I1257">
        <v>1</v>
      </c>
      <c r="J1257" t="s">
        <v>3082</v>
      </c>
      <c r="K1257" t="s">
        <v>604</v>
      </c>
    </row>
    <row r="1258" spans="1:11" x14ac:dyDescent="0.2">
      <c r="A1258" t="s">
        <v>2469</v>
      </c>
      <c r="B1258" t="s">
        <v>1171</v>
      </c>
      <c r="C1258">
        <v>51.69</v>
      </c>
      <c r="D1258" t="s">
        <v>608</v>
      </c>
      <c r="E1258" t="s">
        <v>608</v>
      </c>
      <c r="F1258">
        <v>36.72</v>
      </c>
      <c r="G1258">
        <v>28.01</v>
      </c>
      <c r="H1258">
        <v>0</v>
      </c>
      <c r="I1258">
        <v>0</v>
      </c>
      <c r="J1258" t="s">
        <v>3082</v>
      </c>
      <c r="K1258" t="s">
        <v>604</v>
      </c>
    </row>
    <row r="1259" spans="1:11" x14ac:dyDescent="0.2">
      <c r="A1259" t="s">
        <v>2470</v>
      </c>
      <c r="B1259" t="s">
        <v>1171</v>
      </c>
      <c r="C1259">
        <v>48.82</v>
      </c>
      <c r="D1259" t="s">
        <v>608</v>
      </c>
      <c r="E1259" t="s">
        <v>608</v>
      </c>
      <c r="F1259">
        <v>28.2</v>
      </c>
      <c r="G1259">
        <v>19.38</v>
      </c>
      <c r="H1259">
        <v>1</v>
      </c>
      <c r="I1259">
        <v>0.5</v>
      </c>
      <c r="J1259" t="s">
        <v>3082</v>
      </c>
      <c r="K1259" t="s">
        <v>604</v>
      </c>
    </row>
    <row r="1260" spans="1:11" x14ac:dyDescent="0.2">
      <c r="A1260" t="s">
        <v>2471</v>
      </c>
      <c r="B1260" t="s">
        <v>1173</v>
      </c>
      <c r="C1260">
        <v>59.87</v>
      </c>
      <c r="D1260" t="s">
        <v>608</v>
      </c>
      <c r="E1260" t="s">
        <v>608</v>
      </c>
      <c r="F1260">
        <v>47.81</v>
      </c>
      <c r="G1260">
        <v>34.89</v>
      </c>
      <c r="H1260">
        <v>0</v>
      </c>
      <c r="I1260">
        <v>0.5</v>
      </c>
      <c r="J1260" t="s">
        <v>3082</v>
      </c>
      <c r="K1260" t="s">
        <v>604</v>
      </c>
    </row>
    <row r="1261" spans="1:11" x14ac:dyDescent="0.2">
      <c r="A1261" t="s">
        <v>2472</v>
      </c>
      <c r="B1261" t="s">
        <v>1173</v>
      </c>
      <c r="C1261">
        <v>71.88</v>
      </c>
      <c r="D1261" t="s">
        <v>608</v>
      </c>
      <c r="E1261" t="s">
        <v>608</v>
      </c>
      <c r="F1261">
        <v>49.33</v>
      </c>
      <c r="G1261">
        <v>34.49</v>
      </c>
      <c r="H1261">
        <v>2</v>
      </c>
      <c r="I1261">
        <v>2</v>
      </c>
      <c r="J1261" t="s">
        <v>3082</v>
      </c>
      <c r="K1261" t="s">
        <v>604</v>
      </c>
    </row>
    <row r="1262" spans="1:11" x14ac:dyDescent="0.2">
      <c r="A1262" t="s">
        <v>2473</v>
      </c>
      <c r="B1262" t="s">
        <v>1173</v>
      </c>
      <c r="C1262">
        <v>38.270000000000003</v>
      </c>
      <c r="D1262" t="s">
        <v>608</v>
      </c>
      <c r="E1262" t="s">
        <v>608</v>
      </c>
      <c r="F1262">
        <v>22.74</v>
      </c>
      <c r="G1262">
        <v>17.27</v>
      </c>
      <c r="H1262">
        <v>0</v>
      </c>
      <c r="I1262">
        <v>0.5</v>
      </c>
      <c r="J1262" t="s">
        <v>3082</v>
      </c>
      <c r="K1262" t="s">
        <v>604</v>
      </c>
    </row>
    <row r="1263" spans="1:11" x14ac:dyDescent="0.2">
      <c r="A1263" t="s">
        <v>2474</v>
      </c>
      <c r="B1263" t="s">
        <v>1173</v>
      </c>
      <c r="C1263">
        <v>50.69</v>
      </c>
      <c r="D1263" t="s">
        <v>608</v>
      </c>
      <c r="E1263" t="s">
        <v>608</v>
      </c>
      <c r="F1263">
        <v>20.25</v>
      </c>
      <c r="G1263">
        <v>12.84</v>
      </c>
      <c r="H1263">
        <v>0</v>
      </c>
      <c r="I1263">
        <v>0</v>
      </c>
      <c r="J1263" t="s">
        <v>3082</v>
      </c>
      <c r="K1263" t="s">
        <v>604</v>
      </c>
    </row>
    <row r="1264" spans="1:11" x14ac:dyDescent="0.2">
      <c r="A1264" t="s">
        <v>2475</v>
      </c>
      <c r="B1264" t="s">
        <v>1173</v>
      </c>
      <c r="C1264">
        <v>45.62</v>
      </c>
      <c r="D1264" t="s">
        <v>608</v>
      </c>
      <c r="E1264" t="s">
        <v>608</v>
      </c>
      <c r="F1264">
        <v>15.1</v>
      </c>
      <c r="G1264">
        <v>10.45</v>
      </c>
      <c r="H1264">
        <v>1</v>
      </c>
      <c r="I1264">
        <v>2</v>
      </c>
      <c r="J1264" t="s">
        <v>3082</v>
      </c>
      <c r="K1264" t="s">
        <v>604</v>
      </c>
    </row>
    <row r="1265" spans="1:11" x14ac:dyDescent="0.2">
      <c r="A1265" t="s">
        <v>2476</v>
      </c>
      <c r="B1265" t="s">
        <v>1181</v>
      </c>
      <c r="C1265">
        <v>62.52</v>
      </c>
      <c r="D1265" t="s">
        <v>608</v>
      </c>
      <c r="E1265" t="s">
        <v>608</v>
      </c>
      <c r="F1265">
        <v>52.51</v>
      </c>
      <c r="G1265">
        <v>35.49</v>
      </c>
      <c r="H1265">
        <v>0.5</v>
      </c>
      <c r="I1265">
        <v>0.5</v>
      </c>
      <c r="J1265" t="s">
        <v>3082</v>
      </c>
      <c r="K1265" t="s">
        <v>604</v>
      </c>
    </row>
    <row r="1266" spans="1:11" x14ac:dyDescent="0.2">
      <c r="A1266" t="s">
        <v>2477</v>
      </c>
      <c r="B1266" t="s">
        <v>1181</v>
      </c>
      <c r="C1266">
        <v>70.14</v>
      </c>
      <c r="D1266" t="s">
        <v>608</v>
      </c>
      <c r="E1266" t="s">
        <v>608</v>
      </c>
      <c r="F1266">
        <v>63.89</v>
      </c>
      <c r="G1266">
        <v>46.29</v>
      </c>
      <c r="H1266">
        <v>0.5</v>
      </c>
      <c r="I1266">
        <v>0.5</v>
      </c>
      <c r="J1266" t="s">
        <v>3082</v>
      </c>
      <c r="K1266" t="s">
        <v>604</v>
      </c>
    </row>
    <row r="1267" spans="1:11" x14ac:dyDescent="0.2">
      <c r="A1267" t="s">
        <v>2478</v>
      </c>
      <c r="B1267" t="s">
        <v>1181</v>
      </c>
      <c r="C1267">
        <v>54.37</v>
      </c>
      <c r="D1267" t="s">
        <v>608</v>
      </c>
      <c r="E1267" t="s">
        <v>608</v>
      </c>
      <c r="F1267">
        <v>29.57</v>
      </c>
      <c r="G1267">
        <v>20.57</v>
      </c>
      <c r="H1267">
        <v>0.5</v>
      </c>
      <c r="I1267">
        <v>0</v>
      </c>
      <c r="J1267" t="s">
        <v>3082</v>
      </c>
      <c r="K1267" t="s">
        <v>604</v>
      </c>
    </row>
    <row r="1268" spans="1:11" x14ac:dyDescent="0.2">
      <c r="A1268" t="s">
        <v>2479</v>
      </c>
      <c r="B1268" t="s">
        <v>1181</v>
      </c>
      <c r="C1268">
        <v>65.760000000000005</v>
      </c>
      <c r="D1268" t="s">
        <v>608</v>
      </c>
      <c r="E1268" t="s">
        <v>608</v>
      </c>
      <c r="F1268">
        <v>36.29</v>
      </c>
      <c r="G1268">
        <v>27.08</v>
      </c>
      <c r="H1268">
        <v>2</v>
      </c>
      <c r="I1268">
        <v>3</v>
      </c>
      <c r="J1268" t="s">
        <v>3082</v>
      </c>
      <c r="K1268" t="s">
        <v>604</v>
      </c>
    </row>
    <row r="1269" spans="1:11" x14ac:dyDescent="0.2">
      <c r="A1269" t="s">
        <v>2480</v>
      </c>
      <c r="B1269" t="s">
        <v>1181</v>
      </c>
      <c r="C1269">
        <v>48.39</v>
      </c>
      <c r="D1269" t="s">
        <v>608</v>
      </c>
      <c r="E1269" t="s">
        <v>608</v>
      </c>
      <c r="F1269">
        <v>33.97</v>
      </c>
      <c r="G1269">
        <v>25.26</v>
      </c>
      <c r="H1269">
        <v>0.5</v>
      </c>
      <c r="I1269">
        <v>0.5</v>
      </c>
      <c r="J1269" t="s">
        <v>3082</v>
      </c>
      <c r="K1269" t="s">
        <v>604</v>
      </c>
    </row>
    <row r="1270" spans="1:11" x14ac:dyDescent="0.2">
      <c r="A1270" t="s">
        <v>2481</v>
      </c>
      <c r="B1270" t="s">
        <v>1183</v>
      </c>
      <c r="C1270">
        <v>69.22</v>
      </c>
      <c r="D1270" t="s">
        <v>608</v>
      </c>
      <c r="E1270" t="s">
        <v>608</v>
      </c>
      <c r="F1270">
        <v>54.99</v>
      </c>
      <c r="G1270">
        <v>36.520000000000003</v>
      </c>
      <c r="H1270">
        <v>2</v>
      </c>
      <c r="I1270">
        <v>2</v>
      </c>
      <c r="J1270" t="s">
        <v>3082</v>
      </c>
      <c r="K1270" t="s">
        <v>604</v>
      </c>
    </row>
    <row r="1271" spans="1:11" x14ac:dyDescent="0.2">
      <c r="A1271" t="s">
        <v>2482</v>
      </c>
      <c r="B1271" t="s">
        <v>1183</v>
      </c>
      <c r="C1271">
        <v>67.900000000000006</v>
      </c>
      <c r="D1271" t="s">
        <v>608</v>
      </c>
      <c r="E1271" t="s">
        <v>608</v>
      </c>
      <c r="F1271">
        <v>28.43</v>
      </c>
      <c r="G1271">
        <v>19.809999999999999</v>
      </c>
      <c r="H1271">
        <v>0</v>
      </c>
      <c r="I1271">
        <v>0.5</v>
      </c>
      <c r="J1271" t="s">
        <v>3082</v>
      </c>
      <c r="K1271" t="s">
        <v>604</v>
      </c>
    </row>
    <row r="1272" spans="1:11" x14ac:dyDescent="0.2">
      <c r="A1272" t="s">
        <v>2483</v>
      </c>
      <c r="B1272" t="s">
        <v>1183</v>
      </c>
      <c r="C1272">
        <v>53.14</v>
      </c>
      <c r="D1272" t="s">
        <v>608</v>
      </c>
      <c r="E1272" t="s">
        <v>608</v>
      </c>
      <c r="F1272">
        <v>23.89</v>
      </c>
      <c r="G1272">
        <v>17.12</v>
      </c>
      <c r="H1272" t="s">
        <v>608</v>
      </c>
      <c r="I1272">
        <v>0</v>
      </c>
      <c r="J1272" t="s">
        <v>3094</v>
      </c>
      <c r="K1272" t="s">
        <v>604</v>
      </c>
    </row>
    <row r="1273" spans="1:11" x14ac:dyDescent="0.2">
      <c r="A1273" t="s">
        <v>2484</v>
      </c>
      <c r="B1273" t="s">
        <v>1183</v>
      </c>
      <c r="C1273">
        <v>59.47</v>
      </c>
      <c r="D1273" t="s">
        <v>608</v>
      </c>
      <c r="E1273" t="s">
        <v>608</v>
      </c>
      <c r="F1273">
        <v>33.1</v>
      </c>
      <c r="G1273">
        <v>24.96</v>
      </c>
      <c r="H1273">
        <v>2</v>
      </c>
      <c r="I1273">
        <v>2</v>
      </c>
      <c r="J1273" t="s">
        <v>3082</v>
      </c>
      <c r="K1273" t="s">
        <v>604</v>
      </c>
    </row>
    <row r="1274" spans="1:11" x14ac:dyDescent="0.2">
      <c r="A1274" t="s">
        <v>2485</v>
      </c>
      <c r="B1274" t="s">
        <v>1183</v>
      </c>
      <c r="C1274">
        <v>48.58</v>
      </c>
      <c r="D1274" t="s">
        <v>608</v>
      </c>
      <c r="E1274" t="s">
        <v>608</v>
      </c>
      <c r="F1274">
        <v>22.02</v>
      </c>
      <c r="G1274">
        <v>15.37</v>
      </c>
      <c r="H1274">
        <v>0</v>
      </c>
      <c r="I1274">
        <v>0</v>
      </c>
      <c r="J1274" t="s">
        <v>3082</v>
      </c>
      <c r="K1274" t="s">
        <v>604</v>
      </c>
    </row>
    <row r="1275" spans="1:11" x14ac:dyDescent="0.2">
      <c r="A1275" t="s">
        <v>2486</v>
      </c>
      <c r="B1275" t="s">
        <v>1185</v>
      </c>
      <c r="C1275">
        <v>74.16</v>
      </c>
      <c r="D1275" t="s">
        <v>608</v>
      </c>
      <c r="E1275" t="s">
        <v>608</v>
      </c>
      <c r="F1275">
        <v>81.599999999999994</v>
      </c>
      <c r="G1275">
        <v>60.18</v>
      </c>
      <c r="H1275">
        <v>0</v>
      </c>
      <c r="I1275">
        <v>0</v>
      </c>
      <c r="J1275" t="s">
        <v>3082</v>
      </c>
      <c r="K1275" t="s">
        <v>604</v>
      </c>
    </row>
    <row r="1276" spans="1:11" x14ac:dyDescent="0.2">
      <c r="A1276" t="s">
        <v>2487</v>
      </c>
      <c r="B1276" t="s">
        <v>1185</v>
      </c>
      <c r="C1276">
        <v>62.57</v>
      </c>
      <c r="D1276" t="s">
        <v>608</v>
      </c>
      <c r="E1276" t="s">
        <v>608</v>
      </c>
      <c r="F1276">
        <v>54.35</v>
      </c>
      <c r="G1276">
        <v>39.340000000000003</v>
      </c>
      <c r="H1276">
        <v>0.5</v>
      </c>
      <c r="I1276">
        <v>0</v>
      </c>
      <c r="J1276" t="s">
        <v>3082</v>
      </c>
      <c r="K1276" t="s">
        <v>604</v>
      </c>
    </row>
    <row r="1277" spans="1:11" x14ac:dyDescent="0.2">
      <c r="A1277" t="s">
        <v>2488</v>
      </c>
      <c r="B1277" t="s">
        <v>1185</v>
      </c>
      <c r="C1277">
        <v>62.21</v>
      </c>
      <c r="D1277" t="s">
        <v>608</v>
      </c>
      <c r="E1277" t="s">
        <v>608</v>
      </c>
      <c r="F1277">
        <v>41</v>
      </c>
      <c r="G1277">
        <v>29.98</v>
      </c>
      <c r="H1277">
        <v>0</v>
      </c>
      <c r="I1277">
        <v>0</v>
      </c>
      <c r="J1277" t="s">
        <v>3082</v>
      </c>
      <c r="K1277" t="s">
        <v>604</v>
      </c>
    </row>
    <row r="1278" spans="1:11" x14ac:dyDescent="0.2">
      <c r="A1278" t="s">
        <v>2489</v>
      </c>
      <c r="B1278" t="s">
        <v>1185</v>
      </c>
      <c r="C1278">
        <v>45.17</v>
      </c>
      <c r="D1278" t="s">
        <v>608</v>
      </c>
      <c r="E1278" t="s">
        <v>608</v>
      </c>
      <c r="F1278">
        <v>22.67</v>
      </c>
      <c r="G1278">
        <v>16.86</v>
      </c>
      <c r="H1278">
        <v>0</v>
      </c>
      <c r="I1278">
        <v>0</v>
      </c>
      <c r="J1278" t="s">
        <v>3082</v>
      </c>
      <c r="K1278" t="s">
        <v>604</v>
      </c>
    </row>
    <row r="1279" spans="1:11" x14ac:dyDescent="0.2">
      <c r="A1279" t="s">
        <v>2490</v>
      </c>
      <c r="B1279" t="s">
        <v>1185</v>
      </c>
      <c r="C1279">
        <v>74.78</v>
      </c>
      <c r="D1279" t="s">
        <v>608</v>
      </c>
      <c r="E1279" t="s">
        <v>608</v>
      </c>
      <c r="F1279">
        <v>49.65</v>
      </c>
      <c r="G1279">
        <v>38.46</v>
      </c>
      <c r="H1279">
        <v>0</v>
      </c>
      <c r="I1279">
        <v>0</v>
      </c>
      <c r="J1279" t="s">
        <v>3082</v>
      </c>
      <c r="K1279" t="s">
        <v>604</v>
      </c>
    </row>
    <row r="1280" spans="1:11" x14ac:dyDescent="0.2">
      <c r="A1280" t="s">
        <v>2491</v>
      </c>
      <c r="B1280" t="s">
        <v>1193</v>
      </c>
      <c r="C1280">
        <v>59.15</v>
      </c>
      <c r="D1280" t="s">
        <v>608</v>
      </c>
      <c r="E1280" t="s">
        <v>608</v>
      </c>
      <c r="F1280">
        <v>42.95</v>
      </c>
      <c r="G1280">
        <v>31</v>
      </c>
      <c r="H1280">
        <v>0.5</v>
      </c>
      <c r="I1280">
        <v>0.5</v>
      </c>
      <c r="J1280" t="s">
        <v>3082</v>
      </c>
      <c r="K1280" t="s">
        <v>604</v>
      </c>
    </row>
    <row r="1281" spans="1:11" x14ac:dyDescent="0.2">
      <c r="A1281" t="s">
        <v>2492</v>
      </c>
      <c r="B1281" t="s">
        <v>1193</v>
      </c>
      <c r="C1281">
        <v>48.89</v>
      </c>
      <c r="D1281" t="s">
        <v>608</v>
      </c>
      <c r="E1281" t="s">
        <v>608</v>
      </c>
      <c r="F1281">
        <v>26.39</v>
      </c>
      <c r="G1281">
        <v>18.97</v>
      </c>
      <c r="H1281">
        <v>0</v>
      </c>
      <c r="I1281">
        <v>1</v>
      </c>
      <c r="J1281" t="s">
        <v>3082</v>
      </c>
      <c r="K1281" t="s">
        <v>604</v>
      </c>
    </row>
    <row r="1282" spans="1:11" x14ac:dyDescent="0.2">
      <c r="A1282" t="s">
        <v>2493</v>
      </c>
      <c r="B1282" t="s">
        <v>1193</v>
      </c>
      <c r="C1282">
        <v>48.86</v>
      </c>
      <c r="D1282" t="s">
        <v>608</v>
      </c>
      <c r="E1282" t="s">
        <v>608</v>
      </c>
      <c r="F1282">
        <v>30.53</v>
      </c>
      <c r="G1282">
        <v>21.29</v>
      </c>
      <c r="H1282">
        <v>2</v>
      </c>
      <c r="I1282">
        <v>2</v>
      </c>
      <c r="J1282" t="s">
        <v>3082</v>
      </c>
      <c r="K1282" t="s">
        <v>604</v>
      </c>
    </row>
    <row r="1283" spans="1:11" x14ac:dyDescent="0.2">
      <c r="A1283" t="s">
        <v>2494</v>
      </c>
      <c r="B1283" t="s">
        <v>1193</v>
      </c>
      <c r="C1283">
        <v>38.17</v>
      </c>
      <c r="D1283" t="s">
        <v>608</v>
      </c>
      <c r="E1283" t="s">
        <v>608</v>
      </c>
      <c r="F1283">
        <v>12.36</v>
      </c>
      <c r="G1283">
        <v>8.51</v>
      </c>
      <c r="H1283">
        <v>2</v>
      </c>
      <c r="I1283">
        <v>2</v>
      </c>
      <c r="J1283" t="s">
        <v>3082</v>
      </c>
      <c r="K1283" t="s">
        <v>604</v>
      </c>
    </row>
    <row r="1284" spans="1:11" x14ac:dyDescent="0.2">
      <c r="A1284" t="s">
        <v>2495</v>
      </c>
      <c r="B1284" t="s">
        <v>1193</v>
      </c>
      <c r="C1284">
        <v>41.2</v>
      </c>
      <c r="D1284" t="s">
        <v>608</v>
      </c>
      <c r="E1284" t="s">
        <v>608</v>
      </c>
      <c r="F1284">
        <v>18.78</v>
      </c>
      <c r="G1284">
        <v>13.18</v>
      </c>
      <c r="H1284">
        <v>0.5</v>
      </c>
      <c r="I1284">
        <v>1</v>
      </c>
      <c r="J1284" t="s">
        <v>3082</v>
      </c>
      <c r="K1284" t="s">
        <v>604</v>
      </c>
    </row>
    <row r="1285" spans="1:11" x14ac:dyDescent="0.2">
      <c r="A1285" t="s">
        <v>2496</v>
      </c>
      <c r="B1285" t="s">
        <v>1195</v>
      </c>
      <c r="C1285">
        <v>57.52</v>
      </c>
      <c r="D1285" t="s">
        <v>608</v>
      </c>
      <c r="E1285" t="s">
        <v>608</v>
      </c>
      <c r="F1285">
        <v>34.89</v>
      </c>
      <c r="G1285">
        <v>23.17</v>
      </c>
      <c r="H1285">
        <v>0</v>
      </c>
      <c r="I1285">
        <v>0</v>
      </c>
      <c r="J1285" t="s">
        <v>3082</v>
      </c>
      <c r="K1285" t="s">
        <v>604</v>
      </c>
    </row>
    <row r="1286" spans="1:11" x14ac:dyDescent="0.2">
      <c r="A1286" t="s">
        <v>2497</v>
      </c>
      <c r="B1286" t="s">
        <v>1195</v>
      </c>
      <c r="C1286">
        <v>50.47</v>
      </c>
      <c r="D1286" t="s">
        <v>608</v>
      </c>
      <c r="E1286" t="s">
        <v>608</v>
      </c>
      <c r="F1286">
        <v>21.24</v>
      </c>
      <c r="G1286">
        <v>15.7</v>
      </c>
      <c r="H1286">
        <v>1</v>
      </c>
      <c r="I1286">
        <v>0.5</v>
      </c>
      <c r="J1286" t="s">
        <v>3082</v>
      </c>
      <c r="K1286" t="s">
        <v>604</v>
      </c>
    </row>
    <row r="1287" spans="1:11" x14ac:dyDescent="0.2">
      <c r="A1287" t="s">
        <v>2498</v>
      </c>
      <c r="B1287" t="s">
        <v>1195</v>
      </c>
      <c r="C1287">
        <v>57.94</v>
      </c>
      <c r="D1287" t="s">
        <v>608</v>
      </c>
      <c r="E1287" t="s">
        <v>608</v>
      </c>
      <c r="F1287">
        <v>33.119999999999997</v>
      </c>
      <c r="G1287">
        <v>21.93</v>
      </c>
      <c r="H1287">
        <v>1</v>
      </c>
      <c r="I1287">
        <v>3</v>
      </c>
      <c r="J1287" t="s">
        <v>3082</v>
      </c>
      <c r="K1287" t="s">
        <v>604</v>
      </c>
    </row>
    <row r="1288" spans="1:11" x14ac:dyDescent="0.2">
      <c r="A1288" t="s">
        <v>2499</v>
      </c>
      <c r="B1288" t="s">
        <v>1195</v>
      </c>
      <c r="C1288">
        <v>38.44</v>
      </c>
      <c r="D1288" t="s">
        <v>608</v>
      </c>
      <c r="E1288" t="s">
        <v>608</v>
      </c>
      <c r="F1288">
        <v>10.86</v>
      </c>
      <c r="G1288">
        <v>7.53</v>
      </c>
      <c r="H1288">
        <v>0.5</v>
      </c>
      <c r="I1288">
        <v>0</v>
      </c>
      <c r="J1288" t="s">
        <v>3082</v>
      </c>
      <c r="K1288" t="s">
        <v>604</v>
      </c>
    </row>
    <row r="1289" spans="1:11" x14ac:dyDescent="0.2">
      <c r="A1289" t="s">
        <v>2500</v>
      </c>
      <c r="B1289" t="s">
        <v>1195</v>
      </c>
      <c r="C1289">
        <v>44.46</v>
      </c>
      <c r="D1289" t="s">
        <v>608</v>
      </c>
      <c r="E1289" t="s">
        <v>608</v>
      </c>
      <c r="F1289">
        <v>14.96</v>
      </c>
      <c r="G1289">
        <v>10.81</v>
      </c>
      <c r="H1289">
        <v>1</v>
      </c>
      <c r="I1289">
        <v>1</v>
      </c>
      <c r="J1289" t="s">
        <v>3082</v>
      </c>
      <c r="K1289" t="s">
        <v>604</v>
      </c>
    </row>
    <row r="1290" spans="1:11" x14ac:dyDescent="0.2">
      <c r="A1290" t="s">
        <v>2501</v>
      </c>
      <c r="B1290" t="s">
        <v>1197</v>
      </c>
      <c r="C1290">
        <v>58.15</v>
      </c>
      <c r="D1290" t="s">
        <v>608</v>
      </c>
      <c r="E1290" t="s">
        <v>608</v>
      </c>
      <c r="F1290">
        <v>75.040000000000006</v>
      </c>
      <c r="G1290">
        <v>60.12</v>
      </c>
      <c r="H1290">
        <v>1</v>
      </c>
      <c r="I1290">
        <v>2</v>
      </c>
      <c r="J1290" t="s">
        <v>3082</v>
      </c>
      <c r="K1290" t="s">
        <v>604</v>
      </c>
    </row>
    <row r="1291" spans="1:11" x14ac:dyDescent="0.2">
      <c r="A1291" t="s">
        <v>2502</v>
      </c>
      <c r="B1291" t="s">
        <v>1197</v>
      </c>
      <c r="C1291">
        <v>29.48</v>
      </c>
      <c r="D1291" t="s">
        <v>608</v>
      </c>
      <c r="E1291" t="s">
        <v>608</v>
      </c>
      <c r="F1291">
        <v>4.9800000000000004</v>
      </c>
      <c r="G1291">
        <v>3.9</v>
      </c>
      <c r="H1291">
        <v>0</v>
      </c>
      <c r="I1291">
        <v>0</v>
      </c>
      <c r="J1291" t="s">
        <v>3082</v>
      </c>
      <c r="K1291" t="s">
        <v>604</v>
      </c>
    </row>
    <row r="1292" spans="1:11" x14ac:dyDescent="0.2">
      <c r="A1292" t="s">
        <v>2503</v>
      </c>
      <c r="B1292" t="s">
        <v>1197</v>
      </c>
      <c r="C1292">
        <v>90.09</v>
      </c>
      <c r="D1292" t="s">
        <v>608</v>
      </c>
      <c r="E1292" t="s">
        <v>608</v>
      </c>
      <c r="F1292">
        <v>114.34</v>
      </c>
      <c r="G1292">
        <v>83.95</v>
      </c>
      <c r="H1292">
        <v>1</v>
      </c>
      <c r="I1292">
        <v>2</v>
      </c>
      <c r="J1292" t="s">
        <v>3082</v>
      </c>
      <c r="K1292" t="s">
        <v>604</v>
      </c>
    </row>
    <row r="1293" spans="1:11" x14ac:dyDescent="0.2">
      <c r="A1293" t="s">
        <v>2504</v>
      </c>
      <c r="B1293" t="s">
        <v>1197</v>
      </c>
      <c r="C1293">
        <v>47.19</v>
      </c>
      <c r="D1293" t="s">
        <v>608</v>
      </c>
      <c r="E1293" t="s">
        <v>608</v>
      </c>
      <c r="F1293">
        <v>20.12</v>
      </c>
      <c r="G1293">
        <v>16.66</v>
      </c>
      <c r="H1293">
        <v>0.5</v>
      </c>
      <c r="I1293">
        <v>0.5</v>
      </c>
      <c r="J1293" t="s">
        <v>3082</v>
      </c>
      <c r="K1293" t="s">
        <v>604</v>
      </c>
    </row>
    <row r="1294" spans="1:11" x14ac:dyDescent="0.2">
      <c r="A1294" t="s">
        <v>2505</v>
      </c>
      <c r="B1294" t="s">
        <v>1197</v>
      </c>
      <c r="C1294">
        <v>41.23</v>
      </c>
      <c r="D1294" t="s">
        <v>608</v>
      </c>
      <c r="E1294" t="s">
        <v>608</v>
      </c>
      <c r="F1294">
        <v>15.47</v>
      </c>
      <c r="G1294">
        <v>12.91</v>
      </c>
      <c r="H1294">
        <v>0.5</v>
      </c>
      <c r="I1294">
        <v>0.5</v>
      </c>
      <c r="J1294" t="s">
        <v>3082</v>
      </c>
      <c r="K1294" t="s">
        <v>604</v>
      </c>
    </row>
    <row r="1295" spans="1:11" x14ac:dyDescent="0.2">
      <c r="A1295" t="s">
        <v>2506</v>
      </c>
      <c r="B1295" t="s">
        <v>1199</v>
      </c>
      <c r="C1295">
        <v>65.95</v>
      </c>
      <c r="D1295" t="s">
        <v>608</v>
      </c>
      <c r="E1295" t="s">
        <v>608</v>
      </c>
      <c r="F1295">
        <v>55.41</v>
      </c>
      <c r="G1295">
        <v>43.12</v>
      </c>
      <c r="H1295">
        <v>0</v>
      </c>
      <c r="I1295">
        <v>0</v>
      </c>
      <c r="J1295" t="s">
        <v>3082</v>
      </c>
      <c r="K1295" t="s">
        <v>604</v>
      </c>
    </row>
    <row r="1296" spans="1:11" x14ac:dyDescent="0.2">
      <c r="A1296" t="s">
        <v>2507</v>
      </c>
      <c r="B1296" t="s">
        <v>1199</v>
      </c>
      <c r="C1296">
        <v>38.409999999999997</v>
      </c>
      <c r="D1296" t="s">
        <v>608</v>
      </c>
      <c r="E1296" t="s">
        <v>608</v>
      </c>
      <c r="F1296">
        <v>12.16</v>
      </c>
      <c r="G1296">
        <v>8.94</v>
      </c>
      <c r="H1296">
        <v>0</v>
      </c>
      <c r="I1296">
        <v>0</v>
      </c>
      <c r="J1296" t="s">
        <v>3082</v>
      </c>
      <c r="K1296" t="s">
        <v>604</v>
      </c>
    </row>
    <row r="1297" spans="1:11" x14ac:dyDescent="0.2">
      <c r="A1297" t="s">
        <v>2508</v>
      </c>
      <c r="B1297" t="s">
        <v>1199</v>
      </c>
      <c r="C1297">
        <v>75.5</v>
      </c>
      <c r="D1297" t="s">
        <v>608</v>
      </c>
      <c r="E1297" t="s">
        <v>608</v>
      </c>
      <c r="F1297">
        <v>59.29</v>
      </c>
      <c r="G1297">
        <v>45.2</v>
      </c>
      <c r="H1297">
        <v>0</v>
      </c>
      <c r="I1297">
        <v>0</v>
      </c>
      <c r="J1297" t="s">
        <v>3082</v>
      </c>
      <c r="K1297" t="s">
        <v>604</v>
      </c>
    </row>
    <row r="1298" spans="1:11" x14ac:dyDescent="0.2">
      <c r="A1298" t="s">
        <v>2509</v>
      </c>
      <c r="B1298" t="s">
        <v>1199</v>
      </c>
      <c r="C1298">
        <v>43.8</v>
      </c>
      <c r="D1298" t="s">
        <v>608</v>
      </c>
      <c r="E1298" t="s">
        <v>608</v>
      </c>
      <c r="F1298">
        <v>16.489999999999998</v>
      </c>
      <c r="G1298">
        <v>12.1</v>
      </c>
      <c r="H1298">
        <v>0</v>
      </c>
      <c r="I1298">
        <v>0</v>
      </c>
      <c r="J1298" t="s">
        <v>3082</v>
      </c>
      <c r="K1298" t="s">
        <v>604</v>
      </c>
    </row>
    <row r="1299" spans="1:11" x14ac:dyDescent="0.2">
      <c r="A1299" t="s">
        <v>2510</v>
      </c>
      <c r="B1299" t="s">
        <v>1199</v>
      </c>
      <c r="C1299">
        <v>45.21</v>
      </c>
      <c r="D1299" t="s">
        <v>608</v>
      </c>
      <c r="E1299" t="s">
        <v>608</v>
      </c>
      <c r="F1299">
        <v>19.54</v>
      </c>
      <c r="G1299">
        <v>14.01</v>
      </c>
      <c r="H1299">
        <v>0</v>
      </c>
      <c r="I1299">
        <v>0</v>
      </c>
      <c r="J1299" t="s">
        <v>3082</v>
      </c>
      <c r="K1299" t="s">
        <v>604</v>
      </c>
    </row>
    <row r="1300" spans="1:11" x14ac:dyDescent="0.2">
      <c r="A1300" t="s">
        <v>2511</v>
      </c>
      <c r="B1300" t="s">
        <v>1201</v>
      </c>
      <c r="C1300">
        <v>39.19</v>
      </c>
      <c r="D1300" t="s">
        <v>608</v>
      </c>
      <c r="E1300" t="s">
        <v>608</v>
      </c>
      <c r="F1300">
        <v>11.85</v>
      </c>
      <c r="G1300">
        <v>8.76</v>
      </c>
      <c r="H1300">
        <v>1</v>
      </c>
      <c r="I1300">
        <v>0</v>
      </c>
      <c r="J1300" t="s">
        <v>3082</v>
      </c>
      <c r="K1300" t="s">
        <v>604</v>
      </c>
    </row>
    <row r="1301" spans="1:11" x14ac:dyDescent="0.2">
      <c r="A1301" t="s">
        <v>2512</v>
      </c>
      <c r="B1301" t="s">
        <v>1201</v>
      </c>
      <c r="C1301">
        <v>93.58</v>
      </c>
      <c r="D1301" t="s">
        <v>608</v>
      </c>
      <c r="E1301" t="s">
        <v>608</v>
      </c>
      <c r="F1301">
        <v>131.53</v>
      </c>
      <c r="G1301">
        <v>94.6</v>
      </c>
      <c r="H1301">
        <v>2</v>
      </c>
      <c r="I1301">
        <v>1</v>
      </c>
      <c r="J1301" t="s">
        <v>3082</v>
      </c>
      <c r="K1301" t="s">
        <v>604</v>
      </c>
    </row>
    <row r="1302" spans="1:11" x14ac:dyDescent="0.2">
      <c r="A1302" t="s">
        <v>2513</v>
      </c>
      <c r="B1302" t="s">
        <v>1201</v>
      </c>
      <c r="C1302">
        <v>62.63</v>
      </c>
      <c r="D1302" t="s">
        <v>608</v>
      </c>
      <c r="E1302" t="s">
        <v>608</v>
      </c>
      <c r="F1302">
        <v>26.43</v>
      </c>
      <c r="G1302">
        <v>18.760000000000002</v>
      </c>
      <c r="H1302">
        <v>2</v>
      </c>
      <c r="I1302">
        <v>2</v>
      </c>
      <c r="J1302" t="s">
        <v>3082</v>
      </c>
      <c r="K1302" t="s">
        <v>604</v>
      </c>
    </row>
    <row r="1303" spans="1:11" x14ac:dyDescent="0.2">
      <c r="A1303" t="s">
        <v>2514</v>
      </c>
      <c r="B1303" t="s">
        <v>1201</v>
      </c>
      <c r="C1303">
        <v>56.89</v>
      </c>
      <c r="D1303" t="s">
        <v>608</v>
      </c>
      <c r="E1303" t="s">
        <v>608</v>
      </c>
      <c r="F1303">
        <v>41.11</v>
      </c>
      <c r="G1303">
        <v>30.78</v>
      </c>
      <c r="H1303">
        <v>3</v>
      </c>
      <c r="I1303">
        <v>3</v>
      </c>
      <c r="J1303" t="s">
        <v>3082</v>
      </c>
      <c r="K1303" t="s">
        <v>604</v>
      </c>
    </row>
    <row r="1304" spans="1:11" x14ac:dyDescent="0.2">
      <c r="A1304" t="s">
        <v>2515</v>
      </c>
      <c r="B1304" t="s">
        <v>1201</v>
      </c>
      <c r="C1304">
        <v>52.13</v>
      </c>
      <c r="D1304" t="s">
        <v>608</v>
      </c>
      <c r="E1304" t="s">
        <v>608</v>
      </c>
      <c r="F1304">
        <v>36.65</v>
      </c>
      <c r="G1304">
        <v>27.67</v>
      </c>
      <c r="H1304">
        <v>1</v>
      </c>
      <c r="I1304">
        <v>2</v>
      </c>
      <c r="J1304" t="s">
        <v>3082</v>
      </c>
      <c r="K1304" t="s">
        <v>604</v>
      </c>
    </row>
    <row r="1305" spans="1:11" x14ac:dyDescent="0.2">
      <c r="A1305" t="s">
        <v>2516</v>
      </c>
      <c r="B1305" t="s">
        <v>1203</v>
      </c>
      <c r="C1305">
        <v>72.930000000000007</v>
      </c>
      <c r="D1305" t="s">
        <v>608</v>
      </c>
      <c r="E1305" t="s">
        <v>608</v>
      </c>
      <c r="F1305">
        <v>43.51</v>
      </c>
      <c r="G1305">
        <v>33.869999999999997</v>
      </c>
      <c r="H1305">
        <v>0</v>
      </c>
      <c r="I1305">
        <v>0</v>
      </c>
      <c r="J1305" t="s">
        <v>3082</v>
      </c>
      <c r="K1305" t="s">
        <v>604</v>
      </c>
    </row>
    <row r="1306" spans="1:11" x14ac:dyDescent="0.2">
      <c r="A1306" t="s">
        <v>2517</v>
      </c>
      <c r="B1306" t="s">
        <v>1203</v>
      </c>
      <c r="C1306">
        <v>62.93</v>
      </c>
      <c r="D1306" t="s">
        <v>608</v>
      </c>
      <c r="E1306" t="s">
        <v>608</v>
      </c>
      <c r="F1306">
        <v>49.04</v>
      </c>
      <c r="G1306">
        <v>35.54</v>
      </c>
      <c r="H1306">
        <v>0</v>
      </c>
      <c r="I1306">
        <v>0.5</v>
      </c>
      <c r="J1306" t="s">
        <v>3082</v>
      </c>
      <c r="K1306" t="s">
        <v>604</v>
      </c>
    </row>
    <row r="1307" spans="1:11" x14ac:dyDescent="0.2">
      <c r="A1307" t="s">
        <v>2518</v>
      </c>
      <c r="B1307" t="s">
        <v>1203</v>
      </c>
      <c r="C1307">
        <v>66.63</v>
      </c>
      <c r="D1307" t="s">
        <v>608</v>
      </c>
      <c r="E1307" t="s">
        <v>608</v>
      </c>
      <c r="F1307">
        <v>65.61</v>
      </c>
      <c r="G1307">
        <v>48.77</v>
      </c>
      <c r="H1307">
        <v>0</v>
      </c>
      <c r="I1307">
        <v>0</v>
      </c>
      <c r="J1307" t="s">
        <v>3082</v>
      </c>
      <c r="K1307" t="s">
        <v>604</v>
      </c>
    </row>
    <row r="1308" spans="1:11" x14ac:dyDescent="0.2">
      <c r="A1308" t="s">
        <v>2519</v>
      </c>
      <c r="B1308" t="s">
        <v>1203</v>
      </c>
      <c r="C1308">
        <v>71.02</v>
      </c>
      <c r="D1308" t="s">
        <v>608</v>
      </c>
      <c r="E1308" t="s">
        <v>608</v>
      </c>
      <c r="F1308">
        <v>67.180000000000007</v>
      </c>
      <c r="G1308">
        <v>49.16</v>
      </c>
      <c r="H1308">
        <v>0</v>
      </c>
      <c r="I1308">
        <v>0</v>
      </c>
      <c r="J1308" t="s">
        <v>3082</v>
      </c>
      <c r="K1308" t="s">
        <v>604</v>
      </c>
    </row>
    <row r="1309" spans="1:11" x14ac:dyDescent="0.2">
      <c r="A1309" t="s">
        <v>2520</v>
      </c>
      <c r="B1309" t="s">
        <v>1203</v>
      </c>
      <c r="C1309">
        <v>46.75</v>
      </c>
      <c r="D1309" t="s">
        <v>608</v>
      </c>
      <c r="E1309" t="s">
        <v>608</v>
      </c>
      <c r="F1309">
        <v>26.99</v>
      </c>
      <c r="G1309">
        <v>20.2</v>
      </c>
      <c r="H1309">
        <v>2</v>
      </c>
      <c r="I1309">
        <v>2</v>
      </c>
      <c r="J1309" t="s">
        <v>3082</v>
      </c>
      <c r="K1309" t="s">
        <v>604</v>
      </c>
    </row>
    <row r="1310" spans="1:11" x14ac:dyDescent="0.2">
      <c r="A1310" t="s">
        <v>2521</v>
      </c>
      <c r="B1310" t="s">
        <v>1217</v>
      </c>
      <c r="C1310">
        <v>63.71</v>
      </c>
      <c r="D1310" t="s">
        <v>608</v>
      </c>
      <c r="E1310" t="s">
        <v>608</v>
      </c>
      <c r="F1310">
        <v>37.909999999999997</v>
      </c>
      <c r="G1310">
        <v>25.51</v>
      </c>
      <c r="H1310">
        <v>1</v>
      </c>
      <c r="I1310">
        <v>1</v>
      </c>
      <c r="J1310" t="s">
        <v>3082</v>
      </c>
      <c r="K1310" t="s">
        <v>604</v>
      </c>
    </row>
    <row r="1311" spans="1:11" x14ac:dyDescent="0.2">
      <c r="A1311" t="s">
        <v>2522</v>
      </c>
      <c r="B1311" t="s">
        <v>1217</v>
      </c>
      <c r="C1311">
        <v>52.42</v>
      </c>
      <c r="D1311" t="s">
        <v>608</v>
      </c>
      <c r="E1311" t="s">
        <v>608</v>
      </c>
      <c r="F1311">
        <v>32.89</v>
      </c>
      <c r="G1311">
        <v>23.87</v>
      </c>
      <c r="H1311">
        <v>1</v>
      </c>
      <c r="I1311">
        <v>1</v>
      </c>
      <c r="J1311" t="s">
        <v>3082</v>
      </c>
      <c r="K1311" t="s">
        <v>604</v>
      </c>
    </row>
    <row r="1312" spans="1:11" x14ac:dyDescent="0.2">
      <c r="A1312" t="s">
        <v>2523</v>
      </c>
      <c r="B1312" t="s">
        <v>1217</v>
      </c>
      <c r="C1312">
        <v>47.99</v>
      </c>
      <c r="D1312" t="s">
        <v>608</v>
      </c>
      <c r="E1312" t="s">
        <v>608</v>
      </c>
      <c r="F1312">
        <v>30.72</v>
      </c>
      <c r="G1312">
        <v>22.94</v>
      </c>
      <c r="H1312">
        <v>1</v>
      </c>
      <c r="I1312">
        <v>1</v>
      </c>
      <c r="J1312" t="s">
        <v>3082</v>
      </c>
      <c r="K1312" t="s">
        <v>604</v>
      </c>
    </row>
    <row r="1313" spans="1:11" x14ac:dyDescent="0.2">
      <c r="A1313" t="s">
        <v>2524</v>
      </c>
      <c r="B1313" t="s">
        <v>1217</v>
      </c>
      <c r="C1313">
        <v>56.26</v>
      </c>
      <c r="D1313" t="s">
        <v>608</v>
      </c>
      <c r="E1313" t="s">
        <v>608</v>
      </c>
      <c r="F1313">
        <v>40.090000000000003</v>
      </c>
      <c r="G1313">
        <v>29.42</v>
      </c>
      <c r="H1313">
        <v>0</v>
      </c>
      <c r="I1313">
        <v>0</v>
      </c>
      <c r="J1313" t="s">
        <v>3082</v>
      </c>
      <c r="K1313" t="s">
        <v>604</v>
      </c>
    </row>
    <row r="1314" spans="1:11" x14ac:dyDescent="0.2">
      <c r="A1314" t="s">
        <v>2525</v>
      </c>
      <c r="B1314" t="s">
        <v>1217</v>
      </c>
      <c r="C1314">
        <v>49.85</v>
      </c>
      <c r="D1314" t="s">
        <v>608</v>
      </c>
      <c r="E1314" t="s">
        <v>608</v>
      </c>
      <c r="F1314">
        <v>36.65</v>
      </c>
      <c r="G1314">
        <v>26.06</v>
      </c>
      <c r="H1314">
        <v>1</v>
      </c>
      <c r="I1314">
        <v>1</v>
      </c>
      <c r="J1314" t="s">
        <v>3082</v>
      </c>
      <c r="K1314" t="s">
        <v>604</v>
      </c>
    </row>
    <row r="1315" spans="1:11" x14ac:dyDescent="0.2">
      <c r="A1315" t="s">
        <v>2526</v>
      </c>
      <c r="B1315" t="s">
        <v>1219</v>
      </c>
      <c r="C1315">
        <v>62.56</v>
      </c>
      <c r="D1315" t="s">
        <v>608</v>
      </c>
      <c r="E1315" t="s">
        <v>608</v>
      </c>
      <c r="F1315">
        <v>64.44</v>
      </c>
      <c r="G1315">
        <v>47.57</v>
      </c>
      <c r="H1315">
        <v>0</v>
      </c>
      <c r="I1315">
        <v>0.5</v>
      </c>
      <c r="J1315" t="s">
        <v>3082</v>
      </c>
      <c r="K1315" t="s">
        <v>604</v>
      </c>
    </row>
    <row r="1316" spans="1:11" x14ac:dyDescent="0.2">
      <c r="A1316" t="s">
        <v>2527</v>
      </c>
      <c r="B1316" t="s">
        <v>1219</v>
      </c>
      <c r="C1316">
        <v>83.06</v>
      </c>
      <c r="D1316" t="s">
        <v>608</v>
      </c>
      <c r="E1316" t="s">
        <v>608</v>
      </c>
      <c r="F1316">
        <v>56.2</v>
      </c>
      <c r="G1316">
        <v>39.840000000000003</v>
      </c>
      <c r="H1316">
        <v>1</v>
      </c>
      <c r="I1316">
        <v>1</v>
      </c>
      <c r="J1316" t="s">
        <v>3082</v>
      </c>
      <c r="K1316" t="s">
        <v>604</v>
      </c>
    </row>
    <row r="1317" spans="1:11" x14ac:dyDescent="0.2">
      <c r="A1317" t="s">
        <v>2528</v>
      </c>
      <c r="B1317" t="s">
        <v>1219</v>
      </c>
      <c r="C1317">
        <v>52.77</v>
      </c>
      <c r="D1317" t="s">
        <v>608</v>
      </c>
      <c r="E1317" t="s">
        <v>608</v>
      </c>
      <c r="F1317">
        <v>23.73</v>
      </c>
      <c r="G1317">
        <v>17.14</v>
      </c>
      <c r="H1317">
        <v>0</v>
      </c>
      <c r="I1317">
        <v>0</v>
      </c>
      <c r="J1317" t="s">
        <v>3082</v>
      </c>
      <c r="K1317" t="s">
        <v>604</v>
      </c>
    </row>
    <row r="1318" spans="1:11" x14ac:dyDescent="0.2">
      <c r="A1318" t="s">
        <v>2529</v>
      </c>
      <c r="B1318" t="s">
        <v>1219</v>
      </c>
      <c r="C1318">
        <v>66.349999999999994</v>
      </c>
      <c r="D1318" t="s">
        <v>608</v>
      </c>
      <c r="E1318" t="s">
        <v>608</v>
      </c>
      <c r="F1318">
        <v>51.39</v>
      </c>
      <c r="G1318">
        <v>37.04</v>
      </c>
      <c r="H1318">
        <v>1</v>
      </c>
      <c r="I1318">
        <v>1</v>
      </c>
      <c r="J1318" t="s">
        <v>3082</v>
      </c>
      <c r="K1318" t="s">
        <v>604</v>
      </c>
    </row>
    <row r="1319" spans="1:11" x14ac:dyDescent="0.2">
      <c r="A1319" t="s">
        <v>2530</v>
      </c>
      <c r="B1319" t="s">
        <v>1219</v>
      </c>
      <c r="C1319">
        <v>52.91</v>
      </c>
      <c r="D1319" t="s">
        <v>608</v>
      </c>
      <c r="E1319" t="s">
        <v>608</v>
      </c>
      <c r="F1319">
        <v>20.57</v>
      </c>
      <c r="G1319">
        <v>14.98</v>
      </c>
      <c r="H1319">
        <v>0</v>
      </c>
      <c r="I1319">
        <v>0</v>
      </c>
      <c r="J1319" t="s">
        <v>3082</v>
      </c>
      <c r="K1319" t="s">
        <v>604</v>
      </c>
    </row>
    <row r="1320" spans="1:11" x14ac:dyDescent="0.2">
      <c r="A1320" t="s">
        <v>2531</v>
      </c>
      <c r="B1320" t="s">
        <v>1221</v>
      </c>
      <c r="C1320">
        <v>61.25</v>
      </c>
      <c r="D1320" t="s">
        <v>608</v>
      </c>
      <c r="E1320" t="s">
        <v>608</v>
      </c>
      <c r="F1320">
        <v>45.4</v>
      </c>
      <c r="G1320">
        <v>33.409999999999997</v>
      </c>
      <c r="H1320">
        <v>1</v>
      </c>
      <c r="I1320">
        <v>1</v>
      </c>
      <c r="J1320" t="s">
        <v>3082</v>
      </c>
      <c r="K1320" t="s">
        <v>604</v>
      </c>
    </row>
    <row r="1321" spans="1:11" x14ac:dyDescent="0.2">
      <c r="A1321" t="s">
        <v>2532</v>
      </c>
      <c r="B1321" t="s">
        <v>1221</v>
      </c>
      <c r="C1321">
        <v>70.84</v>
      </c>
      <c r="D1321" t="s">
        <v>608</v>
      </c>
      <c r="E1321" t="s">
        <v>608</v>
      </c>
      <c r="F1321">
        <v>65.89</v>
      </c>
      <c r="G1321">
        <v>48.5</v>
      </c>
      <c r="H1321">
        <v>0.5</v>
      </c>
      <c r="I1321">
        <v>0.5</v>
      </c>
      <c r="J1321" t="s">
        <v>3082</v>
      </c>
      <c r="K1321" t="s">
        <v>604</v>
      </c>
    </row>
    <row r="1322" spans="1:11" x14ac:dyDescent="0.2">
      <c r="A1322" t="s">
        <v>2533</v>
      </c>
      <c r="B1322" t="s">
        <v>1221</v>
      </c>
      <c r="C1322">
        <v>56.85</v>
      </c>
      <c r="D1322" t="s">
        <v>608</v>
      </c>
      <c r="E1322" t="s">
        <v>608</v>
      </c>
      <c r="F1322">
        <v>50.53</v>
      </c>
      <c r="G1322">
        <v>37.83</v>
      </c>
      <c r="H1322">
        <v>1</v>
      </c>
      <c r="I1322">
        <v>1</v>
      </c>
      <c r="J1322" t="s">
        <v>3082</v>
      </c>
      <c r="K1322" t="s">
        <v>604</v>
      </c>
    </row>
    <row r="1323" spans="1:11" x14ac:dyDescent="0.2">
      <c r="A1323" t="s">
        <v>2534</v>
      </c>
      <c r="B1323" t="s">
        <v>1221</v>
      </c>
      <c r="C1323">
        <v>56.7</v>
      </c>
      <c r="D1323" t="s">
        <v>608</v>
      </c>
      <c r="E1323" t="s">
        <v>608</v>
      </c>
      <c r="F1323">
        <v>29.21</v>
      </c>
      <c r="G1323">
        <v>22.58</v>
      </c>
      <c r="H1323">
        <v>1</v>
      </c>
      <c r="I1323">
        <v>1</v>
      </c>
      <c r="J1323" t="s">
        <v>3082</v>
      </c>
      <c r="K1323" t="s">
        <v>604</v>
      </c>
    </row>
    <row r="1324" spans="1:11" x14ac:dyDescent="0.2">
      <c r="A1324" t="s">
        <v>2535</v>
      </c>
      <c r="B1324" t="s">
        <v>1221</v>
      </c>
      <c r="C1324">
        <v>49.76</v>
      </c>
      <c r="D1324" t="s">
        <v>608</v>
      </c>
      <c r="E1324" t="s">
        <v>608</v>
      </c>
      <c r="F1324">
        <v>18.89</v>
      </c>
      <c r="G1324">
        <v>14.39</v>
      </c>
      <c r="H1324">
        <v>0.5</v>
      </c>
      <c r="I1324">
        <v>0.5</v>
      </c>
      <c r="J1324" t="s">
        <v>3082</v>
      </c>
      <c r="K1324" t="s">
        <v>604</v>
      </c>
    </row>
    <row r="1325" spans="1:11" x14ac:dyDescent="0.2">
      <c r="A1325" t="s">
        <v>2536</v>
      </c>
      <c r="B1325" t="s">
        <v>1229</v>
      </c>
      <c r="C1325">
        <v>59.3</v>
      </c>
      <c r="D1325" t="s">
        <v>608</v>
      </c>
      <c r="E1325" t="s">
        <v>608</v>
      </c>
      <c r="F1325">
        <v>45.24</v>
      </c>
      <c r="G1325">
        <v>33.25</v>
      </c>
      <c r="H1325">
        <v>1</v>
      </c>
      <c r="I1325">
        <v>1</v>
      </c>
      <c r="J1325" t="s">
        <v>3082</v>
      </c>
      <c r="K1325" t="s">
        <v>604</v>
      </c>
    </row>
    <row r="1326" spans="1:11" x14ac:dyDescent="0.2">
      <c r="A1326" t="s">
        <v>2537</v>
      </c>
      <c r="B1326" t="s">
        <v>1229</v>
      </c>
      <c r="C1326">
        <v>49.11</v>
      </c>
      <c r="D1326" t="s">
        <v>608</v>
      </c>
      <c r="E1326" t="s">
        <v>608</v>
      </c>
      <c r="F1326">
        <v>45.49</v>
      </c>
      <c r="G1326">
        <v>32.47</v>
      </c>
      <c r="H1326">
        <v>0</v>
      </c>
      <c r="I1326">
        <v>0</v>
      </c>
      <c r="J1326" t="s">
        <v>3082</v>
      </c>
      <c r="K1326" t="s">
        <v>604</v>
      </c>
    </row>
    <row r="1327" spans="1:11" x14ac:dyDescent="0.2">
      <c r="A1327" t="s">
        <v>2538</v>
      </c>
      <c r="B1327" t="s">
        <v>1229</v>
      </c>
      <c r="C1327">
        <v>62.47</v>
      </c>
      <c r="D1327" t="s">
        <v>608</v>
      </c>
      <c r="E1327" t="s">
        <v>608</v>
      </c>
      <c r="F1327">
        <v>54.04</v>
      </c>
      <c r="G1327">
        <v>36.01</v>
      </c>
      <c r="H1327">
        <v>0</v>
      </c>
      <c r="I1327">
        <v>0</v>
      </c>
      <c r="J1327" t="s">
        <v>3082</v>
      </c>
      <c r="K1327" t="s">
        <v>604</v>
      </c>
    </row>
    <row r="1328" spans="1:11" x14ac:dyDescent="0.2">
      <c r="A1328" t="s">
        <v>2539</v>
      </c>
      <c r="B1328" t="s">
        <v>1229</v>
      </c>
      <c r="C1328">
        <v>44.27</v>
      </c>
      <c r="D1328" t="s">
        <v>608</v>
      </c>
      <c r="E1328" t="s">
        <v>608</v>
      </c>
      <c r="F1328">
        <v>20.309999999999999</v>
      </c>
      <c r="G1328">
        <v>14.1</v>
      </c>
      <c r="H1328">
        <v>1</v>
      </c>
      <c r="I1328">
        <v>2</v>
      </c>
      <c r="J1328" t="s">
        <v>3082</v>
      </c>
      <c r="K1328" t="s">
        <v>604</v>
      </c>
    </row>
    <row r="1329" spans="1:11" x14ac:dyDescent="0.2">
      <c r="A1329" t="s">
        <v>2540</v>
      </c>
      <c r="B1329" t="s">
        <v>1229</v>
      </c>
      <c r="C1329">
        <v>59.51</v>
      </c>
      <c r="D1329" t="s">
        <v>608</v>
      </c>
      <c r="E1329" t="s">
        <v>608</v>
      </c>
      <c r="F1329">
        <v>36.340000000000003</v>
      </c>
      <c r="G1329">
        <v>26.03</v>
      </c>
      <c r="H1329">
        <v>0.5</v>
      </c>
      <c r="I1329">
        <v>1</v>
      </c>
      <c r="J1329" t="s">
        <v>3082</v>
      </c>
      <c r="K1329" t="s">
        <v>604</v>
      </c>
    </row>
    <row r="1330" spans="1:11" x14ac:dyDescent="0.2">
      <c r="A1330" t="s">
        <v>2541</v>
      </c>
      <c r="B1330" t="s">
        <v>1231</v>
      </c>
      <c r="C1330">
        <v>53.48</v>
      </c>
      <c r="D1330" t="s">
        <v>608</v>
      </c>
      <c r="E1330" t="s">
        <v>608</v>
      </c>
      <c r="F1330">
        <v>31.03</v>
      </c>
      <c r="G1330">
        <v>23.84</v>
      </c>
      <c r="H1330">
        <v>0</v>
      </c>
      <c r="I1330">
        <v>0</v>
      </c>
      <c r="J1330" t="s">
        <v>3082</v>
      </c>
      <c r="K1330" t="s">
        <v>604</v>
      </c>
    </row>
    <row r="1331" spans="1:11" x14ac:dyDescent="0.2">
      <c r="A1331" t="s">
        <v>2542</v>
      </c>
      <c r="B1331" t="s">
        <v>1231</v>
      </c>
      <c r="C1331">
        <v>58.71</v>
      </c>
      <c r="D1331" t="s">
        <v>608</v>
      </c>
      <c r="E1331" t="s">
        <v>608</v>
      </c>
      <c r="F1331">
        <v>24.37</v>
      </c>
      <c r="G1331">
        <v>18.16</v>
      </c>
      <c r="H1331">
        <v>1</v>
      </c>
      <c r="I1331">
        <v>1</v>
      </c>
      <c r="J1331" t="s">
        <v>3082</v>
      </c>
      <c r="K1331" t="s">
        <v>604</v>
      </c>
    </row>
    <row r="1332" spans="1:11" x14ac:dyDescent="0.2">
      <c r="A1332" t="s">
        <v>2543</v>
      </c>
      <c r="B1332" t="s">
        <v>1231</v>
      </c>
      <c r="C1332">
        <v>53.59</v>
      </c>
      <c r="D1332" t="s">
        <v>608</v>
      </c>
      <c r="E1332" t="s">
        <v>608</v>
      </c>
      <c r="F1332">
        <v>22.17</v>
      </c>
      <c r="G1332">
        <v>15.39</v>
      </c>
      <c r="H1332">
        <v>0.5</v>
      </c>
      <c r="I1332">
        <v>1</v>
      </c>
      <c r="J1332" t="s">
        <v>3082</v>
      </c>
      <c r="K1332" t="s">
        <v>604</v>
      </c>
    </row>
    <row r="1333" spans="1:11" x14ac:dyDescent="0.2">
      <c r="A1333" t="s">
        <v>2544</v>
      </c>
      <c r="B1333" t="s">
        <v>1231</v>
      </c>
      <c r="C1333">
        <v>47.93</v>
      </c>
      <c r="D1333" t="s">
        <v>608</v>
      </c>
      <c r="E1333" t="s">
        <v>608</v>
      </c>
      <c r="F1333">
        <v>31.33</v>
      </c>
      <c r="G1333">
        <v>22.78</v>
      </c>
      <c r="H1333">
        <v>0</v>
      </c>
      <c r="I1333">
        <v>0</v>
      </c>
      <c r="J1333" t="s">
        <v>3082</v>
      </c>
      <c r="K1333" t="s">
        <v>604</v>
      </c>
    </row>
    <row r="1334" spans="1:11" x14ac:dyDescent="0.2">
      <c r="A1334" t="s">
        <v>2545</v>
      </c>
      <c r="B1334" t="s">
        <v>1231</v>
      </c>
      <c r="C1334">
        <v>53.01</v>
      </c>
      <c r="D1334" t="s">
        <v>608</v>
      </c>
      <c r="E1334" t="s">
        <v>608</v>
      </c>
      <c r="F1334">
        <v>16.32</v>
      </c>
      <c r="G1334">
        <v>11.84</v>
      </c>
      <c r="H1334">
        <v>0</v>
      </c>
      <c r="I1334">
        <v>1</v>
      </c>
      <c r="J1334" t="s">
        <v>3082</v>
      </c>
      <c r="K1334" t="s">
        <v>604</v>
      </c>
    </row>
    <row r="1335" spans="1:11" x14ac:dyDescent="0.2">
      <c r="A1335" t="s">
        <v>2546</v>
      </c>
      <c r="B1335" t="s">
        <v>1233</v>
      </c>
      <c r="C1335">
        <v>48.21</v>
      </c>
      <c r="D1335" t="s">
        <v>608</v>
      </c>
      <c r="E1335" t="s">
        <v>608</v>
      </c>
      <c r="F1335">
        <v>25.41</v>
      </c>
      <c r="G1335">
        <v>19.57</v>
      </c>
      <c r="H1335">
        <v>0.5</v>
      </c>
      <c r="I1335">
        <v>0</v>
      </c>
      <c r="J1335" t="s">
        <v>3082</v>
      </c>
      <c r="K1335" t="s">
        <v>604</v>
      </c>
    </row>
    <row r="1336" spans="1:11" x14ac:dyDescent="0.2">
      <c r="A1336" t="s">
        <v>2547</v>
      </c>
      <c r="B1336" t="s">
        <v>1233</v>
      </c>
      <c r="C1336">
        <v>57.35</v>
      </c>
      <c r="D1336" t="s">
        <v>608</v>
      </c>
      <c r="E1336" t="s">
        <v>608</v>
      </c>
      <c r="F1336">
        <v>21.73</v>
      </c>
      <c r="G1336">
        <v>16.11</v>
      </c>
      <c r="H1336">
        <v>0</v>
      </c>
      <c r="I1336">
        <v>0</v>
      </c>
      <c r="J1336" t="s">
        <v>3082</v>
      </c>
      <c r="K1336" t="s">
        <v>604</v>
      </c>
    </row>
    <row r="1337" spans="1:11" x14ac:dyDescent="0.2">
      <c r="A1337" t="s">
        <v>2548</v>
      </c>
      <c r="B1337" t="s">
        <v>1233</v>
      </c>
      <c r="C1337">
        <v>33.03</v>
      </c>
      <c r="D1337" t="s">
        <v>608</v>
      </c>
      <c r="E1337" t="s">
        <v>608</v>
      </c>
      <c r="F1337">
        <v>10.8</v>
      </c>
      <c r="G1337">
        <v>9.02</v>
      </c>
      <c r="H1337">
        <v>0.5</v>
      </c>
      <c r="I1337">
        <v>0.5</v>
      </c>
      <c r="J1337" t="s">
        <v>3082</v>
      </c>
      <c r="K1337" t="s">
        <v>604</v>
      </c>
    </row>
    <row r="1338" spans="1:11" x14ac:dyDescent="0.2">
      <c r="A1338" t="s">
        <v>2549</v>
      </c>
      <c r="B1338" t="s">
        <v>1233</v>
      </c>
      <c r="C1338">
        <v>45.24</v>
      </c>
      <c r="D1338" t="s">
        <v>608</v>
      </c>
      <c r="E1338" t="s">
        <v>608</v>
      </c>
      <c r="F1338">
        <v>20.71</v>
      </c>
      <c r="G1338">
        <v>16.440000000000001</v>
      </c>
      <c r="H1338">
        <v>0</v>
      </c>
      <c r="I1338">
        <v>0</v>
      </c>
      <c r="J1338" t="s">
        <v>3082</v>
      </c>
      <c r="K1338" t="s">
        <v>604</v>
      </c>
    </row>
    <row r="1339" spans="1:11" x14ac:dyDescent="0.2">
      <c r="A1339" t="s">
        <v>2550</v>
      </c>
      <c r="B1339" t="s">
        <v>1233</v>
      </c>
      <c r="C1339">
        <v>65.17</v>
      </c>
      <c r="D1339" t="s">
        <v>608</v>
      </c>
      <c r="E1339" t="s">
        <v>608</v>
      </c>
      <c r="F1339">
        <v>32.159999999999997</v>
      </c>
      <c r="G1339">
        <v>25.25</v>
      </c>
      <c r="H1339">
        <v>4</v>
      </c>
      <c r="I1339">
        <v>3</v>
      </c>
      <c r="J1339" t="s">
        <v>3082</v>
      </c>
      <c r="K1339" t="s">
        <v>604</v>
      </c>
    </row>
    <row r="1340" spans="1:11" x14ac:dyDescent="0.2">
      <c r="A1340" t="s">
        <v>2551</v>
      </c>
      <c r="B1340" t="s">
        <v>1241</v>
      </c>
      <c r="C1340">
        <v>63.77</v>
      </c>
      <c r="D1340" t="s">
        <v>608</v>
      </c>
      <c r="E1340" t="s">
        <v>608</v>
      </c>
      <c r="F1340">
        <v>67.569999999999993</v>
      </c>
      <c r="G1340">
        <v>59.01</v>
      </c>
      <c r="H1340">
        <v>1</v>
      </c>
      <c r="I1340">
        <v>1</v>
      </c>
      <c r="J1340" t="s">
        <v>3082</v>
      </c>
      <c r="K1340" t="s">
        <v>604</v>
      </c>
    </row>
    <row r="1341" spans="1:11" x14ac:dyDescent="0.2">
      <c r="A1341" t="s">
        <v>2552</v>
      </c>
      <c r="B1341" t="s">
        <v>1241</v>
      </c>
      <c r="C1341">
        <v>49.25</v>
      </c>
      <c r="D1341" t="s">
        <v>608</v>
      </c>
      <c r="E1341" t="s">
        <v>608</v>
      </c>
      <c r="F1341">
        <v>37.479999999999997</v>
      </c>
      <c r="G1341">
        <v>27.75</v>
      </c>
      <c r="H1341">
        <v>1</v>
      </c>
      <c r="I1341">
        <v>1</v>
      </c>
      <c r="J1341" t="s">
        <v>3082</v>
      </c>
      <c r="K1341" t="s">
        <v>604</v>
      </c>
    </row>
    <row r="1342" spans="1:11" x14ac:dyDescent="0.2">
      <c r="A1342" t="s">
        <v>2553</v>
      </c>
      <c r="B1342" t="s">
        <v>1241</v>
      </c>
      <c r="C1342">
        <v>62.32</v>
      </c>
      <c r="D1342" t="s">
        <v>608</v>
      </c>
      <c r="E1342" t="s">
        <v>608</v>
      </c>
      <c r="F1342">
        <v>51.72</v>
      </c>
      <c r="G1342">
        <v>36.43</v>
      </c>
      <c r="H1342">
        <v>0</v>
      </c>
      <c r="I1342">
        <v>0</v>
      </c>
      <c r="J1342" t="s">
        <v>3082</v>
      </c>
      <c r="K1342" t="s">
        <v>604</v>
      </c>
    </row>
    <row r="1343" spans="1:11" x14ac:dyDescent="0.2">
      <c r="A1343" t="s">
        <v>2554</v>
      </c>
      <c r="B1343" t="s">
        <v>1241</v>
      </c>
      <c r="C1343">
        <v>54.43</v>
      </c>
      <c r="D1343" t="s">
        <v>608</v>
      </c>
      <c r="E1343" t="s">
        <v>608</v>
      </c>
      <c r="F1343">
        <v>21.91</v>
      </c>
      <c r="G1343">
        <v>15.1</v>
      </c>
      <c r="H1343">
        <v>0</v>
      </c>
      <c r="I1343">
        <v>1</v>
      </c>
      <c r="J1343" t="s">
        <v>3082</v>
      </c>
      <c r="K1343" t="s">
        <v>604</v>
      </c>
    </row>
    <row r="1344" spans="1:11" x14ac:dyDescent="0.2">
      <c r="A1344" t="s">
        <v>2555</v>
      </c>
      <c r="B1344" t="s">
        <v>1241</v>
      </c>
      <c r="C1344">
        <v>51.77</v>
      </c>
      <c r="D1344" t="s">
        <v>608</v>
      </c>
      <c r="E1344" t="s">
        <v>608</v>
      </c>
      <c r="F1344">
        <v>37.479999999999997</v>
      </c>
      <c r="G1344">
        <v>26.23</v>
      </c>
      <c r="H1344">
        <v>0</v>
      </c>
      <c r="I1344">
        <v>0</v>
      </c>
      <c r="J1344" t="s">
        <v>3082</v>
      </c>
      <c r="K1344" t="s">
        <v>604</v>
      </c>
    </row>
    <row r="1345" spans="1:11" x14ac:dyDescent="0.2">
      <c r="A1345" t="s">
        <v>2556</v>
      </c>
      <c r="B1345" t="s">
        <v>1243</v>
      </c>
      <c r="C1345">
        <v>52.41</v>
      </c>
      <c r="D1345" t="s">
        <v>608</v>
      </c>
      <c r="E1345" t="s">
        <v>608</v>
      </c>
      <c r="F1345">
        <v>50.57</v>
      </c>
      <c r="G1345">
        <v>36.6</v>
      </c>
      <c r="H1345">
        <v>0.5</v>
      </c>
      <c r="I1345">
        <v>2</v>
      </c>
      <c r="J1345" t="s">
        <v>3082</v>
      </c>
      <c r="K1345" t="s">
        <v>604</v>
      </c>
    </row>
    <row r="1346" spans="1:11" x14ac:dyDescent="0.2">
      <c r="A1346" t="s">
        <v>2557</v>
      </c>
      <c r="B1346" t="s">
        <v>1243</v>
      </c>
      <c r="C1346">
        <v>57.31</v>
      </c>
      <c r="D1346" t="s">
        <v>608</v>
      </c>
      <c r="E1346" t="s">
        <v>608</v>
      </c>
      <c r="F1346">
        <v>52.26</v>
      </c>
      <c r="G1346">
        <v>41.48</v>
      </c>
      <c r="H1346">
        <v>1</v>
      </c>
      <c r="I1346">
        <v>2</v>
      </c>
      <c r="J1346" t="s">
        <v>3082</v>
      </c>
      <c r="K1346" t="s">
        <v>604</v>
      </c>
    </row>
    <row r="1347" spans="1:11" x14ac:dyDescent="0.2">
      <c r="A1347" t="s">
        <v>2558</v>
      </c>
      <c r="B1347" t="s">
        <v>1243</v>
      </c>
      <c r="C1347">
        <v>56.61</v>
      </c>
      <c r="D1347" t="s">
        <v>608</v>
      </c>
      <c r="E1347" t="s">
        <v>608</v>
      </c>
      <c r="F1347">
        <v>53.2</v>
      </c>
      <c r="G1347">
        <v>41.08</v>
      </c>
      <c r="H1347">
        <v>0</v>
      </c>
      <c r="I1347">
        <v>0.5</v>
      </c>
      <c r="J1347" t="s">
        <v>3082</v>
      </c>
      <c r="K1347" t="s">
        <v>604</v>
      </c>
    </row>
    <row r="1348" spans="1:11" x14ac:dyDescent="0.2">
      <c r="A1348" t="s">
        <v>2559</v>
      </c>
      <c r="B1348" t="s">
        <v>1243</v>
      </c>
      <c r="C1348">
        <v>55.07</v>
      </c>
      <c r="D1348" t="s">
        <v>608</v>
      </c>
      <c r="E1348" t="s">
        <v>608</v>
      </c>
      <c r="F1348">
        <v>40.67</v>
      </c>
      <c r="G1348">
        <v>29.81</v>
      </c>
      <c r="H1348">
        <v>1</v>
      </c>
      <c r="I1348">
        <v>1</v>
      </c>
      <c r="J1348" t="s">
        <v>3082</v>
      </c>
      <c r="K1348" t="s">
        <v>604</v>
      </c>
    </row>
    <row r="1349" spans="1:11" x14ac:dyDescent="0.2">
      <c r="A1349" t="s">
        <v>2560</v>
      </c>
      <c r="B1349" t="s">
        <v>1243</v>
      </c>
      <c r="C1349">
        <v>63.41</v>
      </c>
      <c r="D1349" t="s">
        <v>608</v>
      </c>
      <c r="E1349" t="s">
        <v>608</v>
      </c>
      <c r="F1349">
        <v>47.45</v>
      </c>
      <c r="G1349">
        <v>36.270000000000003</v>
      </c>
      <c r="H1349">
        <v>0.5</v>
      </c>
      <c r="I1349">
        <v>0</v>
      </c>
      <c r="J1349" t="s">
        <v>3082</v>
      </c>
      <c r="K1349" t="s">
        <v>604</v>
      </c>
    </row>
    <row r="1350" spans="1:11" x14ac:dyDescent="0.2">
      <c r="A1350" t="s">
        <v>2561</v>
      </c>
      <c r="B1350" t="s">
        <v>1245</v>
      </c>
      <c r="C1350">
        <v>74.510000000000005</v>
      </c>
      <c r="D1350" t="s">
        <v>608</v>
      </c>
      <c r="E1350" t="s">
        <v>608</v>
      </c>
      <c r="F1350">
        <v>44.55</v>
      </c>
      <c r="G1350">
        <v>34.409999999999997</v>
      </c>
      <c r="H1350">
        <v>0</v>
      </c>
      <c r="I1350">
        <v>0</v>
      </c>
      <c r="J1350" t="s">
        <v>3082</v>
      </c>
      <c r="K1350" t="s">
        <v>604</v>
      </c>
    </row>
    <row r="1351" spans="1:11" x14ac:dyDescent="0.2">
      <c r="A1351" t="s">
        <v>2562</v>
      </c>
      <c r="B1351" t="s">
        <v>1245</v>
      </c>
      <c r="C1351">
        <v>53.25</v>
      </c>
      <c r="D1351" t="s">
        <v>608</v>
      </c>
      <c r="E1351" t="s">
        <v>608</v>
      </c>
      <c r="F1351">
        <v>35.14</v>
      </c>
      <c r="G1351">
        <v>25.28</v>
      </c>
      <c r="H1351">
        <v>0.5</v>
      </c>
      <c r="I1351">
        <v>1</v>
      </c>
      <c r="J1351" t="s">
        <v>3082</v>
      </c>
      <c r="K1351" t="s">
        <v>604</v>
      </c>
    </row>
    <row r="1352" spans="1:11" x14ac:dyDescent="0.2">
      <c r="A1352" t="s">
        <v>2563</v>
      </c>
      <c r="B1352" t="s">
        <v>1245</v>
      </c>
      <c r="C1352">
        <v>65.52</v>
      </c>
      <c r="D1352" t="s">
        <v>608</v>
      </c>
      <c r="E1352" t="s">
        <v>608</v>
      </c>
      <c r="F1352">
        <v>42.31</v>
      </c>
      <c r="G1352">
        <v>30.3</v>
      </c>
      <c r="H1352">
        <v>1</v>
      </c>
      <c r="I1352">
        <v>1</v>
      </c>
      <c r="J1352" t="s">
        <v>3082</v>
      </c>
      <c r="K1352" t="s">
        <v>604</v>
      </c>
    </row>
    <row r="1353" spans="1:11" x14ac:dyDescent="0.2">
      <c r="A1353" t="s">
        <v>2564</v>
      </c>
      <c r="B1353" t="s">
        <v>1245</v>
      </c>
      <c r="C1353">
        <v>46.59</v>
      </c>
      <c r="D1353" t="s">
        <v>608</v>
      </c>
      <c r="E1353" t="s">
        <v>608</v>
      </c>
      <c r="F1353">
        <v>18.04</v>
      </c>
      <c r="G1353">
        <v>13.38</v>
      </c>
      <c r="H1353">
        <v>4</v>
      </c>
      <c r="I1353">
        <v>4</v>
      </c>
      <c r="J1353" t="s">
        <v>3082</v>
      </c>
      <c r="K1353" t="s">
        <v>604</v>
      </c>
    </row>
    <row r="1354" spans="1:11" x14ac:dyDescent="0.2">
      <c r="A1354" t="s">
        <v>2565</v>
      </c>
      <c r="B1354" t="s">
        <v>1245</v>
      </c>
      <c r="C1354">
        <v>51.24</v>
      </c>
      <c r="D1354" t="s">
        <v>608</v>
      </c>
      <c r="E1354" t="s">
        <v>608</v>
      </c>
      <c r="F1354">
        <v>20.25</v>
      </c>
      <c r="G1354">
        <v>14.99</v>
      </c>
      <c r="H1354">
        <v>0</v>
      </c>
      <c r="I1354">
        <v>0</v>
      </c>
      <c r="J1354" t="s">
        <v>3082</v>
      </c>
      <c r="K1354" t="s">
        <v>604</v>
      </c>
    </row>
    <row r="1355" spans="1:11" x14ac:dyDescent="0.2">
      <c r="A1355" t="s">
        <v>2566</v>
      </c>
      <c r="B1355" t="s">
        <v>1253</v>
      </c>
      <c r="C1355">
        <v>66.27</v>
      </c>
      <c r="D1355" t="s">
        <v>608</v>
      </c>
      <c r="E1355" t="s">
        <v>608</v>
      </c>
      <c r="F1355">
        <v>67.8</v>
      </c>
      <c r="G1355">
        <v>51.68</v>
      </c>
      <c r="H1355">
        <v>0</v>
      </c>
      <c r="I1355">
        <v>0</v>
      </c>
      <c r="J1355" t="s">
        <v>3082</v>
      </c>
      <c r="K1355" t="s">
        <v>604</v>
      </c>
    </row>
    <row r="1356" spans="1:11" x14ac:dyDescent="0.2">
      <c r="A1356" t="s">
        <v>2567</v>
      </c>
      <c r="B1356" t="s">
        <v>1253</v>
      </c>
      <c r="C1356">
        <v>61.72</v>
      </c>
      <c r="D1356" t="s">
        <v>608</v>
      </c>
      <c r="E1356" t="s">
        <v>608</v>
      </c>
      <c r="F1356">
        <v>41.53</v>
      </c>
      <c r="G1356">
        <v>28.69</v>
      </c>
      <c r="H1356">
        <v>0</v>
      </c>
      <c r="I1356">
        <v>0</v>
      </c>
      <c r="J1356" t="s">
        <v>3082</v>
      </c>
      <c r="K1356" t="s">
        <v>604</v>
      </c>
    </row>
    <row r="1357" spans="1:11" x14ac:dyDescent="0.2">
      <c r="A1357" t="s">
        <v>2568</v>
      </c>
      <c r="B1357" t="s">
        <v>1253</v>
      </c>
      <c r="C1357">
        <v>73.75</v>
      </c>
      <c r="D1357" t="s">
        <v>608</v>
      </c>
      <c r="E1357" t="s">
        <v>608</v>
      </c>
      <c r="F1357">
        <v>42.42</v>
      </c>
      <c r="G1357">
        <v>32.15</v>
      </c>
      <c r="H1357">
        <v>0</v>
      </c>
      <c r="I1357">
        <v>0</v>
      </c>
      <c r="J1357" t="s">
        <v>3082</v>
      </c>
      <c r="K1357" t="s">
        <v>604</v>
      </c>
    </row>
    <row r="1358" spans="1:11" x14ac:dyDescent="0.2">
      <c r="A1358" t="s">
        <v>2569</v>
      </c>
      <c r="B1358" t="s">
        <v>1253</v>
      </c>
      <c r="C1358">
        <v>67.2</v>
      </c>
      <c r="D1358" t="s">
        <v>608</v>
      </c>
      <c r="E1358" t="s">
        <v>608</v>
      </c>
      <c r="F1358">
        <v>74.66</v>
      </c>
      <c r="G1358">
        <v>58.7</v>
      </c>
      <c r="H1358">
        <v>5</v>
      </c>
      <c r="I1358">
        <v>5</v>
      </c>
      <c r="J1358" t="s">
        <v>3082</v>
      </c>
      <c r="K1358" t="s">
        <v>604</v>
      </c>
    </row>
    <row r="1359" spans="1:11" x14ac:dyDescent="0.2">
      <c r="A1359" t="s">
        <v>2570</v>
      </c>
      <c r="B1359" t="s">
        <v>1253</v>
      </c>
      <c r="C1359">
        <v>78.87</v>
      </c>
      <c r="D1359" t="s">
        <v>608</v>
      </c>
      <c r="E1359" t="s">
        <v>608</v>
      </c>
      <c r="F1359">
        <v>75.81</v>
      </c>
      <c r="G1359">
        <v>57.57</v>
      </c>
      <c r="H1359">
        <v>0</v>
      </c>
      <c r="I1359">
        <v>0</v>
      </c>
      <c r="J1359" t="s">
        <v>3082</v>
      </c>
      <c r="K1359" t="s">
        <v>604</v>
      </c>
    </row>
    <row r="1360" spans="1:11" x14ac:dyDescent="0.2">
      <c r="A1360" t="s">
        <v>2571</v>
      </c>
      <c r="B1360" t="s">
        <v>1255</v>
      </c>
      <c r="C1360">
        <v>49.38</v>
      </c>
      <c r="D1360" t="s">
        <v>608</v>
      </c>
      <c r="E1360" t="s">
        <v>608</v>
      </c>
      <c r="F1360">
        <v>32.46</v>
      </c>
      <c r="G1360">
        <v>25.22</v>
      </c>
      <c r="H1360">
        <v>0</v>
      </c>
      <c r="I1360">
        <v>0</v>
      </c>
      <c r="J1360" t="s">
        <v>3082</v>
      </c>
      <c r="K1360" t="s">
        <v>604</v>
      </c>
    </row>
    <row r="1361" spans="1:11" x14ac:dyDescent="0.2">
      <c r="A1361" t="s">
        <v>2572</v>
      </c>
      <c r="B1361" t="s">
        <v>1255</v>
      </c>
      <c r="C1361">
        <v>72.55</v>
      </c>
      <c r="D1361" t="s">
        <v>608</v>
      </c>
      <c r="E1361" t="s">
        <v>608</v>
      </c>
      <c r="F1361">
        <v>56.42</v>
      </c>
      <c r="G1361">
        <v>43.47</v>
      </c>
      <c r="H1361">
        <v>0</v>
      </c>
      <c r="I1361">
        <v>0</v>
      </c>
      <c r="J1361" t="s">
        <v>3082</v>
      </c>
      <c r="K1361" t="s">
        <v>604</v>
      </c>
    </row>
    <row r="1362" spans="1:11" x14ac:dyDescent="0.2">
      <c r="A1362" t="s">
        <v>2573</v>
      </c>
      <c r="B1362" t="s">
        <v>1255</v>
      </c>
      <c r="C1362">
        <v>68.900000000000006</v>
      </c>
      <c r="D1362" t="s">
        <v>608</v>
      </c>
      <c r="E1362" t="s">
        <v>608</v>
      </c>
      <c r="F1362">
        <v>64.17</v>
      </c>
      <c r="G1362">
        <v>45.07</v>
      </c>
      <c r="H1362">
        <v>1</v>
      </c>
      <c r="I1362">
        <v>0.5</v>
      </c>
      <c r="J1362" t="s">
        <v>3082</v>
      </c>
      <c r="K1362" t="s">
        <v>604</v>
      </c>
    </row>
    <row r="1363" spans="1:11" x14ac:dyDescent="0.2">
      <c r="A1363" t="s">
        <v>2574</v>
      </c>
      <c r="B1363" t="s">
        <v>1255</v>
      </c>
      <c r="C1363">
        <v>58.43</v>
      </c>
      <c r="D1363" t="s">
        <v>608</v>
      </c>
      <c r="E1363" t="s">
        <v>608</v>
      </c>
      <c r="F1363">
        <v>24.74</v>
      </c>
      <c r="G1363">
        <v>18.16</v>
      </c>
      <c r="H1363">
        <v>0</v>
      </c>
      <c r="I1363">
        <v>0</v>
      </c>
      <c r="J1363" t="s">
        <v>3082</v>
      </c>
      <c r="K1363" t="s">
        <v>604</v>
      </c>
    </row>
    <row r="1364" spans="1:11" x14ac:dyDescent="0.2">
      <c r="A1364" t="s">
        <v>2575</v>
      </c>
      <c r="B1364" t="s">
        <v>1255</v>
      </c>
      <c r="C1364">
        <v>58.2</v>
      </c>
      <c r="D1364" t="s">
        <v>608</v>
      </c>
      <c r="E1364" t="s">
        <v>608</v>
      </c>
      <c r="F1364">
        <v>45.54</v>
      </c>
      <c r="G1364">
        <v>33.08</v>
      </c>
      <c r="H1364">
        <v>0</v>
      </c>
      <c r="I1364">
        <v>0</v>
      </c>
      <c r="J1364" t="s">
        <v>3082</v>
      </c>
      <c r="K1364" t="s">
        <v>604</v>
      </c>
    </row>
    <row r="1365" spans="1:11" x14ac:dyDescent="0.2">
      <c r="A1365" t="s">
        <v>2576</v>
      </c>
      <c r="B1365" t="s">
        <v>1257</v>
      </c>
      <c r="C1365">
        <v>45.78</v>
      </c>
      <c r="D1365" t="s">
        <v>608</v>
      </c>
      <c r="E1365" t="s">
        <v>608</v>
      </c>
      <c r="F1365">
        <v>35.96</v>
      </c>
      <c r="G1365">
        <v>26.1</v>
      </c>
      <c r="H1365">
        <v>0</v>
      </c>
      <c r="I1365">
        <v>0</v>
      </c>
      <c r="J1365" t="s">
        <v>3082</v>
      </c>
      <c r="K1365" t="s">
        <v>604</v>
      </c>
    </row>
    <row r="1366" spans="1:11" x14ac:dyDescent="0.2">
      <c r="A1366" t="s">
        <v>2577</v>
      </c>
      <c r="B1366" t="s">
        <v>1257</v>
      </c>
      <c r="C1366">
        <v>61.68</v>
      </c>
      <c r="D1366" t="s">
        <v>608</v>
      </c>
      <c r="E1366" t="s">
        <v>608</v>
      </c>
      <c r="F1366">
        <v>42.57</v>
      </c>
      <c r="G1366">
        <v>32.26</v>
      </c>
      <c r="H1366">
        <v>0</v>
      </c>
      <c r="I1366">
        <v>0</v>
      </c>
      <c r="J1366" t="s">
        <v>3082</v>
      </c>
      <c r="K1366" t="s">
        <v>604</v>
      </c>
    </row>
    <row r="1367" spans="1:11" x14ac:dyDescent="0.2">
      <c r="A1367" t="s">
        <v>2578</v>
      </c>
      <c r="B1367" t="s">
        <v>1257</v>
      </c>
      <c r="C1367">
        <v>73.06</v>
      </c>
      <c r="D1367" t="s">
        <v>608</v>
      </c>
      <c r="E1367" t="s">
        <v>608</v>
      </c>
      <c r="F1367">
        <v>79.09</v>
      </c>
      <c r="G1367">
        <v>55.48</v>
      </c>
      <c r="H1367">
        <v>0</v>
      </c>
      <c r="I1367">
        <v>0</v>
      </c>
      <c r="J1367" t="s">
        <v>3082</v>
      </c>
      <c r="K1367" t="s">
        <v>604</v>
      </c>
    </row>
    <row r="1368" spans="1:11" x14ac:dyDescent="0.2">
      <c r="A1368" t="s">
        <v>2579</v>
      </c>
      <c r="B1368" t="s">
        <v>1257</v>
      </c>
      <c r="C1368">
        <v>67.680000000000007</v>
      </c>
      <c r="D1368" t="s">
        <v>608</v>
      </c>
      <c r="E1368" t="s">
        <v>608</v>
      </c>
      <c r="F1368">
        <v>56.04</v>
      </c>
      <c r="G1368">
        <v>37.25</v>
      </c>
      <c r="H1368">
        <v>0</v>
      </c>
      <c r="I1368">
        <v>0</v>
      </c>
      <c r="J1368" t="s">
        <v>3082</v>
      </c>
      <c r="K1368" t="s">
        <v>604</v>
      </c>
    </row>
    <row r="1369" spans="1:11" x14ac:dyDescent="0.2">
      <c r="A1369" t="s">
        <v>2580</v>
      </c>
      <c r="B1369" t="s">
        <v>1257</v>
      </c>
      <c r="C1369">
        <v>63.94</v>
      </c>
      <c r="D1369" t="s">
        <v>608</v>
      </c>
      <c r="E1369" t="s">
        <v>608</v>
      </c>
      <c r="F1369">
        <v>40.93</v>
      </c>
      <c r="G1369">
        <v>29.02</v>
      </c>
      <c r="H1369">
        <v>1</v>
      </c>
      <c r="I1369">
        <v>2</v>
      </c>
      <c r="J1369" t="s">
        <v>3082</v>
      </c>
      <c r="K1369" t="s">
        <v>604</v>
      </c>
    </row>
    <row r="1370" spans="1:11" x14ac:dyDescent="0.2">
      <c r="A1370" t="s">
        <v>2581</v>
      </c>
      <c r="B1370" t="s">
        <v>1265</v>
      </c>
      <c r="C1370">
        <v>52.73</v>
      </c>
      <c r="D1370" t="s">
        <v>608</v>
      </c>
      <c r="E1370" t="s">
        <v>608</v>
      </c>
      <c r="F1370">
        <v>23.99</v>
      </c>
      <c r="G1370">
        <v>17.8</v>
      </c>
      <c r="H1370">
        <v>1</v>
      </c>
      <c r="I1370">
        <v>1</v>
      </c>
      <c r="J1370" t="s">
        <v>3082</v>
      </c>
      <c r="K1370" t="s">
        <v>604</v>
      </c>
    </row>
    <row r="1371" spans="1:11" x14ac:dyDescent="0.2">
      <c r="A1371" t="s">
        <v>2582</v>
      </c>
      <c r="B1371" t="s">
        <v>1265</v>
      </c>
      <c r="C1371">
        <v>40.17</v>
      </c>
      <c r="D1371" t="s">
        <v>608</v>
      </c>
      <c r="E1371" t="s">
        <v>608</v>
      </c>
      <c r="F1371">
        <v>16.89</v>
      </c>
      <c r="G1371">
        <v>12.08</v>
      </c>
      <c r="H1371">
        <v>0.5</v>
      </c>
      <c r="I1371">
        <v>1</v>
      </c>
      <c r="J1371" t="s">
        <v>3082</v>
      </c>
      <c r="K1371" t="s">
        <v>604</v>
      </c>
    </row>
    <row r="1372" spans="1:11" x14ac:dyDescent="0.2">
      <c r="A1372" t="s">
        <v>2583</v>
      </c>
      <c r="B1372" t="s">
        <v>1265</v>
      </c>
      <c r="C1372">
        <v>56.57</v>
      </c>
      <c r="D1372" t="s">
        <v>608</v>
      </c>
      <c r="E1372" t="s">
        <v>608</v>
      </c>
      <c r="F1372">
        <v>27.36</v>
      </c>
      <c r="G1372">
        <v>18.690000000000001</v>
      </c>
      <c r="H1372">
        <v>2</v>
      </c>
      <c r="I1372">
        <v>1</v>
      </c>
      <c r="J1372" t="s">
        <v>3082</v>
      </c>
      <c r="K1372" t="s">
        <v>604</v>
      </c>
    </row>
    <row r="1373" spans="1:11" x14ac:dyDescent="0.2">
      <c r="A1373" t="s">
        <v>2584</v>
      </c>
      <c r="B1373" t="s">
        <v>1265</v>
      </c>
      <c r="C1373">
        <v>48.99</v>
      </c>
      <c r="D1373" t="s">
        <v>608</v>
      </c>
      <c r="E1373" t="s">
        <v>608</v>
      </c>
      <c r="F1373">
        <v>26.71</v>
      </c>
      <c r="G1373">
        <v>20.73</v>
      </c>
      <c r="H1373">
        <v>0.5</v>
      </c>
      <c r="I1373">
        <v>1</v>
      </c>
      <c r="J1373" t="s">
        <v>3082</v>
      </c>
      <c r="K1373" t="s">
        <v>604</v>
      </c>
    </row>
    <row r="1374" spans="1:11" x14ac:dyDescent="0.2">
      <c r="A1374" t="s">
        <v>2585</v>
      </c>
      <c r="B1374" t="s">
        <v>1265</v>
      </c>
      <c r="C1374">
        <v>59.37</v>
      </c>
      <c r="D1374" t="s">
        <v>608</v>
      </c>
      <c r="E1374" t="s">
        <v>608</v>
      </c>
      <c r="F1374">
        <v>36.979999999999997</v>
      </c>
      <c r="G1374">
        <v>24.99</v>
      </c>
      <c r="H1374">
        <v>1</v>
      </c>
      <c r="I1374">
        <v>1</v>
      </c>
      <c r="J1374" t="s">
        <v>3082</v>
      </c>
      <c r="K1374" t="s">
        <v>604</v>
      </c>
    </row>
    <row r="1375" spans="1:11" x14ac:dyDescent="0.2">
      <c r="A1375" t="s">
        <v>2586</v>
      </c>
      <c r="B1375" t="s">
        <v>1267</v>
      </c>
      <c r="C1375">
        <v>46.02</v>
      </c>
      <c r="D1375" t="s">
        <v>608</v>
      </c>
      <c r="E1375" t="s">
        <v>608</v>
      </c>
      <c r="F1375">
        <v>23.8</v>
      </c>
      <c r="G1375">
        <v>17.75</v>
      </c>
      <c r="H1375">
        <v>0.5</v>
      </c>
      <c r="I1375">
        <v>1</v>
      </c>
      <c r="J1375" t="s">
        <v>3082</v>
      </c>
      <c r="K1375" t="s">
        <v>604</v>
      </c>
    </row>
    <row r="1376" spans="1:11" x14ac:dyDescent="0.2">
      <c r="A1376" t="s">
        <v>2587</v>
      </c>
      <c r="B1376" t="s">
        <v>1267</v>
      </c>
      <c r="C1376">
        <v>63.29</v>
      </c>
      <c r="D1376" t="s">
        <v>608</v>
      </c>
      <c r="E1376" t="s">
        <v>608</v>
      </c>
      <c r="F1376">
        <v>34.44</v>
      </c>
      <c r="G1376">
        <v>25.76</v>
      </c>
      <c r="H1376">
        <v>1</v>
      </c>
      <c r="I1376">
        <v>1</v>
      </c>
      <c r="J1376" t="s">
        <v>3082</v>
      </c>
      <c r="K1376" t="s">
        <v>604</v>
      </c>
    </row>
    <row r="1377" spans="1:11" x14ac:dyDescent="0.2">
      <c r="A1377" t="s">
        <v>2588</v>
      </c>
      <c r="B1377" t="s">
        <v>1267</v>
      </c>
      <c r="C1377">
        <v>48.25</v>
      </c>
      <c r="D1377" t="s">
        <v>608</v>
      </c>
      <c r="E1377" t="s">
        <v>608</v>
      </c>
      <c r="F1377">
        <v>29.42</v>
      </c>
      <c r="G1377">
        <v>22.47</v>
      </c>
      <c r="H1377">
        <v>2</v>
      </c>
      <c r="I1377">
        <v>2</v>
      </c>
      <c r="J1377" t="s">
        <v>3082</v>
      </c>
      <c r="K1377" t="s">
        <v>604</v>
      </c>
    </row>
    <row r="1378" spans="1:11" x14ac:dyDescent="0.2">
      <c r="A1378" t="s">
        <v>2589</v>
      </c>
      <c r="B1378" t="s">
        <v>1267</v>
      </c>
      <c r="C1378">
        <v>60.34</v>
      </c>
      <c r="D1378" t="s">
        <v>608</v>
      </c>
      <c r="E1378" t="s">
        <v>608</v>
      </c>
      <c r="F1378">
        <v>33.42</v>
      </c>
      <c r="G1378">
        <v>24.45</v>
      </c>
      <c r="H1378">
        <v>0</v>
      </c>
      <c r="I1378">
        <v>0.5</v>
      </c>
      <c r="J1378" t="s">
        <v>3082</v>
      </c>
      <c r="K1378" t="s">
        <v>604</v>
      </c>
    </row>
    <row r="1379" spans="1:11" x14ac:dyDescent="0.2">
      <c r="A1379" t="s">
        <v>2590</v>
      </c>
      <c r="B1379" t="s">
        <v>1267</v>
      </c>
      <c r="C1379">
        <v>57.44</v>
      </c>
      <c r="D1379" t="s">
        <v>608</v>
      </c>
      <c r="E1379" t="s">
        <v>608</v>
      </c>
      <c r="F1379">
        <v>28.04</v>
      </c>
      <c r="G1379">
        <v>20.61</v>
      </c>
      <c r="H1379">
        <v>0</v>
      </c>
      <c r="I1379">
        <v>0.5</v>
      </c>
      <c r="J1379" t="s">
        <v>3082</v>
      </c>
      <c r="K1379" t="s">
        <v>604</v>
      </c>
    </row>
    <row r="1380" spans="1:11" x14ac:dyDescent="0.2">
      <c r="A1380" t="s">
        <v>2591</v>
      </c>
      <c r="B1380" t="s">
        <v>1269</v>
      </c>
      <c r="C1380">
        <v>44.87</v>
      </c>
      <c r="D1380" t="s">
        <v>608</v>
      </c>
      <c r="E1380" t="s">
        <v>608</v>
      </c>
      <c r="F1380">
        <v>22.76</v>
      </c>
      <c r="G1380">
        <v>20.010000000000002</v>
      </c>
      <c r="H1380">
        <v>0</v>
      </c>
      <c r="I1380">
        <v>0.5</v>
      </c>
      <c r="J1380" t="s">
        <v>3082</v>
      </c>
      <c r="K1380" t="s">
        <v>604</v>
      </c>
    </row>
    <row r="1381" spans="1:11" x14ac:dyDescent="0.2">
      <c r="A1381" t="s">
        <v>2592</v>
      </c>
      <c r="B1381" t="s">
        <v>1269</v>
      </c>
      <c r="C1381">
        <v>63.66</v>
      </c>
      <c r="D1381" t="s">
        <v>608</v>
      </c>
      <c r="E1381" t="s">
        <v>608</v>
      </c>
      <c r="F1381">
        <v>27.74</v>
      </c>
      <c r="G1381">
        <v>20.2</v>
      </c>
      <c r="H1381">
        <v>0</v>
      </c>
      <c r="I1381">
        <v>0.5</v>
      </c>
      <c r="J1381" t="s">
        <v>3082</v>
      </c>
      <c r="K1381" t="s">
        <v>604</v>
      </c>
    </row>
    <row r="1382" spans="1:11" x14ac:dyDescent="0.2">
      <c r="A1382" t="s">
        <v>2593</v>
      </c>
      <c r="B1382" t="s">
        <v>1269</v>
      </c>
      <c r="C1382">
        <v>53.51</v>
      </c>
      <c r="D1382" t="s">
        <v>608</v>
      </c>
      <c r="E1382" t="s">
        <v>608</v>
      </c>
      <c r="F1382">
        <v>37.29</v>
      </c>
      <c r="G1382">
        <v>26.44</v>
      </c>
      <c r="H1382">
        <v>0</v>
      </c>
      <c r="I1382">
        <v>0</v>
      </c>
      <c r="J1382" t="s">
        <v>3082</v>
      </c>
      <c r="K1382" t="s">
        <v>604</v>
      </c>
    </row>
    <row r="1383" spans="1:11" x14ac:dyDescent="0.2">
      <c r="A1383" t="s">
        <v>2594</v>
      </c>
      <c r="B1383" t="s">
        <v>1269</v>
      </c>
      <c r="C1383">
        <v>53.47</v>
      </c>
      <c r="D1383" t="s">
        <v>608</v>
      </c>
      <c r="E1383" t="s">
        <v>608</v>
      </c>
      <c r="F1383">
        <v>26.6</v>
      </c>
      <c r="G1383">
        <v>19.16</v>
      </c>
      <c r="H1383">
        <v>0</v>
      </c>
      <c r="I1383">
        <v>0.5</v>
      </c>
      <c r="J1383" t="s">
        <v>3082</v>
      </c>
      <c r="K1383" t="s">
        <v>604</v>
      </c>
    </row>
    <row r="1384" spans="1:11" x14ac:dyDescent="0.2">
      <c r="A1384" t="s">
        <v>2595</v>
      </c>
      <c r="B1384" t="s">
        <v>1269</v>
      </c>
      <c r="C1384">
        <v>48.11</v>
      </c>
      <c r="D1384" t="s">
        <v>608</v>
      </c>
      <c r="E1384" t="s">
        <v>608</v>
      </c>
      <c r="F1384">
        <v>26.53</v>
      </c>
      <c r="G1384">
        <v>19.73</v>
      </c>
      <c r="H1384">
        <v>0.5</v>
      </c>
      <c r="I1384">
        <v>0</v>
      </c>
      <c r="J1384" t="s">
        <v>3082</v>
      </c>
      <c r="K1384" t="s">
        <v>604</v>
      </c>
    </row>
    <row r="1385" spans="1:11" x14ac:dyDescent="0.2">
      <c r="A1385" t="s">
        <v>2596</v>
      </c>
      <c r="B1385" t="s">
        <v>1277</v>
      </c>
      <c r="C1385">
        <v>58.18</v>
      </c>
      <c r="D1385" t="s">
        <v>608</v>
      </c>
      <c r="E1385" t="s">
        <v>608</v>
      </c>
      <c r="F1385">
        <v>37.4</v>
      </c>
      <c r="G1385">
        <v>26.16</v>
      </c>
      <c r="H1385">
        <v>0.5</v>
      </c>
      <c r="I1385">
        <v>0</v>
      </c>
      <c r="J1385" t="s">
        <v>3082</v>
      </c>
      <c r="K1385" t="s">
        <v>604</v>
      </c>
    </row>
    <row r="1386" spans="1:11" x14ac:dyDescent="0.2">
      <c r="A1386" t="s">
        <v>2597</v>
      </c>
      <c r="B1386" t="s">
        <v>1277</v>
      </c>
      <c r="C1386">
        <v>54.57</v>
      </c>
      <c r="D1386" t="s">
        <v>608</v>
      </c>
      <c r="E1386" t="s">
        <v>608</v>
      </c>
      <c r="F1386">
        <v>31.68</v>
      </c>
      <c r="G1386">
        <v>24.38</v>
      </c>
      <c r="H1386">
        <v>3</v>
      </c>
      <c r="I1386">
        <v>3</v>
      </c>
      <c r="J1386" t="s">
        <v>3082</v>
      </c>
      <c r="K1386" t="s">
        <v>604</v>
      </c>
    </row>
    <row r="1387" spans="1:11" x14ac:dyDescent="0.2">
      <c r="A1387" t="s">
        <v>2598</v>
      </c>
      <c r="B1387" t="s">
        <v>1277</v>
      </c>
      <c r="C1387">
        <v>74.77</v>
      </c>
      <c r="D1387" t="s">
        <v>608</v>
      </c>
      <c r="E1387" t="s">
        <v>608</v>
      </c>
      <c r="F1387">
        <v>42.96</v>
      </c>
      <c r="G1387">
        <v>31.25</v>
      </c>
      <c r="H1387">
        <v>1</v>
      </c>
      <c r="I1387">
        <v>2</v>
      </c>
      <c r="J1387" t="s">
        <v>3082</v>
      </c>
      <c r="K1387" t="s">
        <v>604</v>
      </c>
    </row>
    <row r="1388" spans="1:11" x14ac:dyDescent="0.2">
      <c r="A1388" t="s">
        <v>2599</v>
      </c>
      <c r="B1388" t="s">
        <v>1277</v>
      </c>
      <c r="C1388">
        <v>52.08</v>
      </c>
      <c r="D1388" t="s">
        <v>608</v>
      </c>
      <c r="E1388" t="s">
        <v>608</v>
      </c>
      <c r="F1388">
        <v>31.16</v>
      </c>
      <c r="G1388">
        <v>20.62</v>
      </c>
      <c r="H1388">
        <v>0</v>
      </c>
      <c r="I1388">
        <v>0</v>
      </c>
      <c r="J1388" t="s">
        <v>3082</v>
      </c>
      <c r="K1388" t="s">
        <v>604</v>
      </c>
    </row>
    <row r="1389" spans="1:11" x14ac:dyDescent="0.2">
      <c r="A1389" t="s">
        <v>2600</v>
      </c>
      <c r="B1389" t="s">
        <v>1277</v>
      </c>
      <c r="C1389">
        <v>65.290000000000006</v>
      </c>
      <c r="D1389" t="s">
        <v>608</v>
      </c>
      <c r="E1389" t="s">
        <v>608</v>
      </c>
      <c r="F1389">
        <v>75</v>
      </c>
      <c r="G1389">
        <v>52.11</v>
      </c>
      <c r="H1389">
        <v>3</v>
      </c>
      <c r="I1389">
        <v>3</v>
      </c>
      <c r="J1389" t="s">
        <v>3082</v>
      </c>
      <c r="K1389" t="s">
        <v>604</v>
      </c>
    </row>
    <row r="1390" spans="1:11" x14ac:dyDescent="0.2">
      <c r="A1390" t="s">
        <v>2601</v>
      </c>
      <c r="B1390" t="s">
        <v>1279</v>
      </c>
      <c r="C1390">
        <v>55.05</v>
      </c>
      <c r="D1390" t="s">
        <v>608</v>
      </c>
      <c r="E1390" t="s">
        <v>608</v>
      </c>
      <c r="F1390">
        <v>34.03</v>
      </c>
      <c r="G1390">
        <v>24.66</v>
      </c>
      <c r="H1390">
        <v>3</v>
      </c>
      <c r="I1390">
        <v>4</v>
      </c>
      <c r="J1390" t="s">
        <v>3082</v>
      </c>
      <c r="K1390" t="s">
        <v>604</v>
      </c>
    </row>
    <row r="1391" spans="1:11" x14ac:dyDescent="0.2">
      <c r="A1391" t="s">
        <v>2602</v>
      </c>
      <c r="B1391" t="s">
        <v>1279</v>
      </c>
      <c r="C1391">
        <v>63.34</v>
      </c>
      <c r="D1391" t="s">
        <v>608</v>
      </c>
      <c r="E1391" t="s">
        <v>608</v>
      </c>
      <c r="F1391">
        <v>48.11</v>
      </c>
      <c r="G1391">
        <v>35.99</v>
      </c>
      <c r="H1391">
        <v>0</v>
      </c>
      <c r="I1391">
        <v>1</v>
      </c>
      <c r="J1391" t="s">
        <v>3082</v>
      </c>
      <c r="K1391" t="s">
        <v>604</v>
      </c>
    </row>
    <row r="1392" spans="1:11" x14ac:dyDescent="0.2">
      <c r="A1392" t="s">
        <v>2603</v>
      </c>
      <c r="B1392" t="s">
        <v>1279</v>
      </c>
      <c r="C1392">
        <v>82.94</v>
      </c>
      <c r="D1392" t="s">
        <v>608</v>
      </c>
      <c r="E1392" t="s">
        <v>608</v>
      </c>
      <c r="F1392">
        <v>81.900000000000006</v>
      </c>
      <c r="G1392">
        <v>62.83</v>
      </c>
      <c r="H1392">
        <v>4</v>
      </c>
      <c r="I1392">
        <v>4</v>
      </c>
      <c r="J1392" t="s">
        <v>3082</v>
      </c>
      <c r="K1392" t="s">
        <v>604</v>
      </c>
    </row>
    <row r="1393" spans="1:11" x14ac:dyDescent="0.2">
      <c r="A1393" t="s">
        <v>2604</v>
      </c>
      <c r="B1393" t="s">
        <v>1279</v>
      </c>
      <c r="C1393">
        <v>54.72</v>
      </c>
      <c r="D1393" t="s">
        <v>608</v>
      </c>
      <c r="E1393" t="s">
        <v>608</v>
      </c>
      <c r="F1393">
        <v>29.34</v>
      </c>
      <c r="G1393">
        <v>20.32</v>
      </c>
      <c r="H1393">
        <v>4</v>
      </c>
      <c r="I1393">
        <v>5</v>
      </c>
      <c r="J1393" t="s">
        <v>3082</v>
      </c>
      <c r="K1393" t="s">
        <v>604</v>
      </c>
    </row>
    <row r="1394" spans="1:11" x14ac:dyDescent="0.2">
      <c r="A1394" t="s">
        <v>2605</v>
      </c>
      <c r="B1394" t="s">
        <v>1279</v>
      </c>
      <c r="C1394">
        <v>49.43</v>
      </c>
      <c r="D1394" t="s">
        <v>608</v>
      </c>
      <c r="E1394" t="s">
        <v>608</v>
      </c>
      <c r="F1394">
        <v>30.81</v>
      </c>
      <c r="G1394">
        <v>19.11</v>
      </c>
      <c r="H1394">
        <v>2</v>
      </c>
      <c r="I1394">
        <v>2</v>
      </c>
      <c r="J1394" t="s">
        <v>3082</v>
      </c>
      <c r="K1394" t="s">
        <v>604</v>
      </c>
    </row>
    <row r="1395" spans="1:11" x14ac:dyDescent="0.2">
      <c r="A1395" t="s">
        <v>2606</v>
      </c>
      <c r="B1395" t="s">
        <v>1281</v>
      </c>
      <c r="C1395">
        <v>48.02</v>
      </c>
      <c r="D1395" t="s">
        <v>608</v>
      </c>
      <c r="E1395" t="s">
        <v>608</v>
      </c>
      <c r="F1395">
        <v>23.45</v>
      </c>
      <c r="G1395">
        <v>18.010000000000002</v>
      </c>
      <c r="H1395">
        <v>0.5</v>
      </c>
      <c r="I1395">
        <v>1</v>
      </c>
      <c r="J1395" t="s">
        <v>3082</v>
      </c>
      <c r="K1395" t="s">
        <v>604</v>
      </c>
    </row>
    <row r="1396" spans="1:11" x14ac:dyDescent="0.2">
      <c r="A1396" t="s">
        <v>2607</v>
      </c>
      <c r="B1396" t="s">
        <v>1281</v>
      </c>
      <c r="C1396">
        <v>53.56</v>
      </c>
      <c r="D1396" t="s">
        <v>608</v>
      </c>
      <c r="E1396" t="s">
        <v>608</v>
      </c>
      <c r="F1396">
        <v>30.87</v>
      </c>
      <c r="G1396">
        <v>22.42</v>
      </c>
      <c r="H1396">
        <v>0.5</v>
      </c>
      <c r="I1396">
        <v>0.5</v>
      </c>
      <c r="J1396" t="s">
        <v>3082</v>
      </c>
      <c r="K1396" t="s">
        <v>604</v>
      </c>
    </row>
    <row r="1397" spans="1:11" x14ac:dyDescent="0.2">
      <c r="A1397" t="s">
        <v>2608</v>
      </c>
      <c r="B1397" t="s">
        <v>1281</v>
      </c>
      <c r="C1397">
        <v>53.41</v>
      </c>
      <c r="D1397" t="s">
        <v>608</v>
      </c>
      <c r="E1397" t="s">
        <v>608</v>
      </c>
      <c r="F1397">
        <v>26.08</v>
      </c>
      <c r="G1397">
        <v>19.55</v>
      </c>
      <c r="H1397">
        <v>0</v>
      </c>
      <c r="I1397">
        <v>1</v>
      </c>
      <c r="J1397" t="s">
        <v>3082</v>
      </c>
      <c r="K1397" t="s">
        <v>604</v>
      </c>
    </row>
    <row r="1398" spans="1:11" x14ac:dyDescent="0.2">
      <c r="A1398" t="s">
        <v>2609</v>
      </c>
      <c r="B1398" t="s">
        <v>1281</v>
      </c>
      <c r="C1398">
        <v>57.6</v>
      </c>
      <c r="D1398" t="s">
        <v>608</v>
      </c>
      <c r="E1398" t="s">
        <v>608</v>
      </c>
      <c r="F1398">
        <v>47.84</v>
      </c>
      <c r="G1398">
        <v>35.01</v>
      </c>
      <c r="H1398">
        <v>0</v>
      </c>
      <c r="I1398">
        <v>0</v>
      </c>
      <c r="J1398" t="s">
        <v>3082</v>
      </c>
      <c r="K1398" t="s">
        <v>604</v>
      </c>
    </row>
    <row r="1399" spans="1:11" x14ac:dyDescent="0.2">
      <c r="A1399" t="s">
        <v>2610</v>
      </c>
      <c r="B1399" t="s">
        <v>1281</v>
      </c>
      <c r="C1399">
        <v>48.85</v>
      </c>
      <c r="D1399" t="s">
        <v>608</v>
      </c>
      <c r="E1399" t="s">
        <v>608</v>
      </c>
      <c r="F1399">
        <v>22.17</v>
      </c>
      <c r="G1399">
        <v>16.760000000000002</v>
      </c>
      <c r="H1399">
        <v>0.5</v>
      </c>
      <c r="I1399">
        <v>0</v>
      </c>
      <c r="J1399" t="s">
        <v>3082</v>
      </c>
      <c r="K1399" t="s">
        <v>604</v>
      </c>
    </row>
    <row r="1400" spans="1:11" x14ac:dyDescent="0.2">
      <c r="A1400" t="s">
        <v>2611</v>
      </c>
      <c r="B1400" t="s">
        <v>1289</v>
      </c>
      <c r="C1400">
        <v>64.8</v>
      </c>
      <c r="D1400" t="s">
        <v>608</v>
      </c>
      <c r="E1400" t="s">
        <v>608</v>
      </c>
      <c r="F1400">
        <v>43.64</v>
      </c>
      <c r="G1400">
        <v>29.38</v>
      </c>
      <c r="H1400">
        <v>2</v>
      </c>
      <c r="I1400">
        <v>2</v>
      </c>
      <c r="J1400" t="s">
        <v>3082</v>
      </c>
      <c r="K1400" t="s">
        <v>604</v>
      </c>
    </row>
    <row r="1401" spans="1:11" x14ac:dyDescent="0.2">
      <c r="A1401" t="s">
        <v>2612</v>
      </c>
      <c r="B1401" t="s">
        <v>1289</v>
      </c>
      <c r="C1401">
        <v>69.92</v>
      </c>
      <c r="D1401" t="s">
        <v>608</v>
      </c>
      <c r="E1401" t="s">
        <v>608</v>
      </c>
      <c r="F1401">
        <v>75.47</v>
      </c>
      <c r="G1401">
        <v>59.1</v>
      </c>
      <c r="H1401">
        <v>1</v>
      </c>
      <c r="I1401">
        <v>1</v>
      </c>
      <c r="J1401" t="s">
        <v>3082</v>
      </c>
      <c r="K1401" t="s">
        <v>604</v>
      </c>
    </row>
    <row r="1402" spans="1:11" x14ac:dyDescent="0.2">
      <c r="A1402" t="s">
        <v>2613</v>
      </c>
      <c r="B1402" t="s">
        <v>1289</v>
      </c>
      <c r="C1402">
        <v>54.32</v>
      </c>
      <c r="D1402" t="s">
        <v>608</v>
      </c>
      <c r="E1402" t="s">
        <v>608</v>
      </c>
      <c r="F1402">
        <v>40.92</v>
      </c>
      <c r="G1402">
        <v>33.93</v>
      </c>
      <c r="H1402">
        <v>1</v>
      </c>
      <c r="I1402">
        <v>0.5</v>
      </c>
      <c r="J1402" t="s">
        <v>3082</v>
      </c>
      <c r="K1402" t="s">
        <v>604</v>
      </c>
    </row>
    <row r="1403" spans="1:11" x14ac:dyDescent="0.2">
      <c r="A1403" t="s">
        <v>2614</v>
      </c>
      <c r="B1403" t="s">
        <v>1289</v>
      </c>
      <c r="C1403">
        <v>64.16</v>
      </c>
      <c r="D1403" t="s">
        <v>608</v>
      </c>
      <c r="E1403" t="s">
        <v>608</v>
      </c>
      <c r="F1403">
        <v>60.92</v>
      </c>
      <c r="G1403">
        <v>40.32</v>
      </c>
      <c r="H1403">
        <v>2</v>
      </c>
      <c r="I1403">
        <v>2</v>
      </c>
      <c r="J1403" t="s">
        <v>3082</v>
      </c>
      <c r="K1403" t="s">
        <v>604</v>
      </c>
    </row>
    <row r="1404" spans="1:11" x14ac:dyDescent="0.2">
      <c r="A1404" t="s">
        <v>2615</v>
      </c>
      <c r="B1404" t="s">
        <v>1289</v>
      </c>
      <c r="C1404">
        <v>62.26</v>
      </c>
      <c r="D1404" t="s">
        <v>608</v>
      </c>
      <c r="E1404" t="s">
        <v>608</v>
      </c>
      <c r="F1404">
        <v>53.44</v>
      </c>
      <c r="G1404">
        <v>39.880000000000003</v>
      </c>
      <c r="H1404">
        <v>1</v>
      </c>
      <c r="I1404">
        <v>2</v>
      </c>
      <c r="J1404" t="s">
        <v>3082</v>
      </c>
      <c r="K1404" t="s">
        <v>604</v>
      </c>
    </row>
    <row r="1405" spans="1:11" x14ac:dyDescent="0.2">
      <c r="A1405" t="s">
        <v>2616</v>
      </c>
      <c r="B1405" t="s">
        <v>1291</v>
      </c>
      <c r="C1405">
        <v>58.14</v>
      </c>
      <c r="D1405" t="s">
        <v>608</v>
      </c>
      <c r="E1405" t="s">
        <v>608</v>
      </c>
      <c r="F1405">
        <v>31.86</v>
      </c>
      <c r="G1405">
        <v>21.29</v>
      </c>
      <c r="H1405">
        <v>1</v>
      </c>
      <c r="I1405">
        <v>1</v>
      </c>
      <c r="J1405" t="s">
        <v>3082</v>
      </c>
      <c r="K1405" t="s">
        <v>604</v>
      </c>
    </row>
    <row r="1406" spans="1:11" x14ac:dyDescent="0.2">
      <c r="A1406" t="s">
        <v>2617</v>
      </c>
      <c r="B1406" t="s">
        <v>1291</v>
      </c>
      <c r="C1406">
        <v>43.97</v>
      </c>
      <c r="D1406" t="s">
        <v>608</v>
      </c>
      <c r="E1406" t="s">
        <v>608</v>
      </c>
      <c r="F1406">
        <v>13.26</v>
      </c>
      <c r="G1406">
        <v>9.01</v>
      </c>
      <c r="H1406">
        <v>2</v>
      </c>
      <c r="I1406">
        <v>2</v>
      </c>
      <c r="J1406" t="s">
        <v>3082</v>
      </c>
      <c r="K1406" t="s">
        <v>604</v>
      </c>
    </row>
    <row r="1407" spans="1:11" x14ac:dyDescent="0.2">
      <c r="A1407" t="s">
        <v>2618</v>
      </c>
      <c r="B1407" t="s">
        <v>1291</v>
      </c>
      <c r="C1407">
        <v>51.5</v>
      </c>
      <c r="D1407" t="s">
        <v>608</v>
      </c>
      <c r="E1407" t="s">
        <v>608</v>
      </c>
      <c r="F1407">
        <v>22.78</v>
      </c>
      <c r="G1407">
        <v>16.059999999999999</v>
      </c>
      <c r="H1407">
        <v>1</v>
      </c>
      <c r="I1407">
        <v>2</v>
      </c>
      <c r="J1407" t="s">
        <v>3082</v>
      </c>
      <c r="K1407" t="s">
        <v>604</v>
      </c>
    </row>
    <row r="1408" spans="1:11" x14ac:dyDescent="0.2">
      <c r="A1408" t="s">
        <v>2619</v>
      </c>
      <c r="B1408" t="s">
        <v>1291</v>
      </c>
      <c r="C1408">
        <v>48.77</v>
      </c>
      <c r="D1408" t="s">
        <v>608</v>
      </c>
      <c r="E1408" t="s">
        <v>608</v>
      </c>
      <c r="F1408">
        <v>28.49</v>
      </c>
      <c r="G1408">
        <v>20.48</v>
      </c>
      <c r="H1408">
        <v>1</v>
      </c>
      <c r="I1408">
        <v>2</v>
      </c>
      <c r="J1408" t="s">
        <v>3082</v>
      </c>
      <c r="K1408" t="s">
        <v>604</v>
      </c>
    </row>
    <row r="1409" spans="1:11" x14ac:dyDescent="0.2">
      <c r="A1409" t="s">
        <v>2620</v>
      </c>
      <c r="B1409" t="s">
        <v>1291</v>
      </c>
      <c r="C1409">
        <v>45.54</v>
      </c>
      <c r="D1409" t="s">
        <v>608</v>
      </c>
      <c r="E1409" t="s">
        <v>608</v>
      </c>
      <c r="F1409">
        <v>17.559999999999999</v>
      </c>
      <c r="G1409">
        <v>11.12</v>
      </c>
      <c r="H1409">
        <v>0</v>
      </c>
      <c r="I1409">
        <v>0</v>
      </c>
      <c r="J1409" t="s">
        <v>3082</v>
      </c>
      <c r="K1409" t="s">
        <v>604</v>
      </c>
    </row>
    <row r="1410" spans="1:11" x14ac:dyDescent="0.2">
      <c r="A1410" t="s">
        <v>2621</v>
      </c>
      <c r="B1410" t="s">
        <v>1293</v>
      </c>
      <c r="C1410">
        <v>64.42</v>
      </c>
      <c r="D1410" t="s">
        <v>608</v>
      </c>
      <c r="E1410" t="s">
        <v>608</v>
      </c>
      <c r="F1410">
        <v>55.76</v>
      </c>
      <c r="G1410">
        <v>41.63</v>
      </c>
      <c r="H1410">
        <v>0.5</v>
      </c>
      <c r="I1410">
        <v>0.5</v>
      </c>
      <c r="J1410" t="s">
        <v>3082</v>
      </c>
      <c r="K1410" t="s">
        <v>604</v>
      </c>
    </row>
    <row r="1411" spans="1:11" x14ac:dyDescent="0.2">
      <c r="A1411" t="s">
        <v>2622</v>
      </c>
      <c r="B1411" t="s">
        <v>1293</v>
      </c>
      <c r="C1411">
        <v>44.33</v>
      </c>
      <c r="D1411" t="s">
        <v>608</v>
      </c>
      <c r="E1411" t="s">
        <v>608</v>
      </c>
      <c r="F1411">
        <v>16.579999999999998</v>
      </c>
      <c r="G1411">
        <v>11.53</v>
      </c>
      <c r="H1411">
        <v>2</v>
      </c>
      <c r="I1411">
        <v>3</v>
      </c>
      <c r="J1411" t="s">
        <v>3082</v>
      </c>
      <c r="K1411" t="s">
        <v>604</v>
      </c>
    </row>
    <row r="1412" spans="1:11" x14ac:dyDescent="0.2">
      <c r="A1412" t="s">
        <v>2623</v>
      </c>
      <c r="B1412" t="s">
        <v>1293</v>
      </c>
      <c r="C1412">
        <v>56.49</v>
      </c>
      <c r="D1412" t="s">
        <v>608</v>
      </c>
      <c r="E1412" t="s">
        <v>608</v>
      </c>
      <c r="F1412">
        <v>30.44</v>
      </c>
      <c r="G1412">
        <v>21.67</v>
      </c>
      <c r="H1412">
        <v>0.5</v>
      </c>
      <c r="I1412">
        <v>0.5</v>
      </c>
      <c r="J1412" t="s">
        <v>3082</v>
      </c>
      <c r="K1412" t="s">
        <v>604</v>
      </c>
    </row>
    <row r="1413" spans="1:11" x14ac:dyDescent="0.2">
      <c r="A1413" t="s">
        <v>2624</v>
      </c>
      <c r="B1413" t="s">
        <v>1293</v>
      </c>
      <c r="C1413">
        <v>55.74</v>
      </c>
      <c r="D1413" t="s">
        <v>608</v>
      </c>
      <c r="E1413" t="s">
        <v>608</v>
      </c>
      <c r="F1413">
        <v>32.17</v>
      </c>
      <c r="G1413">
        <v>22.28</v>
      </c>
      <c r="H1413">
        <v>0</v>
      </c>
      <c r="I1413">
        <v>0</v>
      </c>
      <c r="J1413" t="s">
        <v>3082</v>
      </c>
      <c r="K1413" t="s">
        <v>604</v>
      </c>
    </row>
    <row r="1414" spans="1:11" x14ac:dyDescent="0.2">
      <c r="A1414" t="s">
        <v>2625</v>
      </c>
      <c r="B1414" t="s">
        <v>1293</v>
      </c>
      <c r="C1414">
        <v>63.72</v>
      </c>
      <c r="D1414" t="s">
        <v>608</v>
      </c>
      <c r="E1414" t="s">
        <v>608</v>
      </c>
      <c r="F1414">
        <v>57.6</v>
      </c>
      <c r="G1414">
        <v>44.75</v>
      </c>
      <c r="H1414">
        <v>0.5</v>
      </c>
      <c r="I1414">
        <v>1</v>
      </c>
      <c r="J1414" t="s">
        <v>3082</v>
      </c>
      <c r="K1414" t="s">
        <v>604</v>
      </c>
    </row>
    <row r="1415" spans="1:11" x14ac:dyDescent="0.2">
      <c r="A1415" t="s">
        <v>2626</v>
      </c>
      <c r="B1415" t="s">
        <v>1301</v>
      </c>
      <c r="C1415">
        <v>47.64</v>
      </c>
      <c r="D1415" t="s">
        <v>608</v>
      </c>
      <c r="E1415" t="s">
        <v>608</v>
      </c>
      <c r="F1415">
        <v>36.53</v>
      </c>
      <c r="G1415">
        <v>26.64</v>
      </c>
      <c r="H1415">
        <v>1</v>
      </c>
      <c r="I1415">
        <v>1</v>
      </c>
      <c r="J1415" t="s">
        <v>3082</v>
      </c>
      <c r="K1415" t="s">
        <v>604</v>
      </c>
    </row>
    <row r="1416" spans="1:11" x14ac:dyDescent="0.2">
      <c r="A1416" t="s">
        <v>2627</v>
      </c>
      <c r="B1416" t="s">
        <v>1301</v>
      </c>
      <c r="C1416">
        <v>66.11</v>
      </c>
      <c r="D1416" t="s">
        <v>608</v>
      </c>
      <c r="E1416" t="s">
        <v>608</v>
      </c>
      <c r="F1416">
        <v>61.6</v>
      </c>
      <c r="G1416">
        <v>43.17</v>
      </c>
      <c r="H1416">
        <v>2</v>
      </c>
      <c r="I1416">
        <v>2</v>
      </c>
      <c r="J1416" t="s">
        <v>3082</v>
      </c>
      <c r="K1416" t="s">
        <v>604</v>
      </c>
    </row>
    <row r="1417" spans="1:11" x14ac:dyDescent="0.2">
      <c r="A1417" t="s">
        <v>2628</v>
      </c>
      <c r="B1417" t="s">
        <v>1301</v>
      </c>
      <c r="C1417">
        <v>49.98</v>
      </c>
      <c r="D1417" t="s">
        <v>608</v>
      </c>
      <c r="E1417" t="s">
        <v>608</v>
      </c>
      <c r="F1417">
        <v>29.05</v>
      </c>
      <c r="G1417">
        <v>18.84</v>
      </c>
      <c r="H1417">
        <v>1</v>
      </c>
      <c r="I1417">
        <v>1</v>
      </c>
      <c r="J1417" t="s">
        <v>3082</v>
      </c>
      <c r="K1417" t="s">
        <v>604</v>
      </c>
    </row>
    <row r="1418" spans="1:11" x14ac:dyDescent="0.2">
      <c r="A1418" t="s">
        <v>2629</v>
      </c>
      <c r="B1418" t="s">
        <v>1301</v>
      </c>
      <c r="C1418">
        <v>51.23</v>
      </c>
      <c r="D1418" t="s">
        <v>608</v>
      </c>
      <c r="E1418" t="s">
        <v>608</v>
      </c>
      <c r="F1418">
        <v>18.760000000000002</v>
      </c>
      <c r="G1418">
        <v>14.95</v>
      </c>
      <c r="H1418">
        <v>2</v>
      </c>
      <c r="I1418">
        <v>2</v>
      </c>
      <c r="J1418" t="s">
        <v>3082</v>
      </c>
      <c r="K1418" t="s">
        <v>604</v>
      </c>
    </row>
    <row r="1419" spans="1:11" x14ac:dyDescent="0.2">
      <c r="A1419" t="s">
        <v>2630</v>
      </c>
      <c r="B1419" t="s">
        <v>1301</v>
      </c>
      <c r="C1419">
        <v>36.28</v>
      </c>
      <c r="D1419" t="s">
        <v>608</v>
      </c>
      <c r="E1419" t="s">
        <v>608</v>
      </c>
      <c r="F1419">
        <v>13.22</v>
      </c>
      <c r="G1419">
        <v>9.86</v>
      </c>
      <c r="H1419">
        <v>0</v>
      </c>
      <c r="I1419">
        <v>0</v>
      </c>
      <c r="J1419" t="s">
        <v>3082</v>
      </c>
      <c r="K1419" t="s">
        <v>604</v>
      </c>
    </row>
    <row r="1420" spans="1:11" x14ac:dyDescent="0.2">
      <c r="A1420" t="s">
        <v>2631</v>
      </c>
      <c r="B1420" t="s">
        <v>1303</v>
      </c>
      <c r="C1420">
        <v>72.87</v>
      </c>
      <c r="D1420" t="s">
        <v>608</v>
      </c>
      <c r="E1420" t="s">
        <v>608</v>
      </c>
      <c r="F1420">
        <v>71.11</v>
      </c>
      <c r="G1420">
        <v>50.41</v>
      </c>
      <c r="H1420">
        <v>1</v>
      </c>
      <c r="I1420">
        <v>2</v>
      </c>
      <c r="J1420" t="s">
        <v>3082</v>
      </c>
      <c r="K1420" t="s">
        <v>604</v>
      </c>
    </row>
    <row r="1421" spans="1:11" x14ac:dyDescent="0.2">
      <c r="A1421" t="s">
        <v>2632</v>
      </c>
      <c r="B1421" t="s">
        <v>1303</v>
      </c>
      <c r="C1421">
        <v>73.16</v>
      </c>
      <c r="D1421" t="s">
        <v>608</v>
      </c>
      <c r="E1421" t="s">
        <v>608</v>
      </c>
      <c r="F1421">
        <v>95.11</v>
      </c>
      <c r="G1421">
        <v>62.92</v>
      </c>
      <c r="H1421">
        <v>0.5</v>
      </c>
      <c r="I1421">
        <v>1</v>
      </c>
      <c r="J1421" t="s">
        <v>3082</v>
      </c>
      <c r="K1421" t="s">
        <v>604</v>
      </c>
    </row>
    <row r="1422" spans="1:11" x14ac:dyDescent="0.2">
      <c r="A1422" t="s">
        <v>2633</v>
      </c>
      <c r="B1422" t="s">
        <v>1303</v>
      </c>
      <c r="C1422">
        <v>60.11</v>
      </c>
      <c r="D1422" t="s">
        <v>608</v>
      </c>
      <c r="E1422" t="s">
        <v>608</v>
      </c>
      <c r="F1422">
        <v>55.28</v>
      </c>
      <c r="G1422">
        <v>41.11</v>
      </c>
      <c r="H1422">
        <v>3</v>
      </c>
      <c r="I1422">
        <v>4</v>
      </c>
      <c r="J1422" t="s">
        <v>3082</v>
      </c>
      <c r="K1422" t="s">
        <v>604</v>
      </c>
    </row>
    <row r="1423" spans="1:11" x14ac:dyDescent="0.2">
      <c r="A1423" t="s">
        <v>2634</v>
      </c>
      <c r="B1423" t="s">
        <v>1303</v>
      </c>
      <c r="C1423">
        <v>60.49</v>
      </c>
      <c r="D1423" t="s">
        <v>608</v>
      </c>
      <c r="E1423" t="s">
        <v>608</v>
      </c>
      <c r="F1423">
        <v>34.450000000000003</v>
      </c>
      <c r="G1423">
        <v>21.97</v>
      </c>
      <c r="H1423">
        <v>2</v>
      </c>
      <c r="I1423">
        <v>3</v>
      </c>
      <c r="J1423" t="s">
        <v>3082</v>
      </c>
      <c r="K1423" t="s">
        <v>604</v>
      </c>
    </row>
    <row r="1424" spans="1:11" x14ac:dyDescent="0.2">
      <c r="A1424" t="s">
        <v>2635</v>
      </c>
      <c r="B1424" t="s">
        <v>1303</v>
      </c>
      <c r="C1424">
        <v>43.31</v>
      </c>
      <c r="D1424" t="s">
        <v>608</v>
      </c>
      <c r="E1424" t="s">
        <v>608</v>
      </c>
      <c r="F1424">
        <v>27.56</v>
      </c>
      <c r="G1424">
        <v>18.66</v>
      </c>
      <c r="H1424">
        <v>0</v>
      </c>
      <c r="I1424">
        <v>0</v>
      </c>
      <c r="J1424" t="s">
        <v>3082</v>
      </c>
      <c r="K1424" t="s">
        <v>604</v>
      </c>
    </row>
    <row r="1425" spans="1:11" x14ac:dyDescent="0.2">
      <c r="A1425" t="s">
        <v>2636</v>
      </c>
      <c r="B1425" t="s">
        <v>1305</v>
      </c>
      <c r="C1425">
        <v>74.53</v>
      </c>
      <c r="D1425" t="s">
        <v>608</v>
      </c>
      <c r="E1425" t="s">
        <v>608</v>
      </c>
      <c r="F1425">
        <v>71.650000000000006</v>
      </c>
      <c r="G1425">
        <v>48.55</v>
      </c>
      <c r="H1425">
        <v>2</v>
      </c>
      <c r="I1425">
        <v>2</v>
      </c>
      <c r="J1425" t="s">
        <v>3082</v>
      </c>
      <c r="K1425" t="s">
        <v>604</v>
      </c>
    </row>
    <row r="1426" spans="1:11" x14ac:dyDescent="0.2">
      <c r="A1426" t="s">
        <v>2637</v>
      </c>
      <c r="B1426" t="s">
        <v>1305</v>
      </c>
      <c r="C1426">
        <v>63.27</v>
      </c>
      <c r="D1426" t="s">
        <v>608</v>
      </c>
      <c r="E1426" t="s">
        <v>608</v>
      </c>
      <c r="F1426">
        <v>47.27</v>
      </c>
      <c r="G1426">
        <v>33.4</v>
      </c>
      <c r="H1426">
        <v>1</v>
      </c>
      <c r="I1426">
        <v>1</v>
      </c>
      <c r="J1426" t="s">
        <v>3082</v>
      </c>
      <c r="K1426" t="s">
        <v>604</v>
      </c>
    </row>
    <row r="1427" spans="1:11" x14ac:dyDescent="0.2">
      <c r="A1427" t="s">
        <v>2638</v>
      </c>
      <c r="B1427" t="s">
        <v>1305</v>
      </c>
      <c r="C1427">
        <v>53.88</v>
      </c>
      <c r="D1427" t="s">
        <v>608</v>
      </c>
      <c r="E1427" t="s">
        <v>608</v>
      </c>
      <c r="F1427">
        <v>19.100000000000001</v>
      </c>
      <c r="G1427">
        <v>13.21</v>
      </c>
      <c r="H1427">
        <v>1</v>
      </c>
      <c r="I1427">
        <v>1</v>
      </c>
      <c r="J1427" t="s">
        <v>3082</v>
      </c>
      <c r="K1427" t="s">
        <v>604</v>
      </c>
    </row>
    <row r="1428" spans="1:11" x14ac:dyDescent="0.2">
      <c r="A1428" t="s">
        <v>2639</v>
      </c>
      <c r="B1428" t="s">
        <v>1305</v>
      </c>
      <c r="C1428">
        <v>52.62</v>
      </c>
      <c r="D1428" t="s">
        <v>608</v>
      </c>
      <c r="E1428" t="s">
        <v>608</v>
      </c>
      <c r="F1428">
        <v>35.31</v>
      </c>
      <c r="G1428">
        <v>23.82</v>
      </c>
      <c r="H1428">
        <v>1</v>
      </c>
      <c r="I1428">
        <v>1</v>
      </c>
      <c r="J1428" t="s">
        <v>3082</v>
      </c>
      <c r="K1428" t="s">
        <v>604</v>
      </c>
    </row>
    <row r="1429" spans="1:11" x14ac:dyDescent="0.2">
      <c r="A1429" t="s">
        <v>2640</v>
      </c>
      <c r="B1429" t="s">
        <v>1305</v>
      </c>
      <c r="C1429">
        <v>53.96</v>
      </c>
      <c r="D1429" t="s">
        <v>608</v>
      </c>
      <c r="E1429" t="s">
        <v>608</v>
      </c>
      <c r="F1429">
        <v>30.26</v>
      </c>
      <c r="G1429">
        <v>19.12</v>
      </c>
      <c r="H1429">
        <v>1</v>
      </c>
      <c r="I1429">
        <v>1</v>
      </c>
      <c r="J1429" t="s">
        <v>3082</v>
      </c>
      <c r="K1429" t="s">
        <v>604</v>
      </c>
    </row>
    <row r="1430" spans="1:11" x14ac:dyDescent="0.2">
      <c r="A1430" t="s">
        <v>2641</v>
      </c>
      <c r="B1430" t="s">
        <v>1313</v>
      </c>
      <c r="C1430">
        <v>37.74</v>
      </c>
      <c r="D1430" t="s">
        <v>608</v>
      </c>
      <c r="E1430" t="s">
        <v>608</v>
      </c>
      <c r="F1430">
        <v>16.670000000000002</v>
      </c>
      <c r="G1430">
        <v>13.24</v>
      </c>
      <c r="H1430">
        <v>1</v>
      </c>
      <c r="I1430">
        <v>2</v>
      </c>
      <c r="J1430" t="s">
        <v>3082</v>
      </c>
      <c r="K1430" t="s">
        <v>604</v>
      </c>
    </row>
    <row r="1431" spans="1:11" x14ac:dyDescent="0.2">
      <c r="A1431" t="s">
        <v>2642</v>
      </c>
      <c r="B1431" t="s">
        <v>1313</v>
      </c>
      <c r="C1431">
        <v>43.22</v>
      </c>
      <c r="D1431" t="s">
        <v>608</v>
      </c>
      <c r="E1431" t="s">
        <v>608</v>
      </c>
      <c r="F1431">
        <v>24.87</v>
      </c>
      <c r="G1431">
        <v>18.64</v>
      </c>
      <c r="H1431">
        <v>1</v>
      </c>
      <c r="I1431">
        <v>2</v>
      </c>
      <c r="J1431" t="s">
        <v>3082</v>
      </c>
      <c r="K1431" t="s">
        <v>604</v>
      </c>
    </row>
    <row r="1432" spans="1:11" x14ac:dyDescent="0.2">
      <c r="A1432" t="s">
        <v>2643</v>
      </c>
      <c r="B1432" t="s">
        <v>1313</v>
      </c>
      <c r="C1432">
        <v>49.84</v>
      </c>
      <c r="D1432" t="s">
        <v>608</v>
      </c>
      <c r="E1432" t="s">
        <v>608</v>
      </c>
      <c r="F1432">
        <v>44.06</v>
      </c>
      <c r="G1432">
        <v>30.76</v>
      </c>
      <c r="H1432">
        <v>2</v>
      </c>
      <c r="I1432">
        <v>2</v>
      </c>
      <c r="J1432" t="s">
        <v>3082</v>
      </c>
      <c r="K1432" t="s">
        <v>604</v>
      </c>
    </row>
    <row r="1433" spans="1:11" x14ac:dyDescent="0.2">
      <c r="A1433" t="s">
        <v>2644</v>
      </c>
      <c r="B1433" t="s">
        <v>1313</v>
      </c>
      <c r="C1433">
        <v>46.82</v>
      </c>
      <c r="D1433" t="s">
        <v>608</v>
      </c>
      <c r="E1433" t="s">
        <v>608</v>
      </c>
      <c r="F1433">
        <v>32.29</v>
      </c>
      <c r="G1433">
        <v>22.33</v>
      </c>
      <c r="H1433">
        <v>0</v>
      </c>
      <c r="I1433">
        <v>0</v>
      </c>
      <c r="J1433" t="s">
        <v>3082</v>
      </c>
      <c r="K1433" t="s">
        <v>604</v>
      </c>
    </row>
    <row r="1434" spans="1:11" x14ac:dyDescent="0.2">
      <c r="A1434" t="s">
        <v>2645</v>
      </c>
      <c r="B1434" t="s">
        <v>1313</v>
      </c>
      <c r="C1434">
        <v>64.739999999999995</v>
      </c>
      <c r="D1434" t="s">
        <v>608</v>
      </c>
      <c r="E1434" t="s">
        <v>608</v>
      </c>
      <c r="F1434">
        <v>63.09</v>
      </c>
      <c r="G1434">
        <v>41.88</v>
      </c>
      <c r="H1434">
        <v>1</v>
      </c>
      <c r="I1434">
        <v>1</v>
      </c>
      <c r="J1434" t="s">
        <v>3082</v>
      </c>
      <c r="K1434" t="s">
        <v>604</v>
      </c>
    </row>
    <row r="1435" spans="1:11" x14ac:dyDescent="0.2">
      <c r="A1435" t="s">
        <v>2646</v>
      </c>
      <c r="B1435" t="s">
        <v>1315</v>
      </c>
      <c r="C1435">
        <v>54.06</v>
      </c>
      <c r="D1435" t="s">
        <v>608</v>
      </c>
      <c r="E1435" t="s">
        <v>608</v>
      </c>
      <c r="F1435">
        <v>16.62</v>
      </c>
      <c r="G1435">
        <v>11.35</v>
      </c>
      <c r="H1435">
        <v>1</v>
      </c>
      <c r="I1435">
        <v>1</v>
      </c>
      <c r="J1435" t="s">
        <v>3082</v>
      </c>
      <c r="K1435" t="s">
        <v>604</v>
      </c>
    </row>
    <row r="1436" spans="1:11" x14ac:dyDescent="0.2">
      <c r="A1436" t="s">
        <v>2647</v>
      </c>
      <c r="B1436" t="s">
        <v>1315</v>
      </c>
      <c r="C1436">
        <v>40.47</v>
      </c>
      <c r="D1436" t="s">
        <v>608</v>
      </c>
      <c r="E1436" t="s">
        <v>608</v>
      </c>
      <c r="F1436">
        <v>18.600000000000001</v>
      </c>
      <c r="G1436">
        <v>13.08</v>
      </c>
      <c r="H1436">
        <v>2</v>
      </c>
      <c r="I1436">
        <v>2</v>
      </c>
      <c r="J1436" t="s">
        <v>3082</v>
      </c>
      <c r="K1436" t="s">
        <v>604</v>
      </c>
    </row>
    <row r="1437" spans="1:11" x14ac:dyDescent="0.2">
      <c r="A1437" t="s">
        <v>2648</v>
      </c>
      <c r="B1437" t="s">
        <v>1315</v>
      </c>
      <c r="C1437">
        <v>51.7</v>
      </c>
      <c r="D1437" t="s">
        <v>608</v>
      </c>
      <c r="E1437" t="s">
        <v>608</v>
      </c>
      <c r="F1437">
        <v>18.14</v>
      </c>
      <c r="G1437">
        <v>14.18</v>
      </c>
      <c r="H1437">
        <v>1</v>
      </c>
      <c r="I1437">
        <v>1</v>
      </c>
      <c r="J1437" t="s">
        <v>3082</v>
      </c>
      <c r="K1437" t="s">
        <v>604</v>
      </c>
    </row>
    <row r="1438" spans="1:11" x14ac:dyDescent="0.2">
      <c r="A1438" t="s">
        <v>2649</v>
      </c>
      <c r="B1438" t="s">
        <v>1315</v>
      </c>
      <c r="C1438">
        <v>44.91</v>
      </c>
      <c r="D1438" t="s">
        <v>608</v>
      </c>
      <c r="E1438" t="s">
        <v>608</v>
      </c>
      <c r="F1438">
        <v>29.78</v>
      </c>
      <c r="G1438">
        <v>22.24</v>
      </c>
      <c r="H1438">
        <v>0</v>
      </c>
      <c r="I1438">
        <v>2</v>
      </c>
      <c r="J1438" t="s">
        <v>3082</v>
      </c>
      <c r="K1438" t="s">
        <v>604</v>
      </c>
    </row>
    <row r="1439" spans="1:11" x14ac:dyDescent="0.2">
      <c r="A1439" t="s">
        <v>2650</v>
      </c>
      <c r="B1439" t="s">
        <v>1315</v>
      </c>
      <c r="C1439">
        <v>48.28</v>
      </c>
      <c r="D1439" t="s">
        <v>608</v>
      </c>
      <c r="E1439" t="s">
        <v>608</v>
      </c>
      <c r="F1439">
        <v>24.33</v>
      </c>
      <c r="G1439">
        <v>17.21</v>
      </c>
      <c r="H1439">
        <v>4</v>
      </c>
      <c r="I1439">
        <v>4</v>
      </c>
      <c r="J1439" t="s">
        <v>3082</v>
      </c>
      <c r="K1439" t="s">
        <v>604</v>
      </c>
    </row>
    <row r="1440" spans="1:11" x14ac:dyDescent="0.2">
      <c r="A1440" t="s">
        <v>2651</v>
      </c>
      <c r="B1440" t="s">
        <v>1317</v>
      </c>
      <c r="C1440">
        <v>48.06</v>
      </c>
      <c r="D1440" t="s">
        <v>608</v>
      </c>
      <c r="E1440" t="s">
        <v>608</v>
      </c>
      <c r="F1440">
        <v>20.71</v>
      </c>
      <c r="G1440">
        <v>15.96</v>
      </c>
      <c r="H1440">
        <v>0</v>
      </c>
      <c r="I1440">
        <v>0</v>
      </c>
      <c r="J1440" t="s">
        <v>3082</v>
      </c>
      <c r="K1440" t="s">
        <v>604</v>
      </c>
    </row>
    <row r="1441" spans="1:11" x14ac:dyDescent="0.2">
      <c r="A1441" t="s">
        <v>2652</v>
      </c>
      <c r="B1441" t="s">
        <v>1317</v>
      </c>
      <c r="C1441">
        <v>71.25</v>
      </c>
      <c r="D1441" t="s">
        <v>608</v>
      </c>
      <c r="E1441" t="s">
        <v>608</v>
      </c>
      <c r="F1441">
        <v>90.39</v>
      </c>
      <c r="G1441">
        <v>69.099999999999994</v>
      </c>
      <c r="H1441">
        <v>1</v>
      </c>
      <c r="I1441">
        <v>1</v>
      </c>
      <c r="J1441" t="s">
        <v>3082</v>
      </c>
      <c r="K1441" t="s">
        <v>604</v>
      </c>
    </row>
    <row r="1442" spans="1:11" x14ac:dyDescent="0.2">
      <c r="A1442" t="s">
        <v>2653</v>
      </c>
      <c r="B1442" t="s">
        <v>1317</v>
      </c>
      <c r="C1442">
        <v>44.38</v>
      </c>
      <c r="D1442" t="s">
        <v>608</v>
      </c>
      <c r="E1442" t="s">
        <v>608</v>
      </c>
      <c r="F1442">
        <v>15.28</v>
      </c>
      <c r="G1442">
        <v>12.04</v>
      </c>
      <c r="H1442">
        <v>0.5</v>
      </c>
      <c r="I1442">
        <v>0.5</v>
      </c>
      <c r="J1442" t="s">
        <v>3082</v>
      </c>
      <c r="K1442" t="s">
        <v>604</v>
      </c>
    </row>
    <row r="1443" spans="1:11" x14ac:dyDescent="0.2">
      <c r="A1443" t="s">
        <v>2654</v>
      </c>
      <c r="B1443" t="s">
        <v>1317</v>
      </c>
      <c r="C1443">
        <v>36.880000000000003</v>
      </c>
      <c r="D1443" t="s">
        <v>608</v>
      </c>
      <c r="E1443" t="s">
        <v>608</v>
      </c>
      <c r="F1443">
        <v>13.44</v>
      </c>
      <c r="G1443">
        <v>9.3699999999999992</v>
      </c>
      <c r="H1443">
        <v>0</v>
      </c>
      <c r="I1443">
        <v>0</v>
      </c>
      <c r="J1443" t="s">
        <v>3082</v>
      </c>
      <c r="K1443" t="s">
        <v>604</v>
      </c>
    </row>
    <row r="1444" spans="1:11" x14ac:dyDescent="0.2">
      <c r="A1444" t="s">
        <v>2655</v>
      </c>
      <c r="B1444" t="s">
        <v>1317</v>
      </c>
      <c r="C1444">
        <v>51.77</v>
      </c>
      <c r="D1444" t="s">
        <v>608</v>
      </c>
      <c r="E1444" t="s">
        <v>608</v>
      </c>
      <c r="F1444">
        <v>12.22</v>
      </c>
      <c r="G1444">
        <v>8.4499999999999993</v>
      </c>
      <c r="H1444">
        <v>0</v>
      </c>
      <c r="I1444">
        <v>0</v>
      </c>
      <c r="J1444" t="s">
        <v>3082</v>
      </c>
      <c r="K1444" t="s">
        <v>604</v>
      </c>
    </row>
    <row r="1445" spans="1:11" x14ac:dyDescent="0.2">
      <c r="A1445" t="s">
        <v>2656</v>
      </c>
      <c r="B1445" t="s">
        <v>2657</v>
      </c>
      <c r="C1445">
        <v>61.89</v>
      </c>
      <c r="D1445" t="s">
        <v>608</v>
      </c>
      <c r="E1445" t="s">
        <v>608</v>
      </c>
      <c r="F1445">
        <v>45.79</v>
      </c>
      <c r="G1445">
        <v>33.979999999999997</v>
      </c>
      <c r="H1445">
        <v>0</v>
      </c>
      <c r="I1445">
        <v>0</v>
      </c>
      <c r="J1445" t="s">
        <v>608</v>
      </c>
      <c r="K1445" t="s">
        <v>604</v>
      </c>
    </row>
    <row r="1446" spans="1:11" x14ac:dyDescent="0.2">
      <c r="A1446" t="s">
        <v>2658</v>
      </c>
      <c r="B1446" t="s">
        <v>2657</v>
      </c>
      <c r="C1446">
        <v>45.21</v>
      </c>
      <c r="D1446" t="s">
        <v>608</v>
      </c>
      <c r="E1446" t="s">
        <v>608</v>
      </c>
      <c r="F1446">
        <v>33.03</v>
      </c>
      <c r="G1446">
        <v>23.17</v>
      </c>
      <c r="H1446">
        <v>0.5</v>
      </c>
      <c r="I1446">
        <v>0.5</v>
      </c>
      <c r="J1446" t="s">
        <v>608</v>
      </c>
      <c r="K1446" t="s">
        <v>604</v>
      </c>
    </row>
    <row r="1447" spans="1:11" x14ac:dyDescent="0.2">
      <c r="A1447" t="s">
        <v>2659</v>
      </c>
      <c r="B1447" t="s">
        <v>2657</v>
      </c>
      <c r="C1447">
        <v>48.22</v>
      </c>
      <c r="D1447" t="s">
        <v>608</v>
      </c>
      <c r="E1447" t="s">
        <v>608</v>
      </c>
      <c r="F1447">
        <v>23.48</v>
      </c>
      <c r="G1447">
        <v>16.22</v>
      </c>
      <c r="H1447">
        <v>2</v>
      </c>
      <c r="I1447">
        <v>3</v>
      </c>
      <c r="J1447" t="s">
        <v>608</v>
      </c>
      <c r="K1447" t="s">
        <v>604</v>
      </c>
    </row>
    <row r="1448" spans="1:11" x14ac:dyDescent="0.2">
      <c r="A1448" t="s">
        <v>2660</v>
      </c>
      <c r="B1448" t="s">
        <v>2657</v>
      </c>
      <c r="C1448">
        <v>45.09</v>
      </c>
      <c r="D1448" t="s">
        <v>608</v>
      </c>
      <c r="E1448" t="s">
        <v>608</v>
      </c>
      <c r="F1448">
        <v>26.22</v>
      </c>
      <c r="G1448">
        <v>19.03</v>
      </c>
      <c r="H1448">
        <v>0.5</v>
      </c>
      <c r="I1448">
        <v>0.5</v>
      </c>
      <c r="J1448" t="s">
        <v>608</v>
      </c>
      <c r="K1448" t="s">
        <v>604</v>
      </c>
    </row>
    <row r="1449" spans="1:11" x14ac:dyDescent="0.2">
      <c r="A1449" t="s">
        <v>2661</v>
      </c>
      <c r="B1449" t="s">
        <v>2657</v>
      </c>
      <c r="C1449">
        <v>51.23</v>
      </c>
      <c r="D1449" t="s">
        <v>608</v>
      </c>
      <c r="E1449" t="s">
        <v>608</v>
      </c>
      <c r="F1449">
        <v>26.92</v>
      </c>
      <c r="G1449">
        <v>17.77</v>
      </c>
      <c r="H1449">
        <v>2</v>
      </c>
      <c r="I1449">
        <v>2</v>
      </c>
      <c r="J1449" t="s">
        <v>608</v>
      </c>
      <c r="K1449" t="s">
        <v>604</v>
      </c>
    </row>
    <row r="1450" spans="1:11" x14ac:dyDescent="0.2">
      <c r="A1450" t="s">
        <v>2662</v>
      </c>
      <c r="B1450" t="s">
        <v>2663</v>
      </c>
      <c r="C1450">
        <v>54.63</v>
      </c>
      <c r="D1450" t="s">
        <v>608</v>
      </c>
      <c r="E1450" t="s">
        <v>608</v>
      </c>
      <c r="F1450">
        <v>44.66</v>
      </c>
      <c r="G1450">
        <v>32.6</v>
      </c>
      <c r="H1450">
        <v>0</v>
      </c>
      <c r="I1450">
        <v>0</v>
      </c>
      <c r="J1450" t="s">
        <v>608</v>
      </c>
      <c r="K1450" t="s">
        <v>604</v>
      </c>
    </row>
    <row r="1451" spans="1:11" x14ac:dyDescent="0.2">
      <c r="A1451" t="s">
        <v>2664</v>
      </c>
      <c r="B1451" t="s">
        <v>2663</v>
      </c>
      <c r="C1451">
        <v>58.28</v>
      </c>
      <c r="D1451" t="s">
        <v>608</v>
      </c>
      <c r="E1451" t="s">
        <v>608</v>
      </c>
      <c r="F1451">
        <v>38.25</v>
      </c>
      <c r="G1451">
        <v>26.95</v>
      </c>
      <c r="H1451">
        <v>1</v>
      </c>
      <c r="I1451">
        <v>2</v>
      </c>
      <c r="J1451" t="s">
        <v>608</v>
      </c>
      <c r="K1451" t="s">
        <v>604</v>
      </c>
    </row>
    <row r="1452" spans="1:11" x14ac:dyDescent="0.2">
      <c r="A1452" t="s">
        <v>2665</v>
      </c>
      <c r="B1452" t="s">
        <v>2663</v>
      </c>
      <c r="C1452">
        <v>51.91</v>
      </c>
      <c r="D1452" t="s">
        <v>608</v>
      </c>
      <c r="E1452" t="s">
        <v>608</v>
      </c>
      <c r="F1452">
        <v>22.9</v>
      </c>
      <c r="G1452">
        <v>16.43</v>
      </c>
      <c r="H1452">
        <v>2</v>
      </c>
      <c r="I1452">
        <v>2</v>
      </c>
      <c r="J1452" t="s">
        <v>608</v>
      </c>
      <c r="K1452" t="s">
        <v>604</v>
      </c>
    </row>
    <row r="1453" spans="1:11" x14ac:dyDescent="0.2">
      <c r="A1453" t="s">
        <v>2666</v>
      </c>
      <c r="B1453" t="s">
        <v>2663</v>
      </c>
      <c r="C1453">
        <v>51.75</v>
      </c>
      <c r="D1453" t="s">
        <v>608</v>
      </c>
      <c r="E1453" t="s">
        <v>608</v>
      </c>
      <c r="F1453">
        <v>28.85</v>
      </c>
      <c r="G1453">
        <v>20.59</v>
      </c>
      <c r="H1453">
        <v>0</v>
      </c>
      <c r="I1453">
        <v>0</v>
      </c>
      <c r="J1453" t="s">
        <v>608</v>
      </c>
      <c r="K1453" t="s">
        <v>604</v>
      </c>
    </row>
    <row r="1454" spans="1:11" x14ac:dyDescent="0.2">
      <c r="A1454" t="s">
        <v>2667</v>
      </c>
      <c r="B1454" t="s">
        <v>2663</v>
      </c>
      <c r="C1454">
        <v>45.14</v>
      </c>
      <c r="D1454" t="s">
        <v>608</v>
      </c>
      <c r="E1454" t="s">
        <v>608</v>
      </c>
      <c r="F1454">
        <v>17.28</v>
      </c>
      <c r="G1454">
        <v>12.4</v>
      </c>
      <c r="H1454">
        <v>0</v>
      </c>
      <c r="I1454">
        <v>0</v>
      </c>
      <c r="J1454" t="s">
        <v>608</v>
      </c>
      <c r="K1454" t="s">
        <v>604</v>
      </c>
    </row>
    <row r="1455" spans="1:11" x14ac:dyDescent="0.2">
      <c r="A1455" t="s">
        <v>2668</v>
      </c>
      <c r="B1455" t="s">
        <v>2669</v>
      </c>
      <c r="C1455">
        <v>55.36</v>
      </c>
      <c r="D1455" t="s">
        <v>608</v>
      </c>
      <c r="E1455" t="s">
        <v>608</v>
      </c>
      <c r="F1455">
        <v>24.61</v>
      </c>
      <c r="G1455">
        <v>18.489999999999998</v>
      </c>
      <c r="H1455">
        <v>0</v>
      </c>
      <c r="I1455">
        <v>0</v>
      </c>
      <c r="J1455" t="s">
        <v>608</v>
      </c>
      <c r="K1455" t="s">
        <v>604</v>
      </c>
    </row>
    <row r="1456" spans="1:11" x14ac:dyDescent="0.2">
      <c r="A1456" t="s">
        <v>2670</v>
      </c>
      <c r="B1456" t="s">
        <v>2669</v>
      </c>
      <c r="C1456">
        <v>46.7</v>
      </c>
      <c r="D1456" t="s">
        <v>608</v>
      </c>
      <c r="E1456" t="s">
        <v>608</v>
      </c>
      <c r="F1456">
        <v>33.08</v>
      </c>
      <c r="G1456">
        <v>28.02</v>
      </c>
      <c r="H1456">
        <v>0</v>
      </c>
      <c r="I1456">
        <v>0</v>
      </c>
      <c r="J1456" t="s">
        <v>608</v>
      </c>
      <c r="K1456" t="s">
        <v>604</v>
      </c>
    </row>
    <row r="1457" spans="1:11" x14ac:dyDescent="0.2">
      <c r="A1457" t="s">
        <v>2671</v>
      </c>
      <c r="B1457" t="s">
        <v>2669</v>
      </c>
      <c r="C1457">
        <v>42.37</v>
      </c>
      <c r="D1457" t="s">
        <v>608</v>
      </c>
      <c r="E1457" t="s">
        <v>608</v>
      </c>
      <c r="F1457">
        <v>18.12</v>
      </c>
      <c r="G1457">
        <v>12.76</v>
      </c>
      <c r="H1457">
        <v>0</v>
      </c>
      <c r="I1457">
        <v>0</v>
      </c>
      <c r="J1457" t="s">
        <v>608</v>
      </c>
      <c r="K1457" t="s">
        <v>604</v>
      </c>
    </row>
    <row r="1458" spans="1:11" x14ac:dyDescent="0.2">
      <c r="A1458" t="s">
        <v>2672</v>
      </c>
      <c r="B1458" t="s">
        <v>2669</v>
      </c>
      <c r="C1458">
        <v>37.130000000000003</v>
      </c>
      <c r="D1458" t="s">
        <v>608</v>
      </c>
      <c r="E1458" t="s">
        <v>608</v>
      </c>
      <c r="F1458">
        <v>10.56</v>
      </c>
      <c r="G1458">
        <v>7.58</v>
      </c>
      <c r="H1458">
        <v>0</v>
      </c>
      <c r="I1458">
        <v>0</v>
      </c>
      <c r="J1458" t="s">
        <v>608</v>
      </c>
      <c r="K1458" t="s">
        <v>604</v>
      </c>
    </row>
    <row r="1459" spans="1:11" x14ac:dyDescent="0.2">
      <c r="A1459" t="s">
        <v>2673</v>
      </c>
      <c r="B1459" t="s">
        <v>2669</v>
      </c>
      <c r="C1459">
        <v>41.93</v>
      </c>
      <c r="D1459" t="s">
        <v>608</v>
      </c>
      <c r="E1459" t="s">
        <v>608</v>
      </c>
      <c r="F1459">
        <v>15.73</v>
      </c>
      <c r="G1459">
        <v>12.08</v>
      </c>
      <c r="H1459">
        <v>0</v>
      </c>
      <c r="I1459">
        <v>0</v>
      </c>
      <c r="J1459" t="s">
        <v>608</v>
      </c>
      <c r="K1459" t="s">
        <v>604</v>
      </c>
    </row>
    <row r="1460" spans="1:11" x14ac:dyDescent="0.2">
      <c r="A1460" t="s">
        <v>2674</v>
      </c>
      <c r="B1460" t="s">
        <v>2675</v>
      </c>
      <c r="C1460">
        <v>39.18</v>
      </c>
      <c r="D1460" t="s">
        <v>608</v>
      </c>
      <c r="E1460" t="s">
        <v>608</v>
      </c>
      <c r="F1460">
        <v>14.46</v>
      </c>
      <c r="G1460">
        <v>9.7200000000000006</v>
      </c>
      <c r="H1460">
        <v>0</v>
      </c>
      <c r="I1460">
        <v>0.5</v>
      </c>
      <c r="J1460" t="s">
        <v>608</v>
      </c>
      <c r="K1460" t="s">
        <v>604</v>
      </c>
    </row>
    <row r="1461" spans="1:11" x14ac:dyDescent="0.2">
      <c r="A1461" t="s">
        <v>2676</v>
      </c>
      <c r="B1461" t="s">
        <v>2675</v>
      </c>
      <c r="C1461">
        <v>40.72</v>
      </c>
      <c r="D1461" t="s">
        <v>608</v>
      </c>
      <c r="E1461" t="s">
        <v>608</v>
      </c>
      <c r="F1461">
        <v>10</v>
      </c>
      <c r="G1461">
        <v>8.44</v>
      </c>
      <c r="H1461">
        <v>1</v>
      </c>
      <c r="I1461">
        <v>2</v>
      </c>
      <c r="J1461" t="s">
        <v>608</v>
      </c>
      <c r="K1461" t="s">
        <v>604</v>
      </c>
    </row>
    <row r="1462" spans="1:11" x14ac:dyDescent="0.2">
      <c r="A1462" t="s">
        <v>2677</v>
      </c>
      <c r="B1462" t="s">
        <v>2675</v>
      </c>
      <c r="C1462">
        <v>42.89</v>
      </c>
      <c r="D1462" t="s">
        <v>608</v>
      </c>
      <c r="E1462" t="s">
        <v>608</v>
      </c>
      <c r="F1462">
        <v>19.8</v>
      </c>
      <c r="G1462">
        <v>15.97</v>
      </c>
      <c r="H1462">
        <v>0</v>
      </c>
      <c r="I1462">
        <v>0</v>
      </c>
      <c r="J1462" t="s">
        <v>608</v>
      </c>
      <c r="K1462" t="s">
        <v>604</v>
      </c>
    </row>
    <row r="1463" spans="1:11" x14ac:dyDescent="0.2">
      <c r="A1463" t="s">
        <v>2678</v>
      </c>
      <c r="B1463" t="s">
        <v>2675</v>
      </c>
      <c r="C1463">
        <v>52.82</v>
      </c>
      <c r="D1463" t="s">
        <v>608</v>
      </c>
      <c r="E1463" t="s">
        <v>608</v>
      </c>
      <c r="F1463">
        <v>41.62</v>
      </c>
      <c r="G1463">
        <v>29.42</v>
      </c>
      <c r="H1463">
        <v>0</v>
      </c>
      <c r="I1463">
        <v>0.5</v>
      </c>
      <c r="J1463" t="s">
        <v>608</v>
      </c>
      <c r="K1463" t="s">
        <v>604</v>
      </c>
    </row>
    <row r="1464" spans="1:11" x14ac:dyDescent="0.2">
      <c r="A1464" t="s">
        <v>2679</v>
      </c>
      <c r="B1464" t="s">
        <v>2675</v>
      </c>
      <c r="C1464">
        <v>44.02</v>
      </c>
      <c r="D1464" t="s">
        <v>608</v>
      </c>
      <c r="E1464" t="s">
        <v>608</v>
      </c>
      <c r="F1464">
        <v>26.72</v>
      </c>
      <c r="G1464">
        <v>19.7</v>
      </c>
      <c r="H1464">
        <v>2</v>
      </c>
      <c r="I1464">
        <v>3</v>
      </c>
      <c r="J1464" t="s">
        <v>608</v>
      </c>
      <c r="K1464" t="s">
        <v>604</v>
      </c>
    </row>
    <row r="1465" spans="1:11" x14ac:dyDescent="0.2">
      <c r="A1465" t="s">
        <v>2680</v>
      </c>
      <c r="B1465" t="s">
        <v>2681</v>
      </c>
      <c r="C1465">
        <v>69.52</v>
      </c>
      <c r="D1465" t="s">
        <v>608</v>
      </c>
      <c r="E1465" t="s">
        <v>608</v>
      </c>
      <c r="F1465">
        <v>84.38</v>
      </c>
      <c r="G1465">
        <v>60.4</v>
      </c>
      <c r="H1465">
        <v>1</v>
      </c>
      <c r="I1465">
        <v>1</v>
      </c>
      <c r="J1465" t="s">
        <v>608</v>
      </c>
      <c r="K1465" t="s">
        <v>604</v>
      </c>
    </row>
    <row r="1466" spans="1:11" x14ac:dyDescent="0.2">
      <c r="A1466" t="s">
        <v>2682</v>
      </c>
      <c r="B1466" t="s">
        <v>2681</v>
      </c>
      <c r="C1466">
        <v>49.57</v>
      </c>
      <c r="D1466" t="s">
        <v>608</v>
      </c>
      <c r="E1466" t="s">
        <v>608</v>
      </c>
      <c r="F1466">
        <v>33.75</v>
      </c>
      <c r="G1466">
        <v>24.33</v>
      </c>
      <c r="H1466">
        <v>0.5</v>
      </c>
      <c r="I1466">
        <v>0</v>
      </c>
      <c r="J1466" t="s">
        <v>608</v>
      </c>
      <c r="K1466" t="s">
        <v>604</v>
      </c>
    </row>
    <row r="1467" spans="1:11" x14ac:dyDescent="0.2">
      <c r="A1467" t="s">
        <v>2683</v>
      </c>
      <c r="B1467" t="s">
        <v>2681</v>
      </c>
      <c r="C1467">
        <v>55.55</v>
      </c>
      <c r="D1467" t="s">
        <v>608</v>
      </c>
      <c r="E1467" t="s">
        <v>608</v>
      </c>
      <c r="F1467">
        <v>26.52</v>
      </c>
      <c r="G1467">
        <v>20.43</v>
      </c>
      <c r="H1467">
        <v>0</v>
      </c>
      <c r="I1467">
        <v>0</v>
      </c>
      <c r="J1467" t="s">
        <v>608</v>
      </c>
      <c r="K1467" t="s">
        <v>604</v>
      </c>
    </row>
    <row r="1468" spans="1:11" x14ac:dyDescent="0.2">
      <c r="A1468" t="s">
        <v>2684</v>
      </c>
      <c r="B1468" t="s">
        <v>2681</v>
      </c>
      <c r="C1468">
        <v>58.38</v>
      </c>
      <c r="D1468" t="s">
        <v>608</v>
      </c>
      <c r="E1468" t="s">
        <v>608</v>
      </c>
      <c r="F1468">
        <v>29.17</v>
      </c>
      <c r="G1468">
        <v>22.33</v>
      </c>
      <c r="H1468">
        <v>1</v>
      </c>
      <c r="I1468">
        <v>1</v>
      </c>
      <c r="J1468" t="s">
        <v>608</v>
      </c>
      <c r="K1468" t="s">
        <v>604</v>
      </c>
    </row>
    <row r="1469" spans="1:11" x14ac:dyDescent="0.2">
      <c r="A1469" t="s">
        <v>2685</v>
      </c>
      <c r="B1469" t="s">
        <v>2681</v>
      </c>
      <c r="C1469">
        <v>55.22</v>
      </c>
      <c r="D1469" t="s">
        <v>608</v>
      </c>
      <c r="E1469" t="s">
        <v>608</v>
      </c>
      <c r="F1469">
        <v>37.17</v>
      </c>
      <c r="G1469">
        <v>27.32</v>
      </c>
      <c r="H1469">
        <v>0</v>
      </c>
      <c r="I1469">
        <v>0</v>
      </c>
      <c r="J1469" t="s">
        <v>608</v>
      </c>
      <c r="K1469" t="s">
        <v>604</v>
      </c>
    </row>
    <row r="1470" spans="1:11" x14ac:dyDescent="0.2">
      <c r="A1470" t="s">
        <v>2686</v>
      </c>
      <c r="B1470" t="s">
        <v>2687</v>
      </c>
      <c r="C1470">
        <v>39.520000000000003</v>
      </c>
      <c r="D1470" t="s">
        <v>608</v>
      </c>
      <c r="E1470" t="s">
        <v>608</v>
      </c>
      <c r="F1470">
        <v>28.67</v>
      </c>
      <c r="G1470">
        <v>20.399999999999999</v>
      </c>
      <c r="H1470">
        <v>0</v>
      </c>
      <c r="I1470">
        <v>0</v>
      </c>
      <c r="J1470" t="s">
        <v>608</v>
      </c>
      <c r="K1470" t="s">
        <v>604</v>
      </c>
    </row>
    <row r="1471" spans="1:11" x14ac:dyDescent="0.2">
      <c r="A1471" t="s">
        <v>2688</v>
      </c>
      <c r="B1471" t="s">
        <v>2687</v>
      </c>
      <c r="C1471">
        <v>52.84</v>
      </c>
      <c r="D1471" t="s">
        <v>608</v>
      </c>
      <c r="E1471" t="s">
        <v>608</v>
      </c>
      <c r="F1471">
        <v>40.299999999999997</v>
      </c>
      <c r="G1471">
        <v>29.5</v>
      </c>
      <c r="H1471">
        <v>0</v>
      </c>
      <c r="I1471">
        <v>0</v>
      </c>
      <c r="J1471" t="s">
        <v>608</v>
      </c>
      <c r="K1471" t="s">
        <v>604</v>
      </c>
    </row>
    <row r="1472" spans="1:11" x14ac:dyDescent="0.2">
      <c r="A1472" t="s">
        <v>2689</v>
      </c>
      <c r="B1472" t="s">
        <v>2687</v>
      </c>
      <c r="C1472">
        <v>47.72</v>
      </c>
      <c r="D1472" t="s">
        <v>608</v>
      </c>
      <c r="E1472" t="s">
        <v>608</v>
      </c>
      <c r="F1472">
        <v>32.619999999999997</v>
      </c>
      <c r="G1472">
        <v>20.85</v>
      </c>
      <c r="H1472">
        <v>0</v>
      </c>
      <c r="I1472">
        <v>0</v>
      </c>
      <c r="J1472" t="s">
        <v>608</v>
      </c>
      <c r="K1472" t="s">
        <v>604</v>
      </c>
    </row>
    <row r="1473" spans="1:11" x14ac:dyDescent="0.2">
      <c r="A1473" t="s">
        <v>2690</v>
      </c>
      <c r="B1473" t="s">
        <v>2687</v>
      </c>
      <c r="C1473">
        <v>50.69</v>
      </c>
      <c r="D1473" t="s">
        <v>608</v>
      </c>
      <c r="E1473" t="s">
        <v>608</v>
      </c>
      <c r="F1473">
        <v>19.43</v>
      </c>
      <c r="G1473">
        <v>14.93</v>
      </c>
      <c r="H1473">
        <v>1</v>
      </c>
      <c r="I1473">
        <v>1</v>
      </c>
      <c r="J1473" t="s">
        <v>608</v>
      </c>
      <c r="K1473" t="s">
        <v>604</v>
      </c>
    </row>
    <row r="1474" spans="1:11" x14ac:dyDescent="0.2">
      <c r="A1474" t="s">
        <v>2691</v>
      </c>
      <c r="B1474" t="s">
        <v>2687</v>
      </c>
      <c r="C1474">
        <v>42.7</v>
      </c>
      <c r="D1474" t="s">
        <v>608</v>
      </c>
      <c r="E1474" t="s">
        <v>608</v>
      </c>
      <c r="F1474">
        <v>18.260000000000002</v>
      </c>
      <c r="G1474">
        <v>13.96</v>
      </c>
      <c r="H1474">
        <v>0.5</v>
      </c>
      <c r="I1474">
        <v>1</v>
      </c>
      <c r="J1474" t="s">
        <v>608</v>
      </c>
      <c r="K1474" t="s">
        <v>604</v>
      </c>
    </row>
    <row r="1475" spans="1:11" x14ac:dyDescent="0.2">
      <c r="A1475" t="s">
        <v>2692</v>
      </c>
      <c r="B1475" t="s">
        <v>2693</v>
      </c>
      <c r="C1475">
        <v>67.69</v>
      </c>
      <c r="D1475" t="s">
        <v>608</v>
      </c>
      <c r="E1475" t="s">
        <v>608</v>
      </c>
      <c r="F1475">
        <v>45.01</v>
      </c>
      <c r="G1475">
        <v>32.200000000000003</v>
      </c>
      <c r="H1475">
        <v>0</v>
      </c>
      <c r="I1475">
        <v>0</v>
      </c>
      <c r="J1475" t="s">
        <v>608</v>
      </c>
      <c r="K1475" t="s">
        <v>604</v>
      </c>
    </row>
    <row r="1476" spans="1:11" x14ac:dyDescent="0.2">
      <c r="A1476" t="s">
        <v>2694</v>
      </c>
      <c r="B1476" t="s">
        <v>2693</v>
      </c>
      <c r="C1476">
        <v>61.8</v>
      </c>
      <c r="D1476" t="s">
        <v>608</v>
      </c>
      <c r="E1476" t="s">
        <v>608</v>
      </c>
      <c r="F1476">
        <v>37.96</v>
      </c>
      <c r="G1476">
        <v>26.17</v>
      </c>
      <c r="H1476">
        <v>1</v>
      </c>
      <c r="I1476">
        <v>2</v>
      </c>
      <c r="J1476" t="s">
        <v>608</v>
      </c>
      <c r="K1476" t="s">
        <v>604</v>
      </c>
    </row>
    <row r="1477" spans="1:11" x14ac:dyDescent="0.2">
      <c r="A1477" t="s">
        <v>2695</v>
      </c>
      <c r="B1477" t="s">
        <v>2693</v>
      </c>
      <c r="C1477">
        <v>48.33</v>
      </c>
      <c r="D1477" t="s">
        <v>608</v>
      </c>
      <c r="E1477" t="s">
        <v>608</v>
      </c>
      <c r="F1477">
        <v>25.08</v>
      </c>
      <c r="G1477">
        <v>19.02</v>
      </c>
      <c r="H1477">
        <v>0</v>
      </c>
      <c r="I1477">
        <v>0</v>
      </c>
      <c r="J1477" t="s">
        <v>608</v>
      </c>
      <c r="K1477" t="s">
        <v>604</v>
      </c>
    </row>
    <row r="1478" spans="1:11" x14ac:dyDescent="0.2">
      <c r="A1478" t="s">
        <v>2696</v>
      </c>
      <c r="B1478" t="s">
        <v>2693</v>
      </c>
      <c r="C1478">
        <v>46.72</v>
      </c>
      <c r="D1478" t="s">
        <v>608</v>
      </c>
      <c r="E1478" t="s">
        <v>608</v>
      </c>
      <c r="F1478">
        <v>27.58</v>
      </c>
      <c r="G1478">
        <v>19.63</v>
      </c>
      <c r="H1478">
        <v>0.5</v>
      </c>
      <c r="I1478">
        <v>1</v>
      </c>
      <c r="J1478" t="s">
        <v>608</v>
      </c>
      <c r="K1478" t="s">
        <v>604</v>
      </c>
    </row>
    <row r="1479" spans="1:11" x14ac:dyDescent="0.2">
      <c r="A1479" t="s">
        <v>2697</v>
      </c>
      <c r="B1479" t="s">
        <v>2693</v>
      </c>
      <c r="C1479">
        <v>47.72</v>
      </c>
      <c r="D1479" t="s">
        <v>608</v>
      </c>
      <c r="E1479" t="s">
        <v>608</v>
      </c>
      <c r="F1479">
        <v>37.369999999999997</v>
      </c>
      <c r="G1479">
        <v>20.76</v>
      </c>
      <c r="H1479">
        <v>2</v>
      </c>
      <c r="I1479">
        <v>2</v>
      </c>
      <c r="J1479" t="s">
        <v>608</v>
      </c>
      <c r="K1479" t="s">
        <v>604</v>
      </c>
    </row>
    <row r="1480" spans="1:11" x14ac:dyDescent="0.2">
      <c r="A1480" t="s">
        <v>2698</v>
      </c>
      <c r="B1480" t="s">
        <v>2699</v>
      </c>
      <c r="C1480">
        <v>40.119999999999997</v>
      </c>
      <c r="D1480" t="s">
        <v>608</v>
      </c>
      <c r="E1480" t="s">
        <v>608</v>
      </c>
      <c r="F1480">
        <v>20.76</v>
      </c>
      <c r="G1480">
        <v>13.59</v>
      </c>
      <c r="H1480">
        <v>0.5</v>
      </c>
      <c r="I1480">
        <v>0.5</v>
      </c>
      <c r="J1480" t="s">
        <v>608</v>
      </c>
      <c r="K1480" t="s">
        <v>604</v>
      </c>
    </row>
    <row r="1481" spans="1:11" x14ac:dyDescent="0.2">
      <c r="A1481" t="s">
        <v>2700</v>
      </c>
      <c r="B1481" t="s">
        <v>2699</v>
      </c>
      <c r="C1481">
        <v>46.2</v>
      </c>
      <c r="D1481" t="s">
        <v>608</v>
      </c>
      <c r="E1481" t="s">
        <v>608</v>
      </c>
      <c r="F1481">
        <v>20.87</v>
      </c>
      <c r="G1481">
        <v>15.51</v>
      </c>
      <c r="H1481">
        <v>1</v>
      </c>
      <c r="I1481">
        <v>0.5</v>
      </c>
      <c r="J1481" t="s">
        <v>608</v>
      </c>
      <c r="K1481" t="s">
        <v>604</v>
      </c>
    </row>
    <row r="1482" spans="1:11" x14ac:dyDescent="0.2">
      <c r="A1482" t="s">
        <v>2701</v>
      </c>
      <c r="B1482" t="s">
        <v>2699</v>
      </c>
      <c r="C1482">
        <v>36.06</v>
      </c>
      <c r="D1482" t="s">
        <v>608</v>
      </c>
      <c r="E1482" t="s">
        <v>608</v>
      </c>
      <c r="F1482">
        <v>15.87</v>
      </c>
      <c r="G1482">
        <v>13.68</v>
      </c>
      <c r="H1482">
        <v>0</v>
      </c>
      <c r="I1482">
        <v>0</v>
      </c>
      <c r="J1482" t="s">
        <v>608</v>
      </c>
      <c r="K1482" t="s">
        <v>604</v>
      </c>
    </row>
    <row r="1483" spans="1:11" x14ac:dyDescent="0.2">
      <c r="A1483" t="s">
        <v>2702</v>
      </c>
      <c r="B1483" t="s">
        <v>2699</v>
      </c>
      <c r="C1483">
        <v>46.01</v>
      </c>
      <c r="D1483" t="s">
        <v>608</v>
      </c>
      <c r="E1483" t="s">
        <v>608</v>
      </c>
      <c r="F1483">
        <v>24.52</v>
      </c>
      <c r="G1483">
        <v>16.97</v>
      </c>
      <c r="H1483">
        <v>5</v>
      </c>
      <c r="I1483">
        <v>4</v>
      </c>
      <c r="J1483" t="s">
        <v>608</v>
      </c>
      <c r="K1483" t="s">
        <v>604</v>
      </c>
    </row>
    <row r="1484" spans="1:11" x14ac:dyDescent="0.2">
      <c r="A1484" t="s">
        <v>2703</v>
      </c>
      <c r="B1484" t="s">
        <v>2699</v>
      </c>
      <c r="C1484">
        <v>58.43</v>
      </c>
      <c r="D1484" t="s">
        <v>608</v>
      </c>
      <c r="E1484" t="s">
        <v>608</v>
      </c>
      <c r="F1484">
        <v>36.39</v>
      </c>
      <c r="G1484">
        <v>27.31</v>
      </c>
      <c r="H1484">
        <v>1</v>
      </c>
      <c r="I1484">
        <v>2</v>
      </c>
      <c r="J1484" t="s">
        <v>608</v>
      </c>
      <c r="K1484" t="s">
        <v>604</v>
      </c>
    </row>
    <row r="1485" spans="1:11" x14ac:dyDescent="0.2">
      <c r="A1485" t="s">
        <v>2704</v>
      </c>
      <c r="B1485" t="s">
        <v>2705</v>
      </c>
      <c r="C1485">
        <v>63.18</v>
      </c>
      <c r="D1485" t="s">
        <v>608</v>
      </c>
      <c r="E1485" t="s">
        <v>608</v>
      </c>
      <c r="F1485">
        <v>71.989999999999995</v>
      </c>
      <c r="G1485">
        <v>53.47</v>
      </c>
      <c r="H1485">
        <v>0</v>
      </c>
      <c r="I1485">
        <v>0</v>
      </c>
      <c r="J1485" t="s">
        <v>608</v>
      </c>
      <c r="K1485" t="s">
        <v>604</v>
      </c>
    </row>
    <row r="1486" spans="1:11" x14ac:dyDescent="0.2">
      <c r="A1486" t="s">
        <v>2706</v>
      </c>
      <c r="B1486" t="s">
        <v>2705</v>
      </c>
      <c r="C1486">
        <v>37.97</v>
      </c>
      <c r="D1486" t="s">
        <v>608</v>
      </c>
      <c r="E1486" t="s">
        <v>608</v>
      </c>
      <c r="F1486">
        <v>12.48</v>
      </c>
      <c r="G1486">
        <v>9.5399999999999991</v>
      </c>
      <c r="H1486">
        <v>0</v>
      </c>
      <c r="I1486">
        <v>0</v>
      </c>
      <c r="J1486" t="s">
        <v>608</v>
      </c>
      <c r="K1486" t="s">
        <v>604</v>
      </c>
    </row>
    <row r="1487" spans="1:11" x14ac:dyDescent="0.2">
      <c r="A1487" t="s">
        <v>2707</v>
      </c>
      <c r="B1487" t="s">
        <v>2705</v>
      </c>
      <c r="C1487">
        <v>45.04</v>
      </c>
      <c r="D1487" t="s">
        <v>608</v>
      </c>
      <c r="E1487" t="s">
        <v>608</v>
      </c>
      <c r="F1487">
        <v>14.14</v>
      </c>
      <c r="G1487">
        <v>10.54</v>
      </c>
      <c r="H1487">
        <v>2</v>
      </c>
      <c r="I1487">
        <v>3</v>
      </c>
      <c r="J1487" t="s">
        <v>608</v>
      </c>
      <c r="K1487" t="s">
        <v>604</v>
      </c>
    </row>
    <row r="1488" spans="1:11" x14ac:dyDescent="0.2">
      <c r="A1488" t="s">
        <v>2708</v>
      </c>
      <c r="B1488" t="s">
        <v>2705</v>
      </c>
      <c r="C1488">
        <v>57.37</v>
      </c>
      <c r="D1488" t="s">
        <v>608</v>
      </c>
      <c r="E1488" t="s">
        <v>608</v>
      </c>
      <c r="F1488">
        <v>27.66</v>
      </c>
      <c r="G1488">
        <v>21.55</v>
      </c>
      <c r="H1488">
        <v>0.5</v>
      </c>
      <c r="I1488">
        <v>1</v>
      </c>
      <c r="J1488" t="s">
        <v>608</v>
      </c>
      <c r="K1488" t="s">
        <v>604</v>
      </c>
    </row>
    <row r="1489" spans="1:11" x14ac:dyDescent="0.2">
      <c r="A1489" t="s">
        <v>2709</v>
      </c>
      <c r="B1489" t="s">
        <v>2705</v>
      </c>
      <c r="C1489">
        <v>36.340000000000003</v>
      </c>
      <c r="D1489" t="s">
        <v>608</v>
      </c>
      <c r="E1489" t="s">
        <v>608</v>
      </c>
      <c r="F1489">
        <v>11.25</v>
      </c>
      <c r="G1489">
        <v>8.5299999999999994</v>
      </c>
      <c r="H1489">
        <v>0</v>
      </c>
      <c r="I1489">
        <v>0</v>
      </c>
      <c r="J1489" t="s">
        <v>608</v>
      </c>
      <c r="K1489" t="s">
        <v>604</v>
      </c>
    </row>
    <row r="1490" spans="1:11" x14ac:dyDescent="0.2">
      <c r="A1490" t="s">
        <v>2710</v>
      </c>
      <c r="B1490" t="s">
        <v>2711</v>
      </c>
      <c r="C1490">
        <v>58.51</v>
      </c>
      <c r="D1490" t="s">
        <v>608</v>
      </c>
      <c r="E1490" t="s">
        <v>608</v>
      </c>
      <c r="F1490">
        <v>34.06</v>
      </c>
      <c r="G1490">
        <v>33.5</v>
      </c>
      <c r="H1490">
        <v>0.5</v>
      </c>
      <c r="I1490">
        <v>1</v>
      </c>
      <c r="J1490" t="s">
        <v>608</v>
      </c>
      <c r="K1490" t="s">
        <v>604</v>
      </c>
    </row>
    <row r="1491" spans="1:11" x14ac:dyDescent="0.2">
      <c r="A1491" t="s">
        <v>2712</v>
      </c>
      <c r="B1491" t="s">
        <v>2711</v>
      </c>
      <c r="C1491">
        <v>58.12</v>
      </c>
      <c r="D1491" t="s">
        <v>608</v>
      </c>
      <c r="E1491" t="s">
        <v>608</v>
      </c>
      <c r="F1491">
        <v>47.77</v>
      </c>
      <c r="G1491">
        <v>38.17</v>
      </c>
      <c r="H1491">
        <v>0.5</v>
      </c>
      <c r="I1491">
        <v>0</v>
      </c>
      <c r="J1491" t="s">
        <v>608</v>
      </c>
      <c r="K1491" t="s">
        <v>604</v>
      </c>
    </row>
    <row r="1492" spans="1:11" x14ac:dyDescent="0.2">
      <c r="A1492" t="s">
        <v>2713</v>
      </c>
      <c r="B1492" t="s">
        <v>2711</v>
      </c>
      <c r="C1492">
        <v>47.05</v>
      </c>
      <c r="D1492" t="s">
        <v>608</v>
      </c>
      <c r="E1492" t="s">
        <v>608</v>
      </c>
      <c r="F1492">
        <v>26.09</v>
      </c>
      <c r="G1492">
        <v>17.920000000000002</v>
      </c>
      <c r="H1492">
        <v>0.5</v>
      </c>
      <c r="I1492">
        <v>0.5</v>
      </c>
      <c r="J1492" t="s">
        <v>608</v>
      </c>
      <c r="K1492" t="s">
        <v>604</v>
      </c>
    </row>
    <row r="1493" spans="1:11" x14ac:dyDescent="0.2">
      <c r="A1493" t="s">
        <v>2714</v>
      </c>
      <c r="B1493" t="s">
        <v>2711</v>
      </c>
      <c r="C1493">
        <v>75.319999999999993</v>
      </c>
      <c r="D1493" t="s">
        <v>608</v>
      </c>
      <c r="E1493" t="s">
        <v>608</v>
      </c>
      <c r="F1493">
        <v>67.19</v>
      </c>
      <c r="G1493">
        <v>51.05</v>
      </c>
      <c r="H1493">
        <v>0</v>
      </c>
      <c r="I1493">
        <v>0</v>
      </c>
      <c r="J1493" t="s">
        <v>608</v>
      </c>
      <c r="K1493" t="s">
        <v>604</v>
      </c>
    </row>
    <row r="1494" spans="1:11" x14ac:dyDescent="0.2">
      <c r="A1494" t="s">
        <v>2715</v>
      </c>
      <c r="B1494" t="s">
        <v>2711</v>
      </c>
      <c r="C1494">
        <v>52.65</v>
      </c>
      <c r="D1494" t="s">
        <v>608</v>
      </c>
      <c r="E1494" t="s">
        <v>608</v>
      </c>
      <c r="F1494">
        <v>36.18</v>
      </c>
      <c r="G1494">
        <v>26.76</v>
      </c>
      <c r="H1494">
        <v>0.5</v>
      </c>
      <c r="I1494">
        <v>0.5</v>
      </c>
      <c r="J1494" t="s">
        <v>608</v>
      </c>
      <c r="K1494" t="s">
        <v>604</v>
      </c>
    </row>
    <row r="1495" spans="1:11" x14ac:dyDescent="0.2">
      <c r="A1495" t="s">
        <v>2716</v>
      </c>
      <c r="B1495" t="s">
        <v>2717</v>
      </c>
      <c r="C1495">
        <v>79.69</v>
      </c>
      <c r="D1495" t="s">
        <v>608</v>
      </c>
      <c r="E1495" t="s">
        <v>608</v>
      </c>
      <c r="F1495">
        <v>87.35</v>
      </c>
      <c r="G1495">
        <v>62.53</v>
      </c>
      <c r="H1495">
        <v>1</v>
      </c>
      <c r="I1495">
        <v>0.5</v>
      </c>
      <c r="J1495" t="s">
        <v>608</v>
      </c>
      <c r="K1495" t="s">
        <v>604</v>
      </c>
    </row>
    <row r="1496" spans="1:11" x14ac:dyDescent="0.2">
      <c r="A1496" t="s">
        <v>2718</v>
      </c>
      <c r="B1496" t="s">
        <v>2717</v>
      </c>
      <c r="C1496">
        <v>65.349999999999994</v>
      </c>
      <c r="D1496" t="s">
        <v>608</v>
      </c>
      <c r="E1496" t="s">
        <v>608</v>
      </c>
      <c r="F1496">
        <v>40.94</v>
      </c>
      <c r="G1496">
        <v>29.68</v>
      </c>
      <c r="H1496">
        <v>0</v>
      </c>
      <c r="I1496">
        <v>0.5</v>
      </c>
      <c r="J1496" t="s">
        <v>608</v>
      </c>
      <c r="K1496" t="s">
        <v>604</v>
      </c>
    </row>
    <row r="1497" spans="1:11" x14ac:dyDescent="0.2">
      <c r="A1497" t="s">
        <v>2719</v>
      </c>
      <c r="B1497" t="s">
        <v>2717</v>
      </c>
      <c r="C1497">
        <v>55.36</v>
      </c>
      <c r="D1497" t="s">
        <v>608</v>
      </c>
      <c r="E1497" t="s">
        <v>608</v>
      </c>
      <c r="F1497">
        <v>25.64</v>
      </c>
      <c r="G1497">
        <v>20.29</v>
      </c>
      <c r="H1497">
        <v>0</v>
      </c>
      <c r="I1497">
        <v>0</v>
      </c>
      <c r="J1497" t="s">
        <v>608</v>
      </c>
      <c r="K1497" t="s">
        <v>604</v>
      </c>
    </row>
    <row r="1498" spans="1:11" x14ac:dyDescent="0.2">
      <c r="A1498" t="s">
        <v>2720</v>
      </c>
      <c r="B1498" t="s">
        <v>2717</v>
      </c>
      <c r="C1498">
        <v>49.2</v>
      </c>
      <c r="D1498" t="s">
        <v>608</v>
      </c>
      <c r="E1498" t="s">
        <v>608</v>
      </c>
      <c r="F1498">
        <v>22.8</v>
      </c>
      <c r="G1498">
        <v>16.98</v>
      </c>
      <c r="H1498">
        <v>3</v>
      </c>
      <c r="I1498">
        <v>2</v>
      </c>
      <c r="J1498" t="s">
        <v>608</v>
      </c>
      <c r="K1498" t="s">
        <v>604</v>
      </c>
    </row>
    <row r="1499" spans="1:11" x14ac:dyDescent="0.2">
      <c r="A1499" t="s">
        <v>2721</v>
      </c>
      <c r="B1499" t="s">
        <v>2717</v>
      </c>
      <c r="C1499">
        <v>49.64</v>
      </c>
      <c r="D1499" t="s">
        <v>608</v>
      </c>
      <c r="E1499" t="s">
        <v>608</v>
      </c>
      <c r="F1499">
        <v>23.39</v>
      </c>
      <c r="G1499">
        <v>17.63</v>
      </c>
      <c r="H1499">
        <v>2</v>
      </c>
      <c r="I1499">
        <v>2</v>
      </c>
      <c r="J1499" t="s">
        <v>608</v>
      </c>
      <c r="K1499" t="s">
        <v>604</v>
      </c>
    </row>
    <row r="1500" spans="1:11" x14ac:dyDescent="0.2">
      <c r="A1500" t="s">
        <v>2722</v>
      </c>
      <c r="B1500" t="s">
        <v>2723</v>
      </c>
      <c r="C1500">
        <v>76.27</v>
      </c>
      <c r="D1500" t="s">
        <v>608</v>
      </c>
      <c r="E1500" t="s">
        <v>608</v>
      </c>
      <c r="F1500">
        <v>56.77</v>
      </c>
      <c r="G1500">
        <v>39.14</v>
      </c>
      <c r="H1500">
        <v>0.5</v>
      </c>
      <c r="I1500">
        <v>0.5</v>
      </c>
      <c r="J1500" t="s">
        <v>608</v>
      </c>
      <c r="K1500" t="s">
        <v>604</v>
      </c>
    </row>
    <row r="1501" spans="1:11" x14ac:dyDescent="0.2">
      <c r="A1501" t="s">
        <v>2724</v>
      </c>
      <c r="B1501" t="s">
        <v>2723</v>
      </c>
      <c r="C1501">
        <v>67.709999999999994</v>
      </c>
      <c r="D1501" t="s">
        <v>608</v>
      </c>
      <c r="E1501" t="s">
        <v>608</v>
      </c>
      <c r="F1501">
        <v>37.04</v>
      </c>
      <c r="G1501">
        <v>27.55</v>
      </c>
      <c r="H1501">
        <v>0.5</v>
      </c>
      <c r="I1501">
        <v>0</v>
      </c>
      <c r="J1501" t="s">
        <v>608</v>
      </c>
      <c r="K1501" t="s">
        <v>604</v>
      </c>
    </row>
    <row r="1502" spans="1:11" x14ac:dyDescent="0.2">
      <c r="A1502" t="s">
        <v>2725</v>
      </c>
      <c r="B1502" t="s">
        <v>2723</v>
      </c>
      <c r="C1502">
        <v>74.599999999999994</v>
      </c>
      <c r="D1502" t="s">
        <v>608</v>
      </c>
      <c r="E1502" t="s">
        <v>608</v>
      </c>
      <c r="F1502">
        <v>92.49</v>
      </c>
      <c r="G1502">
        <v>67.45</v>
      </c>
      <c r="H1502">
        <v>0</v>
      </c>
      <c r="I1502">
        <v>0</v>
      </c>
      <c r="J1502" t="s">
        <v>608</v>
      </c>
      <c r="K1502" t="s">
        <v>604</v>
      </c>
    </row>
    <row r="1503" spans="1:11" x14ac:dyDescent="0.2">
      <c r="A1503" t="s">
        <v>2726</v>
      </c>
      <c r="B1503" t="s">
        <v>2723</v>
      </c>
      <c r="C1503">
        <v>67.489999999999995</v>
      </c>
      <c r="D1503" t="s">
        <v>608</v>
      </c>
      <c r="E1503" t="s">
        <v>608</v>
      </c>
      <c r="F1503">
        <v>76.959999999999994</v>
      </c>
      <c r="G1503">
        <v>52.86</v>
      </c>
      <c r="H1503">
        <v>0</v>
      </c>
      <c r="I1503">
        <v>0</v>
      </c>
      <c r="J1503" t="s">
        <v>608</v>
      </c>
      <c r="K1503" t="s">
        <v>604</v>
      </c>
    </row>
    <row r="1504" spans="1:11" x14ac:dyDescent="0.2">
      <c r="A1504" t="s">
        <v>2727</v>
      </c>
      <c r="B1504" t="s">
        <v>2723</v>
      </c>
      <c r="C1504">
        <v>53.47</v>
      </c>
      <c r="D1504" t="s">
        <v>608</v>
      </c>
      <c r="E1504" t="s">
        <v>608</v>
      </c>
      <c r="F1504">
        <v>43.79</v>
      </c>
      <c r="G1504">
        <v>26.08</v>
      </c>
      <c r="H1504">
        <v>0.5</v>
      </c>
      <c r="I1504">
        <v>1</v>
      </c>
      <c r="J1504" t="s">
        <v>608</v>
      </c>
      <c r="K1504" t="s">
        <v>604</v>
      </c>
    </row>
    <row r="1505" spans="1:11" x14ac:dyDescent="0.2">
      <c r="A1505" t="s">
        <v>2728</v>
      </c>
      <c r="B1505" t="s">
        <v>2729</v>
      </c>
      <c r="C1505">
        <v>72.239999999999995</v>
      </c>
      <c r="D1505" t="s">
        <v>608</v>
      </c>
      <c r="E1505" t="s">
        <v>608</v>
      </c>
      <c r="F1505">
        <v>48.3</v>
      </c>
      <c r="G1505">
        <v>34.42</v>
      </c>
      <c r="H1505">
        <v>2</v>
      </c>
      <c r="I1505">
        <v>2</v>
      </c>
      <c r="J1505" t="s">
        <v>608</v>
      </c>
      <c r="K1505" t="s">
        <v>604</v>
      </c>
    </row>
    <row r="1506" spans="1:11" x14ac:dyDescent="0.2">
      <c r="A1506" t="s">
        <v>2730</v>
      </c>
      <c r="B1506" t="s">
        <v>2729</v>
      </c>
      <c r="C1506">
        <v>44.27</v>
      </c>
      <c r="D1506" t="s">
        <v>608</v>
      </c>
      <c r="E1506" t="s">
        <v>608</v>
      </c>
      <c r="F1506">
        <v>38.409999999999997</v>
      </c>
      <c r="G1506">
        <v>27.72</v>
      </c>
      <c r="H1506">
        <v>1</v>
      </c>
      <c r="I1506">
        <v>0.5</v>
      </c>
      <c r="J1506" t="s">
        <v>608</v>
      </c>
      <c r="K1506" t="s">
        <v>604</v>
      </c>
    </row>
    <row r="1507" spans="1:11" x14ac:dyDescent="0.2">
      <c r="A1507" t="s">
        <v>2731</v>
      </c>
      <c r="B1507" t="s">
        <v>2729</v>
      </c>
      <c r="C1507">
        <v>47.24</v>
      </c>
      <c r="D1507" t="s">
        <v>608</v>
      </c>
      <c r="E1507" t="s">
        <v>608</v>
      </c>
      <c r="F1507">
        <v>25.74</v>
      </c>
      <c r="G1507">
        <v>19.05</v>
      </c>
      <c r="H1507">
        <v>2</v>
      </c>
      <c r="I1507">
        <v>0.5</v>
      </c>
      <c r="J1507" t="s">
        <v>608</v>
      </c>
      <c r="K1507" t="s">
        <v>604</v>
      </c>
    </row>
    <row r="1508" spans="1:11" x14ac:dyDescent="0.2">
      <c r="A1508" t="s">
        <v>2732</v>
      </c>
      <c r="B1508" t="s">
        <v>2729</v>
      </c>
      <c r="C1508">
        <v>55.49</v>
      </c>
      <c r="D1508" t="s">
        <v>608</v>
      </c>
      <c r="E1508" t="s">
        <v>608</v>
      </c>
      <c r="F1508">
        <v>29.5</v>
      </c>
      <c r="G1508">
        <v>22.51</v>
      </c>
      <c r="H1508">
        <v>0</v>
      </c>
      <c r="I1508">
        <v>0</v>
      </c>
      <c r="J1508" t="s">
        <v>608</v>
      </c>
      <c r="K1508" t="s">
        <v>604</v>
      </c>
    </row>
    <row r="1509" spans="1:11" x14ac:dyDescent="0.2">
      <c r="A1509" t="s">
        <v>2733</v>
      </c>
      <c r="B1509" t="s">
        <v>2729</v>
      </c>
      <c r="C1509">
        <v>44.85</v>
      </c>
      <c r="D1509" t="s">
        <v>608</v>
      </c>
      <c r="E1509" t="s">
        <v>608</v>
      </c>
      <c r="F1509">
        <v>12.28</v>
      </c>
      <c r="G1509">
        <v>9.59</v>
      </c>
      <c r="H1509">
        <v>0</v>
      </c>
      <c r="I1509">
        <v>0</v>
      </c>
      <c r="J1509" t="s">
        <v>608</v>
      </c>
      <c r="K1509" t="s">
        <v>604</v>
      </c>
    </row>
    <row r="1510" spans="1:11" x14ac:dyDescent="0.2">
      <c r="A1510" t="s">
        <v>2734</v>
      </c>
      <c r="B1510" t="s">
        <v>2735</v>
      </c>
      <c r="C1510">
        <v>74.319999999999993</v>
      </c>
      <c r="D1510" t="s">
        <v>608</v>
      </c>
      <c r="E1510" t="s">
        <v>608</v>
      </c>
      <c r="F1510">
        <v>89.6</v>
      </c>
      <c r="G1510">
        <v>62.45</v>
      </c>
      <c r="H1510">
        <v>0</v>
      </c>
      <c r="I1510">
        <v>0</v>
      </c>
      <c r="J1510" t="s">
        <v>608</v>
      </c>
      <c r="K1510" t="s">
        <v>604</v>
      </c>
    </row>
    <row r="1511" spans="1:11" x14ac:dyDescent="0.2">
      <c r="A1511" t="s">
        <v>2736</v>
      </c>
      <c r="B1511" t="s">
        <v>2735</v>
      </c>
      <c r="C1511">
        <v>60.03</v>
      </c>
      <c r="D1511" t="s">
        <v>608</v>
      </c>
      <c r="E1511" t="s">
        <v>608</v>
      </c>
      <c r="F1511">
        <v>51.74</v>
      </c>
      <c r="G1511">
        <v>35.57</v>
      </c>
      <c r="H1511">
        <v>0.5</v>
      </c>
      <c r="I1511">
        <v>1</v>
      </c>
      <c r="J1511" t="s">
        <v>608</v>
      </c>
      <c r="K1511" t="s">
        <v>604</v>
      </c>
    </row>
    <row r="1512" spans="1:11" x14ac:dyDescent="0.2">
      <c r="A1512" t="s">
        <v>2737</v>
      </c>
      <c r="B1512" t="s">
        <v>2735</v>
      </c>
      <c r="C1512">
        <v>55.7</v>
      </c>
      <c r="D1512" t="s">
        <v>608</v>
      </c>
      <c r="E1512" t="s">
        <v>608</v>
      </c>
      <c r="F1512">
        <v>29.44</v>
      </c>
      <c r="G1512">
        <v>21.95</v>
      </c>
      <c r="H1512">
        <v>2</v>
      </c>
      <c r="I1512">
        <v>2</v>
      </c>
      <c r="J1512" t="s">
        <v>608</v>
      </c>
      <c r="K1512" t="s">
        <v>604</v>
      </c>
    </row>
    <row r="1513" spans="1:11" x14ac:dyDescent="0.2">
      <c r="A1513" t="s">
        <v>2738</v>
      </c>
      <c r="B1513" t="s">
        <v>2735</v>
      </c>
      <c r="C1513">
        <v>51.58</v>
      </c>
      <c r="D1513" t="s">
        <v>608</v>
      </c>
      <c r="E1513" t="s">
        <v>608</v>
      </c>
      <c r="F1513">
        <v>26.41</v>
      </c>
      <c r="G1513">
        <v>17.8</v>
      </c>
      <c r="H1513">
        <v>0.5</v>
      </c>
      <c r="I1513">
        <v>0</v>
      </c>
      <c r="J1513" t="s">
        <v>608</v>
      </c>
      <c r="K1513" t="s">
        <v>604</v>
      </c>
    </row>
    <row r="1514" spans="1:11" x14ac:dyDescent="0.2">
      <c r="A1514" t="s">
        <v>2739</v>
      </c>
      <c r="B1514" t="s">
        <v>2735</v>
      </c>
      <c r="C1514">
        <v>59.69</v>
      </c>
      <c r="D1514" t="s">
        <v>608</v>
      </c>
      <c r="E1514" t="s">
        <v>608</v>
      </c>
      <c r="F1514">
        <v>50.92</v>
      </c>
      <c r="G1514">
        <v>36.15</v>
      </c>
      <c r="H1514">
        <v>2</v>
      </c>
      <c r="I1514">
        <v>0.5</v>
      </c>
      <c r="J1514" t="s">
        <v>608</v>
      </c>
      <c r="K1514" t="s">
        <v>604</v>
      </c>
    </row>
    <row r="1515" spans="1:11" x14ac:dyDescent="0.2">
      <c r="A1515" t="s">
        <v>2740</v>
      </c>
      <c r="B1515" t="s">
        <v>2741</v>
      </c>
      <c r="C1515">
        <v>51.32</v>
      </c>
      <c r="D1515" t="s">
        <v>608</v>
      </c>
      <c r="E1515" t="s">
        <v>608</v>
      </c>
      <c r="F1515">
        <v>23.9</v>
      </c>
      <c r="G1515">
        <v>17.96</v>
      </c>
      <c r="H1515">
        <v>0.5</v>
      </c>
      <c r="I1515">
        <v>0</v>
      </c>
      <c r="J1515" t="s">
        <v>608</v>
      </c>
      <c r="K1515" t="s">
        <v>604</v>
      </c>
    </row>
    <row r="1516" spans="1:11" x14ac:dyDescent="0.2">
      <c r="A1516" t="s">
        <v>2742</v>
      </c>
      <c r="B1516" t="s">
        <v>2741</v>
      </c>
      <c r="C1516">
        <v>55.01</v>
      </c>
      <c r="D1516" t="s">
        <v>608</v>
      </c>
      <c r="E1516" t="s">
        <v>608</v>
      </c>
      <c r="F1516">
        <v>30.63</v>
      </c>
      <c r="G1516">
        <v>20.65</v>
      </c>
      <c r="H1516">
        <v>0</v>
      </c>
      <c r="I1516">
        <v>0</v>
      </c>
      <c r="J1516" t="s">
        <v>608</v>
      </c>
      <c r="K1516" t="s">
        <v>604</v>
      </c>
    </row>
    <row r="1517" spans="1:11" x14ac:dyDescent="0.2">
      <c r="A1517" t="s">
        <v>2743</v>
      </c>
      <c r="B1517" t="s">
        <v>2741</v>
      </c>
      <c r="C1517">
        <v>41.14</v>
      </c>
      <c r="D1517" t="s">
        <v>608</v>
      </c>
      <c r="E1517" t="s">
        <v>608</v>
      </c>
      <c r="F1517">
        <v>30.73</v>
      </c>
      <c r="G1517">
        <v>28.01</v>
      </c>
      <c r="H1517">
        <v>2</v>
      </c>
      <c r="I1517">
        <v>3</v>
      </c>
      <c r="J1517" t="s">
        <v>608</v>
      </c>
      <c r="K1517" t="s">
        <v>604</v>
      </c>
    </row>
    <row r="1518" spans="1:11" x14ac:dyDescent="0.2">
      <c r="A1518" t="s">
        <v>2744</v>
      </c>
      <c r="B1518" t="s">
        <v>2741</v>
      </c>
      <c r="C1518">
        <v>45.61</v>
      </c>
      <c r="D1518" t="s">
        <v>608</v>
      </c>
      <c r="E1518" t="s">
        <v>608</v>
      </c>
      <c r="F1518">
        <v>18.28</v>
      </c>
      <c r="G1518">
        <v>13.25</v>
      </c>
      <c r="H1518">
        <v>0.5</v>
      </c>
      <c r="I1518">
        <v>0.5</v>
      </c>
      <c r="J1518" t="s">
        <v>608</v>
      </c>
      <c r="K1518" t="s">
        <v>604</v>
      </c>
    </row>
    <row r="1519" spans="1:11" x14ac:dyDescent="0.2">
      <c r="A1519" t="s">
        <v>2745</v>
      </c>
      <c r="B1519" t="s">
        <v>2741</v>
      </c>
      <c r="C1519">
        <v>34.590000000000003</v>
      </c>
      <c r="D1519" t="s">
        <v>608</v>
      </c>
      <c r="E1519" t="s">
        <v>608</v>
      </c>
      <c r="F1519">
        <v>14.42</v>
      </c>
      <c r="G1519">
        <v>12.18</v>
      </c>
      <c r="H1519">
        <v>0</v>
      </c>
      <c r="I1519">
        <v>0</v>
      </c>
      <c r="J1519" t="s">
        <v>608</v>
      </c>
      <c r="K1519" t="s">
        <v>604</v>
      </c>
    </row>
    <row r="1520" spans="1:11" x14ac:dyDescent="0.2">
      <c r="A1520" t="s">
        <v>2746</v>
      </c>
      <c r="B1520" t="s">
        <v>2747</v>
      </c>
      <c r="C1520">
        <v>37.9</v>
      </c>
      <c r="D1520" t="s">
        <v>608</v>
      </c>
      <c r="E1520" t="s">
        <v>608</v>
      </c>
      <c r="F1520">
        <v>11.42</v>
      </c>
      <c r="G1520">
        <v>8.17</v>
      </c>
      <c r="H1520">
        <v>0</v>
      </c>
      <c r="I1520">
        <v>0</v>
      </c>
      <c r="J1520" t="s">
        <v>608</v>
      </c>
      <c r="K1520" t="s">
        <v>604</v>
      </c>
    </row>
    <row r="1521" spans="1:11" x14ac:dyDescent="0.2">
      <c r="A1521" t="s">
        <v>2748</v>
      </c>
      <c r="B1521" t="s">
        <v>2747</v>
      </c>
      <c r="C1521">
        <v>49.14</v>
      </c>
      <c r="D1521" t="s">
        <v>608</v>
      </c>
      <c r="E1521" t="s">
        <v>608</v>
      </c>
      <c r="F1521">
        <v>39.409999999999997</v>
      </c>
      <c r="G1521">
        <v>31.33</v>
      </c>
      <c r="H1521">
        <v>1</v>
      </c>
      <c r="I1521">
        <v>0.5</v>
      </c>
      <c r="J1521" t="s">
        <v>608</v>
      </c>
      <c r="K1521" t="s">
        <v>604</v>
      </c>
    </row>
    <row r="1522" spans="1:11" x14ac:dyDescent="0.2">
      <c r="A1522" t="s">
        <v>2749</v>
      </c>
      <c r="B1522" t="s">
        <v>2747</v>
      </c>
      <c r="C1522">
        <v>49.65</v>
      </c>
      <c r="D1522" t="s">
        <v>608</v>
      </c>
      <c r="E1522" t="s">
        <v>608</v>
      </c>
      <c r="F1522">
        <v>34.880000000000003</v>
      </c>
      <c r="G1522">
        <v>24.49</v>
      </c>
      <c r="H1522">
        <v>0</v>
      </c>
      <c r="I1522">
        <v>0</v>
      </c>
      <c r="J1522" t="s">
        <v>608</v>
      </c>
      <c r="K1522" t="s">
        <v>604</v>
      </c>
    </row>
    <row r="1523" spans="1:11" x14ac:dyDescent="0.2">
      <c r="A1523" t="s">
        <v>2750</v>
      </c>
      <c r="B1523" t="s">
        <v>2747</v>
      </c>
      <c r="C1523">
        <v>53.32</v>
      </c>
      <c r="D1523" t="s">
        <v>608</v>
      </c>
      <c r="E1523" t="s">
        <v>608</v>
      </c>
      <c r="F1523">
        <v>25.69</v>
      </c>
      <c r="G1523">
        <v>19.3</v>
      </c>
      <c r="H1523">
        <v>1</v>
      </c>
      <c r="I1523">
        <v>0.5</v>
      </c>
      <c r="J1523" t="s">
        <v>608</v>
      </c>
      <c r="K1523" t="s">
        <v>604</v>
      </c>
    </row>
    <row r="1524" spans="1:11" x14ac:dyDescent="0.2">
      <c r="A1524" t="s">
        <v>2751</v>
      </c>
      <c r="B1524" t="s">
        <v>2747</v>
      </c>
      <c r="C1524">
        <v>49.99</v>
      </c>
      <c r="D1524" t="s">
        <v>608</v>
      </c>
      <c r="E1524" t="s">
        <v>608</v>
      </c>
      <c r="F1524">
        <v>29.24</v>
      </c>
      <c r="G1524">
        <v>20.420000000000002</v>
      </c>
      <c r="H1524">
        <v>1</v>
      </c>
      <c r="I1524">
        <v>1</v>
      </c>
      <c r="J1524" t="s">
        <v>608</v>
      </c>
      <c r="K1524" t="s">
        <v>604</v>
      </c>
    </row>
    <row r="1525" spans="1:11" x14ac:dyDescent="0.2">
      <c r="A1525" t="s">
        <v>2752</v>
      </c>
      <c r="B1525" t="s">
        <v>2753</v>
      </c>
      <c r="C1525">
        <v>67.88</v>
      </c>
      <c r="D1525" t="s">
        <v>608</v>
      </c>
      <c r="E1525" t="s">
        <v>608</v>
      </c>
      <c r="F1525">
        <v>70.040000000000006</v>
      </c>
      <c r="G1525">
        <v>55.3</v>
      </c>
      <c r="H1525">
        <v>0</v>
      </c>
      <c r="I1525">
        <v>0</v>
      </c>
      <c r="J1525" t="s">
        <v>608</v>
      </c>
      <c r="K1525" t="s">
        <v>604</v>
      </c>
    </row>
    <row r="1526" spans="1:11" x14ac:dyDescent="0.2">
      <c r="A1526" t="s">
        <v>2754</v>
      </c>
      <c r="B1526" t="s">
        <v>2753</v>
      </c>
      <c r="C1526">
        <v>54.65</v>
      </c>
      <c r="D1526" t="s">
        <v>608</v>
      </c>
      <c r="E1526" t="s">
        <v>608</v>
      </c>
      <c r="F1526">
        <v>25.76</v>
      </c>
      <c r="G1526">
        <v>18.489999999999998</v>
      </c>
      <c r="H1526">
        <v>0</v>
      </c>
      <c r="I1526">
        <v>0</v>
      </c>
      <c r="J1526" t="s">
        <v>608</v>
      </c>
      <c r="K1526" t="s">
        <v>604</v>
      </c>
    </row>
    <row r="1527" spans="1:11" x14ac:dyDescent="0.2">
      <c r="A1527" t="s">
        <v>2755</v>
      </c>
      <c r="B1527" t="s">
        <v>2753</v>
      </c>
      <c r="C1527">
        <v>48.38</v>
      </c>
      <c r="D1527" t="s">
        <v>608</v>
      </c>
      <c r="E1527" t="s">
        <v>608</v>
      </c>
      <c r="F1527">
        <v>27.88</v>
      </c>
      <c r="G1527">
        <v>19.84</v>
      </c>
      <c r="H1527">
        <v>0.5</v>
      </c>
      <c r="I1527">
        <v>0.5</v>
      </c>
      <c r="J1527" t="s">
        <v>608</v>
      </c>
      <c r="K1527" t="s">
        <v>604</v>
      </c>
    </row>
    <row r="1528" spans="1:11" x14ac:dyDescent="0.2">
      <c r="A1528" t="s">
        <v>2756</v>
      </c>
      <c r="B1528" t="s">
        <v>2753</v>
      </c>
      <c r="C1528">
        <v>49.11</v>
      </c>
      <c r="D1528" t="s">
        <v>608</v>
      </c>
      <c r="E1528" t="s">
        <v>608</v>
      </c>
      <c r="F1528">
        <v>18.100000000000001</v>
      </c>
      <c r="G1528">
        <v>13.35</v>
      </c>
      <c r="H1528">
        <v>0</v>
      </c>
      <c r="I1528">
        <v>0</v>
      </c>
      <c r="J1528" t="s">
        <v>608</v>
      </c>
      <c r="K1528" t="s">
        <v>604</v>
      </c>
    </row>
    <row r="1529" spans="1:11" x14ac:dyDescent="0.2">
      <c r="A1529" t="s">
        <v>2757</v>
      </c>
      <c r="B1529" t="s">
        <v>2753</v>
      </c>
      <c r="C1529">
        <v>46.25</v>
      </c>
      <c r="D1529" t="s">
        <v>608</v>
      </c>
      <c r="E1529" t="s">
        <v>608</v>
      </c>
      <c r="F1529">
        <v>30.16</v>
      </c>
      <c r="G1529">
        <v>23.2</v>
      </c>
      <c r="H1529">
        <v>0</v>
      </c>
      <c r="I1529">
        <v>0</v>
      </c>
      <c r="J1529" t="s">
        <v>608</v>
      </c>
      <c r="K1529" t="s">
        <v>604</v>
      </c>
    </row>
    <row r="1530" spans="1:11" x14ac:dyDescent="0.2">
      <c r="A1530" t="s">
        <v>2758</v>
      </c>
      <c r="B1530" t="s">
        <v>2759</v>
      </c>
      <c r="C1530">
        <v>57.44</v>
      </c>
      <c r="D1530" t="s">
        <v>608</v>
      </c>
      <c r="E1530" t="s">
        <v>608</v>
      </c>
      <c r="F1530">
        <v>58.47</v>
      </c>
      <c r="G1530">
        <v>38.6</v>
      </c>
      <c r="H1530">
        <v>0</v>
      </c>
      <c r="I1530">
        <v>0</v>
      </c>
      <c r="J1530" t="s">
        <v>608</v>
      </c>
      <c r="K1530" t="s">
        <v>604</v>
      </c>
    </row>
    <row r="1531" spans="1:11" x14ac:dyDescent="0.2">
      <c r="A1531" t="s">
        <v>2760</v>
      </c>
      <c r="B1531" t="s">
        <v>2759</v>
      </c>
      <c r="C1531">
        <v>48.13</v>
      </c>
      <c r="D1531" t="s">
        <v>608</v>
      </c>
      <c r="E1531" t="s">
        <v>608</v>
      </c>
      <c r="F1531">
        <v>44.22</v>
      </c>
      <c r="G1531">
        <v>33.97</v>
      </c>
      <c r="H1531">
        <v>2</v>
      </c>
      <c r="I1531">
        <v>2</v>
      </c>
      <c r="J1531" t="s">
        <v>608</v>
      </c>
      <c r="K1531" t="s">
        <v>604</v>
      </c>
    </row>
    <row r="1532" spans="1:11" x14ac:dyDescent="0.2">
      <c r="A1532" t="s">
        <v>2761</v>
      </c>
      <c r="B1532" t="s">
        <v>2759</v>
      </c>
      <c r="C1532">
        <v>50.49</v>
      </c>
      <c r="D1532" t="s">
        <v>608</v>
      </c>
      <c r="E1532" t="s">
        <v>608</v>
      </c>
      <c r="F1532">
        <v>31.36</v>
      </c>
      <c r="G1532">
        <v>25.3</v>
      </c>
      <c r="H1532">
        <v>1</v>
      </c>
      <c r="I1532">
        <v>2</v>
      </c>
      <c r="J1532" t="s">
        <v>608</v>
      </c>
      <c r="K1532" t="s">
        <v>604</v>
      </c>
    </row>
    <row r="1533" spans="1:11" x14ac:dyDescent="0.2">
      <c r="A1533" t="s">
        <v>2762</v>
      </c>
      <c r="B1533" t="s">
        <v>2759</v>
      </c>
      <c r="C1533">
        <v>39.64</v>
      </c>
      <c r="D1533" t="s">
        <v>608</v>
      </c>
      <c r="E1533" t="s">
        <v>608</v>
      </c>
      <c r="F1533">
        <v>25.7</v>
      </c>
      <c r="G1533">
        <v>18.05</v>
      </c>
      <c r="H1533">
        <v>0.5</v>
      </c>
      <c r="I1533">
        <v>0</v>
      </c>
      <c r="J1533" t="s">
        <v>608</v>
      </c>
      <c r="K1533" t="s">
        <v>604</v>
      </c>
    </row>
    <row r="1534" spans="1:11" x14ac:dyDescent="0.2">
      <c r="A1534" t="s">
        <v>2763</v>
      </c>
      <c r="B1534" t="s">
        <v>2759</v>
      </c>
      <c r="C1534">
        <v>52.43</v>
      </c>
      <c r="D1534" t="s">
        <v>608</v>
      </c>
      <c r="E1534" t="s">
        <v>608</v>
      </c>
      <c r="F1534">
        <v>34.630000000000003</v>
      </c>
      <c r="G1534">
        <v>23.95</v>
      </c>
      <c r="H1534">
        <v>0</v>
      </c>
      <c r="I1534">
        <v>0.5</v>
      </c>
      <c r="J1534" t="s">
        <v>608</v>
      </c>
      <c r="K1534" t="s">
        <v>604</v>
      </c>
    </row>
    <row r="1535" spans="1:11" x14ac:dyDescent="0.2">
      <c r="A1535" t="s">
        <v>2764</v>
      </c>
      <c r="B1535" t="s">
        <v>2765</v>
      </c>
      <c r="C1535">
        <v>54.46</v>
      </c>
      <c r="D1535" t="s">
        <v>608</v>
      </c>
      <c r="E1535" t="s">
        <v>608</v>
      </c>
      <c r="F1535">
        <v>25.18</v>
      </c>
      <c r="G1535">
        <v>18.690000000000001</v>
      </c>
      <c r="H1535">
        <v>0.5</v>
      </c>
      <c r="I1535">
        <v>0</v>
      </c>
      <c r="J1535" t="s">
        <v>608</v>
      </c>
      <c r="K1535" t="s">
        <v>604</v>
      </c>
    </row>
    <row r="1536" spans="1:11" x14ac:dyDescent="0.2">
      <c r="A1536" t="s">
        <v>2766</v>
      </c>
      <c r="B1536" t="s">
        <v>2765</v>
      </c>
      <c r="C1536">
        <v>51.25</v>
      </c>
      <c r="D1536" t="s">
        <v>608</v>
      </c>
      <c r="E1536" t="s">
        <v>608</v>
      </c>
      <c r="F1536">
        <v>19.690000000000001</v>
      </c>
      <c r="G1536">
        <v>14.46</v>
      </c>
      <c r="H1536">
        <v>0</v>
      </c>
      <c r="I1536">
        <v>0</v>
      </c>
      <c r="J1536" t="s">
        <v>608</v>
      </c>
      <c r="K1536" t="s">
        <v>604</v>
      </c>
    </row>
    <row r="1537" spans="1:11" x14ac:dyDescent="0.2">
      <c r="A1537" t="s">
        <v>2767</v>
      </c>
      <c r="B1537" t="s">
        <v>2765</v>
      </c>
      <c r="C1537">
        <v>53.32</v>
      </c>
      <c r="D1537" t="s">
        <v>608</v>
      </c>
      <c r="E1537" t="s">
        <v>608</v>
      </c>
      <c r="F1537">
        <v>26.51</v>
      </c>
      <c r="G1537">
        <v>20.59</v>
      </c>
      <c r="H1537">
        <v>1</v>
      </c>
      <c r="I1537">
        <v>1</v>
      </c>
      <c r="J1537" t="s">
        <v>608</v>
      </c>
      <c r="K1537" t="s">
        <v>604</v>
      </c>
    </row>
    <row r="1538" spans="1:11" x14ac:dyDescent="0.2">
      <c r="A1538" t="s">
        <v>2768</v>
      </c>
      <c r="B1538" t="s">
        <v>2765</v>
      </c>
      <c r="C1538">
        <v>38.200000000000003</v>
      </c>
      <c r="D1538" t="s">
        <v>608</v>
      </c>
      <c r="E1538" t="s">
        <v>608</v>
      </c>
      <c r="F1538">
        <v>15.74</v>
      </c>
      <c r="G1538">
        <v>11.4</v>
      </c>
      <c r="H1538">
        <v>0.5</v>
      </c>
      <c r="I1538">
        <v>0</v>
      </c>
      <c r="J1538" t="s">
        <v>608</v>
      </c>
      <c r="K1538" t="s">
        <v>604</v>
      </c>
    </row>
    <row r="1539" spans="1:11" x14ac:dyDescent="0.2">
      <c r="A1539" t="s">
        <v>2769</v>
      </c>
      <c r="B1539" t="s">
        <v>2765</v>
      </c>
      <c r="C1539">
        <v>54.21</v>
      </c>
      <c r="D1539" t="s">
        <v>608</v>
      </c>
      <c r="E1539" t="s">
        <v>608</v>
      </c>
      <c r="F1539">
        <v>34.229999999999997</v>
      </c>
      <c r="G1539">
        <v>26.16</v>
      </c>
      <c r="H1539">
        <v>0</v>
      </c>
      <c r="I1539">
        <v>0.5</v>
      </c>
      <c r="J1539" t="s">
        <v>608</v>
      </c>
      <c r="K1539" t="s">
        <v>604</v>
      </c>
    </row>
    <row r="1540" spans="1:11" x14ac:dyDescent="0.2">
      <c r="A1540" t="s">
        <v>2770</v>
      </c>
      <c r="B1540" t="s">
        <v>2771</v>
      </c>
      <c r="C1540">
        <v>68.260000000000005</v>
      </c>
      <c r="D1540" t="s">
        <v>608</v>
      </c>
      <c r="E1540" t="s">
        <v>608</v>
      </c>
      <c r="F1540">
        <v>53.84</v>
      </c>
      <c r="G1540">
        <v>38</v>
      </c>
      <c r="H1540">
        <v>0</v>
      </c>
      <c r="I1540">
        <v>0</v>
      </c>
      <c r="J1540" t="s">
        <v>608</v>
      </c>
      <c r="K1540" t="s">
        <v>604</v>
      </c>
    </row>
    <row r="1541" spans="1:11" x14ac:dyDescent="0.2">
      <c r="A1541" t="s">
        <v>2772</v>
      </c>
      <c r="B1541" t="s">
        <v>2771</v>
      </c>
      <c r="C1541">
        <v>41.91</v>
      </c>
      <c r="D1541" t="s">
        <v>608</v>
      </c>
      <c r="E1541" t="s">
        <v>608</v>
      </c>
      <c r="F1541">
        <v>25.55</v>
      </c>
      <c r="G1541">
        <v>19.13</v>
      </c>
      <c r="H1541">
        <v>0</v>
      </c>
      <c r="I1541">
        <v>0</v>
      </c>
      <c r="J1541" t="s">
        <v>608</v>
      </c>
      <c r="K1541" t="s">
        <v>604</v>
      </c>
    </row>
    <row r="1542" spans="1:11" x14ac:dyDescent="0.2">
      <c r="A1542" t="s">
        <v>2773</v>
      </c>
      <c r="B1542" t="s">
        <v>2771</v>
      </c>
      <c r="C1542">
        <v>60.38</v>
      </c>
      <c r="D1542" t="s">
        <v>608</v>
      </c>
      <c r="E1542" t="s">
        <v>608</v>
      </c>
      <c r="F1542">
        <v>52.22</v>
      </c>
      <c r="G1542">
        <v>36.159999999999997</v>
      </c>
      <c r="H1542">
        <v>1</v>
      </c>
      <c r="I1542">
        <v>0.5</v>
      </c>
      <c r="J1542" t="s">
        <v>608</v>
      </c>
      <c r="K1542" t="s">
        <v>604</v>
      </c>
    </row>
    <row r="1543" spans="1:11" x14ac:dyDescent="0.2">
      <c r="A1543" t="s">
        <v>2774</v>
      </c>
      <c r="B1543" t="s">
        <v>2771</v>
      </c>
      <c r="C1543">
        <v>42.37</v>
      </c>
      <c r="D1543" t="s">
        <v>608</v>
      </c>
      <c r="E1543" t="s">
        <v>608</v>
      </c>
      <c r="F1543">
        <v>8.85</v>
      </c>
      <c r="G1543">
        <v>6.72</v>
      </c>
      <c r="H1543">
        <v>1</v>
      </c>
      <c r="I1543">
        <v>1</v>
      </c>
      <c r="J1543" t="s">
        <v>608</v>
      </c>
      <c r="K1543" t="s">
        <v>604</v>
      </c>
    </row>
    <row r="1544" spans="1:11" x14ac:dyDescent="0.2">
      <c r="A1544" t="s">
        <v>2775</v>
      </c>
      <c r="B1544" t="s">
        <v>2771</v>
      </c>
      <c r="C1544">
        <v>36.42</v>
      </c>
      <c r="D1544" t="s">
        <v>608</v>
      </c>
      <c r="E1544" t="s">
        <v>608</v>
      </c>
      <c r="F1544">
        <v>18.350000000000001</v>
      </c>
      <c r="G1544">
        <v>14.02</v>
      </c>
      <c r="H1544">
        <v>3</v>
      </c>
      <c r="I1544">
        <v>3</v>
      </c>
      <c r="J1544" t="s">
        <v>608</v>
      </c>
      <c r="K1544" t="s">
        <v>604</v>
      </c>
    </row>
    <row r="1545" spans="1:11" x14ac:dyDescent="0.2">
      <c r="A1545" t="s">
        <v>2776</v>
      </c>
      <c r="B1545" t="s">
        <v>2777</v>
      </c>
      <c r="C1545">
        <v>55.95</v>
      </c>
      <c r="D1545" t="s">
        <v>608</v>
      </c>
      <c r="E1545" t="s">
        <v>608</v>
      </c>
      <c r="F1545">
        <v>35.06</v>
      </c>
      <c r="G1545">
        <v>25.8</v>
      </c>
      <c r="H1545">
        <v>0.5</v>
      </c>
      <c r="I1545">
        <v>0.5</v>
      </c>
      <c r="J1545" t="s">
        <v>608</v>
      </c>
      <c r="K1545" t="s">
        <v>604</v>
      </c>
    </row>
    <row r="1546" spans="1:11" x14ac:dyDescent="0.2">
      <c r="A1546" t="s">
        <v>2778</v>
      </c>
      <c r="B1546" t="s">
        <v>2777</v>
      </c>
      <c r="C1546">
        <v>48.28</v>
      </c>
      <c r="D1546" t="s">
        <v>608</v>
      </c>
      <c r="E1546" t="s">
        <v>608</v>
      </c>
      <c r="F1546">
        <v>25</v>
      </c>
      <c r="G1546">
        <v>17.649999999999999</v>
      </c>
      <c r="H1546">
        <v>0.5</v>
      </c>
      <c r="I1546">
        <v>0.5</v>
      </c>
      <c r="J1546" t="s">
        <v>608</v>
      </c>
      <c r="K1546" t="s">
        <v>604</v>
      </c>
    </row>
    <row r="1547" spans="1:11" x14ac:dyDescent="0.2">
      <c r="A1547" t="s">
        <v>2779</v>
      </c>
      <c r="B1547" t="s">
        <v>2777</v>
      </c>
      <c r="C1547">
        <v>39.44</v>
      </c>
      <c r="D1547" t="s">
        <v>608</v>
      </c>
      <c r="E1547" t="s">
        <v>608</v>
      </c>
      <c r="F1547">
        <v>26.02</v>
      </c>
      <c r="G1547">
        <v>19.3</v>
      </c>
      <c r="H1547">
        <v>0</v>
      </c>
      <c r="I1547">
        <v>0</v>
      </c>
      <c r="J1547" t="s">
        <v>608</v>
      </c>
      <c r="K1547" t="s">
        <v>604</v>
      </c>
    </row>
    <row r="1548" spans="1:11" x14ac:dyDescent="0.2">
      <c r="A1548" t="s">
        <v>2780</v>
      </c>
      <c r="B1548" t="s">
        <v>2777</v>
      </c>
      <c r="C1548">
        <v>52.28</v>
      </c>
      <c r="D1548" t="s">
        <v>608</v>
      </c>
      <c r="E1548" t="s">
        <v>608</v>
      </c>
      <c r="F1548">
        <v>47.01</v>
      </c>
      <c r="G1548">
        <v>33.630000000000003</v>
      </c>
      <c r="H1548">
        <v>0</v>
      </c>
      <c r="I1548">
        <v>0.5</v>
      </c>
      <c r="J1548" t="s">
        <v>608</v>
      </c>
      <c r="K1548" t="s">
        <v>604</v>
      </c>
    </row>
    <row r="1549" spans="1:11" x14ac:dyDescent="0.2">
      <c r="A1549" t="s">
        <v>2781</v>
      </c>
      <c r="B1549" t="s">
        <v>2777</v>
      </c>
      <c r="C1549">
        <v>43.14</v>
      </c>
      <c r="D1549" t="s">
        <v>608</v>
      </c>
      <c r="E1549" t="s">
        <v>608</v>
      </c>
      <c r="F1549">
        <v>22.49</v>
      </c>
      <c r="G1549">
        <v>16.62</v>
      </c>
      <c r="H1549">
        <v>0</v>
      </c>
      <c r="I1549">
        <v>0.5</v>
      </c>
      <c r="J1549" t="s">
        <v>608</v>
      </c>
      <c r="K1549" t="s">
        <v>604</v>
      </c>
    </row>
    <row r="1550" spans="1:11" x14ac:dyDescent="0.2">
      <c r="A1550" t="s">
        <v>2782</v>
      </c>
      <c r="B1550" t="s">
        <v>2783</v>
      </c>
      <c r="C1550">
        <v>48.19</v>
      </c>
      <c r="D1550" t="s">
        <v>608</v>
      </c>
      <c r="E1550" t="s">
        <v>608</v>
      </c>
      <c r="F1550">
        <v>24.84</v>
      </c>
      <c r="G1550">
        <v>17.3</v>
      </c>
      <c r="H1550">
        <v>1</v>
      </c>
      <c r="I1550">
        <v>1</v>
      </c>
      <c r="J1550" t="s">
        <v>608</v>
      </c>
      <c r="K1550" t="s">
        <v>604</v>
      </c>
    </row>
    <row r="1551" spans="1:11" x14ac:dyDescent="0.2">
      <c r="A1551" t="s">
        <v>2784</v>
      </c>
      <c r="B1551" t="s">
        <v>2783</v>
      </c>
      <c r="C1551">
        <v>46.27</v>
      </c>
      <c r="D1551" t="s">
        <v>608</v>
      </c>
      <c r="E1551" t="s">
        <v>608</v>
      </c>
      <c r="F1551">
        <v>39.840000000000003</v>
      </c>
      <c r="G1551">
        <v>29.97</v>
      </c>
      <c r="H1551">
        <v>0.5</v>
      </c>
      <c r="I1551">
        <v>0.5</v>
      </c>
      <c r="J1551" t="s">
        <v>608</v>
      </c>
      <c r="K1551" t="s">
        <v>604</v>
      </c>
    </row>
    <row r="1552" spans="1:11" x14ac:dyDescent="0.2">
      <c r="A1552" t="s">
        <v>2785</v>
      </c>
      <c r="B1552" t="s">
        <v>2783</v>
      </c>
      <c r="C1552">
        <v>20.04</v>
      </c>
      <c r="D1552" t="s">
        <v>608</v>
      </c>
      <c r="E1552" t="s">
        <v>608</v>
      </c>
      <c r="F1552">
        <v>37.229999999999997</v>
      </c>
      <c r="G1552">
        <v>14.47</v>
      </c>
      <c r="H1552">
        <v>0</v>
      </c>
      <c r="I1552">
        <v>0</v>
      </c>
      <c r="J1552" t="s">
        <v>608</v>
      </c>
      <c r="K1552" t="s">
        <v>604</v>
      </c>
    </row>
    <row r="1553" spans="1:11" x14ac:dyDescent="0.2">
      <c r="A1553" t="s">
        <v>2786</v>
      </c>
      <c r="B1553" t="s">
        <v>2783</v>
      </c>
      <c r="C1553">
        <v>47.31</v>
      </c>
      <c r="D1553" t="s">
        <v>608</v>
      </c>
      <c r="E1553" t="s">
        <v>608</v>
      </c>
      <c r="F1553">
        <v>22.5</v>
      </c>
      <c r="G1553">
        <v>17.82</v>
      </c>
      <c r="H1553">
        <v>0.5</v>
      </c>
      <c r="I1553">
        <v>0.5</v>
      </c>
      <c r="J1553" t="s">
        <v>608</v>
      </c>
      <c r="K1553" t="s">
        <v>604</v>
      </c>
    </row>
    <row r="1554" spans="1:11" x14ac:dyDescent="0.2">
      <c r="A1554" t="s">
        <v>2787</v>
      </c>
      <c r="B1554" t="s">
        <v>2783</v>
      </c>
      <c r="C1554">
        <v>45.31</v>
      </c>
      <c r="D1554" t="s">
        <v>608</v>
      </c>
      <c r="E1554" t="s">
        <v>608</v>
      </c>
      <c r="F1554">
        <v>22.73</v>
      </c>
      <c r="G1554">
        <v>17.34</v>
      </c>
      <c r="H1554">
        <v>1</v>
      </c>
      <c r="I1554">
        <v>1</v>
      </c>
      <c r="J1554" t="s">
        <v>608</v>
      </c>
      <c r="K1554" t="s">
        <v>604</v>
      </c>
    </row>
    <row r="1555" spans="1:11" x14ac:dyDescent="0.2">
      <c r="A1555" t="s">
        <v>2788</v>
      </c>
      <c r="B1555" t="s">
        <v>2789</v>
      </c>
      <c r="C1555">
        <v>48.69</v>
      </c>
      <c r="D1555" t="s">
        <v>608</v>
      </c>
      <c r="E1555" t="s">
        <v>608</v>
      </c>
      <c r="F1555">
        <v>40.19</v>
      </c>
      <c r="G1555">
        <v>29.28</v>
      </c>
      <c r="H1555">
        <v>0</v>
      </c>
      <c r="I1555">
        <v>0.5</v>
      </c>
      <c r="J1555" t="s">
        <v>608</v>
      </c>
      <c r="K1555" t="s">
        <v>604</v>
      </c>
    </row>
    <row r="1556" spans="1:11" x14ac:dyDescent="0.2">
      <c r="A1556" t="s">
        <v>2790</v>
      </c>
      <c r="B1556" t="s">
        <v>2789</v>
      </c>
      <c r="C1556">
        <v>43.95</v>
      </c>
      <c r="D1556" t="s">
        <v>608</v>
      </c>
      <c r="E1556" t="s">
        <v>608</v>
      </c>
      <c r="F1556">
        <v>21.47</v>
      </c>
      <c r="G1556">
        <v>15.13</v>
      </c>
      <c r="H1556">
        <v>1</v>
      </c>
      <c r="I1556">
        <v>1</v>
      </c>
      <c r="J1556" t="s">
        <v>608</v>
      </c>
      <c r="K1556" t="s">
        <v>604</v>
      </c>
    </row>
    <row r="1557" spans="1:11" x14ac:dyDescent="0.2">
      <c r="A1557" t="s">
        <v>2791</v>
      </c>
      <c r="B1557" t="s">
        <v>2789</v>
      </c>
      <c r="C1557">
        <v>70.989999999999995</v>
      </c>
      <c r="D1557" t="s">
        <v>608</v>
      </c>
      <c r="E1557" t="s">
        <v>608</v>
      </c>
      <c r="F1557">
        <v>57.09</v>
      </c>
      <c r="G1557">
        <v>42.1</v>
      </c>
      <c r="H1557">
        <v>1</v>
      </c>
      <c r="I1557">
        <v>2</v>
      </c>
      <c r="J1557" t="s">
        <v>608</v>
      </c>
      <c r="K1557" t="s">
        <v>604</v>
      </c>
    </row>
    <row r="1558" spans="1:11" x14ac:dyDescent="0.2">
      <c r="A1558" t="s">
        <v>2792</v>
      </c>
      <c r="B1558" t="s">
        <v>2789</v>
      </c>
      <c r="C1558">
        <v>46.99</v>
      </c>
      <c r="D1558" t="s">
        <v>608</v>
      </c>
      <c r="E1558" t="s">
        <v>608</v>
      </c>
      <c r="F1558">
        <v>26.17</v>
      </c>
      <c r="G1558">
        <v>20.64</v>
      </c>
      <c r="H1558">
        <v>1</v>
      </c>
      <c r="I1558">
        <v>1</v>
      </c>
      <c r="J1558" t="s">
        <v>608</v>
      </c>
      <c r="K1558" t="s">
        <v>604</v>
      </c>
    </row>
    <row r="1559" spans="1:11" x14ac:dyDescent="0.2">
      <c r="A1559" t="s">
        <v>2793</v>
      </c>
      <c r="B1559" t="s">
        <v>2789</v>
      </c>
      <c r="C1559">
        <v>59.34</v>
      </c>
      <c r="D1559" t="s">
        <v>608</v>
      </c>
      <c r="E1559" t="s">
        <v>608</v>
      </c>
      <c r="F1559">
        <v>33.46</v>
      </c>
      <c r="G1559">
        <v>24.61</v>
      </c>
      <c r="H1559">
        <v>0</v>
      </c>
      <c r="I1559">
        <v>0</v>
      </c>
      <c r="J1559" t="s">
        <v>608</v>
      </c>
      <c r="K1559" t="s">
        <v>604</v>
      </c>
    </row>
    <row r="1560" spans="1:11" x14ac:dyDescent="0.2">
      <c r="A1560" t="s">
        <v>2794</v>
      </c>
      <c r="B1560" t="s">
        <v>2795</v>
      </c>
      <c r="C1560">
        <v>46.37</v>
      </c>
      <c r="D1560" t="s">
        <v>608</v>
      </c>
      <c r="E1560" t="s">
        <v>608</v>
      </c>
      <c r="F1560">
        <v>27.02</v>
      </c>
      <c r="G1560">
        <v>21.07</v>
      </c>
      <c r="H1560">
        <v>0</v>
      </c>
      <c r="I1560">
        <v>0</v>
      </c>
      <c r="J1560" t="s">
        <v>608</v>
      </c>
      <c r="K1560" t="s">
        <v>604</v>
      </c>
    </row>
    <row r="1561" spans="1:11" x14ac:dyDescent="0.2">
      <c r="A1561" t="s">
        <v>2796</v>
      </c>
      <c r="B1561" t="s">
        <v>2795</v>
      </c>
      <c r="C1561">
        <v>66.16</v>
      </c>
      <c r="D1561" t="s">
        <v>608</v>
      </c>
      <c r="E1561" t="s">
        <v>608</v>
      </c>
      <c r="F1561">
        <v>59.03</v>
      </c>
      <c r="G1561">
        <v>42.02</v>
      </c>
      <c r="H1561">
        <v>1</v>
      </c>
      <c r="I1561">
        <v>0.5</v>
      </c>
      <c r="J1561" t="s">
        <v>608</v>
      </c>
      <c r="K1561" t="s">
        <v>604</v>
      </c>
    </row>
    <row r="1562" spans="1:11" x14ac:dyDescent="0.2">
      <c r="A1562" t="s">
        <v>2797</v>
      </c>
      <c r="B1562" t="s">
        <v>2795</v>
      </c>
      <c r="C1562">
        <v>49.8</v>
      </c>
      <c r="D1562" t="s">
        <v>608</v>
      </c>
      <c r="E1562" t="s">
        <v>608</v>
      </c>
      <c r="F1562">
        <v>38.020000000000003</v>
      </c>
      <c r="G1562">
        <v>26.81</v>
      </c>
      <c r="H1562">
        <v>1</v>
      </c>
      <c r="I1562">
        <v>0.5</v>
      </c>
      <c r="J1562" t="s">
        <v>608</v>
      </c>
      <c r="K1562" t="s">
        <v>604</v>
      </c>
    </row>
    <row r="1563" spans="1:11" x14ac:dyDescent="0.2">
      <c r="A1563" t="s">
        <v>2798</v>
      </c>
      <c r="B1563" t="s">
        <v>2795</v>
      </c>
      <c r="C1563">
        <v>50.33</v>
      </c>
      <c r="D1563" t="s">
        <v>608</v>
      </c>
      <c r="E1563" t="s">
        <v>608</v>
      </c>
      <c r="F1563">
        <v>29.47</v>
      </c>
      <c r="G1563">
        <v>21.71</v>
      </c>
      <c r="H1563">
        <v>0</v>
      </c>
      <c r="I1563">
        <v>0</v>
      </c>
      <c r="J1563" t="s">
        <v>608</v>
      </c>
      <c r="K1563" t="s">
        <v>604</v>
      </c>
    </row>
    <row r="1564" spans="1:11" x14ac:dyDescent="0.2">
      <c r="A1564" t="s">
        <v>2799</v>
      </c>
      <c r="B1564" t="s">
        <v>2795</v>
      </c>
      <c r="C1564">
        <v>47.03</v>
      </c>
      <c r="D1564" t="s">
        <v>608</v>
      </c>
      <c r="E1564" t="s">
        <v>608</v>
      </c>
      <c r="F1564">
        <v>29.66</v>
      </c>
      <c r="G1564">
        <v>22.93</v>
      </c>
      <c r="H1564">
        <v>0</v>
      </c>
      <c r="I1564">
        <v>0</v>
      </c>
      <c r="J1564" t="s">
        <v>608</v>
      </c>
      <c r="K1564" t="s">
        <v>604</v>
      </c>
    </row>
    <row r="1565" spans="1:11" x14ac:dyDescent="0.2">
      <c r="A1565" t="s">
        <v>2800</v>
      </c>
      <c r="B1565" t="s">
        <v>2801</v>
      </c>
      <c r="C1565">
        <v>61.22</v>
      </c>
      <c r="D1565" t="s">
        <v>608</v>
      </c>
      <c r="E1565" t="s">
        <v>608</v>
      </c>
      <c r="F1565">
        <v>72.930000000000007</v>
      </c>
      <c r="G1565">
        <v>54.95</v>
      </c>
      <c r="H1565">
        <v>0.5</v>
      </c>
      <c r="I1565">
        <v>0.5</v>
      </c>
      <c r="J1565" t="s">
        <v>608</v>
      </c>
      <c r="K1565" t="s">
        <v>604</v>
      </c>
    </row>
    <row r="1566" spans="1:11" x14ac:dyDescent="0.2">
      <c r="A1566" t="s">
        <v>2802</v>
      </c>
      <c r="B1566" t="s">
        <v>2801</v>
      </c>
      <c r="C1566">
        <v>49.38</v>
      </c>
      <c r="D1566" t="s">
        <v>608</v>
      </c>
      <c r="E1566" t="s">
        <v>608</v>
      </c>
      <c r="F1566">
        <v>27.9</v>
      </c>
      <c r="G1566">
        <v>18.95</v>
      </c>
      <c r="H1566">
        <v>2</v>
      </c>
      <c r="I1566">
        <v>2</v>
      </c>
      <c r="J1566" t="s">
        <v>608</v>
      </c>
      <c r="K1566" t="s">
        <v>604</v>
      </c>
    </row>
    <row r="1567" spans="1:11" x14ac:dyDescent="0.2">
      <c r="A1567" t="s">
        <v>2803</v>
      </c>
      <c r="B1567" t="s">
        <v>2801</v>
      </c>
      <c r="C1567">
        <v>44</v>
      </c>
      <c r="D1567" t="s">
        <v>608</v>
      </c>
      <c r="E1567" t="s">
        <v>608</v>
      </c>
      <c r="F1567">
        <v>18.079999999999998</v>
      </c>
      <c r="G1567">
        <v>13.36</v>
      </c>
      <c r="H1567">
        <v>0.5</v>
      </c>
      <c r="I1567">
        <v>0.5</v>
      </c>
      <c r="J1567" t="s">
        <v>608</v>
      </c>
      <c r="K1567" t="s">
        <v>604</v>
      </c>
    </row>
    <row r="1568" spans="1:11" x14ac:dyDescent="0.2">
      <c r="A1568" t="s">
        <v>2804</v>
      </c>
      <c r="B1568" t="s">
        <v>2801</v>
      </c>
      <c r="C1568">
        <v>52.01</v>
      </c>
      <c r="D1568" t="s">
        <v>608</v>
      </c>
      <c r="E1568" t="s">
        <v>608</v>
      </c>
      <c r="F1568">
        <v>33.29</v>
      </c>
      <c r="G1568">
        <v>24.49</v>
      </c>
      <c r="H1568">
        <v>1</v>
      </c>
      <c r="I1568">
        <v>1</v>
      </c>
      <c r="J1568" t="s">
        <v>608</v>
      </c>
      <c r="K1568" t="s">
        <v>604</v>
      </c>
    </row>
    <row r="1569" spans="1:11" x14ac:dyDescent="0.2">
      <c r="A1569" t="s">
        <v>2805</v>
      </c>
      <c r="B1569" t="s">
        <v>2801</v>
      </c>
      <c r="C1569">
        <v>30.06</v>
      </c>
      <c r="D1569" t="s">
        <v>608</v>
      </c>
      <c r="E1569" t="s">
        <v>608</v>
      </c>
      <c r="F1569">
        <v>12.19</v>
      </c>
      <c r="G1569">
        <v>9.27</v>
      </c>
      <c r="H1569">
        <v>0</v>
      </c>
      <c r="I1569">
        <v>0</v>
      </c>
      <c r="J1569" t="s">
        <v>608</v>
      </c>
      <c r="K1569" t="s">
        <v>604</v>
      </c>
    </row>
    <row r="1570" spans="1:11" x14ac:dyDescent="0.2">
      <c r="A1570" t="s">
        <v>2806</v>
      </c>
      <c r="B1570" t="s">
        <v>2807</v>
      </c>
      <c r="C1570">
        <v>34.44</v>
      </c>
      <c r="D1570" t="s">
        <v>608</v>
      </c>
      <c r="E1570" t="s">
        <v>608</v>
      </c>
      <c r="F1570">
        <v>16.7</v>
      </c>
      <c r="G1570">
        <v>11.8</v>
      </c>
      <c r="H1570">
        <v>0</v>
      </c>
      <c r="I1570">
        <v>0</v>
      </c>
      <c r="J1570" t="s">
        <v>608</v>
      </c>
      <c r="K1570" t="s">
        <v>604</v>
      </c>
    </row>
    <row r="1571" spans="1:11" x14ac:dyDescent="0.2">
      <c r="A1571" t="s">
        <v>2808</v>
      </c>
      <c r="B1571" t="s">
        <v>2807</v>
      </c>
      <c r="C1571">
        <v>45.31</v>
      </c>
      <c r="D1571" t="s">
        <v>608</v>
      </c>
      <c r="E1571" t="s">
        <v>608</v>
      </c>
      <c r="F1571">
        <v>24.16</v>
      </c>
      <c r="G1571">
        <v>18.95</v>
      </c>
      <c r="H1571">
        <v>0</v>
      </c>
      <c r="I1571">
        <v>0</v>
      </c>
      <c r="J1571" t="s">
        <v>608</v>
      </c>
      <c r="K1571" t="s">
        <v>604</v>
      </c>
    </row>
    <row r="1572" spans="1:11" x14ac:dyDescent="0.2">
      <c r="A1572" t="s">
        <v>2809</v>
      </c>
      <c r="B1572" t="s">
        <v>2807</v>
      </c>
      <c r="C1572">
        <v>56.23</v>
      </c>
      <c r="D1572" t="s">
        <v>608</v>
      </c>
      <c r="E1572" t="s">
        <v>608</v>
      </c>
      <c r="F1572">
        <v>29.1</v>
      </c>
      <c r="G1572">
        <v>23.89</v>
      </c>
      <c r="H1572">
        <v>1</v>
      </c>
      <c r="I1572">
        <v>1</v>
      </c>
      <c r="J1572" t="s">
        <v>608</v>
      </c>
      <c r="K1572" t="s">
        <v>604</v>
      </c>
    </row>
    <row r="1573" spans="1:11" x14ac:dyDescent="0.2">
      <c r="A1573" t="s">
        <v>2810</v>
      </c>
      <c r="B1573" t="s">
        <v>2807</v>
      </c>
      <c r="C1573">
        <v>45.06</v>
      </c>
      <c r="D1573" t="s">
        <v>608</v>
      </c>
      <c r="E1573" t="s">
        <v>608</v>
      </c>
      <c r="F1573">
        <v>22.37</v>
      </c>
      <c r="G1573">
        <v>17.28</v>
      </c>
      <c r="H1573">
        <v>0</v>
      </c>
      <c r="I1573">
        <v>0</v>
      </c>
      <c r="J1573" t="s">
        <v>608</v>
      </c>
      <c r="K1573" t="s">
        <v>604</v>
      </c>
    </row>
    <row r="1574" spans="1:11" x14ac:dyDescent="0.2">
      <c r="A1574" t="s">
        <v>2811</v>
      </c>
      <c r="B1574" t="s">
        <v>2807</v>
      </c>
      <c r="C1574">
        <v>54.66</v>
      </c>
      <c r="D1574" t="s">
        <v>608</v>
      </c>
      <c r="E1574" t="s">
        <v>608</v>
      </c>
      <c r="F1574">
        <v>51.01</v>
      </c>
      <c r="G1574">
        <v>37.81</v>
      </c>
      <c r="H1574">
        <v>0</v>
      </c>
      <c r="I1574">
        <v>0</v>
      </c>
      <c r="J1574" t="s">
        <v>608</v>
      </c>
      <c r="K1574" t="s">
        <v>604</v>
      </c>
    </row>
    <row r="1575" spans="1:11" x14ac:dyDescent="0.2">
      <c r="A1575" t="s">
        <v>2812</v>
      </c>
      <c r="B1575" t="s">
        <v>2813</v>
      </c>
      <c r="C1575">
        <v>65.59</v>
      </c>
      <c r="D1575" t="s">
        <v>608</v>
      </c>
      <c r="E1575" t="s">
        <v>608</v>
      </c>
      <c r="F1575">
        <v>63.91</v>
      </c>
      <c r="G1575">
        <v>52.12</v>
      </c>
      <c r="H1575">
        <v>0</v>
      </c>
      <c r="I1575">
        <v>0.5</v>
      </c>
      <c r="J1575" t="s">
        <v>608</v>
      </c>
      <c r="K1575" t="s">
        <v>604</v>
      </c>
    </row>
    <row r="1576" spans="1:11" x14ac:dyDescent="0.2">
      <c r="A1576" t="s">
        <v>2814</v>
      </c>
      <c r="B1576" t="s">
        <v>2813</v>
      </c>
      <c r="C1576">
        <v>49.23</v>
      </c>
      <c r="D1576" t="s">
        <v>608</v>
      </c>
      <c r="E1576" t="s">
        <v>608</v>
      </c>
      <c r="F1576">
        <v>18.600000000000001</v>
      </c>
      <c r="G1576">
        <v>12.49</v>
      </c>
      <c r="H1576">
        <v>0</v>
      </c>
      <c r="I1576">
        <v>0</v>
      </c>
      <c r="J1576" t="s">
        <v>608</v>
      </c>
      <c r="K1576" t="s">
        <v>604</v>
      </c>
    </row>
    <row r="1577" spans="1:11" x14ac:dyDescent="0.2">
      <c r="A1577" t="s">
        <v>2815</v>
      </c>
      <c r="B1577" t="s">
        <v>2813</v>
      </c>
      <c r="C1577">
        <v>43.44</v>
      </c>
      <c r="D1577" t="s">
        <v>608</v>
      </c>
      <c r="E1577" t="s">
        <v>608</v>
      </c>
      <c r="F1577">
        <v>20.76</v>
      </c>
      <c r="G1577">
        <v>16.93</v>
      </c>
      <c r="H1577">
        <v>0</v>
      </c>
      <c r="I1577">
        <v>0</v>
      </c>
      <c r="J1577" t="s">
        <v>608</v>
      </c>
      <c r="K1577" t="s">
        <v>604</v>
      </c>
    </row>
    <row r="1578" spans="1:11" x14ac:dyDescent="0.2">
      <c r="A1578" t="s">
        <v>2816</v>
      </c>
      <c r="B1578" t="s">
        <v>2813</v>
      </c>
      <c r="C1578">
        <v>31.73</v>
      </c>
      <c r="D1578" t="s">
        <v>608</v>
      </c>
      <c r="E1578" t="s">
        <v>608</v>
      </c>
      <c r="F1578">
        <v>10.68</v>
      </c>
      <c r="G1578">
        <v>7.88</v>
      </c>
      <c r="H1578">
        <v>0</v>
      </c>
      <c r="I1578">
        <v>0</v>
      </c>
      <c r="J1578" t="s">
        <v>608</v>
      </c>
      <c r="K1578" t="s">
        <v>604</v>
      </c>
    </row>
    <row r="1579" spans="1:11" x14ac:dyDescent="0.2">
      <c r="A1579" t="s">
        <v>2817</v>
      </c>
      <c r="B1579" t="s">
        <v>2813</v>
      </c>
      <c r="C1579">
        <v>46.58</v>
      </c>
      <c r="D1579" t="s">
        <v>608</v>
      </c>
      <c r="E1579" t="s">
        <v>608</v>
      </c>
      <c r="F1579">
        <v>37.33</v>
      </c>
      <c r="G1579">
        <v>26.12</v>
      </c>
      <c r="H1579">
        <v>1</v>
      </c>
      <c r="I1579">
        <v>1</v>
      </c>
      <c r="J1579" t="s">
        <v>608</v>
      </c>
      <c r="K1579" t="s">
        <v>604</v>
      </c>
    </row>
    <row r="1580" spans="1:11" x14ac:dyDescent="0.2">
      <c r="A1580" t="s">
        <v>2818</v>
      </c>
      <c r="B1580" t="s">
        <v>2819</v>
      </c>
      <c r="C1580">
        <v>43.71</v>
      </c>
      <c r="D1580" t="s">
        <v>608</v>
      </c>
      <c r="E1580" t="s">
        <v>608</v>
      </c>
      <c r="F1580">
        <v>14.54</v>
      </c>
      <c r="G1580">
        <v>10.85</v>
      </c>
      <c r="H1580">
        <v>1</v>
      </c>
      <c r="I1580">
        <v>0</v>
      </c>
      <c r="J1580" t="s">
        <v>608</v>
      </c>
      <c r="K1580" t="s">
        <v>604</v>
      </c>
    </row>
    <row r="1581" spans="1:11" x14ac:dyDescent="0.2">
      <c r="A1581" t="s">
        <v>2820</v>
      </c>
      <c r="B1581" t="s">
        <v>2819</v>
      </c>
      <c r="C1581">
        <v>54.37</v>
      </c>
      <c r="D1581" t="s">
        <v>608</v>
      </c>
      <c r="E1581" t="s">
        <v>608</v>
      </c>
      <c r="F1581">
        <v>39.56</v>
      </c>
      <c r="G1581">
        <v>34.840000000000003</v>
      </c>
      <c r="H1581">
        <v>0.5</v>
      </c>
      <c r="I1581">
        <v>0.5</v>
      </c>
      <c r="J1581" t="s">
        <v>608</v>
      </c>
      <c r="K1581" t="s">
        <v>604</v>
      </c>
    </row>
    <row r="1582" spans="1:11" x14ac:dyDescent="0.2">
      <c r="A1582" t="s">
        <v>2821</v>
      </c>
      <c r="B1582" t="s">
        <v>2819</v>
      </c>
      <c r="C1582">
        <v>50.12</v>
      </c>
      <c r="D1582" t="s">
        <v>608</v>
      </c>
      <c r="E1582" t="s">
        <v>608</v>
      </c>
      <c r="F1582">
        <v>42.12</v>
      </c>
      <c r="G1582">
        <v>29.48</v>
      </c>
      <c r="H1582">
        <v>1</v>
      </c>
      <c r="I1582">
        <v>1</v>
      </c>
      <c r="J1582" t="s">
        <v>608</v>
      </c>
      <c r="K1582" t="s">
        <v>604</v>
      </c>
    </row>
    <row r="1583" spans="1:11" x14ac:dyDescent="0.2">
      <c r="A1583" t="s">
        <v>2822</v>
      </c>
      <c r="B1583" t="s">
        <v>2819</v>
      </c>
      <c r="C1583">
        <v>40.869999999999997</v>
      </c>
      <c r="D1583" t="s">
        <v>608</v>
      </c>
      <c r="E1583" t="s">
        <v>608</v>
      </c>
      <c r="F1583">
        <v>19.79</v>
      </c>
      <c r="G1583">
        <v>13.73</v>
      </c>
      <c r="H1583">
        <v>0.5</v>
      </c>
      <c r="I1583">
        <v>0</v>
      </c>
      <c r="J1583" t="s">
        <v>608</v>
      </c>
      <c r="K1583" t="s">
        <v>604</v>
      </c>
    </row>
    <row r="1584" spans="1:11" x14ac:dyDescent="0.2">
      <c r="A1584" t="s">
        <v>2823</v>
      </c>
      <c r="B1584" t="s">
        <v>2819</v>
      </c>
      <c r="C1584">
        <v>51.96</v>
      </c>
      <c r="D1584" t="s">
        <v>608</v>
      </c>
      <c r="E1584" t="s">
        <v>608</v>
      </c>
      <c r="F1584">
        <v>25.65</v>
      </c>
      <c r="G1584">
        <v>18.79</v>
      </c>
      <c r="H1584">
        <v>0.5</v>
      </c>
      <c r="I1584">
        <v>0.5</v>
      </c>
      <c r="J1584" t="s">
        <v>608</v>
      </c>
      <c r="K1584" t="s">
        <v>604</v>
      </c>
    </row>
    <row r="1585" spans="1:11" x14ac:dyDescent="0.2">
      <c r="A1585" t="s">
        <v>2824</v>
      </c>
      <c r="B1585" t="s">
        <v>2825</v>
      </c>
      <c r="C1585">
        <v>41.87</v>
      </c>
      <c r="D1585" t="s">
        <v>608</v>
      </c>
      <c r="E1585" t="s">
        <v>608</v>
      </c>
      <c r="F1585">
        <v>16.649999999999999</v>
      </c>
      <c r="G1585">
        <v>12.38</v>
      </c>
      <c r="H1585">
        <v>0</v>
      </c>
      <c r="I1585">
        <v>0.5</v>
      </c>
      <c r="J1585" t="s">
        <v>608</v>
      </c>
      <c r="K1585" t="s">
        <v>604</v>
      </c>
    </row>
    <row r="1586" spans="1:11" x14ac:dyDescent="0.2">
      <c r="A1586" t="s">
        <v>2826</v>
      </c>
      <c r="B1586" t="s">
        <v>2825</v>
      </c>
      <c r="C1586">
        <v>53.95</v>
      </c>
      <c r="D1586" t="s">
        <v>608</v>
      </c>
      <c r="E1586" t="s">
        <v>608</v>
      </c>
      <c r="F1586">
        <v>27.64</v>
      </c>
      <c r="G1586">
        <v>21.26</v>
      </c>
      <c r="H1586">
        <v>1</v>
      </c>
      <c r="I1586">
        <v>1</v>
      </c>
      <c r="J1586" t="s">
        <v>608</v>
      </c>
      <c r="K1586" t="s">
        <v>604</v>
      </c>
    </row>
    <row r="1587" spans="1:11" x14ac:dyDescent="0.2">
      <c r="A1587" t="s">
        <v>2827</v>
      </c>
      <c r="B1587" t="s">
        <v>2825</v>
      </c>
      <c r="C1587">
        <v>74.13</v>
      </c>
      <c r="D1587" t="s">
        <v>608</v>
      </c>
      <c r="E1587" t="s">
        <v>608</v>
      </c>
      <c r="F1587">
        <v>79.67</v>
      </c>
      <c r="G1587">
        <v>58.94</v>
      </c>
      <c r="H1587">
        <v>0.5</v>
      </c>
      <c r="I1587">
        <v>0</v>
      </c>
      <c r="J1587" t="s">
        <v>608</v>
      </c>
      <c r="K1587" t="s">
        <v>604</v>
      </c>
    </row>
    <row r="1588" spans="1:11" x14ac:dyDescent="0.2">
      <c r="A1588" t="s">
        <v>2828</v>
      </c>
      <c r="B1588" t="s">
        <v>2825</v>
      </c>
      <c r="C1588">
        <v>40.549999999999997</v>
      </c>
      <c r="D1588" t="s">
        <v>608</v>
      </c>
      <c r="E1588" t="s">
        <v>608</v>
      </c>
      <c r="F1588">
        <v>20.309999999999999</v>
      </c>
      <c r="G1588">
        <v>14.22</v>
      </c>
      <c r="H1588">
        <v>1</v>
      </c>
      <c r="I1588">
        <v>0.5</v>
      </c>
      <c r="J1588" t="s">
        <v>608</v>
      </c>
      <c r="K1588" t="s">
        <v>604</v>
      </c>
    </row>
    <row r="1589" spans="1:11" x14ac:dyDescent="0.2">
      <c r="A1589" t="s">
        <v>2829</v>
      </c>
      <c r="B1589" t="s">
        <v>2825</v>
      </c>
      <c r="C1589">
        <v>49.13</v>
      </c>
      <c r="D1589" t="s">
        <v>608</v>
      </c>
      <c r="E1589" t="s">
        <v>608</v>
      </c>
      <c r="F1589">
        <v>25.74</v>
      </c>
      <c r="G1589">
        <v>18.84</v>
      </c>
      <c r="H1589">
        <v>0</v>
      </c>
      <c r="I1589">
        <v>0</v>
      </c>
      <c r="J1589" t="s">
        <v>608</v>
      </c>
      <c r="K1589" t="s">
        <v>604</v>
      </c>
    </row>
    <row r="1590" spans="1:11" x14ac:dyDescent="0.2">
      <c r="A1590" t="s">
        <v>2830</v>
      </c>
      <c r="B1590" t="s">
        <v>2831</v>
      </c>
      <c r="C1590">
        <v>58.04</v>
      </c>
      <c r="D1590" t="s">
        <v>608</v>
      </c>
      <c r="E1590" t="s">
        <v>608</v>
      </c>
      <c r="F1590">
        <v>59.34</v>
      </c>
      <c r="G1590">
        <v>43.47</v>
      </c>
      <c r="H1590">
        <v>1</v>
      </c>
      <c r="I1590">
        <v>1</v>
      </c>
      <c r="J1590" t="s">
        <v>608</v>
      </c>
      <c r="K1590" t="s">
        <v>604</v>
      </c>
    </row>
    <row r="1591" spans="1:11" x14ac:dyDescent="0.2">
      <c r="A1591" t="s">
        <v>2832</v>
      </c>
      <c r="B1591" t="s">
        <v>2831</v>
      </c>
      <c r="C1591">
        <v>50.54</v>
      </c>
      <c r="D1591" t="s">
        <v>608</v>
      </c>
      <c r="E1591" t="s">
        <v>608</v>
      </c>
      <c r="F1591">
        <v>39.35</v>
      </c>
      <c r="G1591">
        <v>28.87</v>
      </c>
      <c r="H1591">
        <v>2</v>
      </c>
      <c r="I1591">
        <v>1</v>
      </c>
      <c r="J1591" t="s">
        <v>608</v>
      </c>
      <c r="K1591" t="s">
        <v>604</v>
      </c>
    </row>
    <row r="1592" spans="1:11" x14ac:dyDescent="0.2">
      <c r="A1592" t="s">
        <v>2833</v>
      </c>
      <c r="B1592" t="s">
        <v>2831</v>
      </c>
      <c r="C1592">
        <v>75.19</v>
      </c>
      <c r="D1592" t="s">
        <v>608</v>
      </c>
      <c r="E1592" t="s">
        <v>608</v>
      </c>
      <c r="F1592">
        <v>88.6</v>
      </c>
      <c r="G1592">
        <v>60.81</v>
      </c>
      <c r="H1592">
        <v>0</v>
      </c>
      <c r="I1592">
        <v>0.5</v>
      </c>
      <c r="J1592" t="s">
        <v>608</v>
      </c>
      <c r="K1592" t="s">
        <v>604</v>
      </c>
    </row>
    <row r="1593" spans="1:11" x14ac:dyDescent="0.2">
      <c r="A1593" t="s">
        <v>2834</v>
      </c>
      <c r="B1593" t="s">
        <v>2831</v>
      </c>
      <c r="C1593">
        <v>61.03</v>
      </c>
      <c r="D1593" t="s">
        <v>608</v>
      </c>
      <c r="E1593" t="s">
        <v>608</v>
      </c>
      <c r="F1593">
        <v>50.84</v>
      </c>
      <c r="G1593">
        <v>36.799999999999997</v>
      </c>
      <c r="H1593">
        <v>0.5</v>
      </c>
      <c r="I1593">
        <v>0</v>
      </c>
      <c r="J1593" t="s">
        <v>608</v>
      </c>
      <c r="K1593" t="s">
        <v>604</v>
      </c>
    </row>
    <row r="1594" spans="1:11" x14ac:dyDescent="0.2">
      <c r="A1594" t="s">
        <v>2835</v>
      </c>
      <c r="B1594" t="s">
        <v>2831</v>
      </c>
      <c r="C1594">
        <v>59.58</v>
      </c>
      <c r="D1594" t="s">
        <v>608</v>
      </c>
      <c r="E1594" t="s">
        <v>608</v>
      </c>
      <c r="F1594">
        <v>52.37</v>
      </c>
      <c r="G1594">
        <v>35.619999999999997</v>
      </c>
      <c r="H1594">
        <v>0</v>
      </c>
      <c r="I1594">
        <v>0</v>
      </c>
      <c r="J1594" t="s">
        <v>608</v>
      </c>
      <c r="K1594" t="s">
        <v>604</v>
      </c>
    </row>
    <row r="1595" spans="1:11" x14ac:dyDescent="0.2">
      <c r="A1595" t="s">
        <v>2836</v>
      </c>
      <c r="B1595" t="s">
        <v>2837</v>
      </c>
      <c r="C1595">
        <v>43.47</v>
      </c>
      <c r="D1595" t="s">
        <v>608</v>
      </c>
      <c r="E1595" t="s">
        <v>608</v>
      </c>
      <c r="F1595">
        <v>23.7</v>
      </c>
      <c r="G1595">
        <v>16.71</v>
      </c>
      <c r="H1595">
        <v>2</v>
      </c>
      <c r="I1595">
        <v>3</v>
      </c>
      <c r="J1595" t="s">
        <v>608</v>
      </c>
      <c r="K1595" t="s">
        <v>604</v>
      </c>
    </row>
    <row r="1596" spans="1:11" x14ac:dyDescent="0.2">
      <c r="A1596" t="s">
        <v>2838</v>
      </c>
      <c r="B1596" t="s">
        <v>2837</v>
      </c>
      <c r="C1596">
        <v>46</v>
      </c>
      <c r="D1596" t="s">
        <v>608</v>
      </c>
      <c r="E1596" t="s">
        <v>608</v>
      </c>
      <c r="F1596">
        <v>20.96</v>
      </c>
      <c r="G1596">
        <v>13.73</v>
      </c>
      <c r="H1596">
        <v>0.5</v>
      </c>
      <c r="I1596">
        <v>0</v>
      </c>
      <c r="J1596" t="s">
        <v>608</v>
      </c>
      <c r="K1596" t="s">
        <v>604</v>
      </c>
    </row>
    <row r="1597" spans="1:11" x14ac:dyDescent="0.2">
      <c r="A1597" t="s">
        <v>2839</v>
      </c>
      <c r="B1597" t="s">
        <v>2837</v>
      </c>
      <c r="C1597">
        <v>47.73</v>
      </c>
      <c r="D1597" t="s">
        <v>608</v>
      </c>
      <c r="E1597" t="s">
        <v>608</v>
      </c>
      <c r="F1597">
        <v>20.74</v>
      </c>
      <c r="G1597">
        <v>14.91</v>
      </c>
      <c r="H1597">
        <v>0</v>
      </c>
      <c r="I1597">
        <v>0</v>
      </c>
      <c r="J1597" t="s">
        <v>608</v>
      </c>
      <c r="K1597" t="s">
        <v>604</v>
      </c>
    </row>
    <row r="1598" spans="1:11" x14ac:dyDescent="0.2">
      <c r="A1598" t="s">
        <v>2840</v>
      </c>
      <c r="B1598" t="s">
        <v>2837</v>
      </c>
      <c r="C1598">
        <v>55.32</v>
      </c>
      <c r="D1598" t="s">
        <v>608</v>
      </c>
      <c r="E1598" t="s">
        <v>608</v>
      </c>
      <c r="F1598">
        <v>21.95</v>
      </c>
      <c r="G1598">
        <v>15.86</v>
      </c>
      <c r="H1598">
        <v>0</v>
      </c>
      <c r="I1598">
        <v>0</v>
      </c>
      <c r="J1598" t="s">
        <v>608</v>
      </c>
      <c r="K1598" t="s">
        <v>604</v>
      </c>
    </row>
    <row r="1599" spans="1:11" x14ac:dyDescent="0.2">
      <c r="A1599" t="s">
        <v>2841</v>
      </c>
      <c r="B1599" t="s">
        <v>2837</v>
      </c>
      <c r="C1599">
        <v>60.1</v>
      </c>
      <c r="D1599" t="s">
        <v>608</v>
      </c>
      <c r="E1599" t="s">
        <v>608</v>
      </c>
      <c r="F1599">
        <v>37.26</v>
      </c>
      <c r="G1599">
        <v>27.38</v>
      </c>
      <c r="H1599">
        <v>1</v>
      </c>
      <c r="I1599">
        <v>1</v>
      </c>
      <c r="J1599" t="s">
        <v>608</v>
      </c>
      <c r="K1599" t="s">
        <v>604</v>
      </c>
    </row>
    <row r="1600" spans="1:11" x14ac:dyDescent="0.2">
      <c r="A1600" t="s">
        <v>2842</v>
      </c>
      <c r="B1600" t="s">
        <v>2843</v>
      </c>
      <c r="C1600">
        <v>45.11</v>
      </c>
      <c r="D1600" t="s">
        <v>608</v>
      </c>
      <c r="E1600" t="s">
        <v>608</v>
      </c>
      <c r="F1600">
        <v>20</v>
      </c>
      <c r="G1600">
        <v>14.55</v>
      </c>
      <c r="H1600">
        <v>0.5</v>
      </c>
      <c r="I1600">
        <v>0</v>
      </c>
      <c r="J1600" t="s">
        <v>608</v>
      </c>
      <c r="K1600" t="s">
        <v>604</v>
      </c>
    </row>
    <row r="1601" spans="1:11" x14ac:dyDescent="0.2">
      <c r="A1601" t="s">
        <v>2844</v>
      </c>
      <c r="B1601" t="s">
        <v>2843</v>
      </c>
      <c r="C1601">
        <v>45.87</v>
      </c>
      <c r="D1601" t="s">
        <v>608</v>
      </c>
      <c r="E1601" t="s">
        <v>608</v>
      </c>
      <c r="F1601">
        <v>29.64</v>
      </c>
      <c r="G1601">
        <v>23.03</v>
      </c>
      <c r="H1601">
        <v>1</v>
      </c>
      <c r="I1601">
        <v>1</v>
      </c>
      <c r="J1601" t="s">
        <v>608</v>
      </c>
      <c r="K1601" t="s">
        <v>604</v>
      </c>
    </row>
    <row r="1602" spans="1:11" x14ac:dyDescent="0.2">
      <c r="A1602" t="s">
        <v>2845</v>
      </c>
      <c r="B1602" t="s">
        <v>2843</v>
      </c>
      <c r="C1602">
        <v>55.88</v>
      </c>
      <c r="D1602" t="s">
        <v>608</v>
      </c>
      <c r="E1602" t="s">
        <v>608</v>
      </c>
      <c r="F1602">
        <v>42.26</v>
      </c>
      <c r="G1602">
        <v>30.74</v>
      </c>
      <c r="H1602">
        <v>0.5</v>
      </c>
      <c r="I1602">
        <v>0.5</v>
      </c>
      <c r="J1602" t="s">
        <v>608</v>
      </c>
      <c r="K1602" t="s">
        <v>604</v>
      </c>
    </row>
    <row r="1603" spans="1:11" x14ac:dyDescent="0.2">
      <c r="A1603" t="s">
        <v>2846</v>
      </c>
      <c r="B1603" t="s">
        <v>2843</v>
      </c>
      <c r="C1603">
        <v>46.31</v>
      </c>
      <c r="D1603" t="s">
        <v>608</v>
      </c>
      <c r="E1603" t="s">
        <v>608</v>
      </c>
      <c r="F1603">
        <v>36.32</v>
      </c>
      <c r="G1603">
        <v>25.36</v>
      </c>
      <c r="H1603">
        <v>0.5</v>
      </c>
      <c r="I1603">
        <v>0.5</v>
      </c>
      <c r="J1603" t="s">
        <v>608</v>
      </c>
      <c r="K1603" t="s">
        <v>604</v>
      </c>
    </row>
    <row r="1604" spans="1:11" x14ac:dyDescent="0.2">
      <c r="A1604" t="s">
        <v>2847</v>
      </c>
      <c r="B1604" t="s">
        <v>2843</v>
      </c>
      <c r="C1604">
        <v>61.75</v>
      </c>
      <c r="D1604" t="s">
        <v>608</v>
      </c>
      <c r="E1604" t="s">
        <v>608</v>
      </c>
      <c r="F1604">
        <v>48.47</v>
      </c>
      <c r="G1604">
        <v>36.78</v>
      </c>
      <c r="H1604">
        <v>2</v>
      </c>
      <c r="I1604">
        <v>2</v>
      </c>
      <c r="J1604" t="s">
        <v>608</v>
      </c>
      <c r="K1604" t="s">
        <v>604</v>
      </c>
    </row>
    <row r="1605" spans="1:11" x14ac:dyDescent="0.2">
      <c r="A1605" t="s">
        <v>2848</v>
      </c>
      <c r="B1605" t="s">
        <v>2849</v>
      </c>
      <c r="C1605">
        <v>42.56</v>
      </c>
      <c r="D1605" t="s">
        <v>608</v>
      </c>
      <c r="E1605" t="s">
        <v>608</v>
      </c>
      <c r="F1605">
        <v>25.61</v>
      </c>
      <c r="G1605">
        <v>17.989999999999998</v>
      </c>
      <c r="H1605">
        <v>1</v>
      </c>
      <c r="I1605">
        <v>1</v>
      </c>
      <c r="J1605" t="s">
        <v>608</v>
      </c>
      <c r="K1605" t="s">
        <v>604</v>
      </c>
    </row>
    <row r="1606" spans="1:11" x14ac:dyDescent="0.2">
      <c r="A1606" t="s">
        <v>2850</v>
      </c>
      <c r="B1606" t="s">
        <v>2849</v>
      </c>
      <c r="C1606">
        <v>51.16</v>
      </c>
      <c r="D1606" t="s">
        <v>608</v>
      </c>
      <c r="E1606" t="s">
        <v>608</v>
      </c>
      <c r="F1606">
        <v>32.68</v>
      </c>
      <c r="G1606">
        <v>22.11</v>
      </c>
      <c r="H1606">
        <v>0</v>
      </c>
      <c r="I1606">
        <v>0.5</v>
      </c>
      <c r="J1606" t="s">
        <v>608</v>
      </c>
      <c r="K1606" t="s">
        <v>604</v>
      </c>
    </row>
    <row r="1607" spans="1:11" x14ac:dyDescent="0.2">
      <c r="A1607" t="s">
        <v>2851</v>
      </c>
      <c r="B1607" t="s">
        <v>2849</v>
      </c>
      <c r="C1607">
        <v>56.39</v>
      </c>
      <c r="D1607" t="s">
        <v>608</v>
      </c>
      <c r="E1607" t="s">
        <v>608</v>
      </c>
      <c r="F1607">
        <v>39.83</v>
      </c>
      <c r="G1607">
        <v>27.58</v>
      </c>
      <c r="H1607">
        <v>1</v>
      </c>
      <c r="I1607">
        <v>1</v>
      </c>
      <c r="J1607" t="s">
        <v>608</v>
      </c>
      <c r="K1607" t="s">
        <v>604</v>
      </c>
    </row>
    <row r="1608" spans="1:11" x14ac:dyDescent="0.2">
      <c r="A1608" t="s">
        <v>2852</v>
      </c>
      <c r="B1608" t="s">
        <v>2849</v>
      </c>
      <c r="C1608">
        <v>50.94</v>
      </c>
      <c r="D1608" t="s">
        <v>608</v>
      </c>
      <c r="E1608" t="s">
        <v>608</v>
      </c>
      <c r="F1608">
        <v>22.06</v>
      </c>
      <c r="G1608">
        <v>16.489999999999998</v>
      </c>
      <c r="H1608">
        <v>3</v>
      </c>
      <c r="I1608">
        <v>3</v>
      </c>
      <c r="J1608" t="s">
        <v>608</v>
      </c>
      <c r="K1608" t="s">
        <v>604</v>
      </c>
    </row>
    <row r="1609" spans="1:11" x14ac:dyDescent="0.2">
      <c r="A1609" t="s">
        <v>2853</v>
      </c>
      <c r="B1609" t="s">
        <v>2849</v>
      </c>
      <c r="C1609">
        <v>83.02</v>
      </c>
      <c r="D1609" t="s">
        <v>608</v>
      </c>
      <c r="E1609" t="s">
        <v>608</v>
      </c>
      <c r="F1609">
        <v>55.36</v>
      </c>
      <c r="G1609">
        <v>37.58</v>
      </c>
      <c r="H1609">
        <v>1</v>
      </c>
      <c r="I1609">
        <v>1</v>
      </c>
      <c r="J1609" t="s">
        <v>608</v>
      </c>
      <c r="K1609" t="s">
        <v>604</v>
      </c>
    </row>
    <row r="1610" spans="1:11" x14ac:dyDescent="0.2">
      <c r="A1610" t="s">
        <v>2854</v>
      </c>
      <c r="B1610" t="s">
        <v>2855</v>
      </c>
      <c r="C1610">
        <v>33.18</v>
      </c>
      <c r="D1610" t="s">
        <v>608</v>
      </c>
      <c r="E1610" t="s">
        <v>608</v>
      </c>
      <c r="F1610">
        <v>14.93</v>
      </c>
      <c r="G1610">
        <v>10.42</v>
      </c>
      <c r="H1610">
        <v>2</v>
      </c>
      <c r="I1610">
        <v>2</v>
      </c>
      <c r="J1610" t="s">
        <v>608</v>
      </c>
      <c r="K1610" t="s">
        <v>604</v>
      </c>
    </row>
    <row r="1611" spans="1:11" x14ac:dyDescent="0.2">
      <c r="A1611" t="s">
        <v>2856</v>
      </c>
      <c r="B1611" t="s">
        <v>2855</v>
      </c>
      <c r="C1611">
        <v>32.130000000000003</v>
      </c>
      <c r="D1611" t="s">
        <v>608</v>
      </c>
      <c r="E1611" t="s">
        <v>608</v>
      </c>
      <c r="F1611">
        <v>19.41</v>
      </c>
      <c r="G1611">
        <v>13.79</v>
      </c>
      <c r="H1611">
        <v>2</v>
      </c>
      <c r="I1611">
        <v>2</v>
      </c>
      <c r="J1611" t="s">
        <v>608</v>
      </c>
      <c r="K1611" t="s">
        <v>604</v>
      </c>
    </row>
    <row r="1612" spans="1:11" x14ac:dyDescent="0.2">
      <c r="A1612" t="s">
        <v>2857</v>
      </c>
      <c r="B1612" t="s">
        <v>2855</v>
      </c>
      <c r="C1612">
        <v>36.75</v>
      </c>
      <c r="D1612" t="s">
        <v>608</v>
      </c>
      <c r="E1612" t="s">
        <v>608</v>
      </c>
      <c r="F1612">
        <v>12.14</v>
      </c>
      <c r="G1612">
        <v>8.2100000000000009</v>
      </c>
      <c r="H1612">
        <v>0.5</v>
      </c>
      <c r="I1612">
        <v>0</v>
      </c>
      <c r="J1612" t="s">
        <v>608</v>
      </c>
      <c r="K1612" t="s">
        <v>604</v>
      </c>
    </row>
    <row r="1613" spans="1:11" x14ac:dyDescent="0.2">
      <c r="A1613" t="s">
        <v>2858</v>
      </c>
      <c r="B1613" t="s">
        <v>2855</v>
      </c>
      <c r="C1613">
        <v>29.5</v>
      </c>
      <c r="D1613" t="s">
        <v>608</v>
      </c>
      <c r="E1613" t="s">
        <v>608</v>
      </c>
      <c r="F1613">
        <v>9.9499999999999993</v>
      </c>
      <c r="G1613">
        <v>8.09</v>
      </c>
      <c r="H1613">
        <v>0</v>
      </c>
      <c r="I1613">
        <v>0</v>
      </c>
      <c r="J1613" t="s">
        <v>608</v>
      </c>
      <c r="K1613" t="s">
        <v>604</v>
      </c>
    </row>
    <row r="1614" spans="1:11" x14ac:dyDescent="0.2">
      <c r="A1614" t="s">
        <v>2859</v>
      </c>
      <c r="B1614" t="s">
        <v>2855</v>
      </c>
      <c r="C1614">
        <v>42.4</v>
      </c>
      <c r="D1614" t="s">
        <v>608</v>
      </c>
      <c r="E1614" t="s">
        <v>608</v>
      </c>
      <c r="F1614">
        <v>31.42</v>
      </c>
      <c r="G1614">
        <v>26.75</v>
      </c>
      <c r="H1614">
        <v>0.5</v>
      </c>
      <c r="I1614">
        <v>0</v>
      </c>
      <c r="J1614" t="s">
        <v>608</v>
      </c>
      <c r="K1614" t="s">
        <v>604</v>
      </c>
    </row>
    <row r="1615" spans="1:11" x14ac:dyDescent="0.2">
      <c r="A1615" t="s">
        <v>2860</v>
      </c>
      <c r="B1615" t="s">
        <v>2861</v>
      </c>
      <c r="C1615">
        <v>50.26</v>
      </c>
      <c r="D1615" t="s">
        <v>608</v>
      </c>
      <c r="E1615" t="s">
        <v>608</v>
      </c>
      <c r="F1615">
        <v>52.49</v>
      </c>
      <c r="G1615">
        <v>37.270000000000003</v>
      </c>
      <c r="H1615">
        <v>0.5</v>
      </c>
      <c r="I1615">
        <v>0.5</v>
      </c>
      <c r="J1615" t="s">
        <v>608</v>
      </c>
      <c r="K1615" t="s">
        <v>604</v>
      </c>
    </row>
    <row r="1616" spans="1:11" x14ac:dyDescent="0.2">
      <c r="A1616" t="s">
        <v>2862</v>
      </c>
      <c r="B1616" t="s">
        <v>2861</v>
      </c>
      <c r="C1616">
        <v>55.73</v>
      </c>
      <c r="D1616" t="s">
        <v>608</v>
      </c>
      <c r="E1616" t="s">
        <v>608</v>
      </c>
      <c r="F1616">
        <v>30.82</v>
      </c>
      <c r="G1616">
        <v>20.170000000000002</v>
      </c>
      <c r="H1616">
        <v>2</v>
      </c>
      <c r="I1616">
        <v>2</v>
      </c>
      <c r="J1616" t="s">
        <v>608</v>
      </c>
      <c r="K1616" t="s">
        <v>604</v>
      </c>
    </row>
    <row r="1617" spans="1:11" x14ac:dyDescent="0.2">
      <c r="A1617" t="s">
        <v>2863</v>
      </c>
      <c r="B1617" t="s">
        <v>2861</v>
      </c>
      <c r="C1617">
        <v>47.48</v>
      </c>
      <c r="D1617" t="s">
        <v>608</v>
      </c>
      <c r="E1617" t="s">
        <v>608</v>
      </c>
      <c r="F1617">
        <v>26.04</v>
      </c>
      <c r="G1617">
        <v>17.940000000000001</v>
      </c>
      <c r="H1617">
        <v>1</v>
      </c>
      <c r="I1617">
        <v>1</v>
      </c>
      <c r="J1617" t="s">
        <v>608</v>
      </c>
      <c r="K1617" t="s">
        <v>604</v>
      </c>
    </row>
    <row r="1618" spans="1:11" x14ac:dyDescent="0.2">
      <c r="A1618" t="s">
        <v>2864</v>
      </c>
      <c r="B1618" t="s">
        <v>2861</v>
      </c>
      <c r="C1618">
        <v>35.68</v>
      </c>
      <c r="D1618" t="s">
        <v>608</v>
      </c>
      <c r="E1618" t="s">
        <v>608</v>
      </c>
      <c r="F1618">
        <v>13.33</v>
      </c>
      <c r="G1618">
        <v>9.81</v>
      </c>
      <c r="H1618">
        <v>2</v>
      </c>
      <c r="I1618">
        <v>2</v>
      </c>
      <c r="J1618" t="s">
        <v>608</v>
      </c>
      <c r="K1618" t="s">
        <v>604</v>
      </c>
    </row>
    <row r="1619" spans="1:11" x14ac:dyDescent="0.2">
      <c r="A1619" t="s">
        <v>2865</v>
      </c>
      <c r="B1619" t="s">
        <v>2861</v>
      </c>
      <c r="C1619">
        <v>48.37</v>
      </c>
      <c r="D1619" t="s">
        <v>608</v>
      </c>
      <c r="E1619" t="s">
        <v>608</v>
      </c>
      <c r="F1619">
        <v>42.11</v>
      </c>
      <c r="G1619">
        <v>28.58</v>
      </c>
      <c r="H1619">
        <v>1</v>
      </c>
      <c r="I1619">
        <v>1</v>
      </c>
      <c r="J1619" t="s">
        <v>608</v>
      </c>
      <c r="K1619" t="s">
        <v>604</v>
      </c>
    </row>
    <row r="1620" spans="1:11" x14ac:dyDescent="0.2">
      <c r="A1620" t="s">
        <v>2866</v>
      </c>
      <c r="B1620" t="s">
        <v>2867</v>
      </c>
      <c r="C1620">
        <v>39.94</v>
      </c>
      <c r="D1620" t="s">
        <v>608</v>
      </c>
      <c r="E1620" t="s">
        <v>608</v>
      </c>
      <c r="F1620">
        <v>9.5299999999999994</v>
      </c>
      <c r="G1620">
        <v>6.62</v>
      </c>
      <c r="H1620">
        <v>2</v>
      </c>
      <c r="I1620">
        <v>1</v>
      </c>
      <c r="J1620" t="s">
        <v>608</v>
      </c>
      <c r="K1620" t="s">
        <v>604</v>
      </c>
    </row>
    <row r="1621" spans="1:11" x14ac:dyDescent="0.2">
      <c r="A1621" t="s">
        <v>2868</v>
      </c>
      <c r="B1621" t="s">
        <v>2867</v>
      </c>
      <c r="C1621">
        <v>32.590000000000003</v>
      </c>
      <c r="D1621" t="s">
        <v>608</v>
      </c>
      <c r="E1621" t="s">
        <v>608</v>
      </c>
      <c r="F1621">
        <v>12.64</v>
      </c>
      <c r="G1621">
        <v>9.57</v>
      </c>
      <c r="H1621">
        <v>0.5</v>
      </c>
      <c r="I1621">
        <v>0</v>
      </c>
      <c r="J1621" t="s">
        <v>608</v>
      </c>
      <c r="K1621" t="s">
        <v>604</v>
      </c>
    </row>
    <row r="1622" spans="1:11" x14ac:dyDescent="0.2">
      <c r="A1622" t="s">
        <v>2869</v>
      </c>
      <c r="B1622" t="s">
        <v>2867</v>
      </c>
      <c r="C1622">
        <v>56.46</v>
      </c>
      <c r="D1622" t="s">
        <v>608</v>
      </c>
      <c r="E1622" t="s">
        <v>608</v>
      </c>
      <c r="F1622">
        <v>28.31</v>
      </c>
      <c r="G1622">
        <v>18.579999999999998</v>
      </c>
      <c r="H1622">
        <v>0.5</v>
      </c>
      <c r="I1622">
        <v>1</v>
      </c>
      <c r="J1622" t="s">
        <v>608</v>
      </c>
      <c r="K1622" t="s">
        <v>604</v>
      </c>
    </row>
    <row r="1623" spans="1:11" x14ac:dyDescent="0.2">
      <c r="A1623" t="s">
        <v>2870</v>
      </c>
      <c r="B1623" t="s">
        <v>2867</v>
      </c>
      <c r="C1623">
        <v>56.93</v>
      </c>
      <c r="D1623" t="s">
        <v>608</v>
      </c>
      <c r="E1623" t="s">
        <v>608</v>
      </c>
      <c r="F1623">
        <v>36.51</v>
      </c>
      <c r="G1623">
        <v>25.51</v>
      </c>
      <c r="H1623">
        <v>0.5</v>
      </c>
      <c r="I1623">
        <v>0.5</v>
      </c>
      <c r="J1623" t="s">
        <v>608</v>
      </c>
      <c r="K1623" t="s">
        <v>604</v>
      </c>
    </row>
    <row r="1624" spans="1:11" x14ac:dyDescent="0.2">
      <c r="A1624" t="s">
        <v>2871</v>
      </c>
      <c r="B1624" t="s">
        <v>2867</v>
      </c>
      <c r="C1624">
        <v>48.34</v>
      </c>
      <c r="D1624" t="s">
        <v>608</v>
      </c>
      <c r="E1624" t="s">
        <v>608</v>
      </c>
      <c r="F1624">
        <v>38.5</v>
      </c>
      <c r="G1624">
        <v>26.71</v>
      </c>
      <c r="H1624">
        <v>0.5</v>
      </c>
      <c r="I1624">
        <v>1</v>
      </c>
      <c r="J1624" t="s">
        <v>608</v>
      </c>
      <c r="K1624" t="s">
        <v>604</v>
      </c>
    </row>
    <row r="1625" spans="1:11" x14ac:dyDescent="0.2">
      <c r="A1625" t="s">
        <v>2872</v>
      </c>
      <c r="B1625" t="s">
        <v>1325</v>
      </c>
      <c r="C1625">
        <v>55.79</v>
      </c>
      <c r="D1625" t="s">
        <v>608</v>
      </c>
      <c r="E1625" t="s">
        <v>608</v>
      </c>
      <c r="F1625">
        <v>21.71</v>
      </c>
      <c r="G1625">
        <v>15.68</v>
      </c>
      <c r="H1625">
        <v>2</v>
      </c>
      <c r="I1625">
        <v>2</v>
      </c>
      <c r="J1625" t="s">
        <v>608</v>
      </c>
      <c r="K1625" t="s">
        <v>52</v>
      </c>
    </row>
    <row r="1626" spans="1:11" x14ac:dyDescent="0.2">
      <c r="A1626" t="s">
        <v>2873</v>
      </c>
      <c r="B1626" t="s">
        <v>1325</v>
      </c>
      <c r="C1626">
        <v>60.07</v>
      </c>
      <c r="D1626" t="s">
        <v>608</v>
      </c>
      <c r="E1626" t="s">
        <v>608</v>
      </c>
      <c r="F1626">
        <v>23.18</v>
      </c>
      <c r="G1626">
        <v>15.6</v>
      </c>
      <c r="H1626">
        <v>1</v>
      </c>
      <c r="I1626">
        <v>0.5</v>
      </c>
      <c r="J1626" t="s">
        <v>608</v>
      </c>
      <c r="K1626" t="s">
        <v>52</v>
      </c>
    </row>
    <row r="1627" spans="1:11" x14ac:dyDescent="0.2">
      <c r="A1627" t="s">
        <v>2874</v>
      </c>
      <c r="B1627" t="s">
        <v>1325</v>
      </c>
      <c r="C1627">
        <v>52.48</v>
      </c>
      <c r="D1627" t="s">
        <v>608</v>
      </c>
      <c r="E1627" t="s">
        <v>608</v>
      </c>
      <c r="F1627">
        <v>28.27</v>
      </c>
      <c r="G1627">
        <v>20.71</v>
      </c>
      <c r="H1627">
        <v>0.5</v>
      </c>
      <c r="I1627">
        <v>0</v>
      </c>
      <c r="J1627" t="s">
        <v>608</v>
      </c>
      <c r="K1627" t="s">
        <v>52</v>
      </c>
    </row>
    <row r="1628" spans="1:11" x14ac:dyDescent="0.2">
      <c r="A1628" t="s">
        <v>2875</v>
      </c>
      <c r="B1628" t="s">
        <v>1325</v>
      </c>
      <c r="C1628">
        <v>35.47</v>
      </c>
      <c r="D1628" t="s">
        <v>608</v>
      </c>
      <c r="E1628" t="s">
        <v>608</v>
      </c>
      <c r="F1628">
        <v>18.82</v>
      </c>
      <c r="G1628">
        <v>13.48</v>
      </c>
      <c r="H1628">
        <v>0</v>
      </c>
      <c r="I1628">
        <v>0.5</v>
      </c>
      <c r="J1628" t="s">
        <v>608</v>
      </c>
      <c r="K1628" t="s">
        <v>52</v>
      </c>
    </row>
    <row r="1629" spans="1:11" x14ac:dyDescent="0.2">
      <c r="A1629" t="s">
        <v>2876</v>
      </c>
      <c r="B1629" t="s">
        <v>1325</v>
      </c>
      <c r="C1629">
        <v>40.42</v>
      </c>
      <c r="D1629" t="s">
        <v>608</v>
      </c>
      <c r="E1629" t="s">
        <v>608</v>
      </c>
      <c r="F1629">
        <v>11.08</v>
      </c>
      <c r="G1629">
        <v>7.78</v>
      </c>
      <c r="H1629">
        <v>0.5</v>
      </c>
      <c r="I1629">
        <v>0</v>
      </c>
      <c r="J1629" t="s">
        <v>608</v>
      </c>
      <c r="K1629" t="s">
        <v>52</v>
      </c>
    </row>
    <row r="1630" spans="1:11" x14ac:dyDescent="0.2">
      <c r="A1630" t="s">
        <v>2877</v>
      </c>
      <c r="B1630" t="s">
        <v>1327</v>
      </c>
      <c r="C1630">
        <v>54.48</v>
      </c>
      <c r="D1630" t="s">
        <v>608</v>
      </c>
      <c r="E1630" t="s">
        <v>608</v>
      </c>
      <c r="F1630">
        <v>31.89</v>
      </c>
      <c r="G1630">
        <v>22.53</v>
      </c>
      <c r="H1630">
        <v>0.5</v>
      </c>
      <c r="I1630">
        <v>0.5</v>
      </c>
      <c r="J1630" t="s">
        <v>608</v>
      </c>
      <c r="K1630" t="s">
        <v>52</v>
      </c>
    </row>
    <row r="1631" spans="1:11" x14ac:dyDescent="0.2">
      <c r="A1631" t="s">
        <v>2878</v>
      </c>
      <c r="B1631" t="s">
        <v>1327</v>
      </c>
      <c r="C1631">
        <v>54.49</v>
      </c>
      <c r="D1631" t="s">
        <v>608</v>
      </c>
      <c r="E1631" t="s">
        <v>608</v>
      </c>
      <c r="F1631">
        <v>16.86</v>
      </c>
      <c r="G1631">
        <v>12.82</v>
      </c>
      <c r="H1631">
        <v>0.5</v>
      </c>
      <c r="I1631">
        <v>1</v>
      </c>
      <c r="J1631" t="s">
        <v>608</v>
      </c>
      <c r="K1631" t="s">
        <v>52</v>
      </c>
    </row>
    <row r="1632" spans="1:11" x14ac:dyDescent="0.2">
      <c r="A1632" t="s">
        <v>2879</v>
      </c>
      <c r="B1632" t="s">
        <v>1327</v>
      </c>
      <c r="C1632">
        <v>50.1</v>
      </c>
      <c r="D1632" t="s">
        <v>608</v>
      </c>
      <c r="E1632" t="s">
        <v>608</v>
      </c>
      <c r="F1632">
        <v>29.89</v>
      </c>
      <c r="G1632">
        <v>20.58</v>
      </c>
      <c r="H1632">
        <v>1</v>
      </c>
      <c r="I1632">
        <v>1</v>
      </c>
      <c r="J1632" t="s">
        <v>608</v>
      </c>
      <c r="K1632" t="s">
        <v>52</v>
      </c>
    </row>
    <row r="1633" spans="1:11" x14ac:dyDescent="0.2">
      <c r="A1633" t="s">
        <v>2880</v>
      </c>
      <c r="B1633" t="s">
        <v>1327</v>
      </c>
      <c r="C1633">
        <v>44.99</v>
      </c>
      <c r="D1633" t="s">
        <v>608</v>
      </c>
      <c r="E1633" t="s">
        <v>608</v>
      </c>
      <c r="F1633">
        <v>17.02</v>
      </c>
      <c r="G1633">
        <v>12.06</v>
      </c>
      <c r="H1633">
        <v>0</v>
      </c>
      <c r="I1633">
        <v>0</v>
      </c>
      <c r="J1633" t="s">
        <v>608</v>
      </c>
      <c r="K1633" t="s">
        <v>52</v>
      </c>
    </row>
    <row r="1634" spans="1:11" x14ac:dyDescent="0.2">
      <c r="A1634" t="s">
        <v>2881</v>
      </c>
      <c r="B1634" t="s">
        <v>1327</v>
      </c>
      <c r="C1634">
        <v>68.73</v>
      </c>
      <c r="D1634" t="s">
        <v>608</v>
      </c>
      <c r="E1634" t="s">
        <v>608</v>
      </c>
      <c r="F1634">
        <v>53.32</v>
      </c>
      <c r="G1634">
        <v>37.64</v>
      </c>
      <c r="H1634">
        <v>0</v>
      </c>
      <c r="I1634">
        <v>0</v>
      </c>
      <c r="J1634" t="s">
        <v>608</v>
      </c>
      <c r="K1634" t="s">
        <v>52</v>
      </c>
    </row>
    <row r="1635" spans="1:11" x14ac:dyDescent="0.2">
      <c r="A1635" t="s">
        <v>2882</v>
      </c>
      <c r="B1635" t="s">
        <v>1329</v>
      </c>
      <c r="C1635">
        <v>69</v>
      </c>
      <c r="D1635" t="s">
        <v>608</v>
      </c>
      <c r="E1635" t="s">
        <v>608</v>
      </c>
      <c r="F1635">
        <v>75.3</v>
      </c>
      <c r="G1635">
        <v>54.6</v>
      </c>
      <c r="H1635">
        <v>0</v>
      </c>
      <c r="I1635">
        <v>0</v>
      </c>
      <c r="J1635" t="s">
        <v>608</v>
      </c>
      <c r="K1635" t="s">
        <v>52</v>
      </c>
    </row>
    <row r="1636" spans="1:11" x14ac:dyDescent="0.2">
      <c r="A1636" t="s">
        <v>2883</v>
      </c>
      <c r="B1636" t="s">
        <v>1329</v>
      </c>
      <c r="C1636">
        <v>40.909999999999997</v>
      </c>
      <c r="D1636" t="s">
        <v>608</v>
      </c>
      <c r="E1636" t="s">
        <v>608</v>
      </c>
      <c r="F1636">
        <v>17.29</v>
      </c>
      <c r="G1636">
        <v>12.7</v>
      </c>
      <c r="H1636">
        <v>4</v>
      </c>
      <c r="I1636">
        <v>4</v>
      </c>
      <c r="J1636" t="s">
        <v>608</v>
      </c>
      <c r="K1636" t="s">
        <v>52</v>
      </c>
    </row>
    <row r="1637" spans="1:11" x14ac:dyDescent="0.2">
      <c r="A1637" t="s">
        <v>2884</v>
      </c>
      <c r="B1637" t="s">
        <v>1329</v>
      </c>
      <c r="C1637">
        <v>35.79</v>
      </c>
      <c r="D1637" t="s">
        <v>608</v>
      </c>
      <c r="E1637" t="s">
        <v>608</v>
      </c>
      <c r="F1637">
        <v>5.35</v>
      </c>
      <c r="G1637">
        <v>3.98</v>
      </c>
      <c r="H1637">
        <v>0.5</v>
      </c>
      <c r="I1637">
        <v>0.5</v>
      </c>
      <c r="J1637" t="s">
        <v>131</v>
      </c>
      <c r="K1637" t="s">
        <v>52</v>
      </c>
    </row>
    <row r="1638" spans="1:11" x14ac:dyDescent="0.2">
      <c r="A1638" t="s">
        <v>2885</v>
      </c>
      <c r="B1638" t="s">
        <v>1329</v>
      </c>
      <c r="C1638">
        <v>45.86</v>
      </c>
      <c r="D1638" t="s">
        <v>608</v>
      </c>
      <c r="E1638" t="s">
        <v>608</v>
      </c>
      <c r="F1638">
        <v>31.94</v>
      </c>
      <c r="G1638">
        <v>22.61</v>
      </c>
      <c r="H1638">
        <v>1</v>
      </c>
      <c r="I1638">
        <v>1</v>
      </c>
      <c r="J1638" t="s">
        <v>608</v>
      </c>
      <c r="K1638" t="s">
        <v>52</v>
      </c>
    </row>
    <row r="1639" spans="1:11" x14ac:dyDescent="0.2">
      <c r="A1639" t="s">
        <v>2886</v>
      </c>
      <c r="B1639" t="s">
        <v>1329</v>
      </c>
      <c r="C1639">
        <v>53.16</v>
      </c>
      <c r="D1639" t="s">
        <v>608</v>
      </c>
      <c r="E1639" t="s">
        <v>608</v>
      </c>
      <c r="F1639">
        <v>47.12</v>
      </c>
      <c r="G1639">
        <v>34.9</v>
      </c>
      <c r="H1639">
        <v>1</v>
      </c>
      <c r="I1639">
        <v>1</v>
      </c>
      <c r="J1639" t="s">
        <v>608</v>
      </c>
      <c r="K1639" t="s">
        <v>52</v>
      </c>
    </row>
    <row r="1640" spans="1:11" x14ac:dyDescent="0.2">
      <c r="A1640" t="s">
        <v>2887</v>
      </c>
      <c r="B1640" t="s">
        <v>1337</v>
      </c>
      <c r="C1640">
        <v>42.24</v>
      </c>
      <c r="D1640" t="s">
        <v>608</v>
      </c>
      <c r="E1640" t="s">
        <v>608</v>
      </c>
      <c r="F1640">
        <v>24.51</v>
      </c>
      <c r="G1640">
        <v>16.84</v>
      </c>
      <c r="H1640">
        <v>0.5</v>
      </c>
      <c r="I1640">
        <v>0</v>
      </c>
      <c r="J1640" t="s">
        <v>608</v>
      </c>
      <c r="K1640" t="s">
        <v>52</v>
      </c>
    </row>
    <row r="1641" spans="1:11" x14ac:dyDescent="0.2">
      <c r="A1641" t="s">
        <v>2888</v>
      </c>
      <c r="B1641" t="s">
        <v>1337</v>
      </c>
      <c r="C1641">
        <v>46.67</v>
      </c>
      <c r="D1641" t="s">
        <v>608</v>
      </c>
      <c r="E1641" t="s">
        <v>608</v>
      </c>
      <c r="F1641">
        <v>26.64</v>
      </c>
      <c r="G1641">
        <v>20.58</v>
      </c>
      <c r="H1641">
        <v>0</v>
      </c>
      <c r="I1641">
        <v>0</v>
      </c>
      <c r="J1641" t="s">
        <v>608</v>
      </c>
      <c r="K1641" t="s">
        <v>52</v>
      </c>
    </row>
    <row r="1642" spans="1:11" x14ac:dyDescent="0.2">
      <c r="A1642" t="s">
        <v>2889</v>
      </c>
      <c r="B1642" t="s">
        <v>1337</v>
      </c>
      <c r="C1642">
        <v>41.58</v>
      </c>
      <c r="D1642" t="s">
        <v>608</v>
      </c>
      <c r="E1642" t="s">
        <v>608</v>
      </c>
      <c r="F1642">
        <v>24.53</v>
      </c>
      <c r="G1642">
        <v>18.52</v>
      </c>
      <c r="H1642">
        <v>1</v>
      </c>
      <c r="I1642">
        <v>1</v>
      </c>
      <c r="J1642" t="s">
        <v>608</v>
      </c>
      <c r="K1642" t="s">
        <v>52</v>
      </c>
    </row>
    <row r="1643" spans="1:11" x14ac:dyDescent="0.2">
      <c r="A1643" t="s">
        <v>2890</v>
      </c>
      <c r="B1643" t="s">
        <v>1337</v>
      </c>
      <c r="C1643">
        <v>49.73</v>
      </c>
      <c r="D1643" t="s">
        <v>608</v>
      </c>
      <c r="E1643" t="s">
        <v>608</v>
      </c>
      <c r="F1643">
        <v>42.3</v>
      </c>
      <c r="G1643">
        <v>31.75</v>
      </c>
      <c r="H1643">
        <v>0</v>
      </c>
      <c r="I1643">
        <v>0</v>
      </c>
      <c r="J1643" t="s">
        <v>608</v>
      </c>
      <c r="K1643" t="s">
        <v>52</v>
      </c>
    </row>
    <row r="1644" spans="1:11" x14ac:dyDescent="0.2">
      <c r="A1644" t="s">
        <v>2891</v>
      </c>
      <c r="B1644" t="s">
        <v>1337</v>
      </c>
      <c r="C1644">
        <v>47.71</v>
      </c>
      <c r="D1644" t="s">
        <v>608</v>
      </c>
      <c r="E1644" t="s">
        <v>608</v>
      </c>
      <c r="F1644">
        <v>25.92</v>
      </c>
      <c r="G1644">
        <v>18.86</v>
      </c>
      <c r="H1644">
        <v>0</v>
      </c>
      <c r="I1644">
        <v>0</v>
      </c>
      <c r="J1644" t="s">
        <v>608</v>
      </c>
      <c r="K1644" t="s">
        <v>52</v>
      </c>
    </row>
    <row r="1645" spans="1:11" x14ac:dyDescent="0.2">
      <c r="A1645" t="s">
        <v>2892</v>
      </c>
      <c r="B1645" t="s">
        <v>1339</v>
      </c>
      <c r="C1645">
        <v>66.62</v>
      </c>
      <c r="D1645" t="s">
        <v>608</v>
      </c>
      <c r="E1645" t="s">
        <v>608</v>
      </c>
      <c r="F1645">
        <v>69.650000000000006</v>
      </c>
      <c r="G1645">
        <v>49.08</v>
      </c>
      <c r="H1645">
        <v>1</v>
      </c>
      <c r="I1645">
        <v>1</v>
      </c>
      <c r="J1645" t="s">
        <v>608</v>
      </c>
      <c r="K1645" t="s">
        <v>52</v>
      </c>
    </row>
    <row r="1646" spans="1:11" x14ac:dyDescent="0.2">
      <c r="A1646" t="s">
        <v>2893</v>
      </c>
      <c r="B1646" t="s">
        <v>1339</v>
      </c>
      <c r="C1646">
        <v>55.62</v>
      </c>
      <c r="D1646" t="s">
        <v>608</v>
      </c>
      <c r="E1646" t="s">
        <v>608</v>
      </c>
      <c r="F1646">
        <v>27.98</v>
      </c>
      <c r="G1646">
        <v>19.670000000000002</v>
      </c>
      <c r="H1646">
        <v>0.5</v>
      </c>
      <c r="I1646">
        <v>0</v>
      </c>
      <c r="J1646" t="s">
        <v>3095</v>
      </c>
      <c r="K1646" t="s">
        <v>52</v>
      </c>
    </row>
    <row r="1647" spans="1:11" x14ac:dyDescent="0.2">
      <c r="A1647" t="s">
        <v>2894</v>
      </c>
      <c r="B1647" t="s">
        <v>1339</v>
      </c>
      <c r="C1647">
        <v>57.71</v>
      </c>
      <c r="D1647" t="s">
        <v>608</v>
      </c>
      <c r="E1647" t="s">
        <v>608</v>
      </c>
      <c r="F1647">
        <v>52.9</v>
      </c>
      <c r="G1647">
        <v>39.69</v>
      </c>
      <c r="H1647">
        <v>1</v>
      </c>
      <c r="I1647">
        <v>1</v>
      </c>
      <c r="J1647" t="s">
        <v>608</v>
      </c>
      <c r="K1647" t="s">
        <v>52</v>
      </c>
    </row>
    <row r="1648" spans="1:11" x14ac:dyDescent="0.2">
      <c r="A1648" t="s">
        <v>2895</v>
      </c>
      <c r="B1648" t="s">
        <v>1339</v>
      </c>
      <c r="C1648">
        <v>57.24</v>
      </c>
      <c r="D1648" t="s">
        <v>608</v>
      </c>
      <c r="E1648" t="s">
        <v>608</v>
      </c>
      <c r="F1648">
        <v>56.8</v>
      </c>
      <c r="G1648">
        <v>41.15</v>
      </c>
      <c r="H1648">
        <v>2</v>
      </c>
      <c r="I1648">
        <v>3</v>
      </c>
      <c r="J1648" t="s">
        <v>608</v>
      </c>
      <c r="K1648" t="s">
        <v>52</v>
      </c>
    </row>
    <row r="1649" spans="1:11" x14ac:dyDescent="0.2">
      <c r="A1649" t="s">
        <v>2896</v>
      </c>
      <c r="B1649" t="s">
        <v>1339</v>
      </c>
      <c r="C1649">
        <v>53.88</v>
      </c>
      <c r="D1649" t="s">
        <v>608</v>
      </c>
      <c r="E1649" t="s">
        <v>608</v>
      </c>
      <c r="F1649">
        <v>67.319999999999993</v>
      </c>
      <c r="G1649">
        <v>49.58</v>
      </c>
      <c r="H1649">
        <v>1</v>
      </c>
      <c r="I1649">
        <v>1</v>
      </c>
      <c r="J1649" t="s">
        <v>608</v>
      </c>
      <c r="K1649" t="s">
        <v>52</v>
      </c>
    </row>
    <row r="1650" spans="1:11" x14ac:dyDescent="0.2">
      <c r="A1650" t="s">
        <v>2897</v>
      </c>
      <c r="B1650" t="s">
        <v>1341</v>
      </c>
      <c r="C1650">
        <v>51.17</v>
      </c>
      <c r="D1650" t="s">
        <v>608</v>
      </c>
      <c r="E1650" t="s">
        <v>608</v>
      </c>
      <c r="F1650">
        <v>22.84</v>
      </c>
      <c r="G1650">
        <v>16.7</v>
      </c>
      <c r="H1650">
        <v>0</v>
      </c>
      <c r="I1650">
        <v>0.5</v>
      </c>
      <c r="J1650" t="s">
        <v>608</v>
      </c>
      <c r="K1650" t="s">
        <v>52</v>
      </c>
    </row>
    <row r="1651" spans="1:11" x14ac:dyDescent="0.2">
      <c r="A1651" t="s">
        <v>2898</v>
      </c>
      <c r="B1651" t="s">
        <v>1341</v>
      </c>
      <c r="C1651">
        <v>35.5</v>
      </c>
      <c r="D1651" t="s">
        <v>608</v>
      </c>
      <c r="E1651" t="s">
        <v>608</v>
      </c>
      <c r="F1651">
        <v>12.01</v>
      </c>
      <c r="G1651">
        <v>9.1</v>
      </c>
      <c r="H1651">
        <v>0</v>
      </c>
      <c r="I1651">
        <v>0.5</v>
      </c>
      <c r="J1651" t="s">
        <v>608</v>
      </c>
      <c r="K1651" t="s">
        <v>52</v>
      </c>
    </row>
    <row r="1652" spans="1:11" x14ac:dyDescent="0.2">
      <c r="A1652" t="s">
        <v>2899</v>
      </c>
      <c r="B1652" t="s">
        <v>1341</v>
      </c>
      <c r="C1652">
        <v>41.91</v>
      </c>
      <c r="D1652" t="s">
        <v>608</v>
      </c>
      <c r="E1652" t="s">
        <v>608</v>
      </c>
      <c r="F1652">
        <v>23.66</v>
      </c>
      <c r="G1652">
        <v>17.98</v>
      </c>
      <c r="H1652">
        <v>0</v>
      </c>
      <c r="I1652">
        <v>0</v>
      </c>
      <c r="J1652" t="s">
        <v>608</v>
      </c>
      <c r="K1652" t="s">
        <v>52</v>
      </c>
    </row>
    <row r="1653" spans="1:11" x14ac:dyDescent="0.2">
      <c r="A1653" t="s">
        <v>2900</v>
      </c>
      <c r="B1653" t="s">
        <v>1341</v>
      </c>
      <c r="C1653">
        <v>46.65</v>
      </c>
      <c r="D1653" t="s">
        <v>608</v>
      </c>
      <c r="E1653" t="s">
        <v>608</v>
      </c>
      <c r="F1653">
        <v>17.78</v>
      </c>
      <c r="G1653">
        <v>12.88</v>
      </c>
      <c r="H1653">
        <v>0.5</v>
      </c>
      <c r="I1653">
        <v>1</v>
      </c>
      <c r="J1653" t="s">
        <v>608</v>
      </c>
      <c r="K1653" t="s">
        <v>52</v>
      </c>
    </row>
    <row r="1654" spans="1:11" x14ac:dyDescent="0.2">
      <c r="A1654" t="s">
        <v>2901</v>
      </c>
      <c r="B1654" t="s">
        <v>1341</v>
      </c>
      <c r="C1654">
        <v>49.19</v>
      </c>
      <c r="D1654" t="s">
        <v>608</v>
      </c>
      <c r="E1654" t="s">
        <v>608</v>
      </c>
      <c r="F1654">
        <v>24.65</v>
      </c>
      <c r="G1654">
        <v>17.54</v>
      </c>
      <c r="H1654">
        <v>0.5</v>
      </c>
      <c r="I1654">
        <v>0</v>
      </c>
      <c r="J1654" t="s">
        <v>608</v>
      </c>
      <c r="K1654" t="s">
        <v>52</v>
      </c>
    </row>
    <row r="1655" spans="1:11" x14ac:dyDescent="0.2">
      <c r="A1655" t="s">
        <v>2902</v>
      </c>
      <c r="B1655" t="s">
        <v>1349</v>
      </c>
      <c r="C1655">
        <v>50.09</v>
      </c>
      <c r="D1655" t="s">
        <v>608</v>
      </c>
      <c r="E1655" t="s">
        <v>608</v>
      </c>
      <c r="F1655">
        <v>44.79</v>
      </c>
      <c r="G1655">
        <v>30.87</v>
      </c>
      <c r="H1655">
        <v>0</v>
      </c>
      <c r="I1655">
        <v>0.5</v>
      </c>
      <c r="J1655" t="s">
        <v>608</v>
      </c>
      <c r="K1655" t="s">
        <v>52</v>
      </c>
    </row>
    <row r="1656" spans="1:11" x14ac:dyDescent="0.2">
      <c r="A1656" t="s">
        <v>2903</v>
      </c>
      <c r="B1656" t="s">
        <v>1349</v>
      </c>
      <c r="C1656">
        <v>56.7</v>
      </c>
      <c r="D1656" t="s">
        <v>608</v>
      </c>
      <c r="E1656" t="s">
        <v>608</v>
      </c>
      <c r="F1656">
        <v>33.17</v>
      </c>
      <c r="G1656">
        <v>22.18</v>
      </c>
      <c r="H1656">
        <v>0</v>
      </c>
      <c r="I1656">
        <v>0</v>
      </c>
      <c r="J1656" t="s">
        <v>608</v>
      </c>
      <c r="K1656" t="s">
        <v>52</v>
      </c>
    </row>
    <row r="1657" spans="1:11" x14ac:dyDescent="0.2">
      <c r="A1657" t="s">
        <v>2904</v>
      </c>
      <c r="B1657" t="s">
        <v>1349</v>
      </c>
      <c r="C1657">
        <v>44.01</v>
      </c>
      <c r="D1657" t="s">
        <v>608</v>
      </c>
      <c r="E1657" t="s">
        <v>608</v>
      </c>
      <c r="F1657">
        <v>25.83</v>
      </c>
      <c r="G1657">
        <v>18.64</v>
      </c>
      <c r="H1657">
        <v>0</v>
      </c>
      <c r="I1657">
        <v>0</v>
      </c>
      <c r="J1657" t="s">
        <v>608</v>
      </c>
      <c r="K1657" t="s">
        <v>52</v>
      </c>
    </row>
    <row r="1658" spans="1:11" x14ac:dyDescent="0.2">
      <c r="A1658" t="s">
        <v>2905</v>
      </c>
      <c r="B1658" t="s">
        <v>1349</v>
      </c>
      <c r="C1658">
        <v>52.35</v>
      </c>
      <c r="D1658" t="s">
        <v>608</v>
      </c>
      <c r="E1658" t="s">
        <v>608</v>
      </c>
      <c r="F1658">
        <v>26.58</v>
      </c>
      <c r="G1658">
        <v>19.309999999999999</v>
      </c>
      <c r="H1658">
        <v>0</v>
      </c>
      <c r="I1658">
        <v>0</v>
      </c>
      <c r="J1658" t="s">
        <v>608</v>
      </c>
      <c r="K1658" t="s">
        <v>52</v>
      </c>
    </row>
    <row r="1659" spans="1:11" x14ac:dyDescent="0.2">
      <c r="A1659" t="s">
        <v>2906</v>
      </c>
      <c r="B1659" t="s">
        <v>1349</v>
      </c>
      <c r="C1659">
        <v>48.13</v>
      </c>
      <c r="D1659" t="s">
        <v>608</v>
      </c>
      <c r="E1659" t="s">
        <v>608</v>
      </c>
      <c r="F1659">
        <v>20.260000000000002</v>
      </c>
      <c r="G1659">
        <v>14.2</v>
      </c>
      <c r="H1659">
        <v>0.5</v>
      </c>
      <c r="I1659">
        <v>1</v>
      </c>
      <c r="J1659" t="s">
        <v>608</v>
      </c>
      <c r="K1659" t="s">
        <v>52</v>
      </c>
    </row>
    <row r="1660" spans="1:11" x14ac:dyDescent="0.2">
      <c r="A1660" t="s">
        <v>2907</v>
      </c>
      <c r="B1660" t="s">
        <v>1351</v>
      </c>
      <c r="C1660">
        <v>48.84</v>
      </c>
      <c r="D1660" t="s">
        <v>608</v>
      </c>
      <c r="E1660" t="s">
        <v>608</v>
      </c>
      <c r="F1660">
        <v>23.67</v>
      </c>
      <c r="G1660">
        <v>17.04</v>
      </c>
      <c r="H1660">
        <v>0</v>
      </c>
      <c r="I1660">
        <v>0</v>
      </c>
      <c r="J1660" t="s">
        <v>608</v>
      </c>
      <c r="K1660" t="s">
        <v>52</v>
      </c>
    </row>
    <row r="1661" spans="1:11" x14ac:dyDescent="0.2">
      <c r="A1661" t="s">
        <v>2908</v>
      </c>
      <c r="B1661" t="s">
        <v>1351</v>
      </c>
      <c r="C1661">
        <v>40.06</v>
      </c>
      <c r="D1661" t="s">
        <v>608</v>
      </c>
      <c r="E1661" t="s">
        <v>608</v>
      </c>
      <c r="F1661">
        <v>13.7</v>
      </c>
      <c r="G1661">
        <v>10.26</v>
      </c>
      <c r="H1661">
        <v>0</v>
      </c>
      <c r="I1661">
        <v>0.5</v>
      </c>
      <c r="J1661" t="s">
        <v>608</v>
      </c>
      <c r="K1661" t="s">
        <v>52</v>
      </c>
    </row>
    <row r="1662" spans="1:11" x14ac:dyDescent="0.2">
      <c r="A1662" t="s">
        <v>2909</v>
      </c>
      <c r="B1662" t="s">
        <v>1351</v>
      </c>
      <c r="C1662">
        <v>49.24</v>
      </c>
      <c r="D1662" t="s">
        <v>608</v>
      </c>
      <c r="E1662" t="s">
        <v>608</v>
      </c>
      <c r="F1662">
        <v>30.26</v>
      </c>
      <c r="G1662">
        <v>21.82</v>
      </c>
      <c r="H1662">
        <v>0</v>
      </c>
      <c r="I1662">
        <v>0</v>
      </c>
      <c r="J1662" t="s">
        <v>608</v>
      </c>
      <c r="K1662" t="s">
        <v>52</v>
      </c>
    </row>
    <row r="1663" spans="1:11" x14ac:dyDescent="0.2">
      <c r="A1663" t="s">
        <v>2910</v>
      </c>
      <c r="B1663" t="s">
        <v>1351</v>
      </c>
      <c r="C1663">
        <v>63.69</v>
      </c>
      <c r="D1663" t="s">
        <v>608</v>
      </c>
      <c r="E1663" t="s">
        <v>608</v>
      </c>
      <c r="F1663">
        <v>31.06</v>
      </c>
      <c r="G1663">
        <v>20.76</v>
      </c>
      <c r="H1663">
        <v>0</v>
      </c>
      <c r="I1663">
        <v>0</v>
      </c>
      <c r="J1663" t="s">
        <v>608</v>
      </c>
      <c r="K1663" t="s">
        <v>52</v>
      </c>
    </row>
    <row r="1664" spans="1:11" x14ac:dyDescent="0.2">
      <c r="A1664" t="s">
        <v>2911</v>
      </c>
      <c r="B1664" t="s">
        <v>1351</v>
      </c>
      <c r="C1664">
        <v>43.52</v>
      </c>
      <c r="D1664" t="s">
        <v>608</v>
      </c>
      <c r="E1664" t="s">
        <v>608</v>
      </c>
      <c r="F1664">
        <v>17.27</v>
      </c>
      <c r="G1664">
        <v>12.5</v>
      </c>
      <c r="H1664">
        <v>0</v>
      </c>
      <c r="I1664">
        <v>0</v>
      </c>
      <c r="J1664" t="s">
        <v>608</v>
      </c>
      <c r="K1664" t="s">
        <v>52</v>
      </c>
    </row>
    <row r="1665" spans="1:11" x14ac:dyDescent="0.2">
      <c r="A1665" t="s">
        <v>2912</v>
      </c>
      <c r="B1665" t="s">
        <v>1353</v>
      </c>
      <c r="C1665">
        <v>60.05</v>
      </c>
      <c r="D1665" t="s">
        <v>608</v>
      </c>
      <c r="E1665" t="s">
        <v>608</v>
      </c>
      <c r="F1665">
        <v>49.02</v>
      </c>
      <c r="G1665">
        <v>38.14</v>
      </c>
      <c r="H1665">
        <v>0</v>
      </c>
      <c r="I1665">
        <v>0.5</v>
      </c>
      <c r="J1665" t="s">
        <v>608</v>
      </c>
      <c r="K1665" t="s">
        <v>52</v>
      </c>
    </row>
    <row r="1666" spans="1:11" x14ac:dyDescent="0.2">
      <c r="A1666" t="s">
        <v>2913</v>
      </c>
      <c r="B1666" t="s">
        <v>1353</v>
      </c>
      <c r="C1666">
        <v>65.67</v>
      </c>
      <c r="D1666" t="s">
        <v>608</v>
      </c>
      <c r="E1666" t="s">
        <v>608</v>
      </c>
      <c r="F1666">
        <v>47.28</v>
      </c>
      <c r="G1666">
        <v>31.88</v>
      </c>
      <c r="H1666">
        <v>0</v>
      </c>
      <c r="I1666">
        <v>0.5</v>
      </c>
      <c r="J1666" t="s">
        <v>608</v>
      </c>
      <c r="K1666" t="s">
        <v>52</v>
      </c>
    </row>
    <row r="1667" spans="1:11" x14ac:dyDescent="0.2">
      <c r="A1667" t="s">
        <v>2914</v>
      </c>
      <c r="B1667" t="s">
        <v>1353</v>
      </c>
      <c r="C1667">
        <v>53.07</v>
      </c>
      <c r="D1667" t="s">
        <v>608</v>
      </c>
      <c r="E1667" t="s">
        <v>608</v>
      </c>
      <c r="F1667">
        <v>22.51</v>
      </c>
      <c r="G1667">
        <v>17.18</v>
      </c>
      <c r="H1667">
        <v>0</v>
      </c>
      <c r="I1667">
        <v>0.5</v>
      </c>
      <c r="J1667" t="s">
        <v>608</v>
      </c>
      <c r="K1667" t="s">
        <v>52</v>
      </c>
    </row>
    <row r="1668" spans="1:11" x14ac:dyDescent="0.2">
      <c r="A1668" t="s">
        <v>2915</v>
      </c>
      <c r="B1668" t="s">
        <v>1353</v>
      </c>
      <c r="C1668">
        <v>59.04</v>
      </c>
      <c r="D1668" t="s">
        <v>608</v>
      </c>
      <c r="E1668" t="s">
        <v>608</v>
      </c>
      <c r="F1668">
        <v>48.12</v>
      </c>
      <c r="G1668">
        <v>38.47</v>
      </c>
      <c r="H1668">
        <v>0</v>
      </c>
      <c r="I1668">
        <v>0</v>
      </c>
      <c r="J1668" t="s">
        <v>608</v>
      </c>
      <c r="K1668" t="s">
        <v>52</v>
      </c>
    </row>
    <row r="1669" spans="1:11" x14ac:dyDescent="0.2">
      <c r="A1669" t="s">
        <v>2916</v>
      </c>
      <c r="B1669" t="s">
        <v>1353</v>
      </c>
      <c r="C1669">
        <v>32.99</v>
      </c>
      <c r="D1669" t="s">
        <v>608</v>
      </c>
      <c r="E1669" t="s">
        <v>608</v>
      </c>
      <c r="F1669">
        <v>16.36</v>
      </c>
      <c r="G1669">
        <v>12.84</v>
      </c>
      <c r="H1669">
        <v>0</v>
      </c>
      <c r="I1669">
        <v>0</v>
      </c>
      <c r="J1669" t="s">
        <v>608</v>
      </c>
      <c r="K1669" t="s">
        <v>52</v>
      </c>
    </row>
    <row r="1670" spans="1:11" x14ac:dyDescent="0.2">
      <c r="A1670" t="s">
        <v>2917</v>
      </c>
      <c r="B1670" t="s">
        <v>1361</v>
      </c>
      <c r="C1670">
        <v>42.69</v>
      </c>
      <c r="D1670" t="s">
        <v>608</v>
      </c>
      <c r="E1670" t="s">
        <v>608</v>
      </c>
      <c r="F1670">
        <v>17.91</v>
      </c>
      <c r="G1670">
        <v>13.34</v>
      </c>
      <c r="H1670">
        <v>0</v>
      </c>
      <c r="I1670">
        <v>0</v>
      </c>
      <c r="J1670" t="s">
        <v>608</v>
      </c>
      <c r="K1670" t="s">
        <v>52</v>
      </c>
    </row>
    <row r="1671" spans="1:11" x14ac:dyDescent="0.2">
      <c r="A1671" t="s">
        <v>2918</v>
      </c>
      <c r="B1671" t="s">
        <v>1361</v>
      </c>
      <c r="C1671">
        <v>42.85</v>
      </c>
      <c r="D1671" t="s">
        <v>608</v>
      </c>
      <c r="E1671" t="s">
        <v>608</v>
      </c>
      <c r="F1671">
        <v>27.61</v>
      </c>
      <c r="G1671">
        <v>21.38</v>
      </c>
      <c r="H1671">
        <v>0.5</v>
      </c>
      <c r="I1671">
        <v>0.5</v>
      </c>
      <c r="J1671" t="s">
        <v>608</v>
      </c>
      <c r="K1671" t="s">
        <v>52</v>
      </c>
    </row>
    <row r="1672" spans="1:11" x14ac:dyDescent="0.2">
      <c r="A1672" t="s">
        <v>2919</v>
      </c>
      <c r="B1672" t="s">
        <v>1361</v>
      </c>
      <c r="C1672">
        <v>39.65</v>
      </c>
      <c r="D1672" t="s">
        <v>608</v>
      </c>
      <c r="E1672" t="s">
        <v>608</v>
      </c>
      <c r="F1672">
        <v>24.17</v>
      </c>
      <c r="G1672">
        <v>16.96</v>
      </c>
      <c r="H1672">
        <v>0</v>
      </c>
      <c r="I1672">
        <v>0</v>
      </c>
      <c r="J1672" t="s">
        <v>608</v>
      </c>
      <c r="K1672" t="s">
        <v>52</v>
      </c>
    </row>
    <row r="1673" spans="1:11" x14ac:dyDescent="0.2">
      <c r="A1673" t="s">
        <v>2920</v>
      </c>
      <c r="B1673" t="s">
        <v>1361</v>
      </c>
      <c r="C1673">
        <v>53.97</v>
      </c>
      <c r="D1673" t="s">
        <v>608</v>
      </c>
      <c r="E1673" t="s">
        <v>608</v>
      </c>
      <c r="F1673">
        <v>19.39</v>
      </c>
      <c r="G1673">
        <v>14.2</v>
      </c>
      <c r="H1673">
        <v>0</v>
      </c>
      <c r="I1673">
        <v>0</v>
      </c>
      <c r="J1673" t="s">
        <v>608</v>
      </c>
      <c r="K1673" t="s">
        <v>52</v>
      </c>
    </row>
    <row r="1674" spans="1:11" x14ac:dyDescent="0.2">
      <c r="A1674" t="s">
        <v>2921</v>
      </c>
      <c r="B1674" t="s">
        <v>1361</v>
      </c>
      <c r="C1674">
        <v>48.49</v>
      </c>
      <c r="D1674" t="s">
        <v>608</v>
      </c>
      <c r="E1674" t="s">
        <v>608</v>
      </c>
      <c r="F1674">
        <v>17.670000000000002</v>
      </c>
      <c r="G1674">
        <v>13.35</v>
      </c>
      <c r="H1674">
        <v>0</v>
      </c>
      <c r="I1674">
        <v>0</v>
      </c>
      <c r="J1674" t="s">
        <v>608</v>
      </c>
      <c r="K1674" t="s">
        <v>52</v>
      </c>
    </row>
    <row r="1675" spans="1:11" x14ac:dyDescent="0.2">
      <c r="A1675" t="s">
        <v>2922</v>
      </c>
      <c r="B1675" t="s">
        <v>1363</v>
      </c>
      <c r="C1675">
        <v>67.319999999999993</v>
      </c>
      <c r="D1675" t="s">
        <v>608</v>
      </c>
      <c r="E1675" t="s">
        <v>608</v>
      </c>
      <c r="F1675">
        <v>40.22</v>
      </c>
      <c r="G1675">
        <v>25.58</v>
      </c>
      <c r="H1675">
        <v>0</v>
      </c>
      <c r="I1675">
        <v>0</v>
      </c>
      <c r="J1675" t="s">
        <v>608</v>
      </c>
      <c r="K1675" t="s">
        <v>52</v>
      </c>
    </row>
    <row r="1676" spans="1:11" x14ac:dyDescent="0.2">
      <c r="A1676" t="s">
        <v>2923</v>
      </c>
      <c r="B1676" t="s">
        <v>1363</v>
      </c>
      <c r="C1676">
        <v>51.88</v>
      </c>
      <c r="D1676" t="s">
        <v>608</v>
      </c>
      <c r="E1676" t="s">
        <v>608</v>
      </c>
      <c r="F1676">
        <v>25.4</v>
      </c>
      <c r="G1676">
        <v>19.39</v>
      </c>
      <c r="H1676">
        <v>0.5</v>
      </c>
      <c r="I1676">
        <v>0.5</v>
      </c>
      <c r="J1676" t="s">
        <v>608</v>
      </c>
      <c r="K1676" t="s">
        <v>52</v>
      </c>
    </row>
    <row r="1677" spans="1:11" x14ac:dyDescent="0.2">
      <c r="A1677" t="s">
        <v>2924</v>
      </c>
      <c r="B1677" t="s">
        <v>1363</v>
      </c>
      <c r="C1677">
        <v>50.1</v>
      </c>
      <c r="D1677" t="s">
        <v>608</v>
      </c>
      <c r="E1677" t="s">
        <v>608</v>
      </c>
      <c r="F1677">
        <v>37.299999999999997</v>
      </c>
      <c r="G1677">
        <v>27.19</v>
      </c>
      <c r="H1677">
        <v>0.5</v>
      </c>
      <c r="I1677">
        <v>0</v>
      </c>
      <c r="J1677" t="s">
        <v>608</v>
      </c>
      <c r="K1677" t="s">
        <v>52</v>
      </c>
    </row>
    <row r="1678" spans="1:11" x14ac:dyDescent="0.2">
      <c r="A1678" t="s">
        <v>2925</v>
      </c>
      <c r="B1678" t="s">
        <v>1363</v>
      </c>
      <c r="C1678">
        <v>49.78</v>
      </c>
      <c r="D1678" t="s">
        <v>608</v>
      </c>
      <c r="E1678" t="s">
        <v>608</v>
      </c>
      <c r="F1678">
        <v>33.44</v>
      </c>
      <c r="G1678">
        <v>23.94</v>
      </c>
      <c r="H1678">
        <v>2</v>
      </c>
      <c r="I1678">
        <v>2</v>
      </c>
      <c r="J1678" t="s">
        <v>608</v>
      </c>
      <c r="K1678" t="s">
        <v>52</v>
      </c>
    </row>
    <row r="1679" spans="1:11" x14ac:dyDescent="0.2">
      <c r="A1679" t="s">
        <v>2926</v>
      </c>
      <c r="B1679" t="s">
        <v>1363</v>
      </c>
      <c r="C1679">
        <v>44.69</v>
      </c>
      <c r="D1679" t="s">
        <v>608</v>
      </c>
      <c r="E1679" t="s">
        <v>608</v>
      </c>
      <c r="F1679">
        <v>16.12</v>
      </c>
      <c r="G1679">
        <v>12.61</v>
      </c>
      <c r="H1679">
        <v>1</v>
      </c>
      <c r="I1679">
        <v>1</v>
      </c>
      <c r="J1679" t="s">
        <v>608</v>
      </c>
      <c r="K1679" t="s">
        <v>52</v>
      </c>
    </row>
    <row r="1680" spans="1:11" x14ac:dyDescent="0.2">
      <c r="A1680" t="s">
        <v>2927</v>
      </c>
      <c r="B1680" t="s">
        <v>1365</v>
      </c>
      <c r="C1680">
        <v>53.77</v>
      </c>
      <c r="D1680" t="s">
        <v>608</v>
      </c>
      <c r="E1680" t="s">
        <v>608</v>
      </c>
      <c r="F1680">
        <v>31.27</v>
      </c>
      <c r="G1680">
        <v>21.99</v>
      </c>
      <c r="H1680">
        <v>0</v>
      </c>
      <c r="I1680">
        <v>0.5</v>
      </c>
      <c r="J1680" t="s">
        <v>608</v>
      </c>
      <c r="K1680" t="s">
        <v>52</v>
      </c>
    </row>
    <row r="1681" spans="1:11" x14ac:dyDescent="0.2">
      <c r="A1681" t="s">
        <v>2928</v>
      </c>
      <c r="B1681" t="s">
        <v>1365</v>
      </c>
      <c r="C1681">
        <v>56.98</v>
      </c>
      <c r="D1681" t="s">
        <v>608</v>
      </c>
      <c r="E1681" t="s">
        <v>608</v>
      </c>
      <c r="F1681">
        <v>50.66</v>
      </c>
      <c r="G1681">
        <v>35.17</v>
      </c>
      <c r="H1681">
        <v>0</v>
      </c>
      <c r="I1681">
        <v>0</v>
      </c>
      <c r="J1681" t="s">
        <v>608</v>
      </c>
      <c r="K1681" t="s">
        <v>52</v>
      </c>
    </row>
    <row r="1682" spans="1:11" x14ac:dyDescent="0.2">
      <c r="A1682" t="s">
        <v>2929</v>
      </c>
      <c r="B1682" t="s">
        <v>1365</v>
      </c>
      <c r="C1682">
        <v>53.45</v>
      </c>
      <c r="D1682" t="s">
        <v>608</v>
      </c>
      <c r="E1682" t="s">
        <v>608</v>
      </c>
      <c r="F1682">
        <v>23.38</v>
      </c>
      <c r="G1682">
        <v>16.66</v>
      </c>
      <c r="H1682">
        <v>0</v>
      </c>
      <c r="I1682">
        <v>0</v>
      </c>
      <c r="J1682" t="s">
        <v>608</v>
      </c>
      <c r="K1682" t="s">
        <v>52</v>
      </c>
    </row>
    <row r="1683" spans="1:11" x14ac:dyDescent="0.2">
      <c r="A1683" t="s">
        <v>2930</v>
      </c>
      <c r="B1683" t="s">
        <v>1365</v>
      </c>
      <c r="C1683">
        <v>41.94</v>
      </c>
      <c r="D1683" t="s">
        <v>608</v>
      </c>
      <c r="E1683" t="s">
        <v>608</v>
      </c>
      <c r="F1683">
        <v>24.65</v>
      </c>
      <c r="G1683">
        <v>16.989999999999998</v>
      </c>
      <c r="H1683">
        <v>0.5</v>
      </c>
      <c r="I1683">
        <v>0.5</v>
      </c>
      <c r="J1683" t="s">
        <v>608</v>
      </c>
      <c r="K1683" t="s">
        <v>52</v>
      </c>
    </row>
    <row r="1684" spans="1:11" x14ac:dyDescent="0.2">
      <c r="A1684" t="s">
        <v>2931</v>
      </c>
      <c r="B1684" t="s">
        <v>1365</v>
      </c>
      <c r="C1684">
        <v>52.32</v>
      </c>
      <c r="D1684" t="s">
        <v>608</v>
      </c>
      <c r="E1684" t="s">
        <v>608</v>
      </c>
      <c r="F1684">
        <v>30.51</v>
      </c>
      <c r="G1684">
        <v>19.14</v>
      </c>
      <c r="H1684">
        <v>2</v>
      </c>
      <c r="I1684">
        <v>1</v>
      </c>
      <c r="J1684" t="s">
        <v>608</v>
      </c>
      <c r="K1684" t="s">
        <v>52</v>
      </c>
    </row>
    <row r="1685" spans="1:11" x14ac:dyDescent="0.2">
      <c r="A1685" t="s">
        <v>2932</v>
      </c>
      <c r="B1685" t="s">
        <v>1373</v>
      </c>
      <c r="C1685">
        <v>44.65</v>
      </c>
      <c r="D1685" t="s">
        <v>608</v>
      </c>
      <c r="E1685" t="s">
        <v>608</v>
      </c>
      <c r="F1685">
        <v>39.76</v>
      </c>
      <c r="G1685">
        <v>28.02</v>
      </c>
      <c r="H1685">
        <v>0</v>
      </c>
      <c r="I1685">
        <v>0</v>
      </c>
      <c r="J1685" t="s">
        <v>608</v>
      </c>
      <c r="K1685" t="s">
        <v>52</v>
      </c>
    </row>
    <row r="1686" spans="1:11" x14ac:dyDescent="0.2">
      <c r="A1686" t="s">
        <v>2933</v>
      </c>
      <c r="B1686" t="s">
        <v>1373</v>
      </c>
      <c r="C1686">
        <v>37.880000000000003</v>
      </c>
      <c r="D1686" t="s">
        <v>608</v>
      </c>
      <c r="E1686" t="s">
        <v>608</v>
      </c>
      <c r="F1686">
        <v>16.43</v>
      </c>
      <c r="G1686">
        <v>12.36</v>
      </c>
      <c r="H1686">
        <v>1</v>
      </c>
      <c r="I1686">
        <v>2</v>
      </c>
      <c r="J1686" t="s">
        <v>608</v>
      </c>
      <c r="K1686" t="s">
        <v>52</v>
      </c>
    </row>
    <row r="1687" spans="1:11" x14ac:dyDescent="0.2">
      <c r="A1687" t="s">
        <v>2934</v>
      </c>
      <c r="B1687" t="s">
        <v>1373</v>
      </c>
      <c r="C1687">
        <v>51.33</v>
      </c>
      <c r="D1687" t="s">
        <v>608</v>
      </c>
      <c r="E1687" t="s">
        <v>608</v>
      </c>
      <c r="F1687">
        <v>40.9</v>
      </c>
      <c r="G1687">
        <v>29.45</v>
      </c>
      <c r="H1687">
        <v>0</v>
      </c>
      <c r="I1687">
        <v>0</v>
      </c>
      <c r="J1687" t="s">
        <v>608</v>
      </c>
      <c r="K1687" t="s">
        <v>52</v>
      </c>
    </row>
    <row r="1688" spans="1:11" x14ac:dyDescent="0.2">
      <c r="A1688" t="s">
        <v>2935</v>
      </c>
      <c r="B1688" t="s">
        <v>1373</v>
      </c>
      <c r="C1688">
        <v>37.369999999999997</v>
      </c>
      <c r="D1688" t="s">
        <v>608</v>
      </c>
      <c r="E1688" t="s">
        <v>608</v>
      </c>
      <c r="F1688">
        <v>17</v>
      </c>
      <c r="G1688">
        <v>12.83</v>
      </c>
      <c r="H1688">
        <v>1</v>
      </c>
      <c r="I1688">
        <v>0.5</v>
      </c>
      <c r="J1688" t="s">
        <v>608</v>
      </c>
      <c r="K1688" t="s">
        <v>52</v>
      </c>
    </row>
    <row r="1689" spans="1:11" x14ac:dyDescent="0.2">
      <c r="A1689" t="s">
        <v>2936</v>
      </c>
      <c r="B1689" t="s">
        <v>1373</v>
      </c>
      <c r="C1689">
        <v>38.85</v>
      </c>
      <c r="D1689" t="s">
        <v>608</v>
      </c>
      <c r="E1689" t="s">
        <v>608</v>
      </c>
      <c r="F1689">
        <v>13.89</v>
      </c>
      <c r="G1689">
        <v>10.039999999999999</v>
      </c>
      <c r="H1689">
        <v>0</v>
      </c>
      <c r="I1689">
        <v>0</v>
      </c>
      <c r="J1689" t="s">
        <v>608</v>
      </c>
      <c r="K1689" t="s">
        <v>52</v>
      </c>
    </row>
    <row r="1690" spans="1:11" x14ac:dyDescent="0.2">
      <c r="A1690" t="s">
        <v>2937</v>
      </c>
      <c r="B1690" t="s">
        <v>1375</v>
      </c>
      <c r="C1690">
        <v>41.65</v>
      </c>
      <c r="D1690" t="s">
        <v>608</v>
      </c>
      <c r="E1690" t="s">
        <v>608</v>
      </c>
      <c r="F1690">
        <v>28.57</v>
      </c>
      <c r="G1690">
        <v>22.79</v>
      </c>
      <c r="H1690">
        <v>1</v>
      </c>
      <c r="I1690">
        <v>2</v>
      </c>
      <c r="J1690" t="s">
        <v>608</v>
      </c>
      <c r="K1690" t="s">
        <v>52</v>
      </c>
    </row>
    <row r="1691" spans="1:11" x14ac:dyDescent="0.2">
      <c r="A1691" t="s">
        <v>2938</v>
      </c>
      <c r="B1691" t="s">
        <v>1375</v>
      </c>
      <c r="C1691">
        <v>48.4</v>
      </c>
      <c r="D1691" t="s">
        <v>608</v>
      </c>
      <c r="E1691" t="s">
        <v>608</v>
      </c>
      <c r="F1691">
        <v>30.56</v>
      </c>
      <c r="G1691">
        <v>20.79</v>
      </c>
      <c r="H1691">
        <v>0</v>
      </c>
      <c r="I1691">
        <v>0</v>
      </c>
      <c r="J1691" t="s">
        <v>608</v>
      </c>
      <c r="K1691" t="s">
        <v>52</v>
      </c>
    </row>
    <row r="1692" spans="1:11" x14ac:dyDescent="0.2">
      <c r="A1692" t="s">
        <v>2939</v>
      </c>
      <c r="B1692" t="s">
        <v>1375</v>
      </c>
      <c r="C1692">
        <v>51.43</v>
      </c>
      <c r="D1692" t="s">
        <v>608</v>
      </c>
      <c r="E1692" t="s">
        <v>608</v>
      </c>
      <c r="F1692">
        <v>33.96</v>
      </c>
      <c r="G1692">
        <v>27.13</v>
      </c>
      <c r="H1692">
        <v>0</v>
      </c>
      <c r="I1692">
        <v>1</v>
      </c>
      <c r="J1692" t="s">
        <v>608</v>
      </c>
      <c r="K1692" t="s">
        <v>52</v>
      </c>
    </row>
    <row r="1693" spans="1:11" x14ac:dyDescent="0.2">
      <c r="A1693" t="s">
        <v>2940</v>
      </c>
      <c r="B1693" t="s">
        <v>1375</v>
      </c>
      <c r="C1693">
        <v>37.97</v>
      </c>
      <c r="D1693" t="s">
        <v>608</v>
      </c>
      <c r="E1693" t="s">
        <v>608</v>
      </c>
      <c r="F1693">
        <v>16.190000000000001</v>
      </c>
      <c r="G1693">
        <v>11.09</v>
      </c>
      <c r="H1693">
        <v>2</v>
      </c>
      <c r="I1693">
        <v>3</v>
      </c>
      <c r="J1693" t="s">
        <v>608</v>
      </c>
      <c r="K1693" t="s">
        <v>52</v>
      </c>
    </row>
    <row r="1694" spans="1:11" x14ac:dyDescent="0.2">
      <c r="A1694" t="s">
        <v>2941</v>
      </c>
      <c r="B1694" t="s">
        <v>1375</v>
      </c>
      <c r="C1694">
        <v>32.07</v>
      </c>
      <c r="D1694" t="s">
        <v>608</v>
      </c>
      <c r="E1694" t="s">
        <v>608</v>
      </c>
      <c r="F1694">
        <v>16.850000000000001</v>
      </c>
      <c r="G1694">
        <v>13.77</v>
      </c>
      <c r="H1694">
        <v>2</v>
      </c>
      <c r="I1694">
        <v>2</v>
      </c>
      <c r="J1694" t="s">
        <v>608</v>
      </c>
      <c r="K1694" t="s">
        <v>52</v>
      </c>
    </row>
    <row r="1695" spans="1:11" x14ac:dyDescent="0.2">
      <c r="A1695" t="s">
        <v>2942</v>
      </c>
      <c r="B1695" t="s">
        <v>1377</v>
      </c>
      <c r="C1695">
        <v>58.26</v>
      </c>
      <c r="D1695" t="s">
        <v>608</v>
      </c>
      <c r="E1695" t="s">
        <v>608</v>
      </c>
      <c r="F1695">
        <v>44.87</v>
      </c>
      <c r="G1695">
        <v>32.909999999999997</v>
      </c>
      <c r="H1695">
        <v>0.5</v>
      </c>
      <c r="I1695">
        <v>0.5</v>
      </c>
      <c r="J1695" t="s">
        <v>608</v>
      </c>
      <c r="K1695" t="s">
        <v>52</v>
      </c>
    </row>
    <row r="1696" spans="1:11" x14ac:dyDescent="0.2">
      <c r="A1696" t="s">
        <v>2943</v>
      </c>
      <c r="B1696" t="s">
        <v>1377</v>
      </c>
      <c r="C1696">
        <v>49.53</v>
      </c>
      <c r="D1696" t="s">
        <v>608</v>
      </c>
      <c r="E1696" t="s">
        <v>608</v>
      </c>
      <c r="F1696">
        <v>27.2</v>
      </c>
      <c r="G1696">
        <v>20.25</v>
      </c>
      <c r="H1696">
        <v>0.5</v>
      </c>
      <c r="I1696">
        <v>0.5</v>
      </c>
      <c r="J1696" t="s">
        <v>608</v>
      </c>
      <c r="K1696" t="s">
        <v>52</v>
      </c>
    </row>
    <row r="1697" spans="1:11" x14ac:dyDescent="0.2">
      <c r="A1697" t="s">
        <v>2944</v>
      </c>
      <c r="B1697" t="s">
        <v>1377</v>
      </c>
      <c r="C1697">
        <v>48.97</v>
      </c>
      <c r="D1697" t="s">
        <v>608</v>
      </c>
      <c r="E1697" t="s">
        <v>608</v>
      </c>
      <c r="F1697">
        <v>25.61</v>
      </c>
      <c r="G1697">
        <v>18.34</v>
      </c>
      <c r="H1697">
        <v>0.5</v>
      </c>
      <c r="I1697">
        <v>0</v>
      </c>
      <c r="J1697" t="s">
        <v>608</v>
      </c>
      <c r="K1697" t="s">
        <v>52</v>
      </c>
    </row>
    <row r="1698" spans="1:11" x14ac:dyDescent="0.2">
      <c r="A1698" t="s">
        <v>2945</v>
      </c>
      <c r="B1698" t="s">
        <v>1377</v>
      </c>
      <c r="C1698">
        <v>47.8</v>
      </c>
      <c r="D1698" t="s">
        <v>608</v>
      </c>
      <c r="E1698" t="s">
        <v>608</v>
      </c>
      <c r="F1698">
        <v>24.35</v>
      </c>
      <c r="G1698">
        <v>15.86</v>
      </c>
      <c r="H1698">
        <v>2</v>
      </c>
      <c r="I1698">
        <v>2</v>
      </c>
      <c r="J1698" t="s">
        <v>608</v>
      </c>
      <c r="K1698" t="s">
        <v>52</v>
      </c>
    </row>
    <row r="1699" spans="1:11" x14ac:dyDescent="0.2">
      <c r="A1699" t="s">
        <v>2946</v>
      </c>
      <c r="B1699" t="s">
        <v>1377</v>
      </c>
      <c r="C1699">
        <v>48.27</v>
      </c>
      <c r="D1699" t="s">
        <v>608</v>
      </c>
      <c r="E1699" t="s">
        <v>608</v>
      </c>
      <c r="F1699">
        <v>26.65</v>
      </c>
      <c r="G1699">
        <v>18.059999999999999</v>
      </c>
      <c r="H1699">
        <v>1</v>
      </c>
      <c r="I1699">
        <v>1</v>
      </c>
      <c r="J1699" t="s">
        <v>608</v>
      </c>
      <c r="K1699" t="s">
        <v>52</v>
      </c>
    </row>
    <row r="1700" spans="1:11" x14ac:dyDescent="0.2">
      <c r="A1700" t="s">
        <v>2947</v>
      </c>
      <c r="B1700" t="s">
        <v>1385</v>
      </c>
      <c r="C1700">
        <v>41.1</v>
      </c>
      <c r="D1700" t="s">
        <v>608</v>
      </c>
      <c r="E1700" t="s">
        <v>608</v>
      </c>
      <c r="F1700">
        <v>11.63</v>
      </c>
      <c r="G1700">
        <v>8.66</v>
      </c>
      <c r="H1700">
        <v>0</v>
      </c>
      <c r="I1700">
        <v>0.5</v>
      </c>
      <c r="J1700" t="s">
        <v>608</v>
      </c>
      <c r="K1700" t="s">
        <v>52</v>
      </c>
    </row>
    <row r="1701" spans="1:11" x14ac:dyDescent="0.2">
      <c r="A1701" t="s">
        <v>2948</v>
      </c>
      <c r="B1701" t="s">
        <v>1385</v>
      </c>
      <c r="C1701">
        <v>49.89</v>
      </c>
      <c r="D1701" t="s">
        <v>608</v>
      </c>
      <c r="E1701" t="s">
        <v>608</v>
      </c>
      <c r="F1701">
        <v>25.83</v>
      </c>
      <c r="G1701">
        <v>18.53</v>
      </c>
      <c r="H1701">
        <v>0.5</v>
      </c>
      <c r="I1701">
        <v>1</v>
      </c>
      <c r="J1701" t="s">
        <v>608</v>
      </c>
      <c r="K1701" t="s">
        <v>52</v>
      </c>
    </row>
    <row r="1702" spans="1:11" x14ac:dyDescent="0.2">
      <c r="A1702" t="s">
        <v>2949</v>
      </c>
      <c r="B1702" t="s">
        <v>1385</v>
      </c>
      <c r="C1702">
        <v>40.1</v>
      </c>
      <c r="D1702" t="s">
        <v>608</v>
      </c>
      <c r="E1702" t="s">
        <v>608</v>
      </c>
      <c r="F1702">
        <v>12.12</v>
      </c>
      <c r="G1702">
        <v>8.3000000000000007</v>
      </c>
      <c r="H1702">
        <v>0</v>
      </c>
      <c r="I1702">
        <v>0.5</v>
      </c>
      <c r="J1702" t="s">
        <v>608</v>
      </c>
      <c r="K1702" t="s">
        <v>52</v>
      </c>
    </row>
    <row r="1703" spans="1:11" x14ac:dyDescent="0.2">
      <c r="A1703" t="s">
        <v>2950</v>
      </c>
      <c r="B1703" t="s">
        <v>1385</v>
      </c>
      <c r="C1703">
        <v>59.92</v>
      </c>
      <c r="D1703" t="s">
        <v>608</v>
      </c>
      <c r="E1703" t="s">
        <v>608</v>
      </c>
      <c r="F1703">
        <v>30.67</v>
      </c>
      <c r="G1703">
        <v>21.07</v>
      </c>
      <c r="H1703">
        <v>0</v>
      </c>
      <c r="I1703">
        <v>0</v>
      </c>
      <c r="J1703" t="s">
        <v>608</v>
      </c>
      <c r="K1703" t="s">
        <v>52</v>
      </c>
    </row>
    <row r="1704" spans="1:11" x14ac:dyDescent="0.2">
      <c r="A1704" t="s">
        <v>2951</v>
      </c>
      <c r="B1704" t="s">
        <v>1385</v>
      </c>
      <c r="C1704">
        <v>58.87</v>
      </c>
      <c r="D1704" t="s">
        <v>608</v>
      </c>
      <c r="E1704" t="s">
        <v>608</v>
      </c>
      <c r="F1704">
        <v>35.67</v>
      </c>
      <c r="G1704">
        <v>25.96</v>
      </c>
      <c r="H1704">
        <v>0.5</v>
      </c>
      <c r="I1704">
        <v>0</v>
      </c>
      <c r="J1704" t="s">
        <v>608</v>
      </c>
      <c r="K1704" t="s">
        <v>52</v>
      </c>
    </row>
    <row r="1705" spans="1:11" x14ac:dyDescent="0.2">
      <c r="A1705" t="s">
        <v>2952</v>
      </c>
      <c r="B1705" t="s">
        <v>1387</v>
      </c>
      <c r="C1705">
        <v>50.51</v>
      </c>
      <c r="D1705" t="s">
        <v>608</v>
      </c>
      <c r="E1705" t="s">
        <v>608</v>
      </c>
      <c r="F1705">
        <v>30.01</v>
      </c>
      <c r="G1705">
        <v>20.51</v>
      </c>
      <c r="H1705">
        <v>0</v>
      </c>
      <c r="I1705">
        <v>0.5</v>
      </c>
      <c r="J1705" t="s">
        <v>608</v>
      </c>
      <c r="K1705" t="s">
        <v>52</v>
      </c>
    </row>
    <row r="1706" spans="1:11" x14ac:dyDescent="0.2">
      <c r="A1706" t="s">
        <v>2953</v>
      </c>
      <c r="B1706" t="s">
        <v>1387</v>
      </c>
      <c r="C1706">
        <v>46.25</v>
      </c>
      <c r="D1706" t="s">
        <v>608</v>
      </c>
      <c r="E1706" t="s">
        <v>608</v>
      </c>
      <c r="F1706">
        <v>19.18</v>
      </c>
      <c r="G1706">
        <v>14.09</v>
      </c>
      <c r="H1706">
        <v>0</v>
      </c>
      <c r="I1706">
        <v>0.5</v>
      </c>
      <c r="J1706" t="s">
        <v>608</v>
      </c>
      <c r="K1706" t="s">
        <v>52</v>
      </c>
    </row>
    <row r="1707" spans="1:11" x14ac:dyDescent="0.2">
      <c r="A1707" t="s">
        <v>2954</v>
      </c>
      <c r="B1707" t="s">
        <v>1387</v>
      </c>
      <c r="C1707">
        <v>48.01</v>
      </c>
      <c r="D1707" t="s">
        <v>608</v>
      </c>
      <c r="E1707" t="s">
        <v>608</v>
      </c>
      <c r="F1707">
        <v>26.69</v>
      </c>
      <c r="G1707">
        <v>19.12</v>
      </c>
      <c r="H1707">
        <v>0</v>
      </c>
      <c r="I1707">
        <v>0</v>
      </c>
      <c r="J1707" t="s">
        <v>608</v>
      </c>
      <c r="K1707" t="s">
        <v>52</v>
      </c>
    </row>
    <row r="1708" spans="1:11" x14ac:dyDescent="0.2">
      <c r="A1708" t="s">
        <v>2955</v>
      </c>
      <c r="B1708" t="s">
        <v>1387</v>
      </c>
      <c r="C1708">
        <v>43.93</v>
      </c>
      <c r="D1708" t="s">
        <v>608</v>
      </c>
      <c r="E1708" t="s">
        <v>608</v>
      </c>
      <c r="F1708">
        <v>29.24</v>
      </c>
      <c r="G1708">
        <v>21.69</v>
      </c>
      <c r="H1708">
        <v>0</v>
      </c>
      <c r="I1708">
        <v>0.5</v>
      </c>
      <c r="J1708" t="s">
        <v>608</v>
      </c>
      <c r="K1708" t="s">
        <v>52</v>
      </c>
    </row>
    <row r="1709" spans="1:11" x14ac:dyDescent="0.2">
      <c r="A1709" t="s">
        <v>2956</v>
      </c>
      <c r="B1709" t="s">
        <v>1387</v>
      </c>
      <c r="C1709">
        <v>52.59</v>
      </c>
      <c r="D1709" t="s">
        <v>608</v>
      </c>
      <c r="E1709" t="s">
        <v>608</v>
      </c>
      <c r="F1709">
        <v>30.99</v>
      </c>
      <c r="G1709">
        <v>23.61</v>
      </c>
      <c r="H1709">
        <v>0</v>
      </c>
      <c r="I1709">
        <v>0.5</v>
      </c>
      <c r="J1709" t="s">
        <v>608</v>
      </c>
      <c r="K1709" t="s">
        <v>52</v>
      </c>
    </row>
    <row r="1710" spans="1:11" x14ac:dyDescent="0.2">
      <c r="A1710" t="s">
        <v>2957</v>
      </c>
      <c r="B1710" t="s">
        <v>1389</v>
      </c>
      <c r="C1710">
        <v>31.91</v>
      </c>
      <c r="D1710" t="s">
        <v>608</v>
      </c>
      <c r="E1710" t="s">
        <v>608</v>
      </c>
      <c r="F1710">
        <v>10.89</v>
      </c>
      <c r="G1710">
        <v>7.32</v>
      </c>
      <c r="H1710">
        <v>0</v>
      </c>
      <c r="I1710">
        <v>0</v>
      </c>
      <c r="J1710" t="s">
        <v>608</v>
      </c>
      <c r="K1710" t="s">
        <v>52</v>
      </c>
    </row>
    <row r="1711" spans="1:11" x14ac:dyDescent="0.2">
      <c r="A1711" t="s">
        <v>2958</v>
      </c>
      <c r="B1711" t="s">
        <v>1389</v>
      </c>
      <c r="C1711">
        <v>50.96</v>
      </c>
      <c r="D1711" t="s">
        <v>608</v>
      </c>
      <c r="E1711" t="s">
        <v>608</v>
      </c>
      <c r="F1711">
        <v>25.66</v>
      </c>
      <c r="G1711">
        <v>16.559999999999999</v>
      </c>
      <c r="H1711">
        <v>0.5</v>
      </c>
      <c r="I1711">
        <v>0</v>
      </c>
      <c r="J1711" t="s">
        <v>608</v>
      </c>
      <c r="K1711" t="s">
        <v>52</v>
      </c>
    </row>
    <row r="1712" spans="1:11" x14ac:dyDescent="0.2">
      <c r="A1712" t="s">
        <v>2959</v>
      </c>
      <c r="B1712" t="s">
        <v>1389</v>
      </c>
      <c r="C1712">
        <v>55.77</v>
      </c>
      <c r="D1712" t="s">
        <v>608</v>
      </c>
      <c r="E1712" t="s">
        <v>608</v>
      </c>
      <c r="F1712">
        <v>26.64</v>
      </c>
      <c r="G1712">
        <v>18.86</v>
      </c>
      <c r="H1712">
        <v>0.5</v>
      </c>
      <c r="I1712">
        <v>0</v>
      </c>
      <c r="J1712" t="s">
        <v>608</v>
      </c>
      <c r="K1712" t="s">
        <v>52</v>
      </c>
    </row>
    <row r="1713" spans="1:11" x14ac:dyDescent="0.2">
      <c r="A1713" t="s">
        <v>2960</v>
      </c>
      <c r="B1713" t="s">
        <v>1389</v>
      </c>
      <c r="C1713">
        <v>49.32</v>
      </c>
      <c r="D1713" t="s">
        <v>608</v>
      </c>
      <c r="E1713" t="s">
        <v>608</v>
      </c>
      <c r="F1713">
        <v>15.06</v>
      </c>
      <c r="G1713">
        <v>9.93</v>
      </c>
      <c r="H1713">
        <v>0</v>
      </c>
      <c r="I1713">
        <v>0</v>
      </c>
      <c r="J1713" t="s">
        <v>608</v>
      </c>
      <c r="K1713" t="s">
        <v>52</v>
      </c>
    </row>
    <row r="1714" spans="1:11" x14ac:dyDescent="0.2">
      <c r="A1714" t="s">
        <v>2961</v>
      </c>
      <c r="B1714" t="s">
        <v>1389</v>
      </c>
      <c r="C1714">
        <v>54.37</v>
      </c>
      <c r="D1714" t="s">
        <v>608</v>
      </c>
      <c r="E1714" t="s">
        <v>608</v>
      </c>
      <c r="F1714">
        <v>14.49</v>
      </c>
      <c r="G1714">
        <v>9.82</v>
      </c>
      <c r="H1714">
        <v>1</v>
      </c>
      <c r="I1714">
        <v>1</v>
      </c>
      <c r="J1714" t="s">
        <v>608</v>
      </c>
      <c r="K1714" t="s">
        <v>52</v>
      </c>
    </row>
    <row r="1715" spans="1:11" x14ac:dyDescent="0.2">
      <c r="A1715" t="s">
        <v>2962</v>
      </c>
      <c r="B1715" t="s">
        <v>1397</v>
      </c>
      <c r="C1715">
        <v>47.95</v>
      </c>
      <c r="D1715" t="s">
        <v>608</v>
      </c>
      <c r="E1715" t="s">
        <v>608</v>
      </c>
      <c r="F1715">
        <v>27.43</v>
      </c>
      <c r="G1715">
        <v>18.5</v>
      </c>
      <c r="H1715">
        <v>0</v>
      </c>
      <c r="I1715">
        <v>0</v>
      </c>
      <c r="J1715" t="s">
        <v>608</v>
      </c>
      <c r="K1715" t="s">
        <v>52</v>
      </c>
    </row>
    <row r="1716" spans="1:11" x14ac:dyDescent="0.2">
      <c r="A1716" t="s">
        <v>2963</v>
      </c>
      <c r="B1716" t="s">
        <v>1397</v>
      </c>
      <c r="C1716">
        <v>41.47</v>
      </c>
      <c r="D1716" t="s">
        <v>608</v>
      </c>
      <c r="E1716" t="s">
        <v>608</v>
      </c>
      <c r="F1716">
        <v>10.77</v>
      </c>
      <c r="G1716">
        <v>8.89</v>
      </c>
      <c r="H1716">
        <v>2</v>
      </c>
      <c r="I1716">
        <v>3</v>
      </c>
      <c r="J1716" t="s">
        <v>608</v>
      </c>
      <c r="K1716" t="s">
        <v>52</v>
      </c>
    </row>
    <row r="1717" spans="1:11" x14ac:dyDescent="0.2">
      <c r="A1717" t="s">
        <v>2964</v>
      </c>
      <c r="B1717" t="s">
        <v>1397</v>
      </c>
      <c r="C1717">
        <v>49.08</v>
      </c>
      <c r="D1717" t="s">
        <v>608</v>
      </c>
      <c r="E1717" t="s">
        <v>608</v>
      </c>
      <c r="F1717">
        <v>22.94</v>
      </c>
      <c r="G1717">
        <v>16.89</v>
      </c>
      <c r="H1717">
        <v>0</v>
      </c>
      <c r="I1717">
        <v>0</v>
      </c>
      <c r="J1717" t="s">
        <v>608</v>
      </c>
      <c r="K1717" t="s">
        <v>52</v>
      </c>
    </row>
    <row r="1718" spans="1:11" x14ac:dyDescent="0.2">
      <c r="A1718" t="s">
        <v>2965</v>
      </c>
      <c r="B1718" t="s">
        <v>1397</v>
      </c>
      <c r="C1718">
        <v>54.23</v>
      </c>
      <c r="D1718" t="s">
        <v>608</v>
      </c>
      <c r="E1718" t="s">
        <v>608</v>
      </c>
      <c r="F1718">
        <v>29.52</v>
      </c>
      <c r="G1718">
        <v>19.95</v>
      </c>
      <c r="H1718">
        <v>3</v>
      </c>
      <c r="I1718">
        <v>4</v>
      </c>
      <c r="J1718" t="s">
        <v>608</v>
      </c>
      <c r="K1718" t="s">
        <v>52</v>
      </c>
    </row>
    <row r="1719" spans="1:11" x14ac:dyDescent="0.2">
      <c r="A1719" t="s">
        <v>2966</v>
      </c>
      <c r="B1719" t="s">
        <v>1397</v>
      </c>
      <c r="C1719">
        <v>44.29</v>
      </c>
      <c r="D1719" t="s">
        <v>608</v>
      </c>
      <c r="E1719" t="s">
        <v>608</v>
      </c>
      <c r="F1719">
        <v>37.92</v>
      </c>
      <c r="G1719">
        <v>27.3</v>
      </c>
      <c r="H1719">
        <v>1</v>
      </c>
      <c r="I1719">
        <v>0.5</v>
      </c>
      <c r="J1719" t="s">
        <v>608</v>
      </c>
      <c r="K1719" t="s">
        <v>52</v>
      </c>
    </row>
    <row r="1720" spans="1:11" x14ac:dyDescent="0.2">
      <c r="A1720" t="s">
        <v>2967</v>
      </c>
      <c r="B1720" t="s">
        <v>1399</v>
      </c>
      <c r="C1720">
        <v>43.91</v>
      </c>
      <c r="D1720" t="s">
        <v>608</v>
      </c>
      <c r="E1720" t="s">
        <v>608</v>
      </c>
      <c r="F1720">
        <v>22.23</v>
      </c>
      <c r="G1720">
        <v>15.03</v>
      </c>
      <c r="H1720">
        <v>2</v>
      </c>
      <c r="I1720">
        <v>3</v>
      </c>
      <c r="J1720" t="s">
        <v>608</v>
      </c>
      <c r="K1720" t="s">
        <v>52</v>
      </c>
    </row>
    <row r="1721" spans="1:11" x14ac:dyDescent="0.2">
      <c r="A1721" t="s">
        <v>2968</v>
      </c>
      <c r="B1721" t="s">
        <v>1399</v>
      </c>
      <c r="C1721">
        <v>44.53</v>
      </c>
      <c r="D1721" t="s">
        <v>608</v>
      </c>
      <c r="E1721" t="s">
        <v>608</v>
      </c>
      <c r="F1721">
        <v>23.5</v>
      </c>
      <c r="G1721">
        <v>17.239999999999998</v>
      </c>
      <c r="H1721">
        <v>0.5</v>
      </c>
      <c r="I1721">
        <v>1</v>
      </c>
      <c r="J1721" t="s">
        <v>608</v>
      </c>
      <c r="K1721" t="s">
        <v>52</v>
      </c>
    </row>
    <row r="1722" spans="1:11" x14ac:dyDescent="0.2">
      <c r="A1722" t="s">
        <v>2969</v>
      </c>
      <c r="B1722" t="s">
        <v>1399</v>
      </c>
      <c r="C1722">
        <v>64.06</v>
      </c>
      <c r="D1722" t="s">
        <v>608</v>
      </c>
      <c r="E1722" t="s">
        <v>608</v>
      </c>
      <c r="F1722">
        <v>28.37</v>
      </c>
      <c r="G1722">
        <v>22.39</v>
      </c>
      <c r="H1722">
        <v>0</v>
      </c>
      <c r="I1722">
        <v>0.5</v>
      </c>
      <c r="J1722" t="s">
        <v>608</v>
      </c>
      <c r="K1722" t="s">
        <v>52</v>
      </c>
    </row>
    <row r="1723" spans="1:11" x14ac:dyDescent="0.2">
      <c r="A1723" t="s">
        <v>2970</v>
      </c>
      <c r="B1723" t="s">
        <v>1399</v>
      </c>
      <c r="C1723">
        <v>39.340000000000003</v>
      </c>
      <c r="D1723" t="s">
        <v>608</v>
      </c>
      <c r="E1723" t="s">
        <v>608</v>
      </c>
      <c r="F1723">
        <v>15.15</v>
      </c>
      <c r="G1723">
        <v>11.48</v>
      </c>
      <c r="H1723">
        <v>0.5</v>
      </c>
      <c r="I1723">
        <v>1</v>
      </c>
      <c r="J1723" t="s">
        <v>608</v>
      </c>
      <c r="K1723" t="s">
        <v>52</v>
      </c>
    </row>
    <row r="1724" spans="1:11" x14ac:dyDescent="0.2">
      <c r="A1724" t="s">
        <v>2971</v>
      </c>
      <c r="B1724" t="s">
        <v>1399</v>
      </c>
      <c r="C1724">
        <v>40.58</v>
      </c>
      <c r="D1724" t="s">
        <v>608</v>
      </c>
      <c r="E1724" t="s">
        <v>608</v>
      </c>
      <c r="F1724">
        <v>22.69</v>
      </c>
      <c r="G1724">
        <v>16.28</v>
      </c>
      <c r="H1724">
        <v>1</v>
      </c>
      <c r="I1724">
        <v>2</v>
      </c>
      <c r="J1724" t="s">
        <v>608</v>
      </c>
      <c r="K1724" t="s">
        <v>52</v>
      </c>
    </row>
    <row r="1725" spans="1:11" x14ac:dyDescent="0.2">
      <c r="A1725" t="s">
        <v>2972</v>
      </c>
      <c r="B1725" t="s">
        <v>1401</v>
      </c>
      <c r="C1725">
        <v>57.37</v>
      </c>
      <c r="D1725" t="s">
        <v>608</v>
      </c>
      <c r="E1725" t="s">
        <v>608</v>
      </c>
      <c r="F1725">
        <v>19.38</v>
      </c>
      <c r="G1725">
        <v>14.36</v>
      </c>
      <c r="H1725">
        <v>0</v>
      </c>
      <c r="I1725">
        <v>0</v>
      </c>
      <c r="J1725" t="s">
        <v>608</v>
      </c>
      <c r="K1725" t="s">
        <v>52</v>
      </c>
    </row>
    <row r="1726" spans="1:11" x14ac:dyDescent="0.2">
      <c r="A1726" t="s">
        <v>2973</v>
      </c>
      <c r="B1726" t="s">
        <v>1401</v>
      </c>
      <c r="C1726">
        <v>61.95</v>
      </c>
      <c r="D1726" t="s">
        <v>608</v>
      </c>
      <c r="E1726" t="s">
        <v>608</v>
      </c>
      <c r="F1726">
        <v>29.54</v>
      </c>
      <c r="G1726">
        <v>18.829999999999998</v>
      </c>
      <c r="H1726">
        <v>1</v>
      </c>
      <c r="I1726">
        <v>1</v>
      </c>
      <c r="J1726" t="s">
        <v>608</v>
      </c>
      <c r="K1726" t="s">
        <v>52</v>
      </c>
    </row>
    <row r="1727" spans="1:11" x14ac:dyDescent="0.2">
      <c r="A1727" t="s">
        <v>2974</v>
      </c>
      <c r="B1727" t="s">
        <v>1401</v>
      </c>
      <c r="C1727">
        <v>57.22</v>
      </c>
      <c r="D1727" t="s">
        <v>608</v>
      </c>
      <c r="E1727" t="s">
        <v>608</v>
      </c>
      <c r="F1727">
        <v>24.17</v>
      </c>
      <c r="G1727">
        <v>15.58</v>
      </c>
      <c r="H1727">
        <v>4</v>
      </c>
      <c r="I1727">
        <v>4</v>
      </c>
      <c r="J1727" t="s">
        <v>608</v>
      </c>
      <c r="K1727" t="s">
        <v>52</v>
      </c>
    </row>
    <row r="1728" spans="1:11" x14ac:dyDescent="0.2">
      <c r="A1728" t="s">
        <v>2975</v>
      </c>
      <c r="B1728" t="s">
        <v>1401</v>
      </c>
      <c r="C1728">
        <v>35.42</v>
      </c>
      <c r="D1728" t="s">
        <v>608</v>
      </c>
      <c r="E1728" t="s">
        <v>608</v>
      </c>
      <c r="F1728">
        <v>14.24</v>
      </c>
      <c r="G1728">
        <v>10.92</v>
      </c>
      <c r="H1728">
        <v>2</v>
      </c>
      <c r="I1728">
        <v>3</v>
      </c>
      <c r="J1728" t="s">
        <v>608</v>
      </c>
      <c r="K1728" t="s">
        <v>52</v>
      </c>
    </row>
    <row r="1729" spans="1:11" x14ac:dyDescent="0.2">
      <c r="A1729" t="s">
        <v>2976</v>
      </c>
      <c r="B1729" t="s">
        <v>1401</v>
      </c>
      <c r="C1729">
        <v>60.64</v>
      </c>
      <c r="D1729" t="s">
        <v>608</v>
      </c>
      <c r="E1729" t="s">
        <v>608</v>
      </c>
      <c r="F1729">
        <v>34.32</v>
      </c>
      <c r="G1729">
        <v>23.57</v>
      </c>
      <c r="H1729">
        <v>1</v>
      </c>
      <c r="I1729">
        <v>1</v>
      </c>
      <c r="J1729" t="s">
        <v>608</v>
      </c>
      <c r="K1729" t="s">
        <v>52</v>
      </c>
    </row>
    <row r="1730" spans="1:11" x14ac:dyDescent="0.2">
      <c r="A1730" t="s">
        <v>2977</v>
      </c>
      <c r="B1730" t="s">
        <v>1409</v>
      </c>
      <c r="C1730">
        <v>42.49</v>
      </c>
      <c r="D1730" t="s">
        <v>608</v>
      </c>
      <c r="E1730" t="s">
        <v>608</v>
      </c>
      <c r="F1730">
        <v>22.92</v>
      </c>
      <c r="G1730">
        <v>16.91</v>
      </c>
      <c r="H1730">
        <v>0.5</v>
      </c>
      <c r="I1730">
        <v>1</v>
      </c>
      <c r="J1730" t="s">
        <v>608</v>
      </c>
      <c r="K1730" t="s">
        <v>52</v>
      </c>
    </row>
    <row r="1731" spans="1:11" x14ac:dyDescent="0.2">
      <c r="A1731" t="s">
        <v>2978</v>
      </c>
      <c r="B1731" t="s">
        <v>1409</v>
      </c>
      <c r="C1731">
        <v>32.1</v>
      </c>
      <c r="D1731" t="s">
        <v>608</v>
      </c>
      <c r="E1731" t="s">
        <v>608</v>
      </c>
      <c r="F1731">
        <v>9.3000000000000007</v>
      </c>
      <c r="G1731">
        <v>7.03</v>
      </c>
      <c r="H1731">
        <v>0</v>
      </c>
      <c r="I1731">
        <v>0</v>
      </c>
      <c r="J1731" t="s">
        <v>608</v>
      </c>
      <c r="K1731" t="s">
        <v>52</v>
      </c>
    </row>
    <row r="1732" spans="1:11" x14ac:dyDescent="0.2">
      <c r="A1732" t="s">
        <v>2979</v>
      </c>
      <c r="B1732" t="s">
        <v>1409</v>
      </c>
      <c r="C1732">
        <v>35.93</v>
      </c>
      <c r="D1732" t="s">
        <v>608</v>
      </c>
      <c r="E1732" t="s">
        <v>608</v>
      </c>
      <c r="F1732">
        <v>14.22</v>
      </c>
      <c r="G1732">
        <v>9.59</v>
      </c>
      <c r="H1732">
        <v>0</v>
      </c>
      <c r="I1732">
        <v>0</v>
      </c>
      <c r="J1732" t="s">
        <v>608</v>
      </c>
      <c r="K1732" t="s">
        <v>52</v>
      </c>
    </row>
    <row r="1733" spans="1:11" x14ac:dyDescent="0.2">
      <c r="A1733" t="s">
        <v>2980</v>
      </c>
      <c r="B1733" t="s">
        <v>1409</v>
      </c>
      <c r="C1733">
        <v>44.23</v>
      </c>
      <c r="D1733" t="s">
        <v>608</v>
      </c>
      <c r="E1733" t="s">
        <v>608</v>
      </c>
      <c r="F1733">
        <v>22.94</v>
      </c>
      <c r="G1733">
        <v>17.02</v>
      </c>
      <c r="H1733">
        <v>0</v>
      </c>
      <c r="I1733">
        <v>0.5</v>
      </c>
      <c r="J1733" t="s">
        <v>608</v>
      </c>
      <c r="K1733" t="s">
        <v>52</v>
      </c>
    </row>
    <row r="1734" spans="1:11" x14ac:dyDescent="0.2">
      <c r="A1734" t="s">
        <v>2981</v>
      </c>
      <c r="B1734" t="s">
        <v>1409</v>
      </c>
      <c r="C1734">
        <v>32.76</v>
      </c>
      <c r="D1734" t="s">
        <v>608</v>
      </c>
      <c r="E1734" t="s">
        <v>608</v>
      </c>
      <c r="F1734">
        <v>9.7200000000000006</v>
      </c>
      <c r="G1734">
        <v>6.53</v>
      </c>
      <c r="H1734">
        <v>1</v>
      </c>
      <c r="I1734">
        <v>1</v>
      </c>
      <c r="J1734" t="s">
        <v>608</v>
      </c>
      <c r="K1734" t="s">
        <v>52</v>
      </c>
    </row>
    <row r="1735" spans="1:11" x14ac:dyDescent="0.2">
      <c r="A1735" t="s">
        <v>2982</v>
      </c>
      <c r="B1735" t="s">
        <v>1411</v>
      </c>
      <c r="C1735">
        <v>34.18</v>
      </c>
      <c r="D1735" t="s">
        <v>608</v>
      </c>
      <c r="E1735" t="s">
        <v>608</v>
      </c>
      <c r="F1735">
        <v>10.119999999999999</v>
      </c>
      <c r="G1735">
        <v>6.9</v>
      </c>
      <c r="H1735">
        <v>1</v>
      </c>
      <c r="I1735">
        <v>2</v>
      </c>
      <c r="J1735" t="s">
        <v>608</v>
      </c>
      <c r="K1735" t="s">
        <v>52</v>
      </c>
    </row>
    <row r="1736" spans="1:11" x14ac:dyDescent="0.2">
      <c r="A1736" t="s">
        <v>2983</v>
      </c>
      <c r="B1736" t="s">
        <v>1411</v>
      </c>
      <c r="C1736">
        <v>56.28</v>
      </c>
      <c r="D1736" t="s">
        <v>608</v>
      </c>
      <c r="E1736" t="s">
        <v>608</v>
      </c>
      <c r="F1736">
        <v>48.7</v>
      </c>
      <c r="G1736">
        <v>37.01</v>
      </c>
      <c r="H1736">
        <v>1</v>
      </c>
      <c r="I1736">
        <v>2</v>
      </c>
      <c r="J1736" t="s">
        <v>608</v>
      </c>
      <c r="K1736" t="s">
        <v>52</v>
      </c>
    </row>
    <row r="1737" spans="1:11" x14ac:dyDescent="0.2">
      <c r="A1737" t="s">
        <v>2984</v>
      </c>
      <c r="B1737" t="s">
        <v>1411</v>
      </c>
      <c r="C1737">
        <v>43.38</v>
      </c>
      <c r="D1737" t="s">
        <v>608</v>
      </c>
      <c r="E1737" t="s">
        <v>608</v>
      </c>
      <c r="F1737">
        <v>21.48</v>
      </c>
      <c r="G1737">
        <v>15.2</v>
      </c>
      <c r="H1737">
        <v>0.5</v>
      </c>
      <c r="I1737">
        <v>0</v>
      </c>
      <c r="J1737" t="s">
        <v>608</v>
      </c>
      <c r="K1737" t="s">
        <v>52</v>
      </c>
    </row>
    <row r="1738" spans="1:11" x14ac:dyDescent="0.2">
      <c r="A1738" t="s">
        <v>2985</v>
      </c>
      <c r="B1738" t="s">
        <v>1411</v>
      </c>
      <c r="C1738">
        <v>54.59</v>
      </c>
      <c r="D1738" t="s">
        <v>608</v>
      </c>
      <c r="E1738" t="s">
        <v>608</v>
      </c>
      <c r="F1738">
        <v>23.08</v>
      </c>
      <c r="G1738">
        <v>18.05</v>
      </c>
      <c r="H1738">
        <v>0.5</v>
      </c>
      <c r="I1738">
        <v>0</v>
      </c>
      <c r="J1738" t="s">
        <v>608</v>
      </c>
      <c r="K1738" t="s">
        <v>52</v>
      </c>
    </row>
    <row r="1739" spans="1:11" x14ac:dyDescent="0.2">
      <c r="A1739" t="s">
        <v>2986</v>
      </c>
      <c r="B1739" t="s">
        <v>1411</v>
      </c>
      <c r="C1739">
        <v>37.83</v>
      </c>
      <c r="D1739" t="s">
        <v>608</v>
      </c>
      <c r="E1739" t="s">
        <v>608</v>
      </c>
      <c r="F1739">
        <v>22.52</v>
      </c>
      <c r="G1739">
        <v>16.41</v>
      </c>
      <c r="H1739">
        <v>0</v>
      </c>
      <c r="I1739">
        <v>0</v>
      </c>
      <c r="J1739" t="s">
        <v>608</v>
      </c>
      <c r="K1739" t="s">
        <v>52</v>
      </c>
    </row>
    <row r="1740" spans="1:11" x14ac:dyDescent="0.2">
      <c r="A1740" t="s">
        <v>2987</v>
      </c>
      <c r="B1740" t="s">
        <v>1413</v>
      </c>
      <c r="C1740">
        <v>57.91</v>
      </c>
      <c r="D1740" t="s">
        <v>608</v>
      </c>
      <c r="E1740" t="s">
        <v>608</v>
      </c>
      <c r="F1740">
        <v>40.159999999999997</v>
      </c>
      <c r="G1740">
        <v>26.54</v>
      </c>
      <c r="H1740">
        <v>0</v>
      </c>
      <c r="I1740">
        <v>0</v>
      </c>
      <c r="J1740" t="s">
        <v>608</v>
      </c>
      <c r="K1740" t="s">
        <v>52</v>
      </c>
    </row>
    <row r="1741" spans="1:11" x14ac:dyDescent="0.2">
      <c r="A1741" t="s">
        <v>2988</v>
      </c>
      <c r="B1741" t="s">
        <v>1413</v>
      </c>
      <c r="C1741">
        <v>57.12</v>
      </c>
      <c r="D1741" t="s">
        <v>608</v>
      </c>
      <c r="E1741" t="s">
        <v>608</v>
      </c>
      <c r="F1741">
        <v>27.06</v>
      </c>
      <c r="G1741">
        <v>18.600000000000001</v>
      </c>
      <c r="H1741">
        <v>0.5</v>
      </c>
      <c r="I1741">
        <v>0.5</v>
      </c>
      <c r="J1741" t="s">
        <v>608</v>
      </c>
      <c r="K1741" t="s">
        <v>52</v>
      </c>
    </row>
    <row r="1742" spans="1:11" x14ac:dyDescent="0.2">
      <c r="A1742" t="s">
        <v>2989</v>
      </c>
      <c r="B1742" t="s">
        <v>1413</v>
      </c>
      <c r="C1742">
        <v>37.15</v>
      </c>
      <c r="D1742" t="s">
        <v>608</v>
      </c>
      <c r="E1742" t="s">
        <v>608</v>
      </c>
      <c r="F1742">
        <v>16.8</v>
      </c>
      <c r="G1742">
        <v>11.32</v>
      </c>
      <c r="H1742">
        <v>0.5</v>
      </c>
      <c r="I1742">
        <v>0.5</v>
      </c>
      <c r="J1742" t="s">
        <v>608</v>
      </c>
      <c r="K1742" t="s">
        <v>52</v>
      </c>
    </row>
    <row r="1743" spans="1:11" x14ac:dyDescent="0.2">
      <c r="A1743" t="s">
        <v>2990</v>
      </c>
      <c r="B1743" t="s">
        <v>1413</v>
      </c>
      <c r="C1743">
        <v>63.14</v>
      </c>
      <c r="D1743" t="s">
        <v>608</v>
      </c>
      <c r="E1743" t="s">
        <v>608</v>
      </c>
      <c r="F1743">
        <v>40.520000000000003</v>
      </c>
      <c r="G1743">
        <v>27.8</v>
      </c>
      <c r="H1743">
        <v>0</v>
      </c>
      <c r="I1743">
        <v>0</v>
      </c>
      <c r="J1743" t="s">
        <v>608</v>
      </c>
      <c r="K1743" t="s">
        <v>52</v>
      </c>
    </row>
    <row r="1744" spans="1:11" x14ac:dyDescent="0.2">
      <c r="A1744" t="s">
        <v>2991</v>
      </c>
      <c r="B1744" t="s">
        <v>1413</v>
      </c>
      <c r="C1744">
        <v>66.17</v>
      </c>
      <c r="D1744" t="s">
        <v>608</v>
      </c>
      <c r="E1744" t="s">
        <v>608</v>
      </c>
      <c r="F1744">
        <v>35.28</v>
      </c>
      <c r="G1744">
        <v>27.84</v>
      </c>
      <c r="H1744">
        <v>1</v>
      </c>
      <c r="I1744">
        <v>1</v>
      </c>
      <c r="J1744" t="s">
        <v>608</v>
      </c>
      <c r="K1744" t="s">
        <v>52</v>
      </c>
    </row>
    <row r="1745" spans="1:11" x14ac:dyDescent="0.2">
      <c r="A1745" t="s">
        <v>2992</v>
      </c>
      <c r="B1745" t="s">
        <v>1421</v>
      </c>
      <c r="C1745">
        <v>49.83</v>
      </c>
      <c r="D1745" t="s">
        <v>608</v>
      </c>
      <c r="E1745" t="s">
        <v>608</v>
      </c>
      <c r="F1745">
        <v>18.829999999999998</v>
      </c>
      <c r="G1745">
        <v>12.75</v>
      </c>
      <c r="H1745">
        <v>0.5</v>
      </c>
      <c r="I1745">
        <v>0.5</v>
      </c>
      <c r="J1745" t="s">
        <v>608</v>
      </c>
      <c r="K1745" t="s">
        <v>52</v>
      </c>
    </row>
    <row r="1746" spans="1:11" x14ac:dyDescent="0.2">
      <c r="A1746" t="s">
        <v>2993</v>
      </c>
      <c r="B1746" t="s">
        <v>1421</v>
      </c>
      <c r="C1746">
        <v>43.45</v>
      </c>
      <c r="D1746" t="s">
        <v>608</v>
      </c>
      <c r="E1746" t="s">
        <v>608</v>
      </c>
      <c r="F1746">
        <v>7.93</v>
      </c>
      <c r="G1746">
        <v>5.39</v>
      </c>
      <c r="H1746">
        <v>0</v>
      </c>
      <c r="I1746">
        <v>0</v>
      </c>
      <c r="J1746" t="s">
        <v>608</v>
      </c>
      <c r="K1746" t="s">
        <v>52</v>
      </c>
    </row>
    <row r="1747" spans="1:11" x14ac:dyDescent="0.2">
      <c r="A1747" t="s">
        <v>2994</v>
      </c>
      <c r="B1747" t="s">
        <v>1421</v>
      </c>
      <c r="C1747">
        <v>42.38</v>
      </c>
      <c r="D1747" t="s">
        <v>608</v>
      </c>
      <c r="E1747" t="s">
        <v>608</v>
      </c>
      <c r="F1747">
        <v>17.96</v>
      </c>
      <c r="G1747">
        <v>12.79</v>
      </c>
      <c r="H1747">
        <v>2</v>
      </c>
      <c r="I1747">
        <v>2</v>
      </c>
      <c r="J1747" t="s">
        <v>608</v>
      </c>
      <c r="K1747" t="s">
        <v>52</v>
      </c>
    </row>
    <row r="1748" spans="1:11" x14ac:dyDescent="0.2">
      <c r="A1748" t="s">
        <v>2995</v>
      </c>
      <c r="B1748" t="s">
        <v>1421</v>
      </c>
      <c r="C1748">
        <v>40.89</v>
      </c>
      <c r="D1748" t="s">
        <v>608</v>
      </c>
      <c r="E1748" t="s">
        <v>608</v>
      </c>
      <c r="F1748">
        <v>14.22</v>
      </c>
      <c r="G1748">
        <v>9.7200000000000006</v>
      </c>
      <c r="H1748">
        <v>0</v>
      </c>
      <c r="I1748">
        <v>0</v>
      </c>
      <c r="J1748" t="s">
        <v>608</v>
      </c>
      <c r="K1748" t="s">
        <v>52</v>
      </c>
    </row>
    <row r="1749" spans="1:11" x14ac:dyDescent="0.2">
      <c r="A1749" t="s">
        <v>2996</v>
      </c>
      <c r="B1749" t="s">
        <v>1421</v>
      </c>
      <c r="C1749">
        <v>36.47</v>
      </c>
      <c r="D1749" t="s">
        <v>608</v>
      </c>
      <c r="E1749" t="s">
        <v>608</v>
      </c>
      <c r="F1749">
        <v>12.21</v>
      </c>
      <c r="G1749">
        <v>9.25</v>
      </c>
      <c r="H1749">
        <v>2</v>
      </c>
      <c r="I1749">
        <v>3</v>
      </c>
      <c r="J1749" t="s">
        <v>608</v>
      </c>
      <c r="K1749" t="s">
        <v>52</v>
      </c>
    </row>
    <row r="1750" spans="1:11" x14ac:dyDescent="0.2">
      <c r="A1750" t="s">
        <v>2997</v>
      </c>
      <c r="B1750" t="s">
        <v>1423</v>
      </c>
      <c r="C1750">
        <v>42.02</v>
      </c>
      <c r="D1750" t="s">
        <v>608</v>
      </c>
      <c r="E1750" t="s">
        <v>608</v>
      </c>
      <c r="F1750">
        <v>24.17</v>
      </c>
      <c r="G1750">
        <v>16.8</v>
      </c>
      <c r="H1750">
        <v>1</v>
      </c>
      <c r="I1750">
        <v>0.5</v>
      </c>
      <c r="J1750" t="s">
        <v>608</v>
      </c>
      <c r="K1750" t="s">
        <v>52</v>
      </c>
    </row>
    <row r="1751" spans="1:11" x14ac:dyDescent="0.2">
      <c r="A1751" t="s">
        <v>2998</v>
      </c>
      <c r="B1751" t="s">
        <v>1423</v>
      </c>
      <c r="C1751">
        <v>48.97</v>
      </c>
      <c r="D1751" t="s">
        <v>608</v>
      </c>
      <c r="E1751" t="s">
        <v>608</v>
      </c>
      <c r="F1751">
        <v>17.63</v>
      </c>
      <c r="G1751">
        <v>12.56</v>
      </c>
      <c r="H1751">
        <v>0</v>
      </c>
      <c r="I1751">
        <v>0.5</v>
      </c>
      <c r="J1751" t="s">
        <v>608</v>
      </c>
      <c r="K1751" t="s">
        <v>52</v>
      </c>
    </row>
    <row r="1752" spans="1:11" x14ac:dyDescent="0.2">
      <c r="A1752" t="s">
        <v>2999</v>
      </c>
      <c r="B1752" t="s">
        <v>1423</v>
      </c>
      <c r="C1752">
        <v>46.27</v>
      </c>
      <c r="D1752" t="s">
        <v>608</v>
      </c>
      <c r="E1752" t="s">
        <v>608</v>
      </c>
      <c r="F1752">
        <v>13.64</v>
      </c>
      <c r="G1752">
        <v>10.039999999999999</v>
      </c>
      <c r="H1752">
        <v>0.5</v>
      </c>
      <c r="I1752">
        <v>0.5</v>
      </c>
      <c r="J1752" t="s">
        <v>608</v>
      </c>
      <c r="K1752" t="s">
        <v>52</v>
      </c>
    </row>
    <row r="1753" spans="1:11" x14ac:dyDescent="0.2">
      <c r="A1753" t="s">
        <v>3000</v>
      </c>
      <c r="B1753" t="s">
        <v>1423</v>
      </c>
      <c r="C1753">
        <v>36.9</v>
      </c>
      <c r="D1753" t="s">
        <v>608</v>
      </c>
      <c r="E1753" t="s">
        <v>608</v>
      </c>
      <c r="F1753">
        <v>10.77</v>
      </c>
      <c r="G1753">
        <v>6.97</v>
      </c>
      <c r="H1753">
        <v>0.5</v>
      </c>
      <c r="I1753">
        <v>0</v>
      </c>
      <c r="J1753" t="s">
        <v>608</v>
      </c>
      <c r="K1753" t="s">
        <v>52</v>
      </c>
    </row>
    <row r="1754" spans="1:11" x14ac:dyDescent="0.2">
      <c r="A1754" t="s">
        <v>3001</v>
      </c>
      <c r="B1754" t="s">
        <v>1423</v>
      </c>
      <c r="C1754">
        <v>38.35</v>
      </c>
      <c r="D1754" t="s">
        <v>608</v>
      </c>
      <c r="E1754" t="s">
        <v>608</v>
      </c>
      <c r="F1754">
        <v>22.81</v>
      </c>
      <c r="G1754">
        <v>19.04</v>
      </c>
      <c r="H1754">
        <v>0.5</v>
      </c>
      <c r="I1754">
        <v>0.5</v>
      </c>
      <c r="J1754" t="s">
        <v>608</v>
      </c>
      <c r="K1754" t="s">
        <v>52</v>
      </c>
    </row>
    <row r="1755" spans="1:11" x14ac:dyDescent="0.2">
      <c r="A1755" t="s">
        <v>3002</v>
      </c>
      <c r="B1755" t="s">
        <v>1425</v>
      </c>
      <c r="C1755">
        <v>75.88</v>
      </c>
      <c r="D1755" t="s">
        <v>608</v>
      </c>
      <c r="E1755" t="s">
        <v>608</v>
      </c>
      <c r="F1755">
        <v>65.900000000000006</v>
      </c>
      <c r="G1755">
        <v>50.31</v>
      </c>
      <c r="H1755">
        <v>1</v>
      </c>
      <c r="I1755">
        <v>0.5</v>
      </c>
      <c r="J1755" t="s">
        <v>608</v>
      </c>
      <c r="K1755" t="s">
        <v>52</v>
      </c>
    </row>
    <row r="1756" spans="1:11" x14ac:dyDescent="0.2">
      <c r="A1756" t="s">
        <v>3003</v>
      </c>
      <c r="B1756" t="s">
        <v>1425</v>
      </c>
      <c r="C1756">
        <v>44.5</v>
      </c>
      <c r="D1756" t="s">
        <v>608</v>
      </c>
      <c r="E1756" t="s">
        <v>608</v>
      </c>
      <c r="F1756">
        <v>25.81</v>
      </c>
      <c r="G1756">
        <v>17.79</v>
      </c>
      <c r="H1756">
        <v>0</v>
      </c>
      <c r="I1756">
        <v>0</v>
      </c>
      <c r="J1756" t="s">
        <v>608</v>
      </c>
      <c r="K1756" t="s">
        <v>52</v>
      </c>
    </row>
    <row r="1757" spans="1:11" x14ac:dyDescent="0.2">
      <c r="A1757" t="s">
        <v>3004</v>
      </c>
      <c r="B1757" t="s">
        <v>1425</v>
      </c>
      <c r="C1757">
        <v>72.64</v>
      </c>
      <c r="D1757" t="s">
        <v>608</v>
      </c>
      <c r="E1757" t="s">
        <v>608</v>
      </c>
      <c r="F1757">
        <v>67.13</v>
      </c>
      <c r="G1757">
        <v>51.58</v>
      </c>
      <c r="H1757">
        <v>1</v>
      </c>
      <c r="I1757">
        <v>0.5</v>
      </c>
      <c r="J1757" t="s">
        <v>3096</v>
      </c>
      <c r="K1757" t="s">
        <v>52</v>
      </c>
    </row>
    <row r="1758" spans="1:11" x14ac:dyDescent="0.2">
      <c r="A1758" t="s">
        <v>3005</v>
      </c>
      <c r="B1758" t="s">
        <v>1425</v>
      </c>
      <c r="C1758">
        <v>44.17</v>
      </c>
      <c r="D1758" t="s">
        <v>608</v>
      </c>
      <c r="E1758" t="s">
        <v>608</v>
      </c>
      <c r="F1758">
        <v>22.33</v>
      </c>
      <c r="G1758">
        <v>18.46</v>
      </c>
      <c r="H1758">
        <v>0</v>
      </c>
      <c r="I1758">
        <v>0</v>
      </c>
      <c r="J1758" t="s">
        <v>608</v>
      </c>
      <c r="K1758" t="s">
        <v>52</v>
      </c>
    </row>
    <row r="1759" spans="1:11" x14ac:dyDescent="0.2">
      <c r="A1759" t="s">
        <v>3006</v>
      </c>
      <c r="B1759" t="s">
        <v>1425</v>
      </c>
      <c r="C1759">
        <v>32.36</v>
      </c>
      <c r="D1759" t="s">
        <v>608</v>
      </c>
      <c r="E1759" t="s">
        <v>608</v>
      </c>
      <c r="F1759">
        <v>19.3</v>
      </c>
      <c r="G1759">
        <v>14.77</v>
      </c>
      <c r="H1759">
        <v>0.5</v>
      </c>
      <c r="I1759">
        <v>0.5</v>
      </c>
      <c r="J1759" t="s">
        <v>608</v>
      </c>
      <c r="K1759" t="s">
        <v>52</v>
      </c>
    </row>
    <row r="1760" spans="1:11" x14ac:dyDescent="0.2">
      <c r="A1760" t="s">
        <v>3007</v>
      </c>
      <c r="B1760" t="s">
        <v>1433</v>
      </c>
      <c r="C1760">
        <v>36.04</v>
      </c>
      <c r="D1760" t="s">
        <v>608</v>
      </c>
      <c r="E1760" t="s">
        <v>608</v>
      </c>
      <c r="F1760">
        <v>13.24</v>
      </c>
      <c r="G1760">
        <v>10.69</v>
      </c>
      <c r="H1760">
        <v>0</v>
      </c>
      <c r="I1760">
        <v>0</v>
      </c>
      <c r="J1760" t="s">
        <v>608</v>
      </c>
      <c r="K1760" t="s">
        <v>52</v>
      </c>
    </row>
    <row r="1761" spans="1:11" x14ac:dyDescent="0.2">
      <c r="A1761" t="s">
        <v>3008</v>
      </c>
      <c r="B1761" t="s">
        <v>1433</v>
      </c>
      <c r="C1761">
        <v>48.17</v>
      </c>
      <c r="D1761" t="s">
        <v>608</v>
      </c>
      <c r="E1761" t="s">
        <v>608</v>
      </c>
      <c r="F1761">
        <v>23.61</v>
      </c>
      <c r="G1761">
        <v>17.829999999999998</v>
      </c>
      <c r="H1761">
        <v>0.5</v>
      </c>
      <c r="I1761">
        <v>0</v>
      </c>
      <c r="J1761" t="s">
        <v>608</v>
      </c>
      <c r="K1761" t="s">
        <v>52</v>
      </c>
    </row>
    <row r="1762" spans="1:11" x14ac:dyDescent="0.2">
      <c r="A1762" t="s">
        <v>3009</v>
      </c>
      <c r="B1762" t="s">
        <v>1433</v>
      </c>
      <c r="C1762">
        <v>36.340000000000003</v>
      </c>
      <c r="D1762" t="s">
        <v>608</v>
      </c>
      <c r="E1762" t="s">
        <v>608</v>
      </c>
      <c r="F1762">
        <v>10.28</v>
      </c>
      <c r="G1762">
        <v>7.71</v>
      </c>
      <c r="H1762">
        <v>3</v>
      </c>
      <c r="I1762">
        <v>3</v>
      </c>
      <c r="J1762" t="s">
        <v>608</v>
      </c>
      <c r="K1762" t="s">
        <v>52</v>
      </c>
    </row>
    <row r="1763" spans="1:11" x14ac:dyDescent="0.2">
      <c r="A1763" t="s">
        <v>3010</v>
      </c>
      <c r="B1763" t="s">
        <v>1433</v>
      </c>
      <c r="C1763">
        <v>26.5</v>
      </c>
      <c r="D1763" t="s">
        <v>608</v>
      </c>
      <c r="E1763" t="s">
        <v>608</v>
      </c>
      <c r="F1763">
        <v>5.82</v>
      </c>
      <c r="G1763">
        <v>4.54</v>
      </c>
      <c r="H1763">
        <v>0.5</v>
      </c>
      <c r="I1763">
        <v>0.5</v>
      </c>
      <c r="J1763" t="s">
        <v>608</v>
      </c>
      <c r="K1763" t="s">
        <v>52</v>
      </c>
    </row>
    <row r="1764" spans="1:11" x14ac:dyDescent="0.2">
      <c r="A1764" t="s">
        <v>3011</v>
      </c>
      <c r="B1764" t="s">
        <v>1433</v>
      </c>
      <c r="C1764">
        <v>51.4</v>
      </c>
      <c r="D1764" t="s">
        <v>608</v>
      </c>
      <c r="E1764" t="s">
        <v>608</v>
      </c>
      <c r="F1764">
        <v>23.41</v>
      </c>
      <c r="G1764">
        <v>17.37</v>
      </c>
      <c r="H1764">
        <v>0.5</v>
      </c>
      <c r="I1764">
        <v>0.5</v>
      </c>
      <c r="J1764" t="s">
        <v>608</v>
      </c>
      <c r="K1764" t="s">
        <v>52</v>
      </c>
    </row>
    <row r="1765" spans="1:11" x14ac:dyDescent="0.2">
      <c r="A1765" t="s">
        <v>3012</v>
      </c>
      <c r="B1765" t="s">
        <v>1435</v>
      </c>
      <c r="C1765">
        <v>63.25</v>
      </c>
      <c r="D1765" t="s">
        <v>608</v>
      </c>
      <c r="E1765" t="s">
        <v>608</v>
      </c>
      <c r="F1765">
        <v>34.6</v>
      </c>
      <c r="G1765">
        <v>25.73</v>
      </c>
      <c r="H1765">
        <v>0</v>
      </c>
      <c r="I1765">
        <v>0.5</v>
      </c>
      <c r="J1765" t="s">
        <v>608</v>
      </c>
      <c r="K1765" t="s">
        <v>52</v>
      </c>
    </row>
    <row r="1766" spans="1:11" x14ac:dyDescent="0.2">
      <c r="A1766" t="s">
        <v>3013</v>
      </c>
      <c r="B1766" t="s">
        <v>1435</v>
      </c>
      <c r="C1766">
        <v>55.08</v>
      </c>
      <c r="D1766" t="s">
        <v>608</v>
      </c>
      <c r="E1766" t="s">
        <v>608</v>
      </c>
      <c r="F1766">
        <v>28.02</v>
      </c>
      <c r="G1766">
        <v>19.649999999999999</v>
      </c>
      <c r="H1766">
        <v>0</v>
      </c>
      <c r="I1766">
        <v>1</v>
      </c>
      <c r="J1766" t="s">
        <v>608</v>
      </c>
      <c r="K1766" t="s">
        <v>52</v>
      </c>
    </row>
    <row r="1767" spans="1:11" x14ac:dyDescent="0.2">
      <c r="A1767" t="s">
        <v>3014</v>
      </c>
      <c r="B1767" t="s">
        <v>1435</v>
      </c>
      <c r="C1767">
        <v>67.959999999999994</v>
      </c>
      <c r="D1767" t="s">
        <v>608</v>
      </c>
      <c r="E1767" t="s">
        <v>608</v>
      </c>
      <c r="F1767">
        <v>43.9</v>
      </c>
      <c r="G1767">
        <v>30.42</v>
      </c>
      <c r="H1767">
        <v>0.5</v>
      </c>
      <c r="I1767">
        <v>0.5</v>
      </c>
      <c r="J1767" t="s">
        <v>608</v>
      </c>
      <c r="K1767" t="s">
        <v>52</v>
      </c>
    </row>
    <row r="1768" spans="1:11" x14ac:dyDescent="0.2">
      <c r="A1768" t="s">
        <v>3015</v>
      </c>
      <c r="B1768" t="s">
        <v>1435</v>
      </c>
      <c r="C1768">
        <v>28.92</v>
      </c>
      <c r="D1768" t="s">
        <v>608</v>
      </c>
      <c r="E1768" t="s">
        <v>608</v>
      </c>
      <c r="F1768">
        <v>6.02</v>
      </c>
      <c r="G1768">
        <v>4.21</v>
      </c>
      <c r="H1768">
        <v>0.5</v>
      </c>
      <c r="I1768">
        <v>1</v>
      </c>
      <c r="J1768" t="s">
        <v>305</v>
      </c>
      <c r="K1768" t="s">
        <v>52</v>
      </c>
    </row>
    <row r="1769" spans="1:11" x14ac:dyDescent="0.2">
      <c r="A1769" t="s">
        <v>3016</v>
      </c>
      <c r="B1769" t="s">
        <v>1435</v>
      </c>
      <c r="C1769">
        <v>58.86</v>
      </c>
      <c r="D1769" t="s">
        <v>608</v>
      </c>
      <c r="E1769" t="s">
        <v>608</v>
      </c>
      <c r="F1769">
        <v>40.200000000000003</v>
      </c>
      <c r="G1769">
        <v>29.05</v>
      </c>
      <c r="H1769">
        <v>0.5</v>
      </c>
      <c r="I1769">
        <v>0</v>
      </c>
      <c r="J1769" t="s">
        <v>608</v>
      </c>
      <c r="K1769" t="s">
        <v>52</v>
      </c>
    </row>
    <row r="1770" spans="1:11" x14ac:dyDescent="0.2">
      <c r="A1770" t="s">
        <v>3017</v>
      </c>
      <c r="B1770" t="s">
        <v>1437</v>
      </c>
      <c r="C1770">
        <v>38.909999999999997</v>
      </c>
      <c r="D1770" t="s">
        <v>608</v>
      </c>
      <c r="E1770" t="s">
        <v>608</v>
      </c>
      <c r="F1770">
        <v>6.18</v>
      </c>
      <c r="G1770">
        <v>4.22</v>
      </c>
      <c r="H1770">
        <v>0</v>
      </c>
      <c r="I1770">
        <v>0</v>
      </c>
      <c r="J1770" t="s">
        <v>608</v>
      </c>
      <c r="K1770" t="s">
        <v>52</v>
      </c>
    </row>
    <row r="1771" spans="1:11" x14ac:dyDescent="0.2">
      <c r="A1771" t="s">
        <v>3018</v>
      </c>
      <c r="B1771" t="s">
        <v>1437</v>
      </c>
      <c r="C1771">
        <v>34.229999999999997</v>
      </c>
      <c r="D1771" t="s">
        <v>608</v>
      </c>
      <c r="E1771" t="s">
        <v>608</v>
      </c>
      <c r="F1771">
        <v>32.979999999999997</v>
      </c>
      <c r="G1771">
        <v>24.41</v>
      </c>
      <c r="H1771">
        <v>0.5</v>
      </c>
      <c r="I1771">
        <v>0.5</v>
      </c>
      <c r="J1771" t="s">
        <v>3089</v>
      </c>
      <c r="K1771" t="s">
        <v>52</v>
      </c>
    </row>
    <row r="1772" spans="1:11" x14ac:dyDescent="0.2">
      <c r="A1772" t="s">
        <v>3019</v>
      </c>
      <c r="B1772" t="s">
        <v>1437</v>
      </c>
      <c r="C1772">
        <v>49.56</v>
      </c>
      <c r="D1772" t="s">
        <v>608</v>
      </c>
      <c r="E1772" t="s">
        <v>608</v>
      </c>
      <c r="F1772">
        <v>28.59</v>
      </c>
      <c r="G1772">
        <v>20.99</v>
      </c>
      <c r="H1772">
        <v>2</v>
      </c>
      <c r="I1772">
        <v>2</v>
      </c>
      <c r="J1772" t="s">
        <v>279</v>
      </c>
      <c r="K1772" t="s">
        <v>52</v>
      </c>
    </row>
    <row r="1773" spans="1:11" x14ac:dyDescent="0.2">
      <c r="A1773" t="s">
        <v>3020</v>
      </c>
      <c r="B1773" t="s">
        <v>1437</v>
      </c>
      <c r="C1773">
        <v>52.96</v>
      </c>
      <c r="D1773" t="s">
        <v>608</v>
      </c>
      <c r="E1773" t="s">
        <v>608</v>
      </c>
      <c r="F1773">
        <v>18.61</v>
      </c>
      <c r="G1773">
        <v>11.3</v>
      </c>
      <c r="H1773">
        <v>1</v>
      </c>
      <c r="I1773">
        <v>1</v>
      </c>
      <c r="J1773" t="s">
        <v>608</v>
      </c>
      <c r="K1773" t="s">
        <v>52</v>
      </c>
    </row>
    <row r="1774" spans="1:11" x14ac:dyDescent="0.2">
      <c r="A1774" t="s">
        <v>3021</v>
      </c>
      <c r="B1774" t="s">
        <v>1437</v>
      </c>
      <c r="C1774">
        <v>61.65</v>
      </c>
      <c r="D1774" t="s">
        <v>608</v>
      </c>
      <c r="E1774" t="s">
        <v>608</v>
      </c>
      <c r="F1774">
        <v>31.03</v>
      </c>
      <c r="G1774">
        <v>21.51</v>
      </c>
      <c r="H1774">
        <v>0.5</v>
      </c>
      <c r="I1774">
        <v>0.5</v>
      </c>
      <c r="J1774" t="s">
        <v>608</v>
      </c>
      <c r="K1774" t="s">
        <v>52</v>
      </c>
    </row>
    <row r="1775" spans="1:11" x14ac:dyDescent="0.2">
      <c r="A1775" t="s">
        <v>3022</v>
      </c>
      <c r="B1775" t="s">
        <v>1445</v>
      </c>
      <c r="C1775">
        <v>63.27</v>
      </c>
      <c r="D1775" t="s">
        <v>608</v>
      </c>
      <c r="E1775" t="s">
        <v>608</v>
      </c>
      <c r="F1775">
        <v>50.2</v>
      </c>
      <c r="G1775">
        <v>36.450000000000003</v>
      </c>
      <c r="H1775">
        <v>0.5</v>
      </c>
      <c r="I1775">
        <v>0</v>
      </c>
      <c r="J1775" t="s">
        <v>3097</v>
      </c>
      <c r="K1775" t="s">
        <v>52</v>
      </c>
    </row>
    <row r="1776" spans="1:11" x14ac:dyDescent="0.2">
      <c r="A1776" t="s">
        <v>3023</v>
      </c>
      <c r="B1776" t="s">
        <v>1445</v>
      </c>
      <c r="C1776">
        <v>54.91</v>
      </c>
      <c r="D1776" t="s">
        <v>608</v>
      </c>
      <c r="E1776" t="s">
        <v>608</v>
      </c>
      <c r="F1776">
        <v>21.96</v>
      </c>
      <c r="G1776">
        <v>16.46</v>
      </c>
      <c r="H1776">
        <v>0.5</v>
      </c>
      <c r="I1776">
        <v>1</v>
      </c>
      <c r="J1776" t="s">
        <v>161</v>
      </c>
      <c r="K1776" t="s">
        <v>52</v>
      </c>
    </row>
    <row r="1777" spans="1:11" x14ac:dyDescent="0.2">
      <c r="A1777" t="s">
        <v>3024</v>
      </c>
      <c r="B1777" t="s">
        <v>1445</v>
      </c>
      <c r="C1777">
        <v>59.63</v>
      </c>
      <c r="D1777" t="s">
        <v>608</v>
      </c>
      <c r="E1777" t="s">
        <v>608</v>
      </c>
      <c r="F1777">
        <v>54.44</v>
      </c>
      <c r="G1777">
        <v>41.18</v>
      </c>
      <c r="H1777">
        <v>0.5</v>
      </c>
      <c r="I1777">
        <v>0.5</v>
      </c>
      <c r="J1777" t="s">
        <v>608</v>
      </c>
      <c r="K1777" t="s">
        <v>52</v>
      </c>
    </row>
    <row r="1778" spans="1:11" x14ac:dyDescent="0.2">
      <c r="A1778" t="s">
        <v>3025</v>
      </c>
      <c r="B1778" t="s">
        <v>1445</v>
      </c>
      <c r="C1778">
        <v>50.48</v>
      </c>
      <c r="D1778" t="s">
        <v>608</v>
      </c>
      <c r="E1778" t="s">
        <v>608</v>
      </c>
      <c r="F1778">
        <v>26.37</v>
      </c>
      <c r="G1778">
        <v>20.29</v>
      </c>
      <c r="H1778">
        <v>0</v>
      </c>
      <c r="I1778">
        <v>0</v>
      </c>
      <c r="J1778" t="s">
        <v>608</v>
      </c>
      <c r="K1778" t="s">
        <v>52</v>
      </c>
    </row>
    <row r="1779" spans="1:11" x14ac:dyDescent="0.2">
      <c r="A1779" t="s">
        <v>3026</v>
      </c>
      <c r="B1779" t="s">
        <v>1445</v>
      </c>
      <c r="C1779">
        <v>54.77</v>
      </c>
      <c r="D1779" t="s">
        <v>608</v>
      </c>
      <c r="E1779" t="s">
        <v>608</v>
      </c>
      <c r="F1779">
        <v>42.29</v>
      </c>
      <c r="G1779">
        <v>30.68</v>
      </c>
      <c r="H1779">
        <v>0.5</v>
      </c>
      <c r="I1779">
        <v>1</v>
      </c>
      <c r="J1779" t="s">
        <v>608</v>
      </c>
      <c r="K1779" t="s">
        <v>52</v>
      </c>
    </row>
    <row r="1780" spans="1:11" x14ac:dyDescent="0.2">
      <c r="A1780" t="s">
        <v>3027</v>
      </c>
      <c r="B1780" t="s">
        <v>1447</v>
      </c>
      <c r="C1780">
        <v>65.67</v>
      </c>
      <c r="D1780" t="s">
        <v>608</v>
      </c>
      <c r="E1780" t="s">
        <v>608</v>
      </c>
      <c r="F1780">
        <v>47.49</v>
      </c>
      <c r="G1780">
        <v>34.97</v>
      </c>
      <c r="H1780">
        <v>0.5</v>
      </c>
      <c r="I1780">
        <v>0.5</v>
      </c>
      <c r="J1780" t="s">
        <v>608</v>
      </c>
      <c r="K1780" t="s">
        <v>52</v>
      </c>
    </row>
    <row r="1781" spans="1:11" x14ac:dyDescent="0.2">
      <c r="A1781" t="s">
        <v>3028</v>
      </c>
      <c r="B1781" t="s">
        <v>1447</v>
      </c>
      <c r="C1781">
        <v>55.42</v>
      </c>
      <c r="D1781" t="s">
        <v>608</v>
      </c>
      <c r="E1781" t="s">
        <v>608</v>
      </c>
      <c r="F1781">
        <v>41.58</v>
      </c>
      <c r="G1781">
        <v>29.11</v>
      </c>
      <c r="H1781">
        <v>0</v>
      </c>
      <c r="I1781">
        <v>0</v>
      </c>
      <c r="J1781" t="s">
        <v>608</v>
      </c>
      <c r="K1781" t="s">
        <v>52</v>
      </c>
    </row>
    <row r="1782" spans="1:11" x14ac:dyDescent="0.2">
      <c r="A1782" t="s">
        <v>3029</v>
      </c>
      <c r="B1782" t="s">
        <v>1447</v>
      </c>
      <c r="C1782">
        <v>44.36</v>
      </c>
      <c r="D1782" t="s">
        <v>608</v>
      </c>
      <c r="E1782" t="s">
        <v>608</v>
      </c>
      <c r="F1782">
        <v>19.68</v>
      </c>
      <c r="G1782">
        <v>14.78</v>
      </c>
      <c r="H1782">
        <v>0</v>
      </c>
      <c r="I1782">
        <v>0</v>
      </c>
      <c r="J1782" t="s">
        <v>608</v>
      </c>
      <c r="K1782" t="s">
        <v>52</v>
      </c>
    </row>
    <row r="1783" spans="1:11" x14ac:dyDescent="0.2">
      <c r="A1783" t="s">
        <v>3030</v>
      </c>
      <c r="B1783" t="s">
        <v>1447</v>
      </c>
      <c r="C1783">
        <v>73.790000000000006</v>
      </c>
      <c r="D1783" t="s">
        <v>608</v>
      </c>
      <c r="E1783" t="s">
        <v>608</v>
      </c>
      <c r="F1783">
        <v>59.09</v>
      </c>
      <c r="G1783">
        <v>42.84</v>
      </c>
      <c r="H1783">
        <v>1</v>
      </c>
      <c r="I1783">
        <v>0.5</v>
      </c>
      <c r="J1783" t="s">
        <v>608</v>
      </c>
      <c r="K1783" t="s">
        <v>52</v>
      </c>
    </row>
    <row r="1784" spans="1:11" x14ac:dyDescent="0.2">
      <c r="A1784" t="s">
        <v>3031</v>
      </c>
      <c r="B1784" t="s">
        <v>1447</v>
      </c>
      <c r="C1784">
        <v>50.94</v>
      </c>
      <c r="D1784" t="s">
        <v>608</v>
      </c>
      <c r="E1784" t="s">
        <v>608</v>
      </c>
      <c r="F1784">
        <v>32.24</v>
      </c>
      <c r="G1784">
        <v>23.93</v>
      </c>
      <c r="H1784">
        <v>1</v>
      </c>
      <c r="I1784">
        <v>0.5</v>
      </c>
      <c r="J1784" t="s">
        <v>608</v>
      </c>
      <c r="K1784" t="s">
        <v>52</v>
      </c>
    </row>
    <row r="1785" spans="1:11" x14ac:dyDescent="0.2">
      <c r="A1785" t="s">
        <v>3032</v>
      </c>
      <c r="B1785" t="s">
        <v>1449</v>
      </c>
      <c r="C1785">
        <v>81.819999999999993</v>
      </c>
      <c r="D1785" t="s">
        <v>608</v>
      </c>
      <c r="E1785" t="s">
        <v>608</v>
      </c>
      <c r="F1785">
        <v>69.88</v>
      </c>
      <c r="G1785">
        <v>49.67</v>
      </c>
      <c r="H1785">
        <v>0</v>
      </c>
      <c r="I1785">
        <v>0</v>
      </c>
      <c r="J1785" t="s">
        <v>608</v>
      </c>
      <c r="K1785" t="s">
        <v>52</v>
      </c>
    </row>
    <row r="1786" spans="1:11" x14ac:dyDescent="0.2">
      <c r="A1786" t="s">
        <v>3033</v>
      </c>
      <c r="B1786" t="s">
        <v>1449</v>
      </c>
      <c r="C1786">
        <v>88.81</v>
      </c>
      <c r="D1786" t="s">
        <v>608</v>
      </c>
      <c r="E1786" t="s">
        <v>608</v>
      </c>
      <c r="F1786">
        <v>60.4</v>
      </c>
      <c r="G1786">
        <v>42.12</v>
      </c>
      <c r="H1786">
        <v>0</v>
      </c>
      <c r="I1786">
        <v>0</v>
      </c>
      <c r="J1786" t="s">
        <v>608</v>
      </c>
      <c r="K1786" t="s">
        <v>52</v>
      </c>
    </row>
    <row r="1787" spans="1:11" x14ac:dyDescent="0.2">
      <c r="A1787" t="s">
        <v>3034</v>
      </c>
      <c r="B1787" t="s">
        <v>1449</v>
      </c>
      <c r="C1787">
        <v>90.52</v>
      </c>
      <c r="D1787" t="s">
        <v>608</v>
      </c>
      <c r="E1787" t="s">
        <v>608</v>
      </c>
      <c r="F1787">
        <v>114.89</v>
      </c>
      <c r="G1787">
        <v>81.64</v>
      </c>
      <c r="H1787">
        <v>0</v>
      </c>
      <c r="I1787">
        <v>0</v>
      </c>
      <c r="J1787" t="s">
        <v>3092</v>
      </c>
      <c r="K1787" t="s">
        <v>52</v>
      </c>
    </row>
    <row r="1788" spans="1:11" x14ac:dyDescent="0.2">
      <c r="A1788" t="s">
        <v>3035</v>
      </c>
      <c r="B1788" t="s">
        <v>1449</v>
      </c>
      <c r="C1788">
        <v>48.15</v>
      </c>
      <c r="D1788" t="s">
        <v>608</v>
      </c>
      <c r="E1788" t="s">
        <v>608</v>
      </c>
      <c r="F1788">
        <v>48.39</v>
      </c>
      <c r="G1788">
        <v>38.33</v>
      </c>
      <c r="H1788">
        <v>0</v>
      </c>
      <c r="I1788">
        <v>0</v>
      </c>
      <c r="J1788" t="s">
        <v>3098</v>
      </c>
      <c r="K1788" t="s">
        <v>52</v>
      </c>
    </row>
    <row r="1789" spans="1:11" x14ac:dyDescent="0.2">
      <c r="A1789" t="s">
        <v>3036</v>
      </c>
      <c r="B1789" t="s">
        <v>1449</v>
      </c>
      <c r="C1789">
        <v>56.95</v>
      </c>
      <c r="D1789" t="s">
        <v>608</v>
      </c>
      <c r="E1789" t="s">
        <v>608</v>
      </c>
      <c r="F1789">
        <v>29.01</v>
      </c>
      <c r="G1789">
        <v>21.79</v>
      </c>
      <c r="H1789">
        <v>0</v>
      </c>
      <c r="I1789">
        <v>0</v>
      </c>
      <c r="J1789" t="s">
        <v>608</v>
      </c>
      <c r="K1789" t="s">
        <v>52</v>
      </c>
    </row>
    <row r="1790" spans="1:11" x14ac:dyDescent="0.2">
      <c r="A1790" t="s">
        <v>3037</v>
      </c>
      <c r="B1790" t="s">
        <v>1457</v>
      </c>
      <c r="C1790">
        <v>61.06</v>
      </c>
      <c r="D1790" t="s">
        <v>608</v>
      </c>
      <c r="E1790" t="s">
        <v>608</v>
      </c>
      <c r="F1790">
        <v>60.31</v>
      </c>
      <c r="G1790">
        <v>44.56</v>
      </c>
      <c r="H1790">
        <v>0</v>
      </c>
      <c r="I1790">
        <v>0</v>
      </c>
      <c r="J1790" t="s">
        <v>608</v>
      </c>
      <c r="K1790" t="s">
        <v>52</v>
      </c>
    </row>
    <row r="1791" spans="1:11" x14ac:dyDescent="0.2">
      <c r="A1791" t="s">
        <v>3038</v>
      </c>
      <c r="B1791" t="s">
        <v>1457</v>
      </c>
      <c r="C1791">
        <v>54.87</v>
      </c>
      <c r="D1791" t="s">
        <v>608</v>
      </c>
      <c r="E1791" t="s">
        <v>608</v>
      </c>
      <c r="F1791">
        <v>43.28</v>
      </c>
      <c r="G1791">
        <v>29.66</v>
      </c>
      <c r="H1791">
        <v>0</v>
      </c>
      <c r="I1791">
        <v>0</v>
      </c>
      <c r="J1791" t="s">
        <v>125</v>
      </c>
      <c r="K1791" t="s">
        <v>52</v>
      </c>
    </row>
    <row r="1792" spans="1:11" x14ac:dyDescent="0.2">
      <c r="A1792" t="s">
        <v>3039</v>
      </c>
      <c r="B1792" t="s">
        <v>1457</v>
      </c>
      <c r="C1792">
        <v>77.150000000000006</v>
      </c>
      <c r="D1792" t="s">
        <v>608</v>
      </c>
      <c r="E1792" t="s">
        <v>608</v>
      </c>
      <c r="F1792">
        <v>62.42</v>
      </c>
      <c r="G1792">
        <v>46.05</v>
      </c>
      <c r="H1792">
        <v>0</v>
      </c>
      <c r="I1792">
        <v>0</v>
      </c>
      <c r="J1792" t="s">
        <v>608</v>
      </c>
      <c r="K1792" t="s">
        <v>52</v>
      </c>
    </row>
    <row r="1793" spans="1:11" x14ac:dyDescent="0.2">
      <c r="A1793" t="s">
        <v>3040</v>
      </c>
      <c r="B1793" t="s">
        <v>1457</v>
      </c>
      <c r="C1793">
        <v>62.13</v>
      </c>
      <c r="D1793" t="s">
        <v>608</v>
      </c>
      <c r="E1793" t="s">
        <v>608</v>
      </c>
      <c r="F1793">
        <v>68.78</v>
      </c>
      <c r="G1793">
        <v>51.41</v>
      </c>
      <c r="H1793">
        <v>0</v>
      </c>
      <c r="I1793">
        <v>0.5</v>
      </c>
      <c r="J1793" t="s">
        <v>3099</v>
      </c>
      <c r="K1793" t="s">
        <v>52</v>
      </c>
    </row>
    <row r="1794" spans="1:11" x14ac:dyDescent="0.2">
      <c r="A1794" t="s">
        <v>3041</v>
      </c>
      <c r="B1794" t="s">
        <v>1457</v>
      </c>
      <c r="C1794">
        <v>42.72</v>
      </c>
      <c r="D1794" t="s">
        <v>608</v>
      </c>
      <c r="E1794" t="s">
        <v>608</v>
      </c>
      <c r="F1794">
        <v>26.08</v>
      </c>
      <c r="G1794">
        <v>20.440000000000001</v>
      </c>
      <c r="H1794">
        <v>0.5</v>
      </c>
      <c r="I1794">
        <v>0</v>
      </c>
      <c r="J1794" t="s">
        <v>3100</v>
      </c>
      <c r="K1794" t="s">
        <v>52</v>
      </c>
    </row>
    <row r="1795" spans="1:11" x14ac:dyDescent="0.2">
      <c r="A1795" t="s">
        <v>3042</v>
      </c>
      <c r="B1795" t="s">
        <v>1459</v>
      </c>
      <c r="C1795">
        <v>78.11</v>
      </c>
      <c r="D1795" t="s">
        <v>608</v>
      </c>
      <c r="E1795" t="s">
        <v>608</v>
      </c>
      <c r="F1795">
        <v>101.68</v>
      </c>
      <c r="G1795">
        <v>77.66</v>
      </c>
      <c r="H1795">
        <v>0</v>
      </c>
      <c r="I1795">
        <v>0.5</v>
      </c>
      <c r="J1795" t="s">
        <v>608</v>
      </c>
      <c r="K1795" t="s">
        <v>52</v>
      </c>
    </row>
    <row r="1796" spans="1:11" x14ac:dyDescent="0.2">
      <c r="A1796" t="s">
        <v>3043</v>
      </c>
      <c r="B1796" t="s">
        <v>1459</v>
      </c>
      <c r="C1796">
        <v>45</v>
      </c>
      <c r="D1796" t="s">
        <v>608</v>
      </c>
      <c r="E1796" t="s">
        <v>608</v>
      </c>
      <c r="F1796">
        <v>18.399999999999999</v>
      </c>
      <c r="G1796">
        <v>15.48</v>
      </c>
      <c r="H1796">
        <v>1</v>
      </c>
      <c r="I1796">
        <v>1</v>
      </c>
      <c r="J1796" t="s">
        <v>608</v>
      </c>
      <c r="K1796" t="s">
        <v>52</v>
      </c>
    </row>
    <row r="1797" spans="1:11" x14ac:dyDescent="0.2">
      <c r="A1797" t="s">
        <v>3044</v>
      </c>
      <c r="B1797" t="s">
        <v>1459</v>
      </c>
      <c r="C1797">
        <v>55.11</v>
      </c>
      <c r="D1797" t="s">
        <v>608</v>
      </c>
      <c r="E1797" t="s">
        <v>608</v>
      </c>
      <c r="F1797">
        <v>43.24</v>
      </c>
      <c r="G1797">
        <v>32.76</v>
      </c>
      <c r="H1797">
        <v>0.5</v>
      </c>
      <c r="I1797">
        <v>0.5</v>
      </c>
      <c r="J1797" t="s">
        <v>608</v>
      </c>
      <c r="K1797" t="s">
        <v>52</v>
      </c>
    </row>
    <row r="1798" spans="1:11" x14ac:dyDescent="0.2">
      <c r="A1798" t="s">
        <v>3045</v>
      </c>
      <c r="B1798" t="s">
        <v>1459</v>
      </c>
      <c r="C1798">
        <v>41</v>
      </c>
      <c r="D1798" t="s">
        <v>608</v>
      </c>
      <c r="E1798" t="s">
        <v>608</v>
      </c>
      <c r="F1798">
        <v>15.86</v>
      </c>
      <c r="G1798">
        <v>13.18</v>
      </c>
      <c r="H1798">
        <v>0.5</v>
      </c>
      <c r="I1798">
        <v>0</v>
      </c>
      <c r="J1798" t="s">
        <v>3101</v>
      </c>
      <c r="K1798" t="s">
        <v>52</v>
      </c>
    </row>
    <row r="1799" spans="1:11" x14ac:dyDescent="0.2">
      <c r="A1799" t="s">
        <v>3046</v>
      </c>
      <c r="B1799" t="s">
        <v>1459</v>
      </c>
      <c r="C1799">
        <v>37.68</v>
      </c>
      <c r="D1799" t="s">
        <v>608</v>
      </c>
      <c r="E1799" t="s">
        <v>608</v>
      </c>
      <c r="F1799">
        <v>17.82</v>
      </c>
      <c r="G1799">
        <v>16.36</v>
      </c>
      <c r="H1799">
        <v>0.5</v>
      </c>
      <c r="I1799">
        <v>0</v>
      </c>
      <c r="J1799" t="s">
        <v>608</v>
      </c>
      <c r="K1799" t="s">
        <v>52</v>
      </c>
    </row>
    <row r="1800" spans="1:11" x14ac:dyDescent="0.2">
      <c r="A1800" t="s">
        <v>3047</v>
      </c>
      <c r="B1800" t="s">
        <v>1461</v>
      </c>
      <c r="C1800">
        <v>54.35</v>
      </c>
      <c r="D1800" t="s">
        <v>608</v>
      </c>
      <c r="E1800" t="s">
        <v>608</v>
      </c>
      <c r="F1800">
        <v>29.93</v>
      </c>
      <c r="G1800">
        <v>21.82</v>
      </c>
      <c r="H1800">
        <v>4</v>
      </c>
      <c r="I1800">
        <v>4</v>
      </c>
      <c r="J1800" t="s">
        <v>608</v>
      </c>
      <c r="K1800" t="s">
        <v>52</v>
      </c>
    </row>
    <row r="1801" spans="1:11" x14ac:dyDescent="0.2">
      <c r="A1801" t="s">
        <v>3048</v>
      </c>
      <c r="B1801" t="s">
        <v>1461</v>
      </c>
      <c r="C1801">
        <v>51.28</v>
      </c>
      <c r="D1801" t="s">
        <v>608</v>
      </c>
      <c r="E1801" t="s">
        <v>608</v>
      </c>
      <c r="F1801">
        <v>41.82</v>
      </c>
      <c r="G1801">
        <v>28.27</v>
      </c>
      <c r="H1801">
        <v>1</v>
      </c>
      <c r="I1801">
        <v>1</v>
      </c>
      <c r="J1801" t="s">
        <v>608</v>
      </c>
      <c r="K1801" t="s">
        <v>52</v>
      </c>
    </row>
    <row r="1802" spans="1:11" x14ac:dyDescent="0.2">
      <c r="A1802" t="s">
        <v>3049</v>
      </c>
      <c r="B1802" t="s">
        <v>1461</v>
      </c>
      <c r="C1802">
        <v>35.85</v>
      </c>
      <c r="D1802" t="s">
        <v>608</v>
      </c>
      <c r="E1802" t="s">
        <v>608</v>
      </c>
      <c r="F1802">
        <v>13.75</v>
      </c>
      <c r="G1802">
        <v>9.67</v>
      </c>
      <c r="H1802">
        <v>0</v>
      </c>
      <c r="I1802">
        <v>0</v>
      </c>
      <c r="J1802" t="s">
        <v>3102</v>
      </c>
      <c r="K1802" t="s">
        <v>52</v>
      </c>
    </row>
    <row r="1803" spans="1:11" x14ac:dyDescent="0.2">
      <c r="A1803" t="s">
        <v>3050</v>
      </c>
      <c r="B1803" t="s">
        <v>1461</v>
      </c>
      <c r="C1803">
        <v>54.04</v>
      </c>
      <c r="D1803" t="s">
        <v>608</v>
      </c>
      <c r="E1803" t="s">
        <v>608</v>
      </c>
      <c r="F1803">
        <v>34.200000000000003</v>
      </c>
      <c r="G1803">
        <v>23.52</v>
      </c>
      <c r="H1803">
        <v>2</v>
      </c>
      <c r="I1803">
        <v>3</v>
      </c>
      <c r="J1803" t="s">
        <v>608</v>
      </c>
      <c r="K1803" t="s">
        <v>52</v>
      </c>
    </row>
    <row r="1804" spans="1:11" x14ac:dyDescent="0.2">
      <c r="A1804" t="s">
        <v>3051</v>
      </c>
      <c r="B1804" t="s">
        <v>1461</v>
      </c>
      <c r="C1804">
        <v>84.08</v>
      </c>
      <c r="D1804" t="s">
        <v>608</v>
      </c>
      <c r="E1804" t="s">
        <v>608</v>
      </c>
      <c r="F1804">
        <v>66.53</v>
      </c>
      <c r="G1804">
        <v>46.69</v>
      </c>
      <c r="H1804">
        <v>0.5</v>
      </c>
      <c r="I1804">
        <v>1</v>
      </c>
      <c r="J1804" t="s">
        <v>608</v>
      </c>
      <c r="K1804" t="s">
        <v>52</v>
      </c>
    </row>
    <row r="1805" spans="1:11" x14ac:dyDescent="0.2">
      <c r="A1805" t="s">
        <v>3052</v>
      </c>
      <c r="B1805" t="s">
        <v>1469</v>
      </c>
      <c r="C1805">
        <v>56.1</v>
      </c>
      <c r="D1805" t="s">
        <v>608</v>
      </c>
      <c r="E1805" t="s">
        <v>608</v>
      </c>
      <c r="F1805">
        <v>33.06</v>
      </c>
      <c r="G1805">
        <v>24.47</v>
      </c>
      <c r="H1805">
        <v>0</v>
      </c>
      <c r="I1805">
        <v>0</v>
      </c>
      <c r="J1805" t="s">
        <v>608</v>
      </c>
      <c r="K1805" t="s">
        <v>52</v>
      </c>
    </row>
    <row r="1806" spans="1:11" x14ac:dyDescent="0.2">
      <c r="A1806" t="s">
        <v>3053</v>
      </c>
      <c r="B1806" t="s">
        <v>1469</v>
      </c>
      <c r="C1806">
        <v>46.75</v>
      </c>
      <c r="D1806" t="s">
        <v>608</v>
      </c>
      <c r="E1806" t="s">
        <v>608</v>
      </c>
      <c r="F1806">
        <v>38.659999999999997</v>
      </c>
      <c r="G1806">
        <v>25.73</v>
      </c>
      <c r="H1806">
        <v>0.5</v>
      </c>
      <c r="I1806">
        <v>1</v>
      </c>
      <c r="J1806" t="s">
        <v>608</v>
      </c>
      <c r="K1806" t="s">
        <v>52</v>
      </c>
    </row>
    <row r="1807" spans="1:11" x14ac:dyDescent="0.2">
      <c r="A1807" t="s">
        <v>3054</v>
      </c>
      <c r="B1807" t="s">
        <v>1469</v>
      </c>
      <c r="C1807">
        <v>48.32</v>
      </c>
      <c r="D1807" t="s">
        <v>608</v>
      </c>
      <c r="E1807" t="s">
        <v>608</v>
      </c>
      <c r="F1807">
        <v>22.19</v>
      </c>
      <c r="G1807">
        <v>15.92</v>
      </c>
      <c r="H1807">
        <v>2</v>
      </c>
      <c r="I1807">
        <v>2</v>
      </c>
      <c r="J1807" t="s">
        <v>608</v>
      </c>
      <c r="K1807" t="s">
        <v>52</v>
      </c>
    </row>
    <row r="1808" spans="1:11" x14ac:dyDescent="0.2">
      <c r="A1808" t="s">
        <v>3055</v>
      </c>
      <c r="B1808" t="s">
        <v>1469</v>
      </c>
      <c r="C1808">
        <v>39.630000000000003</v>
      </c>
      <c r="D1808" t="s">
        <v>608</v>
      </c>
      <c r="E1808" t="s">
        <v>608</v>
      </c>
      <c r="F1808">
        <v>23.35</v>
      </c>
      <c r="G1808">
        <v>17.22</v>
      </c>
      <c r="H1808">
        <v>1</v>
      </c>
      <c r="I1808">
        <v>0.5</v>
      </c>
      <c r="J1808" t="s">
        <v>3103</v>
      </c>
      <c r="K1808" t="s">
        <v>52</v>
      </c>
    </row>
    <row r="1809" spans="1:11" x14ac:dyDescent="0.2">
      <c r="A1809" t="s">
        <v>3056</v>
      </c>
      <c r="B1809" t="s">
        <v>1469</v>
      </c>
      <c r="C1809">
        <v>44.06</v>
      </c>
      <c r="D1809" t="s">
        <v>608</v>
      </c>
      <c r="E1809" t="s">
        <v>608</v>
      </c>
      <c r="F1809">
        <v>18.93</v>
      </c>
      <c r="G1809">
        <v>14.27</v>
      </c>
      <c r="H1809">
        <v>0.5</v>
      </c>
      <c r="I1809">
        <v>0</v>
      </c>
      <c r="J1809" t="s">
        <v>3104</v>
      </c>
      <c r="K1809" t="s">
        <v>52</v>
      </c>
    </row>
    <row r="1810" spans="1:11" x14ac:dyDescent="0.2">
      <c r="A1810" t="s">
        <v>3057</v>
      </c>
      <c r="B1810" t="s">
        <v>1471</v>
      </c>
      <c r="C1810">
        <v>59.26</v>
      </c>
      <c r="D1810" t="s">
        <v>608</v>
      </c>
      <c r="E1810" t="s">
        <v>608</v>
      </c>
      <c r="F1810">
        <v>56.87</v>
      </c>
      <c r="G1810">
        <v>39.979999999999997</v>
      </c>
      <c r="H1810">
        <v>0</v>
      </c>
      <c r="I1810">
        <v>0.5</v>
      </c>
      <c r="J1810" t="s">
        <v>608</v>
      </c>
      <c r="K1810" t="s">
        <v>52</v>
      </c>
    </row>
    <row r="1811" spans="1:11" x14ac:dyDescent="0.2">
      <c r="A1811" t="s">
        <v>3058</v>
      </c>
      <c r="B1811" t="s">
        <v>1471</v>
      </c>
      <c r="C1811">
        <v>47.77</v>
      </c>
      <c r="D1811" t="s">
        <v>608</v>
      </c>
      <c r="E1811" t="s">
        <v>608</v>
      </c>
      <c r="F1811">
        <v>24.2</v>
      </c>
      <c r="G1811">
        <v>19.600000000000001</v>
      </c>
      <c r="H1811">
        <v>1</v>
      </c>
      <c r="I1811">
        <v>2</v>
      </c>
      <c r="J1811" t="s">
        <v>608</v>
      </c>
      <c r="K1811" t="s">
        <v>52</v>
      </c>
    </row>
    <row r="1812" spans="1:11" x14ac:dyDescent="0.2">
      <c r="A1812" t="s">
        <v>3059</v>
      </c>
      <c r="B1812" t="s">
        <v>1471</v>
      </c>
      <c r="C1812">
        <v>49.5</v>
      </c>
      <c r="D1812" t="s">
        <v>608</v>
      </c>
      <c r="E1812" t="s">
        <v>608</v>
      </c>
      <c r="F1812">
        <v>26.3</v>
      </c>
      <c r="G1812">
        <v>18.95</v>
      </c>
      <c r="H1812">
        <v>1</v>
      </c>
      <c r="I1812">
        <v>1</v>
      </c>
      <c r="J1812" t="s">
        <v>608</v>
      </c>
      <c r="K1812" t="s">
        <v>52</v>
      </c>
    </row>
    <row r="1813" spans="1:11" x14ac:dyDescent="0.2">
      <c r="A1813" t="s">
        <v>3060</v>
      </c>
      <c r="B1813" t="s">
        <v>1471</v>
      </c>
      <c r="C1813">
        <v>53.05</v>
      </c>
      <c r="D1813" t="s">
        <v>608</v>
      </c>
      <c r="E1813" t="s">
        <v>608</v>
      </c>
      <c r="F1813">
        <v>26.67</v>
      </c>
      <c r="G1813">
        <v>19.22</v>
      </c>
      <c r="H1813">
        <v>3</v>
      </c>
      <c r="I1813">
        <v>3</v>
      </c>
      <c r="J1813" t="s">
        <v>3105</v>
      </c>
      <c r="K1813" t="s">
        <v>52</v>
      </c>
    </row>
    <row r="1814" spans="1:11" x14ac:dyDescent="0.2">
      <c r="A1814" t="s">
        <v>3061</v>
      </c>
      <c r="B1814" t="s">
        <v>1471</v>
      </c>
      <c r="C1814">
        <v>44.1</v>
      </c>
      <c r="D1814" t="s">
        <v>608</v>
      </c>
      <c r="E1814" t="s">
        <v>608</v>
      </c>
      <c r="F1814">
        <v>25.32</v>
      </c>
      <c r="G1814">
        <v>18.579999999999998</v>
      </c>
      <c r="H1814">
        <v>0.5</v>
      </c>
      <c r="I1814">
        <v>0</v>
      </c>
      <c r="J1814" t="s">
        <v>608</v>
      </c>
      <c r="K1814" t="s">
        <v>52</v>
      </c>
    </row>
    <row r="1815" spans="1:11" x14ac:dyDescent="0.2">
      <c r="A1815" t="s">
        <v>3062</v>
      </c>
      <c r="B1815" t="s">
        <v>1473</v>
      </c>
      <c r="C1815">
        <v>38.51</v>
      </c>
      <c r="D1815" t="s">
        <v>608</v>
      </c>
      <c r="E1815" t="s">
        <v>608</v>
      </c>
      <c r="F1815">
        <v>11.91</v>
      </c>
      <c r="G1815">
        <v>7.42</v>
      </c>
      <c r="H1815">
        <v>0</v>
      </c>
      <c r="I1815">
        <v>0</v>
      </c>
      <c r="J1815" t="s">
        <v>608</v>
      </c>
      <c r="K1815" t="s">
        <v>52</v>
      </c>
    </row>
    <row r="1816" spans="1:11" x14ac:dyDescent="0.2">
      <c r="A1816" t="s">
        <v>3063</v>
      </c>
      <c r="B1816" t="s">
        <v>1473</v>
      </c>
      <c r="C1816">
        <v>47.56</v>
      </c>
      <c r="D1816" t="s">
        <v>608</v>
      </c>
      <c r="E1816" t="s">
        <v>608</v>
      </c>
      <c r="F1816">
        <v>17.95</v>
      </c>
      <c r="G1816">
        <v>10.83</v>
      </c>
      <c r="H1816">
        <v>0.5</v>
      </c>
      <c r="I1816">
        <v>0.5</v>
      </c>
      <c r="J1816" t="s">
        <v>608</v>
      </c>
      <c r="K1816" t="s">
        <v>52</v>
      </c>
    </row>
    <row r="1817" spans="1:11" x14ac:dyDescent="0.2">
      <c r="A1817" t="s">
        <v>3064</v>
      </c>
      <c r="B1817" t="s">
        <v>1473</v>
      </c>
      <c r="C1817">
        <v>42.77</v>
      </c>
      <c r="D1817" t="s">
        <v>608</v>
      </c>
      <c r="E1817" t="s">
        <v>608</v>
      </c>
      <c r="F1817">
        <v>15.45</v>
      </c>
      <c r="G1817">
        <v>11.42</v>
      </c>
      <c r="H1817">
        <v>0</v>
      </c>
      <c r="I1817">
        <v>0</v>
      </c>
      <c r="J1817" t="s">
        <v>608</v>
      </c>
      <c r="K1817" t="s">
        <v>52</v>
      </c>
    </row>
    <row r="1818" spans="1:11" x14ac:dyDescent="0.2">
      <c r="A1818" t="s">
        <v>3065</v>
      </c>
      <c r="B1818" t="s">
        <v>1473</v>
      </c>
      <c r="C1818">
        <v>49.83</v>
      </c>
      <c r="D1818" t="s">
        <v>608</v>
      </c>
      <c r="E1818" t="s">
        <v>608</v>
      </c>
      <c r="F1818">
        <v>9.9</v>
      </c>
      <c r="G1818">
        <v>6.06</v>
      </c>
      <c r="H1818">
        <v>0</v>
      </c>
      <c r="I1818">
        <v>0</v>
      </c>
      <c r="J1818" t="s">
        <v>608</v>
      </c>
      <c r="K1818" t="s">
        <v>52</v>
      </c>
    </row>
    <row r="1819" spans="1:11" x14ac:dyDescent="0.2">
      <c r="A1819" t="s">
        <v>3066</v>
      </c>
      <c r="B1819" t="s">
        <v>1473</v>
      </c>
      <c r="C1819">
        <v>35.700000000000003</v>
      </c>
      <c r="D1819" t="s">
        <v>608</v>
      </c>
      <c r="E1819" t="s">
        <v>608</v>
      </c>
      <c r="F1819">
        <v>8.0299999999999994</v>
      </c>
      <c r="G1819">
        <v>5.44</v>
      </c>
      <c r="H1819">
        <v>0</v>
      </c>
      <c r="I1819">
        <v>0</v>
      </c>
      <c r="J1819" t="s">
        <v>608</v>
      </c>
      <c r="K1819" t="s">
        <v>52</v>
      </c>
    </row>
    <row r="1820" spans="1:11" x14ac:dyDescent="0.2">
      <c r="A1820" t="s">
        <v>215</v>
      </c>
      <c r="B1820" t="s">
        <v>216</v>
      </c>
      <c r="C1820">
        <v>47.84</v>
      </c>
      <c r="D1820" t="s">
        <v>608</v>
      </c>
      <c r="E1820" t="s">
        <v>608</v>
      </c>
      <c r="F1820">
        <v>8.59</v>
      </c>
      <c r="G1820">
        <v>6.56</v>
      </c>
      <c r="H1820">
        <v>0</v>
      </c>
      <c r="I1820">
        <v>0</v>
      </c>
      <c r="J1820" t="s">
        <v>608</v>
      </c>
      <c r="K1820" t="s">
        <v>52</v>
      </c>
    </row>
    <row r="1821" spans="1:11" x14ac:dyDescent="0.2">
      <c r="A1821" t="s">
        <v>217</v>
      </c>
      <c r="B1821" t="s">
        <v>216</v>
      </c>
      <c r="C1821">
        <v>52.6</v>
      </c>
      <c r="D1821" t="s">
        <v>608</v>
      </c>
      <c r="E1821" t="s">
        <v>608</v>
      </c>
      <c r="F1821">
        <v>44.04</v>
      </c>
      <c r="G1821">
        <v>33.5</v>
      </c>
      <c r="H1821">
        <v>0</v>
      </c>
      <c r="I1821">
        <v>0.5</v>
      </c>
      <c r="J1821" t="s">
        <v>608</v>
      </c>
      <c r="K1821" t="s">
        <v>52</v>
      </c>
    </row>
    <row r="1822" spans="1:11" x14ac:dyDescent="0.2">
      <c r="A1822" t="s">
        <v>218</v>
      </c>
      <c r="B1822" t="s">
        <v>216</v>
      </c>
      <c r="C1822">
        <v>52.35</v>
      </c>
      <c r="D1822" t="s">
        <v>608</v>
      </c>
      <c r="E1822" t="s">
        <v>608</v>
      </c>
      <c r="F1822">
        <v>32.54</v>
      </c>
      <c r="G1822">
        <v>22.13</v>
      </c>
      <c r="H1822">
        <v>0</v>
      </c>
      <c r="I1822">
        <v>0.5</v>
      </c>
      <c r="J1822" t="s">
        <v>608</v>
      </c>
      <c r="K1822" t="s">
        <v>52</v>
      </c>
    </row>
    <row r="1823" spans="1:11" x14ac:dyDescent="0.2">
      <c r="A1823" t="s">
        <v>219</v>
      </c>
      <c r="B1823" t="s">
        <v>216</v>
      </c>
      <c r="C1823">
        <v>57.14</v>
      </c>
      <c r="D1823" t="s">
        <v>608</v>
      </c>
      <c r="E1823" t="s">
        <v>608</v>
      </c>
      <c r="F1823">
        <v>59.38</v>
      </c>
      <c r="G1823">
        <v>45.8</v>
      </c>
      <c r="H1823">
        <v>0</v>
      </c>
      <c r="I1823">
        <v>0</v>
      </c>
      <c r="J1823" t="s">
        <v>608</v>
      </c>
      <c r="K1823" t="s">
        <v>52</v>
      </c>
    </row>
    <row r="1824" spans="1:11" x14ac:dyDescent="0.2">
      <c r="A1824" t="s">
        <v>220</v>
      </c>
      <c r="B1824" t="s">
        <v>216</v>
      </c>
      <c r="C1824">
        <v>43.77</v>
      </c>
      <c r="D1824" t="s">
        <v>608</v>
      </c>
      <c r="E1824" t="s">
        <v>608</v>
      </c>
      <c r="F1824">
        <v>23.86</v>
      </c>
      <c r="G1824">
        <v>17.52</v>
      </c>
      <c r="H1824">
        <v>0</v>
      </c>
      <c r="I1824">
        <v>0.5</v>
      </c>
      <c r="J1824" t="s">
        <v>608</v>
      </c>
      <c r="K1824" t="s">
        <v>52</v>
      </c>
    </row>
    <row r="1825" spans="1:11" x14ac:dyDescent="0.2">
      <c r="A1825" t="s">
        <v>221</v>
      </c>
      <c r="B1825" t="s">
        <v>222</v>
      </c>
      <c r="C1825">
        <v>65.83</v>
      </c>
      <c r="D1825" t="s">
        <v>608</v>
      </c>
      <c r="E1825" t="s">
        <v>608</v>
      </c>
      <c r="F1825">
        <v>37.729999999999997</v>
      </c>
      <c r="G1825">
        <v>26.86</v>
      </c>
      <c r="H1825">
        <v>0.5</v>
      </c>
      <c r="I1825">
        <v>0.5</v>
      </c>
      <c r="J1825" t="s">
        <v>608</v>
      </c>
      <c r="K1825" t="s">
        <v>52</v>
      </c>
    </row>
    <row r="1826" spans="1:11" x14ac:dyDescent="0.2">
      <c r="A1826" t="s">
        <v>223</v>
      </c>
      <c r="B1826" t="s">
        <v>222</v>
      </c>
      <c r="C1826">
        <v>34.97</v>
      </c>
      <c r="D1826" t="s">
        <v>608</v>
      </c>
      <c r="E1826" t="s">
        <v>608</v>
      </c>
      <c r="F1826">
        <v>10</v>
      </c>
      <c r="G1826">
        <v>7.68</v>
      </c>
      <c r="H1826">
        <v>0</v>
      </c>
      <c r="I1826">
        <v>0</v>
      </c>
      <c r="J1826" t="s">
        <v>224</v>
      </c>
      <c r="K1826" t="s">
        <v>52</v>
      </c>
    </row>
    <row r="1827" spans="1:11" x14ac:dyDescent="0.2">
      <c r="A1827" t="s">
        <v>225</v>
      </c>
      <c r="B1827" t="s">
        <v>222</v>
      </c>
      <c r="C1827">
        <v>62.38</v>
      </c>
      <c r="D1827" t="s">
        <v>608</v>
      </c>
      <c r="E1827" t="s">
        <v>608</v>
      </c>
      <c r="F1827">
        <v>61.38</v>
      </c>
      <c r="G1827">
        <v>42.43</v>
      </c>
      <c r="H1827">
        <v>1</v>
      </c>
      <c r="I1827">
        <v>1</v>
      </c>
      <c r="J1827" t="s">
        <v>608</v>
      </c>
      <c r="K1827" t="s">
        <v>52</v>
      </c>
    </row>
    <row r="1828" spans="1:11" x14ac:dyDescent="0.2">
      <c r="A1828" t="s">
        <v>226</v>
      </c>
      <c r="B1828" t="s">
        <v>222</v>
      </c>
      <c r="C1828">
        <v>61.94</v>
      </c>
      <c r="D1828" t="s">
        <v>608</v>
      </c>
      <c r="E1828" t="s">
        <v>608</v>
      </c>
      <c r="F1828">
        <v>46.31</v>
      </c>
      <c r="G1828">
        <v>35.590000000000003</v>
      </c>
      <c r="H1828">
        <v>0.5</v>
      </c>
      <c r="I1828">
        <v>0</v>
      </c>
      <c r="J1828" t="s">
        <v>227</v>
      </c>
      <c r="K1828" t="s">
        <v>52</v>
      </c>
    </row>
    <row r="1829" spans="1:11" x14ac:dyDescent="0.2">
      <c r="A1829" t="s">
        <v>228</v>
      </c>
      <c r="B1829" t="s">
        <v>222</v>
      </c>
      <c r="C1829">
        <v>50.44</v>
      </c>
      <c r="D1829" t="s">
        <v>608</v>
      </c>
      <c r="E1829" t="s">
        <v>608</v>
      </c>
      <c r="F1829">
        <v>25.21</v>
      </c>
      <c r="G1829">
        <v>16.850000000000001</v>
      </c>
      <c r="H1829">
        <v>1</v>
      </c>
      <c r="I1829">
        <v>1</v>
      </c>
      <c r="J1829" t="s">
        <v>608</v>
      </c>
      <c r="K1829" t="s">
        <v>52</v>
      </c>
    </row>
    <row r="1830" spans="1:11" x14ac:dyDescent="0.2">
      <c r="A1830" t="s">
        <v>229</v>
      </c>
      <c r="B1830" t="s">
        <v>230</v>
      </c>
      <c r="C1830">
        <v>37.24</v>
      </c>
      <c r="D1830" t="s">
        <v>608</v>
      </c>
      <c r="E1830" t="s">
        <v>608</v>
      </c>
      <c r="F1830">
        <v>11.69</v>
      </c>
      <c r="G1830">
        <v>9.25</v>
      </c>
      <c r="H1830">
        <v>0</v>
      </c>
      <c r="I1830">
        <v>0</v>
      </c>
      <c r="J1830" t="s">
        <v>231</v>
      </c>
      <c r="K1830" t="s">
        <v>52</v>
      </c>
    </row>
    <row r="1831" spans="1:11" x14ac:dyDescent="0.2">
      <c r="A1831" t="s">
        <v>232</v>
      </c>
      <c r="B1831" t="s">
        <v>230</v>
      </c>
      <c r="C1831">
        <v>76.12</v>
      </c>
      <c r="D1831" t="s">
        <v>608</v>
      </c>
      <c r="E1831" t="s">
        <v>608</v>
      </c>
      <c r="F1831">
        <v>71.959999999999994</v>
      </c>
      <c r="G1831">
        <v>47.64</v>
      </c>
      <c r="H1831">
        <v>0</v>
      </c>
      <c r="I1831">
        <v>0</v>
      </c>
      <c r="J1831" t="s">
        <v>608</v>
      </c>
      <c r="K1831" t="s">
        <v>52</v>
      </c>
    </row>
    <row r="1832" spans="1:11" x14ac:dyDescent="0.2">
      <c r="A1832" t="s">
        <v>233</v>
      </c>
      <c r="B1832" t="s">
        <v>230</v>
      </c>
      <c r="C1832">
        <v>51.89</v>
      </c>
      <c r="D1832" t="s">
        <v>608</v>
      </c>
      <c r="E1832" t="s">
        <v>608</v>
      </c>
      <c r="F1832">
        <v>22.62</v>
      </c>
      <c r="G1832">
        <v>14.94</v>
      </c>
      <c r="H1832">
        <v>0</v>
      </c>
      <c r="I1832">
        <v>0.5</v>
      </c>
      <c r="J1832" t="s">
        <v>608</v>
      </c>
      <c r="K1832" t="s">
        <v>52</v>
      </c>
    </row>
    <row r="1833" spans="1:11" x14ac:dyDescent="0.2">
      <c r="A1833" t="s">
        <v>234</v>
      </c>
      <c r="B1833" t="s">
        <v>230</v>
      </c>
      <c r="C1833">
        <v>40.11</v>
      </c>
      <c r="D1833" t="s">
        <v>608</v>
      </c>
      <c r="E1833" t="s">
        <v>608</v>
      </c>
      <c r="F1833">
        <v>8.8000000000000007</v>
      </c>
      <c r="G1833">
        <v>6.11</v>
      </c>
      <c r="H1833">
        <v>0</v>
      </c>
      <c r="I1833">
        <v>0</v>
      </c>
      <c r="J1833" t="s">
        <v>608</v>
      </c>
      <c r="K1833" t="s">
        <v>52</v>
      </c>
    </row>
    <row r="1834" spans="1:11" x14ac:dyDescent="0.2">
      <c r="A1834" t="s">
        <v>235</v>
      </c>
      <c r="B1834" t="s">
        <v>230</v>
      </c>
      <c r="C1834">
        <v>57.81</v>
      </c>
      <c r="D1834" t="s">
        <v>608</v>
      </c>
      <c r="E1834" t="s">
        <v>608</v>
      </c>
      <c r="F1834">
        <v>27.4</v>
      </c>
      <c r="G1834">
        <v>20.02</v>
      </c>
      <c r="H1834">
        <v>0</v>
      </c>
      <c r="I1834">
        <v>0</v>
      </c>
      <c r="J1834" t="s">
        <v>608</v>
      </c>
      <c r="K1834" t="s">
        <v>52</v>
      </c>
    </row>
    <row r="1835" spans="1:11" x14ac:dyDescent="0.2">
      <c r="A1835" t="s">
        <v>236</v>
      </c>
      <c r="B1835" t="s">
        <v>237</v>
      </c>
      <c r="C1835">
        <v>38.76</v>
      </c>
      <c r="D1835" t="s">
        <v>608</v>
      </c>
      <c r="E1835" t="s">
        <v>608</v>
      </c>
      <c r="F1835">
        <v>16.14</v>
      </c>
      <c r="G1835">
        <v>12.15</v>
      </c>
      <c r="H1835">
        <v>0</v>
      </c>
      <c r="I1835">
        <v>0</v>
      </c>
      <c r="J1835" t="s">
        <v>608</v>
      </c>
      <c r="K1835" t="s">
        <v>52</v>
      </c>
    </row>
    <row r="1836" spans="1:11" x14ac:dyDescent="0.2">
      <c r="A1836" t="s">
        <v>238</v>
      </c>
      <c r="B1836" t="s">
        <v>237</v>
      </c>
      <c r="C1836">
        <v>60.18</v>
      </c>
      <c r="D1836" t="s">
        <v>608</v>
      </c>
      <c r="E1836" t="s">
        <v>608</v>
      </c>
      <c r="F1836">
        <v>25.28</v>
      </c>
      <c r="G1836">
        <v>18.03</v>
      </c>
      <c r="H1836">
        <v>1</v>
      </c>
      <c r="I1836">
        <v>0</v>
      </c>
      <c r="J1836" t="s">
        <v>608</v>
      </c>
      <c r="K1836" t="s">
        <v>52</v>
      </c>
    </row>
    <row r="1837" spans="1:11" x14ac:dyDescent="0.2">
      <c r="A1837" t="s">
        <v>239</v>
      </c>
      <c r="B1837" t="s">
        <v>237</v>
      </c>
      <c r="C1837">
        <v>41.42</v>
      </c>
      <c r="D1837" t="s">
        <v>608</v>
      </c>
      <c r="E1837" t="s">
        <v>608</v>
      </c>
      <c r="F1837">
        <v>21.22</v>
      </c>
      <c r="G1837">
        <v>16.38</v>
      </c>
      <c r="H1837">
        <v>2</v>
      </c>
      <c r="I1837">
        <v>2</v>
      </c>
      <c r="J1837" t="s">
        <v>240</v>
      </c>
      <c r="K1837" t="s">
        <v>52</v>
      </c>
    </row>
    <row r="1838" spans="1:11" x14ac:dyDescent="0.2">
      <c r="A1838" t="s">
        <v>241</v>
      </c>
      <c r="B1838" t="s">
        <v>237</v>
      </c>
      <c r="C1838">
        <v>54.62</v>
      </c>
      <c r="D1838" t="s">
        <v>608</v>
      </c>
      <c r="E1838" t="s">
        <v>608</v>
      </c>
      <c r="F1838">
        <v>26.77</v>
      </c>
      <c r="G1838">
        <v>19.77</v>
      </c>
      <c r="H1838">
        <v>1</v>
      </c>
      <c r="I1838">
        <v>1</v>
      </c>
      <c r="J1838" t="s">
        <v>608</v>
      </c>
      <c r="K1838" t="s">
        <v>52</v>
      </c>
    </row>
    <row r="1839" spans="1:11" x14ac:dyDescent="0.2">
      <c r="A1839" t="s">
        <v>242</v>
      </c>
      <c r="B1839" t="s">
        <v>237</v>
      </c>
      <c r="C1839">
        <v>43.48</v>
      </c>
      <c r="D1839" t="s">
        <v>608</v>
      </c>
      <c r="E1839" t="s">
        <v>608</v>
      </c>
      <c r="F1839">
        <v>20.58</v>
      </c>
      <c r="G1839">
        <v>15.01</v>
      </c>
      <c r="H1839">
        <v>2</v>
      </c>
      <c r="I1839">
        <v>2</v>
      </c>
      <c r="J1839" t="s">
        <v>243</v>
      </c>
      <c r="K1839" t="s">
        <v>52</v>
      </c>
    </row>
    <row r="1840" spans="1:11" x14ac:dyDescent="0.2">
      <c r="A1840" t="s">
        <v>244</v>
      </c>
      <c r="B1840" t="s">
        <v>245</v>
      </c>
      <c r="C1840">
        <v>53.36</v>
      </c>
      <c r="D1840" t="s">
        <v>608</v>
      </c>
      <c r="E1840" t="s">
        <v>608</v>
      </c>
      <c r="F1840">
        <v>43.84</v>
      </c>
      <c r="G1840">
        <v>32.01</v>
      </c>
      <c r="H1840">
        <v>0</v>
      </c>
      <c r="I1840">
        <v>0</v>
      </c>
      <c r="J1840" t="s">
        <v>608</v>
      </c>
      <c r="K1840" t="s">
        <v>52</v>
      </c>
    </row>
    <row r="1841" spans="1:11" x14ac:dyDescent="0.2">
      <c r="A1841" t="s">
        <v>246</v>
      </c>
      <c r="B1841" t="s">
        <v>245</v>
      </c>
      <c r="C1841">
        <v>52.74</v>
      </c>
      <c r="D1841" t="s">
        <v>608</v>
      </c>
      <c r="E1841" t="s">
        <v>608</v>
      </c>
      <c r="F1841">
        <v>31.14</v>
      </c>
      <c r="G1841">
        <v>22.07</v>
      </c>
      <c r="H1841">
        <v>0</v>
      </c>
      <c r="I1841">
        <v>0</v>
      </c>
      <c r="J1841" t="s">
        <v>608</v>
      </c>
      <c r="K1841" t="s">
        <v>52</v>
      </c>
    </row>
    <row r="1842" spans="1:11" x14ac:dyDescent="0.2">
      <c r="A1842" t="s">
        <v>247</v>
      </c>
      <c r="B1842" t="s">
        <v>245</v>
      </c>
      <c r="C1842">
        <v>50.07</v>
      </c>
      <c r="D1842" t="s">
        <v>608</v>
      </c>
      <c r="E1842" t="s">
        <v>608</v>
      </c>
      <c r="F1842">
        <v>30.91</v>
      </c>
      <c r="G1842">
        <v>23.22</v>
      </c>
      <c r="H1842">
        <v>1</v>
      </c>
      <c r="I1842">
        <v>1</v>
      </c>
      <c r="J1842" t="s">
        <v>608</v>
      </c>
      <c r="K1842" t="s">
        <v>52</v>
      </c>
    </row>
    <row r="1843" spans="1:11" x14ac:dyDescent="0.2">
      <c r="A1843" t="s">
        <v>248</v>
      </c>
      <c r="B1843" t="s">
        <v>245</v>
      </c>
      <c r="C1843">
        <v>51.35</v>
      </c>
      <c r="D1843" t="s">
        <v>608</v>
      </c>
      <c r="E1843" t="s">
        <v>608</v>
      </c>
      <c r="F1843">
        <v>38.93</v>
      </c>
      <c r="G1843">
        <v>29.53</v>
      </c>
      <c r="H1843">
        <v>0.5</v>
      </c>
      <c r="I1843">
        <v>0.5</v>
      </c>
      <c r="J1843" t="s">
        <v>608</v>
      </c>
      <c r="K1843" t="s">
        <v>52</v>
      </c>
    </row>
    <row r="1844" spans="1:11" x14ac:dyDescent="0.2">
      <c r="A1844" t="s">
        <v>249</v>
      </c>
      <c r="B1844" t="s">
        <v>245</v>
      </c>
      <c r="C1844">
        <v>32.08</v>
      </c>
      <c r="D1844" t="s">
        <v>608</v>
      </c>
      <c r="E1844" t="s">
        <v>608</v>
      </c>
      <c r="F1844">
        <v>13.35</v>
      </c>
      <c r="G1844">
        <v>10.24</v>
      </c>
      <c r="H1844">
        <v>1</v>
      </c>
      <c r="I1844">
        <v>1</v>
      </c>
      <c r="J1844" t="s">
        <v>608</v>
      </c>
      <c r="K1844" t="s">
        <v>52</v>
      </c>
    </row>
    <row r="1845" spans="1:11" x14ac:dyDescent="0.2">
      <c r="A1845" t="s">
        <v>250</v>
      </c>
      <c r="B1845" t="s">
        <v>251</v>
      </c>
      <c r="C1845">
        <v>43.43</v>
      </c>
      <c r="D1845" t="s">
        <v>608</v>
      </c>
      <c r="E1845" t="s">
        <v>608</v>
      </c>
      <c r="F1845">
        <v>12.26</v>
      </c>
      <c r="G1845">
        <v>8.9</v>
      </c>
      <c r="H1845">
        <v>0</v>
      </c>
      <c r="I1845">
        <v>0</v>
      </c>
      <c r="J1845" t="s">
        <v>608</v>
      </c>
      <c r="K1845" t="s">
        <v>52</v>
      </c>
    </row>
    <row r="1846" spans="1:11" x14ac:dyDescent="0.2">
      <c r="A1846" t="s">
        <v>252</v>
      </c>
      <c r="B1846" t="s">
        <v>251</v>
      </c>
      <c r="C1846">
        <v>45.3</v>
      </c>
      <c r="D1846" t="s">
        <v>608</v>
      </c>
      <c r="E1846" t="s">
        <v>608</v>
      </c>
      <c r="F1846">
        <v>17.440000000000001</v>
      </c>
      <c r="G1846">
        <v>12.25</v>
      </c>
      <c r="H1846">
        <v>1</v>
      </c>
      <c r="I1846">
        <v>2</v>
      </c>
      <c r="J1846" t="s">
        <v>608</v>
      </c>
      <c r="K1846" t="s">
        <v>52</v>
      </c>
    </row>
    <row r="1847" spans="1:11" x14ac:dyDescent="0.2">
      <c r="A1847" t="s">
        <v>253</v>
      </c>
      <c r="B1847" t="s">
        <v>251</v>
      </c>
      <c r="C1847">
        <v>30.71</v>
      </c>
      <c r="D1847" t="s">
        <v>608</v>
      </c>
      <c r="E1847" t="s">
        <v>608</v>
      </c>
      <c r="F1847">
        <v>8.4700000000000006</v>
      </c>
      <c r="G1847">
        <v>6.21</v>
      </c>
      <c r="H1847">
        <v>0</v>
      </c>
      <c r="I1847">
        <v>0</v>
      </c>
      <c r="J1847" t="s">
        <v>75</v>
      </c>
      <c r="K1847" t="s">
        <v>52</v>
      </c>
    </row>
    <row r="1848" spans="1:11" x14ac:dyDescent="0.2">
      <c r="A1848" t="s">
        <v>254</v>
      </c>
      <c r="B1848" t="s">
        <v>251</v>
      </c>
      <c r="C1848">
        <v>46.84</v>
      </c>
      <c r="D1848" t="s">
        <v>608</v>
      </c>
      <c r="E1848" t="s">
        <v>608</v>
      </c>
      <c r="F1848">
        <v>12.52</v>
      </c>
      <c r="G1848">
        <v>8.98</v>
      </c>
      <c r="H1848">
        <v>0</v>
      </c>
      <c r="I1848">
        <v>0.5</v>
      </c>
      <c r="J1848" t="s">
        <v>608</v>
      </c>
      <c r="K1848" t="s">
        <v>52</v>
      </c>
    </row>
    <row r="1849" spans="1:11" x14ac:dyDescent="0.2">
      <c r="A1849" t="s">
        <v>255</v>
      </c>
      <c r="B1849" t="s">
        <v>251</v>
      </c>
      <c r="C1849">
        <v>74.040000000000006</v>
      </c>
      <c r="D1849" t="s">
        <v>608</v>
      </c>
      <c r="E1849" t="s">
        <v>608</v>
      </c>
      <c r="F1849">
        <v>66.2</v>
      </c>
      <c r="G1849">
        <v>48.78</v>
      </c>
      <c r="H1849">
        <v>0</v>
      </c>
      <c r="I1849">
        <v>0.5</v>
      </c>
      <c r="J1849" t="s">
        <v>256</v>
      </c>
      <c r="K1849" t="s">
        <v>52</v>
      </c>
    </row>
    <row r="1850" spans="1:11" x14ac:dyDescent="0.2">
      <c r="A1850" t="s">
        <v>257</v>
      </c>
      <c r="B1850" t="s">
        <v>258</v>
      </c>
      <c r="C1850">
        <v>67.88</v>
      </c>
      <c r="D1850" t="s">
        <v>608</v>
      </c>
      <c r="E1850" t="s">
        <v>608</v>
      </c>
      <c r="F1850">
        <v>79.569999999999993</v>
      </c>
      <c r="G1850">
        <v>54.21</v>
      </c>
      <c r="H1850">
        <v>0</v>
      </c>
      <c r="I1850">
        <v>0</v>
      </c>
      <c r="J1850" t="s">
        <v>608</v>
      </c>
      <c r="K1850" t="s">
        <v>52</v>
      </c>
    </row>
    <row r="1851" spans="1:11" x14ac:dyDescent="0.2">
      <c r="A1851" t="s">
        <v>259</v>
      </c>
      <c r="B1851" t="s">
        <v>258</v>
      </c>
      <c r="C1851">
        <v>68.739999999999995</v>
      </c>
      <c r="D1851" t="s">
        <v>608</v>
      </c>
      <c r="E1851" t="s">
        <v>608</v>
      </c>
      <c r="F1851">
        <v>52.31</v>
      </c>
      <c r="G1851">
        <v>37.450000000000003</v>
      </c>
      <c r="H1851">
        <v>0.5</v>
      </c>
      <c r="I1851">
        <v>0</v>
      </c>
      <c r="J1851" t="s">
        <v>608</v>
      </c>
      <c r="K1851" t="s">
        <v>52</v>
      </c>
    </row>
    <row r="1852" spans="1:11" x14ac:dyDescent="0.2">
      <c r="A1852" t="s">
        <v>260</v>
      </c>
      <c r="B1852" t="s">
        <v>258</v>
      </c>
      <c r="C1852">
        <v>59.33</v>
      </c>
      <c r="D1852" t="s">
        <v>608</v>
      </c>
      <c r="E1852" t="s">
        <v>608</v>
      </c>
      <c r="F1852">
        <v>36.409999999999997</v>
      </c>
      <c r="G1852">
        <v>25.56</v>
      </c>
      <c r="H1852">
        <v>0</v>
      </c>
      <c r="I1852">
        <v>0</v>
      </c>
      <c r="J1852" t="s">
        <v>608</v>
      </c>
      <c r="K1852" t="s">
        <v>52</v>
      </c>
    </row>
    <row r="1853" spans="1:11" x14ac:dyDescent="0.2">
      <c r="A1853" t="s">
        <v>261</v>
      </c>
      <c r="B1853" t="s">
        <v>258</v>
      </c>
      <c r="C1853">
        <v>50.5</v>
      </c>
      <c r="D1853" t="s">
        <v>608</v>
      </c>
      <c r="E1853" t="s">
        <v>608</v>
      </c>
      <c r="F1853">
        <v>26.33</v>
      </c>
      <c r="G1853">
        <v>20.97</v>
      </c>
      <c r="H1853">
        <v>1</v>
      </c>
      <c r="I1853">
        <v>2</v>
      </c>
      <c r="J1853" t="s">
        <v>608</v>
      </c>
      <c r="K1853" t="s">
        <v>52</v>
      </c>
    </row>
    <row r="1854" spans="1:11" x14ac:dyDescent="0.2">
      <c r="A1854" t="s">
        <v>262</v>
      </c>
      <c r="B1854" t="s">
        <v>258</v>
      </c>
      <c r="C1854">
        <v>57.8</v>
      </c>
      <c r="D1854" t="s">
        <v>608</v>
      </c>
      <c r="E1854" t="s">
        <v>608</v>
      </c>
      <c r="F1854">
        <v>48.45</v>
      </c>
      <c r="G1854">
        <v>37.44</v>
      </c>
      <c r="H1854">
        <v>0.5</v>
      </c>
      <c r="I1854">
        <v>0.5</v>
      </c>
      <c r="J1854" t="s">
        <v>608</v>
      </c>
      <c r="K1854" t="s">
        <v>52</v>
      </c>
    </row>
    <row r="1855" spans="1:11" x14ac:dyDescent="0.2">
      <c r="A1855" t="s">
        <v>263</v>
      </c>
      <c r="B1855" t="s">
        <v>264</v>
      </c>
      <c r="C1855">
        <v>86.28</v>
      </c>
      <c r="D1855" t="s">
        <v>608</v>
      </c>
      <c r="E1855" t="s">
        <v>608</v>
      </c>
      <c r="F1855">
        <v>56.15</v>
      </c>
      <c r="G1855">
        <v>44.3</v>
      </c>
      <c r="H1855">
        <v>2</v>
      </c>
      <c r="I1855">
        <v>2</v>
      </c>
      <c r="J1855" t="s">
        <v>608</v>
      </c>
      <c r="K1855" t="s">
        <v>52</v>
      </c>
    </row>
    <row r="1856" spans="1:11" x14ac:dyDescent="0.2">
      <c r="A1856" t="s">
        <v>265</v>
      </c>
      <c r="B1856" t="s">
        <v>264</v>
      </c>
      <c r="C1856">
        <v>61.71</v>
      </c>
      <c r="D1856" t="s">
        <v>608</v>
      </c>
      <c r="E1856" t="s">
        <v>608</v>
      </c>
      <c r="F1856">
        <v>39.75</v>
      </c>
      <c r="G1856">
        <v>28.86</v>
      </c>
      <c r="H1856">
        <v>1</v>
      </c>
      <c r="I1856">
        <v>1</v>
      </c>
      <c r="J1856" t="s">
        <v>608</v>
      </c>
      <c r="K1856" t="s">
        <v>52</v>
      </c>
    </row>
    <row r="1857" spans="1:11" x14ac:dyDescent="0.2">
      <c r="A1857" t="s">
        <v>266</v>
      </c>
      <c r="B1857" t="s">
        <v>264</v>
      </c>
      <c r="C1857">
        <v>61.14</v>
      </c>
      <c r="D1857" t="s">
        <v>608</v>
      </c>
      <c r="E1857" t="s">
        <v>608</v>
      </c>
      <c r="F1857">
        <v>41.8</v>
      </c>
      <c r="G1857">
        <v>28.56</v>
      </c>
      <c r="H1857">
        <v>0.5</v>
      </c>
      <c r="I1857">
        <v>0</v>
      </c>
      <c r="J1857" t="s">
        <v>608</v>
      </c>
      <c r="K1857" t="s">
        <v>52</v>
      </c>
    </row>
    <row r="1858" spans="1:11" x14ac:dyDescent="0.2">
      <c r="A1858" t="s">
        <v>267</v>
      </c>
      <c r="B1858" t="s">
        <v>264</v>
      </c>
      <c r="C1858">
        <v>68.92</v>
      </c>
      <c r="D1858" t="s">
        <v>608</v>
      </c>
      <c r="E1858" t="s">
        <v>608</v>
      </c>
      <c r="F1858">
        <v>87.68</v>
      </c>
      <c r="G1858">
        <v>63.93</v>
      </c>
      <c r="H1858">
        <v>0.5</v>
      </c>
      <c r="I1858">
        <v>1</v>
      </c>
      <c r="J1858" t="s">
        <v>608</v>
      </c>
      <c r="K1858" t="s">
        <v>52</v>
      </c>
    </row>
    <row r="1859" spans="1:11" x14ac:dyDescent="0.2">
      <c r="A1859" t="s">
        <v>268</v>
      </c>
      <c r="B1859" t="s">
        <v>264</v>
      </c>
      <c r="C1859">
        <v>70.11</v>
      </c>
      <c r="D1859" t="s">
        <v>608</v>
      </c>
      <c r="E1859" t="s">
        <v>608</v>
      </c>
      <c r="F1859">
        <v>48.34</v>
      </c>
      <c r="G1859">
        <v>40.9</v>
      </c>
      <c r="H1859">
        <v>0.5</v>
      </c>
      <c r="I1859">
        <v>0.5</v>
      </c>
      <c r="J1859" t="s">
        <v>608</v>
      </c>
      <c r="K1859" t="s">
        <v>52</v>
      </c>
    </row>
    <row r="1860" spans="1:11" x14ac:dyDescent="0.2">
      <c r="A1860" t="s">
        <v>269</v>
      </c>
      <c r="B1860" t="s">
        <v>270</v>
      </c>
      <c r="C1860">
        <v>78.209999999999994</v>
      </c>
      <c r="D1860" t="s">
        <v>608</v>
      </c>
      <c r="E1860" t="s">
        <v>608</v>
      </c>
      <c r="F1860">
        <v>53.35</v>
      </c>
      <c r="G1860">
        <v>35.119999999999997</v>
      </c>
      <c r="H1860">
        <v>2</v>
      </c>
      <c r="I1860">
        <v>2</v>
      </c>
      <c r="J1860" t="s">
        <v>608</v>
      </c>
      <c r="K1860" t="s">
        <v>52</v>
      </c>
    </row>
    <row r="1861" spans="1:11" x14ac:dyDescent="0.2">
      <c r="A1861" t="s">
        <v>271</v>
      </c>
      <c r="B1861" t="s">
        <v>270</v>
      </c>
      <c r="C1861">
        <v>61.92</v>
      </c>
      <c r="D1861" t="s">
        <v>608</v>
      </c>
      <c r="E1861" t="s">
        <v>608</v>
      </c>
      <c r="F1861">
        <v>40.729999999999997</v>
      </c>
      <c r="G1861">
        <v>28.13</v>
      </c>
      <c r="H1861">
        <v>1</v>
      </c>
      <c r="I1861">
        <v>0.5</v>
      </c>
      <c r="J1861" t="s">
        <v>608</v>
      </c>
      <c r="K1861" t="s">
        <v>52</v>
      </c>
    </row>
    <row r="1862" spans="1:11" x14ac:dyDescent="0.2">
      <c r="A1862" t="s">
        <v>272</v>
      </c>
      <c r="B1862" t="s">
        <v>270</v>
      </c>
      <c r="C1862">
        <v>57.18</v>
      </c>
      <c r="D1862" t="s">
        <v>608</v>
      </c>
      <c r="E1862" t="s">
        <v>608</v>
      </c>
      <c r="F1862">
        <v>30.21</v>
      </c>
      <c r="G1862">
        <v>23.58</v>
      </c>
      <c r="H1862">
        <v>1</v>
      </c>
      <c r="I1862">
        <v>0.5</v>
      </c>
      <c r="J1862" t="s">
        <v>608</v>
      </c>
      <c r="K1862" t="s">
        <v>52</v>
      </c>
    </row>
    <row r="1863" spans="1:11" x14ac:dyDescent="0.2">
      <c r="A1863" t="s">
        <v>273</v>
      </c>
      <c r="B1863" t="s">
        <v>270</v>
      </c>
      <c r="C1863">
        <v>49.53</v>
      </c>
      <c r="D1863" t="s">
        <v>608</v>
      </c>
      <c r="E1863" t="s">
        <v>608</v>
      </c>
      <c r="F1863">
        <v>15.6</v>
      </c>
      <c r="G1863">
        <v>10.56</v>
      </c>
      <c r="H1863">
        <v>3</v>
      </c>
      <c r="I1863">
        <v>3</v>
      </c>
      <c r="J1863" t="s">
        <v>608</v>
      </c>
      <c r="K1863" t="s">
        <v>52</v>
      </c>
    </row>
    <row r="1864" spans="1:11" x14ac:dyDescent="0.2">
      <c r="A1864" t="s">
        <v>274</v>
      </c>
      <c r="B1864" t="s">
        <v>270</v>
      </c>
      <c r="C1864">
        <v>37.869999999999997</v>
      </c>
      <c r="D1864" t="s">
        <v>608</v>
      </c>
      <c r="E1864" t="s">
        <v>608</v>
      </c>
      <c r="F1864">
        <v>8.0299999999999994</v>
      </c>
      <c r="G1864">
        <v>5.82</v>
      </c>
      <c r="H1864">
        <v>1</v>
      </c>
      <c r="I1864">
        <v>0.5</v>
      </c>
      <c r="J1864" t="s">
        <v>608</v>
      </c>
      <c r="K1864" t="s">
        <v>52</v>
      </c>
    </row>
    <row r="1865" spans="1:11" x14ac:dyDescent="0.2">
      <c r="A1865" t="s">
        <v>275</v>
      </c>
      <c r="B1865" t="s">
        <v>276</v>
      </c>
      <c r="C1865">
        <v>64.02</v>
      </c>
      <c r="D1865" t="s">
        <v>608</v>
      </c>
      <c r="E1865" t="s">
        <v>608</v>
      </c>
      <c r="F1865">
        <v>53.05</v>
      </c>
      <c r="G1865">
        <v>32.85</v>
      </c>
      <c r="H1865">
        <v>1</v>
      </c>
      <c r="I1865">
        <v>1</v>
      </c>
      <c r="J1865" t="s">
        <v>277</v>
      </c>
      <c r="K1865" t="s">
        <v>52</v>
      </c>
    </row>
    <row r="1866" spans="1:11" x14ac:dyDescent="0.2">
      <c r="A1866" t="s">
        <v>278</v>
      </c>
      <c r="B1866" t="s">
        <v>276</v>
      </c>
      <c r="C1866">
        <v>63.7</v>
      </c>
      <c r="D1866" t="s">
        <v>608</v>
      </c>
      <c r="E1866" t="s">
        <v>608</v>
      </c>
      <c r="F1866">
        <v>56.92</v>
      </c>
      <c r="G1866">
        <v>42.05</v>
      </c>
      <c r="H1866">
        <v>0.5</v>
      </c>
      <c r="I1866">
        <v>0</v>
      </c>
      <c r="J1866" t="s">
        <v>279</v>
      </c>
      <c r="K1866" t="s">
        <v>52</v>
      </c>
    </row>
    <row r="1867" spans="1:11" x14ac:dyDescent="0.2">
      <c r="A1867" t="s">
        <v>280</v>
      </c>
      <c r="B1867" t="s">
        <v>276</v>
      </c>
      <c r="C1867">
        <v>64.900000000000006</v>
      </c>
      <c r="D1867" t="s">
        <v>608</v>
      </c>
      <c r="E1867" t="s">
        <v>608</v>
      </c>
      <c r="F1867">
        <v>61.7</v>
      </c>
      <c r="G1867">
        <v>41.2</v>
      </c>
      <c r="H1867">
        <v>1</v>
      </c>
      <c r="I1867">
        <v>0</v>
      </c>
      <c r="J1867" t="s">
        <v>608</v>
      </c>
      <c r="K1867" t="s">
        <v>52</v>
      </c>
    </row>
    <row r="1868" spans="1:11" x14ac:dyDescent="0.2">
      <c r="A1868" t="s">
        <v>281</v>
      </c>
      <c r="B1868" t="s">
        <v>276</v>
      </c>
      <c r="C1868">
        <v>59.3</v>
      </c>
      <c r="D1868" t="s">
        <v>608</v>
      </c>
      <c r="E1868" t="s">
        <v>608</v>
      </c>
      <c r="F1868">
        <v>65.59</v>
      </c>
      <c r="G1868">
        <v>47.07</v>
      </c>
      <c r="H1868">
        <v>0</v>
      </c>
      <c r="I1868">
        <v>0</v>
      </c>
      <c r="J1868" t="s">
        <v>608</v>
      </c>
      <c r="K1868" t="s">
        <v>52</v>
      </c>
    </row>
    <row r="1869" spans="1:11" x14ac:dyDescent="0.2">
      <c r="A1869" t="s">
        <v>282</v>
      </c>
      <c r="B1869" t="s">
        <v>276</v>
      </c>
      <c r="C1869">
        <v>59.94</v>
      </c>
      <c r="D1869" t="s">
        <v>608</v>
      </c>
      <c r="E1869" t="s">
        <v>608</v>
      </c>
      <c r="F1869">
        <v>69.739999999999995</v>
      </c>
      <c r="G1869">
        <v>53.94</v>
      </c>
      <c r="H1869">
        <v>0</v>
      </c>
      <c r="I1869">
        <v>0</v>
      </c>
      <c r="J1869" t="s">
        <v>608</v>
      </c>
      <c r="K1869" t="s">
        <v>52</v>
      </c>
    </row>
    <row r="1870" spans="1:11" x14ac:dyDescent="0.2">
      <c r="A1870" t="s">
        <v>283</v>
      </c>
      <c r="B1870" t="s">
        <v>284</v>
      </c>
      <c r="C1870">
        <v>55.96</v>
      </c>
      <c r="D1870" t="s">
        <v>608</v>
      </c>
      <c r="E1870" t="s">
        <v>608</v>
      </c>
      <c r="F1870">
        <v>31.77</v>
      </c>
      <c r="G1870">
        <v>21.28</v>
      </c>
      <c r="H1870">
        <v>1</v>
      </c>
      <c r="I1870">
        <v>0.5</v>
      </c>
      <c r="J1870" t="s">
        <v>285</v>
      </c>
      <c r="K1870" t="s">
        <v>52</v>
      </c>
    </row>
    <row r="1871" spans="1:11" x14ac:dyDescent="0.2">
      <c r="A1871" t="s">
        <v>286</v>
      </c>
      <c r="B1871" t="s">
        <v>284</v>
      </c>
      <c r="C1871">
        <v>75.56</v>
      </c>
      <c r="D1871" t="s">
        <v>608</v>
      </c>
      <c r="E1871" t="s">
        <v>608</v>
      </c>
      <c r="F1871">
        <v>92.54</v>
      </c>
      <c r="G1871">
        <v>68.78</v>
      </c>
      <c r="H1871">
        <v>0.5</v>
      </c>
      <c r="I1871">
        <v>0</v>
      </c>
      <c r="J1871" t="s">
        <v>608</v>
      </c>
      <c r="K1871" t="s">
        <v>52</v>
      </c>
    </row>
    <row r="1872" spans="1:11" x14ac:dyDescent="0.2">
      <c r="A1872" t="s">
        <v>287</v>
      </c>
      <c r="B1872" t="s">
        <v>284</v>
      </c>
      <c r="C1872">
        <v>64.44</v>
      </c>
      <c r="D1872" t="s">
        <v>608</v>
      </c>
      <c r="E1872" t="s">
        <v>608</v>
      </c>
      <c r="F1872">
        <v>61.9</v>
      </c>
      <c r="G1872">
        <v>45.45</v>
      </c>
      <c r="H1872">
        <v>0</v>
      </c>
      <c r="I1872">
        <v>0</v>
      </c>
      <c r="J1872" t="s">
        <v>608</v>
      </c>
      <c r="K1872" t="s">
        <v>52</v>
      </c>
    </row>
    <row r="1873" spans="1:11" x14ac:dyDescent="0.2">
      <c r="A1873" t="s">
        <v>288</v>
      </c>
      <c r="B1873" t="s">
        <v>284</v>
      </c>
      <c r="C1873">
        <v>62.41</v>
      </c>
      <c r="D1873" t="s">
        <v>608</v>
      </c>
      <c r="E1873" t="s">
        <v>608</v>
      </c>
      <c r="F1873">
        <v>65.05</v>
      </c>
      <c r="G1873">
        <v>47.21</v>
      </c>
      <c r="H1873">
        <v>0.5</v>
      </c>
      <c r="I1873">
        <v>1</v>
      </c>
      <c r="J1873" t="s">
        <v>608</v>
      </c>
      <c r="K1873" t="s">
        <v>52</v>
      </c>
    </row>
    <row r="1874" spans="1:11" x14ac:dyDescent="0.2">
      <c r="A1874" t="s">
        <v>289</v>
      </c>
      <c r="B1874" t="s">
        <v>284</v>
      </c>
      <c r="C1874">
        <v>54.11</v>
      </c>
      <c r="D1874" t="s">
        <v>608</v>
      </c>
      <c r="E1874" t="s">
        <v>608</v>
      </c>
      <c r="F1874">
        <v>29.15</v>
      </c>
      <c r="G1874">
        <v>19.13</v>
      </c>
      <c r="H1874">
        <v>0</v>
      </c>
      <c r="I1874">
        <v>0</v>
      </c>
      <c r="J1874" t="s">
        <v>608</v>
      </c>
      <c r="K1874" t="s">
        <v>52</v>
      </c>
    </row>
    <row r="1875" spans="1:11" x14ac:dyDescent="0.2">
      <c r="A1875" t="s">
        <v>290</v>
      </c>
      <c r="B1875" t="s">
        <v>291</v>
      </c>
      <c r="C1875">
        <v>77.86</v>
      </c>
      <c r="D1875" t="s">
        <v>608</v>
      </c>
      <c r="E1875" t="s">
        <v>608</v>
      </c>
      <c r="F1875">
        <v>71.010000000000005</v>
      </c>
      <c r="G1875">
        <v>51.7</v>
      </c>
      <c r="H1875">
        <v>0</v>
      </c>
      <c r="I1875">
        <v>0</v>
      </c>
      <c r="J1875" t="s">
        <v>608</v>
      </c>
      <c r="K1875" t="s">
        <v>52</v>
      </c>
    </row>
    <row r="1876" spans="1:11" x14ac:dyDescent="0.2">
      <c r="A1876" t="s">
        <v>292</v>
      </c>
      <c r="B1876" t="s">
        <v>291</v>
      </c>
      <c r="C1876">
        <v>99.62</v>
      </c>
      <c r="D1876" t="s">
        <v>608</v>
      </c>
      <c r="E1876" t="s">
        <v>608</v>
      </c>
      <c r="F1876">
        <v>126.55</v>
      </c>
      <c r="G1876">
        <v>87.06</v>
      </c>
      <c r="H1876">
        <v>0</v>
      </c>
      <c r="I1876">
        <v>0</v>
      </c>
      <c r="J1876" t="s">
        <v>608</v>
      </c>
      <c r="K1876" t="s">
        <v>52</v>
      </c>
    </row>
    <row r="1877" spans="1:11" x14ac:dyDescent="0.2">
      <c r="A1877" t="s">
        <v>293</v>
      </c>
      <c r="B1877" t="s">
        <v>291</v>
      </c>
      <c r="C1877">
        <v>80.78</v>
      </c>
      <c r="D1877" t="s">
        <v>608</v>
      </c>
      <c r="E1877" t="s">
        <v>608</v>
      </c>
      <c r="F1877">
        <v>48.58</v>
      </c>
      <c r="G1877">
        <v>31.87</v>
      </c>
      <c r="H1877">
        <v>2</v>
      </c>
      <c r="I1877">
        <v>2</v>
      </c>
      <c r="J1877" t="s">
        <v>608</v>
      </c>
      <c r="K1877" t="s">
        <v>52</v>
      </c>
    </row>
    <row r="1878" spans="1:11" x14ac:dyDescent="0.2">
      <c r="A1878" t="s">
        <v>294</v>
      </c>
      <c r="B1878" t="s">
        <v>291</v>
      </c>
      <c r="C1878">
        <v>67.17</v>
      </c>
      <c r="D1878" t="s">
        <v>608</v>
      </c>
      <c r="E1878" t="s">
        <v>608</v>
      </c>
      <c r="F1878">
        <v>53.8</v>
      </c>
      <c r="G1878">
        <v>37.770000000000003</v>
      </c>
      <c r="H1878">
        <v>0</v>
      </c>
      <c r="I1878">
        <v>0</v>
      </c>
      <c r="J1878" t="s">
        <v>608</v>
      </c>
      <c r="K1878" t="s">
        <v>52</v>
      </c>
    </row>
    <row r="1879" spans="1:11" x14ac:dyDescent="0.2">
      <c r="A1879" t="s">
        <v>295</v>
      </c>
      <c r="B1879" t="s">
        <v>291</v>
      </c>
      <c r="C1879">
        <v>70.8</v>
      </c>
      <c r="D1879" t="s">
        <v>608</v>
      </c>
      <c r="E1879" t="s">
        <v>608</v>
      </c>
      <c r="F1879">
        <v>58.64</v>
      </c>
      <c r="G1879">
        <v>41.02</v>
      </c>
      <c r="H1879">
        <v>0</v>
      </c>
      <c r="I1879">
        <v>0.5</v>
      </c>
      <c r="J1879" t="s">
        <v>277</v>
      </c>
      <c r="K1879" t="s">
        <v>52</v>
      </c>
    </row>
    <row r="1880" spans="1:11" x14ac:dyDescent="0.2">
      <c r="A1880" t="s">
        <v>296</v>
      </c>
      <c r="B1880" t="s">
        <v>297</v>
      </c>
      <c r="C1880">
        <v>66.459999999999994</v>
      </c>
      <c r="D1880" t="s">
        <v>608</v>
      </c>
      <c r="E1880" t="s">
        <v>608</v>
      </c>
      <c r="F1880">
        <v>39.9</v>
      </c>
      <c r="G1880">
        <v>29.08</v>
      </c>
      <c r="H1880">
        <v>0</v>
      </c>
      <c r="I1880">
        <v>0</v>
      </c>
      <c r="J1880" t="s">
        <v>298</v>
      </c>
      <c r="K1880" t="s">
        <v>52</v>
      </c>
    </row>
    <row r="1881" spans="1:11" x14ac:dyDescent="0.2">
      <c r="A1881" t="s">
        <v>299</v>
      </c>
      <c r="B1881" t="s">
        <v>297</v>
      </c>
      <c r="C1881">
        <v>49.48</v>
      </c>
      <c r="D1881" t="s">
        <v>608</v>
      </c>
      <c r="E1881" t="s">
        <v>608</v>
      </c>
      <c r="F1881">
        <v>31.28</v>
      </c>
      <c r="G1881">
        <v>23.04</v>
      </c>
      <c r="H1881">
        <v>1</v>
      </c>
      <c r="I1881">
        <v>0.5</v>
      </c>
      <c r="J1881" t="s">
        <v>608</v>
      </c>
      <c r="K1881" t="s">
        <v>52</v>
      </c>
    </row>
    <row r="1882" spans="1:11" x14ac:dyDescent="0.2">
      <c r="A1882" t="s">
        <v>300</v>
      </c>
      <c r="B1882" t="s">
        <v>297</v>
      </c>
      <c r="C1882">
        <v>48.47</v>
      </c>
      <c r="D1882" t="s">
        <v>608</v>
      </c>
      <c r="E1882" t="s">
        <v>608</v>
      </c>
      <c r="F1882">
        <v>27.13</v>
      </c>
      <c r="G1882">
        <v>19.52</v>
      </c>
      <c r="H1882">
        <v>0.5</v>
      </c>
      <c r="I1882">
        <v>0.5</v>
      </c>
      <c r="J1882" t="s">
        <v>608</v>
      </c>
      <c r="K1882" t="s">
        <v>52</v>
      </c>
    </row>
    <row r="1883" spans="1:11" x14ac:dyDescent="0.2">
      <c r="A1883" t="s">
        <v>301</v>
      </c>
      <c r="B1883" t="s">
        <v>297</v>
      </c>
      <c r="C1883">
        <v>59.18</v>
      </c>
      <c r="D1883" t="s">
        <v>608</v>
      </c>
      <c r="E1883" t="s">
        <v>608</v>
      </c>
      <c r="F1883">
        <v>44.89</v>
      </c>
      <c r="G1883">
        <v>36.64</v>
      </c>
      <c r="H1883">
        <v>1</v>
      </c>
      <c r="I1883">
        <v>0.5</v>
      </c>
      <c r="J1883" t="s">
        <v>608</v>
      </c>
      <c r="K1883" t="s">
        <v>52</v>
      </c>
    </row>
    <row r="1884" spans="1:11" x14ac:dyDescent="0.2">
      <c r="A1884" t="s">
        <v>302</v>
      </c>
      <c r="B1884" t="s">
        <v>297</v>
      </c>
      <c r="C1884">
        <v>49.28</v>
      </c>
      <c r="D1884" t="s">
        <v>608</v>
      </c>
      <c r="E1884" t="s">
        <v>608</v>
      </c>
      <c r="F1884">
        <v>31.68</v>
      </c>
      <c r="G1884">
        <v>23.2</v>
      </c>
      <c r="H1884">
        <v>1</v>
      </c>
      <c r="I1884">
        <v>0.5</v>
      </c>
      <c r="J1884" t="s">
        <v>608</v>
      </c>
      <c r="K1884" t="s">
        <v>52</v>
      </c>
    </row>
    <row r="1885" spans="1:11" x14ac:dyDescent="0.2">
      <c r="A1885" t="s">
        <v>303</v>
      </c>
      <c r="B1885" t="s">
        <v>304</v>
      </c>
      <c r="C1885">
        <v>53.37</v>
      </c>
      <c r="D1885" t="s">
        <v>608</v>
      </c>
      <c r="E1885" t="s">
        <v>608</v>
      </c>
      <c r="F1885">
        <v>51.64</v>
      </c>
      <c r="G1885">
        <v>40.01</v>
      </c>
      <c r="H1885">
        <v>0.5</v>
      </c>
      <c r="I1885">
        <v>1</v>
      </c>
      <c r="J1885" t="s">
        <v>305</v>
      </c>
      <c r="K1885" t="s">
        <v>52</v>
      </c>
    </row>
    <row r="1886" spans="1:11" x14ac:dyDescent="0.2">
      <c r="A1886" t="s">
        <v>306</v>
      </c>
      <c r="B1886" t="s">
        <v>304</v>
      </c>
      <c r="C1886">
        <v>58.53</v>
      </c>
      <c r="D1886" t="s">
        <v>608</v>
      </c>
      <c r="E1886" t="s">
        <v>608</v>
      </c>
      <c r="F1886">
        <v>34.880000000000003</v>
      </c>
      <c r="G1886">
        <v>27.18</v>
      </c>
      <c r="H1886">
        <v>0.5</v>
      </c>
      <c r="I1886">
        <v>0.5</v>
      </c>
      <c r="J1886" t="s">
        <v>307</v>
      </c>
      <c r="K1886" t="s">
        <v>52</v>
      </c>
    </row>
    <row r="1887" spans="1:11" x14ac:dyDescent="0.2">
      <c r="A1887" t="s">
        <v>308</v>
      </c>
      <c r="B1887" t="s">
        <v>304</v>
      </c>
      <c r="C1887">
        <v>59.94</v>
      </c>
      <c r="D1887" t="s">
        <v>608</v>
      </c>
      <c r="E1887" t="s">
        <v>608</v>
      </c>
      <c r="F1887">
        <v>51.66</v>
      </c>
      <c r="G1887">
        <v>34.659999999999997</v>
      </c>
      <c r="H1887">
        <v>0.5</v>
      </c>
      <c r="I1887">
        <v>0.5</v>
      </c>
      <c r="J1887" t="s">
        <v>285</v>
      </c>
      <c r="K1887" t="s">
        <v>52</v>
      </c>
    </row>
    <row r="1888" spans="1:11" x14ac:dyDescent="0.2">
      <c r="A1888" t="s">
        <v>309</v>
      </c>
      <c r="B1888" t="s">
        <v>304</v>
      </c>
      <c r="C1888">
        <v>49.64</v>
      </c>
      <c r="D1888" t="s">
        <v>608</v>
      </c>
      <c r="E1888" t="s">
        <v>608</v>
      </c>
      <c r="F1888">
        <v>32.64</v>
      </c>
      <c r="G1888">
        <v>18.47</v>
      </c>
      <c r="H1888">
        <v>1</v>
      </c>
      <c r="I1888">
        <v>1</v>
      </c>
      <c r="J1888" t="s">
        <v>131</v>
      </c>
      <c r="K1888" t="s">
        <v>52</v>
      </c>
    </row>
    <row r="1889" spans="1:11" x14ac:dyDescent="0.2">
      <c r="A1889" t="s">
        <v>310</v>
      </c>
      <c r="B1889" t="s">
        <v>304</v>
      </c>
      <c r="C1889">
        <v>44.06</v>
      </c>
      <c r="D1889" t="s">
        <v>608</v>
      </c>
      <c r="E1889" t="s">
        <v>608</v>
      </c>
      <c r="F1889">
        <v>29.02</v>
      </c>
      <c r="G1889">
        <v>20.190000000000001</v>
      </c>
      <c r="H1889">
        <v>0</v>
      </c>
      <c r="I1889">
        <v>0.5</v>
      </c>
      <c r="J1889" t="s">
        <v>311</v>
      </c>
      <c r="K1889" t="s">
        <v>52</v>
      </c>
    </row>
    <row r="1890" spans="1:11" x14ac:dyDescent="0.2">
      <c r="A1890" t="s">
        <v>312</v>
      </c>
      <c r="B1890" t="s">
        <v>313</v>
      </c>
      <c r="C1890">
        <v>63.04</v>
      </c>
      <c r="D1890" t="s">
        <v>608</v>
      </c>
      <c r="E1890" t="s">
        <v>608</v>
      </c>
      <c r="F1890">
        <v>43.32</v>
      </c>
      <c r="G1890">
        <v>31.3</v>
      </c>
      <c r="H1890">
        <v>0.5</v>
      </c>
      <c r="I1890">
        <v>0.5</v>
      </c>
      <c r="J1890" t="s">
        <v>314</v>
      </c>
      <c r="K1890" t="s">
        <v>52</v>
      </c>
    </row>
    <row r="1891" spans="1:11" x14ac:dyDescent="0.2">
      <c r="A1891" t="s">
        <v>315</v>
      </c>
      <c r="B1891" t="s">
        <v>313</v>
      </c>
      <c r="C1891">
        <v>66.510000000000005</v>
      </c>
      <c r="D1891" t="s">
        <v>608</v>
      </c>
      <c r="E1891" t="s">
        <v>608</v>
      </c>
      <c r="F1891">
        <v>43.57</v>
      </c>
      <c r="G1891">
        <v>30.46</v>
      </c>
      <c r="H1891">
        <v>0</v>
      </c>
      <c r="I1891">
        <v>0</v>
      </c>
      <c r="J1891" t="s">
        <v>608</v>
      </c>
      <c r="K1891" t="s">
        <v>52</v>
      </c>
    </row>
    <row r="1892" spans="1:11" x14ac:dyDescent="0.2">
      <c r="A1892" t="s">
        <v>316</v>
      </c>
      <c r="B1892" t="s">
        <v>313</v>
      </c>
      <c r="C1892">
        <v>51.48</v>
      </c>
      <c r="D1892" t="s">
        <v>608</v>
      </c>
      <c r="E1892" t="s">
        <v>608</v>
      </c>
      <c r="F1892">
        <v>40.86</v>
      </c>
      <c r="G1892">
        <v>29.63</v>
      </c>
      <c r="H1892">
        <v>0</v>
      </c>
      <c r="I1892">
        <v>0</v>
      </c>
      <c r="J1892" t="s">
        <v>608</v>
      </c>
      <c r="K1892" t="s">
        <v>52</v>
      </c>
    </row>
    <row r="1893" spans="1:11" x14ac:dyDescent="0.2">
      <c r="A1893" t="s">
        <v>317</v>
      </c>
      <c r="B1893" t="s">
        <v>313</v>
      </c>
      <c r="C1893">
        <v>60.01</v>
      </c>
      <c r="D1893" t="s">
        <v>608</v>
      </c>
      <c r="E1893" t="s">
        <v>608</v>
      </c>
      <c r="F1893">
        <v>35.99</v>
      </c>
      <c r="G1893">
        <v>23.68</v>
      </c>
      <c r="H1893">
        <v>0.5</v>
      </c>
      <c r="I1893">
        <v>0.5</v>
      </c>
      <c r="J1893" t="s">
        <v>608</v>
      </c>
      <c r="K1893" t="s">
        <v>52</v>
      </c>
    </row>
    <row r="1894" spans="1:11" x14ac:dyDescent="0.2">
      <c r="A1894" t="s">
        <v>318</v>
      </c>
      <c r="B1894" t="s">
        <v>313</v>
      </c>
      <c r="C1894">
        <v>42.94</v>
      </c>
      <c r="D1894" t="s">
        <v>608</v>
      </c>
      <c r="E1894" t="s">
        <v>608</v>
      </c>
      <c r="F1894">
        <v>23.21</v>
      </c>
      <c r="G1894">
        <v>16.16</v>
      </c>
      <c r="H1894">
        <v>1</v>
      </c>
      <c r="I1894">
        <v>1</v>
      </c>
      <c r="J1894" t="s">
        <v>608</v>
      </c>
      <c r="K1894" t="s">
        <v>52</v>
      </c>
    </row>
    <row r="1895" spans="1:11" x14ac:dyDescent="0.2">
      <c r="A1895" t="s">
        <v>319</v>
      </c>
      <c r="B1895" t="s">
        <v>320</v>
      </c>
      <c r="C1895">
        <v>53.75</v>
      </c>
      <c r="D1895" t="s">
        <v>608</v>
      </c>
      <c r="E1895" t="s">
        <v>608</v>
      </c>
      <c r="F1895">
        <v>26.22</v>
      </c>
      <c r="G1895">
        <v>18.18</v>
      </c>
      <c r="H1895">
        <v>0.5</v>
      </c>
      <c r="I1895">
        <v>0</v>
      </c>
      <c r="J1895" t="s">
        <v>608</v>
      </c>
      <c r="K1895" t="s">
        <v>52</v>
      </c>
    </row>
    <row r="1896" spans="1:11" x14ac:dyDescent="0.2">
      <c r="A1896" t="s">
        <v>321</v>
      </c>
      <c r="B1896" t="s">
        <v>320</v>
      </c>
      <c r="C1896">
        <v>58.29</v>
      </c>
      <c r="D1896" t="s">
        <v>608</v>
      </c>
      <c r="E1896" t="s">
        <v>608</v>
      </c>
      <c r="F1896">
        <v>44.56</v>
      </c>
      <c r="G1896">
        <v>32.229999999999997</v>
      </c>
      <c r="H1896">
        <v>0</v>
      </c>
      <c r="I1896">
        <v>0</v>
      </c>
      <c r="J1896" t="s">
        <v>608</v>
      </c>
      <c r="K1896" t="s">
        <v>52</v>
      </c>
    </row>
    <row r="1897" spans="1:11" x14ac:dyDescent="0.2">
      <c r="A1897" t="s">
        <v>322</v>
      </c>
      <c r="B1897" t="s">
        <v>320</v>
      </c>
      <c r="C1897">
        <v>51.97</v>
      </c>
      <c r="D1897" t="s">
        <v>608</v>
      </c>
      <c r="E1897" t="s">
        <v>608</v>
      </c>
      <c r="F1897">
        <v>25.63</v>
      </c>
      <c r="G1897">
        <v>16.87</v>
      </c>
      <c r="H1897">
        <v>0.5</v>
      </c>
      <c r="I1897">
        <v>0.5</v>
      </c>
      <c r="J1897" t="s">
        <v>608</v>
      </c>
      <c r="K1897" t="s">
        <v>52</v>
      </c>
    </row>
    <row r="1898" spans="1:11" x14ac:dyDescent="0.2">
      <c r="A1898" t="s">
        <v>323</v>
      </c>
      <c r="B1898" t="s">
        <v>320</v>
      </c>
      <c r="C1898">
        <v>49.76</v>
      </c>
      <c r="D1898" t="s">
        <v>608</v>
      </c>
      <c r="E1898" t="s">
        <v>608</v>
      </c>
      <c r="F1898">
        <v>25.43</v>
      </c>
      <c r="G1898">
        <v>18.5</v>
      </c>
      <c r="H1898">
        <v>1</v>
      </c>
      <c r="I1898">
        <v>1</v>
      </c>
      <c r="J1898" t="s">
        <v>608</v>
      </c>
      <c r="K1898" t="s">
        <v>52</v>
      </c>
    </row>
    <row r="1899" spans="1:11" x14ac:dyDescent="0.2">
      <c r="A1899" t="s">
        <v>324</v>
      </c>
      <c r="B1899" t="s">
        <v>320</v>
      </c>
      <c r="C1899">
        <v>45.42</v>
      </c>
      <c r="D1899" t="s">
        <v>608</v>
      </c>
      <c r="E1899" t="s">
        <v>608</v>
      </c>
      <c r="F1899">
        <v>23.28</v>
      </c>
      <c r="G1899">
        <v>16.52</v>
      </c>
      <c r="H1899">
        <v>2</v>
      </c>
      <c r="I1899">
        <v>0.5</v>
      </c>
      <c r="J1899" t="s">
        <v>608</v>
      </c>
      <c r="K1899" t="s">
        <v>52</v>
      </c>
    </row>
    <row r="1900" spans="1:11" x14ac:dyDescent="0.2">
      <c r="A1900" t="s">
        <v>325</v>
      </c>
      <c r="B1900" t="s">
        <v>326</v>
      </c>
      <c r="C1900">
        <v>46.88</v>
      </c>
      <c r="D1900" t="s">
        <v>608</v>
      </c>
      <c r="E1900" t="s">
        <v>608</v>
      </c>
      <c r="F1900">
        <v>19.98</v>
      </c>
      <c r="G1900">
        <v>14.81</v>
      </c>
      <c r="H1900">
        <v>0</v>
      </c>
      <c r="I1900">
        <v>0</v>
      </c>
      <c r="J1900" t="s">
        <v>608</v>
      </c>
      <c r="K1900" t="s">
        <v>52</v>
      </c>
    </row>
    <row r="1901" spans="1:11" x14ac:dyDescent="0.2">
      <c r="A1901" t="s">
        <v>327</v>
      </c>
      <c r="B1901" t="s">
        <v>326</v>
      </c>
      <c r="C1901">
        <v>45.42</v>
      </c>
      <c r="D1901" t="s">
        <v>608</v>
      </c>
      <c r="E1901" t="s">
        <v>608</v>
      </c>
      <c r="F1901">
        <v>14.54</v>
      </c>
      <c r="G1901">
        <v>10.23</v>
      </c>
      <c r="H1901">
        <v>0</v>
      </c>
      <c r="I1901">
        <v>0.5</v>
      </c>
      <c r="J1901" t="s">
        <v>608</v>
      </c>
      <c r="K1901" t="s">
        <v>52</v>
      </c>
    </row>
    <row r="1902" spans="1:11" x14ac:dyDescent="0.2">
      <c r="A1902" t="s">
        <v>328</v>
      </c>
      <c r="B1902" t="s">
        <v>326</v>
      </c>
      <c r="C1902">
        <v>40.15</v>
      </c>
      <c r="D1902" t="s">
        <v>608</v>
      </c>
      <c r="E1902" t="s">
        <v>608</v>
      </c>
      <c r="F1902">
        <v>11.61</v>
      </c>
      <c r="G1902">
        <v>8.67</v>
      </c>
      <c r="H1902">
        <v>2</v>
      </c>
      <c r="I1902">
        <v>2</v>
      </c>
      <c r="J1902" t="s">
        <v>608</v>
      </c>
      <c r="K1902" t="s">
        <v>52</v>
      </c>
    </row>
    <row r="1903" spans="1:11" x14ac:dyDescent="0.2">
      <c r="A1903" t="s">
        <v>329</v>
      </c>
      <c r="B1903" t="s">
        <v>326</v>
      </c>
      <c r="C1903">
        <v>39.5</v>
      </c>
      <c r="D1903" t="s">
        <v>608</v>
      </c>
      <c r="E1903" t="s">
        <v>608</v>
      </c>
      <c r="F1903">
        <v>13.27</v>
      </c>
      <c r="G1903">
        <v>10.26</v>
      </c>
      <c r="H1903">
        <v>0</v>
      </c>
      <c r="I1903">
        <v>0.5</v>
      </c>
      <c r="J1903" t="s">
        <v>608</v>
      </c>
      <c r="K1903" t="s">
        <v>52</v>
      </c>
    </row>
    <row r="1904" spans="1:11" x14ac:dyDescent="0.2">
      <c r="A1904" t="s">
        <v>330</v>
      </c>
      <c r="B1904" t="s">
        <v>326</v>
      </c>
      <c r="C1904">
        <v>45.69</v>
      </c>
      <c r="D1904" t="s">
        <v>608</v>
      </c>
      <c r="E1904" t="s">
        <v>608</v>
      </c>
      <c r="F1904">
        <v>19.440000000000001</v>
      </c>
      <c r="G1904">
        <v>14.12</v>
      </c>
      <c r="H1904">
        <v>0</v>
      </c>
      <c r="I1904">
        <v>0</v>
      </c>
      <c r="J1904" t="s">
        <v>608</v>
      </c>
      <c r="K1904" t="s">
        <v>52</v>
      </c>
    </row>
    <row r="1905" spans="1:11" x14ac:dyDescent="0.2">
      <c r="A1905" t="s">
        <v>331</v>
      </c>
      <c r="B1905" t="s">
        <v>332</v>
      </c>
      <c r="C1905">
        <v>37.33</v>
      </c>
      <c r="D1905" t="s">
        <v>608</v>
      </c>
      <c r="E1905" t="s">
        <v>608</v>
      </c>
      <c r="F1905">
        <v>11.81</v>
      </c>
      <c r="G1905">
        <v>7.32</v>
      </c>
      <c r="H1905">
        <v>0.5</v>
      </c>
      <c r="I1905">
        <v>0.5</v>
      </c>
      <c r="J1905" t="s">
        <v>608</v>
      </c>
      <c r="K1905" t="s">
        <v>52</v>
      </c>
    </row>
    <row r="1906" spans="1:11" x14ac:dyDescent="0.2">
      <c r="A1906" t="s">
        <v>333</v>
      </c>
      <c r="B1906" t="s">
        <v>332</v>
      </c>
      <c r="C1906">
        <v>39.51</v>
      </c>
      <c r="D1906" t="s">
        <v>608</v>
      </c>
      <c r="E1906" t="s">
        <v>608</v>
      </c>
      <c r="F1906">
        <v>7.2</v>
      </c>
      <c r="G1906">
        <v>5.86</v>
      </c>
      <c r="H1906">
        <v>0</v>
      </c>
      <c r="I1906">
        <v>0.5</v>
      </c>
      <c r="J1906" t="s">
        <v>608</v>
      </c>
      <c r="K1906" t="s">
        <v>52</v>
      </c>
    </row>
    <row r="1907" spans="1:11" x14ac:dyDescent="0.2">
      <c r="A1907" t="s">
        <v>334</v>
      </c>
      <c r="B1907" t="s">
        <v>332</v>
      </c>
      <c r="C1907">
        <v>33.99</v>
      </c>
      <c r="D1907" t="s">
        <v>608</v>
      </c>
      <c r="E1907" t="s">
        <v>608</v>
      </c>
      <c r="F1907">
        <v>9.3000000000000007</v>
      </c>
      <c r="G1907">
        <v>6.83</v>
      </c>
      <c r="H1907">
        <v>0</v>
      </c>
      <c r="I1907">
        <v>0</v>
      </c>
      <c r="J1907" t="s">
        <v>608</v>
      </c>
      <c r="K1907" t="s">
        <v>52</v>
      </c>
    </row>
    <row r="1908" spans="1:11" x14ac:dyDescent="0.2">
      <c r="A1908" t="s">
        <v>335</v>
      </c>
      <c r="B1908" t="s">
        <v>332</v>
      </c>
      <c r="C1908">
        <v>34.79</v>
      </c>
      <c r="D1908" t="s">
        <v>608</v>
      </c>
      <c r="E1908" t="s">
        <v>608</v>
      </c>
      <c r="F1908">
        <v>6.5</v>
      </c>
      <c r="G1908">
        <v>4.5</v>
      </c>
      <c r="H1908">
        <v>0</v>
      </c>
      <c r="I1908">
        <v>0</v>
      </c>
      <c r="J1908" t="s">
        <v>608</v>
      </c>
      <c r="K1908" t="s">
        <v>52</v>
      </c>
    </row>
    <row r="1909" spans="1:11" x14ac:dyDescent="0.2">
      <c r="A1909" t="s">
        <v>336</v>
      </c>
      <c r="B1909" t="s">
        <v>332</v>
      </c>
      <c r="C1909">
        <v>43.72</v>
      </c>
      <c r="D1909" t="s">
        <v>608</v>
      </c>
      <c r="E1909" t="s">
        <v>608</v>
      </c>
      <c r="F1909">
        <v>9.8699999999999992</v>
      </c>
      <c r="G1909">
        <v>7.05</v>
      </c>
      <c r="H1909">
        <v>0.5</v>
      </c>
      <c r="I1909">
        <v>0</v>
      </c>
      <c r="J1909" t="s">
        <v>608</v>
      </c>
      <c r="K1909" t="s">
        <v>52</v>
      </c>
    </row>
    <row r="1910" spans="1:11" x14ac:dyDescent="0.2">
      <c r="A1910" t="s">
        <v>337</v>
      </c>
      <c r="B1910" t="s">
        <v>338</v>
      </c>
      <c r="C1910">
        <v>55</v>
      </c>
      <c r="D1910" t="s">
        <v>608</v>
      </c>
      <c r="E1910" t="s">
        <v>608</v>
      </c>
      <c r="F1910">
        <v>32.68</v>
      </c>
      <c r="G1910">
        <v>24.05</v>
      </c>
      <c r="H1910">
        <v>2</v>
      </c>
      <c r="I1910">
        <v>2</v>
      </c>
      <c r="J1910" t="s">
        <v>608</v>
      </c>
      <c r="K1910" t="s">
        <v>52</v>
      </c>
    </row>
    <row r="1911" spans="1:11" x14ac:dyDescent="0.2">
      <c r="A1911" t="s">
        <v>339</v>
      </c>
      <c r="B1911" t="s">
        <v>338</v>
      </c>
      <c r="C1911">
        <v>65.680000000000007</v>
      </c>
      <c r="D1911" t="s">
        <v>608</v>
      </c>
      <c r="E1911" t="s">
        <v>608</v>
      </c>
      <c r="F1911">
        <v>47.19</v>
      </c>
      <c r="G1911">
        <v>33.869999999999997</v>
      </c>
      <c r="H1911">
        <v>1</v>
      </c>
      <c r="I1911">
        <v>1</v>
      </c>
      <c r="J1911" t="s">
        <v>608</v>
      </c>
      <c r="K1911" t="s">
        <v>52</v>
      </c>
    </row>
    <row r="1912" spans="1:11" x14ac:dyDescent="0.2">
      <c r="A1912" t="s">
        <v>340</v>
      </c>
      <c r="B1912" t="s">
        <v>338</v>
      </c>
      <c r="C1912">
        <v>46.99</v>
      </c>
      <c r="D1912" t="s">
        <v>608</v>
      </c>
      <c r="E1912" t="s">
        <v>608</v>
      </c>
      <c r="F1912">
        <v>25.97</v>
      </c>
      <c r="G1912">
        <v>18.87</v>
      </c>
      <c r="H1912">
        <v>0.5</v>
      </c>
      <c r="I1912">
        <v>0.5</v>
      </c>
      <c r="J1912" t="s">
        <v>608</v>
      </c>
      <c r="K1912" t="s">
        <v>52</v>
      </c>
    </row>
    <row r="1913" spans="1:11" x14ac:dyDescent="0.2">
      <c r="A1913" t="s">
        <v>341</v>
      </c>
      <c r="B1913" t="s">
        <v>338</v>
      </c>
      <c r="C1913">
        <v>52.54</v>
      </c>
      <c r="D1913" t="s">
        <v>608</v>
      </c>
      <c r="E1913" t="s">
        <v>608</v>
      </c>
      <c r="F1913">
        <v>25.81</v>
      </c>
      <c r="G1913">
        <v>17.59</v>
      </c>
      <c r="H1913">
        <v>0</v>
      </c>
      <c r="I1913">
        <v>0</v>
      </c>
      <c r="J1913" t="s">
        <v>342</v>
      </c>
      <c r="K1913" t="s">
        <v>52</v>
      </c>
    </row>
    <row r="1914" spans="1:11" x14ac:dyDescent="0.2">
      <c r="A1914" t="s">
        <v>343</v>
      </c>
      <c r="B1914" t="s">
        <v>338</v>
      </c>
      <c r="C1914">
        <v>44.8</v>
      </c>
      <c r="D1914" t="s">
        <v>608</v>
      </c>
      <c r="E1914" t="s">
        <v>608</v>
      </c>
      <c r="F1914">
        <v>31.59</v>
      </c>
      <c r="G1914">
        <v>23.12</v>
      </c>
      <c r="H1914">
        <v>0</v>
      </c>
      <c r="I1914">
        <v>0</v>
      </c>
      <c r="J1914" t="s">
        <v>608</v>
      </c>
      <c r="K1914" t="s">
        <v>52</v>
      </c>
    </row>
    <row r="1915" spans="1:11" x14ac:dyDescent="0.2">
      <c r="A1915" t="s">
        <v>344</v>
      </c>
      <c r="B1915" t="s">
        <v>345</v>
      </c>
      <c r="C1915">
        <v>57.3</v>
      </c>
      <c r="D1915" t="s">
        <v>608</v>
      </c>
      <c r="E1915" t="s">
        <v>608</v>
      </c>
      <c r="F1915">
        <v>42.88</v>
      </c>
      <c r="G1915">
        <v>29.27</v>
      </c>
      <c r="H1915">
        <v>1</v>
      </c>
      <c r="I1915">
        <v>0</v>
      </c>
      <c r="J1915" t="s">
        <v>608</v>
      </c>
      <c r="K1915" t="s">
        <v>52</v>
      </c>
    </row>
    <row r="1916" spans="1:11" x14ac:dyDescent="0.2">
      <c r="A1916" t="s">
        <v>346</v>
      </c>
      <c r="B1916" t="s">
        <v>345</v>
      </c>
      <c r="C1916">
        <v>54.89</v>
      </c>
      <c r="D1916" t="s">
        <v>608</v>
      </c>
      <c r="E1916" t="s">
        <v>608</v>
      </c>
      <c r="F1916">
        <v>23.92</v>
      </c>
      <c r="G1916">
        <v>15.23</v>
      </c>
      <c r="H1916">
        <v>0.5</v>
      </c>
      <c r="I1916">
        <v>0</v>
      </c>
      <c r="J1916" t="s">
        <v>608</v>
      </c>
      <c r="K1916" t="s">
        <v>52</v>
      </c>
    </row>
    <row r="1917" spans="1:11" x14ac:dyDescent="0.2">
      <c r="A1917" t="s">
        <v>347</v>
      </c>
      <c r="B1917" t="s">
        <v>345</v>
      </c>
      <c r="C1917">
        <v>53.42</v>
      </c>
      <c r="D1917" t="s">
        <v>608</v>
      </c>
      <c r="E1917" t="s">
        <v>608</v>
      </c>
      <c r="F1917">
        <v>19.77</v>
      </c>
      <c r="G1917">
        <v>12.52</v>
      </c>
      <c r="H1917">
        <v>3</v>
      </c>
      <c r="I1917">
        <v>3</v>
      </c>
      <c r="J1917" t="s">
        <v>608</v>
      </c>
      <c r="K1917" t="s">
        <v>52</v>
      </c>
    </row>
    <row r="1918" spans="1:11" x14ac:dyDescent="0.2">
      <c r="A1918" t="s">
        <v>348</v>
      </c>
      <c r="B1918" t="s">
        <v>345</v>
      </c>
      <c r="C1918">
        <v>41.01</v>
      </c>
      <c r="D1918" t="s">
        <v>608</v>
      </c>
      <c r="E1918" t="s">
        <v>608</v>
      </c>
      <c r="F1918">
        <v>13.35</v>
      </c>
      <c r="G1918">
        <v>8.5500000000000007</v>
      </c>
      <c r="H1918">
        <v>2</v>
      </c>
      <c r="I1918">
        <v>2</v>
      </c>
      <c r="J1918" t="s">
        <v>608</v>
      </c>
      <c r="K1918" t="s">
        <v>52</v>
      </c>
    </row>
    <row r="1919" spans="1:11" x14ac:dyDescent="0.2">
      <c r="A1919" t="s">
        <v>349</v>
      </c>
      <c r="B1919" t="s">
        <v>345</v>
      </c>
      <c r="C1919">
        <v>51.89</v>
      </c>
      <c r="D1919" t="s">
        <v>608</v>
      </c>
      <c r="E1919" t="s">
        <v>608</v>
      </c>
      <c r="F1919">
        <v>21.52</v>
      </c>
      <c r="G1919">
        <v>14.51</v>
      </c>
      <c r="H1919">
        <v>1</v>
      </c>
      <c r="I1919">
        <v>1</v>
      </c>
      <c r="J1919" t="s">
        <v>608</v>
      </c>
      <c r="K1919" t="s">
        <v>52</v>
      </c>
    </row>
    <row r="1920" spans="1:11" x14ac:dyDescent="0.2">
      <c r="A1920" t="s">
        <v>350</v>
      </c>
      <c r="B1920" t="s">
        <v>351</v>
      </c>
      <c r="C1920">
        <v>68.19</v>
      </c>
      <c r="D1920" t="s">
        <v>608</v>
      </c>
      <c r="E1920" t="s">
        <v>608</v>
      </c>
      <c r="F1920">
        <v>31.44</v>
      </c>
      <c r="G1920">
        <v>26.58</v>
      </c>
      <c r="H1920">
        <v>1</v>
      </c>
      <c r="I1920">
        <v>1</v>
      </c>
      <c r="J1920" t="s">
        <v>608</v>
      </c>
      <c r="K1920" t="s">
        <v>52</v>
      </c>
    </row>
    <row r="1921" spans="1:11" x14ac:dyDescent="0.2">
      <c r="A1921" t="s">
        <v>352</v>
      </c>
      <c r="B1921" t="s">
        <v>351</v>
      </c>
      <c r="C1921">
        <v>40.97</v>
      </c>
      <c r="D1921" t="s">
        <v>608</v>
      </c>
      <c r="E1921" t="s">
        <v>608</v>
      </c>
      <c r="F1921">
        <v>26.41</v>
      </c>
      <c r="G1921">
        <v>16.8</v>
      </c>
      <c r="H1921">
        <v>1</v>
      </c>
      <c r="I1921">
        <v>1</v>
      </c>
      <c r="J1921" t="s">
        <v>608</v>
      </c>
      <c r="K1921" t="s">
        <v>52</v>
      </c>
    </row>
    <row r="1922" spans="1:11" x14ac:dyDescent="0.2">
      <c r="A1922" t="s">
        <v>353</v>
      </c>
      <c r="B1922" t="s">
        <v>351</v>
      </c>
      <c r="C1922">
        <v>51.13</v>
      </c>
      <c r="D1922" t="s">
        <v>608</v>
      </c>
      <c r="E1922" t="s">
        <v>608</v>
      </c>
      <c r="F1922">
        <v>31.67</v>
      </c>
      <c r="G1922">
        <v>24.67</v>
      </c>
      <c r="H1922">
        <v>4</v>
      </c>
      <c r="I1922">
        <v>5</v>
      </c>
      <c r="J1922" t="s">
        <v>608</v>
      </c>
      <c r="K1922" t="s">
        <v>52</v>
      </c>
    </row>
    <row r="1923" spans="1:11" x14ac:dyDescent="0.2">
      <c r="A1923" t="s">
        <v>354</v>
      </c>
      <c r="B1923" t="s">
        <v>351</v>
      </c>
      <c r="C1923">
        <v>72.17</v>
      </c>
      <c r="D1923" t="s">
        <v>608</v>
      </c>
      <c r="E1923" t="s">
        <v>608</v>
      </c>
      <c r="F1923">
        <v>42.59</v>
      </c>
      <c r="G1923">
        <v>30.96</v>
      </c>
      <c r="H1923">
        <v>2</v>
      </c>
      <c r="I1923">
        <v>2</v>
      </c>
      <c r="J1923" t="s">
        <v>608</v>
      </c>
      <c r="K1923" t="s">
        <v>52</v>
      </c>
    </row>
    <row r="1924" spans="1:11" x14ac:dyDescent="0.2">
      <c r="A1924" t="s">
        <v>355</v>
      </c>
      <c r="B1924" t="s">
        <v>351</v>
      </c>
      <c r="C1924">
        <v>65.430000000000007</v>
      </c>
      <c r="D1924" t="s">
        <v>608</v>
      </c>
      <c r="E1924" t="s">
        <v>608</v>
      </c>
      <c r="F1924">
        <v>58.84</v>
      </c>
      <c r="G1924">
        <v>37.9</v>
      </c>
      <c r="H1924">
        <v>2</v>
      </c>
      <c r="I1924">
        <v>2</v>
      </c>
      <c r="J1924" t="s">
        <v>608</v>
      </c>
      <c r="K1924" t="s">
        <v>52</v>
      </c>
    </row>
    <row r="1925" spans="1:11" x14ac:dyDescent="0.2">
      <c r="A1925" t="s">
        <v>356</v>
      </c>
      <c r="B1925" t="s">
        <v>357</v>
      </c>
      <c r="C1925">
        <v>59.26</v>
      </c>
      <c r="D1925" t="s">
        <v>608</v>
      </c>
      <c r="E1925" t="s">
        <v>608</v>
      </c>
      <c r="F1925">
        <v>41.23</v>
      </c>
      <c r="G1925">
        <v>30.14</v>
      </c>
      <c r="H1925">
        <v>1</v>
      </c>
      <c r="I1925">
        <v>2</v>
      </c>
      <c r="J1925" t="s">
        <v>608</v>
      </c>
      <c r="K1925" t="s">
        <v>52</v>
      </c>
    </row>
    <row r="1926" spans="1:11" x14ac:dyDescent="0.2">
      <c r="A1926" t="s">
        <v>358</v>
      </c>
      <c r="B1926" t="s">
        <v>357</v>
      </c>
      <c r="C1926">
        <v>49.69</v>
      </c>
      <c r="D1926" t="s">
        <v>608</v>
      </c>
      <c r="E1926" t="s">
        <v>608</v>
      </c>
      <c r="F1926">
        <v>40.229999999999997</v>
      </c>
      <c r="G1926">
        <v>32.14</v>
      </c>
      <c r="H1926">
        <v>0</v>
      </c>
      <c r="I1926">
        <v>0.5</v>
      </c>
      <c r="J1926" t="s">
        <v>608</v>
      </c>
      <c r="K1926" t="s">
        <v>52</v>
      </c>
    </row>
    <row r="1927" spans="1:11" x14ac:dyDescent="0.2">
      <c r="A1927" t="s">
        <v>359</v>
      </c>
      <c r="B1927" t="s">
        <v>357</v>
      </c>
      <c r="C1927">
        <v>46.91</v>
      </c>
      <c r="D1927" t="s">
        <v>608</v>
      </c>
      <c r="E1927" t="s">
        <v>608</v>
      </c>
      <c r="F1927">
        <v>22.3</v>
      </c>
      <c r="G1927">
        <v>16.829999999999998</v>
      </c>
      <c r="H1927">
        <v>0</v>
      </c>
      <c r="I1927">
        <v>0</v>
      </c>
      <c r="J1927" t="s">
        <v>608</v>
      </c>
      <c r="K1927" t="s">
        <v>52</v>
      </c>
    </row>
    <row r="1928" spans="1:11" x14ac:dyDescent="0.2">
      <c r="A1928" t="s">
        <v>360</v>
      </c>
      <c r="B1928" t="s">
        <v>357</v>
      </c>
      <c r="C1928">
        <v>54.57</v>
      </c>
      <c r="D1928" t="s">
        <v>608</v>
      </c>
      <c r="E1928" t="s">
        <v>608</v>
      </c>
      <c r="F1928">
        <v>38.020000000000003</v>
      </c>
      <c r="G1928">
        <v>27.2</v>
      </c>
      <c r="H1928">
        <v>1</v>
      </c>
      <c r="I1928">
        <v>2</v>
      </c>
      <c r="J1928" t="s">
        <v>608</v>
      </c>
      <c r="K1928" t="s">
        <v>52</v>
      </c>
    </row>
    <row r="1929" spans="1:11" x14ac:dyDescent="0.2">
      <c r="A1929" t="s">
        <v>361</v>
      </c>
      <c r="B1929" t="s">
        <v>357</v>
      </c>
      <c r="C1929">
        <v>55.33</v>
      </c>
      <c r="D1929" t="s">
        <v>608</v>
      </c>
      <c r="E1929" t="s">
        <v>608</v>
      </c>
      <c r="F1929">
        <v>30.06</v>
      </c>
      <c r="G1929">
        <v>22.18</v>
      </c>
      <c r="H1929">
        <v>1</v>
      </c>
      <c r="I1929">
        <v>2</v>
      </c>
      <c r="J1929" t="s">
        <v>203</v>
      </c>
      <c r="K1929" t="s">
        <v>52</v>
      </c>
    </row>
    <row r="1930" spans="1:11" x14ac:dyDescent="0.2">
      <c r="A1930" t="s">
        <v>362</v>
      </c>
      <c r="B1930" t="s">
        <v>363</v>
      </c>
      <c r="C1930">
        <v>63.71</v>
      </c>
      <c r="D1930" t="s">
        <v>608</v>
      </c>
      <c r="E1930" t="s">
        <v>608</v>
      </c>
      <c r="F1930">
        <v>61.26</v>
      </c>
      <c r="G1930">
        <v>46.27</v>
      </c>
      <c r="H1930">
        <v>0</v>
      </c>
      <c r="I1930">
        <v>0</v>
      </c>
      <c r="J1930" t="s">
        <v>608</v>
      </c>
      <c r="K1930" t="s">
        <v>52</v>
      </c>
    </row>
    <row r="1931" spans="1:11" x14ac:dyDescent="0.2">
      <c r="A1931" t="s">
        <v>364</v>
      </c>
      <c r="B1931" t="s">
        <v>363</v>
      </c>
      <c r="C1931">
        <v>64.7</v>
      </c>
      <c r="D1931" t="s">
        <v>608</v>
      </c>
      <c r="E1931" t="s">
        <v>608</v>
      </c>
      <c r="F1931">
        <v>61.41</v>
      </c>
      <c r="G1931">
        <v>44.21</v>
      </c>
      <c r="H1931">
        <v>0</v>
      </c>
      <c r="I1931">
        <v>0</v>
      </c>
      <c r="J1931" t="s">
        <v>365</v>
      </c>
      <c r="K1931" t="s">
        <v>52</v>
      </c>
    </row>
    <row r="1932" spans="1:11" x14ac:dyDescent="0.2">
      <c r="A1932" t="s">
        <v>366</v>
      </c>
      <c r="B1932" t="s">
        <v>363</v>
      </c>
      <c r="C1932">
        <v>54.25</v>
      </c>
      <c r="D1932" t="s">
        <v>608</v>
      </c>
      <c r="E1932" t="s">
        <v>608</v>
      </c>
      <c r="F1932">
        <v>42.47</v>
      </c>
      <c r="G1932">
        <v>31.88</v>
      </c>
      <c r="H1932">
        <v>2</v>
      </c>
      <c r="I1932">
        <v>2</v>
      </c>
      <c r="J1932" t="s">
        <v>367</v>
      </c>
      <c r="K1932" t="s">
        <v>52</v>
      </c>
    </row>
    <row r="1933" spans="1:11" x14ac:dyDescent="0.2">
      <c r="A1933" t="s">
        <v>368</v>
      </c>
      <c r="B1933" t="s">
        <v>363</v>
      </c>
      <c r="C1933">
        <v>66.52</v>
      </c>
      <c r="D1933" t="s">
        <v>608</v>
      </c>
      <c r="E1933" t="s">
        <v>608</v>
      </c>
      <c r="F1933">
        <v>48.67</v>
      </c>
      <c r="G1933">
        <v>33.6</v>
      </c>
      <c r="H1933">
        <v>2</v>
      </c>
      <c r="I1933">
        <v>3</v>
      </c>
      <c r="J1933" t="s">
        <v>608</v>
      </c>
      <c r="K1933" t="s">
        <v>52</v>
      </c>
    </row>
    <row r="1934" spans="1:11" x14ac:dyDescent="0.2">
      <c r="A1934" t="s">
        <v>369</v>
      </c>
      <c r="B1934" t="s">
        <v>363</v>
      </c>
      <c r="C1934">
        <v>36.56</v>
      </c>
      <c r="D1934" t="s">
        <v>608</v>
      </c>
      <c r="E1934" t="s">
        <v>608</v>
      </c>
      <c r="F1934">
        <v>13.74</v>
      </c>
      <c r="G1934">
        <v>13.28</v>
      </c>
      <c r="H1934">
        <v>0</v>
      </c>
      <c r="I1934">
        <v>0</v>
      </c>
      <c r="J1934" t="s">
        <v>370</v>
      </c>
      <c r="K1934" t="s">
        <v>52</v>
      </c>
    </row>
    <row r="1935" spans="1:11" x14ac:dyDescent="0.2">
      <c r="A1935" t="s">
        <v>371</v>
      </c>
      <c r="B1935" t="s">
        <v>372</v>
      </c>
      <c r="C1935">
        <v>90.98</v>
      </c>
      <c r="D1935" t="s">
        <v>608</v>
      </c>
      <c r="E1935" t="s">
        <v>608</v>
      </c>
      <c r="F1935">
        <v>78.84</v>
      </c>
      <c r="G1935">
        <v>56.03</v>
      </c>
      <c r="H1935">
        <v>0.5</v>
      </c>
      <c r="I1935">
        <v>1</v>
      </c>
      <c r="J1935" t="s">
        <v>608</v>
      </c>
      <c r="K1935" t="s">
        <v>52</v>
      </c>
    </row>
    <row r="1936" spans="1:11" x14ac:dyDescent="0.2">
      <c r="A1936" t="s">
        <v>373</v>
      </c>
      <c r="B1936" t="s">
        <v>372</v>
      </c>
      <c r="C1936">
        <v>91.03</v>
      </c>
      <c r="D1936" t="s">
        <v>608</v>
      </c>
      <c r="E1936" t="s">
        <v>608</v>
      </c>
      <c r="F1936">
        <v>73.17</v>
      </c>
      <c r="G1936">
        <v>52.41</v>
      </c>
      <c r="H1936">
        <v>0</v>
      </c>
      <c r="I1936">
        <v>0</v>
      </c>
      <c r="J1936" t="s">
        <v>608</v>
      </c>
      <c r="K1936" t="s">
        <v>52</v>
      </c>
    </row>
    <row r="1937" spans="1:11" x14ac:dyDescent="0.2">
      <c r="A1937" t="s">
        <v>374</v>
      </c>
      <c r="B1937" t="s">
        <v>372</v>
      </c>
      <c r="C1937">
        <v>81.31</v>
      </c>
      <c r="D1937" t="s">
        <v>608</v>
      </c>
      <c r="E1937" t="s">
        <v>608</v>
      </c>
      <c r="F1937">
        <v>80.72</v>
      </c>
      <c r="G1937">
        <v>52.96</v>
      </c>
      <c r="H1937">
        <v>0.5</v>
      </c>
      <c r="I1937">
        <v>1</v>
      </c>
      <c r="J1937" t="s">
        <v>608</v>
      </c>
      <c r="K1937" t="s">
        <v>52</v>
      </c>
    </row>
    <row r="1938" spans="1:11" x14ac:dyDescent="0.2">
      <c r="A1938" t="s">
        <v>375</v>
      </c>
      <c r="B1938" t="s">
        <v>372</v>
      </c>
      <c r="C1938">
        <v>45.75</v>
      </c>
      <c r="D1938" t="s">
        <v>608</v>
      </c>
      <c r="E1938" t="s">
        <v>608</v>
      </c>
      <c r="F1938">
        <v>11.91</v>
      </c>
      <c r="G1938">
        <v>8.5</v>
      </c>
      <c r="H1938">
        <v>0.5</v>
      </c>
      <c r="I1938">
        <v>0.5</v>
      </c>
      <c r="J1938" t="s">
        <v>608</v>
      </c>
      <c r="K1938" t="s">
        <v>52</v>
      </c>
    </row>
    <row r="1939" spans="1:11" x14ac:dyDescent="0.2">
      <c r="A1939" t="s">
        <v>376</v>
      </c>
      <c r="B1939" t="s">
        <v>372</v>
      </c>
      <c r="C1939">
        <v>68.36</v>
      </c>
      <c r="D1939" t="s">
        <v>608</v>
      </c>
      <c r="E1939" t="s">
        <v>608</v>
      </c>
      <c r="F1939">
        <v>46.13</v>
      </c>
      <c r="G1939">
        <v>32.94</v>
      </c>
      <c r="H1939">
        <v>0</v>
      </c>
      <c r="I1939">
        <v>0</v>
      </c>
      <c r="J1939" t="s">
        <v>608</v>
      </c>
      <c r="K1939" t="s">
        <v>52</v>
      </c>
    </row>
    <row r="1940" spans="1:11" x14ac:dyDescent="0.2">
      <c r="A1940" t="s">
        <v>3067</v>
      </c>
      <c r="B1940" t="s">
        <v>1481</v>
      </c>
      <c r="C1940">
        <v>54.43</v>
      </c>
      <c r="D1940" t="s">
        <v>608</v>
      </c>
      <c r="E1940" t="s">
        <v>608</v>
      </c>
      <c r="F1940">
        <v>22.1</v>
      </c>
      <c r="G1940">
        <v>15.46</v>
      </c>
      <c r="H1940">
        <v>0.5</v>
      </c>
      <c r="I1940">
        <v>1</v>
      </c>
      <c r="J1940" t="s">
        <v>608</v>
      </c>
      <c r="K1940" t="s">
        <v>52</v>
      </c>
    </row>
    <row r="1941" spans="1:11" x14ac:dyDescent="0.2">
      <c r="A1941" t="s">
        <v>3068</v>
      </c>
      <c r="B1941" t="s">
        <v>1481</v>
      </c>
      <c r="C1941">
        <v>58.21</v>
      </c>
      <c r="D1941" t="s">
        <v>608</v>
      </c>
      <c r="E1941" t="s">
        <v>608</v>
      </c>
      <c r="F1941">
        <v>31.41</v>
      </c>
      <c r="G1941">
        <v>21.85</v>
      </c>
      <c r="H1941">
        <v>0</v>
      </c>
      <c r="I1941">
        <v>0</v>
      </c>
      <c r="J1941" t="s">
        <v>608</v>
      </c>
      <c r="K1941" t="s">
        <v>52</v>
      </c>
    </row>
    <row r="1942" spans="1:11" x14ac:dyDescent="0.2">
      <c r="A1942" t="s">
        <v>3069</v>
      </c>
      <c r="B1942" t="s">
        <v>1481</v>
      </c>
      <c r="C1942">
        <v>54.46</v>
      </c>
      <c r="D1942" t="s">
        <v>608</v>
      </c>
      <c r="E1942" t="s">
        <v>608</v>
      </c>
      <c r="F1942">
        <v>46.68</v>
      </c>
      <c r="G1942">
        <v>34.33</v>
      </c>
      <c r="H1942">
        <v>1</v>
      </c>
      <c r="I1942">
        <v>1</v>
      </c>
      <c r="J1942" t="s">
        <v>608</v>
      </c>
      <c r="K1942" t="s">
        <v>52</v>
      </c>
    </row>
    <row r="1943" spans="1:11" x14ac:dyDescent="0.2">
      <c r="A1943" t="s">
        <v>3070</v>
      </c>
      <c r="B1943" t="s">
        <v>1481</v>
      </c>
      <c r="C1943">
        <v>61.73</v>
      </c>
      <c r="D1943" t="s">
        <v>608</v>
      </c>
      <c r="E1943" t="s">
        <v>608</v>
      </c>
      <c r="F1943">
        <v>30.7</v>
      </c>
      <c r="G1943">
        <v>21.74</v>
      </c>
      <c r="H1943">
        <v>0</v>
      </c>
      <c r="I1943">
        <v>0</v>
      </c>
      <c r="J1943" t="s">
        <v>3087</v>
      </c>
      <c r="K1943" t="s">
        <v>52</v>
      </c>
    </row>
    <row r="1944" spans="1:11" x14ac:dyDescent="0.2">
      <c r="A1944" t="s">
        <v>3071</v>
      </c>
      <c r="B1944" t="s">
        <v>1481</v>
      </c>
      <c r="C1944">
        <v>48.79</v>
      </c>
      <c r="D1944" t="s">
        <v>608</v>
      </c>
      <c r="E1944" t="s">
        <v>608</v>
      </c>
      <c r="F1944">
        <v>15.35</v>
      </c>
      <c r="G1944">
        <v>11.06</v>
      </c>
      <c r="H1944">
        <v>0.5</v>
      </c>
      <c r="I1944">
        <v>0</v>
      </c>
      <c r="J1944" t="s">
        <v>608</v>
      </c>
      <c r="K1944" t="s">
        <v>52</v>
      </c>
    </row>
    <row r="1945" spans="1:11" x14ac:dyDescent="0.2">
      <c r="A1945" t="s">
        <v>3072</v>
      </c>
      <c r="B1945" t="s">
        <v>1483</v>
      </c>
      <c r="C1945">
        <v>104.67</v>
      </c>
      <c r="D1945" t="s">
        <v>608</v>
      </c>
      <c r="E1945" t="s">
        <v>608</v>
      </c>
      <c r="F1945">
        <v>186.44</v>
      </c>
      <c r="G1945">
        <v>140.36000000000001</v>
      </c>
      <c r="H1945">
        <v>0</v>
      </c>
      <c r="I1945">
        <v>0</v>
      </c>
      <c r="J1945" t="s">
        <v>608</v>
      </c>
      <c r="K1945" t="s">
        <v>52</v>
      </c>
    </row>
    <row r="1946" spans="1:11" x14ac:dyDescent="0.2">
      <c r="A1946" t="s">
        <v>3073</v>
      </c>
      <c r="B1946" t="s">
        <v>1483</v>
      </c>
      <c r="C1946">
        <v>76.23</v>
      </c>
      <c r="D1946" t="s">
        <v>608</v>
      </c>
      <c r="E1946" t="s">
        <v>608</v>
      </c>
      <c r="F1946">
        <v>70.599999999999994</v>
      </c>
      <c r="G1946">
        <v>50.42</v>
      </c>
      <c r="H1946">
        <v>0.5</v>
      </c>
      <c r="I1946">
        <v>1</v>
      </c>
      <c r="J1946" t="s">
        <v>608</v>
      </c>
      <c r="K1946" t="s">
        <v>52</v>
      </c>
    </row>
    <row r="1947" spans="1:11" x14ac:dyDescent="0.2">
      <c r="A1947" t="s">
        <v>3074</v>
      </c>
      <c r="B1947" t="s">
        <v>1483</v>
      </c>
      <c r="C1947">
        <v>65.58</v>
      </c>
      <c r="D1947" t="s">
        <v>608</v>
      </c>
      <c r="E1947" t="s">
        <v>608</v>
      </c>
      <c r="F1947">
        <v>62.1</v>
      </c>
      <c r="G1947">
        <v>41.06</v>
      </c>
      <c r="H1947">
        <v>1</v>
      </c>
      <c r="I1947">
        <v>2</v>
      </c>
      <c r="J1947" t="s">
        <v>3106</v>
      </c>
      <c r="K1947" t="s">
        <v>52</v>
      </c>
    </row>
    <row r="1948" spans="1:11" x14ac:dyDescent="0.2">
      <c r="A1948" t="s">
        <v>3075</v>
      </c>
      <c r="B1948" t="s">
        <v>1483</v>
      </c>
      <c r="C1948">
        <v>63.01</v>
      </c>
      <c r="D1948" t="s">
        <v>608</v>
      </c>
      <c r="E1948" t="s">
        <v>608</v>
      </c>
      <c r="F1948">
        <v>75.92</v>
      </c>
      <c r="G1948">
        <v>54.8</v>
      </c>
      <c r="H1948">
        <v>3</v>
      </c>
      <c r="I1948">
        <v>3</v>
      </c>
      <c r="J1948" t="s">
        <v>608</v>
      </c>
      <c r="K1948" t="s">
        <v>52</v>
      </c>
    </row>
    <row r="1949" spans="1:11" x14ac:dyDescent="0.2">
      <c r="A1949" t="s">
        <v>3076</v>
      </c>
      <c r="B1949" t="s">
        <v>1483</v>
      </c>
      <c r="C1949">
        <v>47.62</v>
      </c>
      <c r="D1949" t="s">
        <v>608</v>
      </c>
      <c r="E1949" t="s">
        <v>608</v>
      </c>
      <c r="F1949">
        <v>42.4</v>
      </c>
      <c r="G1949">
        <v>32.78</v>
      </c>
      <c r="H1949">
        <v>0.5</v>
      </c>
      <c r="I1949">
        <v>0</v>
      </c>
      <c r="J1949" t="s">
        <v>608</v>
      </c>
      <c r="K1949" t="s">
        <v>52</v>
      </c>
    </row>
    <row r="1950" spans="1:11" x14ac:dyDescent="0.2">
      <c r="A1950" t="s">
        <v>3077</v>
      </c>
      <c r="B1950" t="s">
        <v>1485</v>
      </c>
      <c r="C1950">
        <v>42.87</v>
      </c>
      <c r="D1950" t="s">
        <v>608</v>
      </c>
      <c r="E1950" t="s">
        <v>608</v>
      </c>
      <c r="F1950">
        <v>27.72</v>
      </c>
      <c r="G1950">
        <v>18.86</v>
      </c>
      <c r="H1950">
        <v>1</v>
      </c>
      <c r="I1950">
        <v>1</v>
      </c>
      <c r="J1950" t="s">
        <v>608</v>
      </c>
      <c r="K1950" t="s">
        <v>52</v>
      </c>
    </row>
    <row r="1951" spans="1:11" x14ac:dyDescent="0.2">
      <c r="A1951" t="s">
        <v>3078</v>
      </c>
      <c r="B1951" t="s">
        <v>1485</v>
      </c>
      <c r="C1951">
        <v>58.91</v>
      </c>
      <c r="D1951" t="s">
        <v>608</v>
      </c>
      <c r="E1951" t="s">
        <v>608</v>
      </c>
      <c r="F1951">
        <v>28.72</v>
      </c>
      <c r="G1951">
        <v>19.97</v>
      </c>
      <c r="H1951">
        <v>0</v>
      </c>
      <c r="I1951">
        <v>0</v>
      </c>
      <c r="J1951" t="s">
        <v>608</v>
      </c>
      <c r="K1951" t="s">
        <v>52</v>
      </c>
    </row>
    <row r="1952" spans="1:11" x14ac:dyDescent="0.2">
      <c r="A1952" t="s">
        <v>3079</v>
      </c>
      <c r="B1952" t="s">
        <v>1485</v>
      </c>
      <c r="C1952">
        <v>64.88</v>
      </c>
      <c r="D1952" t="s">
        <v>608</v>
      </c>
      <c r="E1952" t="s">
        <v>608</v>
      </c>
      <c r="F1952">
        <v>70.87</v>
      </c>
      <c r="G1952">
        <v>51.22</v>
      </c>
      <c r="H1952">
        <v>0</v>
      </c>
      <c r="I1952">
        <v>0.5</v>
      </c>
      <c r="J1952" t="s">
        <v>608</v>
      </c>
      <c r="K1952" t="s">
        <v>52</v>
      </c>
    </row>
    <row r="1953" spans="1:11" x14ac:dyDescent="0.2">
      <c r="A1953" t="s">
        <v>3080</v>
      </c>
      <c r="B1953" t="s">
        <v>1485</v>
      </c>
      <c r="C1953">
        <v>66.540000000000006</v>
      </c>
      <c r="D1953" t="s">
        <v>608</v>
      </c>
      <c r="E1953" t="s">
        <v>608</v>
      </c>
      <c r="F1953">
        <v>46.21</v>
      </c>
      <c r="G1953">
        <v>29.87</v>
      </c>
      <c r="H1953">
        <v>0</v>
      </c>
      <c r="I1953">
        <v>0</v>
      </c>
      <c r="J1953" t="s">
        <v>608</v>
      </c>
      <c r="K1953" t="s">
        <v>52</v>
      </c>
    </row>
    <row r="1954" spans="1:11" x14ac:dyDescent="0.2">
      <c r="A1954" t="s">
        <v>3081</v>
      </c>
      <c r="B1954" t="s">
        <v>1485</v>
      </c>
      <c r="C1954">
        <v>36.700000000000003</v>
      </c>
      <c r="D1954" t="s">
        <v>608</v>
      </c>
      <c r="E1954" t="s">
        <v>608</v>
      </c>
      <c r="F1954">
        <v>14.55</v>
      </c>
      <c r="G1954">
        <v>10.42</v>
      </c>
      <c r="H1954">
        <v>0</v>
      </c>
      <c r="I1954">
        <v>0</v>
      </c>
      <c r="J1954" t="s">
        <v>608</v>
      </c>
      <c r="K1954" t="s">
        <v>52</v>
      </c>
    </row>
    <row r="1955" spans="1:11" x14ac:dyDescent="0.2">
      <c r="A1955" t="s">
        <v>754</v>
      </c>
      <c r="B1955" t="s">
        <v>755</v>
      </c>
      <c r="C1955">
        <v>73.760000000000005</v>
      </c>
      <c r="D1955" t="s">
        <v>608</v>
      </c>
      <c r="E1955" t="s">
        <v>608</v>
      </c>
      <c r="F1955">
        <v>53.97</v>
      </c>
      <c r="G1955">
        <v>35.86</v>
      </c>
      <c r="H1955">
        <v>0.5</v>
      </c>
      <c r="I1955">
        <v>0</v>
      </c>
      <c r="J1955" t="s">
        <v>756</v>
      </c>
      <c r="K1955" t="s">
        <v>52</v>
      </c>
    </row>
    <row r="1956" spans="1:11" x14ac:dyDescent="0.2">
      <c r="A1956" t="s">
        <v>757</v>
      </c>
      <c r="B1956" t="s">
        <v>755</v>
      </c>
      <c r="C1956">
        <v>60.8</v>
      </c>
      <c r="D1956" t="s">
        <v>608</v>
      </c>
      <c r="E1956" t="s">
        <v>608</v>
      </c>
      <c r="F1956">
        <v>31.68</v>
      </c>
      <c r="G1956">
        <v>20.66</v>
      </c>
      <c r="H1956">
        <v>0</v>
      </c>
      <c r="I1956">
        <v>0</v>
      </c>
      <c r="J1956" t="s">
        <v>608</v>
      </c>
      <c r="K1956" t="s">
        <v>52</v>
      </c>
    </row>
    <row r="1957" spans="1:11" x14ac:dyDescent="0.2">
      <c r="A1957" t="s">
        <v>758</v>
      </c>
      <c r="B1957" t="s">
        <v>755</v>
      </c>
      <c r="C1957">
        <v>63.71</v>
      </c>
      <c r="D1957" t="s">
        <v>608</v>
      </c>
      <c r="E1957" t="s">
        <v>608</v>
      </c>
      <c r="F1957">
        <v>42</v>
      </c>
      <c r="G1957">
        <v>29.6</v>
      </c>
      <c r="H1957">
        <v>0</v>
      </c>
      <c r="I1957">
        <v>0</v>
      </c>
      <c r="J1957" t="s">
        <v>608</v>
      </c>
      <c r="K1957" t="s">
        <v>52</v>
      </c>
    </row>
    <row r="1958" spans="1:11" x14ac:dyDescent="0.2">
      <c r="A1958" t="s">
        <v>759</v>
      </c>
      <c r="B1958" t="s">
        <v>755</v>
      </c>
      <c r="C1958">
        <v>65.11</v>
      </c>
      <c r="D1958" t="s">
        <v>608</v>
      </c>
      <c r="E1958" t="s">
        <v>608</v>
      </c>
      <c r="F1958">
        <v>43.76</v>
      </c>
      <c r="G1958">
        <v>30.85</v>
      </c>
      <c r="H1958">
        <v>0</v>
      </c>
      <c r="I1958">
        <v>0</v>
      </c>
      <c r="J1958" t="s">
        <v>608</v>
      </c>
      <c r="K1958" t="s">
        <v>52</v>
      </c>
    </row>
    <row r="1959" spans="1:11" x14ac:dyDescent="0.2">
      <c r="A1959" t="s">
        <v>760</v>
      </c>
      <c r="B1959" t="s">
        <v>755</v>
      </c>
      <c r="C1959">
        <v>56.6</v>
      </c>
      <c r="D1959" t="s">
        <v>608</v>
      </c>
      <c r="E1959" t="s">
        <v>608</v>
      </c>
      <c r="F1959">
        <v>23.82</v>
      </c>
      <c r="G1959">
        <v>16.600000000000001</v>
      </c>
      <c r="H1959">
        <v>0</v>
      </c>
      <c r="I1959">
        <v>0</v>
      </c>
      <c r="J1959" t="s">
        <v>608</v>
      </c>
      <c r="K1959" t="s">
        <v>52</v>
      </c>
    </row>
    <row r="1960" spans="1:11" x14ac:dyDescent="0.2">
      <c r="A1960" t="s">
        <v>761</v>
      </c>
      <c r="B1960" t="s">
        <v>762</v>
      </c>
      <c r="C1960">
        <v>53.26</v>
      </c>
      <c r="D1960" t="s">
        <v>608</v>
      </c>
      <c r="E1960" t="s">
        <v>608</v>
      </c>
      <c r="F1960">
        <v>32.700000000000003</v>
      </c>
      <c r="G1960">
        <v>22.77</v>
      </c>
      <c r="H1960">
        <v>5</v>
      </c>
      <c r="I1960">
        <v>5</v>
      </c>
      <c r="J1960" t="s">
        <v>608</v>
      </c>
      <c r="K1960" t="s">
        <v>52</v>
      </c>
    </row>
    <row r="1961" spans="1:11" x14ac:dyDescent="0.2">
      <c r="A1961" t="s">
        <v>763</v>
      </c>
      <c r="B1961" t="s">
        <v>762</v>
      </c>
      <c r="C1961">
        <v>47.27</v>
      </c>
      <c r="D1961" t="s">
        <v>608</v>
      </c>
      <c r="E1961" t="s">
        <v>608</v>
      </c>
      <c r="F1961">
        <v>19.440000000000001</v>
      </c>
      <c r="G1961">
        <v>14.33</v>
      </c>
      <c r="H1961">
        <v>3</v>
      </c>
      <c r="I1961">
        <v>3</v>
      </c>
      <c r="J1961" t="s">
        <v>608</v>
      </c>
      <c r="K1961" t="s">
        <v>52</v>
      </c>
    </row>
    <row r="1962" spans="1:11" x14ac:dyDescent="0.2">
      <c r="A1962" t="s">
        <v>764</v>
      </c>
      <c r="B1962" t="s">
        <v>762</v>
      </c>
      <c r="C1962">
        <v>44.31</v>
      </c>
      <c r="D1962" t="s">
        <v>608</v>
      </c>
      <c r="E1962" t="s">
        <v>608</v>
      </c>
      <c r="F1962">
        <v>17.68</v>
      </c>
      <c r="G1962">
        <v>12.47</v>
      </c>
      <c r="H1962">
        <v>1</v>
      </c>
      <c r="I1962">
        <v>1</v>
      </c>
      <c r="J1962" t="s">
        <v>608</v>
      </c>
      <c r="K1962" t="s">
        <v>52</v>
      </c>
    </row>
    <row r="1963" spans="1:11" x14ac:dyDescent="0.2">
      <c r="A1963" t="s">
        <v>765</v>
      </c>
      <c r="B1963" t="s">
        <v>762</v>
      </c>
      <c r="C1963">
        <v>51.04</v>
      </c>
      <c r="D1963" t="s">
        <v>608</v>
      </c>
      <c r="E1963" t="s">
        <v>608</v>
      </c>
      <c r="F1963">
        <v>27.02</v>
      </c>
      <c r="G1963">
        <v>18.93</v>
      </c>
      <c r="H1963">
        <v>1</v>
      </c>
      <c r="I1963">
        <v>1</v>
      </c>
      <c r="J1963" t="s">
        <v>608</v>
      </c>
      <c r="K1963" t="s">
        <v>52</v>
      </c>
    </row>
    <row r="1964" spans="1:11" x14ac:dyDescent="0.2">
      <c r="A1964" t="s">
        <v>766</v>
      </c>
      <c r="B1964" t="s">
        <v>762</v>
      </c>
      <c r="C1964">
        <v>58.07</v>
      </c>
      <c r="D1964" t="s">
        <v>608</v>
      </c>
      <c r="E1964" t="s">
        <v>608</v>
      </c>
      <c r="F1964">
        <v>25.84</v>
      </c>
      <c r="G1964">
        <v>18.72</v>
      </c>
      <c r="H1964">
        <v>0.5</v>
      </c>
      <c r="I1964">
        <v>0.5</v>
      </c>
      <c r="J1964" t="s">
        <v>608</v>
      </c>
      <c r="K1964" t="s">
        <v>52</v>
      </c>
    </row>
    <row r="1965" spans="1:11" x14ac:dyDescent="0.2">
      <c r="A1965" t="s">
        <v>767</v>
      </c>
      <c r="B1965" t="s">
        <v>768</v>
      </c>
      <c r="C1965">
        <v>59.56</v>
      </c>
      <c r="D1965" t="s">
        <v>608</v>
      </c>
      <c r="E1965" t="s">
        <v>608</v>
      </c>
      <c r="F1965">
        <v>76.94</v>
      </c>
      <c r="G1965">
        <v>56.9</v>
      </c>
      <c r="H1965">
        <v>0.5</v>
      </c>
      <c r="I1965">
        <v>0.5</v>
      </c>
      <c r="J1965" t="s">
        <v>608</v>
      </c>
      <c r="K1965" t="s">
        <v>52</v>
      </c>
    </row>
    <row r="1966" spans="1:11" x14ac:dyDescent="0.2">
      <c r="A1966" t="s">
        <v>769</v>
      </c>
      <c r="B1966" t="s">
        <v>768</v>
      </c>
      <c r="C1966">
        <v>57.91</v>
      </c>
      <c r="D1966" t="s">
        <v>608</v>
      </c>
      <c r="E1966" t="s">
        <v>608</v>
      </c>
      <c r="F1966">
        <v>47.58</v>
      </c>
      <c r="G1966">
        <v>35.49</v>
      </c>
      <c r="H1966">
        <v>0.5</v>
      </c>
      <c r="I1966">
        <v>1</v>
      </c>
      <c r="J1966" t="s">
        <v>608</v>
      </c>
      <c r="K1966" t="s">
        <v>52</v>
      </c>
    </row>
    <row r="1967" spans="1:11" x14ac:dyDescent="0.2">
      <c r="A1967" t="s">
        <v>770</v>
      </c>
      <c r="B1967" t="s">
        <v>768</v>
      </c>
      <c r="C1967">
        <v>59.55</v>
      </c>
      <c r="D1967" t="s">
        <v>608</v>
      </c>
      <c r="E1967" t="s">
        <v>608</v>
      </c>
      <c r="F1967">
        <v>39.72</v>
      </c>
      <c r="G1967">
        <v>29.33</v>
      </c>
      <c r="H1967">
        <v>3</v>
      </c>
      <c r="I1967">
        <v>3</v>
      </c>
      <c r="J1967" t="s">
        <v>608</v>
      </c>
      <c r="K1967" t="s">
        <v>52</v>
      </c>
    </row>
    <row r="1968" spans="1:11" x14ac:dyDescent="0.2">
      <c r="A1968" t="s">
        <v>771</v>
      </c>
      <c r="B1968" t="s">
        <v>768</v>
      </c>
      <c r="C1968">
        <v>54.99</v>
      </c>
      <c r="D1968" t="s">
        <v>608</v>
      </c>
      <c r="E1968" t="s">
        <v>608</v>
      </c>
      <c r="F1968">
        <v>29.61</v>
      </c>
      <c r="G1968">
        <v>21.2</v>
      </c>
      <c r="H1968">
        <v>1</v>
      </c>
      <c r="I1968">
        <v>1</v>
      </c>
      <c r="J1968" t="s">
        <v>608</v>
      </c>
      <c r="K1968" t="s">
        <v>52</v>
      </c>
    </row>
    <row r="1969" spans="1:11" x14ac:dyDescent="0.2">
      <c r="A1969" t="s">
        <v>772</v>
      </c>
      <c r="B1969" t="s">
        <v>768</v>
      </c>
      <c r="C1969">
        <v>41.01</v>
      </c>
      <c r="D1969" t="s">
        <v>608</v>
      </c>
      <c r="E1969" t="s">
        <v>608</v>
      </c>
      <c r="F1969">
        <v>17.329999999999998</v>
      </c>
      <c r="G1969">
        <v>11.89</v>
      </c>
      <c r="H1969">
        <v>1</v>
      </c>
      <c r="I1969">
        <v>1</v>
      </c>
      <c r="J1969" t="s">
        <v>608</v>
      </c>
      <c r="K1969" t="s">
        <v>52</v>
      </c>
    </row>
    <row r="1970" spans="1:11" x14ac:dyDescent="0.2">
      <c r="A1970" t="s">
        <v>773</v>
      </c>
      <c r="B1970" t="s">
        <v>774</v>
      </c>
      <c r="C1970">
        <v>46.76</v>
      </c>
      <c r="D1970" t="s">
        <v>608</v>
      </c>
      <c r="E1970" t="s">
        <v>608</v>
      </c>
      <c r="F1970">
        <v>49.04</v>
      </c>
      <c r="G1970">
        <v>35.409999999999997</v>
      </c>
      <c r="H1970">
        <v>0</v>
      </c>
      <c r="I1970">
        <v>0</v>
      </c>
      <c r="J1970" t="s">
        <v>608</v>
      </c>
      <c r="K1970" t="s">
        <v>52</v>
      </c>
    </row>
    <row r="1971" spans="1:11" x14ac:dyDescent="0.2">
      <c r="A1971" t="s">
        <v>775</v>
      </c>
      <c r="B1971" t="s">
        <v>774</v>
      </c>
      <c r="C1971">
        <v>65.81</v>
      </c>
      <c r="D1971" t="s">
        <v>608</v>
      </c>
      <c r="E1971" t="s">
        <v>608</v>
      </c>
      <c r="F1971">
        <v>55.39</v>
      </c>
      <c r="G1971">
        <v>40.15</v>
      </c>
      <c r="H1971">
        <v>1</v>
      </c>
      <c r="I1971">
        <v>1</v>
      </c>
      <c r="J1971" t="s">
        <v>608</v>
      </c>
      <c r="K1971" t="s">
        <v>52</v>
      </c>
    </row>
    <row r="1972" spans="1:11" x14ac:dyDescent="0.2">
      <c r="A1972" t="s">
        <v>776</v>
      </c>
      <c r="B1972" t="s">
        <v>774</v>
      </c>
      <c r="C1972">
        <v>63.16</v>
      </c>
      <c r="D1972" t="s">
        <v>608</v>
      </c>
      <c r="E1972" t="s">
        <v>608</v>
      </c>
      <c r="F1972">
        <v>62.88</v>
      </c>
      <c r="G1972">
        <v>46.82</v>
      </c>
      <c r="H1972">
        <v>1</v>
      </c>
      <c r="I1972">
        <v>1</v>
      </c>
      <c r="J1972" t="s">
        <v>608</v>
      </c>
      <c r="K1972" t="s">
        <v>52</v>
      </c>
    </row>
    <row r="1973" spans="1:11" x14ac:dyDescent="0.2">
      <c r="A1973" t="s">
        <v>777</v>
      </c>
      <c r="B1973" t="s">
        <v>774</v>
      </c>
      <c r="C1973">
        <v>53.47</v>
      </c>
      <c r="D1973" t="s">
        <v>608</v>
      </c>
      <c r="E1973" t="s">
        <v>608</v>
      </c>
      <c r="F1973">
        <v>31.46</v>
      </c>
      <c r="G1973">
        <v>22.57</v>
      </c>
      <c r="H1973">
        <v>0.5</v>
      </c>
      <c r="I1973">
        <v>1</v>
      </c>
      <c r="J1973" t="s">
        <v>608</v>
      </c>
      <c r="K1973" t="s">
        <v>52</v>
      </c>
    </row>
    <row r="1974" spans="1:11" x14ac:dyDescent="0.2">
      <c r="A1974" t="s">
        <v>778</v>
      </c>
      <c r="B1974" t="s">
        <v>774</v>
      </c>
      <c r="C1974">
        <v>53.43</v>
      </c>
      <c r="D1974" t="s">
        <v>608</v>
      </c>
      <c r="E1974" t="s">
        <v>608</v>
      </c>
      <c r="F1974">
        <v>34.61</v>
      </c>
      <c r="G1974">
        <v>26.59</v>
      </c>
      <c r="H1974">
        <v>0.5</v>
      </c>
      <c r="I1974">
        <v>0.5</v>
      </c>
      <c r="J1974" t="s">
        <v>608</v>
      </c>
      <c r="K1974" t="s">
        <v>52</v>
      </c>
    </row>
    <row r="1975" spans="1:11" x14ac:dyDescent="0.2">
      <c r="A1975" t="s">
        <v>779</v>
      </c>
      <c r="B1975" t="s">
        <v>780</v>
      </c>
      <c r="C1975">
        <v>64.349999999999994</v>
      </c>
      <c r="D1975" t="s">
        <v>608</v>
      </c>
      <c r="E1975" t="s">
        <v>608</v>
      </c>
      <c r="F1975">
        <v>67.010000000000005</v>
      </c>
      <c r="G1975">
        <v>48.23</v>
      </c>
      <c r="H1975">
        <v>1</v>
      </c>
      <c r="I1975">
        <v>1</v>
      </c>
      <c r="J1975" t="s">
        <v>781</v>
      </c>
      <c r="K1975" t="s">
        <v>52</v>
      </c>
    </row>
    <row r="1976" spans="1:11" x14ac:dyDescent="0.2">
      <c r="A1976" t="s">
        <v>782</v>
      </c>
      <c r="B1976" t="s">
        <v>780</v>
      </c>
      <c r="C1976">
        <v>41.04</v>
      </c>
      <c r="D1976" t="s">
        <v>608</v>
      </c>
      <c r="E1976" t="s">
        <v>608</v>
      </c>
      <c r="F1976">
        <v>29.67</v>
      </c>
      <c r="G1976">
        <v>22.82</v>
      </c>
      <c r="H1976">
        <v>2</v>
      </c>
      <c r="I1976">
        <v>3</v>
      </c>
      <c r="J1976" t="s">
        <v>783</v>
      </c>
      <c r="K1976" t="s">
        <v>52</v>
      </c>
    </row>
    <row r="1977" spans="1:11" x14ac:dyDescent="0.2">
      <c r="A1977" t="s">
        <v>784</v>
      </c>
      <c r="B1977" t="s">
        <v>780</v>
      </c>
      <c r="C1977">
        <v>45.06</v>
      </c>
      <c r="D1977" t="s">
        <v>608</v>
      </c>
      <c r="E1977" t="s">
        <v>608</v>
      </c>
      <c r="F1977">
        <v>23.51</v>
      </c>
      <c r="G1977">
        <v>16.899999999999999</v>
      </c>
      <c r="H1977">
        <v>1</v>
      </c>
      <c r="I1977">
        <v>0.5</v>
      </c>
      <c r="J1977" t="s">
        <v>608</v>
      </c>
      <c r="K1977" t="s">
        <v>52</v>
      </c>
    </row>
    <row r="1978" spans="1:11" x14ac:dyDescent="0.2">
      <c r="A1978" t="s">
        <v>785</v>
      </c>
      <c r="B1978" t="s">
        <v>780</v>
      </c>
      <c r="C1978">
        <v>61.14</v>
      </c>
      <c r="D1978" t="s">
        <v>608</v>
      </c>
      <c r="E1978" t="s">
        <v>608</v>
      </c>
      <c r="F1978">
        <v>32.21</v>
      </c>
      <c r="G1978">
        <v>22.63</v>
      </c>
      <c r="H1978">
        <v>0</v>
      </c>
      <c r="I1978">
        <v>0</v>
      </c>
      <c r="J1978" t="s">
        <v>608</v>
      </c>
      <c r="K1978" t="s">
        <v>52</v>
      </c>
    </row>
    <row r="1979" spans="1:11" x14ac:dyDescent="0.2">
      <c r="A1979" t="s">
        <v>786</v>
      </c>
      <c r="B1979" t="s">
        <v>780</v>
      </c>
      <c r="C1979">
        <v>36.46</v>
      </c>
      <c r="D1979" t="s">
        <v>608</v>
      </c>
      <c r="E1979" t="s">
        <v>608</v>
      </c>
      <c r="F1979">
        <v>12.58</v>
      </c>
      <c r="G1979">
        <v>9.57</v>
      </c>
      <c r="H1979">
        <v>1</v>
      </c>
      <c r="I1979">
        <v>1</v>
      </c>
      <c r="J1979" t="s">
        <v>608</v>
      </c>
      <c r="K1979" t="s">
        <v>52</v>
      </c>
    </row>
    <row r="1980" spans="1:11" x14ac:dyDescent="0.2">
      <c r="A1980" t="s">
        <v>787</v>
      </c>
      <c r="B1980" t="s">
        <v>788</v>
      </c>
      <c r="C1980">
        <v>62.54</v>
      </c>
      <c r="D1980" t="s">
        <v>608</v>
      </c>
      <c r="E1980" t="s">
        <v>608</v>
      </c>
      <c r="F1980">
        <v>62.46</v>
      </c>
      <c r="G1980">
        <v>43.58</v>
      </c>
      <c r="H1980">
        <v>0</v>
      </c>
      <c r="I1980">
        <v>0.5</v>
      </c>
      <c r="J1980" t="s">
        <v>608</v>
      </c>
      <c r="K1980" t="s">
        <v>52</v>
      </c>
    </row>
    <row r="1981" spans="1:11" x14ac:dyDescent="0.2">
      <c r="A1981" t="s">
        <v>789</v>
      </c>
      <c r="B1981" t="s">
        <v>788</v>
      </c>
      <c r="C1981">
        <v>54.05</v>
      </c>
      <c r="D1981" t="s">
        <v>608</v>
      </c>
      <c r="E1981" t="s">
        <v>608</v>
      </c>
      <c r="F1981">
        <v>33.69</v>
      </c>
      <c r="G1981">
        <v>26.63</v>
      </c>
      <c r="H1981">
        <v>0</v>
      </c>
      <c r="I1981">
        <v>0</v>
      </c>
      <c r="J1981" t="s">
        <v>608</v>
      </c>
      <c r="K1981" t="s">
        <v>52</v>
      </c>
    </row>
    <row r="1982" spans="1:11" x14ac:dyDescent="0.2">
      <c r="A1982" t="s">
        <v>790</v>
      </c>
      <c r="B1982" t="s">
        <v>788</v>
      </c>
      <c r="C1982">
        <v>58.62</v>
      </c>
      <c r="D1982" t="s">
        <v>608</v>
      </c>
      <c r="E1982" t="s">
        <v>608</v>
      </c>
      <c r="F1982">
        <v>24.1</v>
      </c>
      <c r="G1982">
        <v>16.36</v>
      </c>
      <c r="H1982">
        <v>0</v>
      </c>
      <c r="I1982">
        <v>0</v>
      </c>
      <c r="J1982" t="s">
        <v>608</v>
      </c>
      <c r="K1982" t="s">
        <v>52</v>
      </c>
    </row>
    <row r="1983" spans="1:11" x14ac:dyDescent="0.2">
      <c r="A1983" t="s">
        <v>791</v>
      </c>
      <c r="B1983" t="s">
        <v>788</v>
      </c>
      <c r="C1983">
        <v>66.88</v>
      </c>
      <c r="D1983" t="s">
        <v>608</v>
      </c>
      <c r="E1983" t="s">
        <v>608</v>
      </c>
      <c r="F1983">
        <v>45.37</v>
      </c>
      <c r="G1983">
        <v>30.95</v>
      </c>
      <c r="H1983">
        <v>0</v>
      </c>
      <c r="I1983">
        <v>0.5</v>
      </c>
      <c r="J1983" t="s">
        <v>608</v>
      </c>
      <c r="K1983" t="s">
        <v>52</v>
      </c>
    </row>
    <row r="1984" spans="1:11" x14ac:dyDescent="0.2">
      <c r="A1984" t="s">
        <v>792</v>
      </c>
      <c r="B1984" t="s">
        <v>788</v>
      </c>
      <c r="C1984">
        <v>55.95</v>
      </c>
      <c r="D1984" t="s">
        <v>608</v>
      </c>
      <c r="E1984" t="s">
        <v>608</v>
      </c>
      <c r="F1984">
        <v>47.32</v>
      </c>
      <c r="G1984">
        <v>33.32</v>
      </c>
      <c r="H1984">
        <v>0</v>
      </c>
      <c r="I1984">
        <v>0</v>
      </c>
      <c r="J1984" t="s">
        <v>608</v>
      </c>
      <c r="K1984" t="s">
        <v>52</v>
      </c>
    </row>
    <row r="1985" spans="1:11" x14ac:dyDescent="0.2">
      <c r="A1985" t="s">
        <v>793</v>
      </c>
      <c r="B1985" t="s">
        <v>794</v>
      </c>
      <c r="C1985">
        <v>61.66</v>
      </c>
      <c r="D1985" t="s">
        <v>608</v>
      </c>
      <c r="E1985" t="s">
        <v>608</v>
      </c>
      <c r="F1985">
        <v>26.83</v>
      </c>
      <c r="G1985">
        <v>19.010000000000002</v>
      </c>
      <c r="H1985">
        <v>2</v>
      </c>
      <c r="I1985">
        <v>2</v>
      </c>
      <c r="J1985" t="s">
        <v>608</v>
      </c>
      <c r="K1985" t="s">
        <v>52</v>
      </c>
    </row>
    <row r="1986" spans="1:11" x14ac:dyDescent="0.2">
      <c r="A1986" t="s">
        <v>795</v>
      </c>
      <c r="B1986" t="s">
        <v>794</v>
      </c>
      <c r="C1986">
        <v>46.66</v>
      </c>
      <c r="D1986" t="s">
        <v>608</v>
      </c>
      <c r="E1986" t="s">
        <v>608</v>
      </c>
      <c r="F1986">
        <v>30.07</v>
      </c>
      <c r="G1986">
        <v>21.92</v>
      </c>
      <c r="H1986">
        <v>0</v>
      </c>
      <c r="I1986">
        <v>0</v>
      </c>
      <c r="J1986" t="s">
        <v>608</v>
      </c>
      <c r="K1986" t="s">
        <v>52</v>
      </c>
    </row>
    <row r="1987" spans="1:11" x14ac:dyDescent="0.2">
      <c r="A1987" t="s">
        <v>796</v>
      </c>
      <c r="B1987" t="s">
        <v>794</v>
      </c>
      <c r="C1987">
        <v>58.04</v>
      </c>
      <c r="D1987" t="s">
        <v>608</v>
      </c>
      <c r="E1987" t="s">
        <v>608</v>
      </c>
      <c r="F1987">
        <v>21.45</v>
      </c>
      <c r="G1987">
        <v>14.84</v>
      </c>
      <c r="H1987">
        <v>0</v>
      </c>
      <c r="I1987">
        <v>0</v>
      </c>
      <c r="J1987" t="s">
        <v>608</v>
      </c>
      <c r="K1987" t="s">
        <v>52</v>
      </c>
    </row>
    <row r="1988" spans="1:11" x14ac:dyDescent="0.2">
      <c r="A1988" t="s">
        <v>797</v>
      </c>
      <c r="B1988" t="s">
        <v>794</v>
      </c>
      <c r="C1988">
        <v>53.53</v>
      </c>
      <c r="D1988" t="s">
        <v>608</v>
      </c>
      <c r="E1988" t="s">
        <v>608</v>
      </c>
      <c r="F1988">
        <v>34.96</v>
      </c>
      <c r="G1988">
        <v>27.33</v>
      </c>
      <c r="H1988">
        <v>0</v>
      </c>
      <c r="I1988">
        <v>0</v>
      </c>
      <c r="J1988" t="s">
        <v>608</v>
      </c>
      <c r="K1988" t="s">
        <v>52</v>
      </c>
    </row>
    <row r="1989" spans="1:11" x14ac:dyDescent="0.2">
      <c r="A1989" t="s">
        <v>798</v>
      </c>
      <c r="B1989" t="s">
        <v>794</v>
      </c>
      <c r="C1989">
        <v>45.31</v>
      </c>
      <c r="D1989" t="s">
        <v>608</v>
      </c>
      <c r="E1989" t="s">
        <v>608</v>
      </c>
      <c r="F1989">
        <v>29.75</v>
      </c>
      <c r="G1989">
        <v>23.15</v>
      </c>
      <c r="H1989">
        <v>1</v>
      </c>
      <c r="I1989">
        <v>1</v>
      </c>
      <c r="J1989" t="s">
        <v>608</v>
      </c>
      <c r="K1989" t="s">
        <v>52</v>
      </c>
    </row>
    <row r="1990" spans="1:11" x14ac:dyDescent="0.2">
      <c r="A1990" t="s">
        <v>799</v>
      </c>
      <c r="B1990" t="s">
        <v>800</v>
      </c>
      <c r="C1990">
        <v>39.840000000000003</v>
      </c>
      <c r="D1990" t="s">
        <v>608</v>
      </c>
      <c r="E1990" t="s">
        <v>608</v>
      </c>
      <c r="F1990">
        <v>30.44</v>
      </c>
      <c r="G1990">
        <v>21.76</v>
      </c>
      <c r="H1990">
        <v>0</v>
      </c>
      <c r="I1990">
        <v>0</v>
      </c>
      <c r="J1990" t="s">
        <v>608</v>
      </c>
      <c r="K1990" t="s">
        <v>52</v>
      </c>
    </row>
    <row r="1991" spans="1:11" x14ac:dyDescent="0.2">
      <c r="A1991" t="s">
        <v>801</v>
      </c>
      <c r="B1991" t="s">
        <v>800</v>
      </c>
      <c r="C1991">
        <v>80.67</v>
      </c>
      <c r="D1991" t="s">
        <v>608</v>
      </c>
      <c r="E1991" t="s">
        <v>608</v>
      </c>
      <c r="F1991">
        <v>100.38</v>
      </c>
      <c r="G1991">
        <v>73.73</v>
      </c>
      <c r="H1991">
        <v>0</v>
      </c>
      <c r="I1991">
        <v>0</v>
      </c>
      <c r="J1991" t="s">
        <v>608</v>
      </c>
      <c r="K1991" t="s">
        <v>52</v>
      </c>
    </row>
    <row r="1992" spans="1:11" x14ac:dyDescent="0.2">
      <c r="A1992" t="s">
        <v>802</v>
      </c>
      <c r="B1992" t="s">
        <v>800</v>
      </c>
      <c r="C1992">
        <v>56.97</v>
      </c>
      <c r="D1992" t="s">
        <v>608</v>
      </c>
      <c r="E1992" t="s">
        <v>608</v>
      </c>
      <c r="F1992">
        <v>55.27</v>
      </c>
      <c r="G1992">
        <v>41.15</v>
      </c>
      <c r="H1992">
        <v>0</v>
      </c>
      <c r="I1992">
        <v>0</v>
      </c>
      <c r="J1992" t="s">
        <v>608</v>
      </c>
      <c r="K1992" t="s">
        <v>52</v>
      </c>
    </row>
    <row r="1993" spans="1:11" x14ac:dyDescent="0.2">
      <c r="A1993" t="s">
        <v>803</v>
      </c>
      <c r="B1993" t="s">
        <v>800</v>
      </c>
      <c r="C1993">
        <v>67.739999999999995</v>
      </c>
      <c r="D1993" t="s">
        <v>608</v>
      </c>
      <c r="E1993" t="s">
        <v>608</v>
      </c>
      <c r="F1993">
        <v>49.81</v>
      </c>
      <c r="G1993">
        <v>34.94</v>
      </c>
      <c r="H1993">
        <v>1</v>
      </c>
      <c r="I1993">
        <v>1</v>
      </c>
      <c r="J1993" t="s">
        <v>608</v>
      </c>
      <c r="K1993" t="s">
        <v>52</v>
      </c>
    </row>
    <row r="1994" spans="1:11" x14ac:dyDescent="0.2">
      <c r="A1994" t="s">
        <v>804</v>
      </c>
      <c r="B1994" t="s">
        <v>800</v>
      </c>
      <c r="C1994">
        <v>67.12</v>
      </c>
      <c r="D1994" t="s">
        <v>608</v>
      </c>
      <c r="E1994" t="s">
        <v>608</v>
      </c>
      <c r="F1994">
        <v>50.81</v>
      </c>
      <c r="G1994">
        <v>38.14</v>
      </c>
      <c r="H1994">
        <v>2</v>
      </c>
      <c r="I1994">
        <v>2</v>
      </c>
      <c r="J1994" t="s">
        <v>805</v>
      </c>
      <c r="K1994" t="s">
        <v>52</v>
      </c>
    </row>
    <row r="1995" spans="1:11" x14ac:dyDescent="0.2">
      <c r="A1995" t="s">
        <v>806</v>
      </c>
      <c r="B1995" t="s">
        <v>807</v>
      </c>
      <c r="C1995">
        <v>48.36</v>
      </c>
      <c r="D1995" t="s">
        <v>608</v>
      </c>
      <c r="E1995" t="s">
        <v>608</v>
      </c>
      <c r="F1995">
        <v>45.02</v>
      </c>
      <c r="G1995">
        <v>34.93</v>
      </c>
      <c r="H1995">
        <v>2</v>
      </c>
      <c r="I1995">
        <v>3</v>
      </c>
      <c r="J1995" t="s">
        <v>808</v>
      </c>
      <c r="K1995" t="s">
        <v>52</v>
      </c>
    </row>
    <row r="1996" spans="1:11" x14ac:dyDescent="0.2">
      <c r="A1996" t="s">
        <v>809</v>
      </c>
      <c r="B1996" t="s">
        <v>807</v>
      </c>
      <c r="C1996">
        <v>42.15</v>
      </c>
      <c r="D1996" t="s">
        <v>608</v>
      </c>
      <c r="E1996" t="s">
        <v>608</v>
      </c>
      <c r="F1996">
        <v>11.03</v>
      </c>
      <c r="G1996">
        <v>7.54</v>
      </c>
      <c r="H1996">
        <v>0</v>
      </c>
      <c r="I1996">
        <v>0</v>
      </c>
      <c r="J1996" t="s">
        <v>608</v>
      </c>
      <c r="K1996" t="s">
        <v>52</v>
      </c>
    </row>
    <row r="1997" spans="1:11" x14ac:dyDescent="0.2">
      <c r="A1997" t="s">
        <v>810</v>
      </c>
      <c r="B1997" t="s">
        <v>807</v>
      </c>
      <c r="C1997">
        <v>66.8</v>
      </c>
      <c r="D1997" t="s">
        <v>608</v>
      </c>
      <c r="E1997" t="s">
        <v>608</v>
      </c>
      <c r="F1997">
        <v>61.56</v>
      </c>
      <c r="G1997">
        <v>47.5</v>
      </c>
      <c r="H1997">
        <v>3</v>
      </c>
      <c r="I1997">
        <v>3</v>
      </c>
      <c r="J1997" t="s">
        <v>608</v>
      </c>
      <c r="K1997" t="s">
        <v>52</v>
      </c>
    </row>
    <row r="1998" spans="1:11" x14ac:dyDescent="0.2">
      <c r="A1998" t="s">
        <v>811</v>
      </c>
      <c r="B1998" t="s">
        <v>807</v>
      </c>
      <c r="C1998">
        <v>56.76</v>
      </c>
      <c r="D1998" t="s">
        <v>608</v>
      </c>
      <c r="E1998" t="s">
        <v>608</v>
      </c>
      <c r="F1998">
        <v>33.26</v>
      </c>
      <c r="G1998">
        <v>23.88</v>
      </c>
      <c r="H1998">
        <v>2</v>
      </c>
      <c r="I1998">
        <v>2</v>
      </c>
      <c r="J1998" t="s">
        <v>608</v>
      </c>
      <c r="K1998" t="s">
        <v>52</v>
      </c>
    </row>
    <row r="1999" spans="1:11" x14ac:dyDescent="0.2">
      <c r="A1999" t="s">
        <v>812</v>
      </c>
      <c r="B1999" t="s">
        <v>807</v>
      </c>
      <c r="C1999">
        <v>76.53</v>
      </c>
      <c r="D1999" t="s">
        <v>608</v>
      </c>
      <c r="E1999" t="s">
        <v>608</v>
      </c>
      <c r="F1999">
        <v>72.52</v>
      </c>
      <c r="G1999">
        <v>53.36</v>
      </c>
      <c r="H1999">
        <v>2</v>
      </c>
      <c r="I1999">
        <v>2</v>
      </c>
      <c r="J1999" t="s">
        <v>608</v>
      </c>
      <c r="K1999" t="s">
        <v>52</v>
      </c>
    </row>
    <row r="2000" spans="1:11" x14ac:dyDescent="0.2">
      <c r="A2000" t="s">
        <v>813</v>
      </c>
      <c r="B2000" t="s">
        <v>814</v>
      </c>
      <c r="C2000">
        <v>54.91</v>
      </c>
      <c r="D2000" t="s">
        <v>608</v>
      </c>
      <c r="E2000" t="s">
        <v>608</v>
      </c>
      <c r="F2000">
        <v>39.700000000000003</v>
      </c>
      <c r="G2000">
        <v>31.04</v>
      </c>
      <c r="H2000">
        <v>0.5</v>
      </c>
      <c r="I2000">
        <v>1</v>
      </c>
      <c r="J2000" t="s">
        <v>608</v>
      </c>
      <c r="K2000" t="s">
        <v>52</v>
      </c>
    </row>
    <row r="2001" spans="1:11" x14ac:dyDescent="0.2">
      <c r="A2001" t="s">
        <v>815</v>
      </c>
      <c r="B2001" t="s">
        <v>814</v>
      </c>
      <c r="C2001">
        <v>51.93</v>
      </c>
      <c r="D2001" t="s">
        <v>608</v>
      </c>
      <c r="E2001" t="s">
        <v>608</v>
      </c>
      <c r="F2001">
        <v>50.71</v>
      </c>
      <c r="G2001">
        <v>37.159999999999997</v>
      </c>
      <c r="H2001">
        <v>0</v>
      </c>
      <c r="I2001">
        <v>0</v>
      </c>
      <c r="J2001" t="s">
        <v>608</v>
      </c>
      <c r="K2001" t="s">
        <v>52</v>
      </c>
    </row>
    <row r="2002" spans="1:11" x14ac:dyDescent="0.2">
      <c r="A2002" t="s">
        <v>816</v>
      </c>
      <c r="B2002" t="s">
        <v>814</v>
      </c>
      <c r="C2002">
        <v>39.28</v>
      </c>
      <c r="D2002" t="s">
        <v>608</v>
      </c>
      <c r="E2002" t="s">
        <v>608</v>
      </c>
      <c r="F2002">
        <v>9.02</v>
      </c>
      <c r="G2002">
        <v>6.41</v>
      </c>
      <c r="H2002">
        <v>0</v>
      </c>
      <c r="I2002">
        <v>0.5</v>
      </c>
      <c r="J2002" t="s">
        <v>608</v>
      </c>
      <c r="K2002" t="s">
        <v>52</v>
      </c>
    </row>
    <row r="2003" spans="1:11" x14ac:dyDescent="0.2">
      <c r="A2003" t="s">
        <v>817</v>
      </c>
      <c r="B2003" t="s">
        <v>814</v>
      </c>
      <c r="C2003">
        <v>35.21</v>
      </c>
      <c r="D2003" t="s">
        <v>608</v>
      </c>
      <c r="E2003" t="s">
        <v>608</v>
      </c>
      <c r="F2003">
        <v>15.23</v>
      </c>
      <c r="G2003">
        <v>11.39</v>
      </c>
      <c r="H2003">
        <v>0</v>
      </c>
      <c r="I2003">
        <v>0</v>
      </c>
      <c r="J2003" t="s">
        <v>608</v>
      </c>
      <c r="K2003" t="s">
        <v>52</v>
      </c>
    </row>
    <row r="2004" spans="1:11" x14ac:dyDescent="0.2">
      <c r="A2004" t="s">
        <v>818</v>
      </c>
      <c r="B2004" t="s">
        <v>814</v>
      </c>
      <c r="C2004">
        <v>43.96</v>
      </c>
      <c r="D2004" t="s">
        <v>608</v>
      </c>
      <c r="E2004" t="s">
        <v>608</v>
      </c>
      <c r="F2004">
        <v>26.28</v>
      </c>
      <c r="G2004">
        <v>17.45</v>
      </c>
      <c r="H2004">
        <v>0</v>
      </c>
      <c r="I2004">
        <v>0</v>
      </c>
      <c r="J2004" t="s">
        <v>608</v>
      </c>
      <c r="K2004" t="s">
        <v>52</v>
      </c>
    </row>
    <row r="2005" spans="1:11" x14ac:dyDescent="0.2">
      <c r="A2005" t="s">
        <v>819</v>
      </c>
      <c r="B2005" t="s">
        <v>820</v>
      </c>
      <c r="C2005">
        <v>48.94</v>
      </c>
      <c r="D2005" t="s">
        <v>608</v>
      </c>
      <c r="E2005" t="s">
        <v>608</v>
      </c>
      <c r="F2005">
        <v>22.25</v>
      </c>
      <c r="G2005">
        <v>14.32</v>
      </c>
      <c r="H2005">
        <v>0</v>
      </c>
      <c r="I2005">
        <v>0.5</v>
      </c>
      <c r="J2005" t="s">
        <v>608</v>
      </c>
      <c r="K2005" t="s">
        <v>52</v>
      </c>
    </row>
    <row r="2006" spans="1:11" x14ac:dyDescent="0.2">
      <c r="A2006" t="s">
        <v>821</v>
      </c>
      <c r="B2006" t="s">
        <v>820</v>
      </c>
      <c r="C2006">
        <v>60.04</v>
      </c>
      <c r="D2006" t="s">
        <v>608</v>
      </c>
      <c r="E2006" t="s">
        <v>608</v>
      </c>
      <c r="F2006">
        <v>28.34</v>
      </c>
      <c r="G2006">
        <v>20.51</v>
      </c>
      <c r="H2006">
        <v>0</v>
      </c>
      <c r="I2006">
        <v>0</v>
      </c>
      <c r="J2006" t="s">
        <v>608</v>
      </c>
      <c r="K2006" t="s">
        <v>52</v>
      </c>
    </row>
    <row r="2007" spans="1:11" x14ac:dyDescent="0.2">
      <c r="A2007" t="s">
        <v>822</v>
      </c>
      <c r="B2007" t="s">
        <v>820</v>
      </c>
      <c r="C2007">
        <v>73.34</v>
      </c>
      <c r="D2007" t="s">
        <v>608</v>
      </c>
      <c r="E2007" t="s">
        <v>608</v>
      </c>
      <c r="F2007">
        <v>62.07</v>
      </c>
      <c r="G2007">
        <v>43.4</v>
      </c>
      <c r="H2007">
        <v>0</v>
      </c>
      <c r="I2007">
        <v>0</v>
      </c>
      <c r="J2007" t="s">
        <v>608</v>
      </c>
      <c r="K2007" t="s">
        <v>52</v>
      </c>
    </row>
    <row r="2008" spans="1:11" x14ac:dyDescent="0.2">
      <c r="A2008" t="s">
        <v>823</v>
      </c>
      <c r="B2008" t="s">
        <v>820</v>
      </c>
      <c r="C2008">
        <v>56.35</v>
      </c>
      <c r="D2008" t="s">
        <v>608</v>
      </c>
      <c r="E2008" t="s">
        <v>608</v>
      </c>
      <c r="F2008">
        <v>22.46</v>
      </c>
      <c r="G2008">
        <v>15.94</v>
      </c>
      <c r="H2008">
        <v>0</v>
      </c>
      <c r="I2008">
        <v>0</v>
      </c>
      <c r="J2008" t="s">
        <v>608</v>
      </c>
      <c r="K2008" t="s">
        <v>52</v>
      </c>
    </row>
    <row r="2009" spans="1:11" x14ac:dyDescent="0.2">
      <c r="A2009" t="s">
        <v>824</v>
      </c>
      <c r="B2009" t="s">
        <v>820</v>
      </c>
      <c r="C2009">
        <v>41.45</v>
      </c>
      <c r="D2009" t="s">
        <v>608</v>
      </c>
      <c r="E2009" t="s">
        <v>608</v>
      </c>
      <c r="F2009">
        <v>12.14</v>
      </c>
      <c r="G2009">
        <v>9.1</v>
      </c>
      <c r="H2009">
        <v>2</v>
      </c>
      <c r="I2009">
        <v>1</v>
      </c>
      <c r="J2009" t="s">
        <v>608</v>
      </c>
      <c r="K2009" t="s">
        <v>52</v>
      </c>
    </row>
    <row r="2010" spans="1:11" x14ac:dyDescent="0.2">
      <c r="A2010" t="s">
        <v>825</v>
      </c>
      <c r="B2010" t="s">
        <v>826</v>
      </c>
      <c r="C2010">
        <v>82.02</v>
      </c>
      <c r="D2010" t="s">
        <v>608</v>
      </c>
      <c r="E2010" t="s">
        <v>608</v>
      </c>
      <c r="F2010">
        <v>93.28</v>
      </c>
      <c r="G2010">
        <v>65.48</v>
      </c>
      <c r="H2010">
        <v>0.5</v>
      </c>
      <c r="I2010">
        <v>0.5</v>
      </c>
      <c r="J2010" t="s">
        <v>608</v>
      </c>
      <c r="K2010" t="s">
        <v>52</v>
      </c>
    </row>
    <row r="2011" spans="1:11" x14ac:dyDescent="0.2">
      <c r="A2011" t="s">
        <v>827</v>
      </c>
      <c r="B2011" t="s">
        <v>826</v>
      </c>
      <c r="C2011">
        <v>42.63</v>
      </c>
      <c r="D2011" t="s">
        <v>608</v>
      </c>
      <c r="E2011" t="s">
        <v>608</v>
      </c>
      <c r="F2011">
        <v>15.93</v>
      </c>
      <c r="G2011">
        <v>11.46</v>
      </c>
      <c r="H2011">
        <v>0.5</v>
      </c>
      <c r="I2011">
        <v>0.5</v>
      </c>
      <c r="J2011" t="s">
        <v>608</v>
      </c>
      <c r="K2011" t="s">
        <v>52</v>
      </c>
    </row>
    <row r="2012" spans="1:11" x14ac:dyDescent="0.2">
      <c r="A2012" t="s">
        <v>828</v>
      </c>
      <c r="B2012" t="s">
        <v>826</v>
      </c>
      <c r="C2012">
        <v>51.09</v>
      </c>
      <c r="D2012" t="s">
        <v>608</v>
      </c>
      <c r="E2012" t="s">
        <v>608</v>
      </c>
      <c r="F2012">
        <v>22.41</v>
      </c>
      <c r="G2012">
        <v>16.899999999999999</v>
      </c>
      <c r="H2012">
        <v>0</v>
      </c>
      <c r="I2012">
        <v>0.5</v>
      </c>
      <c r="J2012" t="s">
        <v>608</v>
      </c>
      <c r="K2012" t="s">
        <v>52</v>
      </c>
    </row>
    <row r="2013" spans="1:11" x14ac:dyDescent="0.2">
      <c r="A2013" t="s">
        <v>829</v>
      </c>
      <c r="B2013" t="s">
        <v>826</v>
      </c>
      <c r="C2013">
        <v>62.59</v>
      </c>
      <c r="D2013" t="s">
        <v>608</v>
      </c>
      <c r="E2013" t="s">
        <v>608</v>
      </c>
      <c r="F2013">
        <v>49.51</v>
      </c>
      <c r="G2013">
        <v>34.24</v>
      </c>
      <c r="H2013">
        <v>2</v>
      </c>
      <c r="I2013">
        <v>2</v>
      </c>
      <c r="J2013" t="s">
        <v>608</v>
      </c>
      <c r="K2013" t="s">
        <v>52</v>
      </c>
    </row>
    <row r="2014" spans="1:11" x14ac:dyDescent="0.2">
      <c r="A2014" t="s">
        <v>830</v>
      </c>
      <c r="B2014" t="s">
        <v>826</v>
      </c>
      <c r="C2014">
        <v>53.86</v>
      </c>
      <c r="D2014" t="s">
        <v>608</v>
      </c>
      <c r="E2014" t="s">
        <v>608</v>
      </c>
      <c r="F2014">
        <v>39.71</v>
      </c>
      <c r="G2014">
        <v>30.93</v>
      </c>
      <c r="H2014">
        <v>1</v>
      </c>
      <c r="I2014">
        <v>2</v>
      </c>
      <c r="J2014" t="s">
        <v>608</v>
      </c>
      <c r="K2014" t="s">
        <v>52</v>
      </c>
    </row>
    <row r="2015" spans="1:11" x14ac:dyDescent="0.2">
      <c r="A2015" t="s">
        <v>662</v>
      </c>
      <c r="B2015" t="s">
        <v>663</v>
      </c>
      <c r="C2015">
        <v>72.16</v>
      </c>
      <c r="D2015" t="s">
        <v>608</v>
      </c>
      <c r="E2015" t="s">
        <v>608</v>
      </c>
      <c r="F2015">
        <v>68.97</v>
      </c>
      <c r="G2015">
        <v>51.64</v>
      </c>
      <c r="H2015">
        <v>0</v>
      </c>
      <c r="I2015">
        <v>0</v>
      </c>
      <c r="J2015" t="s">
        <v>664</v>
      </c>
      <c r="K2015" t="s">
        <v>52</v>
      </c>
    </row>
    <row r="2016" spans="1:11" x14ac:dyDescent="0.2">
      <c r="A2016" t="s">
        <v>665</v>
      </c>
      <c r="B2016" t="s">
        <v>663</v>
      </c>
      <c r="C2016">
        <v>51.46</v>
      </c>
      <c r="D2016" t="s">
        <v>608</v>
      </c>
      <c r="E2016" t="s">
        <v>608</v>
      </c>
      <c r="F2016">
        <v>40.08</v>
      </c>
      <c r="G2016">
        <v>34.01</v>
      </c>
      <c r="H2016">
        <v>0</v>
      </c>
      <c r="I2016">
        <v>0</v>
      </c>
      <c r="J2016" t="s">
        <v>666</v>
      </c>
      <c r="K2016" t="s">
        <v>52</v>
      </c>
    </row>
    <row r="2017" spans="1:11" x14ac:dyDescent="0.2">
      <c r="A2017" t="s">
        <v>667</v>
      </c>
      <c r="B2017" t="s">
        <v>663</v>
      </c>
      <c r="C2017">
        <v>75.81</v>
      </c>
      <c r="D2017" t="s">
        <v>608</v>
      </c>
      <c r="E2017" t="s">
        <v>608</v>
      </c>
      <c r="F2017">
        <v>75.41</v>
      </c>
      <c r="G2017">
        <v>54.51</v>
      </c>
      <c r="H2017">
        <v>0.5</v>
      </c>
      <c r="I2017">
        <v>0.5</v>
      </c>
      <c r="J2017" t="s">
        <v>608</v>
      </c>
      <c r="K2017" t="s">
        <v>52</v>
      </c>
    </row>
    <row r="2018" spans="1:11" x14ac:dyDescent="0.2">
      <c r="A2018" t="s">
        <v>668</v>
      </c>
      <c r="B2018" t="s">
        <v>663</v>
      </c>
      <c r="C2018">
        <v>68.83</v>
      </c>
      <c r="D2018" t="s">
        <v>608</v>
      </c>
      <c r="E2018" t="s">
        <v>608</v>
      </c>
      <c r="F2018">
        <v>56.07</v>
      </c>
      <c r="G2018">
        <v>39.44</v>
      </c>
      <c r="H2018">
        <v>0.5</v>
      </c>
      <c r="I2018">
        <v>0.5</v>
      </c>
      <c r="J2018" t="s">
        <v>669</v>
      </c>
      <c r="K2018" t="s">
        <v>52</v>
      </c>
    </row>
    <row r="2019" spans="1:11" x14ac:dyDescent="0.2">
      <c r="A2019" t="s">
        <v>670</v>
      </c>
      <c r="B2019" t="s">
        <v>663</v>
      </c>
      <c r="C2019">
        <v>65.02</v>
      </c>
      <c r="D2019" t="s">
        <v>608</v>
      </c>
      <c r="E2019" t="s">
        <v>608</v>
      </c>
      <c r="F2019">
        <v>67.06</v>
      </c>
      <c r="G2019">
        <v>45.89</v>
      </c>
      <c r="H2019">
        <v>0</v>
      </c>
      <c r="I2019">
        <v>0</v>
      </c>
      <c r="J2019" t="s">
        <v>608</v>
      </c>
      <c r="K2019" t="s">
        <v>52</v>
      </c>
    </row>
    <row r="2020" spans="1:11" x14ac:dyDescent="0.2">
      <c r="A2020" t="s">
        <v>671</v>
      </c>
      <c r="B2020" t="s">
        <v>672</v>
      </c>
      <c r="C2020">
        <v>56.27</v>
      </c>
      <c r="D2020" t="s">
        <v>608</v>
      </c>
      <c r="E2020" t="s">
        <v>608</v>
      </c>
      <c r="F2020">
        <v>30.1</v>
      </c>
      <c r="G2020">
        <v>20.61</v>
      </c>
      <c r="H2020">
        <v>0.5</v>
      </c>
      <c r="I2020">
        <v>0</v>
      </c>
      <c r="J2020" t="s">
        <v>608</v>
      </c>
      <c r="K2020" t="s">
        <v>52</v>
      </c>
    </row>
    <row r="2021" spans="1:11" x14ac:dyDescent="0.2">
      <c r="A2021" t="s">
        <v>673</v>
      </c>
      <c r="B2021" t="s">
        <v>672</v>
      </c>
      <c r="C2021">
        <v>53.92</v>
      </c>
      <c r="D2021" t="s">
        <v>608</v>
      </c>
      <c r="E2021" t="s">
        <v>608</v>
      </c>
      <c r="F2021">
        <v>36.32</v>
      </c>
      <c r="G2021">
        <v>27.21</v>
      </c>
      <c r="H2021">
        <v>3</v>
      </c>
      <c r="I2021">
        <v>3</v>
      </c>
      <c r="J2021" t="s">
        <v>608</v>
      </c>
      <c r="K2021" t="s">
        <v>52</v>
      </c>
    </row>
    <row r="2022" spans="1:11" x14ac:dyDescent="0.2">
      <c r="A2022" t="s">
        <v>674</v>
      </c>
      <c r="B2022" t="s">
        <v>672</v>
      </c>
      <c r="C2022">
        <v>48.73</v>
      </c>
      <c r="D2022" t="s">
        <v>608</v>
      </c>
      <c r="E2022" t="s">
        <v>608</v>
      </c>
      <c r="F2022">
        <v>24.11</v>
      </c>
      <c r="G2022">
        <v>17.78</v>
      </c>
      <c r="H2022">
        <v>0</v>
      </c>
      <c r="I2022">
        <v>0</v>
      </c>
      <c r="J2022" t="s">
        <v>608</v>
      </c>
      <c r="K2022" t="s">
        <v>52</v>
      </c>
    </row>
    <row r="2023" spans="1:11" x14ac:dyDescent="0.2">
      <c r="A2023" t="s">
        <v>675</v>
      </c>
      <c r="B2023" t="s">
        <v>672</v>
      </c>
      <c r="C2023">
        <v>69.2</v>
      </c>
      <c r="D2023" t="s">
        <v>608</v>
      </c>
      <c r="E2023" t="s">
        <v>608</v>
      </c>
      <c r="F2023">
        <v>83.1</v>
      </c>
      <c r="G2023">
        <v>58.59</v>
      </c>
      <c r="H2023">
        <v>0.5</v>
      </c>
      <c r="I2023">
        <v>0.5</v>
      </c>
      <c r="J2023" t="s">
        <v>608</v>
      </c>
      <c r="K2023" t="s">
        <v>52</v>
      </c>
    </row>
    <row r="2024" spans="1:11" x14ac:dyDescent="0.2">
      <c r="A2024" t="s">
        <v>676</v>
      </c>
      <c r="B2024" t="s">
        <v>672</v>
      </c>
      <c r="C2024">
        <v>52.06</v>
      </c>
      <c r="D2024" t="s">
        <v>608</v>
      </c>
      <c r="E2024" t="s">
        <v>608</v>
      </c>
      <c r="F2024">
        <v>22.2</v>
      </c>
      <c r="G2024">
        <v>17.55</v>
      </c>
      <c r="H2024">
        <v>0</v>
      </c>
      <c r="I2024">
        <v>0</v>
      </c>
      <c r="J2024" t="s">
        <v>608</v>
      </c>
      <c r="K2024" t="s">
        <v>52</v>
      </c>
    </row>
    <row r="2025" spans="1:11" x14ac:dyDescent="0.2">
      <c r="A2025" t="s">
        <v>677</v>
      </c>
      <c r="B2025" t="s">
        <v>678</v>
      </c>
      <c r="C2025">
        <v>53.34</v>
      </c>
      <c r="D2025" t="s">
        <v>608</v>
      </c>
      <c r="E2025" t="s">
        <v>608</v>
      </c>
      <c r="F2025">
        <v>38</v>
      </c>
      <c r="G2025">
        <v>28.03</v>
      </c>
      <c r="H2025">
        <v>0.5</v>
      </c>
      <c r="I2025">
        <v>2</v>
      </c>
      <c r="J2025" t="s">
        <v>608</v>
      </c>
      <c r="K2025" t="s">
        <v>52</v>
      </c>
    </row>
    <row r="2026" spans="1:11" x14ac:dyDescent="0.2">
      <c r="A2026" t="s">
        <v>679</v>
      </c>
      <c r="B2026" t="s">
        <v>678</v>
      </c>
      <c r="C2026">
        <v>50.75</v>
      </c>
      <c r="D2026" t="s">
        <v>608</v>
      </c>
      <c r="E2026" t="s">
        <v>608</v>
      </c>
      <c r="F2026">
        <v>37.35</v>
      </c>
      <c r="G2026">
        <v>27.92</v>
      </c>
      <c r="H2026">
        <v>0</v>
      </c>
      <c r="I2026">
        <v>0</v>
      </c>
      <c r="J2026" t="s">
        <v>608</v>
      </c>
      <c r="K2026" t="s">
        <v>52</v>
      </c>
    </row>
    <row r="2027" spans="1:11" x14ac:dyDescent="0.2">
      <c r="A2027" t="s">
        <v>680</v>
      </c>
      <c r="B2027" t="s">
        <v>678</v>
      </c>
      <c r="C2027">
        <v>44.08</v>
      </c>
      <c r="D2027" t="s">
        <v>608</v>
      </c>
      <c r="E2027" t="s">
        <v>608</v>
      </c>
      <c r="F2027">
        <v>25.33</v>
      </c>
      <c r="G2027">
        <v>17.8</v>
      </c>
      <c r="H2027">
        <v>0</v>
      </c>
      <c r="I2027">
        <v>0</v>
      </c>
      <c r="J2027" t="s">
        <v>681</v>
      </c>
      <c r="K2027" t="s">
        <v>52</v>
      </c>
    </row>
    <row r="2028" spans="1:11" x14ac:dyDescent="0.2">
      <c r="A2028" t="s">
        <v>682</v>
      </c>
      <c r="B2028" t="s">
        <v>678</v>
      </c>
      <c r="C2028">
        <v>46.46</v>
      </c>
      <c r="D2028" t="s">
        <v>608</v>
      </c>
      <c r="E2028" t="s">
        <v>608</v>
      </c>
      <c r="F2028">
        <v>17.739999999999998</v>
      </c>
      <c r="G2028">
        <v>13.19</v>
      </c>
      <c r="H2028">
        <v>0.5</v>
      </c>
      <c r="I2028">
        <v>1</v>
      </c>
      <c r="J2028" t="s">
        <v>608</v>
      </c>
      <c r="K2028" t="s">
        <v>52</v>
      </c>
    </row>
    <row r="2029" spans="1:11" x14ac:dyDescent="0.2">
      <c r="A2029" t="s">
        <v>683</v>
      </c>
      <c r="B2029" t="s">
        <v>678</v>
      </c>
      <c r="C2029">
        <v>45.74</v>
      </c>
      <c r="D2029" t="s">
        <v>608</v>
      </c>
      <c r="E2029" t="s">
        <v>608</v>
      </c>
      <c r="F2029">
        <v>12.92</v>
      </c>
      <c r="G2029">
        <v>8.52</v>
      </c>
      <c r="H2029">
        <v>0</v>
      </c>
      <c r="I2029">
        <v>0</v>
      </c>
      <c r="J2029" t="s">
        <v>608</v>
      </c>
      <c r="K2029" t="s">
        <v>52</v>
      </c>
    </row>
    <row r="2030" spans="1:11" x14ac:dyDescent="0.2">
      <c r="A2030" t="s">
        <v>996</v>
      </c>
      <c r="B2030" t="s">
        <v>997</v>
      </c>
      <c r="C2030">
        <v>53.57</v>
      </c>
      <c r="D2030" t="s">
        <v>608</v>
      </c>
      <c r="E2030" t="s">
        <v>608</v>
      </c>
      <c r="F2030">
        <v>35.799999999999997</v>
      </c>
      <c r="G2030">
        <v>25.75</v>
      </c>
      <c r="H2030">
        <v>2</v>
      </c>
      <c r="I2030">
        <v>1</v>
      </c>
      <c r="J2030" t="s">
        <v>608</v>
      </c>
      <c r="K2030" t="s">
        <v>52</v>
      </c>
    </row>
    <row r="2031" spans="1:11" x14ac:dyDescent="0.2">
      <c r="A2031" t="s">
        <v>998</v>
      </c>
      <c r="B2031" t="s">
        <v>997</v>
      </c>
      <c r="C2031">
        <v>71.72</v>
      </c>
      <c r="D2031" t="s">
        <v>608</v>
      </c>
      <c r="E2031" t="s">
        <v>608</v>
      </c>
      <c r="F2031">
        <v>54.35</v>
      </c>
      <c r="G2031">
        <v>36.409999999999997</v>
      </c>
      <c r="H2031">
        <v>1</v>
      </c>
      <c r="I2031">
        <v>2</v>
      </c>
      <c r="J2031" t="s">
        <v>608</v>
      </c>
      <c r="K2031" t="s">
        <v>52</v>
      </c>
    </row>
    <row r="2032" spans="1:11" x14ac:dyDescent="0.2">
      <c r="A2032" t="s">
        <v>999</v>
      </c>
      <c r="B2032" t="s">
        <v>997</v>
      </c>
      <c r="C2032">
        <v>49.37</v>
      </c>
      <c r="D2032" t="s">
        <v>608</v>
      </c>
      <c r="E2032" t="s">
        <v>608</v>
      </c>
      <c r="F2032">
        <v>29.87</v>
      </c>
      <c r="G2032">
        <v>21.59</v>
      </c>
      <c r="H2032">
        <v>0</v>
      </c>
      <c r="I2032">
        <v>0</v>
      </c>
      <c r="J2032" t="s">
        <v>608</v>
      </c>
      <c r="K2032" t="s">
        <v>52</v>
      </c>
    </row>
    <row r="2033" spans="1:11" x14ac:dyDescent="0.2">
      <c r="A2033" t="s">
        <v>1000</v>
      </c>
      <c r="B2033" t="s">
        <v>997</v>
      </c>
      <c r="C2033">
        <v>44.17</v>
      </c>
      <c r="D2033" t="s">
        <v>608</v>
      </c>
      <c r="E2033" t="s">
        <v>608</v>
      </c>
      <c r="F2033">
        <v>17.18</v>
      </c>
      <c r="G2033">
        <v>13.09</v>
      </c>
      <c r="H2033">
        <v>0</v>
      </c>
      <c r="I2033">
        <v>0</v>
      </c>
      <c r="J2033" t="s">
        <v>608</v>
      </c>
      <c r="K2033" t="s">
        <v>52</v>
      </c>
    </row>
    <row r="2034" spans="1:11" x14ac:dyDescent="0.2">
      <c r="A2034" t="s">
        <v>1001</v>
      </c>
      <c r="B2034" t="s">
        <v>997</v>
      </c>
      <c r="C2034">
        <v>57</v>
      </c>
      <c r="D2034" t="s">
        <v>608</v>
      </c>
      <c r="E2034" t="s">
        <v>608</v>
      </c>
      <c r="F2034">
        <v>24</v>
      </c>
      <c r="G2034">
        <v>18.02</v>
      </c>
      <c r="H2034">
        <v>0</v>
      </c>
      <c r="I2034">
        <v>0</v>
      </c>
      <c r="J2034" t="s">
        <v>608</v>
      </c>
      <c r="K2034" t="s">
        <v>52</v>
      </c>
    </row>
    <row r="2035" spans="1:11" x14ac:dyDescent="0.2">
      <c r="A2035" t="s">
        <v>1002</v>
      </c>
      <c r="B2035" t="s">
        <v>1003</v>
      </c>
      <c r="C2035">
        <v>64.08</v>
      </c>
      <c r="D2035" t="s">
        <v>608</v>
      </c>
      <c r="E2035" t="s">
        <v>608</v>
      </c>
      <c r="F2035">
        <v>28.96</v>
      </c>
      <c r="G2035">
        <v>22.76</v>
      </c>
      <c r="H2035">
        <v>0</v>
      </c>
      <c r="I2035">
        <v>0</v>
      </c>
      <c r="J2035" t="s">
        <v>608</v>
      </c>
      <c r="K2035" t="s">
        <v>52</v>
      </c>
    </row>
    <row r="2036" spans="1:11" x14ac:dyDescent="0.2">
      <c r="A2036" t="s">
        <v>1004</v>
      </c>
      <c r="B2036" t="s">
        <v>1003</v>
      </c>
      <c r="C2036">
        <v>49.79</v>
      </c>
      <c r="D2036" t="s">
        <v>608</v>
      </c>
      <c r="E2036" t="s">
        <v>608</v>
      </c>
      <c r="F2036">
        <v>16.79</v>
      </c>
      <c r="G2036">
        <v>12.24</v>
      </c>
      <c r="H2036">
        <v>3</v>
      </c>
      <c r="I2036">
        <v>4</v>
      </c>
      <c r="J2036" t="s">
        <v>1005</v>
      </c>
      <c r="K2036" t="s">
        <v>52</v>
      </c>
    </row>
    <row r="2037" spans="1:11" x14ac:dyDescent="0.2">
      <c r="A2037" t="s">
        <v>1006</v>
      </c>
      <c r="B2037" t="s">
        <v>1003</v>
      </c>
      <c r="C2037">
        <v>61.9</v>
      </c>
      <c r="D2037" t="s">
        <v>608</v>
      </c>
      <c r="E2037" t="s">
        <v>608</v>
      </c>
      <c r="F2037">
        <v>34.01</v>
      </c>
      <c r="G2037">
        <v>24.09</v>
      </c>
      <c r="H2037">
        <v>2</v>
      </c>
      <c r="I2037">
        <v>2</v>
      </c>
      <c r="J2037" t="s">
        <v>608</v>
      </c>
      <c r="K2037" t="s">
        <v>52</v>
      </c>
    </row>
    <row r="2038" spans="1:11" x14ac:dyDescent="0.2">
      <c r="A2038" t="s">
        <v>1007</v>
      </c>
      <c r="B2038" t="s">
        <v>1003</v>
      </c>
      <c r="C2038">
        <v>63.31</v>
      </c>
      <c r="D2038" t="s">
        <v>608</v>
      </c>
      <c r="E2038" t="s">
        <v>608</v>
      </c>
      <c r="F2038">
        <v>49.16</v>
      </c>
      <c r="G2038">
        <v>35.22</v>
      </c>
      <c r="H2038">
        <v>3</v>
      </c>
      <c r="I2038">
        <v>3</v>
      </c>
      <c r="J2038" t="s">
        <v>608</v>
      </c>
      <c r="K2038" t="s">
        <v>52</v>
      </c>
    </row>
    <row r="2039" spans="1:11" x14ac:dyDescent="0.2">
      <c r="A2039" t="s">
        <v>1008</v>
      </c>
      <c r="B2039" t="s">
        <v>1003</v>
      </c>
      <c r="C2039">
        <v>56.6</v>
      </c>
      <c r="D2039" t="s">
        <v>608</v>
      </c>
      <c r="E2039" t="s">
        <v>608</v>
      </c>
      <c r="F2039">
        <v>44.96</v>
      </c>
      <c r="G2039">
        <v>33.43</v>
      </c>
      <c r="H2039">
        <v>0.5</v>
      </c>
      <c r="I2039">
        <v>0.5</v>
      </c>
      <c r="J2039" t="s">
        <v>608</v>
      </c>
      <c r="K2039" t="s">
        <v>52</v>
      </c>
    </row>
    <row r="2040" spans="1:11" x14ac:dyDescent="0.2">
      <c r="A2040" t="s">
        <v>1009</v>
      </c>
      <c r="B2040" t="s">
        <v>1010</v>
      </c>
      <c r="C2040">
        <v>52.03</v>
      </c>
      <c r="D2040" t="s">
        <v>608</v>
      </c>
      <c r="E2040" t="s">
        <v>608</v>
      </c>
      <c r="F2040">
        <v>30.14</v>
      </c>
      <c r="G2040">
        <v>21.31</v>
      </c>
      <c r="H2040">
        <v>2</v>
      </c>
      <c r="I2040">
        <v>2</v>
      </c>
      <c r="J2040" t="s">
        <v>608</v>
      </c>
      <c r="K2040" t="s">
        <v>52</v>
      </c>
    </row>
    <row r="2041" spans="1:11" x14ac:dyDescent="0.2">
      <c r="A2041" t="s">
        <v>1011</v>
      </c>
      <c r="B2041" t="s">
        <v>1010</v>
      </c>
      <c r="C2041">
        <v>41.25</v>
      </c>
      <c r="D2041" t="s">
        <v>608</v>
      </c>
      <c r="E2041" t="s">
        <v>608</v>
      </c>
      <c r="F2041">
        <v>17.100000000000001</v>
      </c>
      <c r="G2041">
        <v>12.49</v>
      </c>
      <c r="H2041">
        <v>1</v>
      </c>
      <c r="I2041">
        <v>1</v>
      </c>
      <c r="J2041" t="s">
        <v>608</v>
      </c>
      <c r="K2041" t="s">
        <v>52</v>
      </c>
    </row>
    <row r="2042" spans="1:11" x14ac:dyDescent="0.2">
      <c r="A2042" t="s">
        <v>1012</v>
      </c>
      <c r="B2042" t="s">
        <v>1010</v>
      </c>
      <c r="C2042">
        <v>64.25</v>
      </c>
      <c r="D2042" t="s">
        <v>608</v>
      </c>
      <c r="E2042" t="s">
        <v>608</v>
      </c>
      <c r="F2042">
        <v>54.99</v>
      </c>
      <c r="G2042">
        <v>39.06</v>
      </c>
      <c r="H2042">
        <v>0.5</v>
      </c>
      <c r="I2042">
        <v>0.5</v>
      </c>
      <c r="J2042" t="s">
        <v>608</v>
      </c>
      <c r="K2042" t="s">
        <v>52</v>
      </c>
    </row>
    <row r="2043" spans="1:11" x14ac:dyDescent="0.2">
      <c r="A2043" t="s">
        <v>1013</v>
      </c>
      <c r="B2043" t="s">
        <v>1010</v>
      </c>
      <c r="C2043">
        <v>49.34</v>
      </c>
      <c r="D2043" t="s">
        <v>608</v>
      </c>
      <c r="E2043" t="s">
        <v>608</v>
      </c>
      <c r="F2043">
        <v>17.940000000000001</v>
      </c>
      <c r="G2043">
        <v>12.95</v>
      </c>
      <c r="H2043">
        <v>2</v>
      </c>
      <c r="I2043">
        <v>3</v>
      </c>
      <c r="J2043" t="s">
        <v>608</v>
      </c>
      <c r="K2043" t="s">
        <v>52</v>
      </c>
    </row>
    <row r="2044" spans="1:11" x14ac:dyDescent="0.2">
      <c r="A2044" t="s">
        <v>1014</v>
      </c>
      <c r="B2044" t="s">
        <v>1010</v>
      </c>
      <c r="C2044">
        <v>32.409999999999997</v>
      </c>
      <c r="D2044" t="s">
        <v>608</v>
      </c>
      <c r="E2044" t="s">
        <v>608</v>
      </c>
      <c r="F2044">
        <v>10.11</v>
      </c>
      <c r="G2044">
        <v>7.1</v>
      </c>
      <c r="H2044">
        <v>0.5</v>
      </c>
      <c r="I2044">
        <v>0.5</v>
      </c>
      <c r="J2044" t="s">
        <v>608</v>
      </c>
      <c r="K2044" t="s">
        <v>52</v>
      </c>
    </row>
    <row r="2045" spans="1:11" x14ac:dyDescent="0.2">
      <c r="A2045" t="s">
        <v>3107</v>
      </c>
      <c r="B2045" t="s">
        <v>1523</v>
      </c>
      <c r="C2045">
        <v>57.01</v>
      </c>
      <c r="D2045" t="s">
        <v>608</v>
      </c>
      <c r="E2045" t="s">
        <v>608</v>
      </c>
      <c r="F2045">
        <v>42.27</v>
      </c>
      <c r="G2045">
        <v>31.02</v>
      </c>
      <c r="H2045">
        <v>0</v>
      </c>
      <c r="I2045">
        <v>0</v>
      </c>
      <c r="J2045" t="s">
        <v>608</v>
      </c>
      <c r="K2045" t="s">
        <v>910</v>
      </c>
    </row>
    <row r="2046" spans="1:11" x14ac:dyDescent="0.2">
      <c r="A2046" t="s">
        <v>3108</v>
      </c>
      <c r="B2046" t="s">
        <v>1523</v>
      </c>
      <c r="C2046">
        <v>46.96</v>
      </c>
      <c r="D2046" t="s">
        <v>608</v>
      </c>
      <c r="E2046" t="s">
        <v>608</v>
      </c>
      <c r="F2046">
        <v>34.51</v>
      </c>
      <c r="G2046">
        <v>25.04</v>
      </c>
      <c r="H2046">
        <v>0</v>
      </c>
      <c r="I2046">
        <v>0</v>
      </c>
      <c r="J2046" t="s">
        <v>608</v>
      </c>
      <c r="K2046" t="s">
        <v>910</v>
      </c>
    </row>
    <row r="2047" spans="1:11" x14ac:dyDescent="0.2">
      <c r="A2047" t="s">
        <v>3109</v>
      </c>
      <c r="B2047" t="s">
        <v>1523</v>
      </c>
      <c r="C2047">
        <v>44.86</v>
      </c>
      <c r="D2047" t="s">
        <v>608</v>
      </c>
      <c r="E2047" t="s">
        <v>608</v>
      </c>
      <c r="F2047">
        <v>13.1</v>
      </c>
      <c r="G2047">
        <v>9.36</v>
      </c>
      <c r="H2047">
        <v>0</v>
      </c>
      <c r="I2047">
        <v>0</v>
      </c>
      <c r="J2047" t="s">
        <v>608</v>
      </c>
      <c r="K2047" t="s">
        <v>910</v>
      </c>
    </row>
    <row r="2048" spans="1:11" x14ac:dyDescent="0.2">
      <c r="A2048" t="s">
        <v>3110</v>
      </c>
      <c r="B2048" t="s">
        <v>1523</v>
      </c>
      <c r="C2048">
        <v>51.13</v>
      </c>
      <c r="D2048" t="s">
        <v>608</v>
      </c>
      <c r="E2048" t="s">
        <v>608</v>
      </c>
      <c r="F2048">
        <v>30.41</v>
      </c>
      <c r="G2048">
        <v>24.38</v>
      </c>
      <c r="H2048">
        <v>0.5</v>
      </c>
      <c r="I2048">
        <v>0</v>
      </c>
      <c r="J2048" t="s">
        <v>608</v>
      </c>
      <c r="K2048" t="s">
        <v>910</v>
      </c>
    </row>
    <row r="2049" spans="1:11" x14ac:dyDescent="0.2">
      <c r="A2049" t="s">
        <v>3111</v>
      </c>
      <c r="B2049" t="s">
        <v>1523</v>
      </c>
      <c r="C2049">
        <v>40.28</v>
      </c>
      <c r="D2049" t="s">
        <v>608</v>
      </c>
      <c r="E2049" t="s">
        <v>608</v>
      </c>
      <c r="F2049">
        <v>20.59</v>
      </c>
      <c r="G2049">
        <v>15.22</v>
      </c>
      <c r="H2049">
        <v>0</v>
      </c>
      <c r="I2049">
        <v>0</v>
      </c>
      <c r="J2049" t="s">
        <v>608</v>
      </c>
      <c r="K2049" t="s">
        <v>910</v>
      </c>
    </row>
    <row r="2050" spans="1:11" x14ac:dyDescent="0.2">
      <c r="A2050" t="s">
        <v>3112</v>
      </c>
      <c r="B2050" t="s">
        <v>1525</v>
      </c>
      <c r="C2050">
        <v>52.86</v>
      </c>
      <c r="D2050" t="s">
        <v>608</v>
      </c>
      <c r="E2050" t="s">
        <v>608</v>
      </c>
      <c r="F2050">
        <v>46.07</v>
      </c>
      <c r="G2050">
        <v>33.840000000000003</v>
      </c>
      <c r="H2050">
        <v>0</v>
      </c>
      <c r="I2050">
        <v>0</v>
      </c>
      <c r="J2050" t="s">
        <v>608</v>
      </c>
      <c r="K2050" t="s">
        <v>910</v>
      </c>
    </row>
    <row r="2051" spans="1:11" x14ac:dyDescent="0.2">
      <c r="A2051" t="s">
        <v>3113</v>
      </c>
      <c r="B2051" t="s">
        <v>1525</v>
      </c>
      <c r="C2051">
        <v>54.08</v>
      </c>
      <c r="D2051" t="s">
        <v>608</v>
      </c>
      <c r="E2051" t="s">
        <v>608</v>
      </c>
      <c r="F2051">
        <v>40.26</v>
      </c>
      <c r="G2051">
        <v>28.61</v>
      </c>
      <c r="H2051">
        <v>0</v>
      </c>
      <c r="I2051">
        <v>0</v>
      </c>
      <c r="J2051" t="s">
        <v>608</v>
      </c>
      <c r="K2051" t="s">
        <v>910</v>
      </c>
    </row>
    <row r="2052" spans="1:11" x14ac:dyDescent="0.2">
      <c r="A2052" t="s">
        <v>3114</v>
      </c>
      <c r="B2052" t="s">
        <v>1525</v>
      </c>
      <c r="C2052">
        <v>36.020000000000003</v>
      </c>
      <c r="D2052" t="s">
        <v>608</v>
      </c>
      <c r="E2052" t="s">
        <v>608</v>
      </c>
      <c r="F2052">
        <v>14.08</v>
      </c>
      <c r="G2052">
        <v>10.83</v>
      </c>
      <c r="H2052">
        <v>0</v>
      </c>
      <c r="I2052">
        <v>0</v>
      </c>
      <c r="J2052" t="s">
        <v>608</v>
      </c>
      <c r="K2052" t="s">
        <v>910</v>
      </c>
    </row>
    <row r="2053" spans="1:11" x14ac:dyDescent="0.2">
      <c r="A2053" t="s">
        <v>3115</v>
      </c>
      <c r="B2053" t="s">
        <v>1525</v>
      </c>
      <c r="C2053">
        <v>48.19</v>
      </c>
      <c r="D2053" t="s">
        <v>608</v>
      </c>
      <c r="E2053" t="s">
        <v>608</v>
      </c>
      <c r="F2053">
        <v>26.57</v>
      </c>
      <c r="G2053">
        <v>21.09</v>
      </c>
      <c r="H2053">
        <v>3</v>
      </c>
      <c r="I2053">
        <v>3</v>
      </c>
      <c r="J2053" t="s">
        <v>608</v>
      </c>
      <c r="K2053" t="s">
        <v>910</v>
      </c>
    </row>
    <row r="2054" spans="1:11" x14ac:dyDescent="0.2">
      <c r="A2054" t="s">
        <v>3116</v>
      </c>
      <c r="B2054" t="s">
        <v>1525</v>
      </c>
      <c r="C2054">
        <v>41.66</v>
      </c>
      <c r="D2054" t="s">
        <v>608</v>
      </c>
      <c r="E2054" t="s">
        <v>608</v>
      </c>
      <c r="F2054">
        <v>10.97</v>
      </c>
      <c r="G2054">
        <v>8.0399999999999991</v>
      </c>
      <c r="H2054">
        <v>0</v>
      </c>
      <c r="I2054">
        <v>0</v>
      </c>
      <c r="J2054" t="s">
        <v>608</v>
      </c>
      <c r="K2054" t="s">
        <v>910</v>
      </c>
    </row>
    <row r="2055" spans="1:11" x14ac:dyDescent="0.2">
      <c r="A2055" t="s">
        <v>3117</v>
      </c>
      <c r="B2055" t="s">
        <v>1527</v>
      </c>
      <c r="C2055">
        <v>47.29</v>
      </c>
      <c r="D2055" t="s">
        <v>608</v>
      </c>
      <c r="E2055" t="s">
        <v>608</v>
      </c>
      <c r="F2055">
        <v>16.93</v>
      </c>
      <c r="G2055">
        <v>12.6</v>
      </c>
      <c r="H2055">
        <v>0</v>
      </c>
      <c r="I2055">
        <v>0</v>
      </c>
      <c r="J2055" t="s">
        <v>608</v>
      </c>
      <c r="K2055" t="s">
        <v>910</v>
      </c>
    </row>
    <row r="2056" spans="1:11" x14ac:dyDescent="0.2">
      <c r="A2056" t="s">
        <v>3118</v>
      </c>
      <c r="B2056" t="s">
        <v>1527</v>
      </c>
      <c r="C2056">
        <v>52.97</v>
      </c>
      <c r="D2056" t="s">
        <v>608</v>
      </c>
      <c r="E2056" t="s">
        <v>608</v>
      </c>
      <c r="F2056">
        <v>35.28</v>
      </c>
      <c r="G2056">
        <v>26.3</v>
      </c>
      <c r="H2056">
        <v>0</v>
      </c>
      <c r="I2056">
        <v>0.5</v>
      </c>
      <c r="J2056" t="s">
        <v>608</v>
      </c>
      <c r="K2056" t="s">
        <v>910</v>
      </c>
    </row>
    <row r="2057" spans="1:11" x14ac:dyDescent="0.2">
      <c r="A2057" t="s">
        <v>3119</v>
      </c>
      <c r="B2057" t="s">
        <v>1527</v>
      </c>
      <c r="C2057">
        <v>63.79</v>
      </c>
      <c r="D2057" t="s">
        <v>608</v>
      </c>
      <c r="E2057" t="s">
        <v>608</v>
      </c>
      <c r="F2057">
        <v>38.119999999999997</v>
      </c>
      <c r="G2057">
        <v>29.6</v>
      </c>
      <c r="H2057">
        <v>0</v>
      </c>
      <c r="I2057">
        <v>0</v>
      </c>
      <c r="J2057" t="s">
        <v>608</v>
      </c>
      <c r="K2057" t="s">
        <v>910</v>
      </c>
    </row>
    <row r="2058" spans="1:11" x14ac:dyDescent="0.2">
      <c r="A2058" t="s">
        <v>3120</v>
      </c>
      <c r="B2058" t="s">
        <v>1527</v>
      </c>
      <c r="C2058">
        <v>36.950000000000003</v>
      </c>
      <c r="D2058" t="s">
        <v>608</v>
      </c>
      <c r="E2058" t="s">
        <v>608</v>
      </c>
      <c r="F2058">
        <v>27.26</v>
      </c>
      <c r="G2058">
        <v>21.85</v>
      </c>
      <c r="H2058">
        <v>0</v>
      </c>
      <c r="I2058">
        <v>0</v>
      </c>
      <c r="J2058" t="s">
        <v>608</v>
      </c>
      <c r="K2058" t="s">
        <v>910</v>
      </c>
    </row>
    <row r="2059" spans="1:11" x14ac:dyDescent="0.2">
      <c r="A2059" t="s">
        <v>3121</v>
      </c>
      <c r="B2059" t="s">
        <v>1527</v>
      </c>
      <c r="C2059">
        <v>45.23</v>
      </c>
      <c r="D2059" t="s">
        <v>608</v>
      </c>
      <c r="E2059" t="s">
        <v>608</v>
      </c>
      <c r="F2059">
        <v>23.79</v>
      </c>
      <c r="G2059">
        <v>16.79</v>
      </c>
      <c r="H2059">
        <v>0</v>
      </c>
      <c r="I2059">
        <v>0</v>
      </c>
      <c r="J2059" t="s">
        <v>608</v>
      </c>
      <c r="K2059" t="s">
        <v>910</v>
      </c>
    </row>
    <row r="2060" spans="1:11" x14ac:dyDescent="0.2">
      <c r="A2060" t="s">
        <v>3122</v>
      </c>
      <c r="B2060" t="s">
        <v>1535</v>
      </c>
      <c r="C2060">
        <v>60.92</v>
      </c>
      <c r="D2060" t="s">
        <v>608</v>
      </c>
      <c r="E2060" t="s">
        <v>608</v>
      </c>
      <c r="F2060">
        <v>58.69</v>
      </c>
      <c r="G2060">
        <v>43.03</v>
      </c>
      <c r="H2060">
        <v>0.5</v>
      </c>
      <c r="I2060">
        <v>0</v>
      </c>
      <c r="J2060" t="s">
        <v>608</v>
      </c>
      <c r="K2060" t="s">
        <v>910</v>
      </c>
    </row>
    <row r="2061" spans="1:11" x14ac:dyDescent="0.2">
      <c r="A2061" t="s">
        <v>3123</v>
      </c>
      <c r="B2061" t="s">
        <v>1535</v>
      </c>
      <c r="C2061">
        <v>73.849999999999994</v>
      </c>
      <c r="D2061" t="s">
        <v>608</v>
      </c>
      <c r="E2061" t="s">
        <v>608</v>
      </c>
      <c r="F2061">
        <v>58.52</v>
      </c>
      <c r="G2061">
        <v>42.86</v>
      </c>
      <c r="H2061">
        <v>3</v>
      </c>
      <c r="I2061">
        <v>3</v>
      </c>
      <c r="J2061" t="s">
        <v>608</v>
      </c>
      <c r="K2061" t="s">
        <v>910</v>
      </c>
    </row>
    <row r="2062" spans="1:11" x14ac:dyDescent="0.2">
      <c r="A2062" t="s">
        <v>3124</v>
      </c>
      <c r="B2062" t="s">
        <v>1535</v>
      </c>
      <c r="C2062">
        <v>45.24</v>
      </c>
      <c r="D2062" t="s">
        <v>608</v>
      </c>
      <c r="E2062" t="s">
        <v>608</v>
      </c>
      <c r="F2062">
        <v>27.09</v>
      </c>
      <c r="G2062">
        <v>19.2</v>
      </c>
      <c r="H2062">
        <v>0</v>
      </c>
      <c r="I2062">
        <v>0</v>
      </c>
      <c r="J2062" t="s">
        <v>159</v>
      </c>
      <c r="K2062" t="s">
        <v>910</v>
      </c>
    </row>
    <row r="2063" spans="1:11" x14ac:dyDescent="0.2">
      <c r="A2063" t="s">
        <v>3125</v>
      </c>
      <c r="B2063" t="s">
        <v>1535</v>
      </c>
      <c r="C2063">
        <v>39.9</v>
      </c>
      <c r="D2063" t="s">
        <v>608</v>
      </c>
      <c r="E2063" t="s">
        <v>608</v>
      </c>
      <c r="F2063">
        <v>20.36</v>
      </c>
      <c r="G2063">
        <v>14.72</v>
      </c>
      <c r="H2063">
        <v>2</v>
      </c>
      <c r="I2063">
        <v>1</v>
      </c>
      <c r="J2063" t="s">
        <v>608</v>
      </c>
      <c r="K2063" t="s">
        <v>910</v>
      </c>
    </row>
    <row r="2064" spans="1:11" x14ac:dyDescent="0.2">
      <c r="A2064" t="s">
        <v>3126</v>
      </c>
      <c r="B2064" t="s">
        <v>1535</v>
      </c>
      <c r="C2064">
        <v>61.02</v>
      </c>
      <c r="D2064" t="s">
        <v>608</v>
      </c>
      <c r="E2064" t="s">
        <v>608</v>
      </c>
      <c r="F2064">
        <v>39.85</v>
      </c>
      <c r="G2064">
        <v>28.62</v>
      </c>
      <c r="H2064">
        <v>1</v>
      </c>
      <c r="I2064">
        <v>2</v>
      </c>
      <c r="J2064" t="s">
        <v>608</v>
      </c>
      <c r="K2064" t="s">
        <v>910</v>
      </c>
    </row>
    <row r="2065" spans="1:11" x14ac:dyDescent="0.2">
      <c r="A2065" t="s">
        <v>3127</v>
      </c>
      <c r="B2065" t="s">
        <v>1537</v>
      </c>
      <c r="C2065">
        <v>49.11</v>
      </c>
      <c r="D2065" t="s">
        <v>608</v>
      </c>
      <c r="E2065" t="s">
        <v>608</v>
      </c>
      <c r="F2065">
        <v>27.02</v>
      </c>
      <c r="G2065">
        <v>20.46</v>
      </c>
      <c r="H2065">
        <v>1</v>
      </c>
      <c r="I2065">
        <v>1</v>
      </c>
      <c r="J2065" t="s">
        <v>608</v>
      </c>
      <c r="K2065" t="s">
        <v>910</v>
      </c>
    </row>
    <row r="2066" spans="1:11" x14ac:dyDescent="0.2">
      <c r="A2066" t="s">
        <v>3128</v>
      </c>
      <c r="B2066" t="s">
        <v>1537</v>
      </c>
      <c r="C2066">
        <v>46.64</v>
      </c>
      <c r="D2066" t="s">
        <v>608</v>
      </c>
      <c r="E2066" t="s">
        <v>608</v>
      </c>
      <c r="F2066">
        <v>32.409999999999997</v>
      </c>
      <c r="G2066">
        <v>22.54</v>
      </c>
      <c r="H2066">
        <v>0</v>
      </c>
      <c r="I2066">
        <v>0</v>
      </c>
      <c r="J2066" t="s">
        <v>608</v>
      </c>
      <c r="K2066" t="s">
        <v>910</v>
      </c>
    </row>
    <row r="2067" spans="1:11" x14ac:dyDescent="0.2">
      <c r="A2067" t="s">
        <v>3129</v>
      </c>
      <c r="B2067" t="s">
        <v>1537</v>
      </c>
      <c r="C2067">
        <v>51.44</v>
      </c>
      <c r="D2067" t="s">
        <v>608</v>
      </c>
      <c r="E2067" t="s">
        <v>608</v>
      </c>
      <c r="F2067">
        <v>32.82</v>
      </c>
      <c r="G2067">
        <v>25.93</v>
      </c>
      <c r="H2067">
        <v>0</v>
      </c>
      <c r="I2067">
        <v>0</v>
      </c>
      <c r="J2067" t="s">
        <v>608</v>
      </c>
      <c r="K2067" t="s">
        <v>910</v>
      </c>
    </row>
    <row r="2068" spans="1:11" x14ac:dyDescent="0.2">
      <c r="A2068" t="s">
        <v>3130</v>
      </c>
      <c r="B2068" t="s">
        <v>1537</v>
      </c>
      <c r="C2068">
        <v>39.24</v>
      </c>
      <c r="D2068" t="s">
        <v>608</v>
      </c>
      <c r="E2068" t="s">
        <v>608</v>
      </c>
      <c r="F2068">
        <v>20.96</v>
      </c>
      <c r="G2068">
        <v>13.7</v>
      </c>
      <c r="H2068">
        <v>0</v>
      </c>
      <c r="I2068">
        <v>0</v>
      </c>
      <c r="J2068" t="s">
        <v>608</v>
      </c>
      <c r="K2068" t="s">
        <v>910</v>
      </c>
    </row>
    <row r="2069" spans="1:11" x14ac:dyDescent="0.2">
      <c r="A2069" t="s">
        <v>3131</v>
      </c>
      <c r="B2069" t="s">
        <v>1537</v>
      </c>
      <c r="C2069">
        <v>40.4</v>
      </c>
      <c r="D2069" t="s">
        <v>608</v>
      </c>
      <c r="E2069" t="s">
        <v>608</v>
      </c>
      <c r="F2069">
        <v>22.38</v>
      </c>
      <c r="G2069">
        <v>16.670000000000002</v>
      </c>
      <c r="H2069">
        <v>0</v>
      </c>
      <c r="I2069">
        <v>0.5</v>
      </c>
      <c r="J2069" t="s">
        <v>608</v>
      </c>
      <c r="K2069" t="s">
        <v>910</v>
      </c>
    </row>
    <row r="2070" spans="1:11" x14ac:dyDescent="0.2">
      <c r="A2070" t="s">
        <v>3132</v>
      </c>
      <c r="B2070" t="s">
        <v>1539</v>
      </c>
      <c r="C2070">
        <v>50.8</v>
      </c>
      <c r="D2070" t="s">
        <v>608</v>
      </c>
      <c r="E2070" t="s">
        <v>608</v>
      </c>
      <c r="F2070">
        <v>29.75</v>
      </c>
      <c r="G2070">
        <v>20.38</v>
      </c>
      <c r="H2070">
        <v>0.5</v>
      </c>
      <c r="I2070">
        <v>0</v>
      </c>
      <c r="J2070" t="s">
        <v>608</v>
      </c>
      <c r="K2070" t="s">
        <v>910</v>
      </c>
    </row>
    <row r="2071" spans="1:11" x14ac:dyDescent="0.2">
      <c r="A2071" t="s">
        <v>3133</v>
      </c>
      <c r="B2071" t="s">
        <v>1539</v>
      </c>
      <c r="C2071">
        <v>39.200000000000003</v>
      </c>
      <c r="D2071" t="s">
        <v>608</v>
      </c>
      <c r="E2071" t="s">
        <v>608</v>
      </c>
      <c r="F2071">
        <v>18.600000000000001</v>
      </c>
      <c r="G2071">
        <v>13.93</v>
      </c>
      <c r="H2071">
        <v>0</v>
      </c>
      <c r="I2071">
        <v>0</v>
      </c>
      <c r="J2071" t="s">
        <v>608</v>
      </c>
      <c r="K2071" t="s">
        <v>910</v>
      </c>
    </row>
    <row r="2072" spans="1:11" x14ac:dyDescent="0.2">
      <c r="A2072" t="s">
        <v>3134</v>
      </c>
      <c r="B2072" t="s">
        <v>1539</v>
      </c>
      <c r="C2072">
        <v>59.84</v>
      </c>
      <c r="D2072" t="s">
        <v>608</v>
      </c>
      <c r="E2072" t="s">
        <v>608</v>
      </c>
      <c r="F2072">
        <v>65.66</v>
      </c>
      <c r="G2072">
        <v>46.88</v>
      </c>
      <c r="H2072">
        <v>0.5</v>
      </c>
      <c r="I2072">
        <v>0</v>
      </c>
      <c r="J2072" t="s">
        <v>608</v>
      </c>
      <c r="K2072" t="s">
        <v>910</v>
      </c>
    </row>
    <row r="2073" spans="1:11" x14ac:dyDescent="0.2">
      <c r="A2073" t="s">
        <v>3135</v>
      </c>
      <c r="B2073" t="s">
        <v>1539</v>
      </c>
      <c r="C2073">
        <v>42.43</v>
      </c>
      <c r="D2073" t="s">
        <v>608</v>
      </c>
      <c r="E2073" t="s">
        <v>608</v>
      </c>
      <c r="F2073">
        <v>26.53</v>
      </c>
      <c r="G2073">
        <v>19</v>
      </c>
      <c r="H2073">
        <v>0</v>
      </c>
      <c r="I2073">
        <v>0</v>
      </c>
      <c r="J2073" t="s">
        <v>608</v>
      </c>
      <c r="K2073" t="s">
        <v>910</v>
      </c>
    </row>
    <row r="2074" spans="1:11" x14ac:dyDescent="0.2">
      <c r="A2074" t="s">
        <v>3136</v>
      </c>
      <c r="B2074" t="s">
        <v>1539</v>
      </c>
      <c r="C2074">
        <v>35.24</v>
      </c>
      <c r="D2074" t="s">
        <v>608</v>
      </c>
      <c r="E2074" t="s">
        <v>608</v>
      </c>
      <c r="F2074">
        <v>15.28</v>
      </c>
      <c r="G2074">
        <v>10.76</v>
      </c>
      <c r="H2074">
        <v>0</v>
      </c>
      <c r="I2074">
        <v>0.5</v>
      </c>
      <c r="J2074" t="s">
        <v>608</v>
      </c>
      <c r="K2074" t="s">
        <v>910</v>
      </c>
    </row>
    <row r="2075" spans="1:11" x14ac:dyDescent="0.2">
      <c r="A2075" t="s">
        <v>3137</v>
      </c>
      <c r="B2075" t="s">
        <v>1547</v>
      </c>
      <c r="C2075">
        <v>57.56</v>
      </c>
      <c r="D2075" t="s">
        <v>608</v>
      </c>
      <c r="E2075" t="s">
        <v>608</v>
      </c>
      <c r="F2075">
        <v>52.96</v>
      </c>
      <c r="G2075">
        <v>39.33</v>
      </c>
      <c r="H2075">
        <v>0</v>
      </c>
      <c r="I2075">
        <v>0</v>
      </c>
      <c r="J2075" t="s">
        <v>608</v>
      </c>
      <c r="K2075" t="s">
        <v>910</v>
      </c>
    </row>
    <row r="2076" spans="1:11" x14ac:dyDescent="0.2">
      <c r="A2076" t="s">
        <v>3138</v>
      </c>
      <c r="B2076" t="s">
        <v>1547</v>
      </c>
      <c r="C2076">
        <v>39.46</v>
      </c>
      <c r="D2076" t="s">
        <v>608</v>
      </c>
      <c r="E2076" t="s">
        <v>608</v>
      </c>
      <c r="F2076">
        <v>35.32</v>
      </c>
      <c r="G2076">
        <v>28.87</v>
      </c>
      <c r="H2076">
        <v>0</v>
      </c>
      <c r="I2076">
        <v>0</v>
      </c>
      <c r="J2076" t="s">
        <v>608</v>
      </c>
      <c r="K2076" t="s">
        <v>910</v>
      </c>
    </row>
    <row r="2077" spans="1:11" x14ac:dyDescent="0.2">
      <c r="A2077" t="s">
        <v>3139</v>
      </c>
      <c r="B2077" t="s">
        <v>1547</v>
      </c>
      <c r="C2077">
        <v>35.1</v>
      </c>
      <c r="D2077" t="s">
        <v>608</v>
      </c>
      <c r="E2077" t="s">
        <v>608</v>
      </c>
      <c r="F2077">
        <v>11.82</v>
      </c>
      <c r="G2077">
        <v>9.24</v>
      </c>
      <c r="H2077">
        <v>0</v>
      </c>
      <c r="I2077">
        <v>0</v>
      </c>
      <c r="J2077" t="s">
        <v>608</v>
      </c>
      <c r="K2077" t="s">
        <v>910</v>
      </c>
    </row>
    <row r="2078" spans="1:11" x14ac:dyDescent="0.2">
      <c r="A2078" t="s">
        <v>3140</v>
      </c>
      <c r="B2078" t="s">
        <v>1547</v>
      </c>
      <c r="C2078">
        <v>57.74</v>
      </c>
      <c r="D2078" t="s">
        <v>608</v>
      </c>
      <c r="E2078" t="s">
        <v>608</v>
      </c>
      <c r="F2078">
        <v>32.9</v>
      </c>
      <c r="G2078">
        <v>24.54</v>
      </c>
      <c r="H2078">
        <v>0</v>
      </c>
      <c r="I2078">
        <v>0</v>
      </c>
      <c r="J2078" t="s">
        <v>608</v>
      </c>
      <c r="K2078" t="s">
        <v>910</v>
      </c>
    </row>
    <row r="2079" spans="1:11" x14ac:dyDescent="0.2">
      <c r="A2079" t="s">
        <v>3141</v>
      </c>
      <c r="B2079" t="s">
        <v>1547</v>
      </c>
      <c r="C2079">
        <v>32.85</v>
      </c>
      <c r="D2079" t="s">
        <v>608</v>
      </c>
      <c r="E2079" t="s">
        <v>608</v>
      </c>
      <c r="F2079">
        <v>21.66</v>
      </c>
      <c r="G2079">
        <v>17</v>
      </c>
      <c r="H2079">
        <v>0</v>
      </c>
      <c r="I2079">
        <v>0</v>
      </c>
      <c r="J2079" t="s">
        <v>608</v>
      </c>
      <c r="K2079" t="s">
        <v>910</v>
      </c>
    </row>
    <row r="2080" spans="1:11" x14ac:dyDescent="0.2">
      <c r="A2080" t="s">
        <v>3142</v>
      </c>
      <c r="B2080" t="s">
        <v>1549</v>
      </c>
      <c r="C2080">
        <v>49.85</v>
      </c>
      <c r="D2080" t="s">
        <v>608</v>
      </c>
      <c r="E2080" t="s">
        <v>608</v>
      </c>
      <c r="F2080">
        <v>29.37</v>
      </c>
      <c r="G2080">
        <v>21.89</v>
      </c>
      <c r="H2080">
        <v>0</v>
      </c>
      <c r="I2080">
        <v>0.5</v>
      </c>
      <c r="J2080" t="s">
        <v>608</v>
      </c>
      <c r="K2080" t="s">
        <v>910</v>
      </c>
    </row>
    <row r="2081" spans="1:11" x14ac:dyDescent="0.2">
      <c r="A2081" t="s">
        <v>3143</v>
      </c>
      <c r="B2081" t="s">
        <v>1549</v>
      </c>
      <c r="C2081">
        <v>63.39</v>
      </c>
      <c r="D2081" t="s">
        <v>608</v>
      </c>
      <c r="E2081" t="s">
        <v>608</v>
      </c>
      <c r="F2081">
        <v>55.3</v>
      </c>
      <c r="G2081">
        <v>40.68</v>
      </c>
      <c r="H2081">
        <v>0</v>
      </c>
      <c r="I2081">
        <v>0</v>
      </c>
      <c r="J2081" t="s">
        <v>608</v>
      </c>
      <c r="K2081" t="s">
        <v>910</v>
      </c>
    </row>
    <row r="2082" spans="1:11" x14ac:dyDescent="0.2">
      <c r="A2082" t="s">
        <v>3144</v>
      </c>
      <c r="B2082" t="s">
        <v>1549</v>
      </c>
      <c r="C2082">
        <v>51.83</v>
      </c>
      <c r="D2082" t="s">
        <v>608</v>
      </c>
      <c r="E2082" t="s">
        <v>608</v>
      </c>
      <c r="F2082">
        <v>32.72</v>
      </c>
      <c r="G2082">
        <v>23.32</v>
      </c>
      <c r="H2082">
        <v>0.5</v>
      </c>
      <c r="I2082">
        <v>0</v>
      </c>
      <c r="J2082" t="s">
        <v>608</v>
      </c>
      <c r="K2082" t="s">
        <v>910</v>
      </c>
    </row>
    <row r="2083" spans="1:11" x14ac:dyDescent="0.2">
      <c r="A2083" t="s">
        <v>3145</v>
      </c>
      <c r="B2083" t="s">
        <v>1549</v>
      </c>
      <c r="C2083">
        <v>40.25</v>
      </c>
      <c r="D2083" t="s">
        <v>608</v>
      </c>
      <c r="E2083" t="s">
        <v>608</v>
      </c>
      <c r="F2083">
        <v>12.21</v>
      </c>
      <c r="G2083">
        <v>9</v>
      </c>
      <c r="H2083">
        <v>0</v>
      </c>
      <c r="I2083">
        <v>0</v>
      </c>
      <c r="J2083" t="s">
        <v>608</v>
      </c>
      <c r="K2083" t="s">
        <v>910</v>
      </c>
    </row>
    <row r="2084" spans="1:11" x14ac:dyDescent="0.2">
      <c r="A2084" t="s">
        <v>3146</v>
      </c>
      <c r="B2084" t="s">
        <v>1549</v>
      </c>
      <c r="C2084">
        <v>62.21</v>
      </c>
      <c r="D2084" t="s">
        <v>608</v>
      </c>
      <c r="E2084" t="s">
        <v>608</v>
      </c>
      <c r="F2084">
        <v>57.96</v>
      </c>
      <c r="G2084">
        <v>44.12</v>
      </c>
      <c r="H2084">
        <v>0</v>
      </c>
      <c r="I2084">
        <v>0</v>
      </c>
      <c r="J2084" t="s">
        <v>608</v>
      </c>
      <c r="K2084" t="s">
        <v>910</v>
      </c>
    </row>
    <row r="2085" spans="1:11" x14ac:dyDescent="0.2">
      <c r="A2085" t="s">
        <v>3147</v>
      </c>
      <c r="B2085" t="s">
        <v>1551</v>
      </c>
      <c r="C2085">
        <v>46.26</v>
      </c>
      <c r="D2085" t="s">
        <v>608</v>
      </c>
      <c r="E2085" t="s">
        <v>608</v>
      </c>
      <c r="F2085">
        <v>20.72</v>
      </c>
      <c r="G2085">
        <v>15.2</v>
      </c>
      <c r="H2085">
        <v>0</v>
      </c>
      <c r="I2085">
        <v>0.5</v>
      </c>
      <c r="J2085" t="s">
        <v>608</v>
      </c>
      <c r="K2085" t="s">
        <v>910</v>
      </c>
    </row>
    <row r="2086" spans="1:11" x14ac:dyDescent="0.2">
      <c r="A2086" t="s">
        <v>3148</v>
      </c>
      <c r="B2086" t="s">
        <v>1551</v>
      </c>
      <c r="C2086">
        <v>41.07</v>
      </c>
      <c r="D2086" t="s">
        <v>608</v>
      </c>
      <c r="E2086" t="s">
        <v>608</v>
      </c>
      <c r="F2086">
        <v>21.42</v>
      </c>
      <c r="G2086">
        <v>14.96</v>
      </c>
      <c r="H2086">
        <v>0</v>
      </c>
      <c r="I2086">
        <v>0</v>
      </c>
      <c r="J2086" t="s">
        <v>3149</v>
      </c>
      <c r="K2086" t="s">
        <v>910</v>
      </c>
    </row>
    <row r="2087" spans="1:11" x14ac:dyDescent="0.2">
      <c r="A2087" t="s">
        <v>3150</v>
      </c>
      <c r="B2087" t="s">
        <v>1551</v>
      </c>
      <c r="C2087">
        <v>51.69</v>
      </c>
      <c r="D2087" t="s">
        <v>608</v>
      </c>
      <c r="E2087" t="s">
        <v>608</v>
      </c>
      <c r="F2087">
        <v>29.92</v>
      </c>
      <c r="G2087">
        <v>22.86</v>
      </c>
      <c r="H2087">
        <v>0.5</v>
      </c>
      <c r="I2087">
        <v>0.5</v>
      </c>
      <c r="J2087" t="s">
        <v>608</v>
      </c>
      <c r="K2087" t="s">
        <v>910</v>
      </c>
    </row>
    <row r="2088" spans="1:11" x14ac:dyDescent="0.2">
      <c r="A2088" t="s">
        <v>3151</v>
      </c>
      <c r="B2088" t="s">
        <v>1551</v>
      </c>
      <c r="C2088">
        <v>54.65</v>
      </c>
      <c r="D2088" t="s">
        <v>608</v>
      </c>
      <c r="E2088" t="s">
        <v>608</v>
      </c>
      <c r="F2088">
        <v>34.200000000000003</v>
      </c>
      <c r="G2088">
        <v>26.02</v>
      </c>
      <c r="H2088">
        <v>0</v>
      </c>
      <c r="I2088">
        <v>0</v>
      </c>
      <c r="J2088" t="s">
        <v>608</v>
      </c>
      <c r="K2088" t="s">
        <v>910</v>
      </c>
    </row>
    <row r="2089" spans="1:11" x14ac:dyDescent="0.2">
      <c r="A2089" t="s">
        <v>3152</v>
      </c>
      <c r="B2089" t="s">
        <v>1551</v>
      </c>
      <c r="C2089">
        <v>54.6</v>
      </c>
      <c r="D2089" t="s">
        <v>608</v>
      </c>
      <c r="E2089" t="s">
        <v>608</v>
      </c>
      <c r="F2089">
        <v>49.12</v>
      </c>
      <c r="G2089">
        <v>37.25</v>
      </c>
      <c r="H2089">
        <v>0</v>
      </c>
      <c r="I2089">
        <v>0</v>
      </c>
      <c r="J2089" t="s">
        <v>3153</v>
      </c>
      <c r="K2089" t="s">
        <v>910</v>
      </c>
    </row>
    <row r="2090" spans="1:11" x14ac:dyDescent="0.2">
      <c r="A2090" t="s">
        <v>890</v>
      </c>
      <c r="B2090" t="s">
        <v>891</v>
      </c>
      <c r="C2090">
        <v>67.83</v>
      </c>
      <c r="D2090" t="s">
        <v>608</v>
      </c>
      <c r="E2090" t="s">
        <v>608</v>
      </c>
      <c r="F2090">
        <v>62.38</v>
      </c>
      <c r="G2090">
        <v>54.64</v>
      </c>
      <c r="H2090">
        <v>0.5</v>
      </c>
      <c r="I2090">
        <v>0.5</v>
      </c>
      <c r="J2090" t="s">
        <v>892</v>
      </c>
      <c r="K2090" t="s">
        <v>604</v>
      </c>
    </row>
    <row r="2091" spans="1:11" x14ac:dyDescent="0.2">
      <c r="A2091" t="s">
        <v>893</v>
      </c>
      <c r="B2091" t="s">
        <v>891</v>
      </c>
      <c r="C2091">
        <v>50.15</v>
      </c>
      <c r="D2091" t="s">
        <v>608</v>
      </c>
      <c r="E2091" t="s">
        <v>608</v>
      </c>
      <c r="F2091">
        <v>20.53</v>
      </c>
      <c r="G2091">
        <v>15.45</v>
      </c>
      <c r="H2091">
        <v>1</v>
      </c>
      <c r="I2091">
        <v>0.5</v>
      </c>
      <c r="J2091" t="s">
        <v>608</v>
      </c>
      <c r="K2091" t="s">
        <v>604</v>
      </c>
    </row>
    <row r="2092" spans="1:11" x14ac:dyDescent="0.2">
      <c r="A2092" t="s">
        <v>894</v>
      </c>
      <c r="B2092" t="s">
        <v>891</v>
      </c>
      <c r="C2092">
        <v>77.5</v>
      </c>
      <c r="D2092" t="s">
        <v>608</v>
      </c>
      <c r="E2092" t="s">
        <v>608</v>
      </c>
      <c r="F2092">
        <v>32</v>
      </c>
      <c r="G2092">
        <v>23.18</v>
      </c>
      <c r="H2092">
        <v>0.5</v>
      </c>
      <c r="I2092">
        <v>1</v>
      </c>
      <c r="J2092" t="s">
        <v>608</v>
      </c>
      <c r="K2092" t="s">
        <v>604</v>
      </c>
    </row>
    <row r="2093" spans="1:11" x14ac:dyDescent="0.2">
      <c r="A2093" t="s">
        <v>895</v>
      </c>
      <c r="B2093" t="s">
        <v>891</v>
      </c>
      <c r="C2093">
        <v>60.76</v>
      </c>
      <c r="D2093" t="s">
        <v>608</v>
      </c>
      <c r="E2093" t="s">
        <v>608</v>
      </c>
      <c r="F2093">
        <v>27.86</v>
      </c>
      <c r="G2093">
        <v>20.190000000000001</v>
      </c>
      <c r="H2093">
        <v>1</v>
      </c>
      <c r="I2093">
        <v>2</v>
      </c>
      <c r="J2093" t="s">
        <v>608</v>
      </c>
      <c r="K2093" t="s">
        <v>604</v>
      </c>
    </row>
    <row r="2094" spans="1:11" x14ac:dyDescent="0.2">
      <c r="A2094" t="s">
        <v>896</v>
      </c>
      <c r="B2094" t="s">
        <v>891</v>
      </c>
      <c r="C2094">
        <v>47.69</v>
      </c>
      <c r="D2094" t="s">
        <v>608</v>
      </c>
      <c r="E2094" t="s">
        <v>608</v>
      </c>
      <c r="F2094">
        <v>35.33</v>
      </c>
      <c r="G2094">
        <v>26.94</v>
      </c>
      <c r="H2094">
        <v>0.5</v>
      </c>
      <c r="I2094">
        <v>0</v>
      </c>
      <c r="J2094" t="s">
        <v>608</v>
      </c>
      <c r="K2094" t="s">
        <v>604</v>
      </c>
    </row>
    <row r="2095" spans="1:11" x14ac:dyDescent="0.2">
      <c r="A2095" t="s">
        <v>897</v>
      </c>
      <c r="B2095" t="s">
        <v>898</v>
      </c>
      <c r="C2095">
        <v>77.099999999999994</v>
      </c>
      <c r="D2095" t="s">
        <v>608</v>
      </c>
      <c r="E2095" t="s">
        <v>608</v>
      </c>
      <c r="F2095">
        <v>55.02</v>
      </c>
      <c r="G2095">
        <v>41.03</v>
      </c>
      <c r="H2095">
        <v>0</v>
      </c>
      <c r="I2095">
        <v>0</v>
      </c>
      <c r="J2095" t="s">
        <v>608</v>
      </c>
      <c r="K2095" t="s">
        <v>604</v>
      </c>
    </row>
    <row r="2096" spans="1:11" x14ac:dyDescent="0.2">
      <c r="A2096" t="s">
        <v>899</v>
      </c>
      <c r="B2096" t="s">
        <v>898</v>
      </c>
      <c r="C2096">
        <v>72.47</v>
      </c>
      <c r="D2096" t="s">
        <v>608</v>
      </c>
      <c r="E2096" t="s">
        <v>608</v>
      </c>
      <c r="F2096">
        <v>93.96</v>
      </c>
      <c r="G2096">
        <v>71.150000000000006</v>
      </c>
      <c r="H2096">
        <v>0.5</v>
      </c>
      <c r="I2096">
        <v>0</v>
      </c>
      <c r="J2096" t="s">
        <v>608</v>
      </c>
      <c r="K2096" t="s">
        <v>604</v>
      </c>
    </row>
    <row r="2097" spans="1:11" x14ac:dyDescent="0.2">
      <c r="A2097" t="s">
        <v>900</v>
      </c>
      <c r="B2097" t="s">
        <v>898</v>
      </c>
      <c r="C2097">
        <v>73.349999999999994</v>
      </c>
      <c r="D2097" t="s">
        <v>608</v>
      </c>
      <c r="E2097" t="s">
        <v>608</v>
      </c>
      <c r="F2097">
        <v>72.040000000000006</v>
      </c>
      <c r="G2097">
        <v>53.64</v>
      </c>
      <c r="H2097">
        <v>0</v>
      </c>
      <c r="I2097">
        <v>0</v>
      </c>
      <c r="J2097" t="s">
        <v>608</v>
      </c>
      <c r="K2097" t="s">
        <v>604</v>
      </c>
    </row>
    <row r="2098" spans="1:11" x14ac:dyDescent="0.2">
      <c r="A2098" t="s">
        <v>901</v>
      </c>
      <c r="B2098" t="s">
        <v>898</v>
      </c>
      <c r="C2098">
        <v>70.25</v>
      </c>
      <c r="D2098" t="s">
        <v>608</v>
      </c>
      <c r="E2098" t="s">
        <v>608</v>
      </c>
      <c r="F2098">
        <v>60.31</v>
      </c>
      <c r="G2098">
        <v>45.74</v>
      </c>
      <c r="H2098">
        <v>0</v>
      </c>
      <c r="I2098">
        <v>0.5</v>
      </c>
      <c r="J2098" t="s">
        <v>608</v>
      </c>
      <c r="K2098" t="s">
        <v>604</v>
      </c>
    </row>
    <row r="2099" spans="1:11" x14ac:dyDescent="0.2">
      <c r="A2099" t="s">
        <v>902</v>
      </c>
      <c r="B2099" t="s">
        <v>898</v>
      </c>
      <c r="C2099">
        <v>69.08</v>
      </c>
      <c r="D2099" t="s">
        <v>608</v>
      </c>
      <c r="E2099" t="s">
        <v>608</v>
      </c>
      <c r="F2099">
        <v>63.46</v>
      </c>
      <c r="G2099">
        <v>45.79</v>
      </c>
      <c r="H2099">
        <v>3</v>
      </c>
      <c r="I2099">
        <v>3</v>
      </c>
      <c r="J2099" t="s">
        <v>608</v>
      </c>
      <c r="K2099" t="s">
        <v>604</v>
      </c>
    </row>
    <row r="2100" spans="1:11" x14ac:dyDescent="0.2">
      <c r="A2100" t="s">
        <v>903</v>
      </c>
      <c r="B2100" t="s">
        <v>904</v>
      </c>
      <c r="C2100">
        <v>68.87</v>
      </c>
      <c r="D2100" t="s">
        <v>608</v>
      </c>
      <c r="E2100" t="s">
        <v>608</v>
      </c>
      <c r="F2100">
        <v>44.13</v>
      </c>
      <c r="G2100">
        <v>31.45</v>
      </c>
      <c r="H2100">
        <v>1</v>
      </c>
      <c r="I2100">
        <v>1</v>
      </c>
      <c r="J2100" t="s">
        <v>608</v>
      </c>
      <c r="K2100" t="s">
        <v>604</v>
      </c>
    </row>
    <row r="2101" spans="1:11" x14ac:dyDescent="0.2">
      <c r="A2101" t="s">
        <v>905</v>
      </c>
      <c r="B2101" t="s">
        <v>904</v>
      </c>
      <c r="C2101">
        <v>75.319999999999993</v>
      </c>
      <c r="D2101" t="s">
        <v>608</v>
      </c>
      <c r="E2101" t="s">
        <v>608</v>
      </c>
      <c r="F2101">
        <v>45.34</v>
      </c>
      <c r="G2101">
        <v>32.700000000000003</v>
      </c>
      <c r="H2101">
        <v>0</v>
      </c>
      <c r="I2101">
        <v>0</v>
      </c>
      <c r="J2101" t="s">
        <v>608</v>
      </c>
      <c r="K2101" t="s">
        <v>604</v>
      </c>
    </row>
    <row r="2102" spans="1:11" x14ac:dyDescent="0.2">
      <c r="A2102" t="s">
        <v>906</v>
      </c>
      <c r="B2102" t="s">
        <v>904</v>
      </c>
      <c r="C2102">
        <v>65.290000000000006</v>
      </c>
      <c r="D2102" t="s">
        <v>608</v>
      </c>
      <c r="E2102" t="s">
        <v>608</v>
      </c>
      <c r="F2102">
        <v>32.99</v>
      </c>
      <c r="G2102">
        <v>24.22</v>
      </c>
      <c r="H2102">
        <v>0</v>
      </c>
      <c r="I2102">
        <v>0</v>
      </c>
      <c r="J2102" t="s">
        <v>608</v>
      </c>
      <c r="K2102" t="s">
        <v>604</v>
      </c>
    </row>
    <row r="2103" spans="1:11" x14ac:dyDescent="0.2">
      <c r="A2103" t="s">
        <v>907</v>
      </c>
      <c r="B2103" t="s">
        <v>904</v>
      </c>
      <c r="C2103">
        <v>75.930000000000007</v>
      </c>
      <c r="D2103" t="s">
        <v>608</v>
      </c>
      <c r="E2103" t="s">
        <v>608</v>
      </c>
      <c r="F2103">
        <v>38.72</v>
      </c>
      <c r="G2103">
        <v>29.59</v>
      </c>
      <c r="H2103">
        <v>0.5</v>
      </c>
      <c r="I2103">
        <v>0</v>
      </c>
      <c r="J2103" t="s">
        <v>608</v>
      </c>
      <c r="K2103" t="s">
        <v>604</v>
      </c>
    </row>
    <row r="2104" spans="1:11" x14ac:dyDescent="0.2">
      <c r="A2104" t="s">
        <v>908</v>
      </c>
      <c r="B2104" t="s">
        <v>904</v>
      </c>
      <c r="C2104">
        <v>54.38</v>
      </c>
      <c r="D2104" t="s">
        <v>608</v>
      </c>
      <c r="E2104" t="s">
        <v>608</v>
      </c>
      <c r="F2104">
        <v>25.16</v>
      </c>
      <c r="G2104">
        <v>19.36</v>
      </c>
      <c r="H2104">
        <v>1</v>
      </c>
      <c r="I2104">
        <v>0.5</v>
      </c>
      <c r="J2104" t="s">
        <v>608</v>
      </c>
      <c r="K2104" t="s">
        <v>604</v>
      </c>
    </row>
    <row r="2105" spans="1:11" x14ac:dyDescent="0.2">
      <c r="A2105" t="s">
        <v>909</v>
      </c>
      <c r="B2105" t="s">
        <v>891</v>
      </c>
      <c r="C2105">
        <v>40</v>
      </c>
      <c r="D2105">
        <v>32.1</v>
      </c>
      <c r="E2105">
        <v>14.97</v>
      </c>
      <c r="F2105">
        <v>15.03</v>
      </c>
      <c r="G2105">
        <v>10.41</v>
      </c>
      <c r="H2105" t="s">
        <v>608</v>
      </c>
      <c r="I2105" t="s">
        <v>608</v>
      </c>
      <c r="J2105" t="s">
        <v>608</v>
      </c>
      <c r="K2105" t="s">
        <v>604</v>
      </c>
    </row>
    <row r="2106" spans="1:11" x14ac:dyDescent="0.2">
      <c r="A2106" t="s">
        <v>911</v>
      </c>
      <c r="B2106" t="s">
        <v>891</v>
      </c>
      <c r="C2106">
        <v>35.33</v>
      </c>
      <c r="D2106">
        <v>28.39</v>
      </c>
      <c r="E2106">
        <v>12.41</v>
      </c>
      <c r="F2106">
        <v>9.42</v>
      </c>
      <c r="G2106">
        <v>6.88</v>
      </c>
      <c r="H2106" t="s">
        <v>608</v>
      </c>
      <c r="I2106" t="s">
        <v>608</v>
      </c>
      <c r="J2106" t="s">
        <v>608</v>
      </c>
      <c r="K2106" t="s">
        <v>604</v>
      </c>
    </row>
    <row r="2107" spans="1:11" x14ac:dyDescent="0.2">
      <c r="A2107" t="s">
        <v>912</v>
      </c>
      <c r="B2107" t="s">
        <v>891</v>
      </c>
      <c r="C2107">
        <v>37.299999999999997</v>
      </c>
      <c r="D2107">
        <v>26.14</v>
      </c>
      <c r="E2107">
        <v>11.78</v>
      </c>
      <c r="F2107">
        <v>10.39</v>
      </c>
      <c r="G2107">
        <v>8.44</v>
      </c>
      <c r="H2107" t="s">
        <v>608</v>
      </c>
      <c r="I2107" t="s">
        <v>608</v>
      </c>
      <c r="J2107" t="s">
        <v>608</v>
      </c>
      <c r="K2107" t="s">
        <v>604</v>
      </c>
    </row>
    <row r="2108" spans="1:11" x14ac:dyDescent="0.2">
      <c r="A2108" t="s">
        <v>913</v>
      </c>
      <c r="B2108" t="s">
        <v>891</v>
      </c>
      <c r="C2108">
        <v>35.340000000000003</v>
      </c>
      <c r="D2108">
        <v>31.98</v>
      </c>
      <c r="E2108">
        <v>16.809999999999999</v>
      </c>
      <c r="F2108">
        <v>10.210000000000001</v>
      </c>
      <c r="G2108">
        <v>8.1</v>
      </c>
      <c r="H2108" t="s">
        <v>608</v>
      </c>
      <c r="I2108" t="s">
        <v>608</v>
      </c>
      <c r="J2108" t="s">
        <v>608</v>
      </c>
      <c r="K2108" t="s">
        <v>604</v>
      </c>
    </row>
    <row r="2109" spans="1:11" x14ac:dyDescent="0.2">
      <c r="A2109" t="s">
        <v>914</v>
      </c>
      <c r="B2109" t="s">
        <v>891</v>
      </c>
      <c r="C2109">
        <v>26.63</v>
      </c>
      <c r="D2109">
        <v>22.98</v>
      </c>
      <c r="E2109">
        <v>8.01</v>
      </c>
      <c r="F2109">
        <v>5.16</v>
      </c>
      <c r="G2109">
        <v>3.76</v>
      </c>
      <c r="H2109" t="s">
        <v>608</v>
      </c>
      <c r="I2109" t="s">
        <v>608</v>
      </c>
      <c r="J2109" t="s">
        <v>608</v>
      </c>
      <c r="K2109" t="s">
        <v>604</v>
      </c>
    </row>
    <row r="2110" spans="1:11" x14ac:dyDescent="0.2">
      <c r="A2110" t="s">
        <v>915</v>
      </c>
      <c r="B2110" t="s">
        <v>891</v>
      </c>
      <c r="C2110">
        <v>24.05</v>
      </c>
      <c r="D2110">
        <v>25.8</v>
      </c>
      <c r="E2110">
        <v>17.440000000000001</v>
      </c>
      <c r="F2110">
        <v>7.59</v>
      </c>
      <c r="G2110">
        <v>5.48</v>
      </c>
      <c r="H2110" t="s">
        <v>608</v>
      </c>
      <c r="I2110" t="s">
        <v>608</v>
      </c>
      <c r="J2110" t="s">
        <v>608</v>
      </c>
      <c r="K2110" t="s">
        <v>604</v>
      </c>
    </row>
    <row r="2111" spans="1:11" x14ac:dyDescent="0.2">
      <c r="A2111" t="s">
        <v>916</v>
      </c>
      <c r="B2111" t="s">
        <v>891</v>
      </c>
      <c r="C2111">
        <v>24.94</v>
      </c>
      <c r="D2111">
        <v>21.5</v>
      </c>
      <c r="E2111">
        <v>14.83</v>
      </c>
      <c r="F2111">
        <v>5.69</v>
      </c>
      <c r="G2111">
        <v>4.6399999999999997</v>
      </c>
      <c r="H2111" t="s">
        <v>608</v>
      </c>
      <c r="I2111" t="s">
        <v>608</v>
      </c>
      <c r="J2111" t="s">
        <v>608</v>
      </c>
      <c r="K2111" t="s">
        <v>604</v>
      </c>
    </row>
    <row r="2112" spans="1:11" x14ac:dyDescent="0.2">
      <c r="A2112" t="s">
        <v>917</v>
      </c>
      <c r="B2112" t="s">
        <v>891</v>
      </c>
      <c r="C2112">
        <v>14.61</v>
      </c>
      <c r="D2112">
        <v>11.32</v>
      </c>
      <c r="E2112">
        <v>6.2</v>
      </c>
      <c r="F2112">
        <v>1.42</v>
      </c>
      <c r="G2112">
        <v>1.26</v>
      </c>
      <c r="H2112" t="s">
        <v>608</v>
      </c>
      <c r="I2112" t="s">
        <v>608</v>
      </c>
      <c r="J2112" t="s">
        <v>860</v>
      </c>
      <c r="K2112" t="s">
        <v>604</v>
      </c>
    </row>
    <row r="2113" spans="1:11" x14ac:dyDescent="0.2">
      <c r="A2113" t="s">
        <v>918</v>
      </c>
      <c r="B2113" t="s">
        <v>891</v>
      </c>
      <c r="C2113">
        <v>17.64</v>
      </c>
      <c r="D2113">
        <v>18.66</v>
      </c>
      <c r="E2113">
        <v>11.35</v>
      </c>
      <c r="F2113">
        <v>3.73</v>
      </c>
      <c r="G2113">
        <v>3.2</v>
      </c>
      <c r="H2113" t="s">
        <v>608</v>
      </c>
      <c r="I2113" t="s">
        <v>608</v>
      </c>
      <c r="J2113" t="s">
        <v>635</v>
      </c>
      <c r="K2113" t="s">
        <v>604</v>
      </c>
    </row>
    <row r="2114" spans="1:11" x14ac:dyDescent="0.2">
      <c r="A2114" t="s">
        <v>919</v>
      </c>
      <c r="B2114" t="s">
        <v>891</v>
      </c>
      <c r="C2114">
        <v>19.53</v>
      </c>
      <c r="D2114">
        <v>14.21</v>
      </c>
      <c r="E2114">
        <v>7.78</v>
      </c>
      <c r="F2114">
        <v>1.64</v>
      </c>
      <c r="G2114">
        <v>1.24</v>
      </c>
      <c r="H2114" t="s">
        <v>608</v>
      </c>
      <c r="I2114" t="s">
        <v>608</v>
      </c>
      <c r="J2114" t="s">
        <v>635</v>
      </c>
      <c r="K2114" t="s">
        <v>604</v>
      </c>
    </row>
    <row r="2115" spans="1:11" x14ac:dyDescent="0.2">
      <c r="A2115" t="s">
        <v>920</v>
      </c>
      <c r="B2115" t="s">
        <v>891</v>
      </c>
      <c r="C2115">
        <v>13.32</v>
      </c>
      <c r="D2115">
        <v>12.16</v>
      </c>
      <c r="E2115">
        <v>7.01</v>
      </c>
      <c r="F2115">
        <v>1.27</v>
      </c>
      <c r="G2115">
        <v>1</v>
      </c>
      <c r="H2115" t="s">
        <v>608</v>
      </c>
      <c r="I2115" t="s">
        <v>608</v>
      </c>
      <c r="J2115" t="s">
        <v>635</v>
      </c>
      <c r="K2115" t="s">
        <v>604</v>
      </c>
    </row>
    <row r="2116" spans="1:11" x14ac:dyDescent="0.2">
      <c r="A2116" t="s">
        <v>921</v>
      </c>
      <c r="B2116" t="s">
        <v>891</v>
      </c>
      <c r="C2116">
        <v>10.33</v>
      </c>
      <c r="D2116">
        <v>9.58</v>
      </c>
      <c r="E2116">
        <v>3.68</v>
      </c>
      <c r="F2116">
        <v>0.46</v>
      </c>
      <c r="G2116">
        <v>0.39</v>
      </c>
      <c r="H2116" t="s">
        <v>608</v>
      </c>
      <c r="I2116" t="s">
        <v>608</v>
      </c>
      <c r="J2116" t="s">
        <v>860</v>
      </c>
      <c r="K2116" t="s">
        <v>604</v>
      </c>
    </row>
    <row r="2117" spans="1:11" x14ac:dyDescent="0.2">
      <c r="A2117" t="s">
        <v>922</v>
      </c>
      <c r="B2117" t="s">
        <v>898</v>
      </c>
      <c r="C2117">
        <v>43.57</v>
      </c>
      <c r="D2117">
        <v>39.28</v>
      </c>
      <c r="E2117">
        <v>21.7</v>
      </c>
      <c r="F2117">
        <v>28.18</v>
      </c>
      <c r="G2117">
        <v>22.98</v>
      </c>
      <c r="H2117" t="s">
        <v>608</v>
      </c>
      <c r="I2117" t="s">
        <v>608</v>
      </c>
      <c r="J2117" t="s">
        <v>608</v>
      </c>
      <c r="K2117" t="s">
        <v>604</v>
      </c>
    </row>
    <row r="2118" spans="1:11" x14ac:dyDescent="0.2">
      <c r="A2118" t="s">
        <v>923</v>
      </c>
      <c r="B2118" t="s">
        <v>898</v>
      </c>
      <c r="C2118">
        <v>35.159999999999997</v>
      </c>
      <c r="D2118">
        <v>28.9</v>
      </c>
      <c r="E2118">
        <v>17.87</v>
      </c>
      <c r="F2118">
        <v>18.05</v>
      </c>
      <c r="G2118">
        <v>13.78</v>
      </c>
      <c r="H2118" t="s">
        <v>608</v>
      </c>
      <c r="I2118" t="s">
        <v>608</v>
      </c>
      <c r="J2118" t="s">
        <v>608</v>
      </c>
      <c r="K2118" t="s">
        <v>604</v>
      </c>
    </row>
    <row r="2119" spans="1:11" x14ac:dyDescent="0.2">
      <c r="A2119" t="s">
        <v>924</v>
      </c>
      <c r="B2119" t="s">
        <v>898</v>
      </c>
      <c r="C2119">
        <v>32.44</v>
      </c>
      <c r="D2119">
        <v>21.43</v>
      </c>
      <c r="E2119">
        <v>7.28</v>
      </c>
      <c r="F2119">
        <v>3.73</v>
      </c>
      <c r="G2119">
        <v>2.82</v>
      </c>
      <c r="H2119" t="s">
        <v>608</v>
      </c>
      <c r="I2119" t="s">
        <v>608</v>
      </c>
      <c r="J2119" t="s">
        <v>608</v>
      </c>
      <c r="K2119" t="s">
        <v>604</v>
      </c>
    </row>
    <row r="2120" spans="1:11" x14ac:dyDescent="0.2">
      <c r="A2120" t="s">
        <v>925</v>
      </c>
      <c r="B2120" t="s">
        <v>898</v>
      </c>
      <c r="C2120">
        <v>31.14</v>
      </c>
      <c r="D2120">
        <v>22.29</v>
      </c>
      <c r="E2120">
        <v>8.43</v>
      </c>
      <c r="F2120">
        <v>4.62</v>
      </c>
      <c r="G2120">
        <v>3.65</v>
      </c>
      <c r="H2120" t="s">
        <v>608</v>
      </c>
      <c r="I2120" t="s">
        <v>608</v>
      </c>
      <c r="J2120" t="s">
        <v>608</v>
      </c>
      <c r="K2120" t="s">
        <v>604</v>
      </c>
    </row>
    <row r="2121" spans="1:11" x14ac:dyDescent="0.2">
      <c r="A2121" t="s">
        <v>926</v>
      </c>
      <c r="B2121" t="s">
        <v>898</v>
      </c>
      <c r="C2121">
        <v>30.18</v>
      </c>
      <c r="D2121">
        <v>20.52</v>
      </c>
      <c r="E2121">
        <v>8.65</v>
      </c>
      <c r="F2121">
        <v>3.55</v>
      </c>
      <c r="G2121">
        <v>2.63</v>
      </c>
      <c r="H2121" t="s">
        <v>608</v>
      </c>
      <c r="I2121" t="s">
        <v>608</v>
      </c>
      <c r="J2121" t="s">
        <v>608</v>
      </c>
      <c r="K2121" t="s">
        <v>604</v>
      </c>
    </row>
    <row r="2122" spans="1:11" x14ac:dyDescent="0.2">
      <c r="A2122" t="s">
        <v>927</v>
      </c>
      <c r="B2122" t="s">
        <v>898</v>
      </c>
      <c r="C2122">
        <v>22.44</v>
      </c>
      <c r="D2122">
        <v>22.1</v>
      </c>
      <c r="E2122">
        <v>7.47</v>
      </c>
      <c r="F2122">
        <v>2.38</v>
      </c>
      <c r="G2122">
        <v>1.82</v>
      </c>
      <c r="H2122" t="s">
        <v>608</v>
      </c>
      <c r="I2122" t="s">
        <v>608</v>
      </c>
      <c r="J2122" t="s">
        <v>860</v>
      </c>
      <c r="K2122" t="s">
        <v>604</v>
      </c>
    </row>
    <row r="2123" spans="1:11" x14ac:dyDescent="0.2">
      <c r="A2123" t="s">
        <v>928</v>
      </c>
      <c r="B2123" t="s">
        <v>898</v>
      </c>
      <c r="C2123">
        <v>24.82</v>
      </c>
      <c r="D2123">
        <v>10.81</v>
      </c>
      <c r="E2123">
        <v>9.2799999999999994</v>
      </c>
      <c r="F2123">
        <v>2.17</v>
      </c>
      <c r="G2123">
        <v>1.41</v>
      </c>
      <c r="H2123" t="s">
        <v>608</v>
      </c>
      <c r="I2123" t="s">
        <v>608</v>
      </c>
      <c r="J2123" t="s">
        <v>635</v>
      </c>
      <c r="K2123" t="s">
        <v>604</v>
      </c>
    </row>
    <row r="2124" spans="1:11" x14ac:dyDescent="0.2">
      <c r="A2124" t="s">
        <v>929</v>
      </c>
      <c r="B2124" t="s">
        <v>898</v>
      </c>
      <c r="C2124">
        <v>20.85</v>
      </c>
      <c r="D2124">
        <v>14.67</v>
      </c>
      <c r="E2124">
        <v>8.52</v>
      </c>
      <c r="F2124">
        <v>2.25</v>
      </c>
      <c r="G2124">
        <v>1.62</v>
      </c>
      <c r="H2124" t="s">
        <v>608</v>
      </c>
      <c r="I2124" t="s">
        <v>608</v>
      </c>
      <c r="J2124" t="s">
        <v>635</v>
      </c>
      <c r="K2124" t="s">
        <v>604</v>
      </c>
    </row>
    <row r="2125" spans="1:11" x14ac:dyDescent="0.2">
      <c r="A2125" t="s">
        <v>930</v>
      </c>
      <c r="B2125" t="s">
        <v>898</v>
      </c>
      <c r="C2125">
        <v>14.97</v>
      </c>
      <c r="D2125">
        <v>10.45</v>
      </c>
      <c r="E2125">
        <v>3.73</v>
      </c>
      <c r="F2125">
        <v>0.6</v>
      </c>
      <c r="G2125">
        <v>0.52</v>
      </c>
      <c r="H2125" t="s">
        <v>608</v>
      </c>
      <c r="I2125" t="s">
        <v>608</v>
      </c>
      <c r="J2125" t="s">
        <v>635</v>
      </c>
      <c r="K2125" t="s">
        <v>604</v>
      </c>
    </row>
    <row r="2126" spans="1:11" x14ac:dyDescent="0.2">
      <c r="A2126" t="s">
        <v>931</v>
      </c>
      <c r="B2126" t="s">
        <v>898</v>
      </c>
      <c r="C2126">
        <v>17.64</v>
      </c>
      <c r="D2126">
        <v>11.02</v>
      </c>
      <c r="E2126">
        <v>5.26</v>
      </c>
      <c r="F2126">
        <v>0.79</v>
      </c>
      <c r="G2126">
        <v>0.65</v>
      </c>
      <c r="H2126" t="s">
        <v>608</v>
      </c>
      <c r="I2126" t="s">
        <v>608</v>
      </c>
      <c r="J2126" t="s">
        <v>860</v>
      </c>
      <c r="K2126" t="s">
        <v>604</v>
      </c>
    </row>
    <row r="2127" spans="1:11" x14ac:dyDescent="0.2">
      <c r="A2127" t="s">
        <v>932</v>
      </c>
      <c r="B2127" t="s">
        <v>898</v>
      </c>
      <c r="C2127">
        <v>15.47</v>
      </c>
      <c r="D2127">
        <v>11.37</v>
      </c>
      <c r="E2127">
        <v>5.98</v>
      </c>
      <c r="F2127">
        <v>0.6</v>
      </c>
      <c r="G2127">
        <v>0.41</v>
      </c>
      <c r="H2127" t="s">
        <v>608</v>
      </c>
      <c r="I2127" t="s">
        <v>608</v>
      </c>
      <c r="J2127" t="s">
        <v>635</v>
      </c>
      <c r="K2127" t="s">
        <v>604</v>
      </c>
    </row>
    <row r="2128" spans="1:11" x14ac:dyDescent="0.2">
      <c r="A2128" t="s">
        <v>933</v>
      </c>
      <c r="B2128" t="s">
        <v>898</v>
      </c>
      <c r="C2128">
        <v>11.81</v>
      </c>
      <c r="D2128">
        <v>11.73</v>
      </c>
      <c r="E2128">
        <v>2.98</v>
      </c>
      <c r="F2128">
        <v>0.42</v>
      </c>
      <c r="G2128">
        <v>0.34</v>
      </c>
      <c r="H2128" t="s">
        <v>608</v>
      </c>
      <c r="I2128" t="s">
        <v>608</v>
      </c>
      <c r="J2128" t="s">
        <v>635</v>
      </c>
      <c r="K2128" t="s">
        <v>604</v>
      </c>
    </row>
    <row r="2129" spans="1:11" x14ac:dyDescent="0.2">
      <c r="A2129" t="s">
        <v>934</v>
      </c>
      <c r="B2129" t="s">
        <v>898</v>
      </c>
      <c r="C2129">
        <v>10.55</v>
      </c>
      <c r="D2129">
        <v>4.68</v>
      </c>
      <c r="E2129">
        <v>3.37</v>
      </c>
      <c r="F2129">
        <v>0.15</v>
      </c>
      <c r="G2129">
        <v>0.11</v>
      </c>
      <c r="H2129" t="s">
        <v>608</v>
      </c>
      <c r="I2129" t="s">
        <v>608</v>
      </c>
      <c r="J2129" t="s">
        <v>635</v>
      </c>
      <c r="K2129" t="s">
        <v>604</v>
      </c>
    </row>
    <row r="2130" spans="1:11" x14ac:dyDescent="0.2">
      <c r="A2130" t="s">
        <v>935</v>
      </c>
      <c r="B2130" t="s">
        <v>904</v>
      </c>
      <c r="C2130">
        <v>36.54</v>
      </c>
      <c r="D2130">
        <v>27.19</v>
      </c>
      <c r="E2130">
        <v>14.65</v>
      </c>
      <c r="F2130">
        <v>10.65</v>
      </c>
      <c r="G2130">
        <v>7.45</v>
      </c>
      <c r="H2130" t="s">
        <v>608</v>
      </c>
      <c r="I2130" t="s">
        <v>608</v>
      </c>
      <c r="J2130" t="s">
        <v>608</v>
      </c>
      <c r="K2130" t="s">
        <v>604</v>
      </c>
    </row>
    <row r="2131" spans="1:11" x14ac:dyDescent="0.2">
      <c r="A2131" t="s">
        <v>936</v>
      </c>
      <c r="B2131" t="s">
        <v>904</v>
      </c>
      <c r="C2131">
        <v>36.19</v>
      </c>
      <c r="D2131">
        <v>30.39</v>
      </c>
      <c r="E2131">
        <v>17.12</v>
      </c>
      <c r="F2131">
        <v>15.12</v>
      </c>
      <c r="G2131">
        <v>11.26</v>
      </c>
      <c r="H2131" t="s">
        <v>608</v>
      </c>
      <c r="I2131" t="s">
        <v>608</v>
      </c>
      <c r="J2131" t="s">
        <v>608</v>
      </c>
      <c r="K2131" t="s">
        <v>604</v>
      </c>
    </row>
    <row r="2132" spans="1:11" x14ac:dyDescent="0.2">
      <c r="A2132" t="s">
        <v>937</v>
      </c>
      <c r="B2132" t="s">
        <v>904</v>
      </c>
      <c r="C2132">
        <v>36.96</v>
      </c>
      <c r="D2132">
        <v>25.28</v>
      </c>
      <c r="E2132">
        <v>10.64</v>
      </c>
      <c r="F2132">
        <v>9.34</v>
      </c>
      <c r="G2132">
        <v>6.99</v>
      </c>
      <c r="H2132" t="s">
        <v>608</v>
      </c>
      <c r="I2132" t="s">
        <v>608</v>
      </c>
      <c r="J2132" t="s">
        <v>608</v>
      </c>
      <c r="K2132" t="s">
        <v>604</v>
      </c>
    </row>
    <row r="2133" spans="1:11" x14ac:dyDescent="0.2">
      <c r="A2133" t="s">
        <v>938</v>
      </c>
      <c r="B2133" t="s">
        <v>904</v>
      </c>
      <c r="C2133">
        <v>32.24</v>
      </c>
      <c r="D2133">
        <v>28.59</v>
      </c>
      <c r="E2133">
        <v>18.329999999999998</v>
      </c>
      <c r="F2133">
        <v>11.7</v>
      </c>
      <c r="G2133">
        <v>8.1199999999999992</v>
      </c>
      <c r="H2133" t="s">
        <v>608</v>
      </c>
      <c r="I2133" t="s">
        <v>608</v>
      </c>
      <c r="J2133" t="s">
        <v>608</v>
      </c>
      <c r="K2133" t="s">
        <v>604</v>
      </c>
    </row>
    <row r="2134" spans="1:11" x14ac:dyDescent="0.2">
      <c r="A2134" t="s">
        <v>939</v>
      </c>
      <c r="B2134" t="s">
        <v>904</v>
      </c>
      <c r="C2134">
        <v>30.81</v>
      </c>
      <c r="D2134">
        <v>21.92</v>
      </c>
      <c r="E2134">
        <v>9.94</v>
      </c>
      <c r="F2134">
        <v>6.34</v>
      </c>
      <c r="G2134">
        <v>4.3499999999999996</v>
      </c>
      <c r="H2134" t="s">
        <v>608</v>
      </c>
      <c r="I2134" t="s">
        <v>608</v>
      </c>
      <c r="J2134" t="s">
        <v>608</v>
      </c>
      <c r="K2134" t="s">
        <v>604</v>
      </c>
    </row>
    <row r="2135" spans="1:11" x14ac:dyDescent="0.2">
      <c r="A2135" t="s">
        <v>940</v>
      </c>
      <c r="B2135" t="s">
        <v>904</v>
      </c>
      <c r="C2135">
        <v>21.65</v>
      </c>
      <c r="D2135">
        <v>19.829999999999998</v>
      </c>
      <c r="E2135">
        <v>13.27</v>
      </c>
      <c r="F2135">
        <v>3.37</v>
      </c>
      <c r="G2135">
        <v>2.41</v>
      </c>
      <c r="H2135" t="s">
        <v>608</v>
      </c>
      <c r="I2135" t="s">
        <v>608</v>
      </c>
      <c r="J2135" t="s">
        <v>635</v>
      </c>
      <c r="K2135" t="s">
        <v>604</v>
      </c>
    </row>
    <row r="2136" spans="1:11" x14ac:dyDescent="0.2">
      <c r="A2136" t="s">
        <v>941</v>
      </c>
      <c r="B2136" t="s">
        <v>904</v>
      </c>
      <c r="C2136">
        <v>19.38</v>
      </c>
      <c r="D2136">
        <v>19.02</v>
      </c>
      <c r="E2136">
        <v>10.45</v>
      </c>
      <c r="F2136">
        <v>3.55</v>
      </c>
      <c r="G2136">
        <v>2.78</v>
      </c>
      <c r="H2136" t="s">
        <v>608</v>
      </c>
      <c r="I2136" t="s">
        <v>608</v>
      </c>
      <c r="J2136" t="s">
        <v>635</v>
      </c>
      <c r="K2136" t="s">
        <v>604</v>
      </c>
    </row>
    <row r="2137" spans="1:11" x14ac:dyDescent="0.2">
      <c r="A2137" t="s">
        <v>942</v>
      </c>
      <c r="B2137" t="s">
        <v>904</v>
      </c>
      <c r="C2137">
        <v>20.48</v>
      </c>
      <c r="D2137">
        <v>12.28</v>
      </c>
      <c r="E2137">
        <v>7.47</v>
      </c>
      <c r="F2137">
        <v>1.17</v>
      </c>
      <c r="G2137">
        <v>0.79</v>
      </c>
      <c r="H2137" t="s">
        <v>608</v>
      </c>
      <c r="I2137" t="s">
        <v>608</v>
      </c>
      <c r="J2137" t="s">
        <v>635</v>
      </c>
      <c r="K2137" t="s">
        <v>604</v>
      </c>
    </row>
    <row r="2138" spans="1:11" x14ac:dyDescent="0.2">
      <c r="A2138" t="s">
        <v>943</v>
      </c>
      <c r="B2138" t="s">
        <v>904</v>
      </c>
      <c r="C2138">
        <v>12.07</v>
      </c>
      <c r="D2138">
        <v>11.48</v>
      </c>
      <c r="E2138">
        <v>6.68</v>
      </c>
      <c r="F2138">
        <v>0.74</v>
      </c>
      <c r="G2138">
        <v>0.47</v>
      </c>
      <c r="H2138" t="s">
        <v>608</v>
      </c>
      <c r="I2138" t="s">
        <v>608</v>
      </c>
      <c r="J2138" t="s">
        <v>635</v>
      </c>
      <c r="K2138" t="s">
        <v>604</v>
      </c>
    </row>
    <row r="2139" spans="1:11" x14ac:dyDescent="0.2">
      <c r="A2139" t="s">
        <v>944</v>
      </c>
      <c r="B2139" t="s">
        <v>904</v>
      </c>
      <c r="C2139">
        <v>12.41</v>
      </c>
      <c r="D2139">
        <v>15</v>
      </c>
      <c r="E2139">
        <v>3.72</v>
      </c>
      <c r="F2139">
        <v>0.93</v>
      </c>
      <c r="G2139">
        <v>0.68</v>
      </c>
      <c r="H2139" t="s">
        <v>608</v>
      </c>
      <c r="I2139" t="s">
        <v>608</v>
      </c>
      <c r="J2139" t="s">
        <v>860</v>
      </c>
      <c r="K2139" t="s">
        <v>604</v>
      </c>
    </row>
    <row r="2140" spans="1:11" x14ac:dyDescent="0.2">
      <c r="A2140" t="s">
        <v>945</v>
      </c>
      <c r="B2140" t="s">
        <v>904</v>
      </c>
      <c r="C2140">
        <v>12.11</v>
      </c>
      <c r="D2140">
        <v>5.61</v>
      </c>
      <c r="E2140">
        <v>2.89</v>
      </c>
      <c r="F2140">
        <v>0.24</v>
      </c>
      <c r="G2140">
        <v>0.13</v>
      </c>
      <c r="H2140" t="s">
        <v>608</v>
      </c>
      <c r="I2140" t="s">
        <v>608</v>
      </c>
      <c r="J2140" t="s">
        <v>635</v>
      </c>
      <c r="K2140" t="s">
        <v>604</v>
      </c>
    </row>
    <row r="2141" spans="1:11" x14ac:dyDescent="0.2">
      <c r="A2141" t="s">
        <v>946</v>
      </c>
      <c r="B2141" t="s">
        <v>904</v>
      </c>
      <c r="C2141">
        <v>8.58</v>
      </c>
      <c r="D2141">
        <v>8.3699999999999992</v>
      </c>
      <c r="E2141">
        <v>3.62</v>
      </c>
      <c r="F2141">
        <v>1.21</v>
      </c>
      <c r="G2141">
        <v>1.1299999999999999</v>
      </c>
      <c r="H2141" t="s">
        <v>608</v>
      </c>
      <c r="I2141" t="s">
        <v>608</v>
      </c>
      <c r="J2141" t="s">
        <v>947</v>
      </c>
      <c r="K2141" t="s">
        <v>604</v>
      </c>
    </row>
    <row r="2142" spans="1:11" x14ac:dyDescent="0.2">
      <c r="A2142" t="s">
        <v>948</v>
      </c>
      <c r="B2142" t="s">
        <v>949</v>
      </c>
      <c r="C2142">
        <v>58.87</v>
      </c>
      <c r="D2142" t="s">
        <v>608</v>
      </c>
      <c r="E2142" t="s">
        <v>608</v>
      </c>
      <c r="F2142">
        <v>31.32</v>
      </c>
      <c r="G2142">
        <v>23.35</v>
      </c>
      <c r="H2142">
        <v>0</v>
      </c>
      <c r="I2142">
        <v>0</v>
      </c>
      <c r="J2142" t="s">
        <v>608</v>
      </c>
      <c r="K2142" t="s">
        <v>604</v>
      </c>
    </row>
    <row r="2143" spans="1:11" x14ac:dyDescent="0.2">
      <c r="A2143" t="s">
        <v>950</v>
      </c>
      <c r="B2143" t="s">
        <v>949</v>
      </c>
      <c r="C2143">
        <v>48.2</v>
      </c>
      <c r="D2143" t="s">
        <v>608</v>
      </c>
      <c r="E2143" t="s">
        <v>608</v>
      </c>
      <c r="F2143">
        <v>17.53</v>
      </c>
      <c r="G2143">
        <v>14.5</v>
      </c>
      <c r="H2143">
        <v>2</v>
      </c>
      <c r="I2143">
        <v>4</v>
      </c>
      <c r="J2143" t="s">
        <v>608</v>
      </c>
      <c r="K2143" t="s">
        <v>604</v>
      </c>
    </row>
    <row r="2144" spans="1:11" x14ac:dyDescent="0.2">
      <c r="A2144" t="s">
        <v>951</v>
      </c>
      <c r="B2144" t="s">
        <v>949</v>
      </c>
      <c r="C2144">
        <v>46.23</v>
      </c>
      <c r="D2144" t="s">
        <v>608</v>
      </c>
      <c r="E2144" t="s">
        <v>608</v>
      </c>
      <c r="F2144">
        <v>21.6</v>
      </c>
      <c r="G2144">
        <v>16.09</v>
      </c>
      <c r="H2144">
        <v>2</v>
      </c>
      <c r="I2144">
        <v>2</v>
      </c>
      <c r="J2144" t="s">
        <v>608</v>
      </c>
      <c r="K2144" t="s">
        <v>604</v>
      </c>
    </row>
    <row r="2145" spans="1:11" x14ac:dyDescent="0.2">
      <c r="A2145" t="s">
        <v>952</v>
      </c>
      <c r="B2145" t="s">
        <v>949</v>
      </c>
      <c r="C2145">
        <v>50.88</v>
      </c>
      <c r="D2145" t="s">
        <v>608</v>
      </c>
      <c r="E2145" t="s">
        <v>608</v>
      </c>
      <c r="F2145">
        <v>24.9</v>
      </c>
      <c r="G2145">
        <v>18.79</v>
      </c>
      <c r="H2145">
        <v>0.5</v>
      </c>
      <c r="I2145">
        <v>1</v>
      </c>
      <c r="J2145" t="s">
        <v>608</v>
      </c>
      <c r="K2145" t="s">
        <v>604</v>
      </c>
    </row>
    <row r="2146" spans="1:11" x14ac:dyDescent="0.2">
      <c r="A2146" t="s">
        <v>953</v>
      </c>
      <c r="B2146" t="s">
        <v>949</v>
      </c>
      <c r="C2146">
        <v>45.16</v>
      </c>
      <c r="D2146" t="s">
        <v>608</v>
      </c>
      <c r="E2146" t="s">
        <v>608</v>
      </c>
      <c r="F2146">
        <v>17.09</v>
      </c>
      <c r="G2146">
        <v>12.54</v>
      </c>
      <c r="H2146">
        <v>0.5</v>
      </c>
      <c r="I2146">
        <v>0.5</v>
      </c>
      <c r="J2146" t="s">
        <v>608</v>
      </c>
      <c r="K2146" t="s">
        <v>604</v>
      </c>
    </row>
    <row r="2147" spans="1:11" x14ac:dyDescent="0.2">
      <c r="A2147" t="s">
        <v>954</v>
      </c>
      <c r="B2147" t="s">
        <v>955</v>
      </c>
      <c r="C2147">
        <v>58.22</v>
      </c>
      <c r="D2147" t="s">
        <v>608</v>
      </c>
      <c r="E2147" t="s">
        <v>608</v>
      </c>
      <c r="F2147">
        <v>31.8</v>
      </c>
      <c r="G2147">
        <v>22.1</v>
      </c>
      <c r="H2147">
        <v>0.5</v>
      </c>
      <c r="I2147">
        <v>2</v>
      </c>
      <c r="J2147" t="s">
        <v>608</v>
      </c>
      <c r="K2147" t="s">
        <v>604</v>
      </c>
    </row>
    <row r="2148" spans="1:11" x14ac:dyDescent="0.2">
      <c r="A2148" t="s">
        <v>956</v>
      </c>
      <c r="B2148" t="s">
        <v>955</v>
      </c>
      <c r="C2148">
        <v>53.66</v>
      </c>
      <c r="D2148" t="s">
        <v>608</v>
      </c>
      <c r="E2148" t="s">
        <v>608</v>
      </c>
      <c r="F2148">
        <v>37.549999999999997</v>
      </c>
      <c r="G2148">
        <v>28.28</v>
      </c>
      <c r="H2148">
        <v>0.5</v>
      </c>
      <c r="I2148">
        <v>0</v>
      </c>
      <c r="J2148" t="s">
        <v>608</v>
      </c>
      <c r="K2148" t="s">
        <v>604</v>
      </c>
    </row>
    <row r="2149" spans="1:11" x14ac:dyDescent="0.2">
      <c r="A2149" t="s">
        <v>957</v>
      </c>
      <c r="B2149" t="s">
        <v>955</v>
      </c>
      <c r="C2149">
        <v>62.27</v>
      </c>
      <c r="D2149" t="s">
        <v>608</v>
      </c>
      <c r="E2149" t="s">
        <v>608</v>
      </c>
      <c r="F2149">
        <v>38.46</v>
      </c>
      <c r="G2149">
        <v>28.22</v>
      </c>
      <c r="H2149">
        <v>2</v>
      </c>
      <c r="I2149">
        <v>2</v>
      </c>
      <c r="J2149" t="s">
        <v>608</v>
      </c>
      <c r="K2149" t="s">
        <v>604</v>
      </c>
    </row>
    <row r="2150" spans="1:11" x14ac:dyDescent="0.2">
      <c r="A2150" t="s">
        <v>958</v>
      </c>
      <c r="B2150" t="s">
        <v>955</v>
      </c>
      <c r="C2150">
        <v>47.96</v>
      </c>
      <c r="D2150" t="s">
        <v>608</v>
      </c>
      <c r="E2150" t="s">
        <v>608</v>
      </c>
      <c r="F2150">
        <v>33.08</v>
      </c>
      <c r="G2150">
        <v>23.68</v>
      </c>
      <c r="H2150">
        <v>0</v>
      </c>
      <c r="I2150">
        <v>0.5</v>
      </c>
      <c r="J2150" t="s">
        <v>608</v>
      </c>
      <c r="K2150" t="s">
        <v>604</v>
      </c>
    </row>
    <row r="2151" spans="1:11" x14ac:dyDescent="0.2">
      <c r="A2151" t="s">
        <v>959</v>
      </c>
      <c r="B2151" t="s">
        <v>955</v>
      </c>
      <c r="C2151">
        <v>44.38</v>
      </c>
      <c r="D2151" t="s">
        <v>608</v>
      </c>
      <c r="E2151" t="s">
        <v>608</v>
      </c>
      <c r="F2151">
        <v>39.69</v>
      </c>
      <c r="G2151">
        <v>34.520000000000003</v>
      </c>
      <c r="H2151">
        <v>0</v>
      </c>
      <c r="I2151">
        <v>0</v>
      </c>
      <c r="J2151" t="s">
        <v>608</v>
      </c>
      <c r="K2151" t="s">
        <v>604</v>
      </c>
    </row>
    <row r="2152" spans="1:11" x14ac:dyDescent="0.2">
      <c r="A2152" t="s">
        <v>960</v>
      </c>
      <c r="B2152" t="s">
        <v>961</v>
      </c>
      <c r="C2152">
        <v>39.18</v>
      </c>
      <c r="D2152" t="s">
        <v>608</v>
      </c>
      <c r="E2152" t="s">
        <v>608</v>
      </c>
      <c r="F2152">
        <v>24.69</v>
      </c>
      <c r="G2152">
        <v>18.21</v>
      </c>
      <c r="H2152">
        <v>0</v>
      </c>
      <c r="I2152">
        <v>0</v>
      </c>
      <c r="J2152" t="s">
        <v>608</v>
      </c>
      <c r="K2152" t="s">
        <v>604</v>
      </c>
    </row>
    <row r="2153" spans="1:11" x14ac:dyDescent="0.2">
      <c r="A2153" t="s">
        <v>962</v>
      </c>
      <c r="B2153" t="s">
        <v>961</v>
      </c>
      <c r="C2153">
        <v>47.03</v>
      </c>
      <c r="D2153" t="s">
        <v>608</v>
      </c>
      <c r="E2153" t="s">
        <v>608</v>
      </c>
      <c r="F2153">
        <v>16.940000000000001</v>
      </c>
      <c r="G2153">
        <v>13.37</v>
      </c>
      <c r="H2153">
        <v>0.5</v>
      </c>
      <c r="I2153">
        <v>0</v>
      </c>
      <c r="J2153" t="s">
        <v>608</v>
      </c>
      <c r="K2153" t="s">
        <v>604</v>
      </c>
    </row>
    <row r="2154" spans="1:11" x14ac:dyDescent="0.2">
      <c r="A2154" t="s">
        <v>963</v>
      </c>
      <c r="B2154" t="s">
        <v>961</v>
      </c>
      <c r="C2154">
        <v>66.260000000000005</v>
      </c>
      <c r="D2154" t="s">
        <v>608</v>
      </c>
      <c r="E2154" t="s">
        <v>608</v>
      </c>
      <c r="F2154">
        <v>33.19</v>
      </c>
      <c r="G2154">
        <v>28.71</v>
      </c>
      <c r="H2154">
        <v>0</v>
      </c>
      <c r="I2154">
        <v>0</v>
      </c>
      <c r="J2154" t="s">
        <v>608</v>
      </c>
      <c r="K2154" t="s">
        <v>604</v>
      </c>
    </row>
    <row r="2155" spans="1:11" x14ac:dyDescent="0.2">
      <c r="A2155" t="s">
        <v>964</v>
      </c>
      <c r="B2155" t="s">
        <v>961</v>
      </c>
      <c r="C2155">
        <v>52.93</v>
      </c>
      <c r="D2155" t="s">
        <v>608</v>
      </c>
      <c r="E2155" t="s">
        <v>608</v>
      </c>
      <c r="F2155">
        <v>42.66</v>
      </c>
      <c r="G2155">
        <v>35.229999999999997</v>
      </c>
      <c r="H2155">
        <v>0</v>
      </c>
      <c r="I2155">
        <v>0</v>
      </c>
      <c r="J2155" t="s">
        <v>608</v>
      </c>
      <c r="K2155" t="s">
        <v>604</v>
      </c>
    </row>
    <row r="2156" spans="1:11" x14ac:dyDescent="0.2">
      <c r="A2156" t="s">
        <v>965</v>
      </c>
      <c r="B2156" t="s">
        <v>961</v>
      </c>
      <c r="C2156">
        <v>46.34</v>
      </c>
      <c r="D2156" t="s">
        <v>608</v>
      </c>
      <c r="E2156" t="s">
        <v>608</v>
      </c>
      <c r="F2156">
        <v>17.75</v>
      </c>
      <c r="G2156">
        <v>12.55</v>
      </c>
      <c r="H2156">
        <v>1</v>
      </c>
      <c r="I2156">
        <v>0.5</v>
      </c>
      <c r="J2156" t="s">
        <v>608</v>
      </c>
      <c r="K2156" t="s">
        <v>604</v>
      </c>
    </row>
    <row r="2157" spans="1:11" x14ac:dyDescent="0.2">
      <c r="A2157" t="s">
        <v>966</v>
      </c>
      <c r="B2157" t="s">
        <v>949</v>
      </c>
      <c r="C2157">
        <v>44.43</v>
      </c>
      <c r="D2157">
        <v>23.69</v>
      </c>
      <c r="E2157">
        <v>10.01</v>
      </c>
      <c r="F2157">
        <v>7.65</v>
      </c>
      <c r="G2157">
        <v>6.03</v>
      </c>
      <c r="H2157" t="s">
        <v>608</v>
      </c>
      <c r="I2157" t="s">
        <v>608</v>
      </c>
      <c r="J2157" t="s">
        <v>608</v>
      </c>
      <c r="K2157" t="s">
        <v>604</v>
      </c>
    </row>
    <row r="2158" spans="1:11" x14ac:dyDescent="0.2">
      <c r="A2158" t="s">
        <v>967</v>
      </c>
      <c r="B2158" t="s">
        <v>949</v>
      </c>
      <c r="C2158">
        <v>40.29</v>
      </c>
      <c r="D2158">
        <v>29.49</v>
      </c>
      <c r="E2158">
        <v>15.4</v>
      </c>
      <c r="F2158">
        <v>13.19</v>
      </c>
      <c r="G2158">
        <v>9.48</v>
      </c>
      <c r="H2158" t="s">
        <v>608</v>
      </c>
      <c r="I2158" t="s">
        <v>608</v>
      </c>
      <c r="J2158" t="s">
        <v>608</v>
      </c>
      <c r="K2158" t="s">
        <v>604</v>
      </c>
    </row>
    <row r="2159" spans="1:11" x14ac:dyDescent="0.2">
      <c r="A2159" t="s">
        <v>968</v>
      </c>
      <c r="B2159" t="s">
        <v>949</v>
      </c>
      <c r="C2159">
        <v>34.24</v>
      </c>
      <c r="D2159">
        <v>21.68</v>
      </c>
      <c r="E2159">
        <v>14.41</v>
      </c>
      <c r="F2159">
        <v>6.74</v>
      </c>
      <c r="G2159">
        <v>5.1100000000000003</v>
      </c>
      <c r="H2159" t="s">
        <v>608</v>
      </c>
      <c r="I2159" t="s">
        <v>608</v>
      </c>
      <c r="J2159" t="s">
        <v>608</v>
      </c>
      <c r="K2159" t="s">
        <v>604</v>
      </c>
    </row>
    <row r="2160" spans="1:11" x14ac:dyDescent="0.2">
      <c r="A2160" t="s">
        <v>969</v>
      </c>
      <c r="B2160" t="s">
        <v>949</v>
      </c>
      <c r="C2160">
        <v>28.48</v>
      </c>
      <c r="D2160">
        <v>18.350000000000001</v>
      </c>
      <c r="E2160">
        <v>15.2</v>
      </c>
      <c r="F2160">
        <v>3.79</v>
      </c>
      <c r="G2160">
        <v>2.86</v>
      </c>
      <c r="H2160" t="s">
        <v>608</v>
      </c>
      <c r="I2160" t="s">
        <v>608</v>
      </c>
      <c r="J2160" t="s">
        <v>608</v>
      </c>
      <c r="K2160" t="s">
        <v>604</v>
      </c>
    </row>
    <row r="2161" spans="1:11" x14ac:dyDescent="0.2">
      <c r="A2161" t="s">
        <v>970</v>
      </c>
      <c r="B2161" t="s">
        <v>949</v>
      </c>
      <c r="C2161">
        <v>20.22</v>
      </c>
      <c r="D2161">
        <v>20.11</v>
      </c>
      <c r="E2161">
        <v>6</v>
      </c>
      <c r="F2161">
        <v>1.39</v>
      </c>
      <c r="G2161">
        <v>0.85</v>
      </c>
      <c r="H2161" t="s">
        <v>608</v>
      </c>
      <c r="I2161" t="s">
        <v>608</v>
      </c>
      <c r="J2161" t="s">
        <v>635</v>
      </c>
      <c r="K2161" t="s">
        <v>604</v>
      </c>
    </row>
    <row r="2162" spans="1:11" x14ac:dyDescent="0.2">
      <c r="A2162" t="s">
        <v>971</v>
      </c>
      <c r="B2162" t="s">
        <v>949</v>
      </c>
      <c r="C2162">
        <v>23.77</v>
      </c>
      <c r="D2162">
        <v>16.440000000000001</v>
      </c>
      <c r="E2162">
        <v>7.96</v>
      </c>
      <c r="F2162">
        <v>2.12</v>
      </c>
      <c r="G2162">
        <v>1.41</v>
      </c>
      <c r="H2162" t="s">
        <v>608</v>
      </c>
      <c r="I2162" t="s">
        <v>608</v>
      </c>
      <c r="J2162" t="s">
        <v>608</v>
      </c>
      <c r="K2162" t="s">
        <v>604</v>
      </c>
    </row>
    <row r="2163" spans="1:11" x14ac:dyDescent="0.2">
      <c r="A2163" t="s">
        <v>972</v>
      </c>
      <c r="B2163" t="s">
        <v>949</v>
      </c>
      <c r="C2163">
        <v>20.94</v>
      </c>
      <c r="D2163">
        <v>17.61</v>
      </c>
      <c r="E2163">
        <v>6.07</v>
      </c>
      <c r="F2163">
        <v>1.28</v>
      </c>
      <c r="G2163">
        <v>0.94</v>
      </c>
      <c r="H2163" t="s">
        <v>608</v>
      </c>
      <c r="I2163" t="s">
        <v>608</v>
      </c>
      <c r="J2163" t="s">
        <v>608</v>
      </c>
      <c r="K2163" t="s">
        <v>604</v>
      </c>
    </row>
    <row r="2164" spans="1:11" x14ac:dyDescent="0.2">
      <c r="A2164" t="s">
        <v>973</v>
      </c>
      <c r="B2164" t="s">
        <v>949</v>
      </c>
      <c r="C2164">
        <v>16.78</v>
      </c>
      <c r="D2164">
        <v>12.22</v>
      </c>
      <c r="E2164">
        <v>5.34</v>
      </c>
      <c r="F2164">
        <v>0.52</v>
      </c>
      <c r="G2164">
        <v>0.49</v>
      </c>
      <c r="H2164" t="s">
        <v>608</v>
      </c>
      <c r="I2164" t="s">
        <v>608</v>
      </c>
      <c r="J2164" t="s">
        <v>635</v>
      </c>
      <c r="K2164" t="s">
        <v>604</v>
      </c>
    </row>
    <row r="2165" spans="1:11" x14ac:dyDescent="0.2">
      <c r="A2165" t="s">
        <v>974</v>
      </c>
      <c r="B2165" t="s">
        <v>949</v>
      </c>
      <c r="C2165">
        <v>15.84</v>
      </c>
      <c r="D2165">
        <v>13.32</v>
      </c>
      <c r="E2165">
        <v>9.32</v>
      </c>
      <c r="F2165">
        <v>1.18</v>
      </c>
      <c r="G2165">
        <v>0.69</v>
      </c>
      <c r="H2165" t="s">
        <v>608</v>
      </c>
      <c r="I2165" t="s">
        <v>608</v>
      </c>
      <c r="J2165" t="s">
        <v>635</v>
      </c>
      <c r="K2165" t="s">
        <v>604</v>
      </c>
    </row>
    <row r="2166" spans="1:11" x14ac:dyDescent="0.2">
      <c r="A2166" t="s">
        <v>975</v>
      </c>
      <c r="B2166" t="s">
        <v>949</v>
      </c>
      <c r="C2166">
        <v>12.73</v>
      </c>
      <c r="D2166">
        <v>11.37</v>
      </c>
      <c r="E2166">
        <v>4.3099999999999996</v>
      </c>
      <c r="F2166">
        <v>0.44</v>
      </c>
      <c r="G2166">
        <v>0.28000000000000003</v>
      </c>
      <c r="H2166" t="s">
        <v>608</v>
      </c>
      <c r="I2166" t="s">
        <v>608</v>
      </c>
      <c r="J2166" t="s">
        <v>635</v>
      </c>
      <c r="K2166" t="s">
        <v>604</v>
      </c>
    </row>
    <row r="2167" spans="1:11" x14ac:dyDescent="0.2">
      <c r="A2167" t="s">
        <v>976</v>
      </c>
      <c r="B2167" t="s">
        <v>955</v>
      </c>
      <c r="C2167">
        <v>31.67</v>
      </c>
      <c r="D2167">
        <v>17.32</v>
      </c>
      <c r="E2167">
        <v>8.09</v>
      </c>
      <c r="F2167">
        <v>2.58</v>
      </c>
      <c r="G2167">
        <v>1.46</v>
      </c>
      <c r="H2167" t="s">
        <v>608</v>
      </c>
      <c r="I2167" t="s">
        <v>608</v>
      </c>
      <c r="J2167" t="s">
        <v>608</v>
      </c>
      <c r="K2167" t="s">
        <v>604</v>
      </c>
    </row>
    <row r="2168" spans="1:11" x14ac:dyDescent="0.2">
      <c r="A2168" t="s">
        <v>977</v>
      </c>
      <c r="B2168" t="s">
        <v>955</v>
      </c>
      <c r="C2168">
        <v>25.88</v>
      </c>
      <c r="D2168">
        <v>19.29</v>
      </c>
      <c r="E2168">
        <v>9.52</v>
      </c>
      <c r="F2168">
        <v>3.55</v>
      </c>
      <c r="G2168">
        <v>2.58</v>
      </c>
      <c r="H2168" t="s">
        <v>608</v>
      </c>
      <c r="I2168" t="s">
        <v>608</v>
      </c>
      <c r="J2168" t="s">
        <v>608</v>
      </c>
      <c r="K2168" t="s">
        <v>604</v>
      </c>
    </row>
    <row r="2169" spans="1:11" x14ac:dyDescent="0.2">
      <c r="A2169" t="s">
        <v>978</v>
      </c>
      <c r="B2169" t="s">
        <v>955</v>
      </c>
      <c r="C2169">
        <v>27.43</v>
      </c>
      <c r="D2169">
        <v>16.989999999999998</v>
      </c>
      <c r="E2169">
        <v>9.61</v>
      </c>
      <c r="F2169">
        <v>3.2</v>
      </c>
      <c r="G2169">
        <v>2.2999999999999998</v>
      </c>
      <c r="H2169" t="s">
        <v>608</v>
      </c>
      <c r="I2169" t="s">
        <v>608</v>
      </c>
      <c r="J2169" t="s">
        <v>608</v>
      </c>
      <c r="K2169" t="s">
        <v>604</v>
      </c>
    </row>
    <row r="2170" spans="1:11" x14ac:dyDescent="0.2">
      <c r="A2170" t="s">
        <v>979</v>
      </c>
      <c r="B2170" t="s">
        <v>955</v>
      </c>
      <c r="C2170">
        <v>21.77</v>
      </c>
      <c r="D2170">
        <v>19.489999999999998</v>
      </c>
      <c r="E2170">
        <v>7.44</v>
      </c>
      <c r="F2170">
        <v>2.25</v>
      </c>
      <c r="G2170">
        <v>1.72</v>
      </c>
      <c r="H2170" t="s">
        <v>608</v>
      </c>
      <c r="I2170" t="s">
        <v>608</v>
      </c>
      <c r="J2170" t="s">
        <v>608</v>
      </c>
      <c r="K2170" t="s">
        <v>604</v>
      </c>
    </row>
    <row r="2171" spans="1:11" x14ac:dyDescent="0.2">
      <c r="A2171" t="s">
        <v>980</v>
      </c>
      <c r="B2171" t="s">
        <v>955</v>
      </c>
      <c r="C2171">
        <v>19.88</v>
      </c>
      <c r="D2171">
        <v>17.23</v>
      </c>
      <c r="E2171">
        <v>11.78</v>
      </c>
      <c r="F2171">
        <v>2.2200000000000002</v>
      </c>
      <c r="G2171">
        <v>1.71</v>
      </c>
      <c r="H2171" t="s">
        <v>608</v>
      </c>
      <c r="I2171" t="s">
        <v>608</v>
      </c>
      <c r="J2171" t="s">
        <v>608</v>
      </c>
      <c r="K2171" t="s">
        <v>604</v>
      </c>
    </row>
    <row r="2172" spans="1:11" x14ac:dyDescent="0.2">
      <c r="A2172" t="s">
        <v>981</v>
      </c>
      <c r="B2172" t="s">
        <v>955</v>
      </c>
      <c r="C2172">
        <v>21.95</v>
      </c>
      <c r="D2172">
        <v>16.02</v>
      </c>
      <c r="E2172">
        <v>6.08</v>
      </c>
      <c r="F2172">
        <v>1.1399999999999999</v>
      </c>
      <c r="G2172">
        <v>0.77</v>
      </c>
      <c r="H2172" t="s">
        <v>608</v>
      </c>
      <c r="I2172" t="s">
        <v>608</v>
      </c>
      <c r="J2172" t="s">
        <v>608</v>
      </c>
      <c r="K2172" t="s">
        <v>604</v>
      </c>
    </row>
    <row r="2173" spans="1:11" x14ac:dyDescent="0.2">
      <c r="A2173" t="s">
        <v>982</v>
      </c>
      <c r="B2173" t="s">
        <v>955</v>
      </c>
      <c r="C2173">
        <v>19.350000000000001</v>
      </c>
      <c r="D2173">
        <v>12.21</v>
      </c>
      <c r="E2173">
        <v>5.54</v>
      </c>
      <c r="F2173">
        <v>0.79</v>
      </c>
      <c r="G2173">
        <v>0.6</v>
      </c>
      <c r="H2173" t="s">
        <v>608</v>
      </c>
      <c r="I2173" t="s">
        <v>608</v>
      </c>
      <c r="J2173" t="s">
        <v>635</v>
      </c>
      <c r="K2173" t="s">
        <v>604</v>
      </c>
    </row>
    <row r="2174" spans="1:11" x14ac:dyDescent="0.2">
      <c r="A2174" t="s">
        <v>983</v>
      </c>
      <c r="B2174" t="s">
        <v>955</v>
      </c>
      <c r="C2174">
        <v>19.89</v>
      </c>
      <c r="D2174">
        <v>17.73</v>
      </c>
      <c r="E2174">
        <v>9.75</v>
      </c>
      <c r="F2174">
        <v>2.08</v>
      </c>
      <c r="G2174">
        <v>1.5</v>
      </c>
      <c r="H2174" t="s">
        <v>608</v>
      </c>
      <c r="I2174" t="s">
        <v>608</v>
      </c>
      <c r="J2174" t="s">
        <v>608</v>
      </c>
      <c r="K2174" t="s">
        <v>604</v>
      </c>
    </row>
    <row r="2175" spans="1:11" x14ac:dyDescent="0.2">
      <c r="A2175" t="s">
        <v>984</v>
      </c>
      <c r="B2175" t="s">
        <v>955</v>
      </c>
      <c r="C2175">
        <v>11.59</v>
      </c>
      <c r="D2175">
        <v>16.53</v>
      </c>
      <c r="E2175">
        <v>8.57</v>
      </c>
      <c r="F2175">
        <v>1.29</v>
      </c>
      <c r="G2175">
        <v>0.94</v>
      </c>
      <c r="H2175" t="s">
        <v>608</v>
      </c>
      <c r="I2175" t="s">
        <v>608</v>
      </c>
      <c r="J2175" t="s">
        <v>608</v>
      </c>
      <c r="K2175" t="s">
        <v>604</v>
      </c>
    </row>
    <row r="2176" spans="1:11" x14ac:dyDescent="0.2">
      <c r="A2176" t="s">
        <v>985</v>
      </c>
      <c r="B2176" t="s">
        <v>955</v>
      </c>
      <c r="C2176">
        <v>15.18</v>
      </c>
      <c r="D2176">
        <v>10.38</v>
      </c>
      <c r="E2176">
        <v>7.76</v>
      </c>
      <c r="F2176">
        <v>0.83</v>
      </c>
      <c r="G2176">
        <v>0.56000000000000005</v>
      </c>
      <c r="H2176" t="s">
        <v>608</v>
      </c>
      <c r="I2176" t="s">
        <v>608</v>
      </c>
      <c r="J2176" t="s">
        <v>635</v>
      </c>
      <c r="K2176" t="s">
        <v>604</v>
      </c>
    </row>
    <row r="2177" spans="1:11" x14ac:dyDescent="0.2">
      <c r="A2177" t="s">
        <v>986</v>
      </c>
      <c r="B2177" t="s">
        <v>961</v>
      </c>
      <c r="C2177">
        <v>41.46</v>
      </c>
      <c r="D2177">
        <v>35.17</v>
      </c>
      <c r="E2177">
        <v>25.06</v>
      </c>
      <c r="F2177">
        <v>28.95</v>
      </c>
      <c r="G2177">
        <v>22.75</v>
      </c>
      <c r="H2177" t="s">
        <v>608</v>
      </c>
      <c r="I2177" t="s">
        <v>608</v>
      </c>
      <c r="J2177" t="s">
        <v>608</v>
      </c>
      <c r="K2177" t="s">
        <v>604</v>
      </c>
    </row>
    <row r="2178" spans="1:11" x14ac:dyDescent="0.2">
      <c r="A2178" t="s">
        <v>987</v>
      </c>
      <c r="B2178" t="s">
        <v>961</v>
      </c>
      <c r="C2178">
        <v>33.76</v>
      </c>
      <c r="D2178">
        <v>30.2</v>
      </c>
      <c r="E2178">
        <v>21.63</v>
      </c>
      <c r="F2178">
        <v>23.49</v>
      </c>
      <c r="G2178">
        <v>19.440000000000001</v>
      </c>
      <c r="H2178" t="s">
        <v>608</v>
      </c>
      <c r="I2178" t="s">
        <v>608</v>
      </c>
      <c r="J2178" t="s">
        <v>608</v>
      </c>
      <c r="K2178" t="s">
        <v>604</v>
      </c>
    </row>
    <row r="2179" spans="1:11" x14ac:dyDescent="0.2">
      <c r="A2179" t="s">
        <v>988</v>
      </c>
      <c r="B2179" t="s">
        <v>961</v>
      </c>
      <c r="C2179">
        <v>35.68</v>
      </c>
      <c r="D2179">
        <v>28.42</v>
      </c>
      <c r="E2179">
        <v>16.02</v>
      </c>
      <c r="F2179">
        <v>10.36</v>
      </c>
      <c r="G2179">
        <v>8.16</v>
      </c>
      <c r="H2179" t="s">
        <v>608</v>
      </c>
      <c r="I2179" t="s">
        <v>608</v>
      </c>
      <c r="J2179" t="s">
        <v>608</v>
      </c>
      <c r="K2179" t="s">
        <v>604</v>
      </c>
    </row>
    <row r="2180" spans="1:11" x14ac:dyDescent="0.2">
      <c r="A2180" t="s">
        <v>989</v>
      </c>
      <c r="B2180" t="s">
        <v>961</v>
      </c>
      <c r="C2180">
        <v>32.49</v>
      </c>
      <c r="D2180">
        <v>26.44</v>
      </c>
      <c r="E2180">
        <v>12.9</v>
      </c>
      <c r="F2180">
        <v>7.79</v>
      </c>
      <c r="G2180">
        <v>5.84</v>
      </c>
      <c r="H2180" t="s">
        <v>608</v>
      </c>
      <c r="I2180" t="s">
        <v>608</v>
      </c>
      <c r="J2180" t="s">
        <v>608</v>
      </c>
      <c r="K2180" t="s">
        <v>604</v>
      </c>
    </row>
    <row r="2181" spans="1:11" x14ac:dyDescent="0.2">
      <c r="A2181" t="s">
        <v>990</v>
      </c>
      <c r="B2181" t="s">
        <v>961</v>
      </c>
      <c r="C2181">
        <v>24.08</v>
      </c>
      <c r="D2181">
        <v>14.71</v>
      </c>
      <c r="E2181">
        <v>16.55</v>
      </c>
      <c r="F2181">
        <v>4.6900000000000004</v>
      </c>
      <c r="G2181">
        <v>3.73</v>
      </c>
      <c r="H2181" t="s">
        <v>608</v>
      </c>
      <c r="I2181" t="s">
        <v>608</v>
      </c>
      <c r="J2181" t="s">
        <v>608</v>
      </c>
      <c r="K2181" t="s">
        <v>604</v>
      </c>
    </row>
    <row r="2182" spans="1:11" x14ac:dyDescent="0.2">
      <c r="A2182" t="s">
        <v>991</v>
      </c>
      <c r="B2182" t="s">
        <v>961</v>
      </c>
      <c r="C2182">
        <v>22.23</v>
      </c>
      <c r="D2182">
        <v>16.420000000000002</v>
      </c>
      <c r="E2182">
        <v>7.49</v>
      </c>
      <c r="F2182">
        <v>2.34</v>
      </c>
      <c r="G2182">
        <v>1.86</v>
      </c>
      <c r="H2182" t="s">
        <v>608</v>
      </c>
      <c r="I2182" t="s">
        <v>608</v>
      </c>
      <c r="J2182" t="s">
        <v>608</v>
      </c>
      <c r="K2182" t="s">
        <v>604</v>
      </c>
    </row>
    <row r="2183" spans="1:11" x14ac:dyDescent="0.2">
      <c r="A2183" t="s">
        <v>992</v>
      </c>
      <c r="B2183" t="s">
        <v>961</v>
      </c>
      <c r="C2183">
        <v>19.5</v>
      </c>
      <c r="D2183">
        <v>25.41</v>
      </c>
      <c r="E2183">
        <v>11.13</v>
      </c>
      <c r="F2183">
        <v>4.21</v>
      </c>
      <c r="G2183">
        <v>3.21</v>
      </c>
      <c r="H2183" t="s">
        <v>608</v>
      </c>
      <c r="I2183" t="s">
        <v>608</v>
      </c>
      <c r="J2183" t="s">
        <v>608</v>
      </c>
      <c r="K2183" t="s">
        <v>604</v>
      </c>
    </row>
    <row r="2184" spans="1:11" x14ac:dyDescent="0.2">
      <c r="A2184" t="s">
        <v>993</v>
      </c>
      <c r="B2184" t="s">
        <v>961</v>
      </c>
      <c r="C2184">
        <v>15.6</v>
      </c>
      <c r="D2184">
        <v>13.3</v>
      </c>
      <c r="E2184">
        <v>11.18</v>
      </c>
      <c r="F2184">
        <v>1.92</v>
      </c>
      <c r="G2184">
        <v>1.5</v>
      </c>
      <c r="H2184" t="s">
        <v>608</v>
      </c>
      <c r="I2184" t="s">
        <v>608</v>
      </c>
      <c r="J2184" t="s">
        <v>608</v>
      </c>
      <c r="K2184" t="s">
        <v>604</v>
      </c>
    </row>
    <row r="2185" spans="1:11" x14ac:dyDescent="0.2">
      <c r="A2185" t="s">
        <v>994</v>
      </c>
      <c r="B2185" t="s">
        <v>961</v>
      </c>
      <c r="C2185">
        <v>14.86</v>
      </c>
      <c r="D2185">
        <v>13.53</v>
      </c>
      <c r="E2185">
        <v>5.25</v>
      </c>
      <c r="F2185">
        <v>0.69</v>
      </c>
      <c r="G2185">
        <v>0.55000000000000004</v>
      </c>
      <c r="H2185" t="s">
        <v>608</v>
      </c>
      <c r="I2185" t="s">
        <v>608</v>
      </c>
      <c r="J2185" t="s">
        <v>635</v>
      </c>
      <c r="K2185" t="s">
        <v>604</v>
      </c>
    </row>
    <row r="2186" spans="1:11" x14ac:dyDescent="0.2">
      <c r="A2186" t="s">
        <v>995</v>
      </c>
      <c r="B2186" t="s">
        <v>961</v>
      </c>
      <c r="C2186">
        <v>8.26</v>
      </c>
      <c r="D2186">
        <v>6.7</v>
      </c>
      <c r="E2186">
        <v>3.74</v>
      </c>
      <c r="F2186">
        <v>0.11</v>
      </c>
      <c r="G2186">
        <v>0.11</v>
      </c>
      <c r="H2186" t="s">
        <v>608</v>
      </c>
      <c r="I2186" t="s">
        <v>608</v>
      </c>
      <c r="J2186" t="s">
        <v>635</v>
      </c>
      <c r="K2186" t="s">
        <v>604</v>
      </c>
    </row>
    <row r="2187" spans="1:11" x14ac:dyDescent="0.2">
      <c r="A2187" t="s">
        <v>3154</v>
      </c>
      <c r="B2187" t="s">
        <v>1529</v>
      </c>
      <c r="C2187">
        <v>29.29</v>
      </c>
      <c r="D2187" t="s">
        <v>608</v>
      </c>
      <c r="E2187" t="s">
        <v>608</v>
      </c>
      <c r="F2187">
        <v>14.38</v>
      </c>
      <c r="G2187">
        <v>10.35</v>
      </c>
      <c r="H2187">
        <v>2</v>
      </c>
      <c r="I2187">
        <v>2</v>
      </c>
      <c r="J2187" t="s">
        <v>608</v>
      </c>
      <c r="K2187" t="s">
        <v>910</v>
      </c>
    </row>
    <row r="2188" spans="1:11" x14ac:dyDescent="0.2">
      <c r="A2188" t="s">
        <v>3155</v>
      </c>
      <c r="B2188" t="s">
        <v>1529</v>
      </c>
      <c r="C2188">
        <v>44.88</v>
      </c>
      <c r="D2188" t="s">
        <v>608</v>
      </c>
      <c r="E2188" t="s">
        <v>608</v>
      </c>
      <c r="F2188">
        <v>26.34</v>
      </c>
      <c r="G2188">
        <v>19.22</v>
      </c>
      <c r="H2188">
        <v>0.5</v>
      </c>
      <c r="I2188">
        <v>0</v>
      </c>
      <c r="J2188" t="s">
        <v>608</v>
      </c>
      <c r="K2188" t="s">
        <v>910</v>
      </c>
    </row>
    <row r="2189" spans="1:11" x14ac:dyDescent="0.2">
      <c r="A2189" t="s">
        <v>3156</v>
      </c>
      <c r="B2189" t="s">
        <v>1529</v>
      </c>
      <c r="C2189">
        <v>46.37</v>
      </c>
      <c r="D2189" t="s">
        <v>608</v>
      </c>
      <c r="E2189" t="s">
        <v>608</v>
      </c>
      <c r="F2189">
        <v>12.01</v>
      </c>
      <c r="G2189">
        <v>8.52</v>
      </c>
      <c r="H2189">
        <v>0</v>
      </c>
      <c r="I2189">
        <v>0</v>
      </c>
      <c r="J2189" t="s">
        <v>608</v>
      </c>
      <c r="K2189" t="s">
        <v>910</v>
      </c>
    </row>
    <row r="2190" spans="1:11" x14ac:dyDescent="0.2">
      <c r="A2190" t="s">
        <v>3157</v>
      </c>
      <c r="B2190" t="s">
        <v>1529</v>
      </c>
      <c r="C2190">
        <v>56.57</v>
      </c>
      <c r="D2190" t="s">
        <v>608</v>
      </c>
      <c r="E2190" t="s">
        <v>608</v>
      </c>
      <c r="F2190">
        <v>28.28</v>
      </c>
      <c r="G2190">
        <v>21.48</v>
      </c>
      <c r="H2190">
        <v>0</v>
      </c>
      <c r="I2190">
        <v>0</v>
      </c>
      <c r="J2190" t="s">
        <v>608</v>
      </c>
      <c r="K2190" t="s">
        <v>910</v>
      </c>
    </row>
    <row r="2191" spans="1:11" x14ac:dyDescent="0.2">
      <c r="A2191" t="s">
        <v>3158</v>
      </c>
      <c r="B2191" t="s">
        <v>1529</v>
      </c>
      <c r="C2191">
        <v>48.72</v>
      </c>
      <c r="D2191" t="s">
        <v>608</v>
      </c>
      <c r="E2191" t="s">
        <v>608</v>
      </c>
      <c r="F2191">
        <v>24.69</v>
      </c>
      <c r="G2191">
        <v>17.43</v>
      </c>
      <c r="H2191">
        <v>0</v>
      </c>
      <c r="I2191">
        <v>0</v>
      </c>
      <c r="J2191" t="s">
        <v>608</v>
      </c>
      <c r="K2191" t="s">
        <v>910</v>
      </c>
    </row>
    <row r="2192" spans="1:11" x14ac:dyDescent="0.2">
      <c r="A2192" t="s">
        <v>3159</v>
      </c>
      <c r="B2192" t="s">
        <v>1531</v>
      </c>
      <c r="C2192">
        <v>43.57</v>
      </c>
      <c r="D2192" t="s">
        <v>608</v>
      </c>
      <c r="E2192" t="s">
        <v>608</v>
      </c>
      <c r="F2192">
        <v>17.440000000000001</v>
      </c>
      <c r="G2192">
        <v>12.59</v>
      </c>
      <c r="H2192">
        <v>0</v>
      </c>
      <c r="I2192">
        <v>0</v>
      </c>
      <c r="J2192" t="s">
        <v>608</v>
      </c>
      <c r="K2192" t="s">
        <v>910</v>
      </c>
    </row>
    <row r="2193" spans="1:11" x14ac:dyDescent="0.2">
      <c r="A2193" t="s">
        <v>3160</v>
      </c>
      <c r="B2193" t="s">
        <v>1531</v>
      </c>
      <c r="C2193">
        <v>41.02</v>
      </c>
      <c r="D2193" t="s">
        <v>608</v>
      </c>
      <c r="E2193" t="s">
        <v>608</v>
      </c>
      <c r="F2193">
        <v>12.91</v>
      </c>
      <c r="G2193">
        <v>9.9700000000000006</v>
      </c>
      <c r="H2193">
        <v>0</v>
      </c>
      <c r="I2193">
        <v>0</v>
      </c>
      <c r="J2193" t="s">
        <v>608</v>
      </c>
      <c r="K2193" t="s">
        <v>910</v>
      </c>
    </row>
    <row r="2194" spans="1:11" x14ac:dyDescent="0.2">
      <c r="A2194" t="s">
        <v>3161</v>
      </c>
      <c r="B2194" t="s">
        <v>1531</v>
      </c>
      <c r="C2194">
        <v>69.34</v>
      </c>
      <c r="D2194" t="s">
        <v>608</v>
      </c>
      <c r="E2194" t="s">
        <v>608</v>
      </c>
      <c r="F2194">
        <v>37.729999999999997</v>
      </c>
      <c r="G2194">
        <v>27.1</v>
      </c>
      <c r="H2194">
        <v>0</v>
      </c>
      <c r="I2194">
        <v>0</v>
      </c>
      <c r="J2194" t="s">
        <v>608</v>
      </c>
      <c r="K2194" t="s">
        <v>910</v>
      </c>
    </row>
    <row r="2195" spans="1:11" x14ac:dyDescent="0.2">
      <c r="A2195" t="s">
        <v>3162</v>
      </c>
      <c r="B2195" t="s">
        <v>1531</v>
      </c>
      <c r="C2195">
        <v>55.07</v>
      </c>
      <c r="D2195" t="s">
        <v>608</v>
      </c>
      <c r="E2195" t="s">
        <v>608</v>
      </c>
      <c r="F2195">
        <v>42.84</v>
      </c>
      <c r="G2195">
        <v>30.66</v>
      </c>
      <c r="H2195">
        <v>1</v>
      </c>
      <c r="I2195">
        <v>1</v>
      </c>
      <c r="J2195" t="s">
        <v>608</v>
      </c>
      <c r="K2195" t="s">
        <v>910</v>
      </c>
    </row>
    <row r="2196" spans="1:11" x14ac:dyDescent="0.2">
      <c r="A2196" t="s">
        <v>3163</v>
      </c>
      <c r="B2196" t="s">
        <v>1531</v>
      </c>
      <c r="C2196">
        <v>70.37</v>
      </c>
      <c r="D2196" t="s">
        <v>608</v>
      </c>
      <c r="E2196" t="s">
        <v>608</v>
      </c>
      <c r="F2196">
        <v>64.44</v>
      </c>
      <c r="G2196">
        <v>50.19</v>
      </c>
      <c r="H2196">
        <v>1</v>
      </c>
      <c r="I2196">
        <v>2</v>
      </c>
      <c r="J2196" t="s">
        <v>608</v>
      </c>
      <c r="K2196" t="s">
        <v>910</v>
      </c>
    </row>
    <row r="2197" spans="1:11" x14ac:dyDescent="0.2">
      <c r="A2197" t="s">
        <v>3164</v>
      </c>
      <c r="B2197" t="s">
        <v>1533</v>
      </c>
      <c r="C2197">
        <v>73.5</v>
      </c>
      <c r="D2197" t="s">
        <v>608</v>
      </c>
      <c r="E2197" t="s">
        <v>608</v>
      </c>
      <c r="F2197">
        <v>41.37</v>
      </c>
      <c r="G2197">
        <v>29.35</v>
      </c>
      <c r="H2197">
        <v>0.5</v>
      </c>
      <c r="I2197">
        <v>1</v>
      </c>
      <c r="J2197" t="s">
        <v>608</v>
      </c>
      <c r="K2197" t="s">
        <v>910</v>
      </c>
    </row>
    <row r="2198" spans="1:11" x14ac:dyDescent="0.2">
      <c r="A2198" t="s">
        <v>3165</v>
      </c>
      <c r="B2198" t="s">
        <v>1533</v>
      </c>
      <c r="C2198">
        <v>77.09</v>
      </c>
      <c r="D2198" t="s">
        <v>608</v>
      </c>
      <c r="E2198" t="s">
        <v>608</v>
      </c>
      <c r="F2198">
        <v>45.77</v>
      </c>
      <c r="G2198">
        <v>31.36</v>
      </c>
      <c r="H2198">
        <v>0</v>
      </c>
      <c r="I2198">
        <v>0</v>
      </c>
      <c r="J2198" t="s">
        <v>608</v>
      </c>
      <c r="K2198" t="s">
        <v>910</v>
      </c>
    </row>
    <row r="2199" spans="1:11" x14ac:dyDescent="0.2">
      <c r="A2199" t="s">
        <v>3166</v>
      </c>
      <c r="B2199" t="s">
        <v>1533</v>
      </c>
      <c r="C2199">
        <v>61.37</v>
      </c>
      <c r="D2199" t="s">
        <v>608</v>
      </c>
      <c r="E2199" t="s">
        <v>608</v>
      </c>
      <c r="F2199">
        <v>33.11</v>
      </c>
      <c r="G2199">
        <v>26.61</v>
      </c>
      <c r="H2199">
        <v>2</v>
      </c>
      <c r="I2199">
        <v>3</v>
      </c>
      <c r="J2199" t="s">
        <v>608</v>
      </c>
      <c r="K2199" t="s">
        <v>910</v>
      </c>
    </row>
    <row r="2200" spans="1:11" x14ac:dyDescent="0.2">
      <c r="A2200" t="s">
        <v>3167</v>
      </c>
      <c r="B2200" t="s">
        <v>1533</v>
      </c>
      <c r="C2200">
        <v>44.57</v>
      </c>
      <c r="D2200" t="s">
        <v>608</v>
      </c>
      <c r="E2200" t="s">
        <v>608</v>
      </c>
      <c r="F2200">
        <v>18.84</v>
      </c>
      <c r="G2200">
        <v>11.85</v>
      </c>
      <c r="H2200">
        <v>1</v>
      </c>
      <c r="I2200">
        <v>1</v>
      </c>
      <c r="J2200" t="s">
        <v>608</v>
      </c>
      <c r="K2200" t="s">
        <v>910</v>
      </c>
    </row>
    <row r="2201" spans="1:11" x14ac:dyDescent="0.2">
      <c r="A2201" t="s">
        <v>3168</v>
      </c>
      <c r="B2201" t="s">
        <v>1533</v>
      </c>
      <c r="C2201">
        <v>63.63</v>
      </c>
      <c r="D2201" t="s">
        <v>608</v>
      </c>
      <c r="E2201" t="s">
        <v>608</v>
      </c>
      <c r="F2201">
        <v>52.16</v>
      </c>
      <c r="G2201">
        <v>36.72</v>
      </c>
      <c r="H2201">
        <v>1</v>
      </c>
      <c r="I2201">
        <v>2</v>
      </c>
      <c r="J2201" t="s">
        <v>608</v>
      </c>
      <c r="K2201" t="s">
        <v>910</v>
      </c>
    </row>
    <row r="2202" spans="1:11" x14ac:dyDescent="0.2">
      <c r="A2202" t="s">
        <v>3169</v>
      </c>
      <c r="B2202" t="s">
        <v>1541</v>
      </c>
      <c r="C2202">
        <v>68.09</v>
      </c>
      <c r="D2202" t="s">
        <v>608</v>
      </c>
      <c r="E2202" t="s">
        <v>608</v>
      </c>
      <c r="F2202">
        <v>55.66</v>
      </c>
      <c r="G2202">
        <v>43.56</v>
      </c>
      <c r="H2202">
        <v>0.5</v>
      </c>
      <c r="I2202">
        <v>0.5</v>
      </c>
      <c r="J2202" t="s">
        <v>608</v>
      </c>
      <c r="K2202" t="s">
        <v>910</v>
      </c>
    </row>
    <row r="2203" spans="1:11" x14ac:dyDescent="0.2">
      <c r="A2203" t="s">
        <v>3170</v>
      </c>
      <c r="B2203" t="s">
        <v>1541</v>
      </c>
      <c r="C2203">
        <v>51.99</v>
      </c>
      <c r="D2203" t="s">
        <v>608</v>
      </c>
      <c r="E2203" t="s">
        <v>608</v>
      </c>
      <c r="F2203">
        <v>24.64</v>
      </c>
      <c r="G2203">
        <v>17.649999999999999</v>
      </c>
      <c r="H2203">
        <v>0.5</v>
      </c>
      <c r="I2203">
        <v>0</v>
      </c>
      <c r="J2203" t="s">
        <v>608</v>
      </c>
      <c r="K2203" t="s">
        <v>910</v>
      </c>
    </row>
    <row r="2204" spans="1:11" x14ac:dyDescent="0.2">
      <c r="A2204" t="s">
        <v>3171</v>
      </c>
      <c r="B2204" t="s">
        <v>1541</v>
      </c>
      <c r="C2204">
        <v>40.119999999999997</v>
      </c>
      <c r="D2204" t="s">
        <v>608</v>
      </c>
      <c r="E2204" t="s">
        <v>608</v>
      </c>
      <c r="F2204">
        <v>17.149999999999999</v>
      </c>
      <c r="G2204">
        <v>13</v>
      </c>
      <c r="H2204">
        <v>0.5</v>
      </c>
      <c r="I2204">
        <v>0</v>
      </c>
      <c r="J2204" t="s">
        <v>608</v>
      </c>
      <c r="K2204" t="s">
        <v>910</v>
      </c>
    </row>
    <row r="2205" spans="1:11" x14ac:dyDescent="0.2">
      <c r="A2205" t="s">
        <v>3172</v>
      </c>
      <c r="B2205" t="s">
        <v>1541</v>
      </c>
      <c r="C2205">
        <v>44.46</v>
      </c>
      <c r="D2205" t="s">
        <v>608</v>
      </c>
      <c r="E2205" t="s">
        <v>608</v>
      </c>
      <c r="F2205">
        <v>25.15</v>
      </c>
      <c r="G2205">
        <v>18.89</v>
      </c>
      <c r="H2205">
        <v>0</v>
      </c>
      <c r="I2205">
        <v>0</v>
      </c>
      <c r="J2205" t="s">
        <v>608</v>
      </c>
      <c r="K2205" t="s">
        <v>910</v>
      </c>
    </row>
    <row r="2206" spans="1:11" x14ac:dyDescent="0.2">
      <c r="A2206" t="s">
        <v>3173</v>
      </c>
      <c r="B2206" t="s">
        <v>1541</v>
      </c>
      <c r="C2206">
        <v>46.12</v>
      </c>
      <c r="D2206" t="s">
        <v>608</v>
      </c>
      <c r="E2206" t="s">
        <v>608</v>
      </c>
      <c r="F2206">
        <v>17.22</v>
      </c>
      <c r="G2206">
        <v>12.6</v>
      </c>
      <c r="H2206">
        <v>0</v>
      </c>
      <c r="I2206">
        <v>0</v>
      </c>
      <c r="J2206" t="s">
        <v>608</v>
      </c>
      <c r="K2206" t="s">
        <v>910</v>
      </c>
    </row>
    <row r="2207" spans="1:11" x14ac:dyDescent="0.2">
      <c r="A2207" t="s">
        <v>3174</v>
      </c>
      <c r="B2207" t="s">
        <v>1543</v>
      </c>
      <c r="C2207">
        <v>47.35</v>
      </c>
      <c r="D2207" t="s">
        <v>608</v>
      </c>
      <c r="E2207" t="s">
        <v>608</v>
      </c>
      <c r="F2207">
        <v>38.72</v>
      </c>
      <c r="G2207">
        <v>28.7</v>
      </c>
      <c r="H2207">
        <v>0</v>
      </c>
      <c r="I2207">
        <v>0.5</v>
      </c>
      <c r="J2207" t="s">
        <v>608</v>
      </c>
      <c r="K2207" t="s">
        <v>910</v>
      </c>
    </row>
    <row r="2208" spans="1:11" x14ac:dyDescent="0.2">
      <c r="A2208" t="s">
        <v>3175</v>
      </c>
      <c r="B2208" t="s">
        <v>1543</v>
      </c>
      <c r="C2208">
        <v>32.68</v>
      </c>
      <c r="D2208" t="s">
        <v>608</v>
      </c>
      <c r="E2208" t="s">
        <v>608</v>
      </c>
      <c r="F2208">
        <v>17.54</v>
      </c>
      <c r="G2208">
        <v>14.65</v>
      </c>
      <c r="H2208">
        <v>0</v>
      </c>
      <c r="I2208">
        <v>0</v>
      </c>
      <c r="J2208" t="s">
        <v>608</v>
      </c>
      <c r="K2208" t="s">
        <v>910</v>
      </c>
    </row>
    <row r="2209" spans="1:11" x14ac:dyDescent="0.2">
      <c r="A2209" t="s">
        <v>3176</v>
      </c>
      <c r="B2209" t="s">
        <v>1543</v>
      </c>
      <c r="C2209">
        <v>56.36</v>
      </c>
      <c r="D2209" t="s">
        <v>608</v>
      </c>
      <c r="E2209" t="s">
        <v>608</v>
      </c>
      <c r="F2209">
        <v>31.24</v>
      </c>
      <c r="G2209">
        <v>23.49</v>
      </c>
      <c r="H2209">
        <v>1</v>
      </c>
      <c r="I2209">
        <v>1</v>
      </c>
      <c r="J2209" t="s">
        <v>608</v>
      </c>
      <c r="K2209" t="s">
        <v>910</v>
      </c>
    </row>
    <row r="2210" spans="1:11" x14ac:dyDescent="0.2">
      <c r="A2210" t="s">
        <v>3177</v>
      </c>
      <c r="B2210" t="s">
        <v>1543</v>
      </c>
      <c r="C2210">
        <v>34.46</v>
      </c>
      <c r="D2210" t="s">
        <v>608</v>
      </c>
      <c r="E2210" t="s">
        <v>608</v>
      </c>
      <c r="F2210">
        <v>18.38</v>
      </c>
      <c r="G2210">
        <v>14.17</v>
      </c>
      <c r="H2210">
        <v>2</v>
      </c>
      <c r="I2210">
        <v>1</v>
      </c>
      <c r="J2210" t="s">
        <v>608</v>
      </c>
      <c r="K2210" t="s">
        <v>910</v>
      </c>
    </row>
    <row r="2211" spans="1:11" x14ac:dyDescent="0.2">
      <c r="A2211" t="s">
        <v>3178</v>
      </c>
      <c r="B2211" t="s">
        <v>1543</v>
      </c>
      <c r="C2211">
        <v>72.430000000000007</v>
      </c>
      <c r="D2211" t="s">
        <v>608</v>
      </c>
      <c r="E2211" t="s">
        <v>608</v>
      </c>
      <c r="F2211">
        <v>95.7</v>
      </c>
      <c r="G2211">
        <v>72.92</v>
      </c>
      <c r="H2211">
        <v>1</v>
      </c>
      <c r="I2211">
        <v>1</v>
      </c>
      <c r="J2211" t="s">
        <v>608</v>
      </c>
      <c r="K2211" t="s">
        <v>910</v>
      </c>
    </row>
    <row r="2212" spans="1:11" x14ac:dyDescent="0.2">
      <c r="A2212" t="s">
        <v>3179</v>
      </c>
      <c r="B2212" t="s">
        <v>1545</v>
      </c>
      <c r="C2212">
        <v>73.040000000000006</v>
      </c>
      <c r="D2212" t="s">
        <v>608</v>
      </c>
      <c r="E2212" t="s">
        <v>608</v>
      </c>
      <c r="F2212">
        <v>30.86</v>
      </c>
      <c r="G2212">
        <v>19</v>
      </c>
      <c r="H2212">
        <v>3</v>
      </c>
      <c r="I2212">
        <v>3</v>
      </c>
      <c r="J2212" t="s">
        <v>608</v>
      </c>
      <c r="K2212" t="s">
        <v>910</v>
      </c>
    </row>
    <row r="2213" spans="1:11" x14ac:dyDescent="0.2">
      <c r="A2213" t="s">
        <v>3180</v>
      </c>
      <c r="B2213" t="s">
        <v>1545</v>
      </c>
      <c r="C2213">
        <v>66.760000000000005</v>
      </c>
      <c r="D2213" t="s">
        <v>608</v>
      </c>
      <c r="E2213" t="s">
        <v>608</v>
      </c>
      <c r="F2213">
        <v>20.18</v>
      </c>
      <c r="G2213">
        <v>12.07</v>
      </c>
      <c r="H2213">
        <v>0</v>
      </c>
      <c r="I2213">
        <v>0</v>
      </c>
      <c r="J2213" t="s">
        <v>608</v>
      </c>
      <c r="K2213" t="s">
        <v>910</v>
      </c>
    </row>
    <row r="2214" spans="1:11" x14ac:dyDescent="0.2">
      <c r="A2214" t="s">
        <v>3181</v>
      </c>
      <c r="B2214" t="s">
        <v>1545</v>
      </c>
      <c r="C2214">
        <v>54.84</v>
      </c>
      <c r="D2214" t="s">
        <v>608</v>
      </c>
      <c r="E2214" t="s">
        <v>608</v>
      </c>
      <c r="F2214">
        <v>21.12</v>
      </c>
      <c r="G2214">
        <v>14.07</v>
      </c>
      <c r="H2214">
        <v>0</v>
      </c>
      <c r="I2214">
        <v>0</v>
      </c>
      <c r="J2214" t="s">
        <v>608</v>
      </c>
      <c r="K2214" t="s">
        <v>910</v>
      </c>
    </row>
    <row r="2215" spans="1:11" x14ac:dyDescent="0.2">
      <c r="A2215" t="s">
        <v>3182</v>
      </c>
      <c r="B2215" t="s">
        <v>1545</v>
      </c>
      <c r="C2215">
        <v>53.59</v>
      </c>
      <c r="D2215" t="s">
        <v>608</v>
      </c>
      <c r="E2215" t="s">
        <v>608</v>
      </c>
      <c r="F2215">
        <v>14.41</v>
      </c>
      <c r="G2215">
        <v>10.77</v>
      </c>
      <c r="H2215">
        <v>0</v>
      </c>
      <c r="I2215">
        <v>0</v>
      </c>
      <c r="J2215" t="s">
        <v>608</v>
      </c>
      <c r="K2215" t="s">
        <v>910</v>
      </c>
    </row>
    <row r="2216" spans="1:11" x14ac:dyDescent="0.2">
      <c r="A2216" t="s">
        <v>3183</v>
      </c>
      <c r="B2216" t="s">
        <v>1545</v>
      </c>
      <c r="C2216">
        <v>53.72</v>
      </c>
      <c r="D2216" t="s">
        <v>608</v>
      </c>
      <c r="E2216" t="s">
        <v>608</v>
      </c>
      <c r="F2216">
        <v>14.6</v>
      </c>
      <c r="G2216">
        <v>9.6199999999999992</v>
      </c>
      <c r="H2216">
        <v>3</v>
      </c>
      <c r="I2216">
        <v>3</v>
      </c>
      <c r="J2216" t="s">
        <v>608</v>
      </c>
      <c r="K2216" t="s">
        <v>910</v>
      </c>
    </row>
    <row r="2217" spans="1:11" x14ac:dyDescent="0.2">
      <c r="A2217" t="s">
        <v>3184</v>
      </c>
      <c r="B2217" t="s">
        <v>1553</v>
      </c>
      <c r="C2217">
        <v>42.28</v>
      </c>
      <c r="D2217" t="s">
        <v>608</v>
      </c>
      <c r="E2217" t="s">
        <v>608</v>
      </c>
      <c r="F2217">
        <v>17.7</v>
      </c>
      <c r="G2217">
        <v>13.37</v>
      </c>
      <c r="H2217">
        <v>0</v>
      </c>
      <c r="I2217">
        <v>1</v>
      </c>
      <c r="J2217" t="s">
        <v>608</v>
      </c>
      <c r="K2217" t="s">
        <v>910</v>
      </c>
    </row>
    <row r="2218" spans="1:11" x14ac:dyDescent="0.2">
      <c r="A2218" t="s">
        <v>3185</v>
      </c>
      <c r="B2218" t="s">
        <v>1553</v>
      </c>
      <c r="C2218">
        <v>66.72</v>
      </c>
      <c r="D2218" t="s">
        <v>608</v>
      </c>
      <c r="E2218" t="s">
        <v>608</v>
      </c>
      <c r="F2218">
        <v>72.13</v>
      </c>
      <c r="G2218">
        <v>52.29</v>
      </c>
      <c r="H2218">
        <v>0</v>
      </c>
      <c r="I2218">
        <v>0</v>
      </c>
      <c r="J2218" t="s">
        <v>608</v>
      </c>
      <c r="K2218" t="s">
        <v>910</v>
      </c>
    </row>
    <row r="2219" spans="1:11" x14ac:dyDescent="0.2">
      <c r="A2219" t="s">
        <v>3186</v>
      </c>
      <c r="B2219" t="s">
        <v>1553</v>
      </c>
      <c r="C2219">
        <v>58.78</v>
      </c>
      <c r="D2219" t="s">
        <v>608</v>
      </c>
      <c r="E2219" t="s">
        <v>608</v>
      </c>
      <c r="F2219">
        <v>46.69</v>
      </c>
      <c r="G2219">
        <v>32.119999999999997</v>
      </c>
      <c r="H2219">
        <v>0</v>
      </c>
      <c r="I2219">
        <v>0</v>
      </c>
      <c r="J2219" t="s">
        <v>608</v>
      </c>
      <c r="K2219" t="s">
        <v>910</v>
      </c>
    </row>
    <row r="2220" spans="1:11" x14ac:dyDescent="0.2">
      <c r="A2220" t="s">
        <v>3187</v>
      </c>
      <c r="B2220" t="s">
        <v>1553</v>
      </c>
      <c r="C2220">
        <v>47.9</v>
      </c>
      <c r="D2220" t="s">
        <v>608</v>
      </c>
      <c r="E2220" t="s">
        <v>608</v>
      </c>
      <c r="F2220">
        <v>25.17</v>
      </c>
      <c r="G2220">
        <v>19.3</v>
      </c>
      <c r="H2220">
        <v>1</v>
      </c>
      <c r="I2220">
        <v>1</v>
      </c>
      <c r="J2220" t="s">
        <v>608</v>
      </c>
      <c r="K2220" t="s">
        <v>910</v>
      </c>
    </row>
    <row r="2221" spans="1:11" x14ac:dyDescent="0.2">
      <c r="A2221" t="s">
        <v>3188</v>
      </c>
      <c r="B2221" t="s">
        <v>1553</v>
      </c>
      <c r="C2221">
        <v>46.64</v>
      </c>
      <c r="D2221" t="s">
        <v>608</v>
      </c>
      <c r="E2221" t="s">
        <v>608</v>
      </c>
      <c r="F2221">
        <v>21.9</v>
      </c>
      <c r="G2221">
        <v>16.23</v>
      </c>
      <c r="H2221">
        <v>0</v>
      </c>
      <c r="I2221">
        <v>0</v>
      </c>
      <c r="J2221" t="s">
        <v>608</v>
      </c>
      <c r="K2221" t="s">
        <v>910</v>
      </c>
    </row>
    <row r="2222" spans="1:11" x14ac:dyDescent="0.2">
      <c r="A2222" t="s">
        <v>3189</v>
      </c>
      <c r="B2222" t="s">
        <v>1555</v>
      </c>
      <c r="C2222">
        <v>63.68</v>
      </c>
      <c r="D2222" t="s">
        <v>608</v>
      </c>
      <c r="E2222" t="s">
        <v>608</v>
      </c>
      <c r="F2222">
        <v>53.24</v>
      </c>
      <c r="G2222">
        <v>39.89</v>
      </c>
      <c r="H2222">
        <v>4</v>
      </c>
      <c r="I2222">
        <v>3</v>
      </c>
      <c r="J2222" t="s">
        <v>608</v>
      </c>
      <c r="K2222" t="s">
        <v>910</v>
      </c>
    </row>
    <row r="2223" spans="1:11" x14ac:dyDescent="0.2">
      <c r="A2223" t="s">
        <v>3190</v>
      </c>
      <c r="B2223" t="s">
        <v>1555</v>
      </c>
      <c r="C2223">
        <v>54.22</v>
      </c>
      <c r="D2223" t="s">
        <v>608</v>
      </c>
      <c r="E2223" t="s">
        <v>608</v>
      </c>
      <c r="F2223">
        <v>39.35</v>
      </c>
      <c r="G2223">
        <v>29.69</v>
      </c>
      <c r="H2223">
        <v>2</v>
      </c>
      <c r="I2223">
        <v>1</v>
      </c>
      <c r="J2223" t="s">
        <v>608</v>
      </c>
      <c r="K2223" t="s">
        <v>910</v>
      </c>
    </row>
    <row r="2224" spans="1:11" x14ac:dyDescent="0.2">
      <c r="A2224" t="s">
        <v>3191</v>
      </c>
      <c r="B2224" t="s">
        <v>1555</v>
      </c>
      <c r="C2224">
        <v>51.21</v>
      </c>
      <c r="D2224" t="s">
        <v>608</v>
      </c>
      <c r="E2224" t="s">
        <v>608</v>
      </c>
      <c r="F2224">
        <v>33.21</v>
      </c>
      <c r="G2224">
        <v>24.61</v>
      </c>
      <c r="H2224">
        <v>2</v>
      </c>
      <c r="I2224">
        <v>1</v>
      </c>
      <c r="J2224" t="s">
        <v>608</v>
      </c>
      <c r="K2224" t="s">
        <v>910</v>
      </c>
    </row>
    <row r="2225" spans="1:11" x14ac:dyDescent="0.2">
      <c r="A2225" t="s">
        <v>3192</v>
      </c>
      <c r="B2225" t="s">
        <v>1555</v>
      </c>
      <c r="C2225">
        <v>44.1</v>
      </c>
      <c r="D2225" t="s">
        <v>608</v>
      </c>
      <c r="E2225" t="s">
        <v>608</v>
      </c>
      <c r="F2225">
        <v>41.45</v>
      </c>
      <c r="G2225">
        <v>30.71</v>
      </c>
      <c r="H2225">
        <v>2</v>
      </c>
      <c r="I2225">
        <v>2</v>
      </c>
      <c r="J2225" t="s">
        <v>608</v>
      </c>
      <c r="K2225" t="s">
        <v>910</v>
      </c>
    </row>
    <row r="2226" spans="1:11" x14ac:dyDescent="0.2">
      <c r="A2226" t="s">
        <v>3193</v>
      </c>
      <c r="B2226" t="s">
        <v>1555</v>
      </c>
      <c r="C2226">
        <v>56.73</v>
      </c>
      <c r="D2226" t="s">
        <v>608</v>
      </c>
      <c r="E2226" t="s">
        <v>608</v>
      </c>
      <c r="F2226">
        <v>36.65</v>
      </c>
      <c r="G2226">
        <v>25.91</v>
      </c>
      <c r="H2226">
        <v>0</v>
      </c>
      <c r="I2226">
        <v>0</v>
      </c>
      <c r="J2226" t="s">
        <v>608</v>
      </c>
      <c r="K2226" t="s">
        <v>910</v>
      </c>
    </row>
    <row r="2227" spans="1:11" x14ac:dyDescent="0.2">
      <c r="A2227" t="s">
        <v>3194</v>
      </c>
      <c r="B2227" t="s">
        <v>1557</v>
      </c>
      <c r="C2227">
        <v>71.989999999999995</v>
      </c>
      <c r="D2227" t="s">
        <v>608</v>
      </c>
      <c r="E2227" t="s">
        <v>608</v>
      </c>
      <c r="F2227">
        <v>38.869999999999997</v>
      </c>
      <c r="G2227">
        <v>27.4</v>
      </c>
      <c r="H2227">
        <v>0</v>
      </c>
      <c r="I2227">
        <v>0</v>
      </c>
      <c r="J2227" t="s">
        <v>608</v>
      </c>
      <c r="K2227" t="s">
        <v>910</v>
      </c>
    </row>
    <row r="2228" spans="1:11" x14ac:dyDescent="0.2">
      <c r="A2228" t="s">
        <v>3195</v>
      </c>
      <c r="B2228" t="s">
        <v>1557</v>
      </c>
      <c r="C2228">
        <v>68.7</v>
      </c>
      <c r="D2228" t="s">
        <v>608</v>
      </c>
      <c r="E2228" t="s">
        <v>608</v>
      </c>
      <c r="F2228">
        <v>73.7</v>
      </c>
      <c r="G2228">
        <v>51.39</v>
      </c>
      <c r="H2228">
        <v>0</v>
      </c>
      <c r="I2228">
        <v>0</v>
      </c>
      <c r="J2228" t="s">
        <v>3196</v>
      </c>
      <c r="K2228" t="s">
        <v>910</v>
      </c>
    </row>
    <row r="2229" spans="1:11" x14ac:dyDescent="0.2">
      <c r="A2229" t="s">
        <v>3197</v>
      </c>
      <c r="B2229" t="s">
        <v>1557</v>
      </c>
      <c r="C2229">
        <v>71.06</v>
      </c>
      <c r="D2229" t="s">
        <v>608</v>
      </c>
      <c r="E2229" t="s">
        <v>608</v>
      </c>
      <c r="F2229">
        <v>44.05</v>
      </c>
      <c r="G2229">
        <v>30.82</v>
      </c>
      <c r="H2229">
        <v>0.5</v>
      </c>
      <c r="I2229">
        <v>0</v>
      </c>
      <c r="J2229" t="s">
        <v>3198</v>
      </c>
      <c r="K2229" t="s">
        <v>910</v>
      </c>
    </row>
    <row r="2230" spans="1:11" x14ac:dyDescent="0.2">
      <c r="A2230" t="s">
        <v>3199</v>
      </c>
      <c r="B2230" t="s">
        <v>1557</v>
      </c>
      <c r="C2230">
        <v>73.62</v>
      </c>
      <c r="D2230" t="s">
        <v>608</v>
      </c>
      <c r="E2230" t="s">
        <v>608</v>
      </c>
      <c r="F2230">
        <v>47.16</v>
      </c>
      <c r="G2230">
        <v>31.67</v>
      </c>
      <c r="H2230">
        <v>1</v>
      </c>
      <c r="I2230">
        <v>1</v>
      </c>
      <c r="J2230" t="s">
        <v>608</v>
      </c>
      <c r="K2230" t="s">
        <v>910</v>
      </c>
    </row>
    <row r="2231" spans="1:11" x14ac:dyDescent="0.2">
      <c r="A2231" t="s">
        <v>3200</v>
      </c>
      <c r="B2231" t="s">
        <v>1557</v>
      </c>
      <c r="C2231">
        <v>81.99</v>
      </c>
      <c r="D2231" t="s">
        <v>608</v>
      </c>
      <c r="E2231" t="s">
        <v>608</v>
      </c>
      <c r="F2231">
        <v>94.12</v>
      </c>
      <c r="G2231">
        <v>64.930000000000007</v>
      </c>
      <c r="H2231">
        <v>1</v>
      </c>
      <c r="I2231">
        <v>1</v>
      </c>
      <c r="J2231" t="s">
        <v>608</v>
      </c>
      <c r="K2231" t="s">
        <v>910</v>
      </c>
    </row>
    <row r="2232" spans="1:11" x14ac:dyDescent="0.2">
      <c r="A2232" t="s">
        <v>1015</v>
      </c>
      <c r="B2232" t="s">
        <v>1016</v>
      </c>
      <c r="C2232">
        <v>43.65</v>
      </c>
      <c r="D2232" t="s">
        <v>608</v>
      </c>
      <c r="E2232" t="s">
        <v>608</v>
      </c>
      <c r="F2232">
        <v>14.03</v>
      </c>
      <c r="G2232">
        <v>10.96</v>
      </c>
      <c r="H2232">
        <v>0</v>
      </c>
      <c r="I2232">
        <v>0</v>
      </c>
      <c r="J2232" t="s">
        <v>608</v>
      </c>
      <c r="K2232" t="s">
        <v>604</v>
      </c>
    </row>
    <row r="2233" spans="1:11" x14ac:dyDescent="0.2">
      <c r="A2233" t="s">
        <v>1017</v>
      </c>
      <c r="B2233" t="s">
        <v>1016</v>
      </c>
      <c r="C2233">
        <v>51.89</v>
      </c>
      <c r="D2233" t="s">
        <v>608</v>
      </c>
      <c r="E2233" t="s">
        <v>608</v>
      </c>
      <c r="F2233">
        <v>20.43</v>
      </c>
      <c r="G2233">
        <v>14.55</v>
      </c>
      <c r="H2233">
        <v>0</v>
      </c>
      <c r="I2233">
        <v>0</v>
      </c>
      <c r="J2233" t="s">
        <v>608</v>
      </c>
      <c r="K2233" t="s">
        <v>604</v>
      </c>
    </row>
    <row r="2234" spans="1:11" x14ac:dyDescent="0.2">
      <c r="A2234" t="s">
        <v>1018</v>
      </c>
      <c r="B2234" t="s">
        <v>1016</v>
      </c>
      <c r="C2234">
        <v>49.73</v>
      </c>
      <c r="D2234" t="s">
        <v>608</v>
      </c>
      <c r="E2234" t="s">
        <v>608</v>
      </c>
      <c r="F2234">
        <v>21.03</v>
      </c>
      <c r="G2234">
        <v>14.9</v>
      </c>
      <c r="H2234">
        <v>0</v>
      </c>
      <c r="I2234">
        <v>0</v>
      </c>
      <c r="J2234" t="s">
        <v>608</v>
      </c>
      <c r="K2234" t="s">
        <v>604</v>
      </c>
    </row>
    <row r="2235" spans="1:11" x14ac:dyDescent="0.2">
      <c r="A2235" t="s">
        <v>1019</v>
      </c>
      <c r="B2235" t="s">
        <v>1016</v>
      </c>
      <c r="C2235">
        <v>61.2</v>
      </c>
      <c r="D2235" t="s">
        <v>608</v>
      </c>
      <c r="E2235" t="s">
        <v>608</v>
      </c>
      <c r="F2235">
        <v>28.65</v>
      </c>
      <c r="G2235">
        <v>19.899999999999999</v>
      </c>
      <c r="H2235">
        <v>0</v>
      </c>
      <c r="I2235">
        <v>0</v>
      </c>
      <c r="J2235" t="s">
        <v>608</v>
      </c>
      <c r="K2235" t="s">
        <v>604</v>
      </c>
    </row>
    <row r="2236" spans="1:11" x14ac:dyDescent="0.2">
      <c r="A2236" t="s">
        <v>1020</v>
      </c>
      <c r="B2236" t="s">
        <v>1016</v>
      </c>
      <c r="C2236">
        <v>32.020000000000003</v>
      </c>
      <c r="D2236" t="s">
        <v>608</v>
      </c>
      <c r="E2236" t="s">
        <v>608</v>
      </c>
      <c r="F2236">
        <v>9.2899999999999991</v>
      </c>
      <c r="G2236">
        <v>6.71</v>
      </c>
      <c r="H2236">
        <v>0</v>
      </c>
      <c r="I2236">
        <v>0</v>
      </c>
      <c r="J2236" t="s">
        <v>608</v>
      </c>
      <c r="K2236" t="s">
        <v>604</v>
      </c>
    </row>
    <row r="2237" spans="1:11" x14ac:dyDescent="0.2">
      <c r="A2237" t="s">
        <v>1021</v>
      </c>
      <c r="B2237" t="s">
        <v>1022</v>
      </c>
      <c r="C2237">
        <v>51.44</v>
      </c>
      <c r="D2237" t="s">
        <v>608</v>
      </c>
      <c r="E2237" t="s">
        <v>608</v>
      </c>
      <c r="F2237">
        <v>29.53</v>
      </c>
      <c r="G2237">
        <v>21.13</v>
      </c>
      <c r="H2237">
        <v>0</v>
      </c>
      <c r="I2237">
        <v>0</v>
      </c>
      <c r="J2237" t="s">
        <v>608</v>
      </c>
      <c r="K2237" t="s">
        <v>604</v>
      </c>
    </row>
    <row r="2238" spans="1:11" x14ac:dyDescent="0.2">
      <c r="A2238" t="s">
        <v>1023</v>
      </c>
      <c r="B2238" t="s">
        <v>1022</v>
      </c>
      <c r="C2238">
        <v>44.53</v>
      </c>
      <c r="D2238" t="s">
        <v>608</v>
      </c>
      <c r="E2238" t="s">
        <v>608</v>
      </c>
      <c r="F2238">
        <v>22.07</v>
      </c>
      <c r="G2238">
        <v>16.399999999999999</v>
      </c>
      <c r="H2238">
        <v>0</v>
      </c>
      <c r="I2238">
        <v>0</v>
      </c>
      <c r="J2238" t="s">
        <v>608</v>
      </c>
      <c r="K2238" t="s">
        <v>604</v>
      </c>
    </row>
    <row r="2239" spans="1:11" x14ac:dyDescent="0.2">
      <c r="A2239" t="s">
        <v>1024</v>
      </c>
      <c r="B2239" t="s">
        <v>1022</v>
      </c>
      <c r="C2239">
        <v>48.74</v>
      </c>
      <c r="D2239" t="s">
        <v>608</v>
      </c>
      <c r="E2239" t="s">
        <v>608</v>
      </c>
      <c r="F2239">
        <v>28.75</v>
      </c>
      <c r="G2239">
        <v>20.89</v>
      </c>
      <c r="H2239">
        <v>2</v>
      </c>
      <c r="I2239">
        <v>2</v>
      </c>
      <c r="J2239" t="s">
        <v>608</v>
      </c>
      <c r="K2239" t="s">
        <v>604</v>
      </c>
    </row>
    <row r="2240" spans="1:11" x14ac:dyDescent="0.2">
      <c r="A2240" t="s">
        <v>1025</v>
      </c>
      <c r="B2240" t="s">
        <v>1022</v>
      </c>
      <c r="C2240">
        <v>59.21</v>
      </c>
      <c r="D2240" t="s">
        <v>608</v>
      </c>
      <c r="E2240" t="s">
        <v>608</v>
      </c>
      <c r="F2240">
        <v>29.24</v>
      </c>
      <c r="G2240">
        <v>21.37</v>
      </c>
      <c r="H2240">
        <v>0.5</v>
      </c>
      <c r="I2240">
        <v>0</v>
      </c>
      <c r="J2240" t="s">
        <v>608</v>
      </c>
      <c r="K2240" t="s">
        <v>604</v>
      </c>
    </row>
    <row r="2241" spans="1:11" x14ac:dyDescent="0.2">
      <c r="A2241" t="s">
        <v>1026</v>
      </c>
      <c r="B2241" t="s">
        <v>1022</v>
      </c>
      <c r="C2241">
        <v>52.65</v>
      </c>
      <c r="D2241" t="s">
        <v>608</v>
      </c>
      <c r="E2241" t="s">
        <v>608</v>
      </c>
      <c r="F2241">
        <v>34.21</v>
      </c>
      <c r="G2241">
        <v>25.17</v>
      </c>
      <c r="H2241">
        <v>0.5</v>
      </c>
      <c r="I2241">
        <v>0.5</v>
      </c>
      <c r="J2241" t="s">
        <v>608</v>
      </c>
      <c r="K2241" t="s">
        <v>604</v>
      </c>
    </row>
    <row r="2242" spans="1:11" x14ac:dyDescent="0.2">
      <c r="A2242" t="s">
        <v>1027</v>
      </c>
      <c r="B2242" t="s">
        <v>1028</v>
      </c>
      <c r="C2242">
        <v>68.959999999999994</v>
      </c>
      <c r="D2242" t="s">
        <v>608</v>
      </c>
      <c r="E2242" t="s">
        <v>608</v>
      </c>
      <c r="F2242">
        <v>57.02</v>
      </c>
      <c r="G2242">
        <v>37.71</v>
      </c>
      <c r="H2242">
        <v>2</v>
      </c>
      <c r="I2242">
        <v>2</v>
      </c>
      <c r="J2242" t="s">
        <v>608</v>
      </c>
      <c r="K2242" t="s">
        <v>604</v>
      </c>
    </row>
    <row r="2243" spans="1:11" x14ac:dyDescent="0.2">
      <c r="A2243" t="s">
        <v>1029</v>
      </c>
      <c r="B2243" t="s">
        <v>1028</v>
      </c>
      <c r="C2243">
        <v>58.22</v>
      </c>
      <c r="D2243" t="s">
        <v>608</v>
      </c>
      <c r="E2243" t="s">
        <v>608</v>
      </c>
      <c r="F2243">
        <v>27.44</v>
      </c>
      <c r="G2243">
        <v>21.69</v>
      </c>
      <c r="H2243">
        <v>1</v>
      </c>
      <c r="I2243">
        <v>1</v>
      </c>
      <c r="J2243" t="s">
        <v>608</v>
      </c>
      <c r="K2243" t="s">
        <v>604</v>
      </c>
    </row>
    <row r="2244" spans="1:11" x14ac:dyDescent="0.2">
      <c r="A2244" t="s">
        <v>1030</v>
      </c>
      <c r="B2244" t="s">
        <v>1028</v>
      </c>
      <c r="C2244">
        <v>44.33</v>
      </c>
      <c r="D2244" t="s">
        <v>608</v>
      </c>
      <c r="E2244" t="s">
        <v>608</v>
      </c>
      <c r="F2244">
        <v>28.43</v>
      </c>
      <c r="G2244">
        <v>20.66</v>
      </c>
      <c r="H2244">
        <v>0</v>
      </c>
      <c r="I2244">
        <v>0</v>
      </c>
      <c r="J2244" t="s">
        <v>608</v>
      </c>
      <c r="K2244" t="s">
        <v>604</v>
      </c>
    </row>
    <row r="2245" spans="1:11" x14ac:dyDescent="0.2">
      <c r="A2245" t="s">
        <v>1031</v>
      </c>
      <c r="B2245" t="s">
        <v>1028</v>
      </c>
      <c r="C2245">
        <v>35.799999999999997</v>
      </c>
      <c r="D2245" t="s">
        <v>608</v>
      </c>
      <c r="E2245" t="s">
        <v>608</v>
      </c>
      <c r="F2245">
        <v>12.56</v>
      </c>
      <c r="G2245">
        <v>8.77</v>
      </c>
      <c r="H2245">
        <v>2</v>
      </c>
      <c r="I2245">
        <v>2</v>
      </c>
      <c r="J2245" t="s">
        <v>608</v>
      </c>
      <c r="K2245" t="s">
        <v>604</v>
      </c>
    </row>
    <row r="2246" spans="1:11" x14ac:dyDescent="0.2">
      <c r="A2246" t="s">
        <v>1032</v>
      </c>
      <c r="B2246" t="s">
        <v>1028</v>
      </c>
      <c r="C2246">
        <v>36.369999999999997</v>
      </c>
      <c r="D2246" t="s">
        <v>608</v>
      </c>
      <c r="E2246" t="s">
        <v>608</v>
      </c>
      <c r="F2246">
        <v>16.27</v>
      </c>
      <c r="G2246">
        <v>13.3</v>
      </c>
      <c r="H2246">
        <v>0</v>
      </c>
      <c r="I2246">
        <v>0</v>
      </c>
      <c r="J2246" t="s">
        <v>608</v>
      </c>
      <c r="K2246" t="s">
        <v>604</v>
      </c>
    </row>
    <row r="2247" spans="1:11" x14ac:dyDescent="0.2">
      <c r="A2247" t="s">
        <v>1033</v>
      </c>
      <c r="B2247" t="s">
        <v>1034</v>
      </c>
      <c r="C2247">
        <v>42.04</v>
      </c>
      <c r="D2247" t="s">
        <v>608</v>
      </c>
      <c r="E2247" t="s">
        <v>608</v>
      </c>
      <c r="F2247">
        <v>15.08</v>
      </c>
      <c r="G2247">
        <v>10.76</v>
      </c>
      <c r="H2247">
        <v>0</v>
      </c>
      <c r="I2247">
        <v>0</v>
      </c>
      <c r="J2247" t="s">
        <v>608</v>
      </c>
      <c r="K2247" t="s">
        <v>604</v>
      </c>
    </row>
    <row r="2248" spans="1:11" x14ac:dyDescent="0.2">
      <c r="A2248" t="s">
        <v>1035</v>
      </c>
      <c r="B2248" t="s">
        <v>1034</v>
      </c>
      <c r="C2248">
        <v>53.08</v>
      </c>
      <c r="D2248" t="s">
        <v>608</v>
      </c>
      <c r="E2248" t="s">
        <v>608</v>
      </c>
      <c r="F2248">
        <v>31.2</v>
      </c>
      <c r="G2248">
        <v>23.71</v>
      </c>
      <c r="H2248">
        <v>0</v>
      </c>
      <c r="I2248">
        <v>0</v>
      </c>
      <c r="J2248" t="s">
        <v>608</v>
      </c>
      <c r="K2248" t="s">
        <v>604</v>
      </c>
    </row>
    <row r="2249" spans="1:11" x14ac:dyDescent="0.2">
      <c r="A2249" t="s">
        <v>1036</v>
      </c>
      <c r="B2249" t="s">
        <v>1034</v>
      </c>
      <c r="C2249">
        <v>36.4</v>
      </c>
      <c r="D2249" t="s">
        <v>608</v>
      </c>
      <c r="E2249" t="s">
        <v>608</v>
      </c>
      <c r="F2249">
        <v>19.2</v>
      </c>
      <c r="G2249">
        <v>13.53</v>
      </c>
      <c r="H2249">
        <v>0.5</v>
      </c>
      <c r="I2249">
        <v>0</v>
      </c>
      <c r="J2249" t="s">
        <v>608</v>
      </c>
      <c r="K2249" t="s">
        <v>604</v>
      </c>
    </row>
    <row r="2250" spans="1:11" x14ac:dyDescent="0.2">
      <c r="A2250" t="s">
        <v>1037</v>
      </c>
      <c r="B2250" t="s">
        <v>1034</v>
      </c>
      <c r="C2250">
        <v>33.53</v>
      </c>
      <c r="D2250" t="s">
        <v>608</v>
      </c>
      <c r="E2250" t="s">
        <v>608</v>
      </c>
      <c r="F2250">
        <v>7.16</v>
      </c>
      <c r="G2250">
        <v>4.97</v>
      </c>
      <c r="H2250">
        <v>1</v>
      </c>
      <c r="I2250">
        <v>1</v>
      </c>
      <c r="J2250" t="s">
        <v>608</v>
      </c>
      <c r="K2250" t="s">
        <v>604</v>
      </c>
    </row>
    <row r="2251" spans="1:11" x14ac:dyDescent="0.2">
      <c r="A2251" t="s">
        <v>1038</v>
      </c>
      <c r="B2251" t="s">
        <v>1034</v>
      </c>
      <c r="C2251">
        <v>60.65</v>
      </c>
      <c r="D2251" t="s">
        <v>608</v>
      </c>
      <c r="E2251" t="s">
        <v>608</v>
      </c>
      <c r="F2251">
        <v>41.53</v>
      </c>
      <c r="G2251">
        <v>29.17</v>
      </c>
      <c r="H2251">
        <v>1</v>
      </c>
      <c r="I2251">
        <v>1</v>
      </c>
      <c r="J2251" t="s">
        <v>608</v>
      </c>
      <c r="K2251" t="s">
        <v>604</v>
      </c>
    </row>
    <row r="2252" spans="1:11" x14ac:dyDescent="0.2">
      <c r="A2252" t="s">
        <v>1039</v>
      </c>
      <c r="B2252" t="s">
        <v>1040</v>
      </c>
      <c r="C2252">
        <v>63.87</v>
      </c>
      <c r="D2252" t="s">
        <v>608</v>
      </c>
      <c r="E2252" t="s">
        <v>608</v>
      </c>
      <c r="F2252">
        <v>43.66</v>
      </c>
      <c r="G2252">
        <v>32.31</v>
      </c>
      <c r="H2252">
        <v>0</v>
      </c>
      <c r="I2252">
        <v>0</v>
      </c>
      <c r="J2252" t="s">
        <v>608</v>
      </c>
      <c r="K2252" t="s">
        <v>604</v>
      </c>
    </row>
    <row r="2253" spans="1:11" x14ac:dyDescent="0.2">
      <c r="A2253" t="s">
        <v>1041</v>
      </c>
      <c r="B2253" t="s">
        <v>1040</v>
      </c>
      <c r="C2253">
        <v>57.6</v>
      </c>
      <c r="D2253" t="s">
        <v>608</v>
      </c>
      <c r="E2253" t="s">
        <v>608</v>
      </c>
      <c r="F2253">
        <v>48.49</v>
      </c>
      <c r="G2253">
        <v>37.47</v>
      </c>
      <c r="H2253">
        <v>0.5</v>
      </c>
      <c r="I2253">
        <v>0</v>
      </c>
      <c r="J2253" t="s">
        <v>608</v>
      </c>
      <c r="K2253" t="s">
        <v>604</v>
      </c>
    </row>
    <row r="2254" spans="1:11" x14ac:dyDescent="0.2">
      <c r="A2254" t="s">
        <v>1042</v>
      </c>
      <c r="B2254" t="s">
        <v>1040</v>
      </c>
      <c r="C2254">
        <v>60.23</v>
      </c>
      <c r="D2254" t="s">
        <v>608</v>
      </c>
      <c r="E2254" t="s">
        <v>608</v>
      </c>
      <c r="F2254">
        <v>58.12</v>
      </c>
      <c r="G2254">
        <v>43.4</v>
      </c>
      <c r="H2254">
        <v>1</v>
      </c>
      <c r="I2254">
        <v>1</v>
      </c>
      <c r="J2254" t="s">
        <v>1043</v>
      </c>
      <c r="K2254" t="s">
        <v>604</v>
      </c>
    </row>
    <row r="2255" spans="1:11" x14ac:dyDescent="0.2">
      <c r="A2255" t="s">
        <v>1044</v>
      </c>
      <c r="B2255" t="s">
        <v>1040</v>
      </c>
      <c r="C2255">
        <v>53.65</v>
      </c>
      <c r="D2255" t="s">
        <v>608</v>
      </c>
      <c r="E2255" t="s">
        <v>608</v>
      </c>
      <c r="F2255">
        <v>36.97</v>
      </c>
      <c r="G2255">
        <v>27.24</v>
      </c>
      <c r="H2255">
        <v>0</v>
      </c>
      <c r="I2255">
        <v>0.5</v>
      </c>
      <c r="J2255" t="s">
        <v>608</v>
      </c>
      <c r="K2255" t="s">
        <v>604</v>
      </c>
    </row>
    <row r="2256" spans="1:11" x14ac:dyDescent="0.2">
      <c r="A2256" t="s">
        <v>1045</v>
      </c>
      <c r="B2256" t="s">
        <v>1040</v>
      </c>
      <c r="C2256">
        <v>59.28</v>
      </c>
      <c r="D2256" t="s">
        <v>608</v>
      </c>
      <c r="E2256" t="s">
        <v>608</v>
      </c>
      <c r="F2256">
        <v>55.82</v>
      </c>
      <c r="G2256">
        <v>37.75</v>
      </c>
      <c r="H2256">
        <v>0.5</v>
      </c>
      <c r="I2256">
        <v>1</v>
      </c>
      <c r="J2256" t="s">
        <v>608</v>
      </c>
      <c r="K2256" t="s">
        <v>604</v>
      </c>
    </row>
    <row r="2257" spans="1:11" x14ac:dyDescent="0.2">
      <c r="A2257" t="s">
        <v>1046</v>
      </c>
      <c r="B2257" t="s">
        <v>1047</v>
      </c>
      <c r="C2257">
        <v>49.5</v>
      </c>
      <c r="D2257" t="s">
        <v>608</v>
      </c>
      <c r="E2257" t="s">
        <v>608</v>
      </c>
      <c r="F2257">
        <v>37.9</v>
      </c>
      <c r="G2257">
        <v>26.09</v>
      </c>
      <c r="H2257">
        <v>1</v>
      </c>
      <c r="I2257">
        <v>0.5</v>
      </c>
      <c r="J2257" t="s">
        <v>608</v>
      </c>
      <c r="K2257" t="s">
        <v>604</v>
      </c>
    </row>
    <row r="2258" spans="1:11" x14ac:dyDescent="0.2">
      <c r="A2258" t="s">
        <v>1048</v>
      </c>
      <c r="B2258" t="s">
        <v>1047</v>
      </c>
      <c r="C2258">
        <v>39.619999999999997</v>
      </c>
      <c r="D2258" t="s">
        <v>608</v>
      </c>
      <c r="E2258" t="s">
        <v>608</v>
      </c>
      <c r="F2258">
        <v>14.65</v>
      </c>
      <c r="G2258">
        <v>10.61</v>
      </c>
      <c r="H2258">
        <v>0</v>
      </c>
      <c r="I2258">
        <v>0</v>
      </c>
      <c r="J2258" t="s">
        <v>608</v>
      </c>
      <c r="K2258" t="s">
        <v>604</v>
      </c>
    </row>
    <row r="2259" spans="1:11" x14ac:dyDescent="0.2">
      <c r="A2259" t="s">
        <v>1049</v>
      </c>
      <c r="B2259" t="s">
        <v>1047</v>
      </c>
      <c r="C2259">
        <v>58.7</v>
      </c>
      <c r="D2259" t="s">
        <v>608</v>
      </c>
      <c r="E2259" t="s">
        <v>608</v>
      </c>
      <c r="F2259">
        <v>18.28</v>
      </c>
      <c r="G2259">
        <v>13.16</v>
      </c>
      <c r="H2259">
        <v>0</v>
      </c>
      <c r="I2259">
        <v>0</v>
      </c>
      <c r="J2259" t="s">
        <v>608</v>
      </c>
      <c r="K2259" t="s">
        <v>604</v>
      </c>
    </row>
    <row r="2260" spans="1:11" x14ac:dyDescent="0.2">
      <c r="A2260" t="s">
        <v>1050</v>
      </c>
      <c r="B2260" t="s">
        <v>1047</v>
      </c>
      <c r="C2260">
        <v>49.45</v>
      </c>
      <c r="D2260" t="s">
        <v>608</v>
      </c>
      <c r="E2260" t="s">
        <v>608</v>
      </c>
      <c r="F2260">
        <v>19.45</v>
      </c>
      <c r="G2260">
        <v>15.07</v>
      </c>
      <c r="H2260">
        <v>2</v>
      </c>
      <c r="I2260">
        <v>2</v>
      </c>
      <c r="J2260" t="s">
        <v>608</v>
      </c>
      <c r="K2260" t="s">
        <v>604</v>
      </c>
    </row>
    <row r="2261" spans="1:11" x14ac:dyDescent="0.2">
      <c r="A2261" t="s">
        <v>1051</v>
      </c>
      <c r="B2261" t="s">
        <v>1047</v>
      </c>
      <c r="C2261">
        <v>54.29</v>
      </c>
      <c r="D2261" t="s">
        <v>608</v>
      </c>
      <c r="E2261" t="s">
        <v>608</v>
      </c>
      <c r="F2261">
        <v>15.14</v>
      </c>
      <c r="G2261">
        <v>11.17</v>
      </c>
      <c r="H2261">
        <v>0</v>
      </c>
      <c r="I2261">
        <v>0.5</v>
      </c>
      <c r="J2261" t="s">
        <v>608</v>
      </c>
      <c r="K2261" t="s">
        <v>604</v>
      </c>
    </row>
    <row r="2262" spans="1:11" x14ac:dyDescent="0.2">
      <c r="A2262" t="s">
        <v>3264</v>
      </c>
      <c r="B2262" t="s">
        <v>3217</v>
      </c>
      <c r="C2262">
        <v>55.64</v>
      </c>
      <c r="D2262" t="s">
        <v>608</v>
      </c>
      <c r="E2262" t="s">
        <v>608</v>
      </c>
      <c r="F2262">
        <v>47.25</v>
      </c>
      <c r="G2262">
        <v>36.06</v>
      </c>
      <c r="H2262">
        <v>0</v>
      </c>
      <c r="I2262">
        <v>0</v>
      </c>
      <c r="J2262" t="s">
        <v>608</v>
      </c>
      <c r="K2262" t="s">
        <v>604</v>
      </c>
    </row>
    <row r="2263" spans="1:11" x14ac:dyDescent="0.2">
      <c r="A2263" t="s">
        <v>3265</v>
      </c>
      <c r="B2263" t="s">
        <v>3217</v>
      </c>
      <c r="C2263">
        <v>57.68</v>
      </c>
      <c r="D2263" t="s">
        <v>608</v>
      </c>
      <c r="E2263" t="s">
        <v>608</v>
      </c>
      <c r="F2263">
        <v>31.85</v>
      </c>
      <c r="G2263">
        <v>21.69</v>
      </c>
      <c r="H2263">
        <v>2</v>
      </c>
      <c r="I2263">
        <v>2</v>
      </c>
      <c r="J2263" t="s">
        <v>608</v>
      </c>
      <c r="K2263" t="s">
        <v>604</v>
      </c>
    </row>
    <row r="2264" spans="1:11" x14ac:dyDescent="0.2">
      <c r="A2264" t="s">
        <v>3266</v>
      </c>
      <c r="B2264" t="s">
        <v>3217</v>
      </c>
      <c r="C2264">
        <v>60.64</v>
      </c>
      <c r="D2264" t="s">
        <v>608</v>
      </c>
      <c r="E2264" t="s">
        <v>608</v>
      </c>
      <c r="F2264">
        <v>51.92</v>
      </c>
      <c r="G2264">
        <v>40.520000000000003</v>
      </c>
      <c r="H2264">
        <v>1</v>
      </c>
      <c r="I2264">
        <v>1</v>
      </c>
      <c r="J2264" t="s">
        <v>277</v>
      </c>
      <c r="K2264" t="s">
        <v>604</v>
      </c>
    </row>
    <row r="2265" spans="1:11" x14ac:dyDescent="0.2">
      <c r="A2265" t="s">
        <v>3267</v>
      </c>
      <c r="B2265" t="s">
        <v>3217</v>
      </c>
      <c r="C2265">
        <v>46.01</v>
      </c>
      <c r="D2265" t="s">
        <v>608</v>
      </c>
      <c r="E2265" t="s">
        <v>608</v>
      </c>
      <c r="F2265">
        <v>29.64</v>
      </c>
      <c r="G2265">
        <v>20.41</v>
      </c>
      <c r="H2265">
        <v>0.5</v>
      </c>
      <c r="I2265">
        <v>1</v>
      </c>
      <c r="J2265" t="s">
        <v>608</v>
      </c>
      <c r="K2265" t="s">
        <v>604</v>
      </c>
    </row>
    <row r="2266" spans="1:11" x14ac:dyDescent="0.2">
      <c r="A2266" t="s">
        <v>3268</v>
      </c>
      <c r="B2266" t="s">
        <v>3217</v>
      </c>
      <c r="C2266">
        <v>62.15</v>
      </c>
      <c r="D2266" t="s">
        <v>608</v>
      </c>
      <c r="E2266" t="s">
        <v>608</v>
      </c>
      <c r="F2266">
        <v>40.700000000000003</v>
      </c>
      <c r="G2266">
        <v>29.95</v>
      </c>
      <c r="H2266">
        <v>1</v>
      </c>
      <c r="I2266">
        <v>1</v>
      </c>
      <c r="J2266" t="s">
        <v>608</v>
      </c>
      <c r="K2266" t="s">
        <v>604</v>
      </c>
    </row>
    <row r="2267" spans="1:11" x14ac:dyDescent="0.2">
      <c r="A2267" t="s">
        <v>3269</v>
      </c>
      <c r="B2267" t="s">
        <v>3219</v>
      </c>
      <c r="C2267">
        <v>67.849999999999994</v>
      </c>
      <c r="D2267" t="s">
        <v>608</v>
      </c>
      <c r="E2267" t="s">
        <v>608</v>
      </c>
      <c r="F2267">
        <v>63.13</v>
      </c>
      <c r="G2267">
        <v>49.14</v>
      </c>
      <c r="H2267">
        <v>0</v>
      </c>
      <c r="I2267">
        <v>0</v>
      </c>
      <c r="J2267" t="s">
        <v>608</v>
      </c>
      <c r="K2267" t="s">
        <v>604</v>
      </c>
    </row>
    <row r="2268" spans="1:11" x14ac:dyDescent="0.2">
      <c r="A2268" t="s">
        <v>3270</v>
      </c>
      <c r="B2268" t="s">
        <v>3219</v>
      </c>
      <c r="C2268">
        <v>76.819999999999993</v>
      </c>
      <c r="D2268" t="s">
        <v>608</v>
      </c>
      <c r="E2268" t="s">
        <v>608</v>
      </c>
      <c r="F2268">
        <v>85.05</v>
      </c>
      <c r="G2268">
        <v>68.38</v>
      </c>
      <c r="H2268">
        <v>1</v>
      </c>
      <c r="I2268">
        <v>2</v>
      </c>
      <c r="J2268" t="s">
        <v>608</v>
      </c>
      <c r="K2268" t="s">
        <v>604</v>
      </c>
    </row>
    <row r="2269" spans="1:11" x14ac:dyDescent="0.2">
      <c r="A2269" t="s">
        <v>3271</v>
      </c>
      <c r="B2269" t="s">
        <v>3219</v>
      </c>
      <c r="C2269">
        <v>64.55</v>
      </c>
      <c r="D2269" t="s">
        <v>608</v>
      </c>
      <c r="E2269" t="s">
        <v>608</v>
      </c>
      <c r="F2269">
        <v>63.5</v>
      </c>
      <c r="G2269">
        <v>51.68</v>
      </c>
      <c r="H2269">
        <v>0</v>
      </c>
      <c r="I2269">
        <v>0</v>
      </c>
      <c r="J2269" t="s">
        <v>608</v>
      </c>
      <c r="K2269" t="s">
        <v>604</v>
      </c>
    </row>
    <row r="2270" spans="1:11" x14ac:dyDescent="0.2">
      <c r="A2270" t="s">
        <v>3272</v>
      </c>
      <c r="B2270" t="s">
        <v>3219</v>
      </c>
      <c r="C2270">
        <v>59.82</v>
      </c>
      <c r="D2270" t="s">
        <v>608</v>
      </c>
      <c r="E2270" t="s">
        <v>608</v>
      </c>
      <c r="F2270">
        <v>45.49</v>
      </c>
      <c r="G2270">
        <v>35.18</v>
      </c>
      <c r="H2270">
        <v>0</v>
      </c>
      <c r="I2270">
        <v>0</v>
      </c>
      <c r="J2270" t="s">
        <v>608</v>
      </c>
      <c r="K2270" t="s">
        <v>604</v>
      </c>
    </row>
    <row r="2271" spans="1:11" x14ac:dyDescent="0.2">
      <c r="A2271" t="s">
        <v>3273</v>
      </c>
      <c r="B2271" t="s">
        <v>3219</v>
      </c>
      <c r="C2271">
        <v>48.51</v>
      </c>
      <c r="D2271" t="s">
        <v>608</v>
      </c>
      <c r="E2271" t="s">
        <v>608</v>
      </c>
      <c r="F2271">
        <v>29.92</v>
      </c>
      <c r="G2271">
        <v>22.03</v>
      </c>
      <c r="H2271">
        <v>0</v>
      </c>
      <c r="I2271">
        <v>0</v>
      </c>
      <c r="J2271" t="s">
        <v>608</v>
      </c>
      <c r="K2271" t="s">
        <v>604</v>
      </c>
    </row>
    <row r="2272" spans="1:11" x14ac:dyDescent="0.2">
      <c r="A2272" t="s">
        <v>3274</v>
      </c>
      <c r="B2272" t="s">
        <v>3221</v>
      </c>
      <c r="C2272">
        <v>59.01</v>
      </c>
      <c r="D2272" t="s">
        <v>608</v>
      </c>
      <c r="E2272" t="s">
        <v>608</v>
      </c>
      <c r="F2272">
        <v>41.28</v>
      </c>
      <c r="G2272">
        <v>31.04</v>
      </c>
      <c r="H2272">
        <v>1</v>
      </c>
      <c r="I2272">
        <v>1</v>
      </c>
      <c r="J2272" t="s">
        <v>608</v>
      </c>
      <c r="K2272" t="s">
        <v>604</v>
      </c>
    </row>
    <row r="2273" spans="1:11" x14ac:dyDescent="0.2">
      <c r="A2273" t="s">
        <v>3275</v>
      </c>
      <c r="B2273" t="s">
        <v>3221</v>
      </c>
      <c r="C2273">
        <v>40.28</v>
      </c>
      <c r="D2273" t="s">
        <v>608</v>
      </c>
      <c r="E2273" t="s">
        <v>608</v>
      </c>
      <c r="F2273">
        <v>41.07</v>
      </c>
      <c r="G2273">
        <v>31.28</v>
      </c>
      <c r="H2273">
        <v>0</v>
      </c>
      <c r="I2273">
        <v>0</v>
      </c>
      <c r="J2273" t="s">
        <v>608</v>
      </c>
      <c r="K2273" t="s">
        <v>604</v>
      </c>
    </row>
    <row r="2274" spans="1:11" x14ac:dyDescent="0.2">
      <c r="A2274" t="s">
        <v>3276</v>
      </c>
      <c r="B2274" t="s">
        <v>3221</v>
      </c>
      <c r="C2274">
        <v>50.58</v>
      </c>
      <c r="D2274" t="s">
        <v>608</v>
      </c>
      <c r="E2274" t="s">
        <v>608</v>
      </c>
      <c r="F2274">
        <v>22.73</v>
      </c>
      <c r="G2274">
        <v>16.899999999999999</v>
      </c>
      <c r="H2274">
        <v>0</v>
      </c>
      <c r="I2274">
        <v>0</v>
      </c>
      <c r="J2274" t="s">
        <v>608</v>
      </c>
      <c r="K2274" t="s">
        <v>604</v>
      </c>
    </row>
    <row r="2275" spans="1:11" x14ac:dyDescent="0.2">
      <c r="A2275" t="s">
        <v>3277</v>
      </c>
      <c r="B2275" t="s">
        <v>3221</v>
      </c>
      <c r="C2275">
        <v>40.020000000000003</v>
      </c>
      <c r="D2275" t="s">
        <v>608</v>
      </c>
      <c r="E2275" t="s">
        <v>608</v>
      </c>
      <c r="F2275">
        <v>11.33</v>
      </c>
      <c r="G2275">
        <v>8.5500000000000007</v>
      </c>
      <c r="H2275">
        <v>1</v>
      </c>
      <c r="I2275">
        <v>1</v>
      </c>
      <c r="J2275" t="s">
        <v>608</v>
      </c>
      <c r="K2275" t="s">
        <v>604</v>
      </c>
    </row>
    <row r="2276" spans="1:11" x14ac:dyDescent="0.2">
      <c r="A2276" t="s">
        <v>3278</v>
      </c>
      <c r="B2276" t="s">
        <v>3221</v>
      </c>
      <c r="C2276">
        <v>50.46</v>
      </c>
      <c r="D2276" t="s">
        <v>608</v>
      </c>
      <c r="E2276" t="s">
        <v>608</v>
      </c>
      <c r="F2276">
        <v>23.6</v>
      </c>
      <c r="G2276">
        <v>17.43</v>
      </c>
      <c r="H2276">
        <v>0</v>
      </c>
      <c r="I2276">
        <v>0</v>
      </c>
      <c r="J2276" t="s">
        <v>608</v>
      </c>
      <c r="K2276" t="s">
        <v>604</v>
      </c>
    </row>
    <row r="2277" spans="1:11" x14ac:dyDescent="0.2">
      <c r="A2277" t="s">
        <v>3279</v>
      </c>
      <c r="B2277" t="s">
        <v>3217</v>
      </c>
      <c r="C2277">
        <v>35.159999999999997</v>
      </c>
      <c r="D2277">
        <v>35.72</v>
      </c>
      <c r="E2277">
        <v>23.39</v>
      </c>
      <c r="F2277">
        <v>21.36</v>
      </c>
      <c r="G2277">
        <v>15.17</v>
      </c>
      <c r="H2277" t="s">
        <v>608</v>
      </c>
      <c r="I2277" t="s">
        <v>608</v>
      </c>
      <c r="J2277" t="s">
        <v>608</v>
      </c>
      <c r="K2277" t="s">
        <v>604</v>
      </c>
    </row>
    <row r="2278" spans="1:11" x14ac:dyDescent="0.2">
      <c r="A2278" t="s">
        <v>3280</v>
      </c>
      <c r="B2278" t="s">
        <v>3217</v>
      </c>
      <c r="C2278">
        <v>36.130000000000003</v>
      </c>
      <c r="D2278">
        <v>27.16</v>
      </c>
      <c r="E2278">
        <v>18.149999999999999</v>
      </c>
      <c r="F2278">
        <v>13.95</v>
      </c>
      <c r="G2278">
        <v>9.69</v>
      </c>
      <c r="H2278" t="s">
        <v>608</v>
      </c>
      <c r="I2278" t="s">
        <v>608</v>
      </c>
      <c r="J2278" t="s">
        <v>608</v>
      </c>
      <c r="K2278" t="s">
        <v>604</v>
      </c>
    </row>
    <row r="2279" spans="1:11" x14ac:dyDescent="0.2">
      <c r="A2279" t="s">
        <v>3281</v>
      </c>
      <c r="B2279" t="s">
        <v>3217</v>
      </c>
      <c r="C2279">
        <v>32.86</v>
      </c>
      <c r="D2279">
        <v>27.21</v>
      </c>
      <c r="E2279">
        <v>14.53</v>
      </c>
      <c r="F2279">
        <v>5.45</v>
      </c>
      <c r="G2279">
        <v>3.76</v>
      </c>
      <c r="H2279" t="s">
        <v>608</v>
      </c>
      <c r="I2279" t="s">
        <v>608</v>
      </c>
      <c r="J2279" t="s">
        <v>608</v>
      </c>
      <c r="K2279" t="s">
        <v>604</v>
      </c>
    </row>
    <row r="2280" spans="1:11" x14ac:dyDescent="0.2">
      <c r="A2280" t="s">
        <v>3282</v>
      </c>
      <c r="B2280" t="s">
        <v>3217</v>
      </c>
      <c r="C2280">
        <v>29.22</v>
      </c>
      <c r="D2280">
        <v>23.36</v>
      </c>
      <c r="E2280">
        <v>12.24</v>
      </c>
      <c r="F2280">
        <v>2.7</v>
      </c>
      <c r="G2280">
        <v>1.84</v>
      </c>
      <c r="H2280" t="s">
        <v>608</v>
      </c>
      <c r="I2280" t="s">
        <v>608</v>
      </c>
      <c r="J2280" t="s">
        <v>608</v>
      </c>
      <c r="K2280" t="s">
        <v>604</v>
      </c>
    </row>
    <row r="2281" spans="1:11" x14ac:dyDescent="0.2">
      <c r="A2281" t="s">
        <v>3283</v>
      </c>
      <c r="B2281" t="s">
        <v>3217</v>
      </c>
      <c r="C2281">
        <v>25.6</v>
      </c>
      <c r="D2281">
        <v>26.99</v>
      </c>
      <c r="E2281">
        <v>6.7</v>
      </c>
      <c r="F2281">
        <v>2.68</v>
      </c>
      <c r="G2281">
        <v>1.39</v>
      </c>
      <c r="H2281" t="s">
        <v>608</v>
      </c>
      <c r="I2281" t="s">
        <v>608</v>
      </c>
      <c r="J2281" t="s">
        <v>608</v>
      </c>
      <c r="K2281" t="s">
        <v>604</v>
      </c>
    </row>
    <row r="2282" spans="1:11" x14ac:dyDescent="0.2">
      <c r="A2282" t="s">
        <v>3284</v>
      </c>
      <c r="B2282" t="s">
        <v>3217</v>
      </c>
      <c r="C2282">
        <v>25.79</v>
      </c>
      <c r="D2282">
        <v>26.8</v>
      </c>
      <c r="E2282">
        <v>10.44</v>
      </c>
      <c r="F2282">
        <v>6.55</v>
      </c>
      <c r="G2282">
        <v>5.15</v>
      </c>
      <c r="H2282" t="s">
        <v>608</v>
      </c>
      <c r="I2282" t="s">
        <v>608</v>
      </c>
      <c r="J2282" t="s">
        <v>608</v>
      </c>
      <c r="K2282" t="s">
        <v>604</v>
      </c>
    </row>
    <row r="2283" spans="1:11" x14ac:dyDescent="0.2">
      <c r="A2283" t="s">
        <v>3285</v>
      </c>
      <c r="B2283" t="s">
        <v>3217</v>
      </c>
      <c r="C2283">
        <v>26.12</v>
      </c>
      <c r="D2283">
        <v>27.55</v>
      </c>
      <c r="E2283">
        <v>12.19</v>
      </c>
      <c r="F2283">
        <v>6.55</v>
      </c>
      <c r="G2283">
        <v>5.31</v>
      </c>
      <c r="H2283" t="s">
        <v>608</v>
      </c>
      <c r="I2283" t="s">
        <v>608</v>
      </c>
      <c r="J2283" t="s">
        <v>608</v>
      </c>
      <c r="K2283" t="s">
        <v>604</v>
      </c>
    </row>
    <row r="2284" spans="1:11" x14ac:dyDescent="0.2">
      <c r="A2284" t="s">
        <v>3286</v>
      </c>
      <c r="B2284" t="s">
        <v>3217</v>
      </c>
      <c r="C2284">
        <v>22.56</v>
      </c>
      <c r="D2284">
        <v>20.46</v>
      </c>
      <c r="E2284">
        <v>12.36</v>
      </c>
      <c r="F2284">
        <v>3.52</v>
      </c>
      <c r="G2284">
        <v>2.82</v>
      </c>
      <c r="H2284" t="s">
        <v>608</v>
      </c>
      <c r="I2284" t="s">
        <v>608</v>
      </c>
      <c r="J2284" t="s">
        <v>608</v>
      </c>
      <c r="K2284" t="s">
        <v>604</v>
      </c>
    </row>
    <row r="2285" spans="1:11" x14ac:dyDescent="0.2">
      <c r="A2285" t="s">
        <v>3287</v>
      </c>
      <c r="B2285" t="s">
        <v>3217</v>
      </c>
      <c r="C2285">
        <v>19.850000000000001</v>
      </c>
      <c r="D2285">
        <v>11.09</v>
      </c>
      <c r="E2285">
        <v>7.7</v>
      </c>
      <c r="F2285">
        <v>1.1499999999999999</v>
      </c>
      <c r="G2285">
        <v>0.78</v>
      </c>
      <c r="H2285" t="s">
        <v>608</v>
      </c>
      <c r="I2285" t="s">
        <v>608</v>
      </c>
      <c r="J2285" t="s">
        <v>608</v>
      </c>
      <c r="K2285" t="s">
        <v>604</v>
      </c>
    </row>
    <row r="2286" spans="1:11" x14ac:dyDescent="0.2">
      <c r="A2286" t="s">
        <v>3288</v>
      </c>
      <c r="B2286" t="s">
        <v>3217</v>
      </c>
      <c r="C2286">
        <v>17.95</v>
      </c>
      <c r="D2286">
        <v>17.79</v>
      </c>
      <c r="E2286">
        <v>12.7</v>
      </c>
      <c r="F2286">
        <v>2.3199999999999998</v>
      </c>
      <c r="G2286">
        <v>1.65</v>
      </c>
      <c r="H2286" t="s">
        <v>608</v>
      </c>
      <c r="I2286" t="s">
        <v>608</v>
      </c>
      <c r="J2286" t="s">
        <v>608</v>
      </c>
      <c r="K2286" t="s">
        <v>604</v>
      </c>
    </row>
    <row r="2287" spans="1:11" x14ac:dyDescent="0.2">
      <c r="A2287" t="s">
        <v>3289</v>
      </c>
      <c r="B2287" t="s">
        <v>3217</v>
      </c>
      <c r="C2287">
        <v>16.53</v>
      </c>
      <c r="D2287">
        <v>9.5399999999999991</v>
      </c>
      <c r="E2287">
        <v>6.36</v>
      </c>
      <c r="F2287">
        <v>1.18</v>
      </c>
      <c r="G2287">
        <v>0.88</v>
      </c>
      <c r="H2287" t="s">
        <v>608</v>
      </c>
      <c r="I2287" t="s">
        <v>608</v>
      </c>
      <c r="J2287" t="s">
        <v>635</v>
      </c>
      <c r="K2287" t="s">
        <v>604</v>
      </c>
    </row>
    <row r="2288" spans="1:11" x14ac:dyDescent="0.2">
      <c r="A2288" t="s">
        <v>3290</v>
      </c>
      <c r="B2288" t="s">
        <v>3217</v>
      </c>
      <c r="C2288">
        <v>14.51</v>
      </c>
      <c r="D2288">
        <v>14.22</v>
      </c>
      <c r="E2288">
        <v>8.1300000000000008</v>
      </c>
      <c r="F2288">
        <v>1.0900000000000001</v>
      </c>
      <c r="G2288">
        <v>0.86</v>
      </c>
      <c r="H2288" t="s">
        <v>608</v>
      </c>
      <c r="I2288" t="s">
        <v>608</v>
      </c>
      <c r="J2288" t="s">
        <v>608</v>
      </c>
      <c r="K2288" t="s">
        <v>604</v>
      </c>
    </row>
    <row r="2289" spans="1:11" x14ac:dyDescent="0.2">
      <c r="A2289" t="s">
        <v>3291</v>
      </c>
      <c r="B2289" t="s">
        <v>3217</v>
      </c>
      <c r="C2289">
        <v>9.06</v>
      </c>
      <c r="D2289">
        <v>8.1</v>
      </c>
      <c r="E2289">
        <v>6.88</v>
      </c>
      <c r="F2289">
        <v>0.28000000000000003</v>
      </c>
      <c r="G2289">
        <v>0.19</v>
      </c>
      <c r="H2289" t="s">
        <v>608</v>
      </c>
      <c r="I2289" t="s">
        <v>608</v>
      </c>
      <c r="J2289" t="s">
        <v>635</v>
      </c>
      <c r="K2289" t="s">
        <v>604</v>
      </c>
    </row>
    <row r="2290" spans="1:11" x14ac:dyDescent="0.2">
      <c r="A2290" t="s">
        <v>3292</v>
      </c>
      <c r="B2290" t="s">
        <v>3219</v>
      </c>
      <c r="C2290">
        <v>35.869999999999997</v>
      </c>
      <c r="D2290">
        <v>23.16</v>
      </c>
      <c r="E2290">
        <v>15.32</v>
      </c>
      <c r="F2290">
        <v>10.7</v>
      </c>
      <c r="G2290">
        <v>8.64</v>
      </c>
      <c r="H2290" t="s">
        <v>608</v>
      </c>
      <c r="I2290" t="s">
        <v>608</v>
      </c>
      <c r="J2290" t="s">
        <v>608</v>
      </c>
      <c r="K2290" t="s">
        <v>604</v>
      </c>
    </row>
    <row r="2291" spans="1:11" x14ac:dyDescent="0.2">
      <c r="A2291" t="s">
        <v>3293</v>
      </c>
      <c r="B2291" t="s">
        <v>3219</v>
      </c>
      <c r="C2291">
        <v>35.409999999999997</v>
      </c>
      <c r="D2291">
        <v>29.01</v>
      </c>
      <c r="E2291">
        <v>9.7200000000000006</v>
      </c>
      <c r="F2291">
        <v>8.0500000000000007</v>
      </c>
      <c r="G2291">
        <v>6.24</v>
      </c>
      <c r="H2291" t="s">
        <v>608</v>
      </c>
      <c r="I2291" t="s">
        <v>608</v>
      </c>
      <c r="J2291" t="s">
        <v>608</v>
      </c>
      <c r="K2291" t="s">
        <v>604</v>
      </c>
    </row>
    <row r="2292" spans="1:11" x14ac:dyDescent="0.2">
      <c r="A2292" t="s">
        <v>3294</v>
      </c>
      <c r="B2292" t="s">
        <v>3219</v>
      </c>
      <c r="C2292">
        <v>33.42</v>
      </c>
      <c r="D2292">
        <v>16.7</v>
      </c>
      <c r="E2292">
        <v>9.48</v>
      </c>
      <c r="F2292">
        <v>4.7</v>
      </c>
      <c r="G2292">
        <v>3.34</v>
      </c>
      <c r="H2292" t="s">
        <v>608</v>
      </c>
      <c r="I2292" t="s">
        <v>608</v>
      </c>
      <c r="J2292" t="s">
        <v>608</v>
      </c>
      <c r="K2292" t="s">
        <v>604</v>
      </c>
    </row>
    <row r="2293" spans="1:11" x14ac:dyDescent="0.2">
      <c r="A2293" t="s">
        <v>3295</v>
      </c>
      <c r="B2293" t="s">
        <v>3219</v>
      </c>
      <c r="C2293">
        <v>25.81</v>
      </c>
      <c r="D2293">
        <v>15.58</v>
      </c>
      <c r="E2293">
        <v>5.09</v>
      </c>
      <c r="F2293">
        <v>1.32</v>
      </c>
      <c r="G2293">
        <v>0.92</v>
      </c>
      <c r="H2293" t="s">
        <v>608</v>
      </c>
      <c r="I2293" t="s">
        <v>608</v>
      </c>
      <c r="J2293" t="s">
        <v>608</v>
      </c>
      <c r="K2293" t="s">
        <v>604</v>
      </c>
    </row>
    <row r="2294" spans="1:11" x14ac:dyDescent="0.2">
      <c r="A2294" t="s">
        <v>3296</v>
      </c>
      <c r="B2294" t="s">
        <v>3219</v>
      </c>
      <c r="C2294">
        <v>24.98</v>
      </c>
      <c r="D2294">
        <v>23.14</v>
      </c>
      <c r="E2294">
        <v>8.3699999999999992</v>
      </c>
      <c r="F2294">
        <v>2.7</v>
      </c>
      <c r="G2294">
        <v>2</v>
      </c>
      <c r="H2294" t="s">
        <v>608</v>
      </c>
      <c r="I2294" t="s">
        <v>608</v>
      </c>
      <c r="J2294" t="s">
        <v>608</v>
      </c>
      <c r="K2294" t="s">
        <v>604</v>
      </c>
    </row>
    <row r="2295" spans="1:11" x14ac:dyDescent="0.2">
      <c r="A2295" t="s">
        <v>3297</v>
      </c>
      <c r="B2295" t="s">
        <v>3219</v>
      </c>
      <c r="C2295">
        <v>22.6</v>
      </c>
      <c r="D2295">
        <v>19.760000000000002</v>
      </c>
      <c r="E2295">
        <v>10.75</v>
      </c>
      <c r="F2295">
        <v>2.59</v>
      </c>
      <c r="G2295">
        <v>1.83</v>
      </c>
      <c r="H2295" t="s">
        <v>608</v>
      </c>
      <c r="I2295" t="s">
        <v>608</v>
      </c>
      <c r="J2295" t="s">
        <v>608</v>
      </c>
      <c r="K2295" t="s">
        <v>604</v>
      </c>
    </row>
    <row r="2296" spans="1:11" x14ac:dyDescent="0.2">
      <c r="A2296" t="s">
        <v>3298</v>
      </c>
      <c r="B2296" t="s">
        <v>3219</v>
      </c>
      <c r="C2296">
        <v>22.7</v>
      </c>
      <c r="D2296">
        <v>14</v>
      </c>
      <c r="E2296">
        <v>10.59</v>
      </c>
      <c r="F2296">
        <v>2.5499999999999998</v>
      </c>
      <c r="G2296">
        <v>1.8</v>
      </c>
      <c r="H2296" t="s">
        <v>608</v>
      </c>
      <c r="I2296" t="s">
        <v>608</v>
      </c>
      <c r="J2296" t="s">
        <v>608</v>
      </c>
      <c r="K2296" t="s">
        <v>604</v>
      </c>
    </row>
    <row r="2297" spans="1:11" x14ac:dyDescent="0.2">
      <c r="A2297" t="s">
        <v>3299</v>
      </c>
      <c r="B2297" t="s">
        <v>3219</v>
      </c>
      <c r="C2297">
        <v>17.7</v>
      </c>
      <c r="D2297">
        <v>14.92</v>
      </c>
      <c r="E2297">
        <v>10.06</v>
      </c>
      <c r="F2297">
        <v>1.74</v>
      </c>
      <c r="G2297">
        <v>1.24</v>
      </c>
      <c r="H2297" t="s">
        <v>608</v>
      </c>
      <c r="I2297" t="s">
        <v>608</v>
      </c>
      <c r="J2297" t="s">
        <v>608</v>
      </c>
      <c r="K2297" t="s">
        <v>604</v>
      </c>
    </row>
    <row r="2298" spans="1:11" x14ac:dyDescent="0.2">
      <c r="A2298" t="s">
        <v>3300</v>
      </c>
      <c r="B2298" t="s">
        <v>3219</v>
      </c>
      <c r="C2298">
        <v>19.45</v>
      </c>
      <c r="D2298">
        <v>10.73</v>
      </c>
      <c r="E2298">
        <v>7.34</v>
      </c>
      <c r="F2298">
        <v>0.61</v>
      </c>
      <c r="G2298">
        <v>0.35</v>
      </c>
      <c r="H2298" t="s">
        <v>608</v>
      </c>
      <c r="I2298" t="s">
        <v>608</v>
      </c>
      <c r="J2298" t="s">
        <v>635</v>
      </c>
      <c r="K2298" t="s">
        <v>604</v>
      </c>
    </row>
    <row r="2299" spans="1:11" x14ac:dyDescent="0.2">
      <c r="A2299" t="s">
        <v>3301</v>
      </c>
      <c r="B2299" t="s">
        <v>3219</v>
      </c>
      <c r="C2299">
        <v>18.77</v>
      </c>
      <c r="D2299">
        <v>12.94</v>
      </c>
      <c r="E2299">
        <v>6.15</v>
      </c>
      <c r="F2299">
        <v>0.71</v>
      </c>
      <c r="G2299">
        <v>0.48</v>
      </c>
      <c r="H2299" t="s">
        <v>608</v>
      </c>
      <c r="I2299" t="s">
        <v>608</v>
      </c>
      <c r="J2299" t="s">
        <v>635</v>
      </c>
      <c r="K2299" t="s">
        <v>604</v>
      </c>
    </row>
    <row r="2300" spans="1:11" x14ac:dyDescent="0.2">
      <c r="A2300" t="s">
        <v>3302</v>
      </c>
      <c r="B2300" t="s">
        <v>3221</v>
      </c>
      <c r="C2300">
        <v>37.1</v>
      </c>
      <c r="D2300">
        <v>27.73</v>
      </c>
      <c r="E2300">
        <v>16.39</v>
      </c>
      <c r="F2300">
        <v>10.97</v>
      </c>
      <c r="G2300">
        <v>7.93</v>
      </c>
      <c r="H2300" t="s">
        <v>608</v>
      </c>
      <c r="I2300" t="s">
        <v>608</v>
      </c>
      <c r="J2300" t="s">
        <v>608</v>
      </c>
      <c r="K2300" t="s">
        <v>604</v>
      </c>
    </row>
    <row r="2301" spans="1:11" x14ac:dyDescent="0.2">
      <c r="A2301" t="s">
        <v>3303</v>
      </c>
      <c r="B2301" t="s">
        <v>3221</v>
      </c>
      <c r="C2301">
        <v>28.62</v>
      </c>
      <c r="D2301">
        <v>21.9</v>
      </c>
      <c r="E2301">
        <v>15.49</v>
      </c>
      <c r="F2301">
        <v>11.62</v>
      </c>
      <c r="G2301">
        <v>9.4700000000000006</v>
      </c>
      <c r="H2301" t="s">
        <v>608</v>
      </c>
      <c r="I2301" t="s">
        <v>608</v>
      </c>
      <c r="J2301" t="s">
        <v>608</v>
      </c>
      <c r="K2301" t="s">
        <v>604</v>
      </c>
    </row>
    <row r="2302" spans="1:11" x14ac:dyDescent="0.2">
      <c r="A2302" t="s">
        <v>3304</v>
      </c>
      <c r="B2302" t="s">
        <v>3221</v>
      </c>
      <c r="C2302">
        <v>29.54</v>
      </c>
      <c r="D2302">
        <v>19.7</v>
      </c>
      <c r="E2302">
        <v>13.21</v>
      </c>
      <c r="F2302">
        <v>5.59</v>
      </c>
      <c r="G2302">
        <v>4.1900000000000004</v>
      </c>
      <c r="H2302" t="s">
        <v>608</v>
      </c>
      <c r="I2302" t="s">
        <v>608</v>
      </c>
      <c r="J2302" t="s">
        <v>608</v>
      </c>
      <c r="K2302" t="s">
        <v>604</v>
      </c>
    </row>
    <row r="2303" spans="1:11" x14ac:dyDescent="0.2">
      <c r="A2303" t="s">
        <v>3305</v>
      </c>
      <c r="B2303" t="s">
        <v>3221</v>
      </c>
      <c r="C2303">
        <v>27.77</v>
      </c>
      <c r="D2303">
        <v>24.01</v>
      </c>
      <c r="E2303">
        <v>8.68</v>
      </c>
      <c r="F2303">
        <v>5.16</v>
      </c>
      <c r="G2303">
        <v>3.83</v>
      </c>
      <c r="H2303" t="s">
        <v>608</v>
      </c>
      <c r="I2303" t="s">
        <v>608</v>
      </c>
      <c r="J2303" t="s">
        <v>608</v>
      </c>
      <c r="K2303" t="s">
        <v>604</v>
      </c>
    </row>
    <row r="2304" spans="1:11" x14ac:dyDescent="0.2">
      <c r="A2304" t="s">
        <v>3306</v>
      </c>
      <c r="B2304" t="s">
        <v>3221</v>
      </c>
      <c r="C2304">
        <v>28.36</v>
      </c>
      <c r="D2304">
        <v>16.7</v>
      </c>
      <c r="E2304">
        <v>11.45</v>
      </c>
      <c r="F2304">
        <v>3.19</v>
      </c>
      <c r="G2304">
        <v>2.25</v>
      </c>
      <c r="H2304" t="s">
        <v>608</v>
      </c>
      <c r="I2304" t="s">
        <v>608</v>
      </c>
      <c r="J2304" t="s">
        <v>608</v>
      </c>
      <c r="K2304" t="s">
        <v>604</v>
      </c>
    </row>
    <row r="2305" spans="1:11" x14ac:dyDescent="0.2">
      <c r="A2305" t="s">
        <v>3307</v>
      </c>
      <c r="B2305" t="s">
        <v>3221</v>
      </c>
      <c r="C2305">
        <v>24.99</v>
      </c>
      <c r="D2305">
        <v>15.78</v>
      </c>
      <c r="E2305">
        <v>10.49</v>
      </c>
      <c r="F2305">
        <v>2.54</v>
      </c>
      <c r="G2305">
        <v>1.92</v>
      </c>
      <c r="H2305" t="s">
        <v>608</v>
      </c>
      <c r="I2305" t="s">
        <v>608</v>
      </c>
      <c r="J2305" t="s">
        <v>608</v>
      </c>
      <c r="K2305" t="s">
        <v>604</v>
      </c>
    </row>
    <row r="2306" spans="1:11" x14ac:dyDescent="0.2">
      <c r="A2306" t="s">
        <v>3308</v>
      </c>
      <c r="B2306" t="s">
        <v>3221</v>
      </c>
      <c r="C2306">
        <v>23.84</v>
      </c>
      <c r="D2306">
        <v>21.83</v>
      </c>
      <c r="E2306">
        <v>7.39</v>
      </c>
      <c r="F2306">
        <v>3.35</v>
      </c>
      <c r="G2306">
        <v>2.2999999999999998</v>
      </c>
      <c r="H2306" t="s">
        <v>608</v>
      </c>
      <c r="I2306" t="s">
        <v>608</v>
      </c>
      <c r="J2306" t="s">
        <v>608</v>
      </c>
      <c r="K2306" t="s">
        <v>604</v>
      </c>
    </row>
    <row r="2307" spans="1:11" x14ac:dyDescent="0.2">
      <c r="A2307" t="s">
        <v>3309</v>
      </c>
      <c r="B2307" t="s">
        <v>3221</v>
      </c>
      <c r="C2307">
        <v>20.41</v>
      </c>
      <c r="D2307">
        <v>18.38</v>
      </c>
      <c r="E2307">
        <v>7.41</v>
      </c>
      <c r="F2307">
        <v>1.93</v>
      </c>
      <c r="G2307">
        <v>1.42</v>
      </c>
      <c r="H2307" t="s">
        <v>608</v>
      </c>
      <c r="I2307" t="s">
        <v>608</v>
      </c>
      <c r="J2307" t="s">
        <v>608</v>
      </c>
      <c r="K2307" t="s">
        <v>604</v>
      </c>
    </row>
    <row r="2308" spans="1:11" x14ac:dyDescent="0.2">
      <c r="A2308" t="s">
        <v>3310</v>
      </c>
      <c r="B2308" t="s">
        <v>3221</v>
      </c>
      <c r="C2308">
        <v>24.05</v>
      </c>
      <c r="D2308">
        <v>14.15</v>
      </c>
      <c r="E2308">
        <v>9.5399999999999991</v>
      </c>
      <c r="F2308">
        <v>2.13</v>
      </c>
      <c r="G2308">
        <v>1.53</v>
      </c>
      <c r="H2308" t="s">
        <v>608</v>
      </c>
      <c r="I2308" t="s">
        <v>608</v>
      </c>
      <c r="J2308" t="s">
        <v>608</v>
      </c>
      <c r="K2308" t="s">
        <v>604</v>
      </c>
    </row>
    <row r="2309" spans="1:11" x14ac:dyDescent="0.2">
      <c r="A2309" t="s">
        <v>3311</v>
      </c>
      <c r="B2309" t="s">
        <v>3221</v>
      </c>
      <c r="C2309">
        <v>24.52</v>
      </c>
      <c r="D2309">
        <v>20.149999999999999</v>
      </c>
      <c r="E2309">
        <v>6.52</v>
      </c>
      <c r="F2309">
        <v>1.77</v>
      </c>
      <c r="G2309">
        <v>1.34</v>
      </c>
      <c r="H2309" t="s">
        <v>608</v>
      </c>
      <c r="I2309" t="s">
        <v>608</v>
      </c>
      <c r="J2309" t="s">
        <v>608</v>
      </c>
      <c r="K2309" t="s">
        <v>604</v>
      </c>
    </row>
    <row r="2310" spans="1:11" x14ac:dyDescent="0.2">
      <c r="A2310" t="s">
        <v>3312</v>
      </c>
      <c r="B2310" t="s">
        <v>3221</v>
      </c>
      <c r="C2310">
        <v>18.399999999999999</v>
      </c>
      <c r="D2310">
        <v>15.48</v>
      </c>
      <c r="E2310">
        <v>9.18</v>
      </c>
      <c r="F2310">
        <v>1.92</v>
      </c>
      <c r="G2310">
        <v>1.39</v>
      </c>
      <c r="H2310" t="s">
        <v>608</v>
      </c>
      <c r="I2310" t="s">
        <v>608</v>
      </c>
      <c r="J2310" t="s">
        <v>608</v>
      </c>
      <c r="K2310" t="s">
        <v>604</v>
      </c>
    </row>
    <row r="2311" spans="1:11" x14ac:dyDescent="0.2">
      <c r="A2311" t="s">
        <v>3313</v>
      </c>
      <c r="B2311" t="s">
        <v>3221</v>
      </c>
      <c r="C2311">
        <v>15.79</v>
      </c>
      <c r="D2311">
        <v>9.89</v>
      </c>
      <c r="E2311">
        <v>6.56</v>
      </c>
      <c r="F2311">
        <v>1.06</v>
      </c>
      <c r="G2311">
        <v>0.78</v>
      </c>
      <c r="H2311" t="s">
        <v>608</v>
      </c>
      <c r="I2311" t="s">
        <v>608</v>
      </c>
      <c r="J2311" t="s">
        <v>635</v>
      </c>
      <c r="K2311" t="s">
        <v>604</v>
      </c>
    </row>
    <row r="2312" spans="1:11" x14ac:dyDescent="0.2">
      <c r="A2312" t="s">
        <v>3314</v>
      </c>
      <c r="B2312" t="s">
        <v>3229</v>
      </c>
      <c r="C2312">
        <v>53.21</v>
      </c>
      <c r="D2312" t="s">
        <v>608</v>
      </c>
      <c r="E2312" t="s">
        <v>608</v>
      </c>
      <c r="F2312">
        <v>41.31</v>
      </c>
      <c r="G2312">
        <v>30.23</v>
      </c>
      <c r="H2312">
        <v>1</v>
      </c>
      <c r="I2312">
        <v>1</v>
      </c>
      <c r="J2312" t="s">
        <v>3315</v>
      </c>
      <c r="K2312" t="s">
        <v>604</v>
      </c>
    </row>
    <row r="2313" spans="1:11" x14ac:dyDescent="0.2">
      <c r="A2313" t="s">
        <v>3316</v>
      </c>
      <c r="B2313" t="s">
        <v>3229</v>
      </c>
      <c r="C2313">
        <v>59.04</v>
      </c>
      <c r="D2313" t="s">
        <v>608</v>
      </c>
      <c r="E2313" t="s">
        <v>608</v>
      </c>
      <c r="F2313">
        <v>31.4</v>
      </c>
      <c r="G2313">
        <v>23.21</v>
      </c>
      <c r="H2313">
        <v>0</v>
      </c>
      <c r="I2313">
        <v>0</v>
      </c>
      <c r="J2313" t="s">
        <v>608</v>
      </c>
      <c r="K2313" t="s">
        <v>604</v>
      </c>
    </row>
    <row r="2314" spans="1:11" x14ac:dyDescent="0.2">
      <c r="A2314" t="s">
        <v>3317</v>
      </c>
      <c r="B2314" t="s">
        <v>3229</v>
      </c>
      <c r="C2314">
        <v>44.21</v>
      </c>
      <c r="D2314" t="s">
        <v>608</v>
      </c>
      <c r="E2314" t="s">
        <v>608</v>
      </c>
      <c r="F2314">
        <v>22.47</v>
      </c>
      <c r="G2314">
        <v>17.47</v>
      </c>
      <c r="H2314">
        <v>0.5</v>
      </c>
      <c r="I2314">
        <v>0.5</v>
      </c>
      <c r="J2314" t="s">
        <v>608</v>
      </c>
      <c r="K2314" t="s">
        <v>604</v>
      </c>
    </row>
    <row r="2315" spans="1:11" x14ac:dyDescent="0.2">
      <c r="A2315" t="s">
        <v>3318</v>
      </c>
      <c r="B2315" t="s">
        <v>3229</v>
      </c>
      <c r="C2315">
        <v>45.55</v>
      </c>
      <c r="D2315" t="s">
        <v>608</v>
      </c>
      <c r="E2315" t="s">
        <v>608</v>
      </c>
      <c r="F2315">
        <v>22.51</v>
      </c>
      <c r="G2315">
        <v>16.079999999999998</v>
      </c>
      <c r="H2315">
        <v>0</v>
      </c>
      <c r="I2315">
        <v>0</v>
      </c>
      <c r="J2315" t="s">
        <v>608</v>
      </c>
      <c r="K2315" t="s">
        <v>604</v>
      </c>
    </row>
    <row r="2316" spans="1:11" x14ac:dyDescent="0.2">
      <c r="A2316" t="s">
        <v>3319</v>
      </c>
      <c r="B2316" t="s">
        <v>3229</v>
      </c>
      <c r="C2316">
        <v>50.11</v>
      </c>
      <c r="D2316" t="s">
        <v>608</v>
      </c>
      <c r="E2316" t="s">
        <v>608</v>
      </c>
      <c r="F2316">
        <v>35.35</v>
      </c>
      <c r="G2316">
        <v>27.56</v>
      </c>
      <c r="H2316">
        <v>0.5</v>
      </c>
      <c r="I2316">
        <v>0.5</v>
      </c>
      <c r="J2316" t="s">
        <v>608</v>
      </c>
      <c r="K2316" t="s">
        <v>604</v>
      </c>
    </row>
    <row r="2317" spans="1:11" x14ac:dyDescent="0.2">
      <c r="A2317" t="s">
        <v>3320</v>
      </c>
      <c r="B2317" t="s">
        <v>3231</v>
      </c>
      <c r="C2317">
        <v>85.81</v>
      </c>
      <c r="D2317" t="s">
        <v>608</v>
      </c>
      <c r="E2317" t="s">
        <v>608</v>
      </c>
      <c r="F2317">
        <v>58.58</v>
      </c>
      <c r="G2317">
        <v>39.9</v>
      </c>
      <c r="H2317">
        <v>0</v>
      </c>
      <c r="I2317">
        <v>0</v>
      </c>
      <c r="J2317" t="s">
        <v>608</v>
      </c>
      <c r="K2317" t="s">
        <v>604</v>
      </c>
    </row>
    <row r="2318" spans="1:11" x14ac:dyDescent="0.2">
      <c r="A2318" t="s">
        <v>3321</v>
      </c>
      <c r="B2318" t="s">
        <v>3231</v>
      </c>
      <c r="C2318">
        <v>60.72</v>
      </c>
      <c r="D2318" t="s">
        <v>608</v>
      </c>
      <c r="E2318" t="s">
        <v>608</v>
      </c>
      <c r="F2318">
        <v>52.72</v>
      </c>
      <c r="G2318">
        <v>43.81</v>
      </c>
      <c r="H2318">
        <v>0</v>
      </c>
      <c r="I2318">
        <v>0</v>
      </c>
      <c r="J2318" t="s">
        <v>608</v>
      </c>
      <c r="K2318" t="s">
        <v>604</v>
      </c>
    </row>
    <row r="2319" spans="1:11" x14ac:dyDescent="0.2">
      <c r="A2319" t="s">
        <v>3322</v>
      </c>
      <c r="B2319" t="s">
        <v>3231</v>
      </c>
      <c r="C2319">
        <v>59.36</v>
      </c>
      <c r="D2319" t="s">
        <v>608</v>
      </c>
      <c r="E2319" t="s">
        <v>608</v>
      </c>
      <c r="F2319">
        <v>49.02</v>
      </c>
      <c r="G2319">
        <v>38.14</v>
      </c>
      <c r="H2319">
        <v>0</v>
      </c>
      <c r="I2319">
        <v>0</v>
      </c>
      <c r="J2319" t="s">
        <v>608</v>
      </c>
      <c r="K2319" t="s">
        <v>604</v>
      </c>
    </row>
    <row r="2320" spans="1:11" x14ac:dyDescent="0.2">
      <c r="A2320" t="s">
        <v>3323</v>
      </c>
      <c r="B2320" t="s">
        <v>3231</v>
      </c>
      <c r="C2320">
        <v>67.849999999999994</v>
      </c>
      <c r="D2320" t="s">
        <v>608</v>
      </c>
      <c r="E2320" t="s">
        <v>608</v>
      </c>
      <c r="F2320">
        <v>40.15</v>
      </c>
      <c r="G2320">
        <v>28.17</v>
      </c>
      <c r="H2320">
        <v>0</v>
      </c>
      <c r="I2320">
        <v>0</v>
      </c>
      <c r="J2320" t="s">
        <v>608</v>
      </c>
      <c r="K2320" t="s">
        <v>604</v>
      </c>
    </row>
    <row r="2321" spans="1:11" x14ac:dyDescent="0.2">
      <c r="A2321" t="s">
        <v>3324</v>
      </c>
      <c r="B2321" t="s">
        <v>3231</v>
      </c>
      <c r="C2321">
        <v>73.8</v>
      </c>
      <c r="D2321" t="s">
        <v>608</v>
      </c>
      <c r="E2321" t="s">
        <v>608</v>
      </c>
      <c r="F2321">
        <v>58.11</v>
      </c>
      <c r="G2321">
        <v>43.28</v>
      </c>
      <c r="H2321">
        <v>0</v>
      </c>
      <c r="I2321">
        <v>0</v>
      </c>
      <c r="J2321" t="s">
        <v>608</v>
      </c>
      <c r="K2321" t="s">
        <v>604</v>
      </c>
    </row>
    <row r="2322" spans="1:11" x14ac:dyDescent="0.2">
      <c r="A2322" t="s">
        <v>3325</v>
      </c>
      <c r="B2322" t="s">
        <v>3233</v>
      </c>
      <c r="C2322">
        <v>63.96</v>
      </c>
      <c r="D2322" t="s">
        <v>608</v>
      </c>
      <c r="E2322" t="s">
        <v>608</v>
      </c>
      <c r="F2322">
        <v>40.86</v>
      </c>
      <c r="G2322">
        <v>32.590000000000003</v>
      </c>
      <c r="H2322">
        <v>0.5</v>
      </c>
      <c r="I2322">
        <v>0.5</v>
      </c>
      <c r="J2322" t="s">
        <v>608</v>
      </c>
      <c r="K2322" t="s">
        <v>604</v>
      </c>
    </row>
    <row r="2323" spans="1:11" x14ac:dyDescent="0.2">
      <c r="A2323" t="s">
        <v>3326</v>
      </c>
      <c r="B2323" t="s">
        <v>3233</v>
      </c>
      <c r="C2323">
        <v>58.48</v>
      </c>
      <c r="D2323" t="s">
        <v>608</v>
      </c>
      <c r="E2323" t="s">
        <v>608</v>
      </c>
      <c r="F2323">
        <v>34.03</v>
      </c>
      <c r="G2323">
        <v>25.07</v>
      </c>
      <c r="H2323">
        <v>0</v>
      </c>
      <c r="I2323">
        <v>0</v>
      </c>
      <c r="J2323" t="s">
        <v>3327</v>
      </c>
      <c r="K2323" t="s">
        <v>604</v>
      </c>
    </row>
    <row r="2324" spans="1:11" x14ac:dyDescent="0.2">
      <c r="A2324" t="s">
        <v>3328</v>
      </c>
      <c r="B2324" t="s">
        <v>3233</v>
      </c>
      <c r="C2324">
        <v>47.04</v>
      </c>
      <c r="D2324" t="s">
        <v>608</v>
      </c>
      <c r="E2324" t="s">
        <v>608</v>
      </c>
      <c r="F2324">
        <v>28.02</v>
      </c>
      <c r="G2324">
        <v>23.09</v>
      </c>
      <c r="H2324">
        <v>0.5</v>
      </c>
      <c r="I2324">
        <v>0.5</v>
      </c>
      <c r="J2324" t="s">
        <v>608</v>
      </c>
      <c r="K2324" t="s">
        <v>604</v>
      </c>
    </row>
    <row r="2325" spans="1:11" x14ac:dyDescent="0.2">
      <c r="A2325" t="s">
        <v>3329</v>
      </c>
      <c r="B2325" t="s">
        <v>3233</v>
      </c>
      <c r="C2325">
        <v>57.75</v>
      </c>
      <c r="D2325" t="s">
        <v>608</v>
      </c>
      <c r="E2325" t="s">
        <v>608</v>
      </c>
      <c r="F2325">
        <v>19.649999999999999</v>
      </c>
      <c r="G2325">
        <v>13.89</v>
      </c>
      <c r="H2325">
        <v>0</v>
      </c>
      <c r="I2325">
        <v>0</v>
      </c>
      <c r="J2325" t="s">
        <v>608</v>
      </c>
      <c r="K2325" t="s">
        <v>604</v>
      </c>
    </row>
    <row r="2326" spans="1:11" x14ac:dyDescent="0.2">
      <c r="A2326" t="s">
        <v>3330</v>
      </c>
      <c r="B2326" t="s">
        <v>3233</v>
      </c>
      <c r="C2326">
        <v>59.05</v>
      </c>
      <c r="D2326" t="s">
        <v>608</v>
      </c>
      <c r="E2326" t="s">
        <v>608</v>
      </c>
      <c r="F2326">
        <v>35.950000000000003</v>
      </c>
      <c r="G2326">
        <v>26.63</v>
      </c>
      <c r="H2326">
        <v>0</v>
      </c>
      <c r="I2326">
        <v>0</v>
      </c>
      <c r="J2326" t="s">
        <v>608</v>
      </c>
      <c r="K2326" t="s">
        <v>604</v>
      </c>
    </row>
    <row r="2327" spans="1:11" x14ac:dyDescent="0.2">
      <c r="A2327" t="s">
        <v>3331</v>
      </c>
      <c r="B2327" t="s">
        <v>3229</v>
      </c>
      <c r="C2327">
        <v>40.840000000000003</v>
      </c>
      <c r="D2327">
        <v>24.26</v>
      </c>
      <c r="E2327">
        <v>11.97</v>
      </c>
      <c r="F2327">
        <v>9.39</v>
      </c>
      <c r="G2327">
        <v>6.94</v>
      </c>
      <c r="H2327" t="s">
        <v>608</v>
      </c>
      <c r="I2327" t="s">
        <v>608</v>
      </c>
      <c r="J2327" t="s">
        <v>3332</v>
      </c>
      <c r="K2327" t="s">
        <v>604</v>
      </c>
    </row>
    <row r="2328" spans="1:11" x14ac:dyDescent="0.2">
      <c r="A2328" t="s">
        <v>3333</v>
      </c>
      <c r="B2328" t="s">
        <v>3229</v>
      </c>
      <c r="C2328">
        <v>30.8</v>
      </c>
      <c r="D2328">
        <v>19.55</v>
      </c>
      <c r="E2328">
        <v>14.53</v>
      </c>
      <c r="F2328">
        <v>6.51</v>
      </c>
      <c r="G2328">
        <v>4.59</v>
      </c>
      <c r="H2328" t="s">
        <v>608</v>
      </c>
      <c r="I2328" t="s">
        <v>608</v>
      </c>
      <c r="J2328" t="s">
        <v>3332</v>
      </c>
      <c r="K2328" t="s">
        <v>604</v>
      </c>
    </row>
    <row r="2329" spans="1:11" x14ac:dyDescent="0.2">
      <c r="A2329" t="s">
        <v>3334</v>
      </c>
      <c r="B2329" t="s">
        <v>3229</v>
      </c>
      <c r="C2329">
        <v>22.91</v>
      </c>
      <c r="D2329">
        <v>19.63</v>
      </c>
      <c r="E2329">
        <v>12.53</v>
      </c>
      <c r="F2329">
        <v>3.08</v>
      </c>
      <c r="G2329">
        <v>2</v>
      </c>
      <c r="H2329" t="s">
        <v>608</v>
      </c>
      <c r="I2329" t="s">
        <v>608</v>
      </c>
      <c r="J2329" t="s">
        <v>3332</v>
      </c>
      <c r="K2329" t="s">
        <v>604</v>
      </c>
    </row>
    <row r="2330" spans="1:11" x14ac:dyDescent="0.2">
      <c r="A2330" t="s">
        <v>3335</v>
      </c>
      <c r="B2330" t="s">
        <v>3229</v>
      </c>
      <c r="C2330">
        <v>25.49</v>
      </c>
      <c r="D2330">
        <v>19.3</v>
      </c>
      <c r="E2330">
        <v>9.65</v>
      </c>
      <c r="F2330">
        <v>3.41</v>
      </c>
      <c r="G2330">
        <v>2.4900000000000002</v>
      </c>
      <c r="H2330" t="s">
        <v>608</v>
      </c>
      <c r="I2330" t="s">
        <v>608</v>
      </c>
      <c r="J2330" t="s">
        <v>3332</v>
      </c>
      <c r="K2330" t="s">
        <v>604</v>
      </c>
    </row>
    <row r="2331" spans="1:11" x14ac:dyDescent="0.2">
      <c r="A2331" t="s">
        <v>3336</v>
      </c>
      <c r="B2331" t="s">
        <v>3229</v>
      </c>
      <c r="C2331">
        <v>21.12</v>
      </c>
      <c r="D2331">
        <v>20.6</v>
      </c>
      <c r="E2331">
        <v>7.39</v>
      </c>
      <c r="F2331">
        <v>2.4300000000000002</v>
      </c>
      <c r="G2331">
        <v>1.95</v>
      </c>
      <c r="H2331" t="s">
        <v>608</v>
      </c>
      <c r="I2331" t="s">
        <v>608</v>
      </c>
      <c r="J2331" t="s">
        <v>3332</v>
      </c>
      <c r="K2331" t="s">
        <v>604</v>
      </c>
    </row>
    <row r="2332" spans="1:11" x14ac:dyDescent="0.2">
      <c r="A2332" t="s">
        <v>3337</v>
      </c>
      <c r="B2332" t="s">
        <v>3229</v>
      </c>
      <c r="C2332">
        <v>16.05</v>
      </c>
      <c r="D2332">
        <v>22.23</v>
      </c>
      <c r="E2332">
        <v>9.76</v>
      </c>
      <c r="F2332">
        <v>1.73</v>
      </c>
      <c r="G2332">
        <v>1.23</v>
      </c>
      <c r="H2332" t="s">
        <v>608</v>
      </c>
      <c r="I2332" t="s">
        <v>608</v>
      </c>
      <c r="J2332" t="s">
        <v>3332</v>
      </c>
      <c r="K2332" t="s">
        <v>604</v>
      </c>
    </row>
    <row r="2333" spans="1:11" x14ac:dyDescent="0.2">
      <c r="A2333" t="s">
        <v>3338</v>
      </c>
      <c r="B2333" t="s">
        <v>3229</v>
      </c>
      <c r="C2333">
        <v>19.72</v>
      </c>
      <c r="D2333">
        <v>15.45</v>
      </c>
      <c r="E2333">
        <v>8.4700000000000006</v>
      </c>
      <c r="F2333">
        <v>1.61</v>
      </c>
      <c r="G2333">
        <v>1.0900000000000001</v>
      </c>
      <c r="H2333" t="s">
        <v>608</v>
      </c>
      <c r="I2333" t="s">
        <v>608</v>
      </c>
      <c r="J2333" t="s">
        <v>3332</v>
      </c>
      <c r="K2333" t="s">
        <v>604</v>
      </c>
    </row>
    <row r="2334" spans="1:11" x14ac:dyDescent="0.2">
      <c r="A2334" t="s">
        <v>3339</v>
      </c>
      <c r="B2334" t="s">
        <v>3229</v>
      </c>
      <c r="C2334">
        <v>12.91</v>
      </c>
      <c r="D2334">
        <v>12.22</v>
      </c>
      <c r="E2334">
        <v>7.58</v>
      </c>
      <c r="F2334">
        <v>0.64</v>
      </c>
      <c r="G2334">
        <v>0.5</v>
      </c>
      <c r="H2334" t="s">
        <v>608</v>
      </c>
      <c r="I2334" t="s">
        <v>608</v>
      </c>
      <c r="J2334" t="s">
        <v>3332</v>
      </c>
      <c r="K2334" t="s">
        <v>604</v>
      </c>
    </row>
    <row r="2335" spans="1:11" x14ac:dyDescent="0.2">
      <c r="A2335" t="s">
        <v>3340</v>
      </c>
      <c r="B2335" t="s">
        <v>3229</v>
      </c>
      <c r="C2335">
        <v>12.02</v>
      </c>
      <c r="D2335">
        <v>8.7200000000000006</v>
      </c>
      <c r="E2335">
        <v>5.77</v>
      </c>
      <c r="F2335">
        <v>0.31</v>
      </c>
      <c r="G2335">
        <v>0.32</v>
      </c>
      <c r="H2335" t="s">
        <v>608</v>
      </c>
      <c r="I2335" t="s">
        <v>608</v>
      </c>
      <c r="J2335" t="s">
        <v>3341</v>
      </c>
      <c r="K2335" t="s">
        <v>604</v>
      </c>
    </row>
    <row r="2336" spans="1:11" x14ac:dyDescent="0.2">
      <c r="A2336" t="s">
        <v>3342</v>
      </c>
      <c r="B2336" t="s">
        <v>3229</v>
      </c>
      <c r="C2336">
        <v>9.35</v>
      </c>
      <c r="D2336">
        <v>6.91</v>
      </c>
      <c r="E2336">
        <v>1.32</v>
      </c>
      <c r="F2336">
        <v>0.05</v>
      </c>
      <c r="G2336">
        <v>0.04</v>
      </c>
      <c r="H2336" t="s">
        <v>608</v>
      </c>
      <c r="I2336" t="s">
        <v>608</v>
      </c>
      <c r="J2336" t="s">
        <v>3343</v>
      </c>
      <c r="K2336" t="s">
        <v>604</v>
      </c>
    </row>
    <row r="2337" spans="1:11" x14ac:dyDescent="0.2">
      <c r="A2337" t="s">
        <v>3344</v>
      </c>
      <c r="B2337" t="s">
        <v>3231</v>
      </c>
      <c r="C2337">
        <v>36.4</v>
      </c>
      <c r="D2337">
        <v>25.87</v>
      </c>
      <c r="E2337">
        <v>20.89</v>
      </c>
      <c r="F2337">
        <v>14.78</v>
      </c>
      <c r="G2337">
        <v>11.41</v>
      </c>
      <c r="H2337" t="s">
        <v>608</v>
      </c>
      <c r="I2337" t="s">
        <v>608</v>
      </c>
      <c r="J2337" t="s">
        <v>3332</v>
      </c>
      <c r="K2337" t="s">
        <v>604</v>
      </c>
    </row>
    <row r="2338" spans="1:11" x14ac:dyDescent="0.2">
      <c r="A2338" t="s">
        <v>3345</v>
      </c>
      <c r="B2338" t="s">
        <v>3231</v>
      </c>
      <c r="C2338">
        <v>23.91</v>
      </c>
      <c r="D2338">
        <v>20.86</v>
      </c>
      <c r="E2338">
        <v>9.5</v>
      </c>
      <c r="F2338">
        <v>3.44</v>
      </c>
      <c r="G2338">
        <v>2.54</v>
      </c>
      <c r="H2338" t="s">
        <v>608</v>
      </c>
      <c r="I2338" t="s">
        <v>608</v>
      </c>
      <c r="J2338" t="s">
        <v>3332</v>
      </c>
      <c r="K2338" t="s">
        <v>604</v>
      </c>
    </row>
    <row r="2339" spans="1:11" x14ac:dyDescent="0.2">
      <c r="A2339" t="s">
        <v>3346</v>
      </c>
      <c r="B2339" t="s">
        <v>3231</v>
      </c>
      <c r="C2339">
        <v>24.5</v>
      </c>
      <c r="D2339">
        <v>13.02</v>
      </c>
      <c r="E2339">
        <v>11.76</v>
      </c>
      <c r="F2339">
        <v>3.24</v>
      </c>
      <c r="G2339">
        <v>2.4900000000000002</v>
      </c>
      <c r="H2339" t="s">
        <v>608</v>
      </c>
      <c r="I2339" t="s">
        <v>608</v>
      </c>
      <c r="J2339" t="s">
        <v>3332</v>
      </c>
      <c r="K2339" t="s">
        <v>604</v>
      </c>
    </row>
    <row r="2340" spans="1:11" x14ac:dyDescent="0.2">
      <c r="A2340" t="s">
        <v>3347</v>
      </c>
      <c r="B2340" t="s">
        <v>3231</v>
      </c>
      <c r="C2340">
        <v>24.64</v>
      </c>
      <c r="D2340">
        <v>17.829999999999998</v>
      </c>
      <c r="E2340">
        <v>10.84</v>
      </c>
      <c r="F2340">
        <v>3.06</v>
      </c>
      <c r="G2340">
        <v>2.2599999999999998</v>
      </c>
      <c r="H2340" t="s">
        <v>608</v>
      </c>
      <c r="I2340" t="s">
        <v>608</v>
      </c>
      <c r="J2340" t="s">
        <v>3332</v>
      </c>
      <c r="K2340" t="s">
        <v>604</v>
      </c>
    </row>
    <row r="2341" spans="1:11" x14ac:dyDescent="0.2">
      <c r="A2341" t="s">
        <v>3348</v>
      </c>
      <c r="B2341" t="s">
        <v>3231</v>
      </c>
      <c r="C2341">
        <v>25.52</v>
      </c>
      <c r="D2341">
        <v>13.23</v>
      </c>
      <c r="E2341">
        <v>9.3000000000000007</v>
      </c>
      <c r="F2341">
        <v>2.77</v>
      </c>
      <c r="G2341">
        <v>1.92</v>
      </c>
      <c r="H2341" t="s">
        <v>608</v>
      </c>
      <c r="I2341" t="s">
        <v>608</v>
      </c>
      <c r="J2341" t="s">
        <v>3332</v>
      </c>
      <c r="K2341" t="s">
        <v>604</v>
      </c>
    </row>
    <row r="2342" spans="1:11" x14ac:dyDescent="0.2">
      <c r="A2342" t="s">
        <v>3349</v>
      </c>
      <c r="B2342" t="s">
        <v>3231</v>
      </c>
      <c r="C2342">
        <v>26.63</v>
      </c>
      <c r="D2342">
        <v>18.22</v>
      </c>
      <c r="E2342">
        <v>9.76</v>
      </c>
      <c r="F2342">
        <v>2.93</v>
      </c>
      <c r="G2342">
        <v>2.0499999999999998</v>
      </c>
      <c r="H2342" t="s">
        <v>608</v>
      </c>
      <c r="I2342" t="s">
        <v>608</v>
      </c>
      <c r="J2342" t="s">
        <v>3332</v>
      </c>
      <c r="K2342" t="s">
        <v>604</v>
      </c>
    </row>
    <row r="2343" spans="1:11" x14ac:dyDescent="0.2">
      <c r="A2343" t="s">
        <v>3350</v>
      </c>
      <c r="B2343" t="s">
        <v>3231</v>
      </c>
      <c r="C2343">
        <v>18.559999999999999</v>
      </c>
      <c r="D2343">
        <v>18.329999999999998</v>
      </c>
      <c r="E2343">
        <v>4.43</v>
      </c>
      <c r="F2343">
        <v>0.72</v>
      </c>
      <c r="G2343">
        <v>0.53</v>
      </c>
      <c r="H2343" t="s">
        <v>608</v>
      </c>
      <c r="I2343" t="s">
        <v>608</v>
      </c>
      <c r="J2343" t="s">
        <v>3332</v>
      </c>
      <c r="K2343" t="s">
        <v>604</v>
      </c>
    </row>
    <row r="2344" spans="1:11" x14ac:dyDescent="0.2">
      <c r="A2344" t="s">
        <v>3351</v>
      </c>
      <c r="B2344" t="s">
        <v>3231</v>
      </c>
      <c r="C2344">
        <v>20.6</v>
      </c>
      <c r="D2344">
        <v>12.39</v>
      </c>
      <c r="E2344">
        <v>6.49</v>
      </c>
      <c r="F2344">
        <v>1.33</v>
      </c>
      <c r="G2344">
        <v>0.98</v>
      </c>
      <c r="H2344" t="s">
        <v>608</v>
      </c>
      <c r="I2344" t="s">
        <v>608</v>
      </c>
      <c r="J2344" t="s">
        <v>3332</v>
      </c>
      <c r="K2344" t="s">
        <v>604</v>
      </c>
    </row>
    <row r="2345" spans="1:11" x14ac:dyDescent="0.2">
      <c r="A2345" t="s">
        <v>3352</v>
      </c>
      <c r="B2345" t="s">
        <v>3231</v>
      </c>
      <c r="C2345">
        <v>17.89</v>
      </c>
      <c r="D2345">
        <v>11.3</v>
      </c>
      <c r="E2345">
        <v>11.77</v>
      </c>
      <c r="F2345">
        <v>1.32</v>
      </c>
      <c r="G2345">
        <v>0.97</v>
      </c>
      <c r="H2345" t="s">
        <v>608</v>
      </c>
      <c r="I2345" t="s">
        <v>608</v>
      </c>
      <c r="J2345" t="s">
        <v>3332</v>
      </c>
      <c r="K2345" t="s">
        <v>604</v>
      </c>
    </row>
    <row r="2346" spans="1:11" x14ac:dyDescent="0.2">
      <c r="A2346" t="s">
        <v>3353</v>
      </c>
      <c r="B2346" t="s">
        <v>3231</v>
      </c>
      <c r="C2346">
        <v>13.24</v>
      </c>
      <c r="D2346">
        <v>13.27</v>
      </c>
      <c r="E2346">
        <v>6.24</v>
      </c>
      <c r="F2346">
        <v>0.91</v>
      </c>
      <c r="G2346">
        <v>0.71</v>
      </c>
      <c r="H2346" t="s">
        <v>608</v>
      </c>
      <c r="I2346" t="s">
        <v>608</v>
      </c>
      <c r="J2346" t="s">
        <v>3332</v>
      </c>
      <c r="K2346" t="s">
        <v>604</v>
      </c>
    </row>
    <row r="2347" spans="1:11" x14ac:dyDescent="0.2">
      <c r="A2347" t="s">
        <v>3354</v>
      </c>
      <c r="B2347" t="s">
        <v>3233</v>
      </c>
      <c r="C2347">
        <v>41.17</v>
      </c>
      <c r="D2347">
        <v>27.04</v>
      </c>
      <c r="E2347">
        <v>12.75</v>
      </c>
      <c r="F2347">
        <v>9.8699999999999992</v>
      </c>
      <c r="G2347">
        <v>7.33</v>
      </c>
      <c r="H2347" t="s">
        <v>608</v>
      </c>
      <c r="I2347" t="s">
        <v>608</v>
      </c>
      <c r="J2347" t="s">
        <v>3355</v>
      </c>
      <c r="K2347" t="s">
        <v>604</v>
      </c>
    </row>
    <row r="2348" spans="1:11" x14ac:dyDescent="0.2">
      <c r="A2348" t="s">
        <v>3356</v>
      </c>
      <c r="B2348" t="s">
        <v>3233</v>
      </c>
      <c r="C2348">
        <v>26.29</v>
      </c>
      <c r="D2348">
        <v>22.64</v>
      </c>
      <c r="E2348">
        <v>9.1999999999999993</v>
      </c>
      <c r="F2348">
        <v>3.17</v>
      </c>
      <c r="G2348">
        <v>2.2799999999999998</v>
      </c>
      <c r="H2348" t="s">
        <v>608</v>
      </c>
      <c r="I2348" t="s">
        <v>608</v>
      </c>
      <c r="J2348" t="s">
        <v>3332</v>
      </c>
      <c r="K2348" t="s">
        <v>604</v>
      </c>
    </row>
    <row r="2349" spans="1:11" x14ac:dyDescent="0.2">
      <c r="A2349" t="s">
        <v>3357</v>
      </c>
      <c r="B2349" t="s">
        <v>3233</v>
      </c>
      <c r="C2349">
        <v>22.48</v>
      </c>
      <c r="D2349">
        <v>24.08</v>
      </c>
      <c r="E2349">
        <v>12.21</v>
      </c>
      <c r="F2349">
        <v>4.43</v>
      </c>
      <c r="G2349">
        <v>3.4</v>
      </c>
      <c r="H2349" t="s">
        <v>608</v>
      </c>
      <c r="I2349" t="s">
        <v>608</v>
      </c>
      <c r="J2349" t="s">
        <v>3332</v>
      </c>
      <c r="K2349" t="s">
        <v>604</v>
      </c>
    </row>
    <row r="2350" spans="1:11" x14ac:dyDescent="0.2">
      <c r="A2350" t="s">
        <v>3358</v>
      </c>
      <c r="B2350" t="s">
        <v>3233</v>
      </c>
      <c r="C2350">
        <v>24.16</v>
      </c>
      <c r="D2350">
        <v>18.309999999999999</v>
      </c>
      <c r="E2350">
        <v>11.31</v>
      </c>
      <c r="F2350">
        <v>3.43</v>
      </c>
      <c r="G2350">
        <v>2.69</v>
      </c>
      <c r="H2350" t="s">
        <v>608</v>
      </c>
      <c r="I2350" t="s">
        <v>608</v>
      </c>
      <c r="J2350" t="s">
        <v>3332</v>
      </c>
      <c r="K2350" t="s">
        <v>604</v>
      </c>
    </row>
    <row r="2351" spans="1:11" x14ac:dyDescent="0.2">
      <c r="A2351" t="s">
        <v>3359</v>
      </c>
      <c r="B2351" t="s">
        <v>3233</v>
      </c>
      <c r="C2351">
        <v>21.98</v>
      </c>
      <c r="D2351">
        <v>13.27</v>
      </c>
      <c r="E2351">
        <v>7.19</v>
      </c>
      <c r="F2351">
        <v>1.19</v>
      </c>
      <c r="G2351">
        <v>0.86</v>
      </c>
      <c r="H2351" t="s">
        <v>608</v>
      </c>
      <c r="I2351" t="s">
        <v>608</v>
      </c>
      <c r="J2351" t="s">
        <v>3332</v>
      </c>
      <c r="K2351" t="s">
        <v>604</v>
      </c>
    </row>
    <row r="2352" spans="1:11" x14ac:dyDescent="0.2">
      <c r="A2352" t="s">
        <v>3360</v>
      </c>
      <c r="B2352" t="s">
        <v>3233</v>
      </c>
      <c r="C2352">
        <v>21.52</v>
      </c>
      <c r="D2352">
        <v>12.89</v>
      </c>
      <c r="E2352">
        <v>6.63</v>
      </c>
      <c r="F2352">
        <v>1.21</v>
      </c>
      <c r="G2352">
        <v>0.96</v>
      </c>
      <c r="H2352" t="s">
        <v>608</v>
      </c>
      <c r="I2352" t="s">
        <v>608</v>
      </c>
      <c r="J2352" t="s">
        <v>3332</v>
      </c>
      <c r="K2352" t="s">
        <v>604</v>
      </c>
    </row>
    <row r="2353" spans="1:11" x14ac:dyDescent="0.2">
      <c r="A2353" t="s">
        <v>3361</v>
      </c>
      <c r="B2353" t="s">
        <v>3233</v>
      </c>
      <c r="C2353">
        <v>14.81</v>
      </c>
      <c r="D2353">
        <v>10.85</v>
      </c>
      <c r="E2353">
        <v>6.86</v>
      </c>
      <c r="F2353">
        <v>1.1399999999999999</v>
      </c>
      <c r="G2353">
        <v>0.92</v>
      </c>
      <c r="H2353" t="s">
        <v>608</v>
      </c>
      <c r="I2353" t="s">
        <v>608</v>
      </c>
      <c r="J2353" t="s">
        <v>3332</v>
      </c>
      <c r="K2353" t="s">
        <v>604</v>
      </c>
    </row>
    <row r="2354" spans="1:11" x14ac:dyDescent="0.2">
      <c r="A2354" t="s">
        <v>3362</v>
      </c>
      <c r="B2354" t="s">
        <v>3233</v>
      </c>
      <c r="C2354">
        <v>15.94</v>
      </c>
      <c r="D2354">
        <v>9.6</v>
      </c>
      <c r="E2354">
        <v>7.4</v>
      </c>
      <c r="F2354">
        <v>0.95</v>
      </c>
      <c r="G2354">
        <v>0.69</v>
      </c>
      <c r="H2354" t="s">
        <v>608</v>
      </c>
      <c r="I2354" t="s">
        <v>608</v>
      </c>
      <c r="J2354" t="s">
        <v>3332</v>
      </c>
      <c r="K2354" t="s">
        <v>604</v>
      </c>
    </row>
    <row r="2355" spans="1:11" x14ac:dyDescent="0.2">
      <c r="A2355" t="s">
        <v>3363</v>
      </c>
      <c r="B2355" t="s">
        <v>3233</v>
      </c>
      <c r="C2355">
        <v>16.54</v>
      </c>
      <c r="D2355">
        <v>11.37</v>
      </c>
      <c r="E2355">
        <v>7.42</v>
      </c>
      <c r="F2355">
        <v>0.84</v>
      </c>
      <c r="G2355">
        <v>0.64</v>
      </c>
      <c r="H2355" t="s">
        <v>608</v>
      </c>
      <c r="I2355" t="s">
        <v>608</v>
      </c>
      <c r="J2355" t="s">
        <v>3332</v>
      </c>
      <c r="K2355" t="s">
        <v>604</v>
      </c>
    </row>
    <row r="2356" spans="1:11" x14ac:dyDescent="0.2">
      <c r="A2356" t="s">
        <v>3364</v>
      </c>
      <c r="B2356" t="s">
        <v>3233</v>
      </c>
      <c r="C2356">
        <v>11.77</v>
      </c>
      <c r="D2356">
        <v>9.3000000000000007</v>
      </c>
      <c r="E2356">
        <v>4.54</v>
      </c>
      <c r="F2356">
        <v>0.41</v>
      </c>
      <c r="G2356">
        <v>0.3</v>
      </c>
      <c r="H2356" t="s">
        <v>608</v>
      </c>
      <c r="I2356" t="s">
        <v>608</v>
      </c>
      <c r="J2356" t="s">
        <v>3332</v>
      </c>
      <c r="K2356" t="s">
        <v>604</v>
      </c>
    </row>
    <row r="2357" spans="1:11" x14ac:dyDescent="0.2">
      <c r="A2357" t="s">
        <v>3365</v>
      </c>
      <c r="B2357" t="s">
        <v>3233</v>
      </c>
      <c r="C2357">
        <v>10.28</v>
      </c>
      <c r="D2357">
        <v>9.4600000000000009</v>
      </c>
      <c r="E2357">
        <v>4.37</v>
      </c>
      <c r="F2357">
        <v>0.28000000000000003</v>
      </c>
      <c r="G2357">
        <v>0.22</v>
      </c>
      <c r="H2357" t="s">
        <v>608</v>
      </c>
      <c r="I2357" t="s">
        <v>608</v>
      </c>
      <c r="J2357" t="s">
        <v>3341</v>
      </c>
      <c r="K2357" t="s">
        <v>604</v>
      </c>
    </row>
    <row r="2358" spans="1:11" x14ac:dyDescent="0.2">
      <c r="A2358" t="s">
        <v>3366</v>
      </c>
      <c r="B2358" t="s">
        <v>3233</v>
      </c>
      <c r="C2358">
        <v>8.5</v>
      </c>
      <c r="D2358">
        <v>5.87</v>
      </c>
      <c r="E2358">
        <v>3</v>
      </c>
      <c r="F2358">
        <v>0.12</v>
      </c>
      <c r="G2358">
        <v>0.09</v>
      </c>
      <c r="H2358" t="s">
        <v>608</v>
      </c>
      <c r="I2358" t="s">
        <v>608</v>
      </c>
      <c r="J2358" t="s">
        <v>3341</v>
      </c>
      <c r="K2358" t="s">
        <v>604</v>
      </c>
    </row>
    <row r="2359" spans="1:11" x14ac:dyDescent="0.2">
      <c r="A2359" t="s">
        <v>3367</v>
      </c>
      <c r="B2359" t="s">
        <v>3241</v>
      </c>
      <c r="C2359">
        <v>47.22</v>
      </c>
      <c r="D2359" t="s">
        <v>608</v>
      </c>
      <c r="E2359" t="s">
        <v>608</v>
      </c>
      <c r="F2359">
        <v>27.96</v>
      </c>
      <c r="G2359">
        <v>21.37</v>
      </c>
      <c r="H2359">
        <v>0.5</v>
      </c>
      <c r="I2359">
        <v>1</v>
      </c>
      <c r="J2359" t="s">
        <v>608</v>
      </c>
      <c r="K2359" t="s">
        <v>604</v>
      </c>
    </row>
    <row r="2360" spans="1:11" x14ac:dyDescent="0.2">
      <c r="A2360" t="s">
        <v>3368</v>
      </c>
      <c r="B2360" t="s">
        <v>3241</v>
      </c>
      <c r="C2360">
        <v>78.349999999999994</v>
      </c>
      <c r="D2360" t="s">
        <v>608</v>
      </c>
      <c r="E2360" t="s">
        <v>608</v>
      </c>
      <c r="F2360">
        <v>46.79</v>
      </c>
      <c r="G2360">
        <v>33.369999999999997</v>
      </c>
      <c r="H2360">
        <v>0.5</v>
      </c>
      <c r="I2360">
        <v>0.5</v>
      </c>
      <c r="J2360" t="s">
        <v>608</v>
      </c>
      <c r="K2360" t="s">
        <v>604</v>
      </c>
    </row>
    <row r="2361" spans="1:11" x14ac:dyDescent="0.2">
      <c r="A2361" t="s">
        <v>3369</v>
      </c>
      <c r="B2361" t="s">
        <v>3241</v>
      </c>
      <c r="C2361">
        <v>48.75</v>
      </c>
      <c r="D2361" t="s">
        <v>608</v>
      </c>
      <c r="E2361" t="s">
        <v>608</v>
      </c>
      <c r="F2361">
        <v>22.3</v>
      </c>
      <c r="G2361">
        <v>17.66</v>
      </c>
      <c r="H2361">
        <v>0.5</v>
      </c>
      <c r="I2361">
        <v>0</v>
      </c>
      <c r="J2361" t="s">
        <v>608</v>
      </c>
      <c r="K2361" t="s">
        <v>604</v>
      </c>
    </row>
    <row r="2362" spans="1:11" x14ac:dyDescent="0.2">
      <c r="A2362" t="s">
        <v>3370</v>
      </c>
      <c r="B2362" t="s">
        <v>3241</v>
      </c>
      <c r="C2362">
        <v>46.42</v>
      </c>
      <c r="D2362" t="s">
        <v>608</v>
      </c>
      <c r="E2362" t="s">
        <v>608</v>
      </c>
      <c r="F2362">
        <v>15.52</v>
      </c>
      <c r="G2362">
        <v>11.32</v>
      </c>
      <c r="H2362">
        <v>1</v>
      </c>
      <c r="I2362">
        <v>2</v>
      </c>
      <c r="J2362" t="s">
        <v>608</v>
      </c>
      <c r="K2362" t="s">
        <v>604</v>
      </c>
    </row>
    <row r="2363" spans="1:11" x14ac:dyDescent="0.2">
      <c r="A2363" t="s">
        <v>3371</v>
      </c>
      <c r="B2363" t="s">
        <v>3241</v>
      </c>
      <c r="C2363">
        <v>52.51</v>
      </c>
      <c r="D2363" t="s">
        <v>608</v>
      </c>
      <c r="E2363" t="s">
        <v>608</v>
      </c>
      <c r="F2363">
        <v>29.03</v>
      </c>
      <c r="G2363">
        <v>22.32</v>
      </c>
      <c r="H2363">
        <v>1</v>
      </c>
      <c r="I2363">
        <v>2</v>
      </c>
      <c r="J2363" t="s">
        <v>3372</v>
      </c>
      <c r="K2363" t="s">
        <v>604</v>
      </c>
    </row>
    <row r="2364" spans="1:11" x14ac:dyDescent="0.2">
      <c r="A2364" t="s">
        <v>3373</v>
      </c>
      <c r="B2364" t="s">
        <v>3243</v>
      </c>
      <c r="C2364">
        <v>54.88</v>
      </c>
      <c r="D2364" t="s">
        <v>608</v>
      </c>
      <c r="E2364" t="s">
        <v>608</v>
      </c>
      <c r="F2364">
        <v>47.18</v>
      </c>
      <c r="G2364">
        <v>36.51</v>
      </c>
      <c r="H2364">
        <v>0</v>
      </c>
      <c r="I2364">
        <v>0</v>
      </c>
      <c r="J2364" t="s">
        <v>608</v>
      </c>
      <c r="K2364" t="s">
        <v>604</v>
      </c>
    </row>
    <row r="2365" spans="1:11" x14ac:dyDescent="0.2">
      <c r="A2365" t="s">
        <v>3374</v>
      </c>
      <c r="B2365" t="s">
        <v>3243</v>
      </c>
      <c r="C2365">
        <v>45.84</v>
      </c>
      <c r="D2365" t="s">
        <v>608</v>
      </c>
      <c r="E2365" t="s">
        <v>608</v>
      </c>
      <c r="F2365">
        <v>36.93</v>
      </c>
      <c r="G2365">
        <v>28.8</v>
      </c>
      <c r="H2365">
        <v>0.5</v>
      </c>
      <c r="I2365">
        <v>1</v>
      </c>
      <c r="J2365" t="s">
        <v>608</v>
      </c>
      <c r="K2365" t="s">
        <v>604</v>
      </c>
    </row>
    <row r="2366" spans="1:11" x14ac:dyDescent="0.2">
      <c r="A2366" t="s">
        <v>3375</v>
      </c>
      <c r="B2366" t="s">
        <v>3243</v>
      </c>
      <c r="C2366">
        <v>42.81</v>
      </c>
      <c r="D2366" t="s">
        <v>608</v>
      </c>
      <c r="E2366" t="s">
        <v>608</v>
      </c>
      <c r="F2366">
        <v>24.24</v>
      </c>
      <c r="G2366">
        <v>19.579999999999998</v>
      </c>
      <c r="H2366">
        <v>0</v>
      </c>
      <c r="I2366">
        <v>0</v>
      </c>
      <c r="J2366" t="s">
        <v>608</v>
      </c>
      <c r="K2366" t="s">
        <v>604</v>
      </c>
    </row>
    <row r="2367" spans="1:11" x14ac:dyDescent="0.2">
      <c r="A2367" t="s">
        <v>3376</v>
      </c>
      <c r="B2367" t="s">
        <v>3243</v>
      </c>
      <c r="C2367">
        <v>60.12</v>
      </c>
      <c r="D2367" t="s">
        <v>608</v>
      </c>
      <c r="E2367" t="s">
        <v>608</v>
      </c>
      <c r="F2367">
        <v>57.91</v>
      </c>
      <c r="G2367">
        <v>41.21</v>
      </c>
      <c r="H2367">
        <v>0.5</v>
      </c>
      <c r="I2367">
        <v>0</v>
      </c>
      <c r="J2367" t="s">
        <v>608</v>
      </c>
      <c r="K2367" t="s">
        <v>604</v>
      </c>
    </row>
    <row r="2368" spans="1:11" x14ac:dyDescent="0.2">
      <c r="A2368" t="s">
        <v>3377</v>
      </c>
      <c r="B2368" t="s">
        <v>3243</v>
      </c>
      <c r="C2368">
        <v>38.35</v>
      </c>
      <c r="D2368" t="s">
        <v>608</v>
      </c>
      <c r="E2368" t="s">
        <v>608</v>
      </c>
      <c r="F2368">
        <v>12.24</v>
      </c>
      <c r="G2368">
        <v>9.51</v>
      </c>
      <c r="H2368">
        <v>1</v>
      </c>
      <c r="I2368">
        <v>3</v>
      </c>
      <c r="J2368" t="s">
        <v>608</v>
      </c>
      <c r="K2368" t="s">
        <v>604</v>
      </c>
    </row>
    <row r="2369" spans="1:11" x14ac:dyDescent="0.2">
      <c r="A2369" t="s">
        <v>3378</v>
      </c>
      <c r="B2369" t="s">
        <v>3245</v>
      </c>
      <c r="C2369">
        <v>67.31</v>
      </c>
      <c r="D2369" t="s">
        <v>608</v>
      </c>
      <c r="E2369" t="s">
        <v>608</v>
      </c>
      <c r="F2369">
        <v>45.51</v>
      </c>
      <c r="G2369">
        <v>34.119999999999997</v>
      </c>
      <c r="H2369">
        <v>0</v>
      </c>
      <c r="I2369">
        <v>0.5</v>
      </c>
      <c r="J2369" t="s">
        <v>608</v>
      </c>
      <c r="K2369" t="s">
        <v>604</v>
      </c>
    </row>
    <row r="2370" spans="1:11" x14ac:dyDescent="0.2">
      <c r="A2370" t="s">
        <v>3379</v>
      </c>
      <c r="B2370" t="s">
        <v>3245</v>
      </c>
      <c r="C2370">
        <v>48.08</v>
      </c>
      <c r="D2370" t="s">
        <v>608</v>
      </c>
      <c r="E2370" t="s">
        <v>608</v>
      </c>
      <c r="F2370">
        <v>26.91</v>
      </c>
      <c r="G2370">
        <v>18.89</v>
      </c>
      <c r="H2370">
        <v>0</v>
      </c>
      <c r="I2370">
        <v>0</v>
      </c>
      <c r="J2370" t="s">
        <v>608</v>
      </c>
      <c r="K2370" t="s">
        <v>604</v>
      </c>
    </row>
    <row r="2371" spans="1:11" x14ac:dyDescent="0.2">
      <c r="A2371" t="s">
        <v>3380</v>
      </c>
      <c r="B2371" t="s">
        <v>3245</v>
      </c>
      <c r="C2371">
        <v>62.85</v>
      </c>
      <c r="D2371" t="s">
        <v>608</v>
      </c>
      <c r="E2371" t="s">
        <v>608</v>
      </c>
      <c r="F2371">
        <v>37.31</v>
      </c>
      <c r="G2371">
        <v>32.979999999999997</v>
      </c>
      <c r="H2371">
        <v>0</v>
      </c>
      <c r="I2371">
        <v>0</v>
      </c>
      <c r="J2371" t="s">
        <v>608</v>
      </c>
      <c r="K2371" t="s">
        <v>604</v>
      </c>
    </row>
    <row r="2372" spans="1:11" x14ac:dyDescent="0.2">
      <c r="A2372" t="s">
        <v>3381</v>
      </c>
      <c r="B2372" t="s">
        <v>3245</v>
      </c>
      <c r="C2372">
        <v>41.22</v>
      </c>
      <c r="D2372" t="s">
        <v>608</v>
      </c>
      <c r="E2372" t="s">
        <v>608</v>
      </c>
      <c r="F2372">
        <v>16.579999999999998</v>
      </c>
      <c r="G2372">
        <v>12.23</v>
      </c>
      <c r="H2372">
        <v>0</v>
      </c>
      <c r="I2372">
        <v>0</v>
      </c>
      <c r="J2372" t="s">
        <v>608</v>
      </c>
      <c r="K2372" t="s">
        <v>604</v>
      </c>
    </row>
    <row r="2373" spans="1:11" x14ac:dyDescent="0.2">
      <c r="A2373" t="s">
        <v>3382</v>
      </c>
      <c r="B2373" t="s">
        <v>3245</v>
      </c>
      <c r="C2373">
        <v>71.66</v>
      </c>
      <c r="D2373" t="s">
        <v>608</v>
      </c>
      <c r="E2373" t="s">
        <v>608</v>
      </c>
      <c r="F2373">
        <v>53.38</v>
      </c>
      <c r="G2373">
        <v>38.24</v>
      </c>
      <c r="H2373">
        <v>2</v>
      </c>
      <c r="I2373">
        <v>2</v>
      </c>
      <c r="J2373" t="s">
        <v>608</v>
      </c>
      <c r="K2373" t="s">
        <v>604</v>
      </c>
    </row>
    <row r="2374" spans="1:11" x14ac:dyDescent="0.2">
      <c r="A2374" t="s">
        <v>3383</v>
      </c>
      <c r="B2374" t="s">
        <v>3241</v>
      </c>
      <c r="C2374">
        <v>45.35</v>
      </c>
      <c r="D2374">
        <v>37.57</v>
      </c>
      <c r="E2374">
        <v>23.24</v>
      </c>
      <c r="F2374">
        <v>23.68</v>
      </c>
      <c r="G2374">
        <v>18.88</v>
      </c>
      <c r="H2374" t="s">
        <v>608</v>
      </c>
      <c r="I2374" t="s">
        <v>608</v>
      </c>
      <c r="J2374" t="s">
        <v>3332</v>
      </c>
      <c r="K2374" t="s">
        <v>604</v>
      </c>
    </row>
    <row r="2375" spans="1:11" x14ac:dyDescent="0.2">
      <c r="A2375" t="s">
        <v>3384</v>
      </c>
      <c r="B2375" t="s">
        <v>3241</v>
      </c>
      <c r="C2375">
        <v>39.89</v>
      </c>
      <c r="D2375">
        <v>31.33</v>
      </c>
      <c r="E2375">
        <v>17.96</v>
      </c>
      <c r="F2375">
        <v>12.16</v>
      </c>
      <c r="G2375">
        <v>9.08</v>
      </c>
      <c r="H2375" t="s">
        <v>608</v>
      </c>
      <c r="I2375" t="s">
        <v>608</v>
      </c>
      <c r="J2375" t="s">
        <v>3332</v>
      </c>
      <c r="K2375" t="s">
        <v>604</v>
      </c>
    </row>
    <row r="2376" spans="1:11" x14ac:dyDescent="0.2">
      <c r="A2376" t="s">
        <v>3385</v>
      </c>
      <c r="B2376" t="s">
        <v>3241</v>
      </c>
      <c r="C2376">
        <v>31.57</v>
      </c>
      <c r="D2376">
        <v>25.69</v>
      </c>
      <c r="E2376">
        <v>11.71</v>
      </c>
      <c r="F2376">
        <v>4.84</v>
      </c>
      <c r="G2376">
        <v>3.58</v>
      </c>
      <c r="H2376" t="s">
        <v>608</v>
      </c>
      <c r="I2376" t="s">
        <v>608</v>
      </c>
      <c r="J2376" t="s">
        <v>3332</v>
      </c>
      <c r="K2376" t="s">
        <v>604</v>
      </c>
    </row>
    <row r="2377" spans="1:11" x14ac:dyDescent="0.2">
      <c r="A2377" t="s">
        <v>3386</v>
      </c>
      <c r="B2377" t="s">
        <v>3241</v>
      </c>
      <c r="C2377">
        <v>30.17</v>
      </c>
      <c r="D2377">
        <v>25.58</v>
      </c>
      <c r="E2377">
        <v>14.09</v>
      </c>
      <c r="F2377">
        <v>7.78</v>
      </c>
      <c r="G2377">
        <v>6.01</v>
      </c>
      <c r="H2377" t="s">
        <v>608</v>
      </c>
      <c r="I2377" t="s">
        <v>608</v>
      </c>
      <c r="J2377" t="s">
        <v>3332</v>
      </c>
      <c r="K2377" t="s">
        <v>604</v>
      </c>
    </row>
    <row r="2378" spans="1:11" x14ac:dyDescent="0.2">
      <c r="A2378" t="s">
        <v>3387</v>
      </c>
      <c r="B2378" t="s">
        <v>3241</v>
      </c>
      <c r="C2378">
        <v>26.43</v>
      </c>
      <c r="D2378">
        <v>15.34</v>
      </c>
      <c r="E2378">
        <v>9.17</v>
      </c>
      <c r="F2378">
        <v>2.68</v>
      </c>
      <c r="G2378">
        <v>2.0099999999999998</v>
      </c>
      <c r="H2378" t="s">
        <v>608</v>
      </c>
      <c r="I2378" t="s">
        <v>608</v>
      </c>
      <c r="J2378" t="s">
        <v>3332</v>
      </c>
      <c r="K2378" t="s">
        <v>604</v>
      </c>
    </row>
    <row r="2379" spans="1:11" x14ac:dyDescent="0.2">
      <c r="A2379" t="s">
        <v>3388</v>
      </c>
      <c r="B2379" t="s">
        <v>3241</v>
      </c>
      <c r="C2379">
        <v>25.64</v>
      </c>
      <c r="D2379">
        <v>22.05</v>
      </c>
      <c r="E2379">
        <v>10.78</v>
      </c>
      <c r="F2379">
        <v>2.61</v>
      </c>
      <c r="G2379">
        <v>1.94</v>
      </c>
      <c r="H2379" t="s">
        <v>608</v>
      </c>
      <c r="I2379" t="s">
        <v>608</v>
      </c>
      <c r="J2379" t="s">
        <v>3332</v>
      </c>
      <c r="K2379" t="s">
        <v>604</v>
      </c>
    </row>
    <row r="2380" spans="1:11" x14ac:dyDescent="0.2">
      <c r="A2380" t="s">
        <v>3389</v>
      </c>
      <c r="B2380" t="s">
        <v>3241</v>
      </c>
      <c r="C2380">
        <v>22.34</v>
      </c>
      <c r="D2380">
        <v>22.03</v>
      </c>
      <c r="E2380">
        <v>15.95</v>
      </c>
      <c r="F2380">
        <v>3.94</v>
      </c>
      <c r="G2380">
        <v>2.84</v>
      </c>
      <c r="H2380" t="s">
        <v>608</v>
      </c>
      <c r="I2380" t="s">
        <v>608</v>
      </c>
      <c r="J2380" t="s">
        <v>3332</v>
      </c>
      <c r="K2380" t="s">
        <v>604</v>
      </c>
    </row>
    <row r="2381" spans="1:11" x14ac:dyDescent="0.2">
      <c r="A2381" t="s">
        <v>3390</v>
      </c>
      <c r="B2381" t="s">
        <v>3241</v>
      </c>
      <c r="C2381">
        <v>19.059999999999999</v>
      </c>
      <c r="D2381">
        <v>16.09</v>
      </c>
      <c r="E2381">
        <v>13.5</v>
      </c>
      <c r="F2381">
        <v>2.92</v>
      </c>
      <c r="G2381">
        <v>2</v>
      </c>
      <c r="H2381" t="s">
        <v>608</v>
      </c>
      <c r="I2381" t="s">
        <v>608</v>
      </c>
      <c r="J2381" t="s">
        <v>3332</v>
      </c>
      <c r="K2381" t="s">
        <v>604</v>
      </c>
    </row>
    <row r="2382" spans="1:11" x14ac:dyDescent="0.2">
      <c r="A2382" t="s">
        <v>3391</v>
      </c>
      <c r="B2382" t="s">
        <v>3241</v>
      </c>
      <c r="C2382">
        <v>18.72</v>
      </c>
      <c r="D2382">
        <v>12.22</v>
      </c>
      <c r="E2382">
        <v>7.2</v>
      </c>
      <c r="F2382">
        <v>1.02</v>
      </c>
      <c r="G2382">
        <v>0.71</v>
      </c>
      <c r="H2382" t="s">
        <v>608</v>
      </c>
      <c r="I2382" t="s">
        <v>608</v>
      </c>
      <c r="J2382" t="s">
        <v>3332</v>
      </c>
      <c r="K2382" t="s">
        <v>604</v>
      </c>
    </row>
    <row r="2383" spans="1:11" x14ac:dyDescent="0.2">
      <c r="A2383" t="s">
        <v>3392</v>
      </c>
      <c r="B2383" t="s">
        <v>3241</v>
      </c>
      <c r="C2383">
        <v>16.350000000000001</v>
      </c>
      <c r="D2383">
        <v>11.98</v>
      </c>
      <c r="E2383">
        <v>4.74</v>
      </c>
      <c r="F2383">
        <v>0.42</v>
      </c>
      <c r="G2383">
        <v>0.7</v>
      </c>
      <c r="H2383" t="s">
        <v>608</v>
      </c>
      <c r="I2383" t="s">
        <v>608</v>
      </c>
      <c r="J2383" t="s">
        <v>3341</v>
      </c>
      <c r="K2383" t="s">
        <v>604</v>
      </c>
    </row>
    <row r="2384" spans="1:11" x14ac:dyDescent="0.2">
      <c r="A2384" t="s">
        <v>3393</v>
      </c>
      <c r="B2384" t="s">
        <v>3243</v>
      </c>
      <c r="C2384">
        <v>43.36</v>
      </c>
      <c r="D2384">
        <v>37.909999999999997</v>
      </c>
      <c r="E2384">
        <v>26.85</v>
      </c>
      <c r="F2384">
        <v>24.32</v>
      </c>
      <c r="G2384">
        <v>19.21</v>
      </c>
      <c r="H2384" t="s">
        <v>608</v>
      </c>
      <c r="I2384" t="s">
        <v>608</v>
      </c>
      <c r="J2384" t="s">
        <v>3332</v>
      </c>
      <c r="K2384" t="s">
        <v>604</v>
      </c>
    </row>
    <row r="2385" spans="1:11" x14ac:dyDescent="0.2">
      <c r="A2385" t="s">
        <v>3394</v>
      </c>
      <c r="B2385" t="s">
        <v>3243</v>
      </c>
      <c r="C2385">
        <v>38.659999999999997</v>
      </c>
      <c r="D2385">
        <v>35.74</v>
      </c>
      <c r="E2385">
        <v>13.35</v>
      </c>
      <c r="F2385">
        <v>14.54</v>
      </c>
      <c r="G2385">
        <v>10.93</v>
      </c>
      <c r="H2385" t="s">
        <v>608</v>
      </c>
      <c r="I2385" t="s">
        <v>608</v>
      </c>
      <c r="J2385" t="s">
        <v>3332</v>
      </c>
      <c r="K2385" t="s">
        <v>604</v>
      </c>
    </row>
    <row r="2386" spans="1:11" x14ac:dyDescent="0.2">
      <c r="A2386" t="s">
        <v>3395</v>
      </c>
      <c r="B2386" t="s">
        <v>3243</v>
      </c>
      <c r="C2386">
        <v>37.79</v>
      </c>
      <c r="D2386">
        <v>30.85</v>
      </c>
      <c r="E2386">
        <v>18.510000000000002</v>
      </c>
      <c r="F2386">
        <v>9.31</v>
      </c>
      <c r="G2386">
        <v>6.38</v>
      </c>
      <c r="H2386" t="s">
        <v>608</v>
      </c>
      <c r="I2386" t="s">
        <v>608</v>
      </c>
      <c r="J2386" t="s">
        <v>3332</v>
      </c>
      <c r="K2386" t="s">
        <v>604</v>
      </c>
    </row>
    <row r="2387" spans="1:11" x14ac:dyDescent="0.2">
      <c r="A2387" t="s">
        <v>3396</v>
      </c>
      <c r="B2387" t="s">
        <v>3243</v>
      </c>
      <c r="C2387">
        <v>30.19</v>
      </c>
      <c r="D2387">
        <v>31.96</v>
      </c>
      <c r="E2387">
        <v>12.49</v>
      </c>
      <c r="F2387">
        <v>9.2899999999999991</v>
      </c>
      <c r="G2387">
        <v>7.37</v>
      </c>
      <c r="H2387" t="s">
        <v>608</v>
      </c>
      <c r="I2387" t="s">
        <v>608</v>
      </c>
      <c r="J2387" t="s">
        <v>3332</v>
      </c>
      <c r="K2387" t="s">
        <v>604</v>
      </c>
    </row>
    <row r="2388" spans="1:11" x14ac:dyDescent="0.2">
      <c r="A2388" t="s">
        <v>3397</v>
      </c>
      <c r="B2388" t="s">
        <v>3243</v>
      </c>
      <c r="C2388">
        <v>26.57</v>
      </c>
      <c r="D2388">
        <v>21.65</v>
      </c>
      <c r="E2388">
        <v>14.49</v>
      </c>
      <c r="F2388">
        <v>4.45</v>
      </c>
      <c r="G2388">
        <v>3.31</v>
      </c>
      <c r="H2388" t="s">
        <v>608</v>
      </c>
      <c r="I2388" t="s">
        <v>608</v>
      </c>
      <c r="J2388" t="s">
        <v>3332</v>
      </c>
      <c r="K2388" t="s">
        <v>604</v>
      </c>
    </row>
    <row r="2389" spans="1:11" x14ac:dyDescent="0.2">
      <c r="A2389" t="s">
        <v>3398</v>
      </c>
      <c r="B2389" t="s">
        <v>3243</v>
      </c>
      <c r="C2389">
        <v>27.11</v>
      </c>
      <c r="D2389">
        <v>16.329999999999998</v>
      </c>
      <c r="E2389">
        <v>7.29</v>
      </c>
      <c r="F2389">
        <v>1.85</v>
      </c>
      <c r="G2389">
        <v>1.22</v>
      </c>
      <c r="H2389" t="s">
        <v>608</v>
      </c>
      <c r="I2389" t="s">
        <v>608</v>
      </c>
      <c r="J2389" t="s">
        <v>3332</v>
      </c>
      <c r="K2389" t="s">
        <v>604</v>
      </c>
    </row>
    <row r="2390" spans="1:11" x14ac:dyDescent="0.2">
      <c r="A2390" t="s">
        <v>3399</v>
      </c>
      <c r="B2390" t="s">
        <v>3243</v>
      </c>
      <c r="C2390">
        <v>21.19</v>
      </c>
      <c r="D2390">
        <v>16.68</v>
      </c>
      <c r="E2390">
        <v>14.61</v>
      </c>
      <c r="F2390">
        <v>2.83</v>
      </c>
      <c r="G2390">
        <v>2.1800000000000002</v>
      </c>
      <c r="H2390" t="s">
        <v>608</v>
      </c>
      <c r="I2390" t="s">
        <v>608</v>
      </c>
      <c r="J2390" t="s">
        <v>3332</v>
      </c>
      <c r="K2390" t="s">
        <v>604</v>
      </c>
    </row>
    <row r="2391" spans="1:11" x14ac:dyDescent="0.2">
      <c r="A2391" t="s">
        <v>3400</v>
      </c>
      <c r="B2391" t="s">
        <v>3243</v>
      </c>
      <c r="C2391">
        <v>17.63</v>
      </c>
      <c r="D2391">
        <v>15.28</v>
      </c>
      <c r="E2391">
        <v>5.74</v>
      </c>
      <c r="F2391">
        <v>1.28</v>
      </c>
      <c r="G2391">
        <v>0.88</v>
      </c>
      <c r="H2391" t="s">
        <v>608</v>
      </c>
      <c r="I2391" t="s">
        <v>608</v>
      </c>
      <c r="J2391" t="s">
        <v>3332</v>
      </c>
      <c r="K2391" t="s">
        <v>604</v>
      </c>
    </row>
    <row r="2392" spans="1:11" x14ac:dyDescent="0.2">
      <c r="A2392" t="s">
        <v>3401</v>
      </c>
      <c r="B2392" t="s">
        <v>3243</v>
      </c>
      <c r="C2392">
        <v>15.32</v>
      </c>
      <c r="D2392">
        <v>13.9</v>
      </c>
      <c r="E2392">
        <v>8.24</v>
      </c>
      <c r="F2392">
        <v>1.56</v>
      </c>
      <c r="G2392">
        <v>1.1000000000000001</v>
      </c>
      <c r="H2392" t="s">
        <v>608</v>
      </c>
      <c r="I2392" t="s">
        <v>608</v>
      </c>
      <c r="J2392" t="s">
        <v>3332</v>
      </c>
      <c r="K2392" t="s">
        <v>604</v>
      </c>
    </row>
    <row r="2393" spans="1:11" x14ac:dyDescent="0.2">
      <c r="A2393" t="s">
        <v>3402</v>
      </c>
      <c r="B2393" t="s">
        <v>3243</v>
      </c>
      <c r="C2393">
        <v>12.02</v>
      </c>
      <c r="D2393">
        <v>9.7799999999999994</v>
      </c>
      <c r="E2393">
        <v>10.210000000000001</v>
      </c>
      <c r="F2393">
        <v>0.99</v>
      </c>
      <c r="G2393">
        <v>0.33</v>
      </c>
      <c r="H2393" t="s">
        <v>608</v>
      </c>
      <c r="I2393" t="s">
        <v>608</v>
      </c>
      <c r="J2393" t="s">
        <v>3341</v>
      </c>
      <c r="K2393" t="s">
        <v>604</v>
      </c>
    </row>
    <row r="2394" spans="1:11" x14ac:dyDescent="0.2">
      <c r="A2394" t="s">
        <v>3403</v>
      </c>
      <c r="B2394" t="s">
        <v>3245</v>
      </c>
      <c r="C2394">
        <v>39.01</v>
      </c>
      <c r="D2394">
        <v>18.11</v>
      </c>
      <c r="E2394">
        <v>11.89</v>
      </c>
      <c r="F2394">
        <v>7.22</v>
      </c>
      <c r="G2394">
        <v>5.51</v>
      </c>
      <c r="H2394" t="s">
        <v>608</v>
      </c>
      <c r="I2394" t="s">
        <v>608</v>
      </c>
      <c r="J2394" t="s">
        <v>3332</v>
      </c>
      <c r="K2394" t="s">
        <v>604</v>
      </c>
    </row>
    <row r="2395" spans="1:11" x14ac:dyDescent="0.2">
      <c r="A2395" t="s">
        <v>3404</v>
      </c>
      <c r="B2395" t="s">
        <v>3245</v>
      </c>
      <c r="C2395">
        <v>37.909999999999997</v>
      </c>
      <c r="D2395">
        <v>29.32</v>
      </c>
      <c r="E2395">
        <v>15.57</v>
      </c>
      <c r="F2395">
        <v>9.02</v>
      </c>
      <c r="G2395">
        <v>6.82</v>
      </c>
      <c r="H2395" t="s">
        <v>608</v>
      </c>
      <c r="I2395" t="s">
        <v>608</v>
      </c>
      <c r="J2395" t="s">
        <v>3332</v>
      </c>
      <c r="K2395" t="s">
        <v>604</v>
      </c>
    </row>
    <row r="2396" spans="1:11" x14ac:dyDescent="0.2">
      <c r="A2396" t="s">
        <v>3405</v>
      </c>
      <c r="B2396" t="s">
        <v>3245</v>
      </c>
      <c r="C2396">
        <v>28.51</v>
      </c>
      <c r="D2396">
        <v>23.69</v>
      </c>
      <c r="E2396">
        <v>10.039999999999999</v>
      </c>
      <c r="F2396">
        <v>6.02</v>
      </c>
      <c r="G2396">
        <v>4.75</v>
      </c>
      <c r="H2396" t="s">
        <v>608</v>
      </c>
      <c r="I2396" t="s">
        <v>608</v>
      </c>
      <c r="J2396" t="s">
        <v>3332</v>
      </c>
      <c r="K2396" t="s">
        <v>604</v>
      </c>
    </row>
    <row r="2397" spans="1:11" x14ac:dyDescent="0.2">
      <c r="A2397" t="s">
        <v>3406</v>
      </c>
      <c r="B2397" t="s">
        <v>3245</v>
      </c>
      <c r="C2397">
        <v>23.81</v>
      </c>
      <c r="D2397">
        <v>21.46</v>
      </c>
      <c r="E2397">
        <v>21.45</v>
      </c>
      <c r="F2397">
        <v>2.0099999999999998</v>
      </c>
      <c r="G2397">
        <v>1.52</v>
      </c>
      <c r="H2397" t="s">
        <v>608</v>
      </c>
      <c r="I2397" t="s">
        <v>608</v>
      </c>
      <c r="J2397" t="s">
        <v>3332</v>
      </c>
      <c r="K2397" t="s">
        <v>604</v>
      </c>
    </row>
    <row r="2398" spans="1:11" x14ac:dyDescent="0.2">
      <c r="A2398" t="s">
        <v>3407</v>
      </c>
      <c r="B2398" t="s">
        <v>3245</v>
      </c>
      <c r="C2398">
        <v>23.68</v>
      </c>
      <c r="D2398">
        <v>19.66</v>
      </c>
      <c r="E2398">
        <v>11.9</v>
      </c>
      <c r="F2398">
        <v>2.84</v>
      </c>
      <c r="G2398">
        <v>2.08</v>
      </c>
      <c r="H2398" t="s">
        <v>608</v>
      </c>
      <c r="I2398" t="s">
        <v>608</v>
      </c>
      <c r="J2398" t="s">
        <v>3332</v>
      </c>
      <c r="K2398" t="s">
        <v>604</v>
      </c>
    </row>
    <row r="2399" spans="1:11" x14ac:dyDescent="0.2">
      <c r="A2399" t="s">
        <v>3408</v>
      </c>
      <c r="B2399" t="s">
        <v>3245</v>
      </c>
      <c r="C2399">
        <v>25.59</v>
      </c>
      <c r="D2399">
        <v>16.53</v>
      </c>
      <c r="E2399">
        <v>6.47</v>
      </c>
      <c r="F2399">
        <v>2.1</v>
      </c>
      <c r="G2399">
        <v>1.65</v>
      </c>
      <c r="H2399" t="s">
        <v>608</v>
      </c>
      <c r="I2399" t="s">
        <v>608</v>
      </c>
      <c r="J2399" t="s">
        <v>3341</v>
      </c>
      <c r="K2399" t="s">
        <v>604</v>
      </c>
    </row>
    <row r="2400" spans="1:11" x14ac:dyDescent="0.2">
      <c r="A2400" t="s">
        <v>3409</v>
      </c>
      <c r="B2400" t="s">
        <v>3245</v>
      </c>
      <c r="C2400">
        <v>19.059999999999999</v>
      </c>
      <c r="D2400">
        <v>11.83</v>
      </c>
      <c r="E2400">
        <v>5.5</v>
      </c>
      <c r="F2400">
        <v>1.07</v>
      </c>
      <c r="G2400">
        <v>0.8</v>
      </c>
      <c r="H2400" t="s">
        <v>608</v>
      </c>
      <c r="I2400" t="s">
        <v>608</v>
      </c>
      <c r="J2400" t="s">
        <v>3341</v>
      </c>
      <c r="K2400" t="s">
        <v>604</v>
      </c>
    </row>
    <row r="2401" spans="1:11" x14ac:dyDescent="0.2">
      <c r="A2401" t="s">
        <v>3410</v>
      </c>
      <c r="B2401" t="s">
        <v>3245</v>
      </c>
      <c r="C2401">
        <v>18.29</v>
      </c>
      <c r="D2401">
        <v>13.11</v>
      </c>
      <c r="E2401">
        <v>7.92</v>
      </c>
      <c r="F2401">
        <v>1</v>
      </c>
      <c r="G2401">
        <v>0.78</v>
      </c>
      <c r="H2401" t="s">
        <v>608</v>
      </c>
      <c r="I2401" t="s">
        <v>608</v>
      </c>
      <c r="J2401" t="s">
        <v>3341</v>
      </c>
      <c r="K2401" t="s">
        <v>604</v>
      </c>
    </row>
    <row r="2402" spans="1:11" x14ac:dyDescent="0.2">
      <c r="A2402" t="s">
        <v>3411</v>
      </c>
      <c r="B2402" t="s">
        <v>3245</v>
      </c>
      <c r="C2402">
        <v>12.65</v>
      </c>
      <c r="D2402">
        <v>13.38</v>
      </c>
      <c r="E2402">
        <v>6.23</v>
      </c>
      <c r="F2402">
        <v>0.57999999999999996</v>
      </c>
      <c r="G2402">
        <v>0.4</v>
      </c>
      <c r="H2402" t="s">
        <v>608</v>
      </c>
      <c r="I2402" t="s">
        <v>608</v>
      </c>
      <c r="J2402" t="s">
        <v>3341</v>
      </c>
      <c r="K2402" t="s">
        <v>604</v>
      </c>
    </row>
    <row r="2403" spans="1:11" x14ac:dyDescent="0.2">
      <c r="A2403" t="s">
        <v>3412</v>
      </c>
      <c r="B2403" t="s">
        <v>3245</v>
      </c>
      <c r="C2403">
        <v>10.85</v>
      </c>
      <c r="D2403">
        <v>7.66</v>
      </c>
      <c r="E2403">
        <v>4.92</v>
      </c>
      <c r="F2403">
        <v>0.38</v>
      </c>
      <c r="G2403">
        <v>0.26</v>
      </c>
      <c r="H2403" t="s">
        <v>608</v>
      </c>
      <c r="I2403" t="s">
        <v>608</v>
      </c>
      <c r="J2403" t="s">
        <v>3341</v>
      </c>
      <c r="K2403" t="s">
        <v>604</v>
      </c>
    </row>
    <row r="2404" spans="1:11" x14ac:dyDescent="0.2">
      <c r="A2404" t="s">
        <v>3413</v>
      </c>
      <c r="B2404" t="s">
        <v>3253</v>
      </c>
      <c r="C2404">
        <v>59.06</v>
      </c>
      <c r="D2404" t="s">
        <v>608</v>
      </c>
      <c r="E2404" t="s">
        <v>608</v>
      </c>
      <c r="F2404">
        <v>58.35</v>
      </c>
      <c r="G2404">
        <v>49.07</v>
      </c>
      <c r="H2404">
        <v>1</v>
      </c>
      <c r="I2404">
        <v>1</v>
      </c>
      <c r="J2404" t="s">
        <v>3414</v>
      </c>
      <c r="K2404" t="s">
        <v>604</v>
      </c>
    </row>
    <row r="2405" spans="1:11" x14ac:dyDescent="0.2">
      <c r="A2405" t="s">
        <v>3415</v>
      </c>
      <c r="B2405" t="s">
        <v>3253</v>
      </c>
      <c r="C2405">
        <v>56.59</v>
      </c>
      <c r="D2405" t="s">
        <v>608</v>
      </c>
      <c r="E2405" t="s">
        <v>608</v>
      </c>
      <c r="F2405">
        <v>34.549999999999997</v>
      </c>
      <c r="G2405">
        <v>27.3</v>
      </c>
      <c r="H2405">
        <v>0.5</v>
      </c>
      <c r="I2405">
        <v>1</v>
      </c>
      <c r="J2405" t="s">
        <v>608</v>
      </c>
      <c r="K2405" t="s">
        <v>604</v>
      </c>
    </row>
    <row r="2406" spans="1:11" x14ac:dyDescent="0.2">
      <c r="A2406" t="s">
        <v>3416</v>
      </c>
      <c r="B2406" t="s">
        <v>3253</v>
      </c>
      <c r="C2406">
        <v>47.31</v>
      </c>
      <c r="D2406" t="s">
        <v>608</v>
      </c>
      <c r="E2406" t="s">
        <v>608</v>
      </c>
      <c r="F2406">
        <v>23.1</v>
      </c>
      <c r="G2406">
        <v>17.95</v>
      </c>
      <c r="H2406">
        <v>0.5</v>
      </c>
      <c r="I2406">
        <v>1</v>
      </c>
      <c r="J2406" t="s">
        <v>608</v>
      </c>
      <c r="K2406" t="s">
        <v>604</v>
      </c>
    </row>
    <row r="2407" spans="1:11" x14ac:dyDescent="0.2">
      <c r="A2407" t="s">
        <v>3417</v>
      </c>
      <c r="B2407" t="s">
        <v>3253</v>
      </c>
      <c r="C2407">
        <v>60.18</v>
      </c>
      <c r="D2407" t="s">
        <v>608</v>
      </c>
      <c r="E2407" t="s">
        <v>608</v>
      </c>
      <c r="F2407">
        <v>42.29</v>
      </c>
      <c r="G2407">
        <v>32.18</v>
      </c>
      <c r="H2407">
        <v>0.5</v>
      </c>
      <c r="I2407">
        <v>0</v>
      </c>
      <c r="J2407" t="s">
        <v>608</v>
      </c>
      <c r="K2407" t="s">
        <v>604</v>
      </c>
    </row>
    <row r="2408" spans="1:11" x14ac:dyDescent="0.2">
      <c r="A2408" t="s">
        <v>3418</v>
      </c>
      <c r="B2408" t="s">
        <v>3253</v>
      </c>
      <c r="C2408">
        <v>72.36</v>
      </c>
      <c r="D2408" t="s">
        <v>608</v>
      </c>
      <c r="E2408" t="s">
        <v>608</v>
      </c>
      <c r="F2408">
        <v>50.16</v>
      </c>
      <c r="G2408">
        <v>36.869999999999997</v>
      </c>
      <c r="H2408">
        <v>0.5</v>
      </c>
      <c r="I2408">
        <v>0</v>
      </c>
      <c r="J2408" t="s">
        <v>608</v>
      </c>
      <c r="K2408" t="s">
        <v>604</v>
      </c>
    </row>
    <row r="2409" spans="1:11" x14ac:dyDescent="0.2">
      <c r="A2409" t="s">
        <v>3419</v>
      </c>
      <c r="B2409" t="s">
        <v>3255</v>
      </c>
      <c r="C2409">
        <v>65.22</v>
      </c>
      <c r="D2409" t="s">
        <v>608</v>
      </c>
      <c r="E2409" t="s">
        <v>608</v>
      </c>
      <c r="F2409">
        <v>54.93</v>
      </c>
      <c r="G2409">
        <v>41.19</v>
      </c>
      <c r="H2409">
        <v>1</v>
      </c>
      <c r="I2409">
        <v>2</v>
      </c>
      <c r="J2409" t="s">
        <v>608</v>
      </c>
      <c r="K2409" t="s">
        <v>604</v>
      </c>
    </row>
    <row r="2410" spans="1:11" x14ac:dyDescent="0.2">
      <c r="A2410" t="s">
        <v>3420</v>
      </c>
      <c r="B2410" t="s">
        <v>3255</v>
      </c>
      <c r="C2410">
        <v>82.8</v>
      </c>
      <c r="D2410" t="s">
        <v>608</v>
      </c>
      <c r="E2410" t="s">
        <v>608</v>
      </c>
      <c r="F2410">
        <v>71.61</v>
      </c>
      <c r="G2410">
        <v>54.55</v>
      </c>
      <c r="H2410">
        <v>0</v>
      </c>
      <c r="I2410">
        <v>0.5</v>
      </c>
      <c r="J2410" t="s">
        <v>608</v>
      </c>
      <c r="K2410" t="s">
        <v>604</v>
      </c>
    </row>
    <row r="2411" spans="1:11" x14ac:dyDescent="0.2">
      <c r="A2411" t="s">
        <v>3421</v>
      </c>
      <c r="B2411" t="s">
        <v>3255</v>
      </c>
      <c r="C2411">
        <v>63.38</v>
      </c>
      <c r="D2411" t="s">
        <v>608</v>
      </c>
      <c r="E2411" t="s">
        <v>608</v>
      </c>
      <c r="F2411">
        <v>51.03</v>
      </c>
      <c r="G2411">
        <v>38.31</v>
      </c>
      <c r="H2411">
        <v>0</v>
      </c>
      <c r="I2411">
        <v>0</v>
      </c>
      <c r="J2411" t="s">
        <v>608</v>
      </c>
      <c r="K2411" t="s">
        <v>604</v>
      </c>
    </row>
    <row r="2412" spans="1:11" x14ac:dyDescent="0.2">
      <c r="A2412" t="s">
        <v>3422</v>
      </c>
      <c r="B2412" t="s">
        <v>3255</v>
      </c>
      <c r="C2412">
        <v>72.62</v>
      </c>
      <c r="D2412" t="s">
        <v>608</v>
      </c>
      <c r="E2412" t="s">
        <v>608</v>
      </c>
      <c r="F2412">
        <v>47.08</v>
      </c>
      <c r="G2412">
        <v>37.4</v>
      </c>
      <c r="H2412">
        <v>1</v>
      </c>
      <c r="I2412">
        <v>2</v>
      </c>
      <c r="J2412" t="s">
        <v>608</v>
      </c>
      <c r="K2412" t="s">
        <v>604</v>
      </c>
    </row>
    <row r="2413" spans="1:11" x14ac:dyDescent="0.2">
      <c r="A2413" t="s">
        <v>3423</v>
      </c>
      <c r="B2413" t="s">
        <v>3255</v>
      </c>
      <c r="C2413">
        <v>79.23</v>
      </c>
      <c r="D2413" t="s">
        <v>608</v>
      </c>
      <c r="E2413" t="s">
        <v>608</v>
      </c>
      <c r="F2413">
        <v>58.86</v>
      </c>
      <c r="G2413">
        <v>47.61</v>
      </c>
      <c r="H2413">
        <v>0</v>
      </c>
      <c r="I2413">
        <v>0</v>
      </c>
      <c r="J2413" t="s">
        <v>608</v>
      </c>
      <c r="K2413" t="s">
        <v>604</v>
      </c>
    </row>
    <row r="2414" spans="1:11" x14ac:dyDescent="0.2">
      <c r="A2414" t="s">
        <v>3424</v>
      </c>
      <c r="B2414" t="s">
        <v>3257</v>
      </c>
      <c r="C2414">
        <v>43.59</v>
      </c>
      <c r="D2414" t="s">
        <v>608</v>
      </c>
      <c r="E2414" t="s">
        <v>608</v>
      </c>
      <c r="F2414">
        <v>27.38</v>
      </c>
      <c r="G2414">
        <v>21.1</v>
      </c>
      <c r="H2414">
        <v>2</v>
      </c>
      <c r="I2414">
        <v>3</v>
      </c>
      <c r="J2414" t="s">
        <v>608</v>
      </c>
      <c r="K2414" t="s">
        <v>604</v>
      </c>
    </row>
    <row r="2415" spans="1:11" x14ac:dyDescent="0.2">
      <c r="A2415" t="s">
        <v>3425</v>
      </c>
      <c r="B2415" t="s">
        <v>3257</v>
      </c>
      <c r="C2415">
        <v>62.31</v>
      </c>
      <c r="D2415" t="s">
        <v>608</v>
      </c>
      <c r="E2415" t="s">
        <v>608</v>
      </c>
      <c r="F2415">
        <v>57</v>
      </c>
      <c r="G2415">
        <v>42.7</v>
      </c>
      <c r="H2415">
        <v>0.5</v>
      </c>
      <c r="I2415">
        <v>0</v>
      </c>
      <c r="J2415" t="s">
        <v>608</v>
      </c>
      <c r="K2415" t="s">
        <v>604</v>
      </c>
    </row>
    <row r="2416" spans="1:11" x14ac:dyDescent="0.2">
      <c r="A2416" t="s">
        <v>3426</v>
      </c>
      <c r="B2416" t="s">
        <v>3257</v>
      </c>
      <c r="C2416">
        <v>62.77</v>
      </c>
      <c r="D2416" t="s">
        <v>608</v>
      </c>
      <c r="E2416" t="s">
        <v>608</v>
      </c>
      <c r="F2416">
        <v>36.43</v>
      </c>
      <c r="G2416">
        <v>27.09</v>
      </c>
      <c r="H2416">
        <v>0</v>
      </c>
      <c r="I2416">
        <v>0</v>
      </c>
      <c r="J2416" t="s">
        <v>608</v>
      </c>
      <c r="K2416" t="s">
        <v>604</v>
      </c>
    </row>
    <row r="2417" spans="1:11" x14ac:dyDescent="0.2">
      <c r="A2417" t="s">
        <v>3427</v>
      </c>
      <c r="B2417" t="s">
        <v>3257</v>
      </c>
      <c r="C2417">
        <v>51.26</v>
      </c>
      <c r="D2417" t="s">
        <v>608</v>
      </c>
      <c r="E2417" t="s">
        <v>608</v>
      </c>
      <c r="F2417">
        <v>24.72</v>
      </c>
      <c r="G2417">
        <v>19.82</v>
      </c>
      <c r="H2417">
        <v>0</v>
      </c>
      <c r="I2417">
        <v>0</v>
      </c>
      <c r="J2417" t="s">
        <v>608</v>
      </c>
      <c r="K2417" t="s">
        <v>604</v>
      </c>
    </row>
    <row r="2418" spans="1:11" x14ac:dyDescent="0.2">
      <c r="A2418" t="s">
        <v>3428</v>
      </c>
      <c r="B2418" t="s">
        <v>3257</v>
      </c>
      <c r="C2418">
        <v>58.47</v>
      </c>
      <c r="D2418" t="s">
        <v>608</v>
      </c>
      <c r="E2418" t="s">
        <v>608</v>
      </c>
      <c r="F2418">
        <v>45.22</v>
      </c>
      <c r="G2418">
        <v>37.85</v>
      </c>
      <c r="H2418">
        <v>1</v>
      </c>
      <c r="I2418">
        <v>2</v>
      </c>
      <c r="J2418" t="s">
        <v>608</v>
      </c>
      <c r="K2418" t="s">
        <v>604</v>
      </c>
    </row>
    <row r="2419" spans="1:11" x14ac:dyDescent="0.2">
      <c r="A2419" t="s">
        <v>3429</v>
      </c>
      <c r="B2419" t="s">
        <v>3253</v>
      </c>
      <c r="C2419">
        <v>34.590000000000003</v>
      </c>
      <c r="D2419">
        <v>34.81</v>
      </c>
      <c r="E2419">
        <v>18.13</v>
      </c>
      <c r="F2419">
        <v>18.600000000000001</v>
      </c>
      <c r="G2419">
        <v>12.78</v>
      </c>
      <c r="H2419" t="s">
        <v>608</v>
      </c>
      <c r="I2419" t="s">
        <v>608</v>
      </c>
      <c r="J2419" t="s">
        <v>608</v>
      </c>
      <c r="K2419" t="s">
        <v>604</v>
      </c>
    </row>
    <row r="2420" spans="1:11" x14ac:dyDescent="0.2">
      <c r="A2420" t="s">
        <v>3430</v>
      </c>
      <c r="B2420" t="s">
        <v>3253</v>
      </c>
      <c r="C2420">
        <v>35.29</v>
      </c>
      <c r="D2420">
        <v>33.46</v>
      </c>
      <c r="E2420">
        <v>21.85</v>
      </c>
      <c r="F2420">
        <v>17.22</v>
      </c>
      <c r="G2420">
        <v>12.94</v>
      </c>
      <c r="H2420" t="s">
        <v>608</v>
      </c>
      <c r="I2420" t="s">
        <v>608</v>
      </c>
      <c r="J2420" t="s">
        <v>608</v>
      </c>
      <c r="K2420" t="s">
        <v>604</v>
      </c>
    </row>
    <row r="2421" spans="1:11" x14ac:dyDescent="0.2">
      <c r="A2421" t="s">
        <v>3431</v>
      </c>
      <c r="B2421" t="s">
        <v>3253</v>
      </c>
      <c r="C2421">
        <v>31.5</v>
      </c>
      <c r="D2421">
        <v>31.99</v>
      </c>
      <c r="E2421">
        <v>12.39</v>
      </c>
      <c r="F2421">
        <v>9.2200000000000006</v>
      </c>
      <c r="G2421">
        <v>7.03</v>
      </c>
      <c r="H2421" t="s">
        <v>608</v>
      </c>
      <c r="I2421" t="s">
        <v>608</v>
      </c>
      <c r="J2421" t="s">
        <v>608</v>
      </c>
      <c r="K2421" t="s">
        <v>604</v>
      </c>
    </row>
    <row r="2422" spans="1:11" x14ac:dyDescent="0.2">
      <c r="A2422" t="s">
        <v>3432</v>
      </c>
      <c r="B2422" t="s">
        <v>3253</v>
      </c>
      <c r="C2422">
        <v>32.83</v>
      </c>
      <c r="D2422">
        <v>24.63</v>
      </c>
      <c r="E2422">
        <v>13.28</v>
      </c>
      <c r="F2422">
        <v>9.32</v>
      </c>
      <c r="G2422">
        <v>6.96</v>
      </c>
      <c r="H2422" t="s">
        <v>608</v>
      </c>
      <c r="I2422" t="s">
        <v>608</v>
      </c>
      <c r="J2422" t="s">
        <v>608</v>
      </c>
      <c r="K2422" t="s">
        <v>604</v>
      </c>
    </row>
    <row r="2423" spans="1:11" x14ac:dyDescent="0.2">
      <c r="A2423" t="s">
        <v>3433</v>
      </c>
      <c r="B2423" t="s">
        <v>3253</v>
      </c>
      <c r="C2423">
        <v>23.45</v>
      </c>
      <c r="D2423">
        <v>16.37</v>
      </c>
      <c r="E2423">
        <v>8.02</v>
      </c>
      <c r="F2423">
        <v>2.29</v>
      </c>
      <c r="G2423">
        <v>1.77</v>
      </c>
      <c r="H2423" t="s">
        <v>608</v>
      </c>
      <c r="I2423" t="s">
        <v>608</v>
      </c>
      <c r="J2423" t="s">
        <v>608</v>
      </c>
      <c r="K2423" t="s">
        <v>604</v>
      </c>
    </row>
    <row r="2424" spans="1:11" x14ac:dyDescent="0.2">
      <c r="A2424" t="s">
        <v>3434</v>
      </c>
      <c r="B2424" t="s">
        <v>3253</v>
      </c>
      <c r="C2424">
        <v>20.83</v>
      </c>
      <c r="D2424">
        <v>16.62</v>
      </c>
      <c r="E2424">
        <v>8.9600000000000009</v>
      </c>
      <c r="F2424">
        <v>2.42</v>
      </c>
      <c r="G2424">
        <v>1.82</v>
      </c>
      <c r="H2424" t="s">
        <v>608</v>
      </c>
      <c r="I2424" t="s">
        <v>608</v>
      </c>
      <c r="J2424" t="s">
        <v>608</v>
      </c>
      <c r="K2424" t="s">
        <v>604</v>
      </c>
    </row>
    <row r="2425" spans="1:11" x14ac:dyDescent="0.2">
      <c r="A2425" t="s">
        <v>3435</v>
      </c>
      <c r="B2425" t="s">
        <v>3253</v>
      </c>
      <c r="C2425">
        <v>22.24</v>
      </c>
      <c r="D2425">
        <v>13.37</v>
      </c>
      <c r="E2425">
        <v>9.11</v>
      </c>
      <c r="F2425">
        <v>1.56</v>
      </c>
      <c r="G2425">
        <v>0.93</v>
      </c>
      <c r="H2425" t="s">
        <v>608</v>
      </c>
      <c r="I2425" t="s">
        <v>608</v>
      </c>
      <c r="J2425" t="s">
        <v>608</v>
      </c>
      <c r="K2425" t="s">
        <v>604</v>
      </c>
    </row>
    <row r="2426" spans="1:11" x14ac:dyDescent="0.2">
      <c r="A2426" t="s">
        <v>3436</v>
      </c>
      <c r="B2426" t="s">
        <v>3253</v>
      </c>
      <c r="C2426">
        <v>18.3</v>
      </c>
      <c r="D2426">
        <v>17.46</v>
      </c>
      <c r="E2426">
        <v>9.81</v>
      </c>
      <c r="F2426">
        <v>2.5299999999999998</v>
      </c>
      <c r="G2426">
        <v>1.86</v>
      </c>
      <c r="H2426" t="s">
        <v>608</v>
      </c>
      <c r="I2426" t="s">
        <v>608</v>
      </c>
      <c r="J2426" t="s">
        <v>608</v>
      </c>
      <c r="K2426" t="s">
        <v>604</v>
      </c>
    </row>
    <row r="2427" spans="1:11" x14ac:dyDescent="0.2">
      <c r="A2427" t="s">
        <v>3437</v>
      </c>
      <c r="B2427" t="s">
        <v>3253</v>
      </c>
      <c r="C2427">
        <v>21.66</v>
      </c>
      <c r="D2427">
        <v>12.17</v>
      </c>
      <c r="E2427">
        <v>9.66</v>
      </c>
      <c r="F2427">
        <v>1.1200000000000001</v>
      </c>
      <c r="G2427">
        <v>0.79</v>
      </c>
      <c r="H2427" t="s">
        <v>608</v>
      </c>
      <c r="I2427" t="s">
        <v>608</v>
      </c>
      <c r="J2427" t="s">
        <v>635</v>
      </c>
      <c r="K2427" t="s">
        <v>604</v>
      </c>
    </row>
    <row r="2428" spans="1:11" x14ac:dyDescent="0.2">
      <c r="A2428" t="s">
        <v>3438</v>
      </c>
      <c r="B2428" t="s">
        <v>3253</v>
      </c>
      <c r="C2428">
        <v>14.52</v>
      </c>
      <c r="D2428">
        <v>11.77</v>
      </c>
      <c r="E2428">
        <v>6.73</v>
      </c>
      <c r="F2428">
        <v>0.66</v>
      </c>
      <c r="G2428">
        <v>0.47</v>
      </c>
      <c r="H2428" t="s">
        <v>608</v>
      </c>
      <c r="I2428" t="s">
        <v>608</v>
      </c>
      <c r="J2428" t="s">
        <v>635</v>
      </c>
      <c r="K2428" t="s">
        <v>604</v>
      </c>
    </row>
    <row r="2429" spans="1:11" x14ac:dyDescent="0.2">
      <c r="A2429" t="s">
        <v>3439</v>
      </c>
      <c r="B2429" t="s">
        <v>3255</v>
      </c>
      <c r="C2429">
        <v>39.94</v>
      </c>
      <c r="D2429">
        <v>31.27</v>
      </c>
      <c r="E2429">
        <v>20.68</v>
      </c>
      <c r="F2429">
        <v>23.2</v>
      </c>
      <c r="G2429">
        <v>14.75</v>
      </c>
      <c r="H2429" t="s">
        <v>608</v>
      </c>
      <c r="I2429" t="s">
        <v>608</v>
      </c>
      <c r="J2429" t="s">
        <v>3440</v>
      </c>
      <c r="K2429" t="s">
        <v>604</v>
      </c>
    </row>
    <row r="2430" spans="1:11" x14ac:dyDescent="0.2">
      <c r="A2430" t="s">
        <v>3441</v>
      </c>
      <c r="B2430" t="s">
        <v>3255</v>
      </c>
      <c r="C2430">
        <v>41.24</v>
      </c>
      <c r="D2430">
        <v>29.58</v>
      </c>
      <c r="E2430">
        <v>13.46</v>
      </c>
      <c r="F2430">
        <v>7.67</v>
      </c>
      <c r="G2430">
        <v>5.7</v>
      </c>
      <c r="H2430" t="s">
        <v>608</v>
      </c>
      <c r="I2430" t="s">
        <v>608</v>
      </c>
      <c r="J2430" t="s">
        <v>608</v>
      </c>
      <c r="K2430" t="s">
        <v>604</v>
      </c>
    </row>
    <row r="2431" spans="1:11" x14ac:dyDescent="0.2">
      <c r="A2431" t="s">
        <v>3442</v>
      </c>
      <c r="B2431" t="s">
        <v>3255</v>
      </c>
      <c r="C2431">
        <v>35.9</v>
      </c>
      <c r="D2431">
        <v>25.37</v>
      </c>
      <c r="E2431">
        <v>14.8</v>
      </c>
      <c r="F2431">
        <v>6.88</v>
      </c>
      <c r="G2431">
        <v>5.1100000000000003</v>
      </c>
      <c r="H2431" t="s">
        <v>608</v>
      </c>
      <c r="I2431" t="s">
        <v>608</v>
      </c>
      <c r="J2431" t="s">
        <v>608</v>
      </c>
      <c r="K2431" t="s">
        <v>604</v>
      </c>
    </row>
    <row r="2432" spans="1:11" x14ac:dyDescent="0.2">
      <c r="A2432" t="s">
        <v>3443</v>
      </c>
      <c r="B2432" t="s">
        <v>3255</v>
      </c>
      <c r="C2432">
        <v>28.05</v>
      </c>
      <c r="D2432">
        <v>25</v>
      </c>
      <c r="E2432">
        <v>10.1</v>
      </c>
      <c r="F2432">
        <v>5.45</v>
      </c>
      <c r="G2432">
        <v>4.0599999999999996</v>
      </c>
      <c r="H2432" t="s">
        <v>608</v>
      </c>
      <c r="I2432" t="s">
        <v>608</v>
      </c>
      <c r="J2432" t="s">
        <v>608</v>
      </c>
      <c r="K2432" t="s">
        <v>604</v>
      </c>
    </row>
    <row r="2433" spans="1:11" x14ac:dyDescent="0.2">
      <c r="A2433" t="s">
        <v>3444</v>
      </c>
      <c r="B2433" t="s">
        <v>3255</v>
      </c>
      <c r="C2433">
        <v>26.59</v>
      </c>
      <c r="D2433">
        <v>22.4</v>
      </c>
      <c r="E2433">
        <v>13.55</v>
      </c>
      <c r="F2433">
        <v>5.22</v>
      </c>
      <c r="G2433">
        <v>3.74</v>
      </c>
      <c r="H2433" t="s">
        <v>608</v>
      </c>
      <c r="I2433" t="s">
        <v>608</v>
      </c>
      <c r="J2433" t="s">
        <v>608</v>
      </c>
      <c r="K2433" t="s">
        <v>604</v>
      </c>
    </row>
    <row r="2434" spans="1:11" x14ac:dyDescent="0.2">
      <c r="A2434" t="s">
        <v>3445</v>
      </c>
      <c r="B2434" t="s">
        <v>3255</v>
      </c>
      <c r="C2434">
        <v>20.61</v>
      </c>
      <c r="D2434">
        <v>16.55</v>
      </c>
      <c r="E2434">
        <v>5.94</v>
      </c>
      <c r="F2434">
        <v>1.58</v>
      </c>
      <c r="G2434">
        <v>0.93</v>
      </c>
      <c r="H2434" t="s">
        <v>608</v>
      </c>
      <c r="I2434" t="s">
        <v>608</v>
      </c>
      <c r="J2434" t="s">
        <v>608</v>
      </c>
      <c r="K2434" t="s">
        <v>604</v>
      </c>
    </row>
    <row r="2435" spans="1:11" x14ac:dyDescent="0.2">
      <c r="A2435" t="s">
        <v>3446</v>
      </c>
      <c r="B2435" t="s">
        <v>3255</v>
      </c>
      <c r="C2435">
        <v>20.170000000000002</v>
      </c>
      <c r="D2435">
        <v>21.08</v>
      </c>
      <c r="E2435">
        <v>5.49</v>
      </c>
      <c r="F2435">
        <v>1.6</v>
      </c>
      <c r="G2435">
        <v>1.1399999999999999</v>
      </c>
      <c r="H2435" t="s">
        <v>608</v>
      </c>
      <c r="I2435" t="s">
        <v>608</v>
      </c>
      <c r="J2435" t="s">
        <v>608</v>
      </c>
      <c r="K2435" t="s">
        <v>604</v>
      </c>
    </row>
    <row r="2436" spans="1:11" x14ac:dyDescent="0.2">
      <c r="A2436" t="s">
        <v>3447</v>
      </c>
      <c r="B2436" t="s">
        <v>3255</v>
      </c>
      <c r="C2436">
        <v>23.58</v>
      </c>
      <c r="D2436">
        <v>15.28</v>
      </c>
      <c r="E2436">
        <v>10.199999999999999</v>
      </c>
      <c r="F2436">
        <v>1.69</v>
      </c>
      <c r="G2436">
        <v>1.04</v>
      </c>
      <c r="H2436" t="s">
        <v>608</v>
      </c>
      <c r="I2436" t="s">
        <v>608</v>
      </c>
      <c r="J2436" t="s">
        <v>608</v>
      </c>
      <c r="K2436" t="s">
        <v>604</v>
      </c>
    </row>
    <row r="2437" spans="1:11" x14ac:dyDescent="0.2">
      <c r="A2437" t="s">
        <v>3448</v>
      </c>
      <c r="B2437" t="s">
        <v>3255</v>
      </c>
      <c r="C2437">
        <v>19.7</v>
      </c>
      <c r="D2437">
        <v>11.31</v>
      </c>
      <c r="E2437">
        <v>10.56</v>
      </c>
      <c r="F2437">
        <v>1.51</v>
      </c>
      <c r="G2437">
        <v>1.1100000000000001</v>
      </c>
      <c r="H2437" t="s">
        <v>608</v>
      </c>
      <c r="I2437" t="s">
        <v>608</v>
      </c>
      <c r="J2437" t="s">
        <v>635</v>
      </c>
      <c r="K2437" t="s">
        <v>604</v>
      </c>
    </row>
    <row r="2438" spans="1:11" x14ac:dyDescent="0.2">
      <c r="A2438" t="s">
        <v>3449</v>
      </c>
      <c r="B2438" t="s">
        <v>3255</v>
      </c>
      <c r="C2438">
        <v>16.440000000000001</v>
      </c>
      <c r="D2438">
        <v>11.02</v>
      </c>
      <c r="E2438">
        <v>6.8</v>
      </c>
      <c r="F2438">
        <v>0.78</v>
      </c>
      <c r="G2438">
        <v>0.55000000000000004</v>
      </c>
      <c r="H2438" t="s">
        <v>608</v>
      </c>
      <c r="I2438" t="s">
        <v>608</v>
      </c>
      <c r="J2438" t="s">
        <v>635</v>
      </c>
      <c r="K2438" t="s">
        <v>604</v>
      </c>
    </row>
    <row r="2439" spans="1:11" x14ac:dyDescent="0.2">
      <c r="A2439" t="s">
        <v>3450</v>
      </c>
      <c r="B2439" t="s">
        <v>3257</v>
      </c>
      <c r="C2439">
        <v>42.98</v>
      </c>
      <c r="D2439">
        <v>27.72</v>
      </c>
      <c r="E2439">
        <v>12</v>
      </c>
      <c r="F2439">
        <v>11.33</v>
      </c>
      <c r="G2439">
        <v>8.5500000000000007</v>
      </c>
      <c r="H2439" t="s">
        <v>608</v>
      </c>
      <c r="I2439" t="s">
        <v>608</v>
      </c>
      <c r="J2439" t="s">
        <v>608</v>
      </c>
      <c r="K2439" t="s">
        <v>604</v>
      </c>
    </row>
    <row r="2440" spans="1:11" x14ac:dyDescent="0.2">
      <c r="A2440" t="s">
        <v>3451</v>
      </c>
      <c r="B2440" t="s">
        <v>3257</v>
      </c>
      <c r="C2440">
        <v>36.29</v>
      </c>
      <c r="D2440">
        <v>28.66</v>
      </c>
      <c r="E2440">
        <v>17.850000000000001</v>
      </c>
      <c r="F2440">
        <v>16.91</v>
      </c>
      <c r="G2440">
        <v>12.3</v>
      </c>
      <c r="H2440" t="s">
        <v>608</v>
      </c>
      <c r="I2440" t="s">
        <v>608</v>
      </c>
      <c r="J2440" t="s">
        <v>608</v>
      </c>
      <c r="K2440" t="s">
        <v>604</v>
      </c>
    </row>
    <row r="2441" spans="1:11" x14ac:dyDescent="0.2">
      <c r="A2441" t="s">
        <v>3452</v>
      </c>
      <c r="B2441" t="s">
        <v>3257</v>
      </c>
      <c r="C2441">
        <v>33.33</v>
      </c>
      <c r="D2441">
        <v>35.049999999999997</v>
      </c>
      <c r="E2441">
        <v>13.61</v>
      </c>
      <c r="F2441">
        <v>6.17</v>
      </c>
      <c r="G2441">
        <v>4.25</v>
      </c>
      <c r="H2441" t="s">
        <v>608</v>
      </c>
      <c r="I2441" t="s">
        <v>608</v>
      </c>
      <c r="J2441" t="s">
        <v>608</v>
      </c>
      <c r="K2441" t="s">
        <v>604</v>
      </c>
    </row>
    <row r="2442" spans="1:11" x14ac:dyDescent="0.2">
      <c r="A2442" t="s">
        <v>3453</v>
      </c>
      <c r="B2442" t="s">
        <v>3257</v>
      </c>
      <c r="C2442">
        <v>19.45</v>
      </c>
      <c r="D2442">
        <v>21.9</v>
      </c>
      <c r="E2442">
        <v>8.7200000000000006</v>
      </c>
      <c r="F2442">
        <v>3</v>
      </c>
      <c r="G2442">
        <v>2.31</v>
      </c>
      <c r="H2442" t="s">
        <v>608</v>
      </c>
      <c r="I2442" t="s">
        <v>608</v>
      </c>
      <c r="J2442" t="s">
        <v>3454</v>
      </c>
      <c r="K2442" t="s">
        <v>604</v>
      </c>
    </row>
    <row r="2443" spans="1:11" x14ac:dyDescent="0.2">
      <c r="A2443" t="s">
        <v>3455</v>
      </c>
      <c r="B2443" t="s">
        <v>3257</v>
      </c>
      <c r="C2443">
        <v>29.13</v>
      </c>
      <c r="D2443">
        <v>18.41</v>
      </c>
      <c r="E2443">
        <v>13.52</v>
      </c>
      <c r="F2443">
        <v>3.95</v>
      </c>
      <c r="G2443">
        <v>2.81</v>
      </c>
      <c r="H2443" t="s">
        <v>608</v>
      </c>
      <c r="I2443" t="s">
        <v>608</v>
      </c>
      <c r="J2443" t="s">
        <v>608</v>
      </c>
      <c r="K2443" t="s">
        <v>604</v>
      </c>
    </row>
    <row r="2444" spans="1:11" x14ac:dyDescent="0.2">
      <c r="A2444" t="s">
        <v>3456</v>
      </c>
      <c r="B2444" t="s">
        <v>3257</v>
      </c>
      <c r="C2444">
        <v>25.61</v>
      </c>
      <c r="D2444">
        <v>17.05</v>
      </c>
      <c r="E2444">
        <v>7.37</v>
      </c>
      <c r="F2444">
        <v>2.15</v>
      </c>
      <c r="G2444">
        <v>1.59</v>
      </c>
      <c r="H2444" t="s">
        <v>608</v>
      </c>
      <c r="I2444" t="s">
        <v>608</v>
      </c>
      <c r="J2444" t="s">
        <v>608</v>
      </c>
      <c r="K2444" t="s">
        <v>604</v>
      </c>
    </row>
    <row r="2445" spans="1:11" x14ac:dyDescent="0.2">
      <c r="A2445" t="s">
        <v>3457</v>
      </c>
      <c r="B2445" t="s">
        <v>3257</v>
      </c>
      <c r="C2445">
        <v>20.22</v>
      </c>
      <c r="D2445">
        <v>22.58</v>
      </c>
      <c r="E2445">
        <v>11.23</v>
      </c>
      <c r="F2445">
        <v>2.99</v>
      </c>
      <c r="G2445">
        <v>2.14</v>
      </c>
      <c r="H2445" t="s">
        <v>608</v>
      </c>
      <c r="I2445" t="s">
        <v>608</v>
      </c>
      <c r="J2445" t="s">
        <v>608</v>
      </c>
      <c r="K2445" t="s">
        <v>604</v>
      </c>
    </row>
    <row r="2446" spans="1:11" x14ac:dyDescent="0.2">
      <c r="A2446" t="s">
        <v>3458</v>
      </c>
      <c r="B2446" t="s">
        <v>3257</v>
      </c>
      <c r="C2446">
        <v>20.87</v>
      </c>
      <c r="D2446">
        <v>18.920000000000002</v>
      </c>
      <c r="E2446">
        <v>5.74</v>
      </c>
      <c r="F2446">
        <v>1.34</v>
      </c>
      <c r="G2446">
        <v>1.05</v>
      </c>
      <c r="H2446" t="s">
        <v>608</v>
      </c>
      <c r="I2446" t="s">
        <v>608</v>
      </c>
      <c r="J2446" t="s">
        <v>635</v>
      </c>
      <c r="K2446" t="s">
        <v>604</v>
      </c>
    </row>
    <row r="2447" spans="1:11" x14ac:dyDescent="0.2">
      <c r="A2447" t="s">
        <v>3459</v>
      </c>
      <c r="B2447" t="s">
        <v>3257</v>
      </c>
      <c r="C2447">
        <v>18.28</v>
      </c>
      <c r="D2447">
        <v>15.01</v>
      </c>
      <c r="E2447">
        <v>10.210000000000001</v>
      </c>
      <c r="F2447">
        <v>1.26</v>
      </c>
      <c r="G2447">
        <v>0.99</v>
      </c>
      <c r="H2447" t="s">
        <v>608</v>
      </c>
      <c r="I2447" t="s">
        <v>608</v>
      </c>
      <c r="J2447" t="s">
        <v>635</v>
      </c>
      <c r="K2447" t="s">
        <v>604</v>
      </c>
    </row>
    <row r="2448" spans="1:11" x14ac:dyDescent="0.2">
      <c r="A2448" t="s">
        <v>3460</v>
      </c>
      <c r="B2448" t="s">
        <v>3257</v>
      </c>
      <c r="C2448">
        <v>16.3</v>
      </c>
      <c r="D2448">
        <v>11.34</v>
      </c>
      <c r="E2448">
        <v>4.9000000000000004</v>
      </c>
      <c r="F2448">
        <v>0.56999999999999995</v>
      </c>
      <c r="G2448">
        <v>0.31</v>
      </c>
      <c r="H2448" t="s">
        <v>608</v>
      </c>
      <c r="I2448" t="s">
        <v>608</v>
      </c>
      <c r="J2448" t="s">
        <v>635</v>
      </c>
      <c r="K2448" t="s">
        <v>604</v>
      </c>
    </row>
    <row r="2449" spans="1:11" x14ac:dyDescent="0.2">
      <c r="A2449" t="s">
        <v>3461</v>
      </c>
      <c r="B2449" t="s">
        <v>3223</v>
      </c>
      <c r="C2449">
        <v>69.13</v>
      </c>
      <c r="D2449" t="s">
        <v>608</v>
      </c>
      <c r="E2449" t="s">
        <v>608</v>
      </c>
      <c r="F2449">
        <v>54.49</v>
      </c>
      <c r="G2449">
        <v>38.67</v>
      </c>
      <c r="H2449">
        <v>1</v>
      </c>
      <c r="I2449">
        <v>1</v>
      </c>
      <c r="J2449" t="s">
        <v>608</v>
      </c>
      <c r="K2449" t="s">
        <v>604</v>
      </c>
    </row>
    <row r="2450" spans="1:11" x14ac:dyDescent="0.2">
      <c r="A2450" t="s">
        <v>3462</v>
      </c>
      <c r="B2450" t="s">
        <v>3223</v>
      </c>
      <c r="C2450">
        <v>30.43</v>
      </c>
      <c r="D2450" t="s">
        <v>608</v>
      </c>
      <c r="E2450" t="s">
        <v>608</v>
      </c>
      <c r="F2450">
        <v>12.98</v>
      </c>
      <c r="G2450">
        <v>11.01</v>
      </c>
      <c r="H2450">
        <v>0</v>
      </c>
      <c r="I2450">
        <v>0</v>
      </c>
      <c r="J2450" t="s">
        <v>608</v>
      </c>
      <c r="K2450" t="s">
        <v>604</v>
      </c>
    </row>
    <row r="2451" spans="1:11" x14ac:dyDescent="0.2">
      <c r="A2451" t="s">
        <v>3463</v>
      </c>
      <c r="B2451" t="s">
        <v>3223</v>
      </c>
      <c r="C2451">
        <v>56.93</v>
      </c>
      <c r="D2451" t="s">
        <v>608</v>
      </c>
      <c r="E2451" t="s">
        <v>608</v>
      </c>
      <c r="F2451">
        <v>39.93</v>
      </c>
      <c r="G2451">
        <v>27.95</v>
      </c>
      <c r="H2451">
        <v>1</v>
      </c>
      <c r="I2451">
        <v>1</v>
      </c>
      <c r="J2451" t="s">
        <v>608</v>
      </c>
      <c r="K2451" t="s">
        <v>604</v>
      </c>
    </row>
    <row r="2452" spans="1:11" x14ac:dyDescent="0.2">
      <c r="A2452" t="s">
        <v>3464</v>
      </c>
      <c r="B2452" t="s">
        <v>3223</v>
      </c>
      <c r="C2452">
        <v>72.08</v>
      </c>
      <c r="D2452" t="s">
        <v>608</v>
      </c>
      <c r="E2452" t="s">
        <v>608</v>
      </c>
      <c r="F2452">
        <v>75.72</v>
      </c>
      <c r="G2452">
        <v>54.33</v>
      </c>
      <c r="H2452">
        <v>1</v>
      </c>
      <c r="I2452">
        <v>1</v>
      </c>
      <c r="J2452" t="s">
        <v>608</v>
      </c>
      <c r="K2452" t="s">
        <v>604</v>
      </c>
    </row>
    <row r="2453" spans="1:11" x14ac:dyDescent="0.2">
      <c r="A2453" t="s">
        <v>3465</v>
      </c>
      <c r="B2453" t="s">
        <v>3223</v>
      </c>
      <c r="C2453">
        <v>52.99</v>
      </c>
      <c r="D2453" t="s">
        <v>608</v>
      </c>
      <c r="E2453" t="s">
        <v>608</v>
      </c>
      <c r="F2453">
        <v>37.75</v>
      </c>
      <c r="G2453">
        <v>28.65</v>
      </c>
      <c r="H2453">
        <v>0</v>
      </c>
      <c r="I2453">
        <v>0</v>
      </c>
      <c r="J2453" t="s">
        <v>608</v>
      </c>
      <c r="K2453" t="s">
        <v>604</v>
      </c>
    </row>
    <row r="2454" spans="1:11" x14ac:dyDescent="0.2">
      <c r="A2454" t="s">
        <v>3466</v>
      </c>
      <c r="B2454" t="s">
        <v>3225</v>
      </c>
      <c r="C2454">
        <v>84.96</v>
      </c>
      <c r="D2454" t="s">
        <v>608</v>
      </c>
      <c r="E2454" t="s">
        <v>608</v>
      </c>
      <c r="F2454">
        <v>98.19</v>
      </c>
      <c r="G2454">
        <v>70.59</v>
      </c>
      <c r="H2454">
        <v>1</v>
      </c>
      <c r="I2454">
        <v>1</v>
      </c>
      <c r="J2454" t="s">
        <v>608</v>
      </c>
      <c r="K2454" t="s">
        <v>604</v>
      </c>
    </row>
    <row r="2455" spans="1:11" x14ac:dyDescent="0.2">
      <c r="A2455" t="s">
        <v>3467</v>
      </c>
      <c r="B2455" t="s">
        <v>3225</v>
      </c>
      <c r="C2455">
        <v>64.06</v>
      </c>
      <c r="D2455" t="s">
        <v>608</v>
      </c>
      <c r="E2455" t="s">
        <v>608</v>
      </c>
      <c r="F2455">
        <v>41.43</v>
      </c>
      <c r="G2455">
        <v>31.12</v>
      </c>
      <c r="H2455">
        <v>0</v>
      </c>
      <c r="I2455">
        <v>0</v>
      </c>
      <c r="J2455" t="s">
        <v>608</v>
      </c>
      <c r="K2455" t="s">
        <v>604</v>
      </c>
    </row>
    <row r="2456" spans="1:11" x14ac:dyDescent="0.2">
      <c r="A2456" t="s">
        <v>3468</v>
      </c>
      <c r="B2456" t="s">
        <v>3225</v>
      </c>
      <c r="C2456">
        <v>64.39</v>
      </c>
      <c r="D2456" t="s">
        <v>608</v>
      </c>
      <c r="E2456" t="s">
        <v>608</v>
      </c>
      <c r="F2456">
        <v>55.76</v>
      </c>
      <c r="G2456">
        <v>37.61</v>
      </c>
      <c r="H2456">
        <v>2</v>
      </c>
      <c r="I2456">
        <v>1</v>
      </c>
      <c r="J2456" t="s">
        <v>608</v>
      </c>
      <c r="K2456" t="s">
        <v>604</v>
      </c>
    </row>
    <row r="2457" spans="1:11" x14ac:dyDescent="0.2">
      <c r="A2457" t="s">
        <v>3469</v>
      </c>
      <c r="B2457" t="s">
        <v>3225</v>
      </c>
      <c r="C2457">
        <v>45.44</v>
      </c>
      <c r="D2457" t="s">
        <v>608</v>
      </c>
      <c r="E2457" t="s">
        <v>608</v>
      </c>
      <c r="F2457">
        <v>18.329999999999998</v>
      </c>
      <c r="G2457">
        <v>14.31</v>
      </c>
      <c r="H2457">
        <v>0</v>
      </c>
      <c r="I2457">
        <v>0</v>
      </c>
      <c r="J2457" t="s">
        <v>608</v>
      </c>
      <c r="K2457" t="s">
        <v>604</v>
      </c>
    </row>
    <row r="2458" spans="1:11" x14ac:dyDescent="0.2">
      <c r="A2458" t="s">
        <v>3470</v>
      </c>
      <c r="B2458" t="s">
        <v>3225</v>
      </c>
      <c r="C2458">
        <v>60.76</v>
      </c>
      <c r="D2458" t="s">
        <v>608</v>
      </c>
      <c r="E2458" t="s">
        <v>608</v>
      </c>
      <c r="F2458">
        <v>52.55</v>
      </c>
      <c r="G2458">
        <v>40.96</v>
      </c>
      <c r="H2458">
        <v>2</v>
      </c>
      <c r="I2458">
        <v>2</v>
      </c>
      <c r="J2458" t="s">
        <v>608</v>
      </c>
      <c r="K2458" t="s">
        <v>604</v>
      </c>
    </row>
    <row r="2459" spans="1:11" x14ac:dyDescent="0.2">
      <c r="A2459" t="s">
        <v>3471</v>
      </c>
      <c r="B2459" t="s">
        <v>3227</v>
      </c>
      <c r="C2459">
        <v>83.03</v>
      </c>
      <c r="D2459" t="s">
        <v>608</v>
      </c>
      <c r="E2459" t="s">
        <v>608</v>
      </c>
      <c r="F2459">
        <v>126.05</v>
      </c>
      <c r="G2459">
        <v>91.97</v>
      </c>
      <c r="H2459">
        <v>0</v>
      </c>
      <c r="I2459">
        <v>0</v>
      </c>
      <c r="J2459" t="s">
        <v>3472</v>
      </c>
      <c r="K2459" t="s">
        <v>604</v>
      </c>
    </row>
    <row r="2460" spans="1:11" x14ac:dyDescent="0.2">
      <c r="A2460" t="s">
        <v>3473</v>
      </c>
      <c r="B2460" t="s">
        <v>3227</v>
      </c>
      <c r="C2460">
        <v>36.24</v>
      </c>
      <c r="D2460" t="s">
        <v>608</v>
      </c>
      <c r="E2460" t="s">
        <v>608</v>
      </c>
      <c r="F2460">
        <v>13.6</v>
      </c>
      <c r="G2460">
        <v>10.68</v>
      </c>
      <c r="H2460">
        <v>0</v>
      </c>
      <c r="I2460">
        <v>0</v>
      </c>
      <c r="J2460" t="s">
        <v>608</v>
      </c>
      <c r="K2460" t="s">
        <v>604</v>
      </c>
    </row>
    <row r="2461" spans="1:11" x14ac:dyDescent="0.2">
      <c r="A2461" t="s">
        <v>3474</v>
      </c>
      <c r="B2461" t="s">
        <v>3227</v>
      </c>
      <c r="C2461">
        <v>50.91</v>
      </c>
      <c r="D2461" t="s">
        <v>608</v>
      </c>
      <c r="E2461" t="s">
        <v>608</v>
      </c>
      <c r="F2461">
        <v>35.700000000000003</v>
      </c>
      <c r="G2461">
        <v>24.46</v>
      </c>
      <c r="H2461">
        <v>0</v>
      </c>
      <c r="I2461">
        <v>0</v>
      </c>
      <c r="J2461" t="s">
        <v>608</v>
      </c>
      <c r="K2461" t="s">
        <v>604</v>
      </c>
    </row>
    <row r="2462" spans="1:11" x14ac:dyDescent="0.2">
      <c r="A2462" t="s">
        <v>3475</v>
      </c>
      <c r="B2462" t="s">
        <v>3227</v>
      </c>
      <c r="C2462">
        <v>87.51</v>
      </c>
      <c r="D2462" t="s">
        <v>608</v>
      </c>
      <c r="E2462" t="s">
        <v>608</v>
      </c>
      <c r="F2462">
        <v>74.650000000000006</v>
      </c>
      <c r="G2462">
        <v>53.42</v>
      </c>
      <c r="H2462">
        <v>0</v>
      </c>
      <c r="I2462">
        <v>0</v>
      </c>
      <c r="J2462" t="s">
        <v>608</v>
      </c>
      <c r="K2462" t="s">
        <v>604</v>
      </c>
    </row>
    <row r="2463" spans="1:11" x14ac:dyDescent="0.2">
      <c r="A2463" t="s">
        <v>3476</v>
      </c>
      <c r="B2463" t="s">
        <v>3227</v>
      </c>
      <c r="C2463">
        <v>47.31</v>
      </c>
      <c r="D2463" t="s">
        <v>608</v>
      </c>
      <c r="E2463" t="s">
        <v>608</v>
      </c>
      <c r="F2463">
        <v>13.08</v>
      </c>
      <c r="G2463">
        <v>9.1</v>
      </c>
      <c r="H2463">
        <v>1</v>
      </c>
      <c r="I2463">
        <v>2</v>
      </c>
      <c r="J2463" t="s">
        <v>608</v>
      </c>
      <c r="K2463" t="s">
        <v>604</v>
      </c>
    </row>
    <row r="2464" spans="1:11" x14ac:dyDescent="0.2">
      <c r="A2464" t="s">
        <v>3477</v>
      </c>
      <c r="B2464" t="s">
        <v>3235</v>
      </c>
      <c r="C2464">
        <v>55.23</v>
      </c>
      <c r="D2464" t="s">
        <v>608</v>
      </c>
      <c r="E2464" t="s">
        <v>608</v>
      </c>
      <c r="F2464">
        <v>43.3</v>
      </c>
      <c r="G2464">
        <v>30.95</v>
      </c>
      <c r="H2464">
        <v>0</v>
      </c>
      <c r="I2464">
        <v>0.5</v>
      </c>
      <c r="J2464" t="s">
        <v>608</v>
      </c>
      <c r="K2464" t="s">
        <v>604</v>
      </c>
    </row>
    <row r="2465" spans="1:11" x14ac:dyDescent="0.2">
      <c r="A2465" t="s">
        <v>3478</v>
      </c>
      <c r="B2465" t="s">
        <v>3235</v>
      </c>
      <c r="C2465">
        <v>37.549999999999997</v>
      </c>
      <c r="D2465" t="s">
        <v>608</v>
      </c>
      <c r="E2465" t="s">
        <v>608</v>
      </c>
      <c r="F2465">
        <v>15.41</v>
      </c>
      <c r="G2465">
        <v>11.05</v>
      </c>
      <c r="H2465">
        <v>0</v>
      </c>
      <c r="I2465">
        <v>0</v>
      </c>
      <c r="J2465" t="s">
        <v>608</v>
      </c>
      <c r="K2465" t="s">
        <v>604</v>
      </c>
    </row>
    <row r="2466" spans="1:11" x14ac:dyDescent="0.2">
      <c r="A2466" t="s">
        <v>3479</v>
      </c>
      <c r="B2466" t="s">
        <v>3235</v>
      </c>
      <c r="C2466">
        <v>50.3</v>
      </c>
      <c r="D2466" t="s">
        <v>608</v>
      </c>
      <c r="E2466" t="s">
        <v>608</v>
      </c>
      <c r="F2466">
        <v>43.98</v>
      </c>
      <c r="G2466">
        <v>33.880000000000003</v>
      </c>
      <c r="H2466">
        <v>0.5</v>
      </c>
      <c r="I2466">
        <v>0.5</v>
      </c>
      <c r="J2466" t="s">
        <v>608</v>
      </c>
      <c r="K2466" t="s">
        <v>604</v>
      </c>
    </row>
    <row r="2467" spans="1:11" x14ac:dyDescent="0.2">
      <c r="A2467" t="s">
        <v>3480</v>
      </c>
      <c r="B2467" t="s">
        <v>3235</v>
      </c>
      <c r="C2467">
        <v>42.53</v>
      </c>
      <c r="D2467" t="s">
        <v>608</v>
      </c>
      <c r="E2467" t="s">
        <v>608</v>
      </c>
      <c r="F2467">
        <v>34.99</v>
      </c>
      <c r="G2467">
        <v>28.41</v>
      </c>
      <c r="H2467">
        <v>0</v>
      </c>
      <c r="I2467">
        <v>0</v>
      </c>
      <c r="J2467" t="s">
        <v>608</v>
      </c>
      <c r="K2467" t="s">
        <v>604</v>
      </c>
    </row>
    <row r="2468" spans="1:11" x14ac:dyDescent="0.2">
      <c r="A2468" t="s">
        <v>3481</v>
      </c>
      <c r="B2468" t="s">
        <v>3235</v>
      </c>
      <c r="C2468">
        <v>53.17</v>
      </c>
      <c r="D2468" t="s">
        <v>608</v>
      </c>
      <c r="E2468" t="s">
        <v>608</v>
      </c>
      <c r="F2468">
        <v>19.899999999999999</v>
      </c>
      <c r="G2468">
        <v>14.71</v>
      </c>
      <c r="H2468">
        <v>1</v>
      </c>
      <c r="I2468">
        <v>2</v>
      </c>
      <c r="J2468" t="s">
        <v>608</v>
      </c>
      <c r="K2468" t="s">
        <v>604</v>
      </c>
    </row>
    <row r="2469" spans="1:11" x14ac:dyDescent="0.2">
      <c r="A2469" t="s">
        <v>3482</v>
      </c>
      <c r="B2469" t="s">
        <v>3237</v>
      </c>
      <c r="C2469">
        <v>60.2</v>
      </c>
      <c r="D2469" t="s">
        <v>608</v>
      </c>
      <c r="E2469" t="s">
        <v>608</v>
      </c>
      <c r="F2469">
        <v>51.09</v>
      </c>
      <c r="G2469">
        <v>37.36</v>
      </c>
      <c r="H2469">
        <v>0</v>
      </c>
      <c r="I2469">
        <v>0</v>
      </c>
      <c r="J2469" t="s">
        <v>608</v>
      </c>
      <c r="K2469" t="s">
        <v>604</v>
      </c>
    </row>
    <row r="2470" spans="1:11" x14ac:dyDescent="0.2">
      <c r="A2470" t="s">
        <v>3483</v>
      </c>
      <c r="B2470" t="s">
        <v>3237</v>
      </c>
      <c r="C2470">
        <v>49.74</v>
      </c>
      <c r="D2470" t="s">
        <v>608</v>
      </c>
      <c r="E2470" t="s">
        <v>608</v>
      </c>
      <c r="F2470">
        <v>24.42</v>
      </c>
      <c r="G2470">
        <v>17.36</v>
      </c>
      <c r="H2470">
        <v>0.5</v>
      </c>
      <c r="I2470">
        <v>1</v>
      </c>
      <c r="J2470" t="s">
        <v>608</v>
      </c>
      <c r="K2470" t="s">
        <v>604</v>
      </c>
    </row>
    <row r="2471" spans="1:11" x14ac:dyDescent="0.2">
      <c r="A2471" t="s">
        <v>3484</v>
      </c>
      <c r="B2471" t="s">
        <v>3237</v>
      </c>
      <c r="C2471">
        <v>54.28</v>
      </c>
      <c r="D2471" t="s">
        <v>608</v>
      </c>
      <c r="E2471" t="s">
        <v>608</v>
      </c>
      <c r="F2471">
        <v>36.97</v>
      </c>
      <c r="G2471">
        <v>25.92</v>
      </c>
      <c r="H2471">
        <v>0</v>
      </c>
      <c r="I2471">
        <v>0.5</v>
      </c>
      <c r="J2471" t="s">
        <v>608</v>
      </c>
      <c r="K2471" t="s">
        <v>604</v>
      </c>
    </row>
    <row r="2472" spans="1:11" x14ac:dyDescent="0.2">
      <c r="A2472" t="s">
        <v>3485</v>
      </c>
      <c r="B2472" t="s">
        <v>3237</v>
      </c>
      <c r="C2472">
        <v>75.19</v>
      </c>
      <c r="D2472" t="s">
        <v>608</v>
      </c>
      <c r="E2472" t="s">
        <v>608</v>
      </c>
      <c r="F2472">
        <v>83.3</v>
      </c>
      <c r="G2472">
        <v>62</v>
      </c>
      <c r="H2472">
        <v>2</v>
      </c>
      <c r="I2472">
        <v>2</v>
      </c>
      <c r="J2472" t="s">
        <v>608</v>
      </c>
      <c r="K2472" t="s">
        <v>604</v>
      </c>
    </row>
    <row r="2473" spans="1:11" x14ac:dyDescent="0.2">
      <c r="A2473" t="s">
        <v>3486</v>
      </c>
      <c r="B2473" t="s">
        <v>3237</v>
      </c>
      <c r="C2473">
        <v>74.2</v>
      </c>
      <c r="D2473" t="s">
        <v>608</v>
      </c>
      <c r="E2473" t="s">
        <v>608</v>
      </c>
      <c r="F2473">
        <v>73.459999999999994</v>
      </c>
      <c r="G2473">
        <v>52.69</v>
      </c>
      <c r="H2473">
        <v>1</v>
      </c>
      <c r="I2473">
        <v>2</v>
      </c>
      <c r="J2473" t="s">
        <v>3487</v>
      </c>
      <c r="K2473" t="s">
        <v>604</v>
      </c>
    </row>
    <row r="2474" spans="1:11" x14ac:dyDescent="0.2">
      <c r="A2474" t="s">
        <v>3488</v>
      </c>
      <c r="B2474" t="s">
        <v>3239</v>
      </c>
      <c r="C2474">
        <v>46.32</v>
      </c>
      <c r="D2474" t="s">
        <v>608</v>
      </c>
      <c r="E2474" t="s">
        <v>608</v>
      </c>
      <c r="F2474">
        <v>21.8</v>
      </c>
      <c r="G2474">
        <v>16.38</v>
      </c>
      <c r="H2474">
        <v>0</v>
      </c>
      <c r="I2474">
        <v>0</v>
      </c>
      <c r="J2474" t="s">
        <v>608</v>
      </c>
      <c r="K2474" t="s">
        <v>604</v>
      </c>
    </row>
    <row r="2475" spans="1:11" x14ac:dyDescent="0.2">
      <c r="A2475" t="s">
        <v>3489</v>
      </c>
      <c r="B2475" t="s">
        <v>3239</v>
      </c>
      <c r="C2475">
        <v>61.14</v>
      </c>
      <c r="D2475" t="s">
        <v>608</v>
      </c>
      <c r="E2475" t="s">
        <v>608</v>
      </c>
      <c r="F2475">
        <v>64.400000000000006</v>
      </c>
      <c r="G2475">
        <v>46.48</v>
      </c>
      <c r="H2475">
        <v>0</v>
      </c>
      <c r="I2475">
        <v>1</v>
      </c>
      <c r="J2475" t="s">
        <v>608</v>
      </c>
      <c r="K2475" t="s">
        <v>604</v>
      </c>
    </row>
    <row r="2476" spans="1:11" x14ac:dyDescent="0.2">
      <c r="A2476" t="s">
        <v>3490</v>
      </c>
      <c r="B2476" t="s">
        <v>3239</v>
      </c>
      <c r="C2476">
        <v>55.45</v>
      </c>
      <c r="D2476" t="s">
        <v>608</v>
      </c>
      <c r="E2476" t="s">
        <v>608</v>
      </c>
      <c r="F2476">
        <v>46.46</v>
      </c>
      <c r="G2476">
        <v>32.35</v>
      </c>
      <c r="H2476">
        <v>0.5</v>
      </c>
      <c r="I2476">
        <v>1</v>
      </c>
      <c r="J2476" t="s">
        <v>608</v>
      </c>
      <c r="K2476" t="s">
        <v>604</v>
      </c>
    </row>
    <row r="2477" spans="1:11" x14ac:dyDescent="0.2">
      <c r="A2477" t="s">
        <v>3491</v>
      </c>
      <c r="B2477" t="s">
        <v>3239</v>
      </c>
      <c r="C2477">
        <v>54.55</v>
      </c>
      <c r="D2477" t="s">
        <v>608</v>
      </c>
      <c r="E2477" t="s">
        <v>608</v>
      </c>
      <c r="F2477">
        <v>54.1</v>
      </c>
      <c r="G2477">
        <v>41.25</v>
      </c>
      <c r="H2477">
        <v>0</v>
      </c>
      <c r="I2477">
        <v>0.5</v>
      </c>
      <c r="J2477" t="s">
        <v>608</v>
      </c>
      <c r="K2477" t="s">
        <v>604</v>
      </c>
    </row>
    <row r="2478" spans="1:11" x14ac:dyDescent="0.2">
      <c r="A2478" t="s">
        <v>3492</v>
      </c>
      <c r="B2478" t="s">
        <v>3239</v>
      </c>
      <c r="C2478">
        <v>71.3</v>
      </c>
      <c r="D2478" t="s">
        <v>608</v>
      </c>
      <c r="E2478" t="s">
        <v>608</v>
      </c>
      <c r="F2478">
        <v>85.6</v>
      </c>
      <c r="G2478">
        <v>61.5</v>
      </c>
      <c r="H2478">
        <v>0.5</v>
      </c>
      <c r="I2478">
        <v>0</v>
      </c>
      <c r="J2478" t="s">
        <v>608</v>
      </c>
      <c r="K2478" t="s">
        <v>604</v>
      </c>
    </row>
    <row r="2479" spans="1:11" x14ac:dyDescent="0.2">
      <c r="A2479" t="s">
        <v>3493</v>
      </c>
      <c r="B2479" t="s">
        <v>3247</v>
      </c>
      <c r="C2479">
        <v>50.64</v>
      </c>
      <c r="D2479" t="s">
        <v>608</v>
      </c>
      <c r="E2479" t="s">
        <v>608</v>
      </c>
      <c r="F2479">
        <v>41.9</v>
      </c>
      <c r="G2479">
        <v>32.46</v>
      </c>
      <c r="H2479">
        <v>0</v>
      </c>
      <c r="I2479">
        <v>0</v>
      </c>
      <c r="J2479" t="s">
        <v>608</v>
      </c>
      <c r="K2479" t="s">
        <v>604</v>
      </c>
    </row>
    <row r="2480" spans="1:11" x14ac:dyDescent="0.2">
      <c r="A2480" t="s">
        <v>3494</v>
      </c>
      <c r="B2480" t="s">
        <v>3247</v>
      </c>
      <c r="C2480">
        <v>47.5</v>
      </c>
      <c r="D2480" t="s">
        <v>608</v>
      </c>
      <c r="E2480" t="s">
        <v>608</v>
      </c>
      <c r="F2480">
        <v>14.93</v>
      </c>
      <c r="G2480">
        <v>10.65</v>
      </c>
      <c r="H2480">
        <v>0.5</v>
      </c>
      <c r="I2480">
        <v>0.5</v>
      </c>
      <c r="J2480" t="s">
        <v>608</v>
      </c>
      <c r="K2480" t="s">
        <v>604</v>
      </c>
    </row>
    <row r="2481" spans="1:11" x14ac:dyDescent="0.2">
      <c r="A2481" t="s">
        <v>3495</v>
      </c>
      <c r="B2481" t="s">
        <v>3247</v>
      </c>
      <c r="C2481">
        <v>40.26</v>
      </c>
      <c r="D2481" t="s">
        <v>608</v>
      </c>
      <c r="E2481" t="s">
        <v>608</v>
      </c>
      <c r="F2481">
        <v>13.86</v>
      </c>
      <c r="G2481">
        <v>10.11</v>
      </c>
      <c r="H2481">
        <v>1</v>
      </c>
      <c r="I2481">
        <v>1</v>
      </c>
      <c r="J2481" t="s">
        <v>608</v>
      </c>
      <c r="K2481" t="s">
        <v>604</v>
      </c>
    </row>
    <row r="2482" spans="1:11" x14ac:dyDescent="0.2">
      <c r="A2482" t="s">
        <v>3496</v>
      </c>
      <c r="B2482" t="s">
        <v>3247</v>
      </c>
      <c r="C2482">
        <v>57.16</v>
      </c>
      <c r="D2482" t="s">
        <v>608</v>
      </c>
      <c r="E2482" t="s">
        <v>608</v>
      </c>
      <c r="F2482">
        <v>28.17</v>
      </c>
      <c r="G2482">
        <v>20.97</v>
      </c>
      <c r="H2482">
        <v>1</v>
      </c>
      <c r="I2482">
        <v>1</v>
      </c>
      <c r="J2482" t="s">
        <v>608</v>
      </c>
      <c r="K2482" t="s">
        <v>604</v>
      </c>
    </row>
    <row r="2483" spans="1:11" x14ac:dyDescent="0.2">
      <c r="A2483" t="s">
        <v>3497</v>
      </c>
      <c r="B2483" t="s">
        <v>3247</v>
      </c>
      <c r="C2483">
        <v>36.36</v>
      </c>
      <c r="D2483" t="s">
        <v>608</v>
      </c>
      <c r="E2483" t="s">
        <v>608</v>
      </c>
      <c r="F2483">
        <v>19.670000000000002</v>
      </c>
      <c r="G2483">
        <v>14.45</v>
      </c>
      <c r="H2483">
        <v>0.5</v>
      </c>
      <c r="I2483">
        <v>1</v>
      </c>
      <c r="J2483" t="s">
        <v>608</v>
      </c>
      <c r="K2483" t="s">
        <v>604</v>
      </c>
    </row>
    <row r="2484" spans="1:11" x14ac:dyDescent="0.2">
      <c r="A2484" t="s">
        <v>3498</v>
      </c>
      <c r="B2484" t="s">
        <v>3249</v>
      </c>
      <c r="C2484">
        <v>56.96</v>
      </c>
      <c r="D2484" t="s">
        <v>608</v>
      </c>
      <c r="E2484" t="s">
        <v>608</v>
      </c>
      <c r="F2484">
        <v>28.73</v>
      </c>
      <c r="G2484">
        <v>23.51</v>
      </c>
      <c r="H2484">
        <v>2</v>
      </c>
      <c r="I2484">
        <v>2</v>
      </c>
      <c r="J2484" t="s">
        <v>3499</v>
      </c>
      <c r="K2484" t="s">
        <v>604</v>
      </c>
    </row>
    <row r="2485" spans="1:11" x14ac:dyDescent="0.2">
      <c r="A2485" t="s">
        <v>3500</v>
      </c>
      <c r="B2485" t="s">
        <v>3249</v>
      </c>
      <c r="C2485">
        <v>46.32</v>
      </c>
      <c r="D2485" t="s">
        <v>608</v>
      </c>
      <c r="E2485" t="s">
        <v>608</v>
      </c>
      <c r="F2485">
        <v>20.27</v>
      </c>
      <c r="G2485">
        <v>14.15</v>
      </c>
      <c r="H2485">
        <v>0</v>
      </c>
      <c r="I2485">
        <v>0</v>
      </c>
      <c r="J2485" t="s">
        <v>608</v>
      </c>
      <c r="K2485" t="s">
        <v>604</v>
      </c>
    </row>
    <row r="2486" spans="1:11" x14ac:dyDescent="0.2">
      <c r="A2486" t="s">
        <v>3501</v>
      </c>
      <c r="B2486" t="s">
        <v>3249</v>
      </c>
      <c r="C2486">
        <v>58.21</v>
      </c>
      <c r="D2486" t="s">
        <v>608</v>
      </c>
      <c r="E2486" t="s">
        <v>608</v>
      </c>
      <c r="F2486">
        <v>47.16</v>
      </c>
      <c r="G2486">
        <v>32.369999999999997</v>
      </c>
      <c r="H2486">
        <v>2</v>
      </c>
      <c r="I2486">
        <v>2</v>
      </c>
      <c r="J2486" t="s">
        <v>608</v>
      </c>
      <c r="K2486" t="s">
        <v>604</v>
      </c>
    </row>
    <row r="2487" spans="1:11" x14ac:dyDescent="0.2">
      <c r="A2487" t="s">
        <v>3502</v>
      </c>
      <c r="B2487" t="s">
        <v>3249</v>
      </c>
      <c r="C2487">
        <v>48.45</v>
      </c>
      <c r="D2487" t="s">
        <v>608</v>
      </c>
      <c r="E2487" t="s">
        <v>608</v>
      </c>
      <c r="F2487">
        <v>28.38</v>
      </c>
      <c r="G2487">
        <v>22.48</v>
      </c>
      <c r="H2487">
        <v>0</v>
      </c>
      <c r="I2487">
        <v>0</v>
      </c>
      <c r="J2487" t="s">
        <v>608</v>
      </c>
      <c r="K2487" t="s">
        <v>604</v>
      </c>
    </row>
    <row r="2488" spans="1:11" x14ac:dyDescent="0.2">
      <c r="A2488" t="s">
        <v>3503</v>
      </c>
      <c r="B2488" t="s">
        <v>3249</v>
      </c>
      <c r="C2488">
        <v>65.52</v>
      </c>
      <c r="D2488" t="s">
        <v>608</v>
      </c>
      <c r="E2488" t="s">
        <v>608</v>
      </c>
      <c r="F2488">
        <v>62.36</v>
      </c>
      <c r="G2488">
        <v>46.26</v>
      </c>
      <c r="H2488">
        <v>1</v>
      </c>
      <c r="I2488">
        <v>2</v>
      </c>
      <c r="J2488" t="s">
        <v>608</v>
      </c>
      <c r="K2488" t="s">
        <v>604</v>
      </c>
    </row>
    <row r="2489" spans="1:11" x14ac:dyDescent="0.2">
      <c r="A2489" t="s">
        <v>3504</v>
      </c>
      <c r="B2489" t="s">
        <v>3251</v>
      </c>
      <c r="C2489">
        <v>58.55</v>
      </c>
      <c r="D2489" t="s">
        <v>608</v>
      </c>
      <c r="E2489" t="s">
        <v>608</v>
      </c>
      <c r="F2489">
        <v>29.49</v>
      </c>
      <c r="G2489">
        <v>18.98</v>
      </c>
      <c r="H2489">
        <v>1</v>
      </c>
      <c r="I2489">
        <v>0.5</v>
      </c>
      <c r="J2489" t="s">
        <v>608</v>
      </c>
      <c r="K2489" t="s">
        <v>604</v>
      </c>
    </row>
    <row r="2490" spans="1:11" x14ac:dyDescent="0.2">
      <c r="A2490" t="s">
        <v>3505</v>
      </c>
      <c r="B2490" t="s">
        <v>3251</v>
      </c>
      <c r="C2490">
        <v>70.11</v>
      </c>
      <c r="D2490" t="s">
        <v>608</v>
      </c>
      <c r="E2490" t="s">
        <v>608</v>
      </c>
      <c r="F2490">
        <v>45.19</v>
      </c>
      <c r="G2490">
        <v>30.3</v>
      </c>
      <c r="H2490">
        <v>0</v>
      </c>
      <c r="I2490">
        <v>0</v>
      </c>
      <c r="J2490" t="s">
        <v>608</v>
      </c>
      <c r="K2490" t="s">
        <v>604</v>
      </c>
    </row>
    <row r="2491" spans="1:11" x14ac:dyDescent="0.2">
      <c r="A2491" t="s">
        <v>3506</v>
      </c>
      <c r="B2491" t="s">
        <v>3251</v>
      </c>
      <c r="C2491">
        <v>63.83</v>
      </c>
      <c r="D2491" t="s">
        <v>608</v>
      </c>
      <c r="E2491" t="s">
        <v>608</v>
      </c>
      <c r="F2491">
        <v>25.03</v>
      </c>
      <c r="G2491">
        <v>18</v>
      </c>
      <c r="H2491">
        <v>0</v>
      </c>
      <c r="I2491">
        <v>0</v>
      </c>
      <c r="J2491" t="s">
        <v>608</v>
      </c>
      <c r="K2491" t="s">
        <v>604</v>
      </c>
    </row>
    <row r="2492" spans="1:11" x14ac:dyDescent="0.2">
      <c r="A2492" t="s">
        <v>3507</v>
      </c>
      <c r="B2492" t="s">
        <v>3251</v>
      </c>
      <c r="C2492">
        <v>58.47</v>
      </c>
      <c r="D2492" t="s">
        <v>608</v>
      </c>
      <c r="E2492" t="s">
        <v>608</v>
      </c>
      <c r="F2492">
        <v>21.82</v>
      </c>
      <c r="G2492">
        <v>14.85</v>
      </c>
      <c r="H2492">
        <v>3</v>
      </c>
      <c r="I2492">
        <v>3</v>
      </c>
      <c r="J2492" t="s">
        <v>608</v>
      </c>
      <c r="K2492" t="s">
        <v>604</v>
      </c>
    </row>
    <row r="2493" spans="1:11" x14ac:dyDescent="0.2">
      <c r="A2493" t="s">
        <v>3508</v>
      </c>
      <c r="B2493" t="s">
        <v>3251</v>
      </c>
      <c r="C2493">
        <v>68.400000000000006</v>
      </c>
      <c r="D2493" t="s">
        <v>608</v>
      </c>
      <c r="E2493" t="s">
        <v>608</v>
      </c>
      <c r="F2493">
        <v>51.92</v>
      </c>
      <c r="G2493">
        <v>37.5</v>
      </c>
      <c r="H2493">
        <v>0.5</v>
      </c>
      <c r="I2493">
        <v>1</v>
      </c>
      <c r="J2493" t="s">
        <v>608</v>
      </c>
      <c r="K2493" t="s">
        <v>604</v>
      </c>
    </row>
    <row r="2494" spans="1:11" x14ac:dyDescent="0.2">
      <c r="A2494" t="s">
        <v>3509</v>
      </c>
      <c r="B2494" t="s">
        <v>3259</v>
      </c>
      <c r="C2494">
        <v>64.13</v>
      </c>
      <c r="D2494" t="s">
        <v>608</v>
      </c>
      <c r="E2494" t="s">
        <v>608</v>
      </c>
      <c r="F2494">
        <v>24.44</v>
      </c>
      <c r="G2494">
        <v>16.34</v>
      </c>
      <c r="H2494">
        <v>0.5</v>
      </c>
      <c r="I2494">
        <v>0.5</v>
      </c>
      <c r="J2494" t="s">
        <v>608</v>
      </c>
      <c r="K2494" t="s">
        <v>604</v>
      </c>
    </row>
    <row r="2495" spans="1:11" x14ac:dyDescent="0.2">
      <c r="A2495" t="s">
        <v>3510</v>
      </c>
      <c r="B2495" t="s">
        <v>3259</v>
      </c>
      <c r="C2495">
        <v>56.29</v>
      </c>
      <c r="D2495" t="s">
        <v>608</v>
      </c>
      <c r="E2495" t="s">
        <v>608</v>
      </c>
      <c r="F2495">
        <v>39.44</v>
      </c>
      <c r="G2495">
        <v>30.68</v>
      </c>
      <c r="H2495">
        <v>1</v>
      </c>
      <c r="I2495">
        <v>1</v>
      </c>
      <c r="J2495" t="s">
        <v>608</v>
      </c>
      <c r="K2495" t="s">
        <v>604</v>
      </c>
    </row>
    <row r="2496" spans="1:11" x14ac:dyDescent="0.2">
      <c r="A2496" t="s">
        <v>3511</v>
      </c>
      <c r="B2496" t="s">
        <v>3259</v>
      </c>
      <c r="C2496">
        <v>63.68</v>
      </c>
      <c r="D2496" t="s">
        <v>608</v>
      </c>
      <c r="E2496" t="s">
        <v>608</v>
      </c>
      <c r="F2496">
        <v>57.37</v>
      </c>
      <c r="G2496">
        <v>41.2</v>
      </c>
      <c r="H2496">
        <v>0.5</v>
      </c>
      <c r="I2496">
        <v>1</v>
      </c>
      <c r="J2496" t="s">
        <v>608</v>
      </c>
      <c r="K2496" t="s">
        <v>604</v>
      </c>
    </row>
    <row r="2497" spans="1:11" x14ac:dyDescent="0.2">
      <c r="A2497" t="s">
        <v>3512</v>
      </c>
      <c r="B2497" t="s">
        <v>3259</v>
      </c>
      <c r="C2497">
        <v>56.61</v>
      </c>
      <c r="D2497" t="s">
        <v>608</v>
      </c>
      <c r="E2497" t="s">
        <v>608</v>
      </c>
      <c r="F2497">
        <v>33.619999999999997</v>
      </c>
      <c r="G2497">
        <v>25.89</v>
      </c>
      <c r="H2497">
        <v>0.5</v>
      </c>
      <c r="I2497">
        <v>0</v>
      </c>
      <c r="J2497" t="s">
        <v>608</v>
      </c>
      <c r="K2497" t="s">
        <v>604</v>
      </c>
    </row>
    <row r="2498" spans="1:11" x14ac:dyDescent="0.2">
      <c r="A2498" t="s">
        <v>3513</v>
      </c>
      <c r="B2498" t="s">
        <v>3259</v>
      </c>
      <c r="C2498">
        <v>62.01</v>
      </c>
      <c r="D2498" t="s">
        <v>608</v>
      </c>
      <c r="E2498" t="s">
        <v>608</v>
      </c>
      <c r="F2498">
        <v>37.340000000000003</v>
      </c>
      <c r="G2498">
        <v>29.44</v>
      </c>
      <c r="H2498">
        <v>0</v>
      </c>
      <c r="I2498">
        <v>0</v>
      </c>
      <c r="J2498" t="s">
        <v>608</v>
      </c>
      <c r="K2498" t="s">
        <v>604</v>
      </c>
    </row>
    <row r="2499" spans="1:11" x14ac:dyDescent="0.2">
      <c r="A2499" t="s">
        <v>3514</v>
      </c>
      <c r="B2499" t="s">
        <v>3261</v>
      </c>
      <c r="C2499">
        <v>79.900000000000006</v>
      </c>
      <c r="D2499" t="s">
        <v>608</v>
      </c>
      <c r="E2499" t="s">
        <v>608</v>
      </c>
      <c r="F2499">
        <v>74.98</v>
      </c>
      <c r="G2499">
        <v>53.86</v>
      </c>
      <c r="H2499">
        <v>0.5</v>
      </c>
      <c r="I2499">
        <v>0</v>
      </c>
      <c r="J2499" t="s">
        <v>608</v>
      </c>
      <c r="K2499" t="s">
        <v>604</v>
      </c>
    </row>
    <row r="2500" spans="1:11" x14ac:dyDescent="0.2">
      <c r="A2500" t="s">
        <v>3515</v>
      </c>
      <c r="B2500" t="s">
        <v>3261</v>
      </c>
      <c r="C2500">
        <v>77.61</v>
      </c>
      <c r="D2500" t="s">
        <v>608</v>
      </c>
      <c r="E2500" t="s">
        <v>608</v>
      </c>
      <c r="F2500">
        <v>74.8</v>
      </c>
      <c r="G2500">
        <v>58.68</v>
      </c>
      <c r="H2500">
        <v>0</v>
      </c>
      <c r="I2500">
        <v>0</v>
      </c>
      <c r="J2500" t="s">
        <v>3516</v>
      </c>
      <c r="K2500" t="s">
        <v>604</v>
      </c>
    </row>
    <row r="2501" spans="1:11" x14ac:dyDescent="0.2">
      <c r="A2501" t="s">
        <v>3517</v>
      </c>
      <c r="B2501" t="s">
        <v>3261</v>
      </c>
      <c r="C2501">
        <v>89.91</v>
      </c>
      <c r="D2501" t="s">
        <v>608</v>
      </c>
      <c r="E2501" t="s">
        <v>608</v>
      </c>
      <c r="F2501">
        <v>95.8</v>
      </c>
      <c r="G2501">
        <v>70.05</v>
      </c>
      <c r="H2501">
        <v>0.5</v>
      </c>
      <c r="I2501">
        <v>1</v>
      </c>
      <c r="J2501" t="s">
        <v>3516</v>
      </c>
      <c r="K2501" t="s">
        <v>604</v>
      </c>
    </row>
    <row r="2502" spans="1:11" x14ac:dyDescent="0.2">
      <c r="A2502" t="s">
        <v>3518</v>
      </c>
      <c r="B2502" t="s">
        <v>3261</v>
      </c>
      <c r="C2502">
        <v>48.23</v>
      </c>
      <c r="D2502" t="s">
        <v>608</v>
      </c>
      <c r="E2502" t="s">
        <v>608</v>
      </c>
      <c r="F2502">
        <v>19.28</v>
      </c>
      <c r="G2502">
        <v>13.97</v>
      </c>
      <c r="H2502">
        <v>1</v>
      </c>
      <c r="I2502">
        <v>3</v>
      </c>
      <c r="J2502" t="s">
        <v>608</v>
      </c>
      <c r="K2502" t="s">
        <v>604</v>
      </c>
    </row>
    <row r="2503" spans="1:11" x14ac:dyDescent="0.2">
      <c r="A2503" t="s">
        <v>3519</v>
      </c>
      <c r="B2503" t="s">
        <v>3261</v>
      </c>
      <c r="C2503">
        <v>40.43</v>
      </c>
      <c r="D2503" t="s">
        <v>608</v>
      </c>
      <c r="E2503" t="s">
        <v>608</v>
      </c>
      <c r="F2503">
        <v>11.13</v>
      </c>
      <c r="G2503">
        <v>8.49</v>
      </c>
      <c r="H2503">
        <v>0</v>
      </c>
      <c r="I2503">
        <v>0</v>
      </c>
      <c r="J2503" t="s">
        <v>608</v>
      </c>
      <c r="K2503" t="s">
        <v>604</v>
      </c>
    </row>
    <row r="2504" spans="1:11" x14ac:dyDescent="0.2">
      <c r="A2504" t="s">
        <v>3520</v>
      </c>
      <c r="B2504" t="s">
        <v>3263</v>
      </c>
      <c r="C2504">
        <v>70.39</v>
      </c>
      <c r="D2504" t="s">
        <v>608</v>
      </c>
      <c r="E2504" t="s">
        <v>608</v>
      </c>
      <c r="F2504">
        <v>53.21</v>
      </c>
      <c r="G2504">
        <v>41.6</v>
      </c>
      <c r="H2504">
        <v>0.5</v>
      </c>
      <c r="I2504">
        <v>0</v>
      </c>
      <c r="J2504" t="s">
        <v>608</v>
      </c>
      <c r="K2504" t="s">
        <v>604</v>
      </c>
    </row>
    <row r="2505" spans="1:11" x14ac:dyDescent="0.2">
      <c r="A2505" t="s">
        <v>3521</v>
      </c>
      <c r="B2505" t="s">
        <v>3263</v>
      </c>
      <c r="C2505">
        <v>66.47</v>
      </c>
      <c r="D2505" t="s">
        <v>608</v>
      </c>
      <c r="E2505" t="s">
        <v>608</v>
      </c>
      <c r="F2505">
        <v>60.82</v>
      </c>
      <c r="G2505">
        <v>46.57</v>
      </c>
      <c r="H2505">
        <v>2</v>
      </c>
      <c r="I2505">
        <v>3</v>
      </c>
      <c r="J2505" t="s">
        <v>608</v>
      </c>
      <c r="K2505" t="s">
        <v>604</v>
      </c>
    </row>
    <row r="2506" spans="1:11" x14ac:dyDescent="0.2">
      <c r="A2506" t="s">
        <v>3522</v>
      </c>
      <c r="B2506" t="s">
        <v>3263</v>
      </c>
      <c r="C2506">
        <v>57.72</v>
      </c>
      <c r="D2506" t="s">
        <v>608</v>
      </c>
      <c r="E2506" t="s">
        <v>608</v>
      </c>
      <c r="F2506">
        <v>48.26</v>
      </c>
      <c r="G2506">
        <v>37.270000000000003</v>
      </c>
      <c r="H2506">
        <v>2</v>
      </c>
      <c r="I2506">
        <v>0</v>
      </c>
      <c r="J2506" t="s">
        <v>608</v>
      </c>
      <c r="K2506" t="s">
        <v>604</v>
      </c>
    </row>
    <row r="2507" spans="1:11" x14ac:dyDescent="0.2">
      <c r="A2507" t="s">
        <v>3523</v>
      </c>
      <c r="B2507" t="s">
        <v>3263</v>
      </c>
      <c r="C2507">
        <v>49.1</v>
      </c>
      <c r="D2507" t="s">
        <v>608</v>
      </c>
      <c r="E2507" t="s">
        <v>608</v>
      </c>
      <c r="F2507">
        <v>28.37</v>
      </c>
      <c r="G2507">
        <v>21.23</v>
      </c>
      <c r="H2507">
        <v>0</v>
      </c>
      <c r="I2507">
        <v>0</v>
      </c>
      <c r="J2507" t="s">
        <v>608</v>
      </c>
      <c r="K2507" t="s">
        <v>604</v>
      </c>
    </row>
    <row r="2508" spans="1:11" x14ac:dyDescent="0.2">
      <c r="A2508" t="s">
        <v>3524</v>
      </c>
      <c r="B2508" t="s">
        <v>3263</v>
      </c>
      <c r="C2508">
        <v>55.64</v>
      </c>
      <c r="D2508" t="s">
        <v>608</v>
      </c>
      <c r="E2508" t="s">
        <v>608</v>
      </c>
      <c r="F2508">
        <v>32.46</v>
      </c>
      <c r="G2508">
        <v>24.24</v>
      </c>
      <c r="H2508">
        <v>0</v>
      </c>
      <c r="I2508">
        <v>1</v>
      </c>
      <c r="J2508" t="s">
        <v>608</v>
      </c>
      <c r="K2508" t="s">
        <v>604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E28F1-4D3E-418B-A9D6-36DEBB07B77D}">
  <dimension ref="A1:N2440"/>
  <sheetViews>
    <sheetView tabSelected="1" zoomScaleNormal="100" workbookViewId="0"/>
  </sheetViews>
  <sheetFormatPr defaultRowHeight="12.75" x14ac:dyDescent="0.2"/>
  <cols>
    <col min="1" max="1" width="12.85546875" bestFit="1" customWidth="1"/>
    <col min="2" max="2" width="28" bestFit="1" customWidth="1"/>
    <col min="3" max="3" width="4.28515625" bestFit="1" customWidth="1"/>
    <col min="4" max="4" width="11.140625" bestFit="1" customWidth="1"/>
    <col min="5" max="5" width="7.85546875" bestFit="1" customWidth="1"/>
    <col min="6" max="6" width="8.42578125" bestFit="1" customWidth="1"/>
    <col min="7" max="7" width="25.5703125" bestFit="1" customWidth="1"/>
    <col min="8" max="8" width="10.28515625" bestFit="1" customWidth="1"/>
    <col min="9" max="9" width="18.5703125" bestFit="1" customWidth="1"/>
    <col min="10" max="10" width="14.28515625" bestFit="1" customWidth="1"/>
    <col min="11" max="11" width="15.28515625" bestFit="1" customWidth="1"/>
    <col min="12" max="12" width="13.42578125" bestFit="1" customWidth="1"/>
    <col min="13" max="13" width="12.7109375" bestFit="1" customWidth="1"/>
    <col min="14" max="14" width="16.140625" bestFit="1" customWidth="1"/>
    <col min="15" max="15" width="9.5703125" bestFit="1" customWidth="1"/>
    <col min="16" max="16" width="10.7109375" bestFit="1" customWidth="1"/>
  </cols>
  <sheetData>
    <row r="1" spans="1:12" x14ac:dyDescent="0.2">
      <c r="A1" t="s">
        <v>39</v>
      </c>
      <c r="B1" t="s">
        <v>40</v>
      </c>
      <c r="C1" t="s">
        <v>6</v>
      </c>
      <c r="D1" t="s">
        <v>377</v>
      </c>
      <c r="E1" t="s">
        <v>378</v>
      </c>
      <c r="F1" t="s">
        <v>379</v>
      </c>
      <c r="G1" t="s">
        <v>49</v>
      </c>
      <c r="H1" t="s">
        <v>48</v>
      </c>
    </row>
    <row r="2" spans="1:12" x14ac:dyDescent="0.2">
      <c r="A2" t="s">
        <v>1570</v>
      </c>
      <c r="B2" t="s">
        <v>1055</v>
      </c>
      <c r="C2" t="s">
        <v>16</v>
      </c>
      <c r="D2">
        <v>4</v>
      </c>
      <c r="E2" t="s">
        <v>17</v>
      </c>
      <c r="F2" t="s">
        <v>380</v>
      </c>
      <c r="G2" t="s">
        <v>3201</v>
      </c>
      <c r="H2" s="17" t="s">
        <v>604</v>
      </c>
      <c r="J2" s="17"/>
      <c r="L2" s="17"/>
    </row>
    <row r="3" spans="1:12" x14ac:dyDescent="0.2">
      <c r="A3" t="s">
        <v>1571</v>
      </c>
      <c r="B3" t="s">
        <v>1055</v>
      </c>
      <c r="C3" t="s">
        <v>16</v>
      </c>
      <c r="D3">
        <v>4</v>
      </c>
      <c r="E3" t="s">
        <v>17</v>
      </c>
      <c r="F3" t="s">
        <v>380</v>
      </c>
      <c r="G3" t="s">
        <v>3201</v>
      </c>
      <c r="H3" s="17" t="s">
        <v>604</v>
      </c>
      <c r="J3" s="17"/>
      <c r="L3" s="17"/>
    </row>
    <row r="4" spans="1:12" x14ac:dyDescent="0.2">
      <c r="A4" t="s">
        <v>1572</v>
      </c>
      <c r="B4" t="s">
        <v>1055</v>
      </c>
      <c r="C4" t="s">
        <v>16</v>
      </c>
      <c r="D4">
        <v>4</v>
      </c>
      <c r="E4" t="s">
        <v>17</v>
      </c>
      <c r="F4" t="s">
        <v>380</v>
      </c>
      <c r="G4" t="s">
        <v>3201</v>
      </c>
      <c r="H4" s="17" t="s">
        <v>604</v>
      </c>
      <c r="J4" s="17"/>
      <c r="L4" s="17"/>
    </row>
    <row r="5" spans="1:12" x14ac:dyDescent="0.2">
      <c r="A5" t="s">
        <v>1573</v>
      </c>
      <c r="B5" t="s">
        <v>1055</v>
      </c>
      <c r="C5" t="s">
        <v>18</v>
      </c>
      <c r="D5">
        <v>1</v>
      </c>
      <c r="E5" t="s">
        <v>17</v>
      </c>
      <c r="F5" t="s">
        <v>380</v>
      </c>
      <c r="G5" t="s">
        <v>3201</v>
      </c>
      <c r="H5" s="17" t="s">
        <v>604</v>
      </c>
      <c r="J5" s="17"/>
      <c r="L5" s="17"/>
    </row>
    <row r="6" spans="1:12" x14ac:dyDescent="0.2">
      <c r="A6" t="s">
        <v>1574</v>
      </c>
      <c r="B6" t="s">
        <v>1055</v>
      </c>
      <c r="C6" t="s">
        <v>16</v>
      </c>
      <c r="D6">
        <v>4</v>
      </c>
      <c r="E6" t="s">
        <v>17</v>
      </c>
      <c r="F6" t="s">
        <v>380</v>
      </c>
      <c r="G6" t="s">
        <v>3201</v>
      </c>
      <c r="H6" s="17" t="s">
        <v>604</v>
      </c>
      <c r="J6" s="17"/>
      <c r="L6" s="17"/>
    </row>
    <row r="7" spans="1:12" x14ac:dyDescent="0.2">
      <c r="A7" t="s">
        <v>1575</v>
      </c>
      <c r="B7" t="s">
        <v>1057</v>
      </c>
      <c r="C7" t="s">
        <v>19</v>
      </c>
      <c r="D7">
        <v>3</v>
      </c>
      <c r="E7" t="s">
        <v>17</v>
      </c>
      <c r="F7" t="s">
        <v>380</v>
      </c>
      <c r="G7" t="s">
        <v>3201</v>
      </c>
      <c r="H7" s="17" t="s">
        <v>604</v>
      </c>
      <c r="J7" s="17"/>
      <c r="L7" s="17"/>
    </row>
    <row r="8" spans="1:12" x14ac:dyDescent="0.2">
      <c r="A8" t="s">
        <v>1576</v>
      </c>
      <c r="B8" t="s">
        <v>1057</v>
      </c>
      <c r="C8" t="s">
        <v>16</v>
      </c>
      <c r="D8">
        <v>4</v>
      </c>
      <c r="E8" t="s">
        <v>17</v>
      </c>
      <c r="F8" t="s">
        <v>380</v>
      </c>
      <c r="G8" t="s">
        <v>3201</v>
      </c>
      <c r="H8" s="17" t="s">
        <v>604</v>
      </c>
      <c r="J8" s="17"/>
      <c r="L8" s="17"/>
    </row>
    <row r="9" spans="1:12" x14ac:dyDescent="0.2">
      <c r="A9" t="s">
        <v>1577</v>
      </c>
      <c r="B9" t="s">
        <v>1057</v>
      </c>
      <c r="C9" t="s">
        <v>18</v>
      </c>
      <c r="D9">
        <v>2</v>
      </c>
      <c r="E9" t="s">
        <v>17</v>
      </c>
      <c r="F9" t="s">
        <v>380</v>
      </c>
      <c r="G9" t="s">
        <v>3201</v>
      </c>
      <c r="H9" s="17" t="s">
        <v>604</v>
      </c>
      <c r="J9" s="17"/>
      <c r="L9" s="17"/>
    </row>
    <row r="10" spans="1:12" x14ac:dyDescent="0.2">
      <c r="A10" t="s">
        <v>1578</v>
      </c>
      <c r="B10" t="s">
        <v>1057</v>
      </c>
      <c r="C10" t="s">
        <v>18</v>
      </c>
      <c r="D10">
        <v>1</v>
      </c>
      <c r="E10" t="s">
        <v>17</v>
      </c>
      <c r="F10" t="s">
        <v>380</v>
      </c>
      <c r="G10" t="s">
        <v>3201</v>
      </c>
      <c r="H10" s="17" t="s">
        <v>604</v>
      </c>
      <c r="J10" s="17"/>
      <c r="L10" s="17"/>
    </row>
    <row r="11" spans="1:12" x14ac:dyDescent="0.2">
      <c r="A11" t="s">
        <v>1579</v>
      </c>
      <c r="B11" t="s">
        <v>1057</v>
      </c>
      <c r="C11" t="s">
        <v>16</v>
      </c>
      <c r="D11">
        <v>4</v>
      </c>
      <c r="E11" t="s">
        <v>17</v>
      </c>
      <c r="F11" t="s">
        <v>380</v>
      </c>
      <c r="G11" t="s">
        <v>3201</v>
      </c>
      <c r="H11" s="17" t="s">
        <v>604</v>
      </c>
      <c r="J11" s="17"/>
      <c r="L11" s="17"/>
    </row>
    <row r="12" spans="1:12" x14ac:dyDescent="0.2">
      <c r="A12" t="s">
        <v>1580</v>
      </c>
      <c r="B12" t="s">
        <v>1059</v>
      </c>
      <c r="C12" t="s">
        <v>18</v>
      </c>
      <c r="D12">
        <v>3</v>
      </c>
      <c r="E12" t="s">
        <v>17</v>
      </c>
      <c r="F12" t="s">
        <v>380</v>
      </c>
      <c r="G12" t="s">
        <v>3201</v>
      </c>
      <c r="H12" s="17" t="s">
        <v>604</v>
      </c>
      <c r="J12" s="17"/>
      <c r="L12" s="17"/>
    </row>
    <row r="13" spans="1:12" x14ac:dyDescent="0.2">
      <c r="A13" t="s">
        <v>1581</v>
      </c>
      <c r="B13" t="s">
        <v>1059</v>
      </c>
      <c r="C13" t="s">
        <v>16</v>
      </c>
      <c r="D13">
        <v>4</v>
      </c>
      <c r="E13" t="s">
        <v>17</v>
      </c>
      <c r="F13" t="s">
        <v>380</v>
      </c>
      <c r="G13" t="s">
        <v>3201</v>
      </c>
      <c r="H13" s="17" t="s">
        <v>604</v>
      </c>
      <c r="J13" s="17"/>
      <c r="L13" s="17"/>
    </row>
    <row r="14" spans="1:12" x14ac:dyDescent="0.2">
      <c r="A14" t="s">
        <v>1582</v>
      </c>
      <c r="B14" t="s">
        <v>1059</v>
      </c>
      <c r="C14" t="s">
        <v>16</v>
      </c>
      <c r="D14">
        <v>4</v>
      </c>
      <c r="E14" t="s">
        <v>17</v>
      </c>
      <c r="F14" t="s">
        <v>380</v>
      </c>
      <c r="G14" t="s">
        <v>3201</v>
      </c>
      <c r="H14" s="17" t="s">
        <v>604</v>
      </c>
      <c r="J14" s="17"/>
      <c r="L14" s="17"/>
    </row>
    <row r="15" spans="1:12" x14ac:dyDescent="0.2">
      <c r="A15" t="s">
        <v>1583</v>
      </c>
      <c r="B15" t="s">
        <v>1059</v>
      </c>
      <c r="C15" t="s">
        <v>16</v>
      </c>
      <c r="D15">
        <v>4</v>
      </c>
      <c r="E15" t="s">
        <v>17</v>
      </c>
      <c r="F15" t="s">
        <v>380</v>
      </c>
      <c r="G15" t="s">
        <v>3201</v>
      </c>
      <c r="H15" s="17" t="s">
        <v>604</v>
      </c>
      <c r="J15" s="17"/>
      <c r="L15" s="17"/>
    </row>
    <row r="16" spans="1:12" x14ac:dyDescent="0.2">
      <c r="A16" t="s">
        <v>1584</v>
      </c>
      <c r="B16" t="s">
        <v>1059</v>
      </c>
      <c r="C16" t="s">
        <v>16</v>
      </c>
      <c r="D16">
        <v>4</v>
      </c>
      <c r="E16" t="s">
        <v>17</v>
      </c>
      <c r="F16" t="s">
        <v>380</v>
      </c>
      <c r="G16" t="s">
        <v>3201</v>
      </c>
      <c r="H16" s="17" t="s">
        <v>604</v>
      </c>
      <c r="J16" s="17"/>
      <c r="L16" s="17"/>
    </row>
    <row r="17" spans="1:12" x14ac:dyDescent="0.2">
      <c r="A17" t="s">
        <v>1585</v>
      </c>
      <c r="B17" t="s">
        <v>1067</v>
      </c>
      <c r="C17" t="s">
        <v>18</v>
      </c>
      <c r="D17">
        <v>1</v>
      </c>
      <c r="E17" t="s">
        <v>17</v>
      </c>
      <c r="F17" t="s">
        <v>380</v>
      </c>
      <c r="G17" t="s">
        <v>3201</v>
      </c>
      <c r="H17" s="17" t="s">
        <v>604</v>
      </c>
      <c r="J17" s="17"/>
      <c r="L17" s="17"/>
    </row>
    <row r="18" spans="1:12" x14ac:dyDescent="0.2">
      <c r="A18" t="s">
        <v>1586</v>
      </c>
      <c r="B18" t="s">
        <v>1067</v>
      </c>
      <c r="C18" t="s">
        <v>16</v>
      </c>
      <c r="D18">
        <v>4</v>
      </c>
      <c r="E18" t="s">
        <v>17</v>
      </c>
      <c r="F18" t="s">
        <v>380</v>
      </c>
      <c r="G18" t="s">
        <v>3201</v>
      </c>
      <c r="H18" s="17" t="s">
        <v>604</v>
      </c>
      <c r="J18" s="17"/>
      <c r="L18" s="17"/>
    </row>
    <row r="19" spans="1:12" x14ac:dyDescent="0.2">
      <c r="A19" t="s">
        <v>1587</v>
      </c>
      <c r="B19" t="s">
        <v>1067</v>
      </c>
      <c r="C19" t="s">
        <v>16</v>
      </c>
      <c r="D19">
        <v>4</v>
      </c>
      <c r="E19" t="s">
        <v>17</v>
      </c>
      <c r="F19" t="s">
        <v>380</v>
      </c>
      <c r="G19" t="s">
        <v>3201</v>
      </c>
      <c r="H19" s="17" t="s">
        <v>604</v>
      </c>
      <c r="J19" s="17"/>
      <c r="L19" s="17"/>
    </row>
    <row r="20" spans="1:12" x14ac:dyDescent="0.2">
      <c r="A20" t="s">
        <v>1588</v>
      </c>
      <c r="B20" t="s">
        <v>1067</v>
      </c>
      <c r="C20" t="s">
        <v>16</v>
      </c>
      <c r="D20">
        <v>4</v>
      </c>
      <c r="E20" t="s">
        <v>17</v>
      </c>
      <c r="F20" t="s">
        <v>380</v>
      </c>
      <c r="G20" t="s">
        <v>3201</v>
      </c>
      <c r="H20" s="17" t="s">
        <v>604</v>
      </c>
      <c r="J20" s="17"/>
      <c r="L20" s="17"/>
    </row>
    <row r="21" spans="1:12" x14ac:dyDescent="0.2">
      <c r="A21" t="s">
        <v>1589</v>
      </c>
      <c r="B21" t="s">
        <v>1067</v>
      </c>
      <c r="C21" t="s">
        <v>18</v>
      </c>
      <c r="D21">
        <v>2</v>
      </c>
      <c r="E21" t="s">
        <v>17</v>
      </c>
      <c r="F21" t="s">
        <v>380</v>
      </c>
      <c r="G21" t="s">
        <v>3201</v>
      </c>
      <c r="H21" s="17" t="s">
        <v>604</v>
      </c>
      <c r="J21" s="17"/>
      <c r="L21" s="17"/>
    </row>
    <row r="22" spans="1:12" x14ac:dyDescent="0.2">
      <c r="A22" t="s">
        <v>1590</v>
      </c>
      <c r="B22" t="s">
        <v>1069</v>
      </c>
      <c r="C22" t="s">
        <v>18</v>
      </c>
      <c r="D22">
        <v>1</v>
      </c>
      <c r="E22" t="s">
        <v>17</v>
      </c>
      <c r="F22" t="s">
        <v>380</v>
      </c>
      <c r="G22" t="s">
        <v>3201</v>
      </c>
      <c r="H22" s="17" t="s">
        <v>604</v>
      </c>
      <c r="J22" s="17"/>
      <c r="L22" s="17"/>
    </row>
    <row r="23" spans="1:12" x14ac:dyDescent="0.2">
      <c r="A23" t="s">
        <v>1591</v>
      </c>
      <c r="B23" t="s">
        <v>1069</v>
      </c>
      <c r="C23" t="s">
        <v>16</v>
      </c>
      <c r="D23">
        <v>4</v>
      </c>
      <c r="E23" t="s">
        <v>17</v>
      </c>
      <c r="F23" t="s">
        <v>380</v>
      </c>
      <c r="G23" t="s">
        <v>3201</v>
      </c>
      <c r="H23" s="17" t="s">
        <v>604</v>
      </c>
      <c r="J23" s="17"/>
      <c r="L23" s="17"/>
    </row>
    <row r="24" spans="1:12" x14ac:dyDescent="0.2">
      <c r="A24" t="s">
        <v>1592</v>
      </c>
      <c r="B24" t="s">
        <v>1069</v>
      </c>
      <c r="C24" t="s">
        <v>16</v>
      </c>
      <c r="D24" t="s">
        <v>16</v>
      </c>
      <c r="E24" t="s">
        <v>20</v>
      </c>
      <c r="F24" t="s">
        <v>380</v>
      </c>
      <c r="G24" t="s">
        <v>3201</v>
      </c>
      <c r="H24" s="17" t="s">
        <v>604</v>
      </c>
      <c r="J24" s="17"/>
      <c r="L24" s="17"/>
    </row>
    <row r="25" spans="1:12" x14ac:dyDescent="0.2">
      <c r="A25" t="s">
        <v>1593</v>
      </c>
      <c r="B25" t="s">
        <v>1069</v>
      </c>
      <c r="C25" t="s">
        <v>18</v>
      </c>
      <c r="D25">
        <v>1</v>
      </c>
      <c r="E25" t="s">
        <v>17</v>
      </c>
      <c r="F25" t="s">
        <v>380</v>
      </c>
      <c r="G25" t="s">
        <v>3201</v>
      </c>
      <c r="H25" s="17" t="s">
        <v>604</v>
      </c>
      <c r="J25" s="17"/>
      <c r="L25" s="17"/>
    </row>
    <row r="26" spans="1:12" x14ac:dyDescent="0.2">
      <c r="A26" t="s">
        <v>1594</v>
      </c>
      <c r="B26" t="s">
        <v>1069</v>
      </c>
      <c r="C26" t="s">
        <v>18</v>
      </c>
      <c r="D26">
        <v>1</v>
      </c>
      <c r="E26" t="s">
        <v>17</v>
      </c>
      <c r="F26" t="s">
        <v>380</v>
      </c>
      <c r="G26" t="s">
        <v>3201</v>
      </c>
      <c r="H26" s="17" t="s">
        <v>604</v>
      </c>
      <c r="J26" s="17"/>
      <c r="L26" s="17"/>
    </row>
    <row r="27" spans="1:12" x14ac:dyDescent="0.2">
      <c r="A27" t="s">
        <v>1595</v>
      </c>
      <c r="B27" t="s">
        <v>1071</v>
      </c>
      <c r="C27" t="s">
        <v>16</v>
      </c>
      <c r="D27">
        <v>4</v>
      </c>
      <c r="E27" t="s">
        <v>17</v>
      </c>
      <c r="F27" t="s">
        <v>380</v>
      </c>
      <c r="G27" t="s">
        <v>3201</v>
      </c>
      <c r="H27" s="17" t="s">
        <v>604</v>
      </c>
      <c r="J27" s="17"/>
      <c r="L27" s="17"/>
    </row>
    <row r="28" spans="1:12" x14ac:dyDescent="0.2">
      <c r="A28" t="s">
        <v>1596</v>
      </c>
      <c r="B28" t="s">
        <v>1071</v>
      </c>
      <c r="C28" t="s">
        <v>18</v>
      </c>
      <c r="D28">
        <v>1</v>
      </c>
      <c r="E28" t="s">
        <v>17</v>
      </c>
      <c r="F28" t="s">
        <v>380</v>
      </c>
      <c r="G28" t="s">
        <v>3201</v>
      </c>
      <c r="H28" s="17" t="s">
        <v>604</v>
      </c>
      <c r="J28" s="17"/>
      <c r="L28" s="17"/>
    </row>
    <row r="29" spans="1:12" x14ac:dyDescent="0.2">
      <c r="A29" t="s">
        <v>1597</v>
      </c>
      <c r="B29" t="s">
        <v>1071</v>
      </c>
      <c r="C29" t="s">
        <v>18</v>
      </c>
      <c r="D29">
        <v>1</v>
      </c>
      <c r="E29" t="s">
        <v>17</v>
      </c>
      <c r="F29" t="s">
        <v>380</v>
      </c>
      <c r="G29" t="s">
        <v>3201</v>
      </c>
      <c r="H29" s="17" t="s">
        <v>604</v>
      </c>
      <c r="J29" s="17"/>
      <c r="L29" s="17"/>
    </row>
    <row r="30" spans="1:12" x14ac:dyDescent="0.2">
      <c r="A30" t="s">
        <v>1598</v>
      </c>
      <c r="B30" t="s">
        <v>1071</v>
      </c>
      <c r="C30" t="s">
        <v>16</v>
      </c>
      <c r="D30">
        <v>4</v>
      </c>
      <c r="E30" t="s">
        <v>17</v>
      </c>
      <c r="F30" t="s">
        <v>380</v>
      </c>
      <c r="G30" t="s">
        <v>3201</v>
      </c>
      <c r="H30" s="17" t="s">
        <v>604</v>
      </c>
      <c r="J30" s="17"/>
      <c r="L30" s="17"/>
    </row>
    <row r="31" spans="1:12" x14ac:dyDescent="0.2">
      <c r="A31" t="s">
        <v>1599</v>
      </c>
      <c r="B31" t="s">
        <v>1071</v>
      </c>
      <c r="C31" t="s">
        <v>16</v>
      </c>
      <c r="D31">
        <v>4</v>
      </c>
      <c r="E31" t="s">
        <v>17</v>
      </c>
      <c r="F31" t="s">
        <v>380</v>
      </c>
      <c r="G31" t="s">
        <v>3201</v>
      </c>
      <c r="H31" s="17" t="s">
        <v>604</v>
      </c>
      <c r="J31" s="17"/>
      <c r="L31" s="17"/>
    </row>
    <row r="32" spans="1:12" x14ac:dyDescent="0.2">
      <c r="A32" t="s">
        <v>1600</v>
      </c>
      <c r="B32" t="s">
        <v>1085</v>
      </c>
      <c r="C32" t="s">
        <v>19</v>
      </c>
      <c r="D32">
        <v>2</v>
      </c>
      <c r="E32" t="s">
        <v>17</v>
      </c>
      <c r="F32" t="s">
        <v>380</v>
      </c>
      <c r="G32" t="s">
        <v>3201</v>
      </c>
      <c r="H32" s="17" t="s">
        <v>604</v>
      </c>
      <c r="J32" s="17"/>
      <c r="L32" s="17"/>
    </row>
    <row r="33" spans="1:12" x14ac:dyDescent="0.2">
      <c r="A33" t="s">
        <v>1601</v>
      </c>
      <c r="B33" t="s">
        <v>1085</v>
      </c>
      <c r="C33" t="s">
        <v>16</v>
      </c>
      <c r="D33">
        <v>4</v>
      </c>
      <c r="E33" t="s">
        <v>17</v>
      </c>
      <c r="F33" t="s">
        <v>380</v>
      </c>
      <c r="G33" t="s">
        <v>3201</v>
      </c>
      <c r="H33" s="17" t="s">
        <v>604</v>
      </c>
      <c r="J33" s="17"/>
      <c r="L33" s="17"/>
    </row>
    <row r="34" spans="1:12" x14ac:dyDescent="0.2">
      <c r="A34" t="s">
        <v>1602</v>
      </c>
      <c r="B34" t="s">
        <v>1085</v>
      </c>
      <c r="C34" t="s">
        <v>19</v>
      </c>
      <c r="D34">
        <v>2</v>
      </c>
      <c r="E34" t="s">
        <v>17</v>
      </c>
      <c r="F34" t="s">
        <v>380</v>
      </c>
      <c r="G34" t="s">
        <v>3201</v>
      </c>
      <c r="H34" s="17" t="s">
        <v>604</v>
      </c>
      <c r="J34" s="17"/>
      <c r="L34" s="17"/>
    </row>
    <row r="35" spans="1:12" x14ac:dyDescent="0.2">
      <c r="A35" t="s">
        <v>1603</v>
      </c>
      <c r="B35" t="s">
        <v>1085</v>
      </c>
      <c r="C35" t="s">
        <v>19</v>
      </c>
      <c r="D35">
        <v>2</v>
      </c>
      <c r="E35" t="s">
        <v>17</v>
      </c>
      <c r="F35" t="s">
        <v>380</v>
      </c>
      <c r="G35" t="s">
        <v>3201</v>
      </c>
      <c r="H35" s="17" t="s">
        <v>604</v>
      </c>
      <c r="J35" s="17"/>
      <c r="L35" s="17"/>
    </row>
    <row r="36" spans="1:12" x14ac:dyDescent="0.2">
      <c r="A36" t="s">
        <v>1604</v>
      </c>
      <c r="B36" t="s">
        <v>1085</v>
      </c>
      <c r="C36" t="s">
        <v>16</v>
      </c>
      <c r="D36">
        <v>4</v>
      </c>
      <c r="E36" t="s">
        <v>17</v>
      </c>
      <c r="F36" t="s">
        <v>380</v>
      </c>
      <c r="G36" t="s">
        <v>3201</v>
      </c>
      <c r="H36" s="17" t="s">
        <v>604</v>
      </c>
      <c r="J36" s="17"/>
      <c r="L36" s="17"/>
    </row>
    <row r="37" spans="1:12" x14ac:dyDescent="0.2">
      <c r="A37" t="s">
        <v>1605</v>
      </c>
      <c r="B37" t="s">
        <v>1087</v>
      </c>
      <c r="C37" t="s">
        <v>18</v>
      </c>
      <c r="D37">
        <v>3</v>
      </c>
      <c r="E37" t="s">
        <v>21</v>
      </c>
      <c r="F37" t="s">
        <v>380</v>
      </c>
      <c r="G37" t="s">
        <v>3201</v>
      </c>
      <c r="H37" s="17" t="s">
        <v>604</v>
      </c>
      <c r="J37" s="17"/>
      <c r="L37" s="17"/>
    </row>
    <row r="38" spans="1:12" x14ac:dyDescent="0.2">
      <c r="A38" t="s">
        <v>1606</v>
      </c>
      <c r="B38" t="s">
        <v>1087</v>
      </c>
      <c r="C38" t="s">
        <v>18</v>
      </c>
      <c r="D38">
        <v>1</v>
      </c>
      <c r="E38" t="s">
        <v>21</v>
      </c>
      <c r="F38" t="s">
        <v>380</v>
      </c>
      <c r="G38" t="s">
        <v>3201</v>
      </c>
      <c r="H38" s="17" t="s">
        <v>604</v>
      </c>
      <c r="J38" s="17"/>
      <c r="L38" s="17"/>
    </row>
    <row r="39" spans="1:12" x14ac:dyDescent="0.2">
      <c r="A39" t="s">
        <v>1607</v>
      </c>
      <c r="B39" t="s">
        <v>1087</v>
      </c>
      <c r="C39" t="s">
        <v>19</v>
      </c>
      <c r="D39">
        <v>3</v>
      </c>
      <c r="E39" t="s">
        <v>17</v>
      </c>
      <c r="F39" t="s">
        <v>380</v>
      </c>
      <c r="G39" t="s">
        <v>3201</v>
      </c>
      <c r="H39" s="17" t="s">
        <v>604</v>
      </c>
      <c r="J39" s="17"/>
      <c r="L39" s="17"/>
    </row>
    <row r="40" spans="1:12" x14ac:dyDescent="0.2">
      <c r="A40" t="s">
        <v>1608</v>
      </c>
      <c r="B40" t="s">
        <v>1087</v>
      </c>
      <c r="C40" t="s">
        <v>18</v>
      </c>
      <c r="D40">
        <v>3</v>
      </c>
      <c r="E40" t="s">
        <v>17</v>
      </c>
      <c r="F40" t="s">
        <v>380</v>
      </c>
      <c r="G40" t="s">
        <v>3201</v>
      </c>
      <c r="H40" s="17" t="s">
        <v>604</v>
      </c>
      <c r="J40" s="17"/>
      <c r="L40" s="17"/>
    </row>
    <row r="41" spans="1:12" x14ac:dyDescent="0.2">
      <c r="A41" t="s">
        <v>1609</v>
      </c>
      <c r="B41" t="s">
        <v>1087</v>
      </c>
      <c r="C41" t="s">
        <v>18</v>
      </c>
      <c r="D41">
        <v>2</v>
      </c>
      <c r="E41" t="s">
        <v>21</v>
      </c>
      <c r="F41" t="s">
        <v>380</v>
      </c>
      <c r="G41" t="s">
        <v>3201</v>
      </c>
      <c r="H41" s="17" t="s">
        <v>604</v>
      </c>
      <c r="J41" s="17"/>
      <c r="L41" s="17"/>
    </row>
    <row r="42" spans="1:12" x14ac:dyDescent="0.2">
      <c r="A42" t="s">
        <v>1610</v>
      </c>
      <c r="B42" t="s">
        <v>1089</v>
      </c>
      <c r="C42" t="s">
        <v>18</v>
      </c>
      <c r="D42">
        <v>1</v>
      </c>
      <c r="E42" t="s">
        <v>17</v>
      </c>
      <c r="F42" t="s">
        <v>380</v>
      </c>
      <c r="G42" t="s">
        <v>3201</v>
      </c>
      <c r="H42" s="17" t="s">
        <v>604</v>
      </c>
      <c r="J42" s="17"/>
      <c r="L42" s="17"/>
    </row>
    <row r="43" spans="1:12" x14ac:dyDescent="0.2">
      <c r="A43" t="s">
        <v>1611</v>
      </c>
      <c r="B43" t="s">
        <v>1089</v>
      </c>
      <c r="C43" t="s">
        <v>16</v>
      </c>
      <c r="D43">
        <v>4</v>
      </c>
      <c r="E43" t="s">
        <v>17</v>
      </c>
      <c r="F43" t="s">
        <v>380</v>
      </c>
      <c r="G43" t="s">
        <v>3201</v>
      </c>
      <c r="H43" s="17" t="s">
        <v>604</v>
      </c>
      <c r="J43" s="17"/>
      <c r="L43" s="17"/>
    </row>
    <row r="44" spans="1:12" x14ac:dyDescent="0.2">
      <c r="A44" t="s">
        <v>1612</v>
      </c>
      <c r="B44" t="s">
        <v>1089</v>
      </c>
      <c r="C44" t="s">
        <v>16</v>
      </c>
      <c r="D44">
        <v>4</v>
      </c>
      <c r="E44" t="s">
        <v>17</v>
      </c>
      <c r="F44" t="s">
        <v>380</v>
      </c>
      <c r="G44" t="s">
        <v>3201</v>
      </c>
      <c r="H44" s="17" t="s">
        <v>604</v>
      </c>
      <c r="J44" s="17"/>
      <c r="L44" s="17"/>
    </row>
    <row r="45" spans="1:12" x14ac:dyDescent="0.2">
      <c r="A45" t="s">
        <v>1613</v>
      </c>
      <c r="B45" t="s">
        <v>1089</v>
      </c>
      <c r="C45" t="s">
        <v>16</v>
      </c>
      <c r="D45">
        <v>4</v>
      </c>
      <c r="E45" t="s">
        <v>17</v>
      </c>
      <c r="F45" t="s">
        <v>380</v>
      </c>
      <c r="G45" t="s">
        <v>3201</v>
      </c>
      <c r="H45" s="17" t="s">
        <v>604</v>
      </c>
      <c r="J45" s="17"/>
      <c r="L45" s="17"/>
    </row>
    <row r="46" spans="1:12" x14ac:dyDescent="0.2">
      <c r="A46" t="s">
        <v>1614</v>
      </c>
      <c r="B46" t="s">
        <v>1089</v>
      </c>
      <c r="C46" t="s">
        <v>19</v>
      </c>
      <c r="D46">
        <v>2</v>
      </c>
      <c r="E46" t="s">
        <v>17</v>
      </c>
      <c r="F46" t="s">
        <v>380</v>
      </c>
      <c r="G46" t="s">
        <v>3201</v>
      </c>
      <c r="H46" s="17" t="s">
        <v>604</v>
      </c>
      <c r="J46" s="17"/>
      <c r="L46" s="17"/>
    </row>
    <row r="47" spans="1:12" x14ac:dyDescent="0.2">
      <c r="A47" t="s">
        <v>1615</v>
      </c>
      <c r="B47" t="s">
        <v>1091</v>
      </c>
      <c r="C47" t="s">
        <v>18</v>
      </c>
      <c r="D47">
        <v>2</v>
      </c>
      <c r="E47" t="s">
        <v>17</v>
      </c>
      <c r="F47" t="s">
        <v>380</v>
      </c>
      <c r="G47" t="s">
        <v>3201</v>
      </c>
      <c r="H47" s="17" t="s">
        <v>604</v>
      </c>
      <c r="J47" s="17"/>
      <c r="L47" s="17"/>
    </row>
    <row r="48" spans="1:12" x14ac:dyDescent="0.2">
      <c r="A48" t="s">
        <v>1616</v>
      </c>
      <c r="B48" t="s">
        <v>1091</v>
      </c>
      <c r="C48" t="s">
        <v>18</v>
      </c>
      <c r="D48">
        <v>2</v>
      </c>
      <c r="E48" t="s">
        <v>17</v>
      </c>
      <c r="F48" t="s">
        <v>380</v>
      </c>
      <c r="G48" t="s">
        <v>3201</v>
      </c>
      <c r="H48" s="17" t="s">
        <v>604</v>
      </c>
      <c r="J48" s="17"/>
      <c r="L48" s="17"/>
    </row>
    <row r="49" spans="1:12" x14ac:dyDescent="0.2">
      <c r="A49" t="s">
        <v>1617</v>
      </c>
      <c r="B49" t="s">
        <v>1091</v>
      </c>
      <c r="C49" t="s">
        <v>18</v>
      </c>
      <c r="D49">
        <v>2</v>
      </c>
      <c r="E49" t="s">
        <v>17</v>
      </c>
      <c r="F49" t="s">
        <v>380</v>
      </c>
      <c r="G49" t="s">
        <v>3201</v>
      </c>
      <c r="H49" s="17" t="s">
        <v>604</v>
      </c>
      <c r="J49" s="17"/>
      <c r="L49" s="17"/>
    </row>
    <row r="50" spans="1:12" x14ac:dyDescent="0.2">
      <c r="A50" t="s">
        <v>1618</v>
      </c>
      <c r="B50" t="s">
        <v>1091</v>
      </c>
      <c r="C50" t="s">
        <v>18</v>
      </c>
      <c r="D50">
        <v>2</v>
      </c>
      <c r="E50" t="s">
        <v>17</v>
      </c>
      <c r="F50" t="s">
        <v>380</v>
      </c>
      <c r="G50" t="s">
        <v>3201</v>
      </c>
      <c r="H50" s="17" t="s">
        <v>604</v>
      </c>
      <c r="J50" s="17"/>
      <c r="L50" s="17"/>
    </row>
    <row r="51" spans="1:12" x14ac:dyDescent="0.2">
      <c r="A51" t="s">
        <v>1619</v>
      </c>
      <c r="B51" t="s">
        <v>1091</v>
      </c>
      <c r="C51" t="s">
        <v>16</v>
      </c>
      <c r="D51" t="s">
        <v>16</v>
      </c>
      <c r="E51" t="s">
        <v>20</v>
      </c>
      <c r="F51" t="s">
        <v>380</v>
      </c>
      <c r="G51" t="s">
        <v>3201</v>
      </c>
      <c r="H51" s="17" t="s">
        <v>604</v>
      </c>
      <c r="J51" s="17"/>
      <c r="L51" s="17"/>
    </row>
    <row r="52" spans="1:12" x14ac:dyDescent="0.2">
      <c r="A52" t="s">
        <v>1620</v>
      </c>
      <c r="B52" t="s">
        <v>1093</v>
      </c>
      <c r="C52" t="s">
        <v>18</v>
      </c>
      <c r="D52">
        <v>2</v>
      </c>
      <c r="E52" t="s">
        <v>17</v>
      </c>
      <c r="F52" t="s">
        <v>380</v>
      </c>
      <c r="G52" t="s">
        <v>3201</v>
      </c>
      <c r="H52" s="17" t="s">
        <v>604</v>
      </c>
      <c r="J52" s="17"/>
      <c r="L52" s="17"/>
    </row>
    <row r="53" spans="1:12" x14ac:dyDescent="0.2">
      <c r="A53" t="s">
        <v>1621</v>
      </c>
      <c r="B53" t="s">
        <v>1093</v>
      </c>
      <c r="C53" t="s">
        <v>16</v>
      </c>
      <c r="D53">
        <v>4</v>
      </c>
      <c r="E53" t="s">
        <v>21</v>
      </c>
      <c r="F53" t="s">
        <v>380</v>
      </c>
      <c r="G53" t="s">
        <v>3201</v>
      </c>
      <c r="H53" s="17" t="s">
        <v>604</v>
      </c>
      <c r="J53" s="17"/>
      <c r="L53" s="17"/>
    </row>
    <row r="54" spans="1:12" x14ac:dyDescent="0.2">
      <c r="A54" t="s">
        <v>1622</v>
      </c>
      <c r="B54" t="s">
        <v>1093</v>
      </c>
      <c r="C54" t="s">
        <v>18</v>
      </c>
      <c r="D54">
        <v>2</v>
      </c>
      <c r="E54" t="s">
        <v>21</v>
      </c>
      <c r="F54" t="s">
        <v>380</v>
      </c>
      <c r="G54" t="s">
        <v>3201</v>
      </c>
      <c r="H54" s="17" t="s">
        <v>604</v>
      </c>
      <c r="J54" s="17"/>
      <c r="L54" s="17"/>
    </row>
    <row r="55" spans="1:12" x14ac:dyDescent="0.2">
      <c r="A55" t="s">
        <v>1623</v>
      </c>
      <c r="B55" t="s">
        <v>1093</v>
      </c>
      <c r="C55" t="s">
        <v>19</v>
      </c>
      <c r="D55">
        <v>2</v>
      </c>
      <c r="E55" t="s">
        <v>17</v>
      </c>
      <c r="F55" t="s">
        <v>380</v>
      </c>
      <c r="G55" t="s">
        <v>3201</v>
      </c>
      <c r="H55" s="17" t="s">
        <v>604</v>
      </c>
      <c r="J55" s="17"/>
      <c r="L55" s="17"/>
    </row>
    <row r="56" spans="1:12" x14ac:dyDescent="0.2">
      <c r="A56" t="s">
        <v>1624</v>
      </c>
      <c r="B56" t="s">
        <v>1093</v>
      </c>
      <c r="C56" t="s">
        <v>19</v>
      </c>
      <c r="D56">
        <v>2</v>
      </c>
      <c r="E56" t="s">
        <v>21</v>
      </c>
      <c r="F56" t="s">
        <v>380</v>
      </c>
      <c r="G56" t="s">
        <v>3201</v>
      </c>
      <c r="H56" s="17" t="s">
        <v>604</v>
      </c>
      <c r="J56" s="17"/>
      <c r="L56" s="17"/>
    </row>
    <row r="57" spans="1:12" x14ac:dyDescent="0.2">
      <c r="A57" t="s">
        <v>1625</v>
      </c>
      <c r="B57" t="s">
        <v>1095</v>
      </c>
      <c r="C57" t="s">
        <v>18</v>
      </c>
      <c r="D57">
        <v>2</v>
      </c>
      <c r="E57" t="s">
        <v>21</v>
      </c>
      <c r="F57" t="s">
        <v>380</v>
      </c>
      <c r="G57" t="s">
        <v>3201</v>
      </c>
      <c r="H57" s="17" t="s">
        <v>604</v>
      </c>
      <c r="J57" s="17"/>
      <c r="L57" s="17"/>
    </row>
    <row r="58" spans="1:12" x14ac:dyDescent="0.2">
      <c r="A58" t="s">
        <v>1626</v>
      </c>
      <c r="B58" t="s">
        <v>1095</v>
      </c>
      <c r="C58" t="s">
        <v>18</v>
      </c>
      <c r="D58">
        <v>2</v>
      </c>
      <c r="E58" t="s">
        <v>17</v>
      </c>
      <c r="F58" t="s">
        <v>380</v>
      </c>
      <c r="G58" t="s">
        <v>3201</v>
      </c>
      <c r="H58" s="17" t="s">
        <v>604</v>
      </c>
      <c r="J58" s="17"/>
      <c r="L58" s="17"/>
    </row>
    <row r="59" spans="1:12" x14ac:dyDescent="0.2">
      <c r="A59" t="s">
        <v>1627</v>
      </c>
      <c r="B59" t="s">
        <v>1095</v>
      </c>
      <c r="C59" t="s">
        <v>18</v>
      </c>
      <c r="D59" t="s">
        <v>16</v>
      </c>
      <c r="E59" t="s">
        <v>20</v>
      </c>
      <c r="F59" t="s">
        <v>380</v>
      </c>
      <c r="G59" t="s">
        <v>3201</v>
      </c>
      <c r="H59" s="17" t="s">
        <v>604</v>
      </c>
      <c r="J59" s="17"/>
      <c r="L59" s="17"/>
    </row>
    <row r="60" spans="1:12" x14ac:dyDescent="0.2">
      <c r="A60" t="s">
        <v>1628</v>
      </c>
      <c r="B60" t="s">
        <v>1095</v>
      </c>
      <c r="C60" t="s">
        <v>19</v>
      </c>
      <c r="D60">
        <v>2</v>
      </c>
      <c r="E60" t="s">
        <v>17</v>
      </c>
      <c r="F60" t="s">
        <v>380</v>
      </c>
      <c r="G60" t="s">
        <v>3201</v>
      </c>
      <c r="H60" s="17" t="s">
        <v>604</v>
      </c>
      <c r="J60" s="17"/>
      <c r="L60" s="17"/>
    </row>
    <row r="61" spans="1:12" x14ac:dyDescent="0.2">
      <c r="A61" t="s">
        <v>1629</v>
      </c>
      <c r="B61" t="s">
        <v>1095</v>
      </c>
      <c r="C61" t="s">
        <v>19</v>
      </c>
      <c r="D61">
        <v>3</v>
      </c>
      <c r="E61" t="s">
        <v>17</v>
      </c>
      <c r="F61" t="s">
        <v>380</v>
      </c>
      <c r="G61" t="s">
        <v>3201</v>
      </c>
      <c r="H61" s="17" t="s">
        <v>604</v>
      </c>
      <c r="J61" s="17"/>
      <c r="L61" s="17"/>
    </row>
    <row r="62" spans="1:12" x14ac:dyDescent="0.2">
      <c r="A62" t="s">
        <v>1630</v>
      </c>
      <c r="B62" t="s">
        <v>1103</v>
      </c>
      <c r="C62" t="s">
        <v>19</v>
      </c>
      <c r="D62">
        <v>2</v>
      </c>
      <c r="E62" t="s">
        <v>17</v>
      </c>
      <c r="F62" t="s">
        <v>380</v>
      </c>
      <c r="G62" t="s">
        <v>3201</v>
      </c>
      <c r="H62" s="17" t="s">
        <v>604</v>
      </c>
      <c r="J62" s="17"/>
      <c r="L62" s="17"/>
    </row>
    <row r="63" spans="1:12" x14ac:dyDescent="0.2">
      <c r="A63" t="s">
        <v>1631</v>
      </c>
      <c r="B63" t="s">
        <v>1103</v>
      </c>
      <c r="C63" t="s">
        <v>19</v>
      </c>
      <c r="D63">
        <v>2</v>
      </c>
      <c r="E63" t="s">
        <v>17</v>
      </c>
      <c r="F63" t="s">
        <v>380</v>
      </c>
      <c r="G63" t="s">
        <v>3201</v>
      </c>
      <c r="H63" s="17" t="s">
        <v>604</v>
      </c>
      <c r="J63" s="17"/>
      <c r="L63" s="17"/>
    </row>
    <row r="64" spans="1:12" x14ac:dyDescent="0.2">
      <c r="A64" t="s">
        <v>1632</v>
      </c>
      <c r="B64" t="s">
        <v>1103</v>
      </c>
      <c r="C64" t="s">
        <v>18</v>
      </c>
      <c r="D64">
        <v>2</v>
      </c>
      <c r="E64" t="s">
        <v>17</v>
      </c>
      <c r="F64" t="s">
        <v>380</v>
      </c>
      <c r="G64" t="s">
        <v>3201</v>
      </c>
      <c r="H64" s="17" t="s">
        <v>604</v>
      </c>
      <c r="J64" s="17"/>
      <c r="L64" s="17"/>
    </row>
    <row r="65" spans="1:12" x14ac:dyDescent="0.2">
      <c r="A65" t="s">
        <v>1633</v>
      </c>
      <c r="B65" t="s">
        <v>1103</v>
      </c>
      <c r="C65" t="s">
        <v>19</v>
      </c>
      <c r="D65">
        <v>2</v>
      </c>
      <c r="E65" t="s">
        <v>17</v>
      </c>
      <c r="F65" t="s">
        <v>380</v>
      </c>
      <c r="G65" t="s">
        <v>3201</v>
      </c>
      <c r="H65" s="17" t="s">
        <v>604</v>
      </c>
      <c r="J65" s="17"/>
      <c r="L65" s="17"/>
    </row>
    <row r="66" spans="1:12" x14ac:dyDescent="0.2">
      <c r="A66" t="s">
        <v>1634</v>
      </c>
      <c r="B66" t="s">
        <v>1103</v>
      </c>
      <c r="C66" t="s">
        <v>18</v>
      </c>
      <c r="D66">
        <v>2</v>
      </c>
      <c r="E66" t="s">
        <v>17</v>
      </c>
      <c r="F66" t="s">
        <v>380</v>
      </c>
      <c r="G66" t="s">
        <v>3201</v>
      </c>
      <c r="H66" s="17" t="s">
        <v>604</v>
      </c>
      <c r="J66" s="17"/>
      <c r="L66" s="17"/>
    </row>
    <row r="67" spans="1:12" x14ac:dyDescent="0.2">
      <c r="A67" t="s">
        <v>1635</v>
      </c>
      <c r="B67" t="s">
        <v>1105</v>
      </c>
      <c r="C67" t="s">
        <v>18</v>
      </c>
      <c r="D67">
        <v>2</v>
      </c>
      <c r="E67" t="s">
        <v>17</v>
      </c>
      <c r="F67" t="s">
        <v>380</v>
      </c>
      <c r="G67" t="s">
        <v>3201</v>
      </c>
      <c r="H67" s="17" t="s">
        <v>604</v>
      </c>
      <c r="J67" s="17"/>
      <c r="L67" s="17"/>
    </row>
    <row r="68" spans="1:12" x14ac:dyDescent="0.2">
      <c r="A68" t="s">
        <v>1636</v>
      </c>
      <c r="B68" t="s">
        <v>1105</v>
      </c>
      <c r="C68" t="s">
        <v>18</v>
      </c>
      <c r="D68">
        <v>2</v>
      </c>
      <c r="E68" t="s">
        <v>17</v>
      </c>
      <c r="F68" t="s">
        <v>380</v>
      </c>
      <c r="G68" t="s">
        <v>3201</v>
      </c>
      <c r="H68" s="17" t="s">
        <v>604</v>
      </c>
      <c r="J68" s="17"/>
      <c r="L68" s="17"/>
    </row>
    <row r="69" spans="1:12" x14ac:dyDescent="0.2">
      <c r="A69" t="s">
        <v>1637</v>
      </c>
      <c r="B69" t="s">
        <v>1105</v>
      </c>
      <c r="C69" t="s">
        <v>18</v>
      </c>
      <c r="D69">
        <v>2</v>
      </c>
      <c r="E69" t="s">
        <v>17</v>
      </c>
      <c r="F69" t="s">
        <v>380</v>
      </c>
      <c r="G69" t="s">
        <v>3201</v>
      </c>
      <c r="H69" s="17" t="s">
        <v>604</v>
      </c>
      <c r="J69" s="17"/>
      <c r="L69" s="17"/>
    </row>
    <row r="70" spans="1:12" x14ac:dyDescent="0.2">
      <c r="A70" t="s">
        <v>1638</v>
      </c>
      <c r="B70" t="s">
        <v>1105</v>
      </c>
      <c r="C70" t="s">
        <v>19</v>
      </c>
      <c r="D70">
        <v>2</v>
      </c>
      <c r="E70" t="s">
        <v>17</v>
      </c>
      <c r="F70" t="s">
        <v>380</v>
      </c>
      <c r="G70" t="s">
        <v>3201</v>
      </c>
      <c r="H70" s="17" t="s">
        <v>604</v>
      </c>
      <c r="J70" s="17"/>
      <c r="L70" s="17"/>
    </row>
    <row r="71" spans="1:12" x14ac:dyDescent="0.2">
      <c r="A71" t="s">
        <v>1639</v>
      </c>
      <c r="B71" t="s">
        <v>1105</v>
      </c>
      <c r="C71" t="s">
        <v>18</v>
      </c>
      <c r="D71">
        <v>2</v>
      </c>
      <c r="E71" t="s">
        <v>17</v>
      </c>
      <c r="F71" t="s">
        <v>380</v>
      </c>
      <c r="G71" t="s">
        <v>3201</v>
      </c>
      <c r="H71" s="17" t="s">
        <v>604</v>
      </c>
      <c r="J71" s="17"/>
      <c r="L71" s="17"/>
    </row>
    <row r="72" spans="1:12" x14ac:dyDescent="0.2">
      <c r="A72" t="s">
        <v>1640</v>
      </c>
      <c r="B72" t="s">
        <v>1107</v>
      </c>
      <c r="C72" t="s">
        <v>18</v>
      </c>
      <c r="D72">
        <v>2</v>
      </c>
      <c r="E72" t="s">
        <v>17</v>
      </c>
      <c r="F72" t="s">
        <v>380</v>
      </c>
      <c r="G72" t="s">
        <v>3201</v>
      </c>
      <c r="H72" s="17" t="s">
        <v>604</v>
      </c>
      <c r="J72" s="17"/>
      <c r="L72" s="17"/>
    </row>
    <row r="73" spans="1:12" x14ac:dyDescent="0.2">
      <c r="A73" t="s">
        <v>1641</v>
      </c>
      <c r="B73" t="s">
        <v>1107</v>
      </c>
      <c r="C73" t="s">
        <v>18</v>
      </c>
      <c r="D73">
        <v>2</v>
      </c>
      <c r="E73" t="s">
        <v>17</v>
      </c>
      <c r="F73" t="s">
        <v>380</v>
      </c>
      <c r="G73" t="s">
        <v>3201</v>
      </c>
      <c r="H73" s="17" t="s">
        <v>604</v>
      </c>
      <c r="J73" s="17"/>
      <c r="L73" s="17"/>
    </row>
    <row r="74" spans="1:12" x14ac:dyDescent="0.2">
      <c r="A74" t="s">
        <v>1642</v>
      </c>
      <c r="B74" t="s">
        <v>1107</v>
      </c>
      <c r="C74" t="s">
        <v>18</v>
      </c>
      <c r="D74">
        <v>2</v>
      </c>
      <c r="E74" t="s">
        <v>17</v>
      </c>
      <c r="F74" t="s">
        <v>380</v>
      </c>
      <c r="G74" t="s">
        <v>3201</v>
      </c>
      <c r="H74" s="17" t="s">
        <v>604</v>
      </c>
      <c r="J74" s="17"/>
      <c r="L74" s="17"/>
    </row>
    <row r="75" spans="1:12" x14ac:dyDescent="0.2">
      <c r="A75" t="s">
        <v>1643</v>
      </c>
      <c r="B75" t="s">
        <v>1107</v>
      </c>
      <c r="C75" t="s">
        <v>18</v>
      </c>
      <c r="D75">
        <v>2</v>
      </c>
      <c r="E75" t="s">
        <v>17</v>
      </c>
      <c r="F75" t="s">
        <v>380</v>
      </c>
      <c r="G75" t="s">
        <v>3201</v>
      </c>
      <c r="H75" s="17" t="s">
        <v>604</v>
      </c>
      <c r="J75" s="17"/>
      <c r="L75" s="17"/>
    </row>
    <row r="76" spans="1:12" x14ac:dyDescent="0.2">
      <c r="A76" t="s">
        <v>1644</v>
      </c>
      <c r="B76" t="s">
        <v>1107</v>
      </c>
      <c r="C76" t="s">
        <v>19</v>
      </c>
      <c r="D76">
        <v>2</v>
      </c>
      <c r="E76" t="s">
        <v>17</v>
      </c>
      <c r="F76" t="s">
        <v>380</v>
      </c>
      <c r="G76" t="s">
        <v>3201</v>
      </c>
      <c r="H76" s="17" t="s">
        <v>604</v>
      </c>
      <c r="J76" s="17"/>
      <c r="L76" s="17"/>
    </row>
    <row r="77" spans="1:12" x14ac:dyDescent="0.2">
      <c r="A77" t="s">
        <v>1645</v>
      </c>
      <c r="B77" t="s">
        <v>1115</v>
      </c>
      <c r="C77" t="s">
        <v>18</v>
      </c>
      <c r="D77">
        <v>2</v>
      </c>
      <c r="E77" t="s">
        <v>17</v>
      </c>
      <c r="F77" t="s">
        <v>380</v>
      </c>
      <c r="G77" t="s">
        <v>3201</v>
      </c>
      <c r="H77" s="17" t="s">
        <v>604</v>
      </c>
      <c r="J77" s="17"/>
      <c r="L77" s="17"/>
    </row>
    <row r="78" spans="1:12" x14ac:dyDescent="0.2">
      <c r="A78" t="s">
        <v>1646</v>
      </c>
      <c r="B78" t="s">
        <v>1115</v>
      </c>
      <c r="C78" t="s">
        <v>18</v>
      </c>
      <c r="D78">
        <v>2</v>
      </c>
      <c r="E78" t="s">
        <v>17</v>
      </c>
      <c r="F78" t="s">
        <v>380</v>
      </c>
      <c r="G78" t="s">
        <v>3201</v>
      </c>
      <c r="H78" s="17" t="s">
        <v>604</v>
      </c>
      <c r="J78" s="17"/>
      <c r="L78" s="17"/>
    </row>
    <row r="79" spans="1:12" x14ac:dyDescent="0.2">
      <c r="A79" t="s">
        <v>1647</v>
      </c>
      <c r="B79" t="s">
        <v>1115</v>
      </c>
      <c r="C79" t="s">
        <v>18</v>
      </c>
      <c r="D79">
        <v>2</v>
      </c>
      <c r="E79" t="s">
        <v>17</v>
      </c>
      <c r="F79" t="s">
        <v>380</v>
      </c>
      <c r="G79" t="s">
        <v>3201</v>
      </c>
      <c r="H79" s="17" t="s">
        <v>604</v>
      </c>
      <c r="J79" s="17"/>
      <c r="L79" s="17"/>
    </row>
    <row r="80" spans="1:12" x14ac:dyDescent="0.2">
      <c r="A80" t="s">
        <v>1648</v>
      </c>
      <c r="B80" t="s">
        <v>1115</v>
      </c>
      <c r="C80" t="s">
        <v>18</v>
      </c>
      <c r="D80">
        <v>2</v>
      </c>
      <c r="E80" t="s">
        <v>17</v>
      </c>
      <c r="F80" t="s">
        <v>380</v>
      </c>
      <c r="G80" t="s">
        <v>3201</v>
      </c>
      <c r="H80" s="17" t="s">
        <v>604</v>
      </c>
      <c r="J80" s="17"/>
      <c r="L80" s="17"/>
    </row>
    <row r="81" spans="1:12" x14ac:dyDescent="0.2">
      <c r="A81" t="s">
        <v>1649</v>
      </c>
      <c r="B81" t="s">
        <v>1115</v>
      </c>
      <c r="C81" t="s">
        <v>18</v>
      </c>
      <c r="D81">
        <v>2</v>
      </c>
      <c r="E81" t="s">
        <v>17</v>
      </c>
      <c r="F81" t="s">
        <v>380</v>
      </c>
      <c r="G81" t="s">
        <v>3201</v>
      </c>
      <c r="H81" s="17" t="s">
        <v>604</v>
      </c>
      <c r="J81" s="17"/>
      <c r="L81" s="17"/>
    </row>
    <row r="82" spans="1:12" x14ac:dyDescent="0.2">
      <c r="A82" t="s">
        <v>1650</v>
      </c>
      <c r="B82" t="s">
        <v>1117</v>
      </c>
      <c r="C82" t="s">
        <v>18</v>
      </c>
      <c r="D82">
        <v>2</v>
      </c>
      <c r="E82" t="s">
        <v>17</v>
      </c>
      <c r="F82" t="s">
        <v>380</v>
      </c>
      <c r="G82" t="s">
        <v>3201</v>
      </c>
      <c r="H82" s="17" t="s">
        <v>604</v>
      </c>
      <c r="J82" s="17"/>
      <c r="L82" s="17"/>
    </row>
    <row r="83" spans="1:12" x14ac:dyDescent="0.2">
      <c r="A83" t="s">
        <v>1651</v>
      </c>
      <c r="B83" t="s">
        <v>1117</v>
      </c>
      <c r="C83" t="s">
        <v>18</v>
      </c>
      <c r="D83">
        <v>2</v>
      </c>
      <c r="E83" t="s">
        <v>17</v>
      </c>
      <c r="F83" t="s">
        <v>380</v>
      </c>
      <c r="G83" t="s">
        <v>3201</v>
      </c>
      <c r="H83" s="17" t="s">
        <v>604</v>
      </c>
      <c r="J83" s="17"/>
      <c r="L83" s="17"/>
    </row>
    <row r="84" spans="1:12" x14ac:dyDescent="0.2">
      <c r="A84" t="s">
        <v>1652</v>
      </c>
      <c r="B84" t="s">
        <v>1117</v>
      </c>
      <c r="C84" t="s">
        <v>18</v>
      </c>
      <c r="D84">
        <v>2</v>
      </c>
      <c r="E84" t="s">
        <v>17</v>
      </c>
      <c r="F84" t="s">
        <v>380</v>
      </c>
      <c r="G84" t="s">
        <v>3201</v>
      </c>
      <c r="H84" s="17" t="s">
        <v>604</v>
      </c>
      <c r="J84" s="17"/>
      <c r="L84" s="17"/>
    </row>
    <row r="85" spans="1:12" x14ac:dyDescent="0.2">
      <c r="A85" t="s">
        <v>1653</v>
      </c>
      <c r="B85" t="s">
        <v>1117</v>
      </c>
      <c r="C85" t="s">
        <v>18</v>
      </c>
      <c r="D85">
        <v>2</v>
      </c>
      <c r="E85" t="s">
        <v>17</v>
      </c>
      <c r="F85" t="s">
        <v>380</v>
      </c>
      <c r="G85" t="s">
        <v>3201</v>
      </c>
      <c r="H85" s="17" t="s">
        <v>604</v>
      </c>
      <c r="J85" s="17"/>
      <c r="L85" s="17"/>
    </row>
    <row r="86" spans="1:12" x14ac:dyDescent="0.2">
      <c r="A86" t="s">
        <v>1654</v>
      </c>
      <c r="B86" t="s">
        <v>1117</v>
      </c>
      <c r="C86" t="s">
        <v>18</v>
      </c>
      <c r="D86">
        <v>3</v>
      </c>
      <c r="E86" t="s">
        <v>17</v>
      </c>
      <c r="F86" t="s">
        <v>380</v>
      </c>
      <c r="G86" t="s">
        <v>3201</v>
      </c>
      <c r="H86" s="17" t="s">
        <v>604</v>
      </c>
      <c r="J86" s="17"/>
      <c r="L86" s="17"/>
    </row>
    <row r="87" spans="1:12" x14ac:dyDescent="0.2">
      <c r="A87" t="s">
        <v>1655</v>
      </c>
      <c r="B87" t="s">
        <v>1119</v>
      </c>
      <c r="C87" t="s">
        <v>19</v>
      </c>
      <c r="D87">
        <v>2</v>
      </c>
      <c r="E87" t="s">
        <v>17</v>
      </c>
      <c r="F87" t="s">
        <v>380</v>
      </c>
      <c r="G87" t="s">
        <v>3201</v>
      </c>
      <c r="H87" s="17" t="s">
        <v>604</v>
      </c>
      <c r="J87" s="17"/>
      <c r="L87" s="17"/>
    </row>
    <row r="88" spans="1:12" x14ac:dyDescent="0.2">
      <c r="A88" t="s">
        <v>1656</v>
      </c>
      <c r="B88" t="s">
        <v>1119</v>
      </c>
      <c r="C88" t="s">
        <v>18</v>
      </c>
      <c r="D88">
        <v>2</v>
      </c>
      <c r="E88" t="s">
        <v>17</v>
      </c>
      <c r="F88" t="s">
        <v>380</v>
      </c>
      <c r="G88" t="s">
        <v>3201</v>
      </c>
      <c r="H88" s="17" t="s">
        <v>604</v>
      </c>
      <c r="J88" s="17"/>
      <c r="L88" s="17"/>
    </row>
    <row r="89" spans="1:12" x14ac:dyDescent="0.2">
      <c r="A89" t="s">
        <v>1657</v>
      </c>
      <c r="B89" t="s">
        <v>1119</v>
      </c>
      <c r="C89" t="s">
        <v>19</v>
      </c>
      <c r="D89">
        <v>2</v>
      </c>
      <c r="E89" t="s">
        <v>17</v>
      </c>
      <c r="F89" t="s">
        <v>380</v>
      </c>
      <c r="G89" t="s">
        <v>3201</v>
      </c>
      <c r="H89" s="17" t="s">
        <v>604</v>
      </c>
      <c r="J89" s="17"/>
      <c r="L89" s="17"/>
    </row>
    <row r="90" spans="1:12" x14ac:dyDescent="0.2">
      <c r="A90" t="s">
        <v>1658</v>
      </c>
      <c r="B90" t="s">
        <v>1119</v>
      </c>
      <c r="C90" t="s">
        <v>18</v>
      </c>
      <c r="D90">
        <v>2</v>
      </c>
      <c r="E90" t="s">
        <v>17</v>
      </c>
      <c r="F90" t="s">
        <v>380</v>
      </c>
      <c r="G90" t="s">
        <v>3201</v>
      </c>
      <c r="H90" s="17" t="s">
        <v>604</v>
      </c>
      <c r="J90" s="17"/>
      <c r="L90" s="17"/>
    </row>
    <row r="91" spans="1:12" x14ac:dyDescent="0.2">
      <c r="A91" t="s">
        <v>1659</v>
      </c>
      <c r="B91" t="s">
        <v>1119</v>
      </c>
      <c r="C91" t="s">
        <v>19</v>
      </c>
      <c r="D91">
        <v>2</v>
      </c>
      <c r="E91" t="s">
        <v>17</v>
      </c>
      <c r="F91" t="s">
        <v>380</v>
      </c>
      <c r="G91" t="s">
        <v>3201</v>
      </c>
      <c r="H91" s="17" t="s">
        <v>604</v>
      </c>
      <c r="J91" s="17"/>
      <c r="L91" s="17"/>
    </row>
    <row r="92" spans="1:12" x14ac:dyDescent="0.2">
      <c r="A92" t="s">
        <v>1660</v>
      </c>
      <c r="B92" t="s">
        <v>1133</v>
      </c>
      <c r="C92" t="s">
        <v>18</v>
      </c>
      <c r="D92">
        <v>2</v>
      </c>
      <c r="E92" t="s">
        <v>17</v>
      </c>
      <c r="F92" t="s">
        <v>380</v>
      </c>
      <c r="G92" t="s">
        <v>3201</v>
      </c>
      <c r="H92" s="17" t="s">
        <v>604</v>
      </c>
      <c r="J92" s="17"/>
      <c r="L92" s="17"/>
    </row>
    <row r="93" spans="1:12" x14ac:dyDescent="0.2">
      <c r="A93" t="s">
        <v>1661</v>
      </c>
      <c r="B93" t="s">
        <v>1133</v>
      </c>
      <c r="C93" t="s">
        <v>19</v>
      </c>
      <c r="D93">
        <v>2</v>
      </c>
      <c r="E93" t="s">
        <v>17</v>
      </c>
      <c r="F93" t="s">
        <v>380</v>
      </c>
      <c r="G93" t="s">
        <v>3201</v>
      </c>
      <c r="H93" s="17" t="s">
        <v>604</v>
      </c>
      <c r="J93" s="17"/>
      <c r="L93" s="17"/>
    </row>
    <row r="94" spans="1:12" x14ac:dyDescent="0.2">
      <c r="A94" t="s">
        <v>1662</v>
      </c>
      <c r="B94" t="s">
        <v>1133</v>
      </c>
      <c r="C94" t="s">
        <v>18</v>
      </c>
      <c r="D94">
        <v>2</v>
      </c>
      <c r="E94" t="s">
        <v>17</v>
      </c>
      <c r="F94" t="s">
        <v>380</v>
      </c>
      <c r="G94" t="s">
        <v>3201</v>
      </c>
      <c r="H94" s="17" t="s">
        <v>604</v>
      </c>
      <c r="J94" s="17"/>
      <c r="L94" s="17"/>
    </row>
    <row r="95" spans="1:12" x14ac:dyDescent="0.2">
      <c r="A95" t="s">
        <v>1663</v>
      </c>
      <c r="B95" t="s">
        <v>1133</v>
      </c>
      <c r="C95" t="s">
        <v>18</v>
      </c>
      <c r="D95">
        <v>2</v>
      </c>
      <c r="E95" t="s">
        <v>17</v>
      </c>
      <c r="F95" t="s">
        <v>380</v>
      </c>
      <c r="G95" t="s">
        <v>3201</v>
      </c>
      <c r="H95" s="17" t="s">
        <v>604</v>
      </c>
      <c r="J95" s="17"/>
      <c r="L95" s="17"/>
    </row>
    <row r="96" spans="1:12" x14ac:dyDescent="0.2">
      <c r="A96" t="s">
        <v>1664</v>
      </c>
      <c r="B96" t="s">
        <v>1133</v>
      </c>
      <c r="C96" t="s">
        <v>18</v>
      </c>
      <c r="D96">
        <v>2</v>
      </c>
      <c r="E96" t="s">
        <v>17</v>
      </c>
      <c r="F96" t="s">
        <v>380</v>
      </c>
      <c r="G96" t="s">
        <v>3201</v>
      </c>
      <c r="H96" s="17" t="s">
        <v>604</v>
      </c>
      <c r="J96" s="17"/>
      <c r="L96" s="17"/>
    </row>
    <row r="97" spans="1:12" x14ac:dyDescent="0.2">
      <c r="A97" t="s">
        <v>1665</v>
      </c>
      <c r="B97" t="s">
        <v>1135</v>
      </c>
      <c r="C97" t="s">
        <v>19</v>
      </c>
      <c r="D97">
        <v>2</v>
      </c>
      <c r="E97" t="s">
        <v>17</v>
      </c>
      <c r="F97" t="s">
        <v>380</v>
      </c>
      <c r="G97" t="s">
        <v>3201</v>
      </c>
      <c r="H97" s="17" t="s">
        <v>604</v>
      </c>
      <c r="J97" s="17"/>
      <c r="L97" s="17"/>
    </row>
    <row r="98" spans="1:12" x14ac:dyDescent="0.2">
      <c r="A98" t="s">
        <v>1666</v>
      </c>
      <c r="B98" t="s">
        <v>1135</v>
      </c>
      <c r="C98" t="s">
        <v>18</v>
      </c>
      <c r="D98">
        <v>2</v>
      </c>
      <c r="E98" t="s">
        <v>21</v>
      </c>
      <c r="F98" t="s">
        <v>380</v>
      </c>
      <c r="G98" t="s">
        <v>3201</v>
      </c>
      <c r="H98" s="17" t="s">
        <v>604</v>
      </c>
      <c r="J98" s="17"/>
      <c r="L98" s="17"/>
    </row>
    <row r="99" spans="1:12" x14ac:dyDescent="0.2">
      <c r="A99" t="s">
        <v>1667</v>
      </c>
      <c r="B99" t="s">
        <v>1135</v>
      </c>
      <c r="C99" t="s">
        <v>19</v>
      </c>
      <c r="D99">
        <v>2</v>
      </c>
      <c r="E99" t="s">
        <v>21</v>
      </c>
      <c r="F99" t="s">
        <v>380</v>
      </c>
      <c r="G99" t="s">
        <v>3201</v>
      </c>
      <c r="H99" s="17" t="s">
        <v>604</v>
      </c>
      <c r="J99" s="17"/>
      <c r="L99" s="17"/>
    </row>
    <row r="100" spans="1:12" x14ac:dyDescent="0.2">
      <c r="A100" t="s">
        <v>1668</v>
      </c>
      <c r="B100" t="s">
        <v>1135</v>
      </c>
      <c r="C100" t="s">
        <v>19</v>
      </c>
      <c r="D100">
        <v>2</v>
      </c>
      <c r="E100" t="s">
        <v>17</v>
      </c>
      <c r="F100" t="s">
        <v>380</v>
      </c>
      <c r="G100" t="s">
        <v>3201</v>
      </c>
      <c r="H100" s="17" t="s">
        <v>604</v>
      </c>
      <c r="J100" s="17"/>
      <c r="L100" s="17"/>
    </row>
    <row r="101" spans="1:12" x14ac:dyDescent="0.2">
      <c r="A101" t="s">
        <v>1669</v>
      </c>
      <c r="B101" t="s">
        <v>1135</v>
      </c>
      <c r="C101" t="s">
        <v>18</v>
      </c>
      <c r="D101">
        <v>2</v>
      </c>
      <c r="E101" t="s">
        <v>17</v>
      </c>
      <c r="F101" t="s">
        <v>380</v>
      </c>
      <c r="G101" t="s">
        <v>3201</v>
      </c>
      <c r="H101" s="17" t="s">
        <v>604</v>
      </c>
      <c r="J101" s="17"/>
      <c r="L101" s="17"/>
    </row>
    <row r="102" spans="1:12" x14ac:dyDescent="0.2">
      <c r="A102" t="s">
        <v>1670</v>
      </c>
      <c r="B102" t="s">
        <v>1137</v>
      </c>
      <c r="C102" t="s">
        <v>18</v>
      </c>
      <c r="D102">
        <v>2</v>
      </c>
      <c r="E102" t="s">
        <v>17</v>
      </c>
      <c r="F102" t="s">
        <v>380</v>
      </c>
      <c r="G102" t="s">
        <v>3201</v>
      </c>
      <c r="H102" s="17" t="s">
        <v>604</v>
      </c>
      <c r="J102" s="17"/>
      <c r="L102" s="17"/>
    </row>
    <row r="103" spans="1:12" x14ac:dyDescent="0.2">
      <c r="A103" t="s">
        <v>1671</v>
      </c>
      <c r="B103" t="s">
        <v>1137</v>
      </c>
      <c r="C103" t="s">
        <v>19</v>
      </c>
      <c r="D103">
        <v>2</v>
      </c>
      <c r="E103" t="s">
        <v>17</v>
      </c>
      <c r="F103" t="s">
        <v>380</v>
      </c>
      <c r="G103" t="s">
        <v>3201</v>
      </c>
      <c r="H103" s="17" t="s">
        <v>604</v>
      </c>
      <c r="J103" s="17"/>
      <c r="L103" s="17"/>
    </row>
    <row r="104" spans="1:12" x14ac:dyDescent="0.2">
      <c r="A104" t="s">
        <v>1672</v>
      </c>
      <c r="B104" t="s">
        <v>1137</v>
      </c>
      <c r="C104" t="s">
        <v>19</v>
      </c>
      <c r="D104">
        <v>2</v>
      </c>
      <c r="E104" t="s">
        <v>17</v>
      </c>
      <c r="F104" t="s">
        <v>380</v>
      </c>
      <c r="G104" t="s">
        <v>3201</v>
      </c>
      <c r="H104" s="17" t="s">
        <v>604</v>
      </c>
      <c r="J104" s="17"/>
      <c r="L104" s="17"/>
    </row>
    <row r="105" spans="1:12" x14ac:dyDescent="0.2">
      <c r="A105" t="s">
        <v>1673</v>
      </c>
      <c r="B105" t="s">
        <v>1137</v>
      </c>
      <c r="C105" t="s">
        <v>18</v>
      </c>
      <c r="D105">
        <v>2</v>
      </c>
      <c r="E105" t="s">
        <v>17</v>
      </c>
      <c r="F105" t="s">
        <v>380</v>
      </c>
      <c r="G105" t="s">
        <v>3201</v>
      </c>
      <c r="H105" s="17" t="s">
        <v>604</v>
      </c>
      <c r="J105" s="17"/>
      <c r="L105" s="17"/>
    </row>
    <row r="106" spans="1:12" x14ac:dyDescent="0.2">
      <c r="A106" t="s">
        <v>1674</v>
      </c>
      <c r="B106" t="s">
        <v>1137</v>
      </c>
      <c r="C106" t="s">
        <v>18</v>
      </c>
      <c r="D106">
        <v>2</v>
      </c>
      <c r="E106" t="s">
        <v>17</v>
      </c>
      <c r="F106" t="s">
        <v>380</v>
      </c>
      <c r="G106" t="s">
        <v>3201</v>
      </c>
      <c r="H106" s="17" t="s">
        <v>604</v>
      </c>
      <c r="J106" s="17"/>
      <c r="L106" s="17"/>
    </row>
    <row r="107" spans="1:12" x14ac:dyDescent="0.2">
      <c r="A107" t="s">
        <v>1675</v>
      </c>
      <c r="B107" t="s">
        <v>1139</v>
      </c>
      <c r="C107" t="s">
        <v>18</v>
      </c>
      <c r="D107">
        <v>2</v>
      </c>
      <c r="E107" t="s">
        <v>17</v>
      </c>
      <c r="F107" t="s">
        <v>380</v>
      </c>
      <c r="G107" t="s">
        <v>3201</v>
      </c>
      <c r="H107" s="17" t="s">
        <v>604</v>
      </c>
      <c r="J107" s="17"/>
      <c r="L107" s="17"/>
    </row>
    <row r="108" spans="1:12" x14ac:dyDescent="0.2">
      <c r="A108" t="s">
        <v>1676</v>
      </c>
      <c r="B108" t="s">
        <v>1139</v>
      </c>
      <c r="C108" t="s">
        <v>18</v>
      </c>
      <c r="D108">
        <v>2</v>
      </c>
      <c r="E108" t="s">
        <v>17</v>
      </c>
      <c r="F108" t="s">
        <v>380</v>
      </c>
      <c r="G108" t="s">
        <v>3201</v>
      </c>
      <c r="H108" s="17" t="s">
        <v>604</v>
      </c>
      <c r="J108" s="17"/>
      <c r="L108" s="17"/>
    </row>
    <row r="109" spans="1:12" x14ac:dyDescent="0.2">
      <c r="A109" t="s">
        <v>1677</v>
      </c>
      <c r="B109" t="s">
        <v>1139</v>
      </c>
      <c r="C109" t="s">
        <v>18</v>
      </c>
      <c r="D109">
        <v>2</v>
      </c>
      <c r="E109" t="s">
        <v>17</v>
      </c>
      <c r="F109" t="s">
        <v>380</v>
      </c>
      <c r="G109" t="s">
        <v>3201</v>
      </c>
      <c r="H109" s="17" t="s">
        <v>604</v>
      </c>
      <c r="J109" s="17"/>
      <c r="L109" s="17"/>
    </row>
    <row r="110" spans="1:12" x14ac:dyDescent="0.2">
      <c r="A110" t="s">
        <v>1678</v>
      </c>
      <c r="B110" t="s">
        <v>1139</v>
      </c>
      <c r="C110" t="s">
        <v>18</v>
      </c>
      <c r="D110">
        <v>2</v>
      </c>
      <c r="E110" t="s">
        <v>17</v>
      </c>
      <c r="F110" t="s">
        <v>380</v>
      </c>
      <c r="G110" t="s">
        <v>3201</v>
      </c>
      <c r="H110" s="17" t="s">
        <v>604</v>
      </c>
      <c r="J110" s="17"/>
      <c r="L110" s="17"/>
    </row>
    <row r="111" spans="1:12" x14ac:dyDescent="0.2">
      <c r="A111" t="s">
        <v>1679</v>
      </c>
      <c r="B111" t="s">
        <v>1139</v>
      </c>
      <c r="C111" t="s">
        <v>19</v>
      </c>
      <c r="D111">
        <v>2</v>
      </c>
      <c r="E111" t="s">
        <v>17</v>
      </c>
      <c r="F111" t="s">
        <v>380</v>
      </c>
      <c r="G111" t="s">
        <v>3201</v>
      </c>
      <c r="H111" s="17" t="s">
        <v>604</v>
      </c>
      <c r="J111" s="17"/>
      <c r="L111" s="17"/>
    </row>
    <row r="112" spans="1:12" x14ac:dyDescent="0.2">
      <c r="A112" t="s">
        <v>1680</v>
      </c>
      <c r="B112" t="s">
        <v>1141</v>
      </c>
      <c r="C112" t="s">
        <v>18</v>
      </c>
      <c r="D112">
        <v>2</v>
      </c>
      <c r="E112" t="s">
        <v>21</v>
      </c>
      <c r="F112" t="s">
        <v>380</v>
      </c>
      <c r="G112" t="s">
        <v>3201</v>
      </c>
      <c r="H112" s="17" t="s">
        <v>604</v>
      </c>
      <c r="J112" s="17"/>
      <c r="L112" s="17"/>
    </row>
    <row r="113" spans="1:12" x14ac:dyDescent="0.2">
      <c r="A113" t="s">
        <v>1681</v>
      </c>
      <c r="B113" t="s">
        <v>1141</v>
      </c>
      <c r="C113" t="s">
        <v>19</v>
      </c>
      <c r="D113">
        <v>2</v>
      </c>
      <c r="E113" t="s">
        <v>17</v>
      </c>
      <c r="F113" t="s">
        <v>380</v>
      </c>
      <c r="G113" t="s">
        <v>3201</v>
      </c>
      <c r="H113" s="17" t="s">
        <v>604</v>
      </c>
      <c r="J113" s="17"/>
      <c r="L113" s="17"/>
    </row>
    <row r="114" spans="1:12" x14ac:dyDescent="0.2">
      <c r="A114" t="s">
        <v>1682</v>
      </c>
      <c r="B114" t="s">
        <v>1141</v>
      </c>
      <c r="C114" t="s">
        <v>18</v>
      </c>
      <c r="D114">
        <v>2</v>
      </c>
      <c r="E114" t="s">
        <v>17</v>
      </c>
      <c r="F114" t="s">
        <v>380</v>
      </c>
      <c r="G114" t="s">
        <v>3201</v>
      </c>
      <c r="H114" s="17" t="s">
        <v>604</v>
      </c>
      <c r="J114" s="17"/>
      <c r="L114" s="17"/>
    </row>
    <row r="115" spans="1:12" x14ac:dyDescent="0.2">
      <c r="A115" t="s">
        <v>1683</v>
      </c>
      <c r="B115" t="s">
        <v>1141</v>
      </c>
      <c r="C115" t="s">
        <v>18</v>
      </c>
      <c r="D115">
        <v>2</v>
      </c>
      <c r="E115" t="s">
        <v>17</v>
      </c>
      <c r="F115" t="s">
        <v>380</v>
      </c>
      <c r="G115" t="s">
        <v>3201</v>
      </c>
      <c r="H115" s="17" t="s">
        <v>604</v>
      </c>
      <c r="J115" s="17"/>
      <c r="L115" s="17"/>
    </row>
    <row r="116" spans="1:12" x14ac:dyDescent="0.2">
      <c r="A116" t="s">
        <v>1684</v>
      </c>
      <c r="B116" t="s">
        <v>1141</v>
      </c>
      <c r="C116" t="s">
        <v>18</v>
      </c>
      <c r="D116">
        <v>2</v>
      </c>
      <c r="E116" t="s">
        <v>17</v>
      </c>
      <c r="F116" t="s">
        <v>380</v>
      </c>
      <c r="G116" t="s">
        <v>3201</v>
      </c>
      <c r="H116" s="17" t="s">
        <v>604</v>
      </c>
      <c r="J116" s="17"/>
      <c r="L116" s="17"/>
    </row>
    <row r="117" spans="1:12" x14ac:dyDescent="0.2">
      <c r="A117" t="s">
        <v>1685</v>
      </c>
      <c r="B117" t="s">
        <v>1143</v>
      </c>
      <c r="C117" t="s">
        <v>18</v>
      </c>
      <c r="D117">
        <v>2</v>
      </c>
      <c r="E117" t="s">
        <v>17</v>
      </c>
      <c r="F117" t="s">
        <v>380</v>
      </c>
      <c r="G117" t="s">
        <v>3201</v>
      </c>
      <c r="H117" s="17" t="s">
        <v>604</v>
      </c>
      <c r="J117" s="17"/>
      <c r="L117" s="17"/>
    </row>
    <row r="118" spans="1:12" x14ac:dyDescent="0.2">
      <c r="A118" t="s">
        <v>1686</v>
      </c>
      <c r="B118" t="s">
        <v>1143</v>
      </c>
      <c r="C118" t="s">
        <v>18</v>
      </c>
      <c r="D118">
        <v>2</v>
      </c>
      <c r="E118" t="s">
        <v>17</v>
      </c>
      <c r="F118" t="s">
        <v>380</v>
      </c>
      <c r="G118" t="s">
        <v>3201</v>
      </c>
      <c r="H118" s="17" t="s">
        <v>604</v>
      </c>
      <c r="J118" s="17"/>
      <c r="L118" s="17"/>
    </row>
    <row r="119" spans="1:12" x14ac:dyDescent="0.2">
      <c r="A119" t="s">
        <v>1687</v>
      </c>
      <c r="B119" t="s">
        <v>1143</v>
      </c>
      <c r="C119" t="s">
        <v>18</v>
      </c>
      <c r="D119">
        <v>2</v>
      </c>
      <c r="E119" t="s">
        <v>17</v>
      </c>
      <c r="F119" t="s">
        <v>380</v>
      </c>
      <c r="G119" t="s">
        <v>3201</v>
      </c>
      <c r="H119" s="17" t="s">
        <v>604</v>
      </c>
      <c r="J119" s="17"/>
      <c r="L119" s="17"/>
    </row>
    <row r="120" spans="1:12" x14ac:dyDescent="0.2">
      <c r="A120" t="s">
        <v>1688</v>
      </c>
      <c r="B120" t="s">
        <v>1143</v>
      </c>
      <c r="C120" t="s">
        <v>18</v>
      </c>
      <c r="D120">
        <v>2</v>
      </c>
      <c r="E120" t="s">
        <v>17</v>
      </c>
      <c r="F120" t="s">
        <v>380</v>
      </c>
      <c r="G120" t="s">
        <v>3201</v>
      </c>
      <c r="H120" s="17" t="s">
        <v>604</v>
      </c>
      <c r="J120" s="17"/>
      <c r="L120" s="17"/>
    </row>
    <row r="121" spans="1:12" x14ac:dyDescent="0.2">
      <c r="A121" t="s">
        <v>1689</v>
      </c>
      <c r="B121" t="s">
        <v>1143</v>
      </c>
      <c r="C121" t="s">
        <v>19</v>
      </c>
      <c r="D121">
        <v>3</v>
      </c>
      <c r="E121" t="s">
        <v>17</v>
      </c>
      <c r="F121" t="s">
        <v>380</v>
      </c>
      <c r="G121" t="s">
        <v>3201</v>
      </c>
      <c r="H121" s="17" t="s">
        <v>604</v>
      </c>
      <c r="J121" s="17"/>
      <c r="L121" s="17"/>
    </row>
    <row r="122" spans="1:12" x14ac:dyDescent="0.2">
      <c r="A122" t="s">
        <v>1690</v>
      </c>
      <c r="B122" t="s">
        <v>1151</v>
      </c>
      <c r="C122" t="s">
        <v>18</v>
      </c>
      <c r="D122">
        <v>2</v>
      </c>
      <c r="E122" t="s">
        <v>17</v>
      </c>
      <c r="F122" t="s">
        <v>380</v>
      </c>
      <c r="G122" t="s">
        <v>3201</v>
      </c>
      <c r="H122" s="17" t="s">
        <v>604</v>
      </c>
      <c r="J122" s="17"/>
      <c r="L122" s="17"/>
    </row>
    <row r="123" spans="1:12" x14ac:dyDescent="0.2">
      <c r="A123" t="s">
        <v>1691</v>
      </c>
      <c r="B123" t="s">
        <v>1151</v>
      </c>
      <c r="C123" t="s">
        <v>18</v>
      </c>
      <c r="D123">
        <v>3</v>
      </c>
      <c r="E123" t="s">
        <v>17</v>
      </c>
      <c r="F123" t="s">
        <v>380</v>
      </c>
      <c r="G123" t="s">
        <v>3201</v>
      </c>
      <c r="H123" s="17" t="s">
        <v>604</v>
      </c>
      <c r="J123" s="17"/>
      <c r="L123" s="17"/>
    </row>
    <row r="124" spans="1:12" x14ac:dyDescent="0.2">
      <c r="A124" t="s">
        <v>1692</v>
      </c>
      <c r="B124" t="s">
        <v>1151</v>
      </c>
      <c r="C124" t="s">
        <v>18</v>
      </c>
      <c r="D124">
        <v>3</v>
      </c>
      <c r="E124" t="s">
        <v>17</v>
      </c>
      <c r="F124" t="s">
        <v>380</v>
      </c>
      <c r="G124" t="s">
        <v>3201</v>
      </c>
      <c r="H124" s="17" t="s">
        <v>604</v>
      </c>
      <c r="J124" s="17"/>
      <c r="L124" s="17"/>
    </row>
    <row r="125" spans="1:12" x14ac:dyDescent="0.2">
      <c r="A125" t="s">
        <v>1693</v>
      </c>
      <c r="B125" t="s">
        <v>1151</v>
      </c>
      <c r="C125" t="s">
        <v>18</v>
      </c>
      <c r="D125">
        <v>3</v>
      </c>
      <c r="E125" t="s">
        <v>17</v>
      </c>
      <c r="F125" t="s">
        <v>380</v>
      </c>
      <c r="G125" t="s">
        <v>3201</v>
      </c>
      <c r="H125" s="17" t="s">
        <v>604</v>
      </c>
      <c r="J125" s="17"/>
      <c r="L125" s="17"/>
    </row>
    <row r="126" spans="1:12" x14ac:dyDescent="0.2">
      <c r="A126" t="s">
        <v>1694</v>
      </c>
      <c r="B126" t="s">
        <v>1151</v>
      </c>
      <c r="C126" t="s">
        <v>18</v>
      </c>
      <c r="D126">
        <v>2</v>
      </c>
      <c r="E126" t="s">
        <v>17</v>
      </c>
      <c r="F126" t="s">
        <v>380</v>
      </c>
      <c r="G126" t="s">
        <v>3201</v>
      </c>
      <c r="H126" s="17" t="s">
        <v>604</v>
      </c>
      <c r="J126" s="17"/>
      <c r="L126" s="17"/>
    </row>
    <row r="127" spans="1:12" x14ac:dyDescent="0.2">
      <c r="A127" t="s">
        <v>1695</v>
      </c>
      <c r="B127" t="s">
        <v>1153</v>
      </c>
      <c r="C127" t="s">
        <v>18</v>
      </c>
      <c r="D127">
        <v>2</v>
      </c>
      <c r="E127" t="s">
        <v>17</v>
      </c>
      <c r="F127" t="s">
        <v>380</v>
      </c>
      <c r="G127" t="s">
        <v>3201</v>
      </c>
      <c r="H127" s="17" t="s">
        <v>604</v>
      </c>
      <c r="J127" s="17"/>
      <c r="L127" s="17"/>
    </row>
    <row r="128" spans="1:12" x14ac:dyDescent="0.2">
      <c r="A128" t="s">
        <v>1696</v>
      </c>
      <c r="B128" t="s">
        <v>1153</v>
      </c>
      <c r="C128" t="s">
        <v>18</v>
      </c>
      <c r="D128">
        <v>3</v>
      </c>
      <c r="E128" t="s">
        <v>17</v>
      </c>
      <c r="F128" t="s">
        <v>380</v>
      </c>
      <c r="G128" t="s">
        <v>3201</v>
      </c>
      <c r="H128" s="17" t="s">
        <v>604</v>
      </c>
      <c r="J128" s="17"/>
      <c r="L128" s="17"/>
    </row>
    <row r="129" spans="1:12" x14ac:dyDescent="0.2">
      <c r="A129" t="s">
        <v>1697</v>
      </c>
      <c r="B129" t="s">
        <v>1153</v>
      </c>
      <c r="C129" t="s">
        <v>18</v>
      </c>
      <c r="D129">
        <v>2</v>
      </c>
      <c r="E129" t="s">
        <v>17</v>
      </c>
      <c r="F129" t="s">
        <v>380</v>
      </c>
      <c r="G129" t="s">
        <v>3201</v>
      </c>
      <c r="H129" s="17" t="s">
        <v>604</v>
      </c>
      <c r="J129" s="17"/>
      <c r="L129" s="17"/>
    </row>
    <row r="130" spans="1:12" x14ac:dyDescent="0.2">
      <c r="A130" t="s">
        <v>1698</v>
      </c>
      <c r="B130" t="s">
        <v>1153</v>
      </c>
      <c r="C130" t="s">
        <v>18</v>
      </c>
      <c r="D130">
        <v>2</v>
      </c>
      <c r="E130" t="s">
        <v>17</v>
      </c>
      <c r="F130" t="s">
        <v>380</v>
      </c>
      <c r="G130" t="s">
        <v>3201</v>
      </c>
      <c r="H130" s="17" t="s">
        <v>604</v>
      </c>
      <c r="J130" s="17"/>
      <c r="L130" s="17"/>
    </row>
    <row r="131" spans="1:12" x14ac:dyDescent="0.2">
      <c r="A131" t="s">
        <v>1699</v>
      </c>
      <c r="B131" t="s">
        <v>1153</v>
      </c>
      <c r="C131" t="s">
        <v>19</v>
      </c>
      <c r="D131">
        <v>2</v>
      </c>
      <c r="E131" t="s">
        <v>17</v>
      </c>
      <c r="F131" t="s">
        <v>380</v>
      </c>
      <c r="G131" t="s">
        <v>3201</v>
      </c>
      <c r="H131" s="17" t="s">
        <v>604</v>
      </c>
      <c r="J131" s="17"/>
      <c r="L131" s="17"/>
    </row>
    <row r="132" spans="1:12" x14ac:dyDescent="0.2">
      <c r="A132" t="s">
        <v>1700</v>
      </c>
      <c r="B132" t="s">
        <v>1155</v>
      </c>
      <c r="C132" t="s">
        <v>18</v>
      </c>
      <c r="D132">
        <v>2</v>
      </c>
      <c r="E132" t="s">
        <v>17</v>
      </c>
      <c r="F132" t="s">
        <v>380</v>
      </c>
      <c r="G132" t="s">
        <v>3201</v>
      </c>
      <c r="H132" s="17" t="s">
        <v>604</v>
      </c>
      <c r="J132" s="17"/>
      <c r="L132" s="17"/>
    </row>
    <row r="133" spans="1:12" x14ac:dyDescent="0.2">
      <c r="A133" t="s">
        <v>1701</v>
      </c>
      <c r="B133" t="s">
        <v>1155</v>
      </c>
      <c r="C133" t="s">
        <v>18</v>
      </c>
      <c r="D133">
        <v>2</v>
      </c>
      <c r="E133" t="s">
        <v>17</v>
      </c>
      <c r="F133" t="s">
        <v>380</v>
      </c>
      <c r="G133" t="s">
        <v>3201</v>
      </c>
      <c r="H133" s="17" t="s">
        <v>604</v>
      </c>
      <c r="J133" s="17"/>
      <c r="L133" s="17"/>
    </row>
    <row r="134" spans="1:12" x14ac:dyDescent="0.2">
      <c r="A134" t="s">
        <v>1702</v>
      </c>
      <c r="B134" t="s">
        <v>1155</v>
      </c>
      <c r="C134" t="s">
        <v>18</v>
      </c>
      <c r="D134">
        <v>2</v>
      </c>
      <c r="E134" t="s">
        <v>17</v>
      </c>
      <c r="F134" t="s">
        <v>380</v>
      </c>
      <c r="G134" t="s">
        <v>3201</v>
      </c>
      <c r="H134" s="17" t="s">
        <v>604</v>
      </c>
      <c r="J134" s="17"/>
      <c r="L134" s="17"/>
    </row>
    <row r="135" spans="1:12" x14ac:dyDescent="0.2">
      <c r="A135" t="s">
        <v>1703</v>
      </c>
      <c r="B135" t="s">
        <v>1155</v>
      </c>
      <c r="C135" t="s">
        <v>18</v>
      </c>
      <c r="D135">
        <v>3</v>
      </c>
      <c r="E135" t="s">
        <v>17</v>
      </c>
      <c r="F135" t="s">
        <v>380</v>
      </c>
      <c r="G135" t="s">
        <v>3201</v>
      </c>
      <c r="H135" s="17" t="s">
        <v>604</v>
      </c>
      <c r="J135" s="17"/>
      <c r="L135" s="17"/>
    </row>
    <row r="136" spans="1:12" x14ac:dyDescent="0.2">
      <c r="A136" t="s">
        <v>1704</v>
      </c>
      <c r="B136" t="s">
        <v>1155</v>
      </c>
      <c r="C136" t="s">
        <v>19</v>
      </c>
      <c r="D136">
        <v>2</v>
      </c>
      <c r="E136" t="s">
        <v>17</v>
      </c>
      <c r="F136" t="s">
        <v>380</v>
      </c>
      <c r="G136" t="s">
        <v>3201</v>
      </c>
      <c r="H136" s="17" t="s">
        <v>604</v>
      </c>
      <c r="J136" s="17"/>
      <c r="L136" s="17"/>
    </row>
    <row r="137" spans="1:12" x14ac:dyDescent="0.2">
      <c r="A137" t="s">
        <v>1705</v>
      </c>
      <c r="B137" t="s">
        <v>1163</v>
      </c>
      <c r="C137" t="s">
        <v>16</v>
      </c>
      <c r="D137">
        <v>4</v>
      </c>
      <c r="E137" t="s">
        <v>17</v>
      </c>
      <c r="F137" t="s">
        <v>380</v>
      </c>
      <c r="G137" t="s">
        <v>3201</v>
      </c>
      <c r="H137" s="17" t="s">
        <v>604</v>
      </c>
      <c r="J137" s="17"/>
      <c r="L137" s="17"/>
    </row>
    <row r="138" spans="1:12" x14ac:dyDescent="0.2">
      <c r="A138" t="s">
        <v>1706</v>
      </c>
      <c r="B138" t="s">
        <v>1163</v>
      </c>
      <c r="C138" t="s">
        <v>18</v>
      </c>
      <c r="D138">
        <v>3</v>
      </c>
      <c r="E138" t="s">
        <v>17</v>
      </c>
      <c r="F138" t="s">
        <v>380</v>
      </c>
      <c r="G138" t="s">
        <v>3201</v>
      </c>
      <c r="H138" s="17" t="s">
        <v>604</v>
      </c>
      <c r="J138" s="17"/>
      <c r="L138" s="17"/>
    </row>
    <row r="139" spans="1:12" x14ac:dyDescent="0.2">
      <c r="A139" t="s">
        <v>1707</v>
      </c>
      <c r="B139" t="s">
        <v>1163</v>
      </c>
      <c r="C139" t="s">
        <v>18</v>
      </c>
      <c r="D139">
        <v>3</v>
      </c>
      <c r="E139" t="s">
        <v>17</v>
      </c>
      <c r="F139" t="s">
        <v>380</v>
      </c>
      <c r="G139" t="s">
        <v>3201</v>
      </c>
      <c r="H139" s="17" t="s">
        <v>604</v>
      </c>
      <c r="J139" s="17"/>
      <c r="L139" s="17"/>
    </row>
    <row r="140" spans="1:12" x14ac:dyDescent="0.2">
      <c r="A140" t="s">
        <v>1708</v>
      </c>
      <c r="B140" t="s">
        <v>1163</v>
      </c>
      <c r="C140" t="s">
        <v>19</v>
      </c>
      <c r="D140">
        <v>3</v>
      </c>
      <c r="E140" t="s">
        <v>17</v>
      </c>
      <c r="F140" t="s">
        <v>380</v>
      </c>
      <c r="G140" t="s">
        <v>3201</v>
      </c>
      <c r="H140" s="17" t="s">
        <v>604</v>
      </c>
      <c r="J140" s="17"/>
      <c r="L140" s="17"/>
    </row>
    <row r="141" spans="1:12" x14ac:dyDescent="0.2">
      <c r="A141" t="s">
        <v>1709</v>
      </c>
      <c r="B141" t="s">
        <v>1163</v>
      </c>
      <c r="C141" t="s">
        <v>16</v>
      </c>
      <c r="D141">
        <v>4</v>
      </c>
      <c r="E141" t="s">
        <v>17</v>
      </c>
      <c r="F141" t="s">
        <v>380</v>
      </c>
      <c r="G141" t="s">
        <v>3201</v>
      </c>
      <c r="H141" s="17" t="s">
        <v>604</v>
      </c>
      <c r="J141" s="17"/>
      <c r="L141" s="17"/>
    </row>
    <row r="142" spans="1:12" x14ac:dyDescent="0.2">
      <c r="A142" t="s">
        <v>1710</v>
      </c>
      <c r="B142" t="s">
        <v>1165</v>
      </c>
      <c r="C142" t="s">
        <v>16</v>
      </c>
      <c r="D142">
        <v>4</v>
      </c>
      <c r="E142" t="s">
        <v>17</v>
      </c>
      <c r="F142" t="s">
        <v>380</v>
      </c>
      <c r="G142" t="s">
        <v>3201</v>
      </c>
      <c r="H142" s="17" t="s">
        <v>604</v>
      </c>
      <c r="J142" s="17"/>
      <c r="L142" s="17"/>
    </row>
    <row r="143" spans="1:12" x14ac:dyDescent="0.2">
      <c r="A143" t="s">
        <v>1711</v>
      </c>
      <c r="B143" t="s">
        <v>1165</v>
      </c>
      <c r="C143" t="s">
        <v>16</v>
      </c>
      <c r="D143">
        <v>4</v>
      </c>
      <c r="E143" t="s">
        <v>17</v>
      </c>
      <c r="F143" t="s">
        <v>380</v>
      </c>
      <c r="G143" t="s">
        <v>3201</v>
      </c>
      <c r="H143" s="17" t="s">
        <v>604</v>
      </c>
      <c r="J143" s="17"/>
      <c r="L143" s="17"/>
    </row>
    <row r="144" spans="1:12" x14ac:dyDescent="0.2">
      <c r="A144" t="s">
        <v>1712</v>
      </c>
      <c r="B144" t="s">
        <v>1165</v>
      </c>
      <c r="C144" t="s">
        <v>16</v>
      </c>
      <c r="D144">
        <v>4</v>
      </c>
      <c r="E144" t="s">
        <v>17</v>
      </c>
      <c r="F144" t="s">
        <v>380</v>
      </c>
      <c r="G144" t="s">
        <v>3201</v>
      </c>
      <c r="H144" s="17" t="s">
        <v>604</v>
      </c>
      <c r="J144" s="17"/>
      <c r="L144" s="17"/>
    </row>
    <row r="145" spans="1:12" x14ac:dyDescent="0.2">
      <c r="A145" t="s">
        <v>1713</v>
      </c>
      <c r="B145" t="s">
        <v>1165</v>
      </c>
      <c r="C145" t="s">
        <v>18</v>
      </c>
      <c r="D145">
        <v>3</v>
      </c>
      <c r="E145" t="s">
        <v>17</v>
      </c>
      <c r="F145" t="s">
        <v>380</v>
      </c>
      <c r="G145" t="s">
        <v>3201</v>
      </c>
      <c r="H145" s="17" t="s">
        <v>604</v>
      </c>
      <c r="J145" s="17"/>
      <c r="L145" s="17"/>
    </row>
    <row r="146" spans="1:12" x14ac:dyDescent="0.2">
      <c r="A146" t="s">
        <v>1714</v>
      </c>
      <c r="B146" t="s">
        <v>1165</v>
      </c>
      <c r="C146" t="s">
        <v>18</v>
      </c>
      <c r="D146">
        <v>3</v>
      </c>
      <c r="E146" t="s">
        <v>17</v>
      </c>
      <c r="F146" t="s">
        <v>380</v>
      </c>
      <c r="G146" t="s">
        <v>3201</v>
      </c>
      <c r="H146" s="17" t="s">
        <v>604</v>
      </c>
      <c r="J146" s="17"/>
      <c r="L146" s="17"/>
    </row>
    <row r="147" spans="1:12" x14ac:dyDescent="0.2">
      <c r="A147" t="s">
        <v>1715</v>
      </c>
      <c r="B147" t="s">
        <v>1167</v>
      </c>
      <c r="C147" t="s">
        <v>18</v>
      </c>
      <c r="D147">
        <v>3</v>
      </c>
      <c r="E147" t="s">
        <v>17</v>
      </c>
      <c r="F147" t="s">
        <v>380</v>
      </c>
      <c r="G147" t="s">
        <v>3201</v>
      </c>
      <c r="H147" s="17" t="s">
        <v>604</v>
      </c>
      <c r="J147" s="17"/>
      <c r="L147" s="17"/>
    </row>
    <row r="148" spans="1:12" x14ac:dyDescent="0.2">
      <c r="A148" t="s">
        <v>1716</v>
      </c>
      <c r="B148" t="s">
        <v>1167</v>
      </c>
      <c r="C148" t="s">
        <v>18</v>
      </c>
      <c r="D148">
        <v>3</v>
      </c>
      <c r="E148" t="s">
        <v>17</v>
      </c>
      <c r="F148" t="s">
        <v>380</v>
      </c>
      <c r="G148" t="s">
        <v>3201</v>
      </c>
      <c r="H148" s="17" t="s">
        <v>604</v>
      </c>
      <c r="J148" s="17"/>
      <c r="L148" s="17"/>
    </row>
    <row r="149" spans="1:12" x14ac:dyDescent="0.2">
      <c r="A149" t="s">
        <v>1717</v>
      </c>
      <c r="B149" t="s">
        <v>1167</v>
      </c>
      <c r="C149" t="s">
        <v>16</v>
      </c>
      <c r="D149">
        <v>4</v>
      </c>
      <c r="E149" t="s">
        <v>17</v>
      </c>
      <c r="F149" t="s">
        <v>380</v>
      </c>
      <c r="G149" t="s">
        <v>3201</v>
      </c>
      <c r="H149" s="17" t="s">
        <v>604</v>
      </c>
      <c r="J149" s="17"/>
      <c r="L149" s="17"/>
    </row>
    <row r="150" spans="1:12" x14ac:dyDescent="0.2">
      <c r="A150" t="s">
        <v>1718</v>
      </c>
      <c r="B150" t="s">
        <v>1167</v>
      </c>
      <c r="C150" t="s">
        <v>19</v>
      </c>
      <c r="D150">
        <v>3</v>
      </c>
      <c r="E150" t="s">
        <v>17</v>
      </c>
      <c r="F150" t="s">
        <v>380</v>
      </c>
      <c r="G150" t="s">
        <v>3201</v>
      </c>
      <c r="H150" s="17" t="s">
        <v>604</v>
      </c>
      <c r="J150" s="17"/>
      <c r="L150" s="17"/>
    </row>
    <row r="151" spans="1:12" x14ac:dyDescent="0.2">
      <c r="A151" t="s">
        <v>1719</v>
      </c>
      <c r="B151" t="s">
        <v>1167</v>
      </c>
      <c r="C151" t="s">
        <v>18</v>
      </c>
      <c r="D151">
        <v>3</v>
      </c>
      <c r="E151" t="s">
        <v>17</v>
      </c>
      <c r="F151" t="s">
        <v>380</v>
      </c>
      <c r="G151" t="s">
        <v>3201</v>
      </c>
      <c r="H151" s="17" t="s">
        <v>604</v>
      </c>
      <c r="J151" s="17"/>
      <c r="L151" s="17"/>
    </row>
    <row r="152" spans="1:12" x14ac:dyDescent="0.2">
      <c r="A152" t="s">
        <v>1720</v>
      </c>
      <c r="B152" t="s">
        <v>1175</v>
      </c>
      <c r="C152" t="s">
        <v>16</v>
      </c>
      <c r="D152">
        <v>4</v>
      </c>
      <c r="E152" t="s">
        <v>17</v>
      </c>
      <c r="F152" t="s">
        <v>381</v>
      </c>
      <c r="G152" t="s">
        <v>3201</v>
      </c>
      <c r="H152" s="17" t="s">
        <v>604</v>
      </c>
      <c r="J152" s="17"/>
      <c r="L152" s="17"/>
    </row>
    <row r="153" spans="1:12" x14ac:dyDescent="0.2">
      <c r="A153" t="s">
        <v>1721</v>
      </c>
      <c r="B153" t="s">
        <v>1175</v>
      </c>
      <c r="C153" t="s">
        <v>16</v>
      </c>
      <c r="D153">
        <v>4</v>
      </c>
      <c r="E153" t="s">
        <v>17</v>
      </c>
      <c r="F153" t="s">
        <v>380</v>
      </c>
      <c r="G153" t="s">
        <v>3201</v>
      </c>
      <c r="H153" s="17" t="s">
        <v>604</v>
      </c>
      <c r="J153" s="17"/>
      <c r="L153" s="17"/>
    </row>
    <row r="154" spans="1:12" x14ac:dyDescent="0.2">
      <c r="A154" t="s">
        <v>1722</v>
      </c>
      <c r="B154" t="s">
        <v>1175</v>
      </c>
      <c r="C154" t="s">
        <v>16</v>
      </c>
      <c r="D154">
        <v>4</v>
      </c>
      <c r="E154" t="s">
        <v>17</v>
      </c>
      <c r="F154" t="s">
        <v>380</v>
      </c>
      <c r="G154" t="s">
        <v>3201</v>
      </c>
      <c r="H154" s="17" t="s">
        <v>604</v>
      </c>
      <c r="J154" s="17"/>
      <c r="L154" s="17"/>
    </row>
    <row r="155" spans="1:12" x14ac:dyDescent="0.2">
      <c r="A155" t="s">
        <v>1723</v>
      </c>
      <c r="B155" t="s">
        <v>1175</v>
      </c>
      <c r="C155" t="s">
        <v>16</v>
      </c>
      <c r="D155">
        <v>4</v>
      </c>
      <c r="E155" t="s">
        <v>17</v>
      </c>
      <c r="F155" t="s">
        <v>380</v>
      </c>
      <c r="G155" t="s">
        <v>3201</v>
      </c>
      <c r="H155" s="17" t="s">
        <v>604</v>
      </c>
      <c r="J155" s="17"/>
      <c r="L155" s="17"/>
    </row>
    <row r="156" spans="1:12" x14ac:dyDescent="0.2">
      <c r="A156" t="s">
        <v>1724</v>
      </c>
      <c r="B156" t="s">
        <v>1175</v>
      </c>
      <c r="C156" t="s">
        <v>16</v>
      </c>
      <c r="D156">
        <v>4</v>
      </c>
      <c r="E156" t="s">
        <v>17</v>
      </c>
      <c r="F156" t="s">
        <v>380</v>
      </c>
      <c r="G156" t="s">
        <v>3201</v>
      </c>
      <c r="H156" s="17" t="s">
        <v>604</v>
      </c>
      <c r="J156" s="17"/>
      <c r="L156" s="17"/>
    </row>
    <row r="157" spans="1:12" x14ac:dyDescent="0.2">
      <c r="A157" t="s">
        <v>1725</v>
      </c>
      <c r="B157" t="s">
        <v>1177</v>
      </c>
      <c r="C157" t="s">
        <v>16</v>
      </c>
      <c r="D157">
        <v>4</v>
      </c>
      <c r="E157" t="s">
        <v>17</v>
      </c>
      <c r="F157" t="s">
        <v>381</v>
      </c>
      <c r="G157" t="s">
        <v>3201</v>
      </c>
      <c r="H157" s="17" t="s">
        <v>604</v>
      </c>
      <c r="J157" s="17"/>
      <c r="L157" s="17"/>
    </row>
    <row r="158" spans="1:12" x14ac:dyDescent="0.2">
      <c r="A158" t="s">
        <v>1726</v>
      </c>
      <c r="B158" t="s">
        <v>1177</v>
      </c>
      <c r="C158" t="s">
        <v>16</v>
      </c>
      <c r="D158">
        <v>4</v>
      </c>
      <c r="E158" t="s">
        <v>17</v>
      </c>
      <c r="F158" t="s">
        <v>380</v>
      </c>
      <c r="G158" t="s">
        <v>3201</v>
      </c>
      <c r="H158" s="17" t="s">
        <v>604</v>
      </c>
      <c r="J158" s="17"/>
      <c r="L158" s="17"/>
    </row>
    <row r="159" spans="1:12" x14ac:dyDescent="0.2">
      <c r="A159" t="s">
        <v>1727</v>
      </c>
      <c r="B159" t="s">
        <v>1177</v>
      </c>
      <c r="C159" t="s">
        <v>16</v>
      </c>
      <c r="D159">
        <v>4</v>
      </c>
      <c r="E159" t="s">
        <v>17</v>
      </c>
      <c r="F159" t="s">
        <v>381</v>
      </c>
      <c r="G159" t="s">
        <v>3201</v>
      </c>
      <c r="H159" s="17" t="s">
        <v>604</v>
      </c>
      <c r="J159" s="17"/>
      <c r="L159" s="17"/>
    </row>
    <row r="160" spans="1:12" x14ac:dyDescent="0.2">
      <c r="A160" t="s">
        <v>1728</v>
      </c>
      <c r="B160" t="s">
        <v>1177</v>
      </c>
      <c r="C160" t="s">
        <v>18</v>
      </c>
      <c r="D160">
        <v>1</v>
      </c>
      <c r="E160" t="s">
        <v>17</v>
      </c>
      <c r="F160" t="s">
        <v>380</v>
      </c>
      <c r="G160" t="s">
        <v>3201</v>
      </c>
      <c r="H160" s="17" t="s">
        <v>604</v>
      </c>
      <c r="J160" s="17"/>
      <c r="L160" s="17"/>
    </row>
    <row r="161" spans="1:12" x14ac:dyDescent="0.2">
      <c r="A161" t="s">
        <v>1729</v>
      </c>
      <c r="B161" t="s">
        <v>1177</v>
      </c>
      <c r="C161" t="s">
        <v>16</v>
      </c>
      <c r="D161" t="s">
        <v>16</v>
      </c>
      <c r="E161" t="s">
        <v>17</v>
      </c>
      <c r="F161" t="s">
        <v>381</v>
      </c>
      <c r="G161" t="s">
        <v>3201</v>
      </c>
      <c r="H161" s="17" t="s">
        <v>604</v>
      </c>
      <c r="J161" s="17"/>
      <c r="L161" s="17"/>
    </row>
    <row r="162" spans="1:12" x14ac:dyDescent="0.2">
      <c r="A162" t="s">
        <v>1730</v>
      </c>
      <c r="B162" t="s">
        <v>1179</v>
      </c>
      <c r="C162" t="s">
        <v>18</v>
      </c>
      <c r="D162">
        <v>1</v>
      </c>
      <c r="E162" t="s">
        <v>17</v>
      </c>
      <c r="F162" t="s">
        <v>380</v>
      </c>
      <c r="G162" t="s">
        <v>3201</v>
      </c>
      <c r="H162" s="17" t="s">
        <v>604</v>
      </c>
      <c r="J162" s="17"/>
      <c r="L162" s="17"/>
    </row>
    <row r="163" spans="1:12" x14ac:dyDescent="0.2">
      <c r="A163" t="s">
        <v>1731</v>
      </c>
      <c r="B163" t="s">
        <v>1179</v>
      </c>
      <c r="C163" t="s">
        <v>16</v>
      </c>
      <c r="D163" t="s">
        <v>16</v>
      </c>
      <c r="E163" t="s">
        <v>17</v>
      </c>
      <c r="F163" t="s">
        <v>381</v>
      </c>
      <c r="G163" t="s">
        <v>3201</v>
      </c>
      <c r="H163" s="17" t="s">
        <v>604</v>
      </c>
      <c r="J163" s="17"/>
      <c r="L163" s="17"/>
    </row>
    <row r="164" spans="1:12" x14ac:dyDescent="0.2">
      <c r="A164" t="s">
        <v>1732</v>
      </c>
      <c r="B164" t="s">
        <v>1179</v>
      </c>
      <c r="C164" t="s">
        <v>16</v>
      </c>
      <c r="D164" t="s">
        <v>16</v>
      </c>
      <c r="E164" t="s">
        <v>17</v>
      </c>
      <c r="F164" t="s">
        <v>381</v>
      </c>
      <c r="G164" t="s">
        <v>3201</v>
      </c>
      <c r="H164" s="17" t="s">
        <v>604</v>
      </c>
      <c r="J164" s="17"/>
      <c r="L164" s="17"/>
    </row>
    <row r="165" spans="1:12" x14ac:dyDescent="0.2">
      <c r="A165" t="s">
        <v>1733</v>
      </c>
      <c r="B165" t="s">
        <v>1179</v>
      </c>
      <c r="C165" t="s">
        <v>16</v>
      </c>
      <c r="D165">
        <v>4</v>
      </c>
      <c r="E165" t="s">
        <v>17</v>
      </c>
      <c r="F165" t="s">
        <v>380</v>
      </c>
      <c r="G165" t="s">
        <v>3201</v>
      </c>
      <c r="H165" s="17" t="s">
        <v>604</v>
      </c>
      <c r="J165" s="17"/>
      <c r="L165" s="17"/>
    </row>
    <row r="166" spans="1:12" x14ac:dyDescent="0.2">
      <c r="A166" t="s">
        <v>1734</v>
      </c>
      <c r="B166" t="s">
        <v>1179</v>
      </c>
      <c r="C166" t="s">
        <v>16</v>
      </c>
      <c r="D166">
        <v>4</v>
      </c>
      <c r="E166" t="s">
        <v>17</v>
      </c>
      <c r="F166" t="s">
        <v>380</v>
      </c>
      <c r="G166" t="s">
        <v>3201</v>
      </c>
      <c r="H166" s="17" t="s">
        <v>604</v>
      </c>
      <c r="J166" s="17"/>
      <c r="L166" s="17"/>
    </row>
    <row r="167" spans="1:12" x14ac:dyDescent="0.2">
      <c r="A167" t="s">
        <v>1735</v>
      </c>
      <c r="B167" t="s">
        <v>1187</v>
      </c>
      <c r="C167" t="s">
        <v>16</v>
      </c>
      <c r="D167">
        <v>4</v>
      </c>
      <c r="E167" t="s">
        <v>17</v>
      </c>
      <c r="F167" t="s">
        <v>380</v>
      </c>
      <c r="G167" t="s">
        <v>3201</v>
      </c>
      <c r="H167" s="17" t="s">
        <v>604</v>
      </c>
      <c r="J167" s="17"/>
      <c r="L167" s="17"/>
    </row>
    <row r="168" spans="1:12" x14ac:dyDescent="0.2">
      <c r="A168" t="s">
        <v>1736</v>
      </c>
      <c r="B168" t="s">
        <v>1187</v>
      </c>
      <c r="C168" t="s">
        <v>18</v>
      </c>
      <c r="D168">
        <v>1</v>
      </c>
      <c r="E168" t="s">
        <v>17</v>
      </c>
      <c r="F168" t="s">
        <v>380</v>
      </c>
      <c r="G168" t="s">
        <v>3201</v>
      </c>
      <c r="H168" s="17" t="s">
        <v>604</v>
      </c>
      <c r="J168" s="17"/>
      <c r="L168" s="17"/>
    </row>
    <row r="169" spans="1:12" x14ac:dyDescent="0.2">
      <c r="A169" t="s">
        <v>1737</v>
      </c>
      <c r="B169" t="s">
        <v>1187</v>
      </c>
      <c r="C169" t="s">
        <v>16</v>
      </c>
      <c r="D169">
        <v>4</v>
      </c>
      <c r="E169" t="s">
        <v>17</v>
      </c>
      <c r="F169" t="s">
        <v>380</v>
      </c>
      <c r="G169" t="s">
        <v>3201</v>
      </c>
      <c r="H169" s="17" t="s">
        <v>604</v>
      </c>
      <c r="J169" s="17"/>
      <c r="L169" s="17"/>
    </row>
    <row r="170" spans="1:12" x14ac:dyDescent="0.2">
      <c r="A170" t="s">
        <v>1738</v>
      </c>
      <c r="B170" t="s">
        <v>1187</v>
      </c>
      <c r="C170" t="s">
        <v>18</v>
      </c>
      <c r="D170">
        <v>1</v>
      </c>
      <c r="E170" t="s">
        <v>17</v>
      </c>
      <c r="F170" t="s">
        <v>380</v>
      </c>
      <c r="G170" t="s">
        <v>3201</v>
      </c>
      <c r="H170" s="17" t="s">
        <v>604</v>
      </c>
      <c r="J170" s="17"/>
      <c r="L170" s="17"/>
    </row>
    <row r="171" spans="1:12" x14ac:dyDescent="0.2">
      <c r="A171" t="s">
        <v>1739</v>
      </c>
      <c r="B171" t="s">
        <v>1187</v>
      </c>
      <c r="C171" t="s">
        <v>18</v>
      </c>
      <c r="D171">
        <v>1</v>
      </c>
      <c r="E171" t="s">
        <v>17</v>
      </c>
      <c r="F171" t="s">
        <v>380</v>
      </c>
      <c r="G171" t="s">
        <v>3201</v>
      </c>
      <c r="H171" s="17" t="s">
        <v>604</v>
      </c>
      <c r="J171" s="17"/>
      <c r="L171" s="17"/>
    </row>
    <row r="172" spans="1:12" x14ac:dyDescent="0.2">
      <c r="A172" t="s">
        <v>1740</v>
      </c>
      <c r="B172" t="s">
        <v>1189</v>
      </c>
      <c r="C172" t="s">
        <v>16</v>
      </c>
      <c r="D172">
        <v>4</v>
      </c>
      <c r="E172" t="s">
        <v>17</v>
      </c>
      <c r="F172" t="s">
        <v>380</v>
      </c>
      <c r="G172" t="s">
        <v>3201</v>
      </c>
      <c r="H172" s="17" t="s">
        <v>604</v>
      </c>
      <c r="J172" s="17"/>
      <c r="L172" s="17"/>
    </row>
    <row r="173" spans="1:12" x14ac:dyDescent="0.2">
      <c r="A173" t="s">
        <v>1741</v>
      </c>
      <c r="B173" t="s">
        <v>1189</v>
      </c>
      <c r="C173" t="s">
        <v>18</v>
      </c>
      <c r="D173">
        <v>1</v>
      </c>
      <c r="E173" t="s">
        <v>21</v>
      </c>
      <c r="F173" t="s">
        <v>380</v>
      </c>
      <c r="G173" t="s">
        <v>3201</v>
      </c>
      <c r="H173" s="17" t="s">
        <v>604</v>
      </c>
      <c r="J173" s="17"/>
      <c r="L173" s="17"/>
    </row>
    <row r="174" spans="1:12" x14ac:dyDescent="0.2">
      <c r="A174" t="s">
        <v>1742</v>
      </c>
      <c r="B174" t="s">
        <v>1189</v>
      </c>
      <c r="C174" t="s">
        <v>16</v>
      </c>
      <c r="D174">
        <v>4</v>
      </c>
      <c r="E174" t="s">
        <v>17</v>
      </c>
      <c r="F174" t="s">
        <v>380</v>
      </c>
      <c r="G174" t="s">
        <v>3201</v>
      </c>
      <c r="H174" s="17" t="s">
        <v>604</v>
      </c>
      <c r="J174" s="17"/>
      <c r="L174" s="17"/>
    </row>
    <row r="175" spans="1:12" x14ac:dyDescent="0.2">
      <c r="A175" t="s">
        <v>1743</v>
      </c>
      <c r="B175" t="s">
        <v>1189</v>
      </c>
      <c r="C175" t="s">
        <v>16</v>
      </c>
      <c r="D175">
        <v>4</v>
      </c>
      <c r="E175" t="s">
        <v>17</v>
      </c>
      <c r="F175" t="s">
        <v>380</v>
      </c>
      <c r="G175" t="s">
        <v>3201</v>
      </c>
      <c r="H175" s="17" t="s">
        <v>604</v>
      </c>
      <c r="J175" s="17"/>
      <c r="L175" s="17"/>
    </row>
    <row r="176" spans="1:12" x14ac:dyDescent="0.2">
      <c r="A176" t="s">
        <v>1744</v>
      </c>
      <c r="B176" t="s">
        <v>1189</v>
      </c>
      <c r="C176" t="s">
        <v>18</v>
      </c>
      <c r="D176">
        <v>1</v>
      </c>
      <c r="E176" t="s">
        <v>17</v>
      </c>
      <c r="F176" t="s">
        <v>380</v>
      </c>
      <c r="G176" t="s">
        <v>3201</v>
      </c>
      <c r="H176" s="17" t="s">
        <v>604</v>
      </c>
      <c r="J176" s="17"/>
      <c r="L176" s="17"/>
    </row>
    <row r="177" spans="1:12" x14ac:dyDescent="0.2">
      <c r="A177" t="s">
        <v>1745</v>
      </c>
      <c r="B177" t="s">
        <v>1191</v>
      </c>
      <c r="C177" t="s">
        <v>18</v>
      </c>
      <c r="D177">
        <v>1</v>
      </c>
      <c r="E177" t="s">
        <v>17</v>
      </c>
      <c r="F177" t="s">
        <v>380</v>
      </c>
      <c r="G177" t="s">
        <v>3201</v>
      </c>
      <c r="H177" s="17" t="s">
        <v>604</v>
      </c>
      <c r="J177" s="17"/>
      <c r="L177" s="17"/>
    </row>
    <row r="178" spans="1:12" x14ac:dyDescent="0.2">
      <c r="A178" t="s">
        <v>1746</v>
      </c>
      <c r="B178" t="s">
        <v>1191</v>
      </c>
      <c r="C178" t="s">
        <v>16</v>
      </c>
      <c r="D178">
        <v>4</v>
      </c>
      <c r="E178" t="s">
        <v>17</v>
      </c>
      <c r="F178" t="s">
        <v>380</v>
      </c>
      <c r="G178" t="s">
        <v>3201</v>
      </c>
      <c r="H178" s="17" t="s">
        <v>604</v>
      </c>
      <c r="J178" s="17"/>
      <c r="L178" s="17"/>
    </row>
    <row r="179" spans="1:12" x14ac:dyDescent="0.2">
      <c r="A179" t="s">
        <v>1747</v>
      </c>
      <c r="B179" t="s">
        <v>1191</v>
      </c>
      <c r="C179" t="s">
        <v>18</v>
      </c>
      <c r="D179">
        <v>2</v>
      </c>
      <c r="E179" t="s">
        <v>17</v>
      </c>
      <c r="F179" t="s">
        <v>380</v>
      </c>
      <c r="G179" t="s">
        <v>3201</v>
      </c>
      <c r="H179" s="17" t="s">
        <v>604</v>
      </c>
      <c r="J179" s="17"/>
      <c r="L179" s="17"/>
    </row>
    <row r="180" spans="1:12" x14ac:dyDescent="0.2">
      <c r="A180" t="s">
        <v>1748</v>
      </c>
      <c r="B180" t="s">
        <v>1191</v>
      </c>
      <c r="C180" t="s">
        <v>18</v>
      </c>
      <c r="D180">
        <v>1</v>
      </c>
      <c r="E180" t="s">
        <v>17</v>
      </c>
      <c r="F180" t="s">
        <v>380</v>
      </c>
      <c r="G180" t="s">
        <v>3201</v>
      </c>
      <c r="H180" s="17" t="s">
        <v>604</v>
      </c>
      <c r="J180" s="17"/>
      <c r="L180" s="17"/>
    </row>
    <row r="181" spans="1:12" x14ac:dyDescent="0.2">
      <c r="A181" t="s">
        <v>1749</v>
      </c>
      <c r="B181" t="s">
        <v>1191</v>
      </c>
      <c r="C181" t="s">
        <v>18</v>
      </c>
      <c r="D181">
        <v>1</v>
      </c>
      <c r="E181" t="s">
        <v>17</v>
      </c>
      <c r="F181" t="s">
        <v>380</v>
      </c>
      <c r="G181" t="s">
        <v>3201</v>
      </c>
      <c r="H181" s="17" t="s">
        <v>604</v>
      </c>
      <c r="J181" s="17"/>
      <c r="L181" s="17"/>
    </row>
    <row r="182" spans="1:12" x14ac:dyDescent="0.2">
      <c r="A182" t="s">
        <v>1750</v>
      </c>
      <c r="B182" t="s">
        <v>1205</v>
      </c>
      <c r="C182" t="s">
        <v>18</v>
      </c>
      <c r="D182">
        <v>2</v>
      </c>
      <c r="E182" t="s">
        <v>17</v>
      </c>
      <c r="F182" t="s">
        <v>380</v>
      </c>
      <c r="G182" t="s">
        <v>3201</v>
      </c>
      <c r="H182" s="17" t="s">
        <v>604</v>
      </c>
      <c r="J182" s="17"/>
      <c r="L182" s="17"/>
    </row>
    <row r="183" spans="1:12" x14ac:dyDescent="0.2">
      <c r="A183" t="s">
        <v>1751</v>
      </c>
      <c r="B183" t="s">
        <v>1205</v>
      </c>
      <c r="C183" t="s">
        <v>19</v>
      </c>
      <c r="D183">
        <v>2</v>
      </c>
      <c r="E183" t="s">
        <v>17</v>
      </c>
      <c r="F183" t="s">
        <v>380</v>
      </c>
      <c r="G183" t="s">
        <v>3201</v>
      </c>
      <c r="H183" s="17" t="s">
        <v>604</v>
      </c>
      <c r="J183" s="17"/>
      <c r="L183" s="17"/>
    </row>
    <row r="184" spans="1:12" x14ac:dyDescent="0.2">
      <c r="A184" t="s">
        <v>1752</v>
      </c>
      <c r="B184" t="s">
        <v>1205</v>
      </c>
      <c r="C184" t="s">
        <v>19</v>
      </c>
      <c r="D184">
        <v>2</v>
      </c>
      <c r="E184" t="s">
        <v>17</v>
      </c>
      <c r="F184" t="s">
        <v>380</v>
      </c>
      <c r="G184" t="s">
        <v>3201</v>
      </c>
      <c r="H184" s="17" t="s">
        <v>604</v>
      </c>
      <c r="J184" s="17"/>
      <c r="L184" s="17"/>
    </row>
    <row r="185" spans="1:12" x14ac:dyDescent="0.2">
      <c r="A185" t="s">
        <v>1753</v>
      </c>
      <c r="B185" t="s">
        <v>1205</v>
      </c>
      <c r="C185" t="s">
        <v>18</v>
      </c>
      <c r="D185">
        <v>2</v>
      </c>
      <c r="E185" t="s">
        <v>17</v>
      </c>
      <c r="F185" t="s">
        <v>380</v>
      </c>
      <c r="G185" t="s">
        <v>3201</v>
      </c>
      <c r="H185" s="17" t="s">
        <v>604</v>
      </c>
      <c r="J185" s="17"/>
      <c r="L185" s="17"/>
    </row>
    <row r="186" spans="1:12" x14ac:dyDescent="0.2">
      <c r="A186" t="s">
        <v>1754</v>
      </c>
      <c r="B186" t="s">
        <v>1205</v>
      </c>
      <c r="C186" t="s">
        <v>19</v>
      </c>
      <c r="D186">
        <v>2</v>
      </c>
      <c r="E186" t="s">
        <v>21</v>
      </c>
      <c r="F186" t="s">
        <v>380</v>
      </c>
      <c r="G186" t="s">
        <v>3201</v>
      </c>
      <c r="H186" s="17" t="s">
        <v>604</v>
      </c>
      <c r="J186" s="17"/>
      <c r="L186" s="17"/>
    </row>
    <row r="187" spans="1:12" x14ac:dyDescent="0.2">
      <c r="A187" t="s">
        <v>1755</v>
      </c>
      <c r="B187" t="s">
        <v>1207</v>
      </c>
      <c r="C187" t="s">
        <v>18</v>
      </c>
      <c r="D187">
        <v>2</v>
      </c>
      <c r="E187" t="s">
        <v>17</v>
      </c>
      <c r="F187" t="s">
        <v>380</v>
      </c>
      <c r="G187" t="s">
        <v>3201</v>
      </c>
      <c r="H187" s="17" t="s">
        <v>604</v>
      </c>
      <c r="J187" s="17"/>
      <c r="L187" s="17"/>
    </row>
    <row r="188" spans="1:12" x14ac:dyDescent="0.2">
      <c r="A188" t="s">
        <v>1756</v>
      </c>
      <c r="B188" t="s">
        <v>1207</v>
      </c>
      <c r="C188" t="s">
        <v>18</v>
      </c>
      <c r="D188">
        <v>2</v>
      </c>
      <c r="E188" t="s">
        <v>17</v>
      </c>
      <c r="F188" t="s">
        <v>380</v>
      </c>
      <c r="G188" t="s">
        <v>3201</v>
      </c>
      <c r="H188" s="17" t="s">
        <v>604</v>
      </c>
      <c r="J188" s="17"/>
      <c r="L188" s="17"/>
    </row>
    <row r="189" spans="1:12" x14ac:dyDescent="0.2">
      <c r="A189" t="s">
        <v>1757</v>
      </c>
      <c r="B189" t="s">
        <v>1207</v>
      </c>
      <c r="C189" t="s">
        <v>19</v>
      </c>
      <c r="D189">
        <v>2</v>
      </c>
      <c r="E189" t="s">
        <v>17</v>
      </c>
      <c r="F189" t="s">
        <v>380</v>
      </c>
      <c r="G189" t="s">
        <v>3201</v>
      </c>
      <c r="H189" s="17" t="s">
        <v>604</v>
      </c>
      <c r="J189" s="17"/>
      <c r="L189" s="17"/>
    </row>
    <row r="190" spans="1:12" x14ac:dyDescent="0.2">
      <c r="A190" t="s">
        <v>1758</v>
      </c>
      <c r="B190" t="s">
        <v>1207</v>
      </c>
      <c r="C190" t="s">
        <v>18</v>
      </c>
      <c r="D190">
        <v>2</v>
      </c>
      <c r="E190" t="s">
        <v>17</v>
      </c>
      <c r="F190" t="s">
        <v>380</v>
      </c>
      <c r="G190" t="s">
        <v>3201</v>
      </c>
      <c r="H190" s="17" t="s">
        <v>604</v>
      </c>
      <c r="J190" s="17"/>
      <c r="L190" s="17"/>
    </row>
    <row r="191" spans="1:12" x14ac:dyDescent="0.2">
      <c r="A191" t="s">
        <v>1759</v>
      </c>
      <c r="B191" t="s">
        <v>1207</v>
      </c>
      <c r="C191" t="s">
        <v>18</v>
      </c>
      <c r="D191">
        <v>2</v>
      </c>
      <c r="E191" t="s">
        <v>17</v>
      </c>
      <c r="F191" t="s">
        <v>380</v>
      </c>
      <c r="G191" t="s">
        <v>3201</v>
      </c>
      <c r="H191" s="17" t="s">
        <v>604</v>
      </c>
      <c r="J191" s="17"/>
      <c r="L191" s="17"/>
    </row>
    <row r="192" spans="1:12" x14ac:dyDescent="0.2">
      <c r="A192" t="s">
        <v>1760</v>
      </c>
      <c r="B192" t="s">
        <v>1209</v>
      </c>
      <c r="C192" t="s">
        <v>19</v>
      </c>
      <c r="D192">
        <v>2</v>
      </c>
      <c r="E192" t="s">
        <v>17</v>
      </c>
      <c r="F192" t="s">
        <v>380</v>
      </c>
      <c r="G192" t="s">
        <v>3201</v>
      </c>
      <c r="H192" s="17" t="s">
        <v>604</v>
      </c>
      <c r="J192" s="17"/>
      <c r="L192" s="17"/>
    </row>
    <row r="193" spans="1:12" x14ac:dyDescent="0.2">
      <c r="A193" t="s">
        <v>1761</v>
      </c>
      <c r="B193" t="s">
        <v>1209</v>
      </c>
      <c r="C193" t="s">
        <v>18</v>
      </c>
      <c r="D193">
        <v>2</v>
      </c>
      <c r="E193" t="s">
        <v>17</v>
      </c>
      <c r="F193" t="s">
        <v>380</v>
      </c>
      <c r="G193" t="s">
        <v>3201</v>
      </c>
      <c r="H193" s="17" t="s">
        <v>604</v>
      </c>
      <c r="J193" s="17"/>
      <c r="L193" s="17"/>
    </row>
    <row r="194" spans="1:12" x14ac:dyDescent="0.2">
      <c r="A194" t="s">
        <v>1762</v>
      </c>
      <c r="B194" t="s">
        <v>1209</v>
      </c>
      <c r="C194" t="s">
        <v>18</v>
      </c>
      <c r="D194">
        <v>2</v>
      </c>
      <c r="E194" t="s">
        <v>17</v>
      </c>
      <c r="F194" t="s">
        <v>380</v>
      </c>
      <c r="G194" t="s">
        <v>3201</v>
      </c>
      <c r="H194" s="17" t="s">
        <v>604</v>
      </c>
      <c r="J194" s="17"/>
      <c r="L194" s="17"/>
    </row>
    <row r="195" spans="1:12" x14ac:dyDescent="0.2">
      <c r="A195" t="s">
        <v>1763</v>
      </c>
      <c r="B195" t="s">
        <v>1209</v>
      </c>
      <c r="C195" t="s">
        <v>18</v>
      </c>
      <c r="D195">
        <v>2</v>
      </c>
      <c r="E195" t="s">
        <v>17</v>
      </c>
      <c r="F195" t="s">
        <v>380</v>
      </c>
      <c r="G195" t="s">
        <v>3201</v>
      </c>
      <c r="H195" s="17" t="s">
        <v>604</v>
      </c>
      <c r="J195" s="17"/>
      <c r="L195" s="17"/>
    </row>
    <row r="196" spans="1:12" x14ac:dyDescent="0.2">
      <c r="A196" t="s">
        <v>1764</v>
      </c>
      <c r="B196" t="s">
        <v>1209</v>
      </c>
      <c r="C196" t="s">
        <v>18</v>
      </c>
      <c r="D196">
        <v>2</v>
      </c>
      <c r="E196" t="s">
        <v>17</v>
      </c>
      <c r="F196" t="s">
        <v>380</v>
      </c>
      <c r="G196" t="s">
        <v>3201</v>
      </c>
      <c r="H196" s="17" t="s">
        <v>604</v>
      </c>
      <c r="J196" s="17"/>
      <c r="L196" s="17"/>
    </row>
    <row r="197" spans="1:12" x14ac:dyDescent="0.2">
      <c r="A197" t="s">
        <v>1765</v>
      </c>
      <c r="B197" t="s">
        <v>1211</v>
      </c>
      <c r="C197" t="s">
        <v>18</v>
      </c>
      <c r="D197">
        <v>2</v>
      </c>
      <c r="E197" t="s">
        <v>17</v>
      </c>
      <c r="F197" t="s">
        <v>380</v>
      </c>
      <c r="G197" t="s">
        <v>3201</v>
      </c>
      <c r="H197" s="17" t="s">
        <v>604</v>
      </c>
      <c r="J197" s="17"/>
      <c r="L197" s="17"/>
    </row>
    <row r="198" spans="1:12" x14ac:dyDescent="0.2">
      <c r="A198" t="s">
        <v>1766</v>
      </c>
      <c r="B198" t="s">
        <v>1211</v>
      </c>
      <c r="C198" t="s">
        <v>19</v>
      </c>
      <c r="D198">
        <v>2</v>
      </c>
      <c r="E198" t="s">
        <v>17</v>
      </c>
      <c r="F198" t="s">
        <v>380</v>
      </c>
      <c r="G198" t="s">
        <v>3201</v>
      </c>
      <c r="H198" s="17" t="s">
        <v>604</v>
      </c>
      <c r="J198" s="17"/>
      <c r="L198" s="17"/>
    </row>
    <row r="199" spans="1:12" x14ac:dyDescent="0.2">
      <c r="A199" t="s">
        <v>1767</v>
      </c>
      <c r="B199" t="s">
        <v>1211</v>
      </c>
      <c r="C199" t="s">
        <v>18</v>
      </c>
      <c r="D199">
        <v>2</v>
      </c>
      <c r="E199" t="s">
        <v>17</v>
      </c>
      <c r="F199" t="s">
        <v>380</v>
      </c>
      <c r="G199" t="s">
        <v>3201</v>
      </c>
      <c r="H199" s="17" t="s">
        <v>604</v>
      </c>
      <c r="J199" s="17"/>
      <c r="L199" s="17"/>
    </row>
    <row r="200" spans="1:12" x14ac:dyDescent="0.2">
      <c r="A200" t="s">
        <v>1768</v>
      </c>
      <c r="B200" t="s">
        <v>1211</v>
      </c>
      <c r="C200" t="s">
        <v>18</v>
      </c>
      <c r="D200">
        <v>2</v>
      </c>
      <c r="E200" t="s">
        <v>17</v>
      </c>
      <c r="F200" t="s">
        <v>380</v>
      </c>
      <c r="G200" t="s">
        <v>3201</v>
      </c>
      <c r="H200" s="17" t="s">
        <v>604</v>
      </c>
      <c r="J200" s="17"/>
      <c r="L200" s="17"/>
    </row>
    <row r="201" spans="1:12" x14ac:dyDescent="0.2">
      <c r="A201" t="s">
        <v>1769</v>
      </c>
      <c r="B201" t="s">
        <v>1211</v>
      </c>
      <c r="C201" t="s">
        <v>18</v>
      </c>
      <c r="D201">
        <v>2</v>
      </c>
      <c r="E201" t="s">
        <v>17</v>
      </c>
      <c r="F201" t="s">
        <v>380</v>
      </c>
      <c r="G201" t="s">
        <v>3201</v>
      </c>
      <c r="H201" s="17" t="s">
        <v>604</v>
      </c>
      <c r="J201" s="17"/>
      <c r="L201" s="17"/>
    </row>
    <row r="202" spans="1:12" x14ac:dyDescent="0.2">
      <c r="A202" t="s">
        <v>1770</v>
      </c>
      <c r="B202" t="s">
        <v>1213</v>
      </c>
      <c r="C202" t="s">
        <v>19</v>
      </c>
      <c r="D202">
        <v>2</v>
      </c>
      <c r="E202" t="s">
        <v>17</v>
      </c>
      <c r="F202" t="s">
        <v>380</v>
      </c>
      <c r="G202" t="s">
        <v>3201</v>
      </c>
      <c r="H202" s="17" t="s">
        <v>604</v>
      </c>
      <c r="J202" s="17"/>
      <c r="L202" s="17"/>
    </row>
    <row r="203" spans="1:12" x14ac:dyDescent="0.2">
      <c r="A203" t="s">
        <v>1771</v>
      </c>
      <c r="B203" t="s">
        <v>1213</v>
      </c>
      <c r="C203" t="s">
        <v>18</v>
      </c>
      <c r="D203">
        <v>2</v>
      </c>
      <c r="E203" t="s">
        <v>17</v>
      </c>
      <c r="F203" t="s">
        <v>380</v>
      </c>
      <c r="G203" t="s">
        <v>3201</v>
      </c>
      <c r="H203" s="17" t="s">
        <v>604</v>
      </c>
      <c r="J203" s="17"/>
      <c r="L203" s="17"/>
    </row>
    <row r="204" spans="1:12" x14ac:dyDescent="0.2">
      <c r="A204" t="s">
        <v>1772</v>
      </c>
      <c r="B204" t="s">
        <v>1213</v>
      </c>
      <c r="C204" t="s">
        <v>19</v>
      </c>
      <c r="D204">
        <v>2</v>
      </c>
      <c r="E204" t="s">
        <v>17</v>
      </c>
      <c r="F204" t="s">
        <v>380</v>
      </c>
      <c r="G204" t="s">
        <v>3201</v>
      </c>
      <c r="H204" s="17" t="s">
        <v>604</v>
      </c>
      <c r="J204" s="17"/>
      <c r="L204" s="17"/>
    </row>
    <row r="205" spans="1:12" x14ac:dyDescent="0.2">
      <c r="A205" t="s">
        <v>1773</v>
      </c>
      <c r="B205" t="s">
        <v>1213</v>
      </c>
      <c r="C205" t="s">
        <v>18</v>
      </c>
      <c r="D205">
        <v>2</v>
      </c>
      <c r="E205" t="s">
        <v>17</v>
      </c>
      <c r="F205" t="s">
        <v>380</v>
      </c>
      <c r="G205" t="s">
        <v>3201</v>
      </c>
      <c r="H205" s="17" t="s">
        <v>604</v>
      </c>
      <c r="J205" s="17"/>
      <c r="L205" s="17"/>
    </row>
    <row r="206" spans="1:12" x14ac:dyDescent="0.2">
      <c r="A206" t="s">
        <v>1774</v>
      </c>
      <c r="B206" t="s">
        <v>1213</v>
      </c>
      <c r="C206" t="s">
        <v>19</v>
      </c>
      <c r="D206">
        <v>2</v>
      </c>
      <c r="E206" t="s">
        <v>17</v>
      </c>
      <c r="F206" t="s">
        <v>380</v>
      </c>
      <c r="G206" t="s">
        <v>3201</v>
      </c>
      <c r="H206" s="17" t="s">
        <v>604</v>
      </c>
      <c r="J206" s="17"/>
      <c r="L206" s="17"/>
    </row>
    <row r="207" spans="1:12" x14ac:dyDescent="0.2">
      <c r="A207" t="s">
        <v>1775</v>
      </c>
      <c r="B207" t="s">
        <v>1215</v>
      </c>
      <c r="C207" t="s">
        <v>18</v>
      </c>
      <c r="D207">
        <v>2</v>
      </c>
      <c r="E207" t="s">
        <v>17</v>
      </c>
      <c r="F207" t="s">
        <v>380</v>
      </c>
      <c r="G207" t="s">
        <v>3201</v>
      </c>
      <c r="H207" s="17" t="s">
        <v>604</v>
      </c>
      <c r="J207" s="17"/>
      <c r="L207" s="17"/>
    </row>
    <row r="208" spans="1:12" x14ac:dyDescent="0.2">
      <c r="A208" t="s">
        <v>1776</v>
      </c>
      <c r="B208" t="s">
        <v>1215</v>
      </c>
      <c r="C208" t="s">
        <v>18</v>
      </c>
      <c r="D208">
        <v>2</v>
      </c>
      <c r="E208" t="s">
        <v>17</v>
      </c>
      <c r="F208" t="s">
        <v>380</v>
      </c>
      <c r="G208" t="s">
        <v>3201</v>
      </c>
      <c r="H208" s="17" t="s">
        <v>604</v>
      </c>
      <c r="J208" s="17"/>
      <c r="L208" s="17"/>
    </row>
    <row r="209" spans="1:12" x14ac:dyDescent="0.2">
      <c r="A209" t="s">
        <v>1777</v>
      </c>
      <c r="B209" t="s">
        <v>1215</v>
      </c>
      <c r="C209" t="s">
        <v>19</v>
      </c>
      <c r="D209">
        <v>2</v>
      </c>
      <c r="E209" t="s">
        <v>17</v>
      </c>
      <c r="F209" t="s">
        <v>380</v>
      </c>
      <c r="G209" t="s">
        <v>3201</v>
      </c>
      <c r="H209" s="17" t="s">
        <v>604</v>
      </c>
      <c r="J209" s="17"/>
      <c r="L209" s="17"/>
    </row>
    <row r="210" spans="1:12" x14ac:dyDescent="0.2">
      <c r="A210" t="s">
        <v>1778</v>
      </c>
      <c r="B210" t="s">
        <v>1215</v>
      </c>
      <c r="C210" t="s">
        <v>18</v>
      </c>
      <c r="D210">
        <v>2</v>
      </c>
      <c r="E210" t="s">
        <v>17</v>
      </c>
      <c r="F210" t="s">
        <v>380</v>
      </c>
      <c r="G210" t="s">
        <v>3201</v>
      </c>
      <c r="H210" s="17" t="s">
        <v>604</v>
      </c>
      <c r="J210" s="17"/>
      <c r="L210" s="17"/>
    </row>
    <row r="211" spans="1:12" x14ac:dyDescent="0.2">
      <c r="A211" t="s">
        <v>1779</v>
      </c>
      <c r="B211" t="s">
        <v>1215</v>
      </c>
      <c r="C211" t="s">
        <v>18</v>
      </c>
      <c r="D211">
        <v>1</v>
      </c>
      <c r="E211" t="s">
        <v>17</v>
      </c>
      <c r="F211" t="s">
        <v>380</v>
      </c>
      <c r="G211" t="s">
        <v>3201</v>
      </c>
      <c r="H211" s="17" t="s">
        <v>604</v>
      </c>
      <c r="J211" s="17"/>
      <c r="L211" s="17"/>
    </row>
    <row r="212" spans="1:12" x14ac:dyDescent="0.2">
      <c r="A212" t="s">
        <v>1780</v>
      </c>
      <c r="B212" t="s">
        <v>1223</v>
      </c>
      <c r="C212" t="s">
        <v>18</v>
      </c>
      <c r="D212">
        <v>2</v>
      </c>
      <c r="E212" t="s">
        <v>17</v>
      </c>
      <c r="F212" t="s">
        <v>380</v>
      </c>
      <c r="G212" t="s">
        <v>3201</v>
      </c>
      <c r="H212" s="17" t="s">
        <v>604</v>
      </c>
      <c r="J212" s="17"/>
      <c r="L212" s="17"/>
    </row>
    <row r="213" spans="1:12" x14ac:dyDescent="0.2">
      <c r="A213" t="s">
        <v>1781</v>
      </c>
      <c r="B213" t="s">
        <v>1223</v>
      </c>
      <c r="C213" t="s">
        <v>19</v>
      </c>
      <c r="D213">
        <v>2</v>
      </c>
      <c r="E213" t="s">
        <v>17</v>
      </c>
      <c r="F213" t="s">
        <v>380</v>
      </c>
      <c r="G213" t="s">
        <v>3201</v>
      </c>
      <c r="H213" s="17" t="s">
        <v>604</v>
      </c>
      <c r="J213" s="17"/>
      <c r="L213" s="17"/>
    </row>
    <row r="214" spans="1:12" x14ac:dyDescent="0.2">
      <c r="A214" t="s">
        <v>1782</v>
      </c>
      <c r="B214" t="s">
        <v>1223</v>
      </c>
      <c r="C214" t="s">
        <v>18</v>
      </c>
      <c r="D214">
        <v>2</v>
      </c>
      <c r="E214" t="s">
        <v>17</v>
      </c>
      <c r="F214" t="s">
        <v>380</v>
      </c>
      <c r="G214" t="s">
        <v>3201</v>
      </c>
      <c r="H214" s="17" t="s">
        <v>604</v>
      </c>
      <c r="J214" s="17"/>
      <c r="L214" s="17"/>
    </row>
    <row r="215" spans="1:12" x14ac:dyDescent="0.2">
      <c r="A215" t="s">
        <v>1783</v>
      </c>
      <c r="B215" t="s">
        <v>1223</v>
      </c>
      <c r="C215" t="s">
        <v>18</v>
      </c>
      <c r="D215">
        <v>2</v>
      </c>
      <c r="E215" t="s">
        <v>17</v>
      </c>
      <c r="F215" t="s">
        <v>380</v>
      </c>
      <c r="G215" t="s">
        <v>3201</v>
      </c>
      <c r="H215" s="17" t="s">
        <v>604</v>
      </c>
      <c r="J215" s="17"/>
      <c r="L215" s="17"/>
    </row>
    <row r="216" spans="1:12" x14ac:dyDescent="0.2">
      <c r="A216" t="s">
        <v>1784</v>
      </c>
      <c r="B216" t="s">
        <v>1223</v>
      </c>
      <c r="C216" t="s">
        <v>18</v>
      </c>
      <c r="D216" t="s">
        <v>16</v>
      </c>
      <c r="E216" t="s">
        <v>20</v>
      </c>
      <c r="F216" t="s">
        <v>380</v>
      </c>
      <c r="G216" t="s">
        <v>3201</v>
      </c>
      <c r="H216" s="17" t="s">
        <v>604</v>
      </c>
      <c r="J216" s="17"/>
      <c r="L216" s="17"/>
    </row>
    <row r="217" spans="1:12" x14ac:dyDescent="0.2">
      <c r="A217" t="s">
        <v>1785</v>
      </c>
      <c r="B217" t="s">
        <v>1225</v>
      </c>
      <c r="C217" t="s">
        <v>19</v>
      </c>
      <c r="D217">
        <v>2</v>
      </c>
      <c r="E217" t="s">
        <v>17</v>
      </c>
      <c r="F217" t="s">
        <v>380</v>
      </c>
      <c r="G217" t="s">
        <v>3201</v>
      </c>
      <c r="H217" s="17" t="s">
        <v>604</v>
      </c>
      <c r="J217" s="17"/>
      <c r="L217" s="17"/>
    </row>
    <row r="218" spans="1:12" x14ac:dyDescent="0.2">
      <c r="A218" t="s">
        <v>1786</v>
      </c>
      <c r="B218" t="s">
        <v>1225</v>
      </c>
      <c r="C218" t="s">
        <v>18</v>
      </c>
      <c r="D218">
        <v>2</v>
      </c>
      <c r="E218" t="s">
        <v>17</v>
      </c>
      <c r="F218" t="s">
        <v>380</v>
      </c>
      <c r="G218" t="s">
        <v>3201</v>
      </c>
      <c r="H218" s="17" t="s">
        <v>604</v>
      </c>
      <c r="J218" s="17"/>
      <c r="L218" s="17"/>
    </row>
    <row r="219" spans="1:12" x14ac:dyDescent="0.2">
      <c r="A219" t="s">
        <v>1787</v>
      </c>
      <c r="B219" t="s">
        <v>1225</v>
      </c>
      <c r="C219" t="s">
        <v>18</v>
      </c>
      <c r="D219">
        <v>2</v>
      </c>
      <c r="E219" t="s">
        <v>17</v>
      </c>
      <c r="F219" t="s">
        <v>380</v>
      </c>
      <c r="G219" t="s">
        <v>3201</v>
      </c>
      <c r="H219" s="17" t="s">
        <v>604</v>
      </c>
      <c r="J219" s="17"/>
      <c r="L219" s="17"/>
    </row>
    <row r="220" spans="1:12" x14ac:dyDescent="0.2">
      <c r="A220" t="s">
        <v>1788</v>
      </c>
      <c r="B220" t="s">
        <v>1225</v>
      </c>
      <c r="C220" t="s">
        <v>18</v>
      </c>
      <c r="D220">
        <v>2</v>
      </c>
      <c r="E220" t="s">
        <v>17</v>
      </c>
      <c r="F220" t="s">
        <v>380</v>
      </c>
      <c r="G220" t="s">
        <v>3201</v>
      </c>
      <c r="H220" s="17" t="s">
        <v>604</v>
      </c>
      <c r="J220" s="17"/>
      <c r="L220" s="17"/>
    </row>
    <row r="221" spans="1:12" x14ac:dyDescent="0.2">
      <c r="A221" t="s">
        <v>1789</v>
      </c>
      <c r="B221" t="s">
        <v>1225</v>
      </c>
      <c r="C221" t="s">
        <v>19</v>
      </c>
      <c r="D221">
        <v>2</v>
      </c>
      <c r="E221" t="s">
        <v>17</v>
      </c>
      <c r="F221" t="s">
        <v>380</v>
      </c>
      <c r="G221" t="s">
        <v>3201</v>
      </c>
      <c r="H221" s="17" t="s">
        <v>604</v>
      </c>
      <c r="J221" s="17"/>
      <c r="L221" s="17"/>
    </row>
    <row r="222" spans="1:12" x14ac:dyDescent="0.2">
      <c r="A222" t="s">
        <v>1790</v>
      </c>
      <c r="B222" t="s">
        <v>1227</v>
      </c>
      <c r="C222" t="s">
        <v>19</v>
      </c>
      <c r="D222">
        <v>2</v>
      </c>
      <c r="E222" t="s">
        <v>17</v>
      </c>
      <c r="F222" t="s">
        <v>380</v>
      </c>
      <c r="G222" t="s">
        <v>3201</v>
      </c>
      <c r="H222" s="17" t="s">
        <v>604</v>
      </c>
      <c r="J222" s="17"/>
      <c r="L222" s="17"/>
    </row>
    <row r="223" spans="1:12" x14ac:dyDescent="0.2">
      <c r="A223" t="s">
        <v>1791</v>
      </c>
      <c r="B223" t="s">
        <v>1227</v>
      </c>
      <c r="C223" t="s">
        <v>18</v>
      </c>
      <c r="D223">
        <v>1</v>
      </c>
      <c r="E223" t="s">
        <v>17</v>
      </c>
      <c r="F223" t="s">
        <v>380</v>
      </c>
      <c r="G223" t="s">
        <v>3201</v>
      </c>
      <c r="H223" s="17" t="s">
        <v>604</v>
      </c>
      <c r="J223" s="17"/>
      <c r="L223" s="17"/>
    </row>
    <row r="224" spans="1:12" x14ac:dyDescent="0.2">
      <c r="A224" t="s">
        <v>1792</v>
      </c>
      <c r="B224" t="s">
        <v>1227</v>
      </c>
      <c r="C224" t="s">
        <v>18</v>
      </c>
      <c r="D224">
        <v>1</v>
      </c>
      <c r="E224" t="s">
        <v>17</v>
      </c>
      <c r="F224" t="s">
        <v>380</v>
      </c>
      <c r="G224" t="s">
        <v>3201</v>
      </c>
      <c r="H224" s="17" t="s">
        <v>604</v>
      </c>
      <c r="J224" s="17"/>
      <c r="L224" s="17"/>
    </row>
    <row r="225" spans="1:12" x14ac:dyDescent="0.2">
      <c r="A225" t="s">
        <v>1793</v>
      </c>
      <c r="B225" t="s">
        <v>1227</v>
      </c>
      <c r="C225" t="s">
        <v>18</v>
      </c>
      <c r="D225">
        <v>2</v>
      </c>
      <c r="E225" t="s">
        <v>17</v>
      </c>
      <c r="F225" t="s">
        <v>380</v>
      </c>
      <c r="G225" t="s">
        <v>3201</v>
      </c>
      <c r="H225" s="17" t="s">
        <v>604</v>
      </c>
      <c r="J225" s="17"/>
      <c r="L225" s="17"/>
    </row>
    <row r="226" spans="1:12" x14ac:dyDescent="0.2">
      <c r="A226" t="s">
        <v>1794</v>
      </c>
      <c r="B226" t="s">
        <v>1227</v>
      </c>
      <c r="C226" t="s">
        <v>19</v>
      </c>
      <c r="D226">
        <v>2</v>
      </c>
      <c r="E226" t="s">
        <v>17</v>
      </c>
      <c r="F226" t="s">
        <v>380</v>
      </c>
      <c r="G226" t="s">
        <v>3201</v>
      </c>
      <c r="H226" s="17" t="s">
        <v>604</v>
      </c>
      <c r="J226" s="17"/>
      <c r="L226" s="17"/>
    </row>
    <row r="227" spans="1:12" x14ac:dyDescent="0.2">
      <c r="A227" t="s">
        <v>1795</v>
      </c>
      <c r="B227" t="s">
        <v>1235</v>
      </c>
      <c r="C227" t="s">
        <v>18</v>
      </c>
      <c r="D227">
        <v>2</v>
      </c>
      <c r="E227" t="s">
        <v>21</v>
      </c>
      <c r="F227" t="s">
        <v>380</v>
      </c>
      <c r="G227" t="s">
        <v>3201</v>
      </c>
      <c r="H227" s="17" t="s">
        <v>604</v>
      </c>
      <c r="J227" s="17"/>
      <c r="L227" s="17"/>
    </row>
    <row r="228" spans="1:12" x14ac:dyDescent="0.2">
      <c r="A228" t="s">
        <v>1796</v>
      </c>
      <c r="B228" t="s">
        <v>1235</v>
      </c>
      <c r="C228" t="s">
        <v>18</v>
      </c>
      <c r="D228">
        <v>2</v>
      </c>
      <c r="E228" t="s">
        <v>17</v>
      </c>
      <c r="F228" t="s">
        <v>380</v>
      </c>
      <c r="G228" t="s">
        <v>3201</v>
      </c>
      <c r="H228" s="17" t="s">
        <v>604</v>
      </c>
      <c r="J228" s="17"/>
      <c r="L228" s="17"/>
    </row>
    <row r="229" spans="1:12" x14ac:dyDescent="0.2">
      <c r="A229" t="s">
        <v>1797</v>
      </c>
      <c r="B229" t="s">
        <v>1235</v>
      </c>
      <c r="C229" t="s">
        <v>18</v>
      </c>
      <c r="D229">
        <v>2</v>
      </c>
      <c r="E229" t="s">
        <v>17</v>
      </c>
      <c r="F229" t="s">
        <v>380</v>
      </c>
      <c r="G229" t="s">
        <v>3201</v>
      </c>
      <c r="H229" s="17" t="s">
        <v>604</v>
      </c>
      <c r="J229" s="17"/>
      <c r="L229" s="17"/>
    </row>
    <row r="230" spans="1:12" x14ac:dyDescent="0.2">
      <c r="A230" t="s">
        <v>1798</v>
      </c>
      <c r="B230" t="s">
        <v>1235</v>
      </c>
      <c r="C230" t="s">
        <v>18</v>
      </c>
      <c r="D230">
        <v>2</v>
      </c>
      <c r="E230" t="s">
        <v>17</v>
      </c>
      <c r="F230" t="s">
        <v>380</v>
      </c>
      <c r="G230" t="s">
        <v>3201</v>
      </c>
      <c r="H230" s="17" t="s">
        <v>604</v>
      </c>
      <c r="J230" s="17"/>
      <c r="L230" s="17"/>
    </row>
    <row r="231" spans="1:12" x14ac:dyDescent="0.2">
      <c r="A231" t="s">
        <v>1799</v>
      </c>
      <c r="B231" t="s">
        <v>1235</v>
      </c>
      <c r="C231" t="s">
        <v>18</v>
      </c>
      <c r="D231">
        <v>2</v>
      </c>
      <c r="E231" t="s">
        <v>17</v>
      </c>
      <c r="F231" t="s">
        <v>380</v>
      </c>
      <c r="G231" t="s">
        <v>3201</v>
      </c>
      <c r="H231" s="17" t="s">
        <v>604</v>
      </c>
      <c r="J231" s="17"/>
      <c r="L231" s="17"/>
    </row>
    <row r="232" spans="1:12" x14ac:dyDescent="0.2">
      <c r="A232" t="s">
        <v>1800</v>
      </c>
      <c r="B232" t="s">
        <v>1237</v>
      </c>
      <c r="C232" t="s">
        <v>18</v>
      </c>
      <c r="D232">
        <v>2</v>
      </c>
      <c r="E232" t="s">
        <v>17</v>
      </c>
      <c r="F232" t="s">
        <v>380</v>
      </c>
      <c r="G232" t="s">
        <v>3201</v>
      </c>
      <c r="H232" s="17" t="s">
        <v>604</v>
      </c>
      <c r="J232" s="17"/>
      <c r="L232" s="17"/>
    </row>
    <row r="233" spans="1:12" x14ac:dyDescent="0.2">
      <c r="A233" t="s">
        <v>1801</v>
      </c>
      <c r="B233" t="s">
        <v>1237</v>
      </c>
      <c r="C233" t="s">
        <v>19</v>
      </c>
      <c r="D233">
        <v>2</v>
      </c>
      <c r="E233" t="s">
        <v>17</v>
      </c>
      <c r="F233" t="s">
        <v>380</v>
      </c>
      <c r="G233" t="s">
        <v>3201</v>
      </c>
      <c r="H233" s="17" t="s">
        <v>604</v>
      </c>
      <c r="J233" s="17"/>
      <c r="L233" s="17"/>
    </row>
    <row r="234" spans="1:12" x14ac:dyDescent="0.2">
      <c r="A234" t="s">
        <v>1802</v>
      </c>
      <c r="B234" t="s">
        <v>1237</v>
      </c>
      <c r="C234" t="s">
        <v>18</v>
      </c>
      <c r="D234">
        <v>1</v>
      </c>
      <c r="E234" t="s">
        <v>17</v>
      </c>
      <c r="F234" t="s">
        <v>380</v>
      </c>
      <c r="G234" t="s">
        <v>3201</v>
      </c>
      <c r="H234" s="17" t="s">
        <v>604</v>
      </c>
      <c r="J234" s="17"/>
      <c r="L234" s="17"/>
    </row>
    <row r="235" spans="1:12" x14ac:dyDescent="0.2">
      <c r="A235" t="s">
        <v>1803</v>
      </c>
      <c r="B235" t="s">
        <v>1237</v>
      </c>
      <c r="C235" t="s">
        <v>16</v>
      </c>
      <c r="D235">
        <v>4</v>
      </c>
      <c r="E235" t="s">
        <v>17</v>
      </c>
      <c r="F235" t="s">
        <v>380</v>
      </c>
      <c r="G235" t="s">
        <v>3201</v>
      </c>
      <c r="H235" s="17" t="s">
        <v>604</v>
      </c>
      <c r="J235" s="17"/>
      <c r="L235" s="17"/>
    </row>
    <row r="236" spans="1:12" x14ac:dyDescent="0.2">
      <c r="A236" t="s">
        <v>1804</v>
      </c>
      <c r="B236" t="s">
        <v>1237</v>
      </c>
      <c r="C236" t="s">
        <v>16</v>
      </c>
      <c r="D236" t="s">
        <v>16</v>
      </c>
      <c r="E236" t="s">
        <v>20</v>
      </c>
      <c r="F236" t="s">
        <v>380</v>
      </c>
      <c r="G236" t="s">
        <v>3201</v>
      </c>
      <c r="H236" s="17" t="s">
        <v>604</v>
      </c>
      <c r="J236" s="17"/>
      <c r="L236" s="17"/>
    </row>
    <row r="237" spans="1:12" x14ac:dyDescent="0.2">
      <c r="A237" t="s">
        <v>1805</v>
      </c>
      <c r="B237" t="s">
        <v>1239</v>
      </c>
      <c r="C237" t="s">
        <v>18</v>
      </c>
      <c r="D237">
        <v>2</v>
      </c>
      <c r="E237" t="s">
        <v>21</v>
      </c>
      <c r="F237" t="s">
        <v>380</v>
      </c>
      <c r="G237" t="s">
        <v>3201</v>
      </c>
      <c r="H237" s="17" t="s">
        <v>604</v>
      </c>
      <c r="J237" s="17"/>
      <c r="L237" s="17"/>
    </row>
    <row r="238" spans="1:12" x14ac:dyDescent="0.2">
      <c r="A238" t="s">
        <v>1806</v>
      </c>
      <c r="B238" t="s">
        <v>1239</v>
      </c>
      <c r="C238" t="s">
        <v>18</v>
      </c>
      <c r="D238">
        <v>3</v>
      </c>
      <c r="E238" t="s">
        <v>17</v>
      </c>
      <c r="F238" t="s">
        <v>380</v>
      </c>
      <c r="G238" t="s">
        <v>3201</v>
      </c>
      <c r="H238" s="17" t="s">
        <v>604</v>
      </c>
      <c r="J238" s="17"/>
      <c r="L238" s="17"/>
    </row>
    <row r="239" spans="1:12" x14ac:dyDescent="0.2">
      <c r="A239" t="s">
        <v>1807</v>
      </c>
      <c r="B239" t="s">
        <v>1239</v>
      </c>
      <c r="C239" t="s">
        <v>18</v>
      </c>
      <c r="D239">
        <v>2</v>
      </c>
      <c r="E239" t="s">
        <v>17</v>
      </c>
      <c r="F239" t="s">
        <v>380</v>
      </c>
      <c r="G239" t="s">
        <v>3201</v>
      </c>
      <c r="H239" s="17" t="s">
        <v>604</v>
      </c>
      <c r="J239" s="17"/>
      <c r="L239" s="17"/>
    </row>
    <row r="240" spans="1:12" x14ac:dyDescent="0.2">
      <c r="A240" t="s">
        <v>1808</v>
      </c>
      <c r="B240" t="s">
        <v>1239</v>
      </c>
      <c r="C240" t="s">
        <v>18</v>
      </c>
      <c r="D240">
        <v>1</v>
      </c>
      <c r="E240" t="s">
        <v>21</v>
      </c>
      <c r="F240" t="s">
        <v>380</v>
      </c>
      <c r="G240" t="s">
        <v>3201</v>
      </c>
      <c r="H240" s="17" t="s">
        <v>604</v>
      </c>
      <c r="J240" s="17"/>
      <c r="L240" s="17"/>
    </row>
    <row r="241" spans="1:14" x14ac:dyDescent="0.2">
      <c r="A241" t="s">
        <v>1809</v>
      </c>
      <c r="B241" t="s">
        <v>1239</v>
      </c>
      <c r="C241" t="s">
        <v>19</v>
      </c>
      <c r="D241">
        <v>2</v>
      </c>
      <c r="E241" t="s">
        <v>17</v>
      </c>
      <c r="F241" t="s">
        <v>380</v>
      </c>
      <c r="G241" t="s">
        <v>3201</v>
      </c>
      <c r="H241" s="17" t="s">
        <v>604</v>
      </c>
      <c r="J241" s="17"/>
      <c r="L241" s="17"/>
    </row>
    <row r="242" spans="1:14" x14ac:dyDescent="0.2">
      <c r="A242" t="s">
        <v>1810</v>
      </c>
      <c r="B242" t="s">
        <v>1247</v>
      </c>
      <c r="C242" t="s">
        <v>18</v>
      </c>
      <c r="D242">
        <v>1</v>
      </c>
      <c r="E242" t="s">
        <v>17</v>
      </c>
      <c r="F242" t="s">
        <v>380</v>
      </c>
      <c r="G242" s="19" t="s">
        <v>3201</v>
      </c>
      <c r="H242" s="17" t="s">
        <v>604</v>
      </c>
      <c r="J242" s="17"/>
      <c r="L242" s="17"/>
      <c r="N242" s="17"/>
    </row>
    <row r="243" spans="1:14" x14ac:dyDescent="0.2">
      <c r="A243" t="s">
        <v>1811</v>
      </c>
      <c r="B243" t="s">
        <v>1247</v>
      </c>
      <c r="C243" t="s">
        <v>19</v>
      </c>
      <c r="D243">
        <v>2</v>
      </c>
      <c r="E243" t="s">
        <v>17</v>
      </c>
      <c r="F243" t="s">
        <v>380</v>
      </c>
      <c r="G243" s="19" t="s">
        <v>3201</v>
      </c>
      <c r="H243" t="s">
        <v>604</v>
      </c>
    </row>
    <row r="244" spans="1:14" x14ac:dyDescent="0.2">
      <c r="A244" t="s">
        <v>1812</v>
      </c>
      <c r="B244" t="s">
        <v>1247</v>
      </c>
      <c r="C244" t="s">
        <v>18</v>
      </c>
      <c r="D244">
        <v>2</v>
      </c>
      <c r="E244" t="s">
        <v>17</v>
      </c>
      <c r="F244" t="s">
        <v>380</v>
      </c>
      <c r="G244" s="19" t="s">
        <v>3201</v>
      </c>
      <c r="H244" t="s">
        <v>604</v>
      </c>
    </row>
    <row r="245" spans="1:14" x14ac:dyDescent="0.2">
      <c r="A245" t="s">
        <v>1813</v>
      </c>
      <c r="B245" t="s">
        <v>1247</v>
      </c>
      <c r="C245" t="s">
        <v>18</v>
      </c>
      <c r="D245">
        <v>3</v>
      </c>
      <c r="E245" t="s">
        <v>17</v>
      </c>
      <c r="F245" t="s">
        <v>380</v>
      </c>
      <c r="G245" s="19" t="s">
        <v>3201</v>
      </c>
      <c r="H245" t="s">
        <v>604</v>
      </c>
    </row>
    <row r="246" spans="1:14" x14ac:dyDescent="0.2">
      <c r="A246" t="s">
        <v>1814</v>
      </c>
      <c r="B246" t="s">
        <v>1247</v>
      </c>
      <c r="C246" t="s">
        <v>18</v>
      </c>
      <c r="D246">
        <v>3</v>
      </c>
      <c r="E246" t="s">
        <v>17</v>
      </c>
      <c r="F246" t="s">
        <v>380</v>
      </c>
      <c r="G246" s="19" t="s">
        <v>3201</v>
      </c>
      <c r="H246" t="s">
        <v>604</v>
      </c>
    </row>
    <row r="247" spans="1:14" x14ac:dyDescent="0.2">
      <c r="A247" t="s">
        <v>1815</v>
      </c>
      <c r="B247" t="s">
        <v>1249</v>
      </c>
      <c r="C247" t="s">
        <v>19</v>
      </c>
      <c r="D247">
        <v>2</v>
      </c>
      <c r="E247" t="s">
        <v>17</v>
      </c>
      <c r="F247" t="s">
        <v>380</v>
      </c>
      <c r="G247" s="19" t="s">
        <v>3201</v>
      </c>
      <c r="H247" t="s">
        <v>604</v>
      </c>
    </row>
    <row r="248" spans="1:14" x14ac:dyDescent="0.2">
      <c r="A248" t="s">
        <v>1816</v>
      </c>
      <c r="B248" t="s">
        <v>1249</v>
      </c>
      <c r="C248" t="s">
        <v>18</v>
      </c>
      <c r="D248">
        <v>2</v>
      </c>
      <c r="E248" t="s">
        <v>17</v>
      </c>
      <c r="F248" t="s">
        <v>380</v>
      </c>
      <c r="G248" s="19" t="s">
        <v>3201</v>
      </c>
      <c r="H248" t="s">
        <v>604</v>
      </c>
    </row>
    <row r="249" spans="1:14" x14ac:dyDescent="0.2">
      <c r="A249" t="s">
        <v>1817</v>
      </c>
      <c r="B249" t="s">
        <v>1249</v>
      </c>
      <c r="C249" t="s">
        <v>18</v>
      </c>
      <c r="D249">
        <v>2</v>
      </c>
      <c r="E249" t="s">
        <v>17</v>
      </c>
      <c r="F249" t="s">
        <v>380</v>
      </c>
      <c r="G249" s="19" t="s">
        <v>3201</v>
      </c>
      <c r="H249" t="s">
        <v>604</v>
      </c>
    </row>
    <row r="250" spans="1:14" x14ac:dyDescent="0.2">
      <c r="A250" t="s">
        <v>1818</v>
      </c>
      <c r="B250" t="s">
        <v>1249</v>
      </c>
      <c r="C250" t="s">
        <v>18</v>
      </c>
      <c r="D250">
        <v>2</v>
      </c>
      <c r="E250" t="s">
        <v>17</v>
      </c>
      <c r="F250" t="s">
        <v>380</v>
      </c>
      <c r="G250" s="19" t="s">
        <v>3201</v>
      </c>
      <c r="H250" t="s">
        <v>604</v>
      </c>
    </row>
    <row r="251" spans="1:14" x14ac:dyDescent="0.2">
      <c r="A251" t="s">
        <v>1819</v>
      </c>
      <c r="B251" t="s">
        <v>1249</v>
      </c>
      <c r="C251" t="s">
        <v>18</v>
      </c>
      <c r="D251">
        <v>2</v>
      </c>
      <c r="E251" t="s">
        <v>17</v>
      </c>
      <c r="F251" t="s">
        <v>380</v>
      </c>
      <c r="G251" s="19" t="s">
        <v>3201</v>
      </c>
      <c r="H251" t="s">
        <v>604</v>
      </c>
    </row>
    <row r="252" spans="1:14" x14ac:dyDescent="0.2">
      <c r="A252" t="s">
        <v>1820</v>
      </c>
      <c r="B252" t="s">
        <v>1251</v>
      </c>
      <c r="C252" t="s">
        <v>19</v>
      </c>
      <c r="D252">
        <v>2</v>
      </c>
      <c r="E252" t="s">
        <v>17</v>
      </c>
      <c r="F252" t="s">
        <v>380</v>
      </c>
      <c r="G252" s="19" t="s">
        <v>3201</v>
      </c>
      <c r="H252" t="s">
        <v>604</v>
      </c>
    </row>
    <row r="253" spans="1:14" x14ac:dyDescent="0.2">
      <c r="A253" t="s">
        <v>1821</v>
      </c>
      <c r="B253" t="s">
        <v>1251</v>
      </c>
      <c r="C253" t="s">
        <v>19</v>
      </c>
      <c r="D253">
        <v>2</v>
      </c>
      <c r="E253" t="s">
        <v>17</v>
      </c>
      <c r="F253" t="s">
        <v>380</v>
      </c>
      <c r="G253" s="19" t="s">
        <v>3201</v>
      </c>
      <c r="H253" t="s">
        <v>604</v>
      </c>
    </row>
    <row r="254" spans="1:14" x14ac:dyDescent="0.2">
      <c r="A254" t="s">
        <v>1822</v>
      </c>
      <c r="B254" t="s">
        <v>1251</v>
      </c>
      <c r="C254" t="s">
        <v>18</v>
      </c>
      <c r="D254">
        <v>2</v>
      </c>
      <c r="E254" t="s">
        <v>17</v>
      </c>
      <c r="F254" t="s">
        <v>380</v>
      </c>
      <c r="G254" s="19" t="s">
        <v>3201</v>
      </c>
      <c r="H254" t="s">
        <v>604</v>
      </c>
    </row>
    <row r="255" spans="1:14" x14ac:dyDescent="0.2">
      <c r="A255" t="s">
        <v>1823</v>
      </c>
      <c r="B255" t="s">
        <v>1251</v>
      </c>
      <c r="C255" t="s">
        <v>16</v>
      </c>
      <c r="D255">
        <v>4</v>
      </c>
      <c r="E255" t="s">
        <v>17</v>
      </c>
      <c r="F255" t="s">
        <v>380</v>
      </c>
      <c r="G255" s="19" t="s">
        <v>3201</v>
      </c>
      <c r="H255" t="s">
        <v>604</v>
      </c>
    </row>
    <row r="256" spans="1:14" x14ac:dyDescent="0.2">
      <c r="A256" t="s">
        <v>1824</v>
      </c>
      <c r="B256" t="s">
        <v>1251</v>
      </c>
      <c r="C256" t="s">
        <v>18</v>
      </c>
      <c r="D256">
        <v>2</v>
      </c>
      <c r="E256" t="s">
        <v>17</v>
      </c>
      <c r="F256" t="s">
        <v>380</v>
      </c>
      <c r="G256" s="19" t="s">
        <v>3201</v>
      </c>
      <c r="H256" t="s">
        <v>604</v>
      </c>
    </row>
    <row r="257" spans="1:8" x14ac:dyDescent="0.2">
      <c r="A257" t="s">
        <v>1825</v>
      </c>
      <c r="B257" t="s">
        <v>1259</v>
      </c>
      <c r="C257" t="s">
        <v>18</v>
      </c>
      <c r="D257">
        <v>2</v>
      </c>
      <c r="E257" t="s">
        <v>17</v>
      </c>
      <c r="F257" t="s">
        <v>380</v>
      </c>
      <c r="G257" s="19" t="s">
        <v>3201</v>
      </c>
      <c r="H257" t="s">
        <v>604</v>
      </c>
    </row>
    <row r="258" spans="1:8" x14ac:dyDescent="0.2">
      <c r="A258" t="s">
        <v>1826</v>
      </c>
      <c r="B258" t="s">
        <v>1259</v>
      </c>
      <c r="C258" t="s">
        <v>18</v>
      </c>
      <c r="D258">
        <v>2</v>
      </c>
      <c r="E258" t="s">
        <v>17</v>
      </c>
      <c r="F258" t="s">
        <v>380</v>
      </c>
      <c r="G258" s="19" t="s">
        <v>3201</v>
      </c>
      <c r="H258" t="s">
        <v>604</v>
      </c>
    </row>
    <row r="259" spans="1:8" x14ac:dyDescent="0.2">
      <c r="A259" t="s">
        <v>1827</v>
      </c>
      <c r="B259" t="s">
        <v>1259</v>
      </c>
      <c r="C259" t="s">
        <v>18</v>
      </c>
      <c r="D259">
        <v>2</v>
      </c>
      <c r="E259" t="s">
        <v>17</v>
      </c>
      <c r="F259" t="s">
        <v>380</v>
      </c>
      <c r="G259" s="19" t="s">
        <v>3201</v>
      </c>
      <c r="H259" t="s">
        <v>604</v>
      </c>
    </row>
    <row r="260" spans="1:8" x14ac:dyDescent="0.2">
      <c r="A260" t="s">
        <v>1828</v>
      </c>
      <c r="B260" t="s">
        <v>1259</v>
      </c>
      <c r="C260" t="s">
        <v>19</v>
      </c>
      <c r="D260">
        <v>2</v>
      </c>
      <c r="E260" t="s">
        <v>17</v>
      </c>
      <c r="F260" t="s">
        <v>380</v>
      </c>
      <c r="G260" s="19" t="s">
        <v>3201</v>
      </c>
      <c r="H260" t="s">
        <v>604</v>
      </c>
    </row>
    <row r="261" spans="1:8" x14ac:dyDescent="0.2">
      <c r="A261" t="s">
        <v>1829</v>
      </c>
      <c r="B261" t="s">
        <v>1259</v>
      </c>
      <c r="C261" t="s">
        <v>16</v>
      </c>
      <c r="D261">
        <v>4</v>
      </c>
      <c r="E261" t="s">
        <v>17</v>
      </c>
      <c r="F261" t="s">
        <v>380</v>
      </c>
      <c r="G261" s="19" t="s">
        <v>3201</v>
      </c>
      <c r="H261" t="s">
        <v>604</v>
      </c>
    </row>
    <row r="262" spans="1:8" x14ac:dyDescent="0.2">
      <c r="A262" t="s">
        <v>1830</v>
      </c>
      <c r="B262" t="s">
        <v>1261</v>
      </c>
      <c r="C262" t="s">
        <v>18</v>
      </c>
      <c r="D262">
        <v>2</v>
      </c>
      <c r="E262" t="s">
        <v>17</v>
      </c>
      <c r="F262" t="s">
        <v>380</v>
      </c>
      <c r="G262" s="19" t="s">
        <v>3201</v>
      </c>
      <c r="H262" t="s">
        <v>604</v>
      </c>
    </row>
    <row r="263" spans="1:8" x14ac:dyDescent="0.2">
      <c r="A263" t="s">
        <v>1831</v>
      </c>
      <c r="B263" t="s">
        <v>1261</v>
      </c>
      <c r="C263" t="s">
        <v>18</v>
      </c>
      <c r="D263">
        <v>2</v>
      </c>
      <c r="E263" t="s">
        <v>17</v>
      </c>
      <c r="F263" t="s">
        <v>380</v>
      </c>
      <c r="G263" s="19" t="s">
        <v>3201</v>
      </c>
      <c r="H263" t="s">
        <v>604</v>
      </c>
    </row>
    <row r="264" spans="1:8" x14ac:dyDescent="0.2">
      <c r="A264" t="s">
        <v>1832</v>
      </c>
      <c r="B264" t="s">
        <v>1261</v>
      </c>
      <c r="C264" t="s">
        <v>18</v>
      </c>
      <c r="D264">
        <v>2</v>
      </c>
      <c r="E264" t="s">
        <v>17</v>
      </c>
      <c r="F264" t="s">
        <v>380</v>
      </c>
      <c r="G264" s="19" t="s">
        <v>3201</v>
      </c>
      <c r="H264" t="s">
        <v>604</v>
      </c>
    </row>
    <row r="265" spans="1:8" x14ac:dyDescent="0.2">
      <c r="A265" t="s">
        <v>1833</v>
      </c>
      <c r="B265" t="s">
        <v>1261</v>
      </c>
      <c r="C265" t="s">
        <v>18</v>
      </c>
      <c r="D265">
        <v>2</v>
      </c>
      <c r="E265" t="s">
        <v>17</v>
      </c>
      <c r="F265" t="s">
        <v>380</v>
      </c>
      <c r="G265" s="19" t="s">
        <v>3201</v>
      </c>
      <c r="H265" t="s">
        <v>604</v>
      </c>
    </row>
    <row r="266" spans="1:8" x14ac:dyDescent="0.2">
      <c r="A266" t="s">
        <v>1834</v>
      </c>
      <c r="B266" t="s">
        <v>1261</v>
      </c>
      <c r="C266" t="s">
        <v>18</v>
      </c>
      <c r="D266">
        <v>2</v>
      </c>
      <c r="E266" t="s">
        <v>17</v>
      </c>
      <c r="F266" t="s">
        <v>380</v>
      </c>
      <c r="G266" s="19" t="s">
        <v>3201</v>
      </c>
      <c r="H266" t="s">
        <v>604</v>
      </c>
    </row>
    <row r="267" spans="1:8" x14ac:dyDescent="0.2">
      <c r="A267" t="s">
        <v>1835</v>
      </c>
      <c r="B267" t="s">
        <v>1263</v>
      </c>
      <c r="C267" t="s">
        <v>18</v>
      </c>
      <c r="D267">
        <v>2</v>
      </c>
      <c r="E267" t="s">
        <v>17</v>
      </c>
      <c r="F267" t="s">
        <v>380</v>
      </c>
      <c r="G267" s="19" t="s">
        <v>3201</v>
      </c>
      <c r="H267" t="s">
        <v>604</v>
      </c>
    </row>
    <row r="268" spans="1:8" x14ac:dyDescent="0.2">
      <c r="A268" t="s">
        <v>1836</v>
      </c>
      <c r="B268" t="s">
        <v>1263</v>
      </c>
      <c r="C268" t="s">
        <v>18</v>
      </c>
      <c r="D268">
        <v>2</v>
      </c>
      <c r="E268" t="s">
        <v>17</v>
      </c>
      <c r="F268" t="s">
        <v>380</v>
      </c>
      <c r="G268" s="19" t="s">
        <v>3201</v>
      </c>
      <c r="H268" t="s">
        <v>604</v>
      </c>
    </row>
    <row r="269" spans="1:8" x14ac:dyDescent="0.2">
      <c r="A269" t="s">
        <v>1837</v>
      </c>
      <c r="B269" t="s">
        <v>1263</v>
      </c>
      <c r="C269" t="s">
        <v>18</v>
      </c>
      <c r="D269">
        <v>2</v>
      </c>
      <c r="E269" t="s">
        <v>17</v>
      </c>
      <c r="F269" t="s">
        <v>380</v>
      </c>
      <c r="G269" s="19" t="s">
        <v>3201</v>
      </c>
      <c r="H269" t="s">
        <v>604</v>
      </c>
    </row>
    <row r="270" spans="1:8" x14ac:dyDescent="0.2">
      <c r="A270" t="s">
        <v>1838</v>
      </c>
      <c r="B270" t="s">
        <v>1263</v>
      </c>
      <c r="C270" t="s">
        <v>18</v>
      </c>
      <c r="D270">
        <v>2</v>
      </c>
      <c r="E270" t="s">
        <v>17</v>
      </c>
      <c r="F270" t="s">
        <v>380</v>
      </c>
      <c r="G270" s="19" t="s">
        <v>3201</v>
      </c>
      <c r="H270" t="s">
        <v>604</v>
      </c>
    </row>
    <row r="271" spans="1:8" x14ac:dyDescent="0.2">
      <c r="A271" t="s">
        <v>1839</v>
      </c>
      <c r="B271" t="s">
        <v>1263</v>
      </c>
      <c r="C271" t="s">
        <v>18</v>
      </c>
      <c r="D271">
        <v>2</v>
      </c>
      <c r="E271" t="s">
        <v>17</v>
      </c>
      <c r="F271" t="s">
        <v>380</v>
      </c>
      <c r="G271" s="19" t="s">
        <v>3201</v>
      </c>
      <c r="H271" t="s">
        <v>604</v>
      </c>
    </row>
    <row r="272" spans="1:8" x14ac:dyDescent="0.2">
      <c r="A272" t="s">
        <v>1840</v>
      </c>
      <c r="B272" t="s">
        <v>1271</v>
      </c>
      <c r="C272" t="s">
        <v>18</v>
      </c>
      <c r="D272">
        <v>2</v>
      </c>
      <c r="E272" t="s">
        <v>17</v>
      </c>
      <c r="F272" t="s">
        <v>380</v>
      </c>
      <c r="G272" s="19" t="s">
        <v>3201</v>
      </c>
      <c r="H272" t="s">
        <v>604</v>
      </c>
    </row>
    <row r="273" spans="1:8" x14ac:dyDescent="0.2">
      <c r="A273" t="s">
        <v>1841</v>
      </c>
      <c r="B273" t="s">
        <v>1271</v>
      </c>
      <c r="C273" t="s">
        <v>18</v>
      </c>
      <c r="D273">
        <v>2</v>
      </c>
      <c r="E273" t="s">
        <v>17</v>
      </c>
      <c r="F273" t="s">
        <v>380</v>
      </c>
      <c r="G273" s="19" t="s">
        <v>3201</v>
      </c>
      <c r="H273" t="s">
        <v>604</v>
      </c>
    </row>
    <row r="274" spans="1:8" x14ac:dyDescent="0.2">
      <c r="A274" t="s">
        <v>1842</v>
      </c>
      <c r="B274" t="s">
        <v>1271</v>
      </c>
      <c r="C274" t="s">
        <v>18</v>
      </c>
      <c r="D274">
        <v>2</v>
      </c>
      <c r="E274" t="s">
        <v>17</v>
      </c>
      <c r="F274" t="s">
        <v>380</v>
      </c>
      <c r="G274" s="19" t="s">
        <v>3201</v>
      </c>
      <c r="H274" t="s">
        <v>604</v>
      </c>
    </row>
    <row r="275" spans="1:8" x14ac:dyDescent="0.2">
      <c r="A275" t="s">
        <v>1843</v>
      </c>
      <c r="B275" t="s">
        <v>1271</v>
      </c>
      <c r="C275" t="s">
        <v>19</v>
      </c>
      <c r="D275">
        <v>2</v>
      </c>
      <c r="E275" t="s">
        <v>17</v>
      </c>
      <c r="F275" t="s">
        <v>380</v>
      </c>
      <c r="G275" s="19" t="s">
        <v>3201</v>
      </c>
      <c r="H275" t="s">
        <v>604</v>
      </c>
    </row>
    <row r="276" spans="1:8" x14ac:dyDescent="0.2">
      <c r="A276" t="s">
        <v>1844</v>
      </c>
      <c r="B276" t="s">
        <v>1271</v>
      </c>
      <c r="C276" t="s">
        <v>19</v>
      </c>
      <c r="D276">
        <v>2</v>
      </c>
      <c r="E276" t="s">
        <v>17</v>
      </c>
      <c r="F276" t="s">
        <v>380</v>
      </c>
      <c r="G276" s="19" t="s">
        <v>3201</v>
      </c>
      <c r="H276" t="s">
        <v>604</v>
      </c>
    </row>
    <row r="277" spans="1:8" x14ac:dyDescent="0.2">
      <c r="A277" t="s">
        <v>1845</v>
      </c>
      <c r="B277" t="s">
        <v>1273</v>
      </c>
      <c r="C277" t="s">
        <v>18</v>
      </c>
      <c r="D277">
        <v>2</v>
      </c>
      <c r="E277" t="s">
        <v>17</v>
      </c>
      <c r="F277" t="s">
        <v>380</v>
      </c>
      <c r="G277" s="19" t="s">
        <v>3201</v>
      </c>
      <c r="H277" t="s">
        <v>604</v>
      </c>
    </row>
    <row r="278" spans="1:8" x14ac:dyDescent="0.2">
      <c r="A278" t="s">
        <v>1846</v>
      </c>
      <c r="B278" t="s">
        <v>1273</v>
      </c>
      <c r="C278" t="s">
        <v>18</v>
      </c>
      <c r="D278">
        <v>2</v>
      </c>
      <c r="E278" t="s">
        <v>17</v>
      </c>
      <c r="F278" t="s">
        <v>380</v>
      </c>
      <c r="G278" s="19" t="s">
        <v>3201</v>
      </c>
      <c r="H278" t="s">
        <v>604</v>
      </c>
    </row>
    <row r="279" spans="1:8" x14ac:dyDescent="0.2">
      <c r="A279" t="s">
        <v>1847</v>
      </c>
      <c r="B279" t="s">
        <v>1273</v>
      </c>
      <c r="C279" t="s">
        <v>18</v>
      </c>
      <c r="D279">
        <v>2</v>
      </c>
      <c r="E279" t="s">
        <v>17</v>
      </c>
      <c r="F279" t="s">
        <v>380</v>
      </c>
      <c r="G279" s="19" t="s">
        <v>3201</v>
      </c>
      <c r="H279" t="s">
        <v>604</v>
      </c>
    </row>
    <row r="280" spans="1:8" x14ac:dyDescent="0.2">
      <c r="A280" t="s">
        <v>1848</v>
      </c>
      <c r="B280" t="s">
        <v>1273</v>
      </c>
      <c r="C280" t="s">
        <v>19</v>
      </c>
      <c r="D280">
        <v>2</v>
      </c>
      <c r="E280" t="s">
        <v>17</v>
      </c>
      <c r="F280" t="s">
        <v>380</v>
      </c>
      <c r="G280" s="19" t="s">
        <v>3201</v>
      </c>
      <c r="H280" t="s">
        <v>604</v>
      </c>
    </row>
    <row r="281" spans="1:8" x14ac:dyDescent="0.2">
      <c r="A281" t="s">
        <v>1849</v>
      </c>
      <c r="B281" t="s">
        <v>1273</v>
      </c>
      <c r="C281" t="s">
        <v>18</v>
      </c>
      <c r="D281">
        <v>2</v>
      </c>
      <c r="E281" t="s">
        <v>17</v>
      </c>
      <c r="F281" t="s">
        <v>380</v>
      </c>
      <c r="G281" s="19" t="s">
        <v>3201</v>
      </c>
      <c r="H281" t="s">
        <v>604</v>
      </c>
    </row>
    <row r="282" spans="1:8" x14ac:dyDescent="0.2">
      <c r="A282" t="s">
        <v>1850</v>
      </c>
      <c r="B282" t="s">
        <v>1275</v>
      </c>
      <c r="C282" t="s">
        <v>18</v>
      </c>
      <c r="D282">
        <v>2</v>
      </c>
      <c r="E282" t="s">
        <v>17</v>
      </c>
      <c r="F282" t="s">
        <v>380</v>
      </c>
      <c r="G282" s="19" t="s">
        <v>3201</v>
      </c>
      <c r="H282" t="s">
        <v>604</v>
      </c>
    </row>
    <row r="283" spans="1:8" x14ac:dyDescent="0.2">
      <c r="A283" t="s">
        <v>1851</v>
      </c>
      <c r="B283" t="s">
        <v>1275</v>
      </c>
      <c r="C283" t="s">
        <v>18</v>
      </c>
      <c r="D283">
        <v>2</v>
      </c>
      <c r="E283" t="s">
        <v>17</v>
      </c>
      <c r="F283" t="s">
        <v>380</v>
      </c>
      <c r="G283" s="19" t="s">
        <v>3201</v>
      </c>
      <c r="H283" t="s">
        <v>604</v>
      </c>
    </row>
    <row r="284" spans="1:8" x14ac:dyDescent="0.2">
      <c r="A284" t="s">
        <v>1852</v>
      </c>
      <c r="B284" t="s">
        <v>1275</v>
      </c>
      <c r="C284" t="s">
        <v>18</v>
      </c>
      <c r="D284">
        <v>2</v>
      </c>
      <c r="E284" t="s">
        <v>17</v>
      </c>
      <c r="F284" t="s">
        <v>380</v>
      </c>
      <c r="G284" s="19" t="s">
        <v>3201</v>
      </c>
      <c r="H284" t="s">
        <v>604</v>
      </c>
    </row>
    <row r="285" spans="1:8" x14ac:dyDescent="0.2">
      <c r="A285" t="s">
        <v>1853</v>
      </c>
      <c r="B285" t="s">
        <v>1275</v>
      </c>
      <c r="C285" t="s">
        <v>18</v>
      </c>
      <c r="D285">
        <v>2</v>
      </c>
      <c r="E285" t="s">
        <v>17</v>
      </c>
      <c r="F285" t="s">
        <v>380</v>
      </c>
      <c r="G285" s="19" t="s">
        <v>3201</v>
      </c>
      <c r="H285" t="s">
        <v>604</v>
      </c>
    </row>
    <row r="286" spans="1:8" x14ac:dyDescent="0.2">
      <c r="A286" t="s">
        <v>1854</v>
      </c>
      <c r="B286" t="s">
        <v>1275</v>
      </c>
      <c r="C286" t="s">
        <v>18</v>
      </c>
      <c r="D286">
        <v>2</v>
      </c>
      <c r="E286" t="s">
        <v>17</v>
      </c>
      <c r="F286" t="s">
        <v>380</v>
      </c>
      <c r="G286" s="19" t="s">
        <v>3201</v>
      </c>
      <c r="H286" t="s">
        <v>604</v>
      </c>
    </row>
    <row r="287" spans="1:8" x14ac:dyDescent="0.2">
      <c r="A287" t="s">
        <v>1855</v>
      </c>
      <c r="B287" t="s">
        <v>1283</v>
      </c>
      <c r="C287" t="s">
        <v>18</v>
      </c>
      <c r="D287">
        <v>2</v>
      </c>
      <c r="E287" t="s">
        <v>17</v>
      </c>
      <c r="F287" t="s">
        <v>380</v>
      </c>
      <c r="G287" s="19" t="s">
        <v>3201</v>
      </c>
      <c r="H287" t="s">
        <v>604</v>
      </c>
    </row>
    <row r="288" spans="1:8" x14ac:dyDescent="0.2">
      <c r="A288" t="s">
        <v>1856</v>
      </c>
      <c r="B288" t="s">
        <v>1283</v>
      </c>
      <c r="C288" t="s">
        <v>18</v>
      </c>
      <c r="D288">
        <v>2</v>
      </c>
      <c r="E288" t="s">
        <v>17</v>
      </c>
      <c r="F288" t="s">
        <v>380</v>
      </c>
      <c r="G288" s="19" t="s">
        <v>3201</v>
      </c>
      <c r="H288" t="s">
        <v>604</v>
      </c>
    </row>
    <row r="289" spans="1:8" x14ac:dyDescent="0.2">
      <c r="A289" t="s">
        <v>1857</v>
      </c>
      <c r="B289" t="s">
        <v>1283</v>
      </c>
      <c r="C289" t="s">
        <v>19</v>
      </c>
      <c r="D289">
        <v>2</v>
      </c>
      <c r="E289" t="s">
        <v>17</v>
      </c>
      <c r="F289" t="s">
        <v>380</v>
      </c>
      <c r="G289" s="19" t="s">
        <v>3201</v>
      </c>
      <c r="H289" t="s">
        <v>604</v>
      </c>
    </row>
    <row r="290" spans="1:8" x14ac:dyDescent="0.2">
      <c r="A290" t="s">
        <v>1858</v>
      </c>
      <c r="B290" t="s">
        <v>1283</v>
      </c>
      <c r="C290" t="s">
        <v>18</v>
      </c>
      <c r="D290">
        <v>2</v>
      </c>
      <c r="E290" t="s">
        <v>17</v>
      </c>
      <c r="F290" t="s">
        <v>380</v>
      </c>
      <c r="G290" s="19" t="s">
        <v>3201</v>
      </c>
      <c r="H290" t="s">
        <v>604</v>
      </c>
    </row>
    <row r="291" spans="1:8" x14ac:dyDescent="0.2">
      <c r="A291" t="s">
        <v>1859</v>
      </c>
      <c r="B291" t="s">
        <v>1283</v>
      </c>
      <c r="C291" t="s">
        <v>19</v>
      </c>
      <c r="D291">
        <v>2</v>
      </c>
      <c r="E291" t="s">
        <v>17</v>
      </c>
      <c r="F291" t="s">
        <v>380</v>
      </c>
      <c r="G291" s="19" t="s">
        <v>3201</v>
      </c>
      <c r="H291" t="s">
        <v>604</v>
      </c>
    </row>
    <row r="292" spans="1:8" x14ac:dyDescent="0.2">
      <c r="A292" t="s">
        <v>1860</v>
      </c>
      <c r="B292" t="s">
        <v>1285</v>
      </c>
      <c r="C292" t="s">
        <v>18</v>
      </c>
      <c r="D292">
        <v>2</v>
      </c>
      <c r="E292" t="s">
        <v>17</v>
      </c>
      <c r="F292" t="s">
        <v>380</v>
      </c>
      <c r="G292" s="19" t="s">
        <v>3201</v>
      </c>
      <c r="H292" t="s">
        <v>604</v>
      </c>
    </row>
    <row r="293" spans="1:8" x14ac:dyDescent="0.2">
      <c r="A293" t="s">
        <v>1861</v>
      </c>
      <c r="B293" t="s">
        <v>1285</v>
      </c>
      <c r="C293" t="s">
        <v>19</v>
      </c>
      <c r="D293">
        <v>2</v>
      </c>
      <c r="E293" t="s">
        <v>17</v>
      </c>
      <c r="F293" t="s">
        <v>380</v>
      </c>
      <c r="G293" s="19" t="s">
        <v>3201</v>
      </c>
      <c r="H293" t="s">
        <v>604</v>
      </c>
    </row>
    <row r="294" spans="1:8" x14ac:dyDescent="0.2">
      <c r="A294" t="s">
        <v>1862</v>
      </c>
      <c r="B294" t="s">
        <v>1285</v>
      </c>
      <c r="C294" t="s">
        <v>19</v>
      </c>
      <c r="D294">
        <v>2</v>
      </c>
      <c r="E294" t="s">
        <v>17</v>
      </c>
      <c r="F294" t="s">
        <v>380</v>
      </c>
      <c r="G294" s="19" t="s">
        <v>3201</v>
      </c>
      <c r="H294" t="s">
        <v>604</v>
      </c>
    </row>
    <row r="295" spans="1:8" x14ac:dyDescent="0.2">
      <c r="A295" t="s">
        <v>1863</v>
      </c>
      <c r="B295" t="s">
        <v>1285</v>
      </c>
      <c r="C295" t="s">
        <v>19</v>
      </c>
      <c r="D295">
        <v>2</v>
      </c>
      <c r="E295" t="s">
        <v>17</v>
      </c>
      <c r="F295" t="s">
        <v>380</v>
      </c>
      <c r="G295" s="19" t="s">
        <v>3201</v>
      </c>
      <c r="H295" t="s">
        <v>604</v>
      </c>
    </row>
    <row r="296" spans="1:8" x14ac:dyDescent="0.2">
      <c r="A296" t="s">
        <v>1864</v>
      </c>
      <c r="B296" t="s">
        <v>1285</v>
      </c>
      <c r="C296" t="s">
        <v>18</v>
      </c>
      <c r="D296">
        <v>2</v>
      </c>
      <c r="E296" t="s">
        <v>17</v>
      </c>
      <c r="F296" t="s">
        <v>380</v>
      </c>
      <c r="G296" s="19" t="s">
        <v>3201</v>
      </c>
      <c r="H296" t="s">
        <v>604</v>
      </c>
    </row>
    <row r="297" spans="1:8" x14ac:dyDescent="0.2">
      <c r="A297" t="s">
        <v>1865</v>
      </c>
      <c r="B297" t="s">
        <v>1287</v>
      </c>
      <c r="C297" t="s">
        <v>18</v>
      </c>
      <c r="D297">
        <v>2</v>
      </c>
      <c r="E297" t="s">
        <v>17</v>
      </c>
      <c r="F297" t="s">
        <v>380</v>
      </c>
      <c r="G297" s="19" t="s">
        <v>3201</v>
      </c>
      <c r="H297" t="s">
        <v>604</v>
      </c>
    </row>
    <row r="298" spans="1:8" x14ac:dyDescent="0.2">
      <c r="A298" t="s">
        <v>1866</v>
      </c>
      <c r="B298" t="s">
        <v>1287</v>
      </c>
      <c r="C298" t="s">
        <v>18</v>
      </c>
      <c r="D298">
        <v>2</v>
      </c>
      <c r="E298" t="s">
        <v>17</v>
      </c>
      <c r="F298" t="s">
        <v>380</v>
      </c>
      <c r="G298" s="19" t="s">
        <v>3201</v>
      </c>
      <c r="H298" t="s">
        <v>604</v>
      </c>
    </row>
    <row r="299" spans="1:8" x14ac:dyDescent="0.2">
      <c r="A299" t="s">
        <v>1867</v>
      </c>
      <c r="B299" t="s">
        <v>1287</v>
      </c>
      <c r="C299" t="s">
        <v>18</v>
      </c>
      <c r="D299">
        <v>2</v>
      </c>
      <c r="E299" t="s">
        <v>17</v>
      </c>
      <c r="F299" t="s">
        <v>380</v>
      </c>
      <c r="G299" s="19" t="s">
        <v>3201</v>
      </c>
      <c r="H299" t="s">
        <v>604</v>
      </c>
    </row>
    <row r="300" spans="1:8" x14ac:dyDescent="0.2">
      <c r="A300" t="s">
        <v>1868</v>
      </c>
      <c r="B300" t="s">
        <v>1287</v>
      </c>
      <c r="C300" t="s">
        <v>18</v>
      </c>
      <c r="D300">
        <v>2</v>
      </c>
      <c r="E300" t="s">
        <v>17</v>
      </c>
      <c r="F300" t="s">
        <v>380</v>
      </c>
      <c r="G300" s="19" t="s">
        <v>3201</v>
      </c>
      <c r="H300" t="s">
        <v>604</v>
      </c>
    </row>
    <row r="301" spans="1:8" x14ac:dyDescent="0.2">
      <c r="A301" t="s">
        <v>1869</v>
      </c>
      <c r="B301" t="s">
        <v>1287</v>
      </c>
      <c r="C301" t="s">
        <v>18</v>
      </c>
      <c r="D301">
        <v>2</v>
      </c>
      <c r="E301" t="s">
        <v>17</v>
      </c>
      <c r="F301" t="s">
        <v>380</v>
      </c>
      <c r="G301" s="19" t="s">
        <v>3201</v>
      </c>
      <c r="H301" t="s">
        <v>604</v>
      </c>
    </row>
    <row r="302" spans="1:8" x14ac:dyDescent="0.2">
      <c r="A302" t="s">
        <v>1870</v>
      </c>
      <c r="B302" t="s">
        <v>1295</v>
      </c>
      <c r="C302" t="s">
        <v>18</v>
      </c>
      <c r="D302">
        <v>3</v>
      </c>
      <c r="E302" t="s">
        <v>17</v>
      </c>
      <c r="F302" t="s">
        <v>380</v>
      </c>
      <c r="G302" s="19" t="s">
        <v>3201</v>
      </c>
      <c r="H302" t="s">
        <v>604</v>
      </c>
    </row>
    <row r="303" spans="1:8" x14ac:dyDescent="0.2">
      <c r="A303" t="s">
        <v>1871</v>
      </c>
      <c r="B303" t="s">
        <v>1295</v>
      </c>
      <c r="C303" t="s">
        <v>18</v>
      </c>
      <c r="D303">
        <v>3</v>
      </c>
      <c r="E303" t="s">
        <v>17</v>
      </c>
      <c r="F303" t="s">
        <v>380</v>
      </c>
      <c r="G303" s="19" t="s">
        <v>3201</v>
      </c>
      <c r="H303" t="s">
        <v>604</v>
      </c>
    </row>
    <row r="304" spans="1:8" x14ac:dyDescent="0.2">
      <c r="A304" t="s">
        <v>1872</v>
      </c>
      <c r="B304" t="s">
        <v>1295</v>
      </c>
      <c r="C304" t="s">
        <v>16</v>
      </c>
      <c r="D304">
        <v>4</v>
      </c>
      <c r="E304" t="s">
        <v>17</v>
      </c>
      <c r="F304" t="s">
        <v>380</v>
      </c>
      <c r="G304" s="19" t="s">
        <v>3201</v>
      </c>
      <c r="H304" t="s">
        <v>604</v>
      </c>
    </row>
    <row r="305" spans="1:8" x14ac:dyDescent="0.2">
      <c r="A305" t="s">
        <v>1873</v>
      </c>
      <c r="B305" t="s">
        <v>1295</v>
      </c>
      <c r="C305" t="s">
        <v>18</v>
      </c>
      <c r="D305">
        <v>2</v>
      </c>
      <c r="E305" t="s">
        <v>17</v>
      </c>
      <c r="F305" t="s">
        <v>380</v>
      </c>
      <c r="G305" s="19" t="s">
        <v>3201</v>
      </c>
      <c r="H305" t="s">
        <v>604</v>
      </c>
    </row>
    <row r="306" spans="1:8" x14ac:dyDescent="0.2">
      <c r="A306" t="s">
        <v>1874</v>
      </c>
      <c r="B306" t="s">
        <v>1295</v>
      </c>
      <c r="C306" t="s">
        <v>18</v>
      </c>
      <c r="D306">
        <v>3</v>
      </c>
      <c r="E306" t="s">
        <v>17</v>
      </c>
      <c r="F306" t="s">
        <v>380</v>
      </c>
      <c r="G306" s="19" t="s">
        <v>3201</v>
      </c>
      <c r="H306" t="s">
        <v>604</v>
      </c>
    </row>
    <row r="307" spans="1:8" x14ac:dyDescent="0.2">
      <c r="A307" t="s">
        <v>1875</v>
      </c>
      <c r="B307" t="s">
        <v>1297</v>
      </c>
      <c r="C307" t="s">
        <v>18</v>
      </c>
      <c r="D307">
        <v>3</v>
      </c>
      <c r="E307" t="s">
        <v>17</v>
      </c>
      <c r="F307" t="s">
        <v>380</v>
      </c>
      <c r="G307" s="19" t="s">
        <v>3201</v>
      </c>
      <c r="H307" t="s">
        <v>604</v>
      </c>
    </row>
    <row r="308" spans="1:8" x14ac:dyDescent="0.2">
      <c r="A308" t="s">
        <v>1876</v>
      </c>
      <c r="B308" t="s">
        <v>1297</v>
      </c>
      <c r="C308" t="s">
        <v>18</v>
      </c>
      <c r="D308">
        <v>2</v>
      </c>
      <c r="E308" t="s">
        <v>17</v>
      </c>
      <c r="F308" t="s">
        <v>380</v>
      </c>
      <c r="G308" s="19" t="s">
        <v>3201</v>
      </c>
      <c r="H308" t="s">
        <v>604</v>
      </c>
    </row>
    <row r="309" spans="1:8" x14ac:dyDescent="0.2">
      <c r="A309" t="s">
        <v>1877</v>
      </c>
      <c r="B309" t="s">
        <v>1297</v>
      </c>
      <c r="C309" t="s">
        <v>16</v>
      </c>
      <c r="D309">
        <v>4</v>
      </c>
      <c r="E309" t="s">
        <v>17</v>
      </c>
      <c r="F309" t="s">
        <v>381</v>
      </c>
      <c r="G309" s="19" t="s">
        <v>3201</v>
      </c>
      <c r="H309" t="s">
        <v>604</v>
      </c>
    </row>
    <row r="310" spans="1:8" x14ac:dyDescent="0.2">
      <c r="A310" t="s">
        <v>1878</v>
      </c>
      <c r="B310" t="s">
        <v>1297</v>
      </c>
      <c r="C310" t="s">
        <v>19</v>
      </c>
      <c r="D310">
        <v>2</v>
      </c>
      <c r="E310" t="s">
        <v>17</v>
      </c>
      <c r="F310" t="s">
        <v>380</v>
      </c>
      <c r="G310" s="19" t="s">
        <v>3201</v>
      </c>
      <c r="H310" t="s">
        <v>604</v>
      </c>
    </row>
    <row r="311" spans="1:8" x14ac:dyDescent="0.2">
      <c r="A311" t="s">
        <v>1879</v>
      </c>
      <c r="B311" t="s">
        <v>1297</v>
      </c>
      <c r="C311" t="s">
        <v>19</v>
      </c>
      <c r="D311">
        <v>2</v>
      </c>
      <c r="E311" t="s">
        <v>21</v>
      </c>
      <c r="F311" t="s">
        <v>380</v>
      </c>
      <c r="G311" s="19" t="s">
        <v>3201</v>
      </c>
      <c r="H311" t="s">
        <v>604</v>
      </c>
    </row>
    <row r="312" spans="1:8" x14ac:dyDescent="0.2">
      <c r="A312" t="s">
        <v>1880</v>
      </c>
      <c r="B312" t="s">
        <v>1299</v>
      </c>
      <c r="C312" t="s">
        <v>18</v>
      </c>
      <c r="D312">
        <v>2</v>
      </c>
      <c r="E312" t="s">
        <v>17</v>
      </c>
      <c r="F312" t="s">
        <v>380</v>
      </c>
      <c r="G312" s="19" t="s">
        <v>3201</v>
      </c>
      <c r="H312" t="s">
        <v>604</v>
      </c>
    </row>
    <row r="313" spans="1:8" x14ac:dyDescent="0.2">
      <c r="A313" t="s">
        <v>1881</v>
      </c>
      <c r="B313" t="s">
        <v>1299</v>
      </c>
      <c r="C313" t="s">
        <v>18</v>
      </c>
      <c r="D313">
        <v>2</v>
      </c>
      <c r="E313" t="s">
        <v>21</v>
      </c>
      <c r="F313" t="s">
        <v>380</v>
      </c>
      <c r="G313" s="19" t="s">
        <v>3201</v>
      </c>
      <c r="H313" t="s">
        <v>604</v>
      </c>
    </row>
    <row r="314" spans="1:8" x14ac:dyDescent="0.2">
      <c r="A314" t="s">
        <v>1882</v>
      </c>
      <c r="B314" t="s">
        <v>1299</v>
      </c>
      <c r="C314" t="s">
        <v>18</v>
      </c>
      <c r="D314">
        <v>2</v>
      </c>
      <c r="E314" t="s">
        <v>17</v>
      </c>
      <c r="F314" t="s">
        <v>380</v>
      </c>
      <c r="G314" s="19" t="s">
        <v>3201</v>
      </c>
      <c r="H314" t="s">
        <v>604</v>
      </c>
    </row>
    <row r="315" spans="1:8" x14ac:dyDescent="0.2">
      <c r="A315" t="s">
        <v>1883</v>
      </c>
      <c r="B315" t="s">
        <v>1299</v>
      </c>
      <c r="C315" t="s">
        <v>18</v>
      </c>
      <c r="D315">
        <v>2</v>
      </c>
      <c r="E315" t="s">
        <v>17</v>
      </c>
      <c r="F315" t="s">
        <v>380</v>
      </c>
      <c r="G315" s="19" t="s">
        <v>3201</v>
      </c>
      <c r="H315" t="s">
        <v>604</v>
      </c>
    </row>
    <row r="316" spans="1:8" x14ac:dyDescent="0.2">
      <c r="A316" t="s">
        <v>1884</v>
      </c>
      <c r="B316" t="s">
        <v>1299</v>
      </c>
      <c r="C316" t="s">
        <v>18</v>
      </c>
      <c r="D316">
        <v>2</v>
      </c>
      <c r="E316" t="s">
        <v>17</v>
      </c>
      <c r="F316" t="s">
        <v>380</v>
      </c>
      <c r="G316" s="19" t="s">
        <v>3201</v>
      </c>
      <c r="H316" t="s">
        <v>604</v>
      </c>
    </row>
    <row r="317" spans="1:8" x14ac:dyDescent="0.2">
      <c r="A317" t="s">
        <v>1885</v>
      </c>
      <c r="B317" t="s">
        <v>1307</v>
      </c>
      <c r="C317" t="s">
        <v>18</v>
      </c>
      <c r="D317">
        <v>3</v>
      </c>
      <c r="E317" t="s">
        <v>17</v>
      </c>
      <c r="F317" t="s">
        <v>380</v>
      </c>
      <c r="G317" t="s">
        <v>3201</v>
      </c>
      <c r="H317" t="s">
        <v>604</v>
      </c>
    </row>
    <row r="318" spans="1:8" x14ac:dyDescent="0.2">
      <c r="A318" t="s">
        <v>1886</v>
      </c>
      <c r="B318" t="s">
        <v>1307</v>
      </c>
      <c r="C318" t="s">
        <v>18</v>
      </c>
      <c r="D318">
        <v>3</v>
      </c>
      <c r="E318" t="s">
        <v>17</v>
      </c>
      <c r="F318" t="s">
        <v>380</v>
      </c>
      <c r="G318" t="s">
        <v>3201</v>
      </c>
      <c r="H318" t="s">
        <v>604</v>
      </c>
    </row>
    <row r="319" spans="1:8" x14ac:dyDescent="0.2">
      <c r="A319" t="s">
        <v>1887</v>
      </c>
      <c r="B319" t="s">
        <v>1307</v>
      </c>
      <c r="C319" t="s">
        <v>16</v>
      </c>
      <c r="D319">
        <v>4</v>
      </c>
      <c r="E319" t="s">
        <v>17</v>
      </c>
      <c r="F319" t="s">
        <v>380</v>
      </c>
      <c r="G319" t="s">
        <v>3201</v>
      </c>
      <c r="H319" t="s">
        <v>604</v>
      </c>
    </row>
    <row r="320" spans="1:8" x14ac:dyDescent="0.2">
      <c r="A320" t="s">
        <v>1888</v>
      </c>
      <c r="B320" t="s">
        <v>1307</v>
      </c>
      <c r="C320" t="s">
        <v>18</v>
      </c>
      <c r="D320">
        <v>1</v>
      </c>
      <c r="E320" t="s">
        <v>17</v>
      </c>
      <c r="F320" t="s">
        <v>380</v>
      </c>
      <c r="G320" t="s">
        <v>3201</v>
      </c>
      <c r="H320" t="s">
        <v>604</v>
      </c>
    </row>
    <row r="321" spans="1:8" x14ac:dyDescent="0.2">
      <c r="A321" t="s">
        <v>1889</v>
      </c>
      <c r="B321" t="s">
        <v>1307</v>
      </c>
      <c r="C321" t="s">
        <v>16</v>
      </c>
      <c r="D321">
        <v>4</v>
      </c>
      <c r="E321" t="s">
        <v>17</v>
      </c>
      <c r="F321" t="s">
        <v>380</v>
      </c>
      <c r="G321" t="s">
        <v>3201</v>
      </c>
      <c r="H321" t="s">
        <v>604</v>
      </c>
    </row>
    <row r="322" spans="1:8" x14ac:dyDescent="0.2">
      <c r="A322" t="s">
        <v>1890</v>
      </c>
      <c r="B322" t="s">
        <v>1309</v>
      </c>
      <c r="C322" t="s">
        <v>16</v>
      </c>
      <c r="D322">
        <v>4</v>
      </c>
      <c r="E322" t="s">
        <v>17</v>
      </c>
      <c r="F322" t="s">
        <v>380</v>
      </c>
      <c r="G322" t="s">
        <v>3201</v>
      </c>
      <c r="H322" t="s">
        <v>604</v>
      </c>
    </row>
    <row r="323" spans="1:8" x14ac:dyDescent="0.2">
      <c r="A323" t="s">
        <v>1891</v>
      </c>
      <c r="B323" t="s">
        <v>1309</v>
      </c>
      <c r="C323" t="s">
        <v>16</v>
      </c>
      <c r="D323">
        <v>4</v>
      </c>
      <c r="E323" t="s">
        <v>17</v>
      </c>
      <c r="F323" t="s">
        <v>380</v>
      </c>
      <c r="G323" t="s">
        <v>3201</v>
      </c>
      <c r="H323" t="s">
        <v>604</v>
      </c>
    </row>
    <row r="324" spans="1:8" x14ac:dyDescent="0.2">
      <c r="A324" t="s">
        <v>1892</v>
      </c>
      <c r="B324" t="s">
        <v>1309</v>
      </c>
      <c r="C324" t="s">
        <v>16</v>
      </c>
      <c r="D324" t="s">
        <v>16</v>
      </c>
      <c r="E324" t="s">
        <v>17</v>
      </c>
      <c r="F324" t="s">
        <v>381</v>
      </c>
      <c r="G324" t="s">
        <v>3201</v>
      </c>
      <c r="H324" t="s">
        <v>604</v>
      </c>
    </row>
    <row r="325" spans="1:8" x14ac:dyDescent="0.2">
      <c r="A325" t="s">
        <v>1893</v>
      </c>
      <c r="B325" t="s">
        <v>1309</v>
      </c>
      <c r="C325" t="s">
        <v>16</v>
      </c>
      <c r="D325">
        <v>4</v>
      </c>
      <c r="E325" t="s">
        <v>17</v>
      </c>
      <c r="F325" t="s">
        <v>380</v>
      </c>
      <c r="G325" t="s">
        <v>3201</v>
      </c>
      <c r="H325" t="s">
        <v>604</v>
      </c>
    </row>
    <row r="326" spans="1:8" x14ac:dyDescent="0.2">
      <c r="A326" t="s">
        <v>1894</v>
      </c>
      <c r="B326" t="s">
        <v>1309</v>
      </c>
      <c r="C326" t="s">
        <v>16</v>
      </c>
      <c r="D326">
        <v>4</v>
      </c>
      <c r="E326" t="s">
        <v>17</v>
      </c>
      <c r="F326" t="s">
        <v>380</v>
      </c>
      <c r="G326" t="s">
        <v>3201</v>
      </c>
      <c r="H326" t="s">
        <v>604</v>
      </c>
    </row>
    <row r="327" spans="1:8" x14ac:dyDescent="0.2">
      <c r="A327" t="s">
        <v>1895</v>
      </c>
      <c r="B327" t="s">
        <v>1311</v>
      </c>
      <c r="C327" t="s">
        <v>16</v>
      </c>
      <c r="D327">
        <v>4</v>
      </c>
      <c r="E327" t="s">
        <v>17</v>
      </c>
      <c r="F327" t="s">
        <v>380</v>
      </c>
      <c r="G327" t="s">
        <v>3201</v>
      </c>
      <c r="H327" t="s">
        <v>604</v>
      </c>
    </row>
    <row r="328" spans="1:8" x14ac:dyDescent="0.2">
      <c r="A328" t="s">
        <v>1896</v>
      </c>
      <c r="B328" t="s">
        <v>1311</v>
      </c>
      <c r="C328" t="s">
        <v>18</v>
      </c>
      <c r="D328">
        <v>3</v>
      </c>
      <c r="E328" t="s">
        <v>17</v>
      </c>
      <c r="F328" t="s">
        <v>380</v>
      </c>
      <c r="G328" t="s">
        <v>3201</v>
      </c>
      <c r="H328" t="s">
        <v>604</v>
      </c>
    </row>
    <row r="329" spans="1:8" x14ac:dyDescent="0.2">
      <c r="A329" t="s">
        <v>1897</v>
      </c>
      <c r="B329" t="s">
        <v>1311</v>
      </c>
      <c r="C329" t="s">
        <v>18</v>
      </c>
      <c r="D329">
        <v>3</v>
      </c>
      <c r="E329" t="s">
        <v>17</v>
      </c>
      <c r="F329" t="s">
        <v>380</v>
      </c>
      <c r="G329" t="s">
        <v>3201</v>
      </c>
      <c r="H329" t="s">
        <v>604</v>
      </c>
    </row>
    <row r="330" spans="1:8" x14ac:dyDescent="0.2">
      <c r="A330" t="s">
        <v>1898</v>
      </c>
      <c r="B330" t="s">
        <v>1311</v>
      </c>
      <c r="C330" t="s">
        <v>16</v>
      </c>
      <c r="D330">
        <v>4</v>
      </c>
      <c r="E330" t="s">
        <v>17</v>
      </c>
      <c r="F330" t="s">
        <v>380</v>
      </c>
      <c r="G330" t="s">
        <v>3201</v>
      </c>
      <c r="H330" t="s">
        <v>604</v>
      </c>
    </row>
    <row r="331" spans="1:8" x14ac:dyDescent="0.2">
      <c r="A331" t="s">
        <v>1899</v>
      </c>
      <c r="B331" t="s">
        <v>1311</v>
      </c>
      <c r="C331" t="s">
        <v>16</v>
      </c>
      <c r="D331">
        <v>4</v>
      </c>
      <c r="E331" t="s">
        <v>21</v>
      </c>
      <c r="F331" t="s">
        <v>380</v>
      </c>
      <c r="G331" t="s">
        <v>3201</v>
      </c>
      <c r="H331" t="s">
        <v>604</v>
      </c>
    </row>
    <row r="332" spans="1:8" x14ac:dyDescent="0.2">
      <c r="A332" t="s">
        <v>1900</v>
      </c>
      <c r="B332" t="s">
        <v>1901</v>
      </c>
      <c r="C332" t="s">
        <v>16</v>
      </c>
      <c r="D332">
        <v>4</v>
      </c>
      <c r="E332" t="s">
        <v>17</v>
      </c>
      <c r="F332" t="s">
        <v>380</v>
      </c>
      <c r="G332" t="s">
        <v>608</v>
      </c>
      <c r="H332" t="s">
        <v>604</v>
      </c>
    </row>
    <row r="333" spans="1:8" x14ac:dyDescent="0.2">
      <c r="A333" t="s">
        <v>1902</v>
      </c>
      <c r="B333" t="s">
        <v>1901</v>
      </c>
      <c r="C333" t="s">
        <v>16</v>
      </c>
      <c r="D333">
        <v>4</v>
      </c>
      <c r="E333" t="s">
        <v>17</v>
      </c>
      <c r="F333" t="s">
        <v>380</v>
      </c>
      <c r="G333" t="s">
        <v>608</v>
      </c>
      <c r="H333" t="s">
        <v>604</v>
      </c>
    </row>
    <row r="334" spans="1:8" x14ac:dyDescent="0.2">
      <c r="A334" t="s">
        <v>1903</v>
      </c>
      <c r="B334" t="s">
        <v>1901</v>
      </c>
      <c r="C334" t="s">
        <v>18</v>
      </c>
      <c r="D334">
        <v>1</v>
      </c>
      <c r="E334" t="s">
        <v>17</v>
      </c>
      <c r="F334" t="s">
        <v>380</v>
      </c>
      <c r="G334" t="s">
        <v>608</v>
      </c>
      <c r="H334" t="s">
        <v>604</v>
      </c>
    </row>
    <row r="335" spans="1:8" x14ac:dyDescent="0.2">
      <c r="A335" t="s">
        <v>1904</v>
      </c>
      <c r="B335" t="s">
        <v>1901</v>
      </c>
      <c r="C335" t="s">
        <v>16</v>
      </c>
      <c r="D335">
        <v>4</v>
      </c>
      <c r="E335" t="s">
        <v>17</v>
      </c>
      <c r="F335" t="s">
        <v>380</v>
      </c>
      <c r="G335" t="s">
        <v>608</v>
      </c>
      <c r="H335" t="s">
        <v>604</v>
      </c>
    </row>
    <row r="336" spans="1:8" x14ac:dyDescent="0.2">
      <c r="A336" t="s">
        <v>1905</v>
      </c>
      <c r="B336" t="s">
        <v>1901</v>
      </c>
      <c r="C336" t="s">
        <v>16</v>
      </c>
      <c r="D336">
        <v>4</v>
      </c>
      <c r="E336" t="s">
        <v>17</v>
      </c>
      <c r="F336" t="s">
        <v>380</v>
      </c>
      <c r="G336" t="s">
        <v>608</v>
      </c>
      <c r="H336" t="s">
        <v>604</v>
      </c>
    </row>
    <row r="337" spans="1:8" x14ac:dyDescent="0.2">
      <c r="A337" t="s">
        <v>1906</v>
      </c>
      <c r="B337" t="s">
        <v>1907</v>
      </c>
      <c r="C337" t="s">
        <v>16</v>
      </c>
      <c r="D337">
        <v>4</v>
      </c>
      <c r="E337" t="s">
        <v>17</v>
      </c>
      <c r="F337" t="s">
        <v>380</v>
      </c>
      <c r="G337" t="s">
        <v>608</v>
      </c>
      <c r="H337" t="s">
        <v>604</v>
      </c>
    </row>
    <row r="338" spans="1:8" x14ac:dyDescent="0.2">
      <c r="A338" t="s">
        <v>1908</v>
      </c>
      <c r="B338" t="s">
        <v>1907</v>
      </c>
      <c r="C338" t="s">
        <v>16</v>
      </c>
      <c r="D338">
        <v>4</v>
      </c>
      <c r="E338" t="s">
        <v>17</v>
      </c>
      <c r="F338" t="s">
        <v>380</v>
      </c>
      <c r="G338" t="s">
        <v>608</v>
      </c>
      <c r="H338" t="s">
        <v>604</v>
      </c>
    </row>
    <row r="339" spans="1:8" x14ac:dyDescent="0.2">
      <c r="A339" t="s">
        <v>1909</v>
      </c>
      <c r="B339" t="s">
        <v>1907</v>
      </c>
      <c r="C339" t="s">
        <v>16</v>
      </c>
      <c r="D339">
        <v>4</v>
      </c>
      <c r="E339" t="s">
        <v>17</v>
      </c>
      <c r="F339" t="s">
        <v>380</v>
      </c>
      <c r="G339" t="s">
        <v>608</v>
      </c>
      <c r="H339" t="s">
        <v>604</v>
      </c>
    </row>
    <row r="340" spans="1:8" x14ac:dyDescent="0.2">
      <c r="A340" t="s">
        <v>1910</v>
      </c>
      <c r="B340" t="s">
        <v>1907</v>
      </c>
      <c r="C340" t="s">
        <v>16</v>
      </c>
      <c r="D340">
        <v>4</v>
      </c>
      <c r="E340" t="s">
        <v>17</v>
      </c>
      <c r="F340" t="s">
        <v>380</v>
      </c>
      <c r="G340" t="s">
        <v>608</v>
      </c>
      <c r="H340" t="s">
        <v>604</v>
      </c>
    </row>
    <row r="341" spans="1:8" x14ac:dyDescent="0.2">
      <c r="A341" t="s">
        <v>1911</v>
      </c>
      <c r="B341" t="s">
        <v>1907</v>
      </c>
      <c r="C341" t="s">
        <v>18</v>
      </c>
      <c r="D341">
        <v>1</v>
      </c>
      <c r="E341" t="s">
        <v>17</v>
      </c>
      <c r="F341" t="s">
        <v>380</v>
      </c>
      <c r="G341" t="s">
        <v>608</v>
      </c>
      <c r="H341" t="s">
        <v>604</v>
      </c>
    </row>
    <row r="342" spans="1:8" x14ac:dyDescent="0.2">
      <c r="A342" t="s">
        <v>1912</v>
      </c>
      <c r="B342" t="s">
        <v>1913</v>
      </c>
      <c r="C342" t="s">
        <v>16</v>
      </c>
      <c r="D342">
        <v>4</v>
      </c>
      <c r="E342" t="s">
        <v>17</v>
      </c>
      <c r="F342" t="s">
        <v>380</v>
      </c>
      <c r="G342" t="s">
        <v>608</v>
      </c>
      <c r="H342" t="s">
        <v>604</v>
      </c>
    </row>
    <row r="343" spans="1:8" x14ac:dyDescent="0.2">
      <c r="A343" t="s">
        <v>1914</v>
      </c>
      <c r="B343" t="s">
        <v>1913</v>
      </c>
      <c r="C343" t="s">
        <v>16</v>
      </c>
      <c r="D343">
        <v>4</v>
      </c>
      <c r="E343" t="s">
        <v>17</v>
      </c>
      <c r="F343" t="s">
        <v>380</v>
      </c>
      <c r="G343" t="s">
        <v>608</v>
      </c>
      <c r="H343" t="s">
        <v>604</v>
      </c>
    </row>
    <row r="344" spans="1:8" x14ac:dyDescent="0.2">
      <c r="A344" t="s">
        <v>1915</v>
      </c>
      <c r="B344" t="s">
        <v>1913</v>
      </c>
      <c r="C344" t="s">
        <v>16</v>
      </c>
      <c r="D344">
        <v>4</v>
      </c>
      <c r="E344" t="s">
        <v>17</v>
      </c>
      <c r="F344" t="s">
        <v>380</v>
      </c>
      <c r="G344" t="s">
        <v>608</v>
      </c>
      <c r="H344" t="s">
        <v>604</v>
      </c>
    </row>
    <row r="345" spans="1:8" x14ac:dyDescent="0.2">
      <c r="A345" t="s">
        <v>1916</v>
      </c>
      <c r="B345" t="s">
        <v>1913</v>
      </c>
      <c r="C345" t="s">
        <v>18</v>
      </c>
      <c r="D345">
        <v>1</v>
      </c>
      <c r="E345" t="s">
        <v>17</v>
      </c>
      <c r="F345" t="s">
        <v>380</v>
      </c>
      <c r="G345" t="s">
        <v>608</v>
      </c>
      <c r="H345" t="s">
        <v>604</v>
      </c>
    </row>
    <row r="346" spans="1:8" x14ac:dyDescent="0.2">
      <c r="A346" t="s">
        <v>1917</v>
      </c>
      <c r="B346" t="s">
        <v>1913</v>
      </c>
      <c r="C346" t="s">
        <v>18</v>
      </c>
      <c r="D346">
        <v>1</v>
      </c>
      <c r="E346" t="s">
        <v>21</v>
      </c>
      <c r="F346" t="s">
        <v>380</v>
      </c>
      <c r="G346" t="s">
        <v>608</v>
      </c>
      <c r="H346" t="s">
        <v>604</v>
      </c>
    </row>
    <row r="347" spans="1:8" x14ac:dyDescent="0.2">
      <c r="A347" t="s">
        <v>1918</v>
      </c>
      <c r="B347" t="s">
        <v>1919</v>
      </c>
      <c r="C347" t="s">
        <v>18</v>
      </c>
      <c r="D347">
        <v>1</v>
      </c>
      <c r="E347" t="s">
        <v>17</v>
      </c>
      <c r="F347" t="s">
        <v>380</v>
      </c>
      <c r="G347" t="s">
        <v>608</v>
      </c>
      <c r="H347" t="s">
        <v>604</v>
      </c>
    </row>
    <row r="348" spans="1:8" x14ac:dyDescent="0.2">
      <c r="A348" t="s">
        <v>1920</v>
      </c>
      <c r="B348" t="s">
        <v>1919</v>
      </c>
      <c r="C348" t="s">
        <v>18</v>
      </c>
      <c r="D348">
        <v>1</v>
      </c>
      <c r="E348" t="s">
        <v>17</v>
      </c>
      <c r="F348" t="s">
        <v>380</v>
      </c>
      <c r="G348" t="s">
        <v>608</v>
      </c>
      <c r="H348" t="s">
        <v>604</v>
      </c>
    </row>
    <row r="349" spans="1:8" x14ac:dyDescent="0.2">
      <c r="A349" t="s">
        <v>1921</v>
      </c>
      <c r="B349" t="s">
        <v>1919</v>
      </c>
      <c r="C349" t="s">
        <v>16</v>
      </c>
      <c r="D349">
        <v>4</v>
      </c>
      <c r="E349" t="s">
        <v>17</v>
      </c>
      <c r="F349" t="s">
        <v>380</v>
      </c>
      <c r="G349" t="s">
        <v>608</v>
      </c>
      <c r="H349" t="s">
        <v>604</v>
      </c>
    </row>
    <row r="350" spans="1:8" x14ac:dyDescent="0.2">
      <c r="A350" t="s">
        <v>1922</v>
      </c>
      <c r="B350" t="s">
        <v>1919</v>
      </c>
      <c r="C350" t="s">
        <v>16</v>
      </c>
      <c r="D350">
        <v>4</v>
      </c>
      <c r="E350" t="s">
        <v>17</v>
      </c>
      <c r="F350" t="s">
        <v>380</v>
      </c>
      <c r="G350" t="s">
        <v>608</v>
      </c>
      <c r="H350" t="s">
        <v>604</v>
      </c>
    </row>
    <row r="351" spans="1:8" x14ac:dyDescent="0.2">
      <c r="A351" t="s">
        <v>1923</v>
      </c>
      <c r="B351" t="s">
        <v>1919</v>
      </c>
      <c r="C351" t="s">
        <v>16</v>
      </c>
      <c r="D351">
        <v>4</v>
      </c>
      <c r="E351" t="s">
        <v>17</v>
      </c>
      <c r="F351" t="s">
        <v>380</v>
      </c>
      <c r="G351" t="s">
        <v>608</v>
      </c>
      <c r="H351" t="s">
        <v>604</v>
      </c>
    </row>
    <row r="352" spans="1:8" x14ac:dyDescent="0.2">
      <c r="A352" t="s">
        <v>1924</v>
      </c>
      <c r="B352" t="s">
        <v>1925</v>
      </c>
      <c r="C352" t="s">
        <v>16</v>
      </c>
      <c r="D352">
        <v>4</v>
      </c>
      <c r="E352" t="s">
        <v>17</v>
      </c>
      <c r="F352" t="s">
        <v>380</v>
      </c>
      <c r="G352" t="s">
        <v>608</v>
      </c>
      <c r="H352" t="s">
        <v>604</v>
      </c>
    </row>
    <row r="353" spans="1:8" x14ac:dyDescent="0.2">
      <c r="A353" t="s">
        <v>1926</v>
      </c>
      <c r="B353" t="s">
        <v>1925</v>
      </c>
      <c r="C353" t="s">
        <v>16</v>
      </c>
      <c r="D353">
        <v>4</v>
      </c>
      <c r="E353" t="s">
        <v>17</v>
      </c>
      <c r="F353" t="s">
        <v>380</v>
      </c>
      <c r="G353" t="s">
        <v>608</v>
      </c>
      <c r="H353" t="s">
        <v>604</v>
      </c>
    </row>
    <row r="354" spans="1:8" x14ac:dyDescent="0.2">
      <c r="A354" t="s">
        <v>1927</v>
      </c>
      <c r="B354" t="s">
        <v>1925</v>
      </c>
      <c r="C354" t="s">
        <v>18</v>
      </c>
      <c r="D354">
        <v>1</v>
      </c>
      <c r="E354" t="s">
        <v>21</v>
      </c>
      <c r="F354" t="s">
        <v>380</v>
      </c>
      <c r="G354" t="s">
        <v>608</v>
      </c>
      <c r="H354" t="s">
        <v>604</v>
      </c>
    </row>
    <row r="355" spans="1:8" x14ac:dyDescent="0.2">
      <c r="A355" t="s">
        <v>1928</v>
      </c>
      <c r="B355" t="s">
        <v>1925</v>
      </c>
      <c r="C355" t="s">
        <v>18</v>
      </c>
      <c r="D355">
        <v>1</v>
      </c>
      <c r="E355" t="s">
        <v>17</v>
      </c>
      <c r="F355" t="s">
        <v>380</v>
      </c>
      <c r="G355" t="s">
        <v>608</v>
      </c>
      <c r="H355" t="s">
        <v>604</v>
      </c>
    </row>
    <row r="356" spans="1:8" x14ac:dyDescent="0.2">
      <c r="A356" t="s">
        <v>1929</v>
      </c>
      <c r="B356" t="s">
        <v>1925</v>
      </c>
      <c r="C356" t="s">
        <v>19</v>
      </c>
      <c r="D356">
        <v>3</v>
      </c>
      <c r="E356" t="s">
        <v>17</v>
      </c>
      <c r="F356" t="s">
        <v>380</v>
      </c>
      <c r="G356" t="s">
        <v>608</v>
      </c>
      <c r="H356" t="s">
        <v>604</v>
      </c>
    </row>
    <row r="357" spans="1:8" x14ac:dyDescent="0.2">
      <c r="A357" t="s">
        <v>1930</v>
      </c>
      <c r="B357" t="s">
        <v>1931</v>
      </c>
      <c r="C357" t="s">
        <v>18</v>
      </c>
      <c r="D357">
        <v>1</v>
      </c>
      <c r="E357" t="s">
        <v>17</v>
      </c>
      <c r="F357" t="s">
        <v>380</v>
      </c>
      <c r="G357" t="s">
        <v>608</v>
      </c>
      <c r="H357" t="s">
        <v>604</v>
      </c>
    </row>
    <row r="358" spans="1:8" x14ac:dyDescent="0.2">
      <c r="A358" t="s">
        <v>1932</v>
      </c>
      <c r="B358" t="s">
        <v>1931</v>
      </c>
      <c r="C358" t="s">
        <v>16</v>
      </c>
      <c r="D358">
        <v>4</v>
      </c>
      <c r="E358" t="s">
        <v>21</v>
      </c>
      <c r="F358" t="s">
        <v>380</v>
      </c>
      <c r="G358" t="s">
        <v>608</v>
      </c>
      <c r="H358" t="s">
        <v>604</v>
      </c>
    </row>
    <row r="359" spans="1:8" x14ac:dyDescent="0.2">
      <c r="A359" t="s">
        <v>1933</v>
      </c>
      <c r="B359" t="s">
        <v>1931</v>
      </c>
      <c r="C359" t="s">
        <v>16</v>
      </c>
      <c r="D359">
        <v>4</v>
      </c>
      <c r="E359" t="s">
        <v>17</v>
      </c>
      <c r="F359" t="s">
        <v>380</v>
      </c>
      <c r="G359" t="s">
        <v>608</v>
      </c>
      <c r="H359" t="s">
        <v>604</v>
      </c>
    </row>
    <row r="360" spans="1:8" x14ac:dyDescent="0.2">
      <c r="A360" t="s">
        <v>1934</v>
      </c>
      <c r="B360" t="s">
        <v>1931</v>
      </c>
      <c r="C360" t="s">
        <v>18</v>
      </c>
      <c r="D360">
        <v>1</v>
      </c>
      <c r="E360" t="s">
        <v>17</v>
      </c>
      <c r="F360" t="s">
        <v>380</v>
      </c>
      <c r="G360" t="s">
        <v>608</v>
      </c>
      <c r="H360" t="s">
        <v>604</v>
      </c>
    </row>
    <row r="361" spans="1:8" x14ac:dyDescent="0.2">
      <c r="A361" t="s">
        <v>1935</v>
      </c>
      <c r="B361" t="s">
        <v>1931</v>
      </c>
      <c r="C361" t="s">
        <v>16</v>
      </c>
      <c r="D361">
        <v>4</v>
      </c>
      <c r="E361" t="s">
        <v>17</v>
      </c>
      <c r="F361" t="s">
        <v>380</v>
      </c>
      <c r="G361" t="s">
        <v>608</v>
      </c>
      <c r="H361" t="s">
        <v>604</v>
      </c>
    </row>
    <row r="362" spans="1:8" x14ac:dyDescent="0.2">
      <c r="A362" t="s">
        <v>1936</v>
      </c>
      <c r="B362" t="s">
        <v>1937</v>
      </c>
      <c r="C362" t="s">
        <v>19</v>
      </c>
      <c r="D362" t="s">
        <v>608</v>
      </c>
      <c r="E362" t="s">
        <v>21</v>
      </c>
      <c r="F362" t="s">
        <v>381</v>
      </c>
      <c r="G362" t="s">
        <v>608</v>
      </c>
      <c r="H362" t="s">
        <v>604</v>
      </c>
    </row>
    <row r="363" spans="1:8" x14ac:dyDescent="0.2">
      <c r="A363" t="s">
        <v>1938</v>
      </c>
      <c r="B363" t="s">
        <v>1937</v>
      </c>
      <c r="C363" t="s">
        <v>16</v>
      </c>
      <c r="D363" t="s">
        <v>608</v>
      </c>
      <c r="E363" t="s">
        <v>17</v>
      </c>
      <c r="F363" t="s">
        <v>381</v>
      </c>
      <c r="G363" t="s">
        <v>608</v>
      </c>
      <c r="H363" t="s">
        <v>604</v>
      </c>
    </row>
    <row r="364" spans="1:8" x14ac:dyDescent="0.2">
      <c r="A364" t="s">
        <v>1939</v>
      </c>
      <c r="B364" t="s">
        <v>1937</v>
      </c>
      <c r="C364" t="s">
        <v>16</v>
      </c>
      <c r="D364">
        <v>4</v>
      </c>
      <c r="E364" t="s">
        <v>17</v>
      </c>
      <c r="F364" t="s">
        <v>380</v>
      </c>
      <c r="G364" t="s">
        <v>608</v>
      </c>
      <c r="H364" t="s">
        <v>604</v>
      </c>
    </row>
    <row r="365" spans="1:8" x14ac:dyDescent="0.2">
      <c r="A365" t="s">
        <v>1940</v>
      </c>
      <c r="B365" t="s">
        <v>1937</v>
      </c>
      <c r="C365" t="s">
        <v>18</v>
      </c>
      <c r="D365">
        <v>1</v>
      </c>
      <c r="E365" t="s">
        <v>17</v>
      </c>
      <c r="F365" t="s">
        <v>380</v>
      </c>
      <c r="G365" t="s">
        <v>608</v>
      </c>
      <c r="H365" t="s">
        <v>604</v>
      </c>
    </row>
    <row r="366" spans="1:8" x14ac:dyDescent="0.2">
      <c r="A366" t="s">
        <v>1941</v>
      </c>
      <c r="B366" t="s">
        <v>1937</v>
      </c>
      <c r="C366" t="s">
        <v>19</v>
      </c>
      <c r="D366">
        <v>2</v>
      </c>
      <c r="E366" t="s">
        <v>17</v>
      </c>
      <c r="F366" t="s">
        <v>380</v>
      </c>
      <c r="G366" t="s">
        <v>608</v>
      </c>
      <c r="H366" t="s">
        <v>604</v>
      </c>
    </row>
    <row r="367" spans="1:8" x14ac:dyDescent="0.2">
      <c r="A367" t="s">
        <v>1942</v>
      </c>
      <c r="B367" t="s">
        <v>1943</v>
      </c>
      <c r="C367" t="s">
        <v>16</v>
      </c>
      <c r="D367">
        <v>4</v>
      </c>
      <c r="E367" t="s">
        <v>17</v>
      </c>
      <c r="F367" t="s">
        <v>380</v>
      </c>
      <c r="G367" t="s">
        <v>608</v>
      </c>
      <c r="H367" t="s">
        <v>604</v>
      </c>
    </row>
    <row r="368" spans="1:8" x14ac:dyDescent="0.2">
      <c r="A368" t="s">
        <v>1944</v>
      </c>
      <c r="B368" t="s">
        <v>1943</v>
      </c>
      <c r="C368" t="s">
        <v>18</v>
      </c>
      <c r="D368">
        <v>1</v>
      </c>
      <c r="E368" t="s">
        <v>17</v>
      </c>
      <c r="F368" t="s">
        <v>380</v>
      </c>
      <c r="G368" t="s">
        <v>608</v>
      </c>
      <c r="H368" t="s">
        <v>604</v>
      </c>
    </row>
    <row r="369" spans="1:8" x14ac:dyDescent="0.2">
      <c r="A369" t="s">
        <v>1945</v>
      </c>
      <c r="B369" t="s">
        <v>1943</v>
      </c>
      <c r="C369" t="s">
        <v>16</v>
      </c>
      <c r="D369" t="s">
        <v>608</v>
      </c>
      <c r="E369" t="s">
        <v>17</v>
      </c>
      <c r="F369" t="s">
        <v>381</v>
      </c>
      <c r="G369" t="s">
        <v>608</v>
      </c>
      <c r="H369" t="s">
        <v>604</v>
      </c>
    </row>
    <row r="370" spans="1:8" x14ac:dyDescent="0.2">
      <c r="A370" t="s">
        <v>1946</v>
      </c>
      <c r="B370" t="s">
        <v>1943</v>
      </c>
      <c r="C370" t="s">
        <v>16</v>
      </c>
      <c r="D370" t="s">
        <v>608</v>
      </c>
      <c r="E370" t="s">
        <v>17</v>
      </c>
      <c r="F370" t="s">
        <v>381</v>
      </c>
      <c r="G370" t="s">
        <v>608</v>
      </c>
      <c r="H370" t="s">
        <v>604</v>
      </c>
    </row>
    <row r="371" spans="1:8" x14ac:dyDescent="0.2">
      <c r="A371" t="s">
        <v>1947</v>
      </c>
      <c r="B371" t="s">
        <v>1943</v>
      </c>
      <c r="C371" t="s">
        <v>16</v>
      </c>
      <c r="D371" t="s">
        <v>608</v>
      </c>
      <c r="E371" t="s">
        <v>17</v>
      </c>
      <c r="F371" t="s">
        <v>381</v>
      </c>
      <c r="G371" t="s">
        <v>608</v>
      </c>
      <c r="H371" t="s">
        <v>604</v>
      </c>
    </row>
    <row r="372" spans="1:8" x14ac:dyDescent="0.2">
      <c r="A372" t="s">
        <v>1948</v>
      </c>
      <c r="B372" t="s">
        <v>1949</v>
      </c>
      <c r="C372" t="s">
        <v>18</v>
      </c>
      <c r="D372">
        <v>2</v>
      </c>
      <c r="E372" t="s">
        <v>17</v>
      </c>
      <c r="F372" t="s">
        <v>380</v>
      </c>
      <c r="G372" t="s">
        <v>608</v>
      </c>
      <c r="H372" t="s">
        <v>604</v>
      </c>
    </row>
    <row r="373" spans="1:8" x14ac:dyDescent="0.2">
      <c r="A373" t="s">
        <v>1950</v>
      </c>
      <c r="B373" t="s">
        <v>1949</v>
      </c>
      <c r="C373" t="s">
        <v>16</v>
      </c>
      <c r="D373">
        <v>4</v>
      </c>
      <c r="E373" t="s">
        <v>17</v>
      </c>
      <c r="F373" t="s">
        <v>380</v>
      </c>
      <c r="G373" t="s">
        <v>608</v>
      </c>
      <c r="H373" t="s">
        <v>604</v>
      </c>
    </row>
    <row r="374" spans="1:8" x14ac:dyDescent="0.2">
      <c r="A374" t="s">
        <v>1951</v>
      </c>
      <c r="B374" t="s">
        <v>1949</v>
      </c>
      <c r="C374" t="s">
        <v>19</v>
      </c>
      <c r="D374">
        <v>2</v>
      </c>
      <c r="E374" t="s">
        <v>17</v>
      </c>
      <c r="F374" t="s">
        <v>380</v>
      </c>
      <c r="G374" t="s">
        <v>608</v>
      </c>
      <c r="H374" t="s">
        <v>604</v>
      </c>
    </row>
    <row r="375" spans="1:8" x14ac:dyDescent="0.2">
      <c r="A375" t="s">
        <v>1952</v>
      </c>
      <c r="B375" t="s">
        <v>1949</v>
      </c>
      <c r="C375" t="s">
        <v>18</v>
      </c>
      <c r="D375">
        <v>2</v>
      </c>
      <c r="E375" t="s">
        <v>17</v>
      </c>
      <c r="F375" t="s">
        <v>380</v>
      </c>
      <c r="G375" t="s">
        <v>608</v>
      </c>
      <c r="H375" t="s">
        <v>604</v>
      </c>
    </row>
    <row r="376" spans="1:8" x14ac:dyDescent="0.2">
      <c r="A376" t="s">
        <v>1953</v>
      </c>
      <c r="B376" t="s">
        <v>1949</v>
      </c>
      <c r="C376" t="s">
        <v>16</v>
      </c>
      <c r="D376" t="s">
        <v>608</v>
      </c>
      <c r="E376" t="s">
        <v>17</v>
      </c>
      <c r="F376" t="s">
        <v>381</v>
      </c>
      <c r="G376" t="s">
        <v>608</v>
      </c>
      <c r="H376" t="s">
        <v>604</v>
      </c>
    </row>
    <row r="377" spans="1:8" x14ac:dyDescent="0.2">
      <c r="A377" t="s">
        <v>1954</v>
      </c>
      <c r="B377" t="s">
        <v>1955</v>
      </c>
      <c r="C377" t="s">
        <v>18</v>
      </c>
      <c r="D377">
        <v>3</v>
      </c>
      <c r="E377" t="s">
        <v>21</v>
      </c>
      <c r="F377" t="s">
        <v>380</v>
      </c>
      <c r="G377" t="s">
        <v>608</v>
      </c>
      <c r="H377" t="s">
        <v>604</v>
      </c>
    </row>
    <row r="378" spans="1:8" x14ac:dyDescent="0.2">
      <c r="A378" t="s">
        <v>1956</v>
      </c>
      <c r="B378" t="s">
        <v>1955</v>
      </c>
      <c r="C378" t="s">
        <v>16</v>
      </c>
      <c r="D378" t="s">
        <v>16</v>
      </c>
      <c r="E378" t="s">
        <v>20</v>
      </c>
      <c r="F378" t="s">
        <v>380</v>
      </c>
      <c r="G378" t="s">
        <v>608</v>
      </c>
      <c r="H378" t="s">
        <v>604</v>
      </c>
    </row>
    <row r="379" spans="1:8" x14ac:dyDescent="0.2">
      <c r="A379" t="s">
        <v>1957</v>
      </c>
      <c r="B379" t="s">
        <v>1955</v>
      </c>
      <c r="C379" t="s">
        <v>18</v>
      </c>
      <c r="D379">
        <v>2</v>
      </c>
      <c r="E379" t="s">
        <v>17</v>
      </c>
      <c r="F379" t="s">
        <v>380</v>
      </c>
      <c r="G379" t="s">
        <v>608</v>
      </c>
      <c r="H379" t="s">
        <v>604</v>
      </c>
    </row>
    <row r="380" spans="1:8" x14ac:dyDescent="0.2">
      <c r="A380" t="s">
        <v>1958</v>
      </c>
      <c r="B380" t="s">
        <v>1955</v>
      </c>
      <c r="C380" t="s">
        <v>16</v>
      </c>
      <c r="D380">
        <v>4</v>
      </c>
      <c r="E380" t="s">
        <v>21</v>
      </c>
      <c r="F380" t="s">
        <v>380</v>
      </c>
      <c r="G380" t="s">
        <v>608</v>
      </c>
      <c r="H380" t="s">
        <v>604</v>
      </c>
    </row>
    <row r="381" spans="1:8" x14ac:dyDescent="0.2">
      <c r="A381" t="s">
        <v>1959</v>
      </c>
      <c r="B381" t="s">
        <v>1955</v>
      </c>
      <c r="C381" t="s">
        <v>19</v>
      </c>
      <c r="D381">
        <v>2</v>
      </c>
      <c r="E381" t="s">
        <v>17</v>
      </c>
      <c r="F381" t="s">
        <v>380</v>
      </c>
      <c r="G381" t="s">
        <v>608</v>
      </c>
      <c r="H381" t="s">
        <v>604</v>
      </c>
    </row>
    <row r="382" spans="1:8" x14ac:dyDescent="0.2">
      <c r="A382" t="s">
        <v>1960</v>
      </c>
      <c r="B382" t="s">
        <v>1961</v>
      </c>
      <c r="C382" t="s">
        <v>19</v>
      </c>
      <c r="D382">
        <v>2</v>
      </c>
      <c r="E382" t="s">
        <v>17</v>
      </c>
      <c r="F382" t="s">
        <v>380</v>
      </c>
      <c r="G382" t="s">
        <v>608</v>
      </c>
      <c r="H382" t="s">
        <v>604</v>
      </c>
    </row>
    <row r="383" spans="1:8" x14ac:dyDescent="0.2">
      <c r="A383" t="s">
        <v>1962</v>
      </c>
      <c r="B383" t="s">
        <v>1961</v>
      </c>
      <c r="C383" t="s">
        <v>18</v>
      </c>
      <c r="D383">
        <v>2</v>
      </c>
      <c r="E383" t="s">
        <v>17</v>
      </c>
      <c r="F383" t="s">
        <v>380</v>
      </c>
      <c r="G383" t="s">
        <v>608</v>
      </c>
      <c r="H383" t="s">
        <v>604</v>
      </c>
    </row>
    <row r="384" spans="1:8" x14ac:dyDescent="0.2">
      <c r="A384" t="s">
        <v>1963</v>
      </c>
      <c r="B384" t="s">
        <v>1961</v>
      </c>
      <c r="C384" t="s">
        <v>18</v>
      </c>
      <c r="D384">
        <v>2</v>
      </c>
      <c r="E384" t="s">
        <v>17</v>
      </c>
      <c r="F384" t="s">
        <v>380</v>
      </c>
      <c r="G384" t="s">
        <v>608</v>
      </c>
      <c r="H384" t="s">
        <v>604</v>
      </c>
    </row>
    <row r="385" spans="1:8" x14ac:dyDescent="0.2">
      <c r="A385" t="s">
        <v>1964</v>
      </c>
      <c r="B385" t="s">
        <v>1961</v>
      </c>
      <c r="C385" t="s">
        <v>18</v>
      </c>
      <c r="D385">
        <v>1</v>
      </c>
      <c r="E385" t="s">
        <v>21</v>
      </c>
      <c r="F385" t="s">
        <v>380</v>
      </c>
      <c r="G385" t="s">
        <v>608</v>
      </c>
      <c r="H385" t="s">
        <v>604</v>
      </c>
    </row>
    <row r="386" spans="1:8" x14ac:dyDescent="0.2">
      <c r="A386" t="s">
        <v>1965</v>
      </c>
      <c r="B386" t="s">
        <v>1961</v>
      </c>
      <c r="C386" t="s">
        <v>19</v>
      </c>
      <c r="D386">
        <v>1</v>
      </c>
      <c r="E386" t="s">
        <v>17</v>
      </c>
      <c r="F386" t="s">
        <v>381</v>
      </c>
      <c r="G386" t="s">
        <v>608</v>
      </c>
      <c r="H386" t="s">
        <v>604</v>
      </c>
    </row>
    <row r="387" spans="1:8" x14ac:dyDescent="0.2">
      <c r="A387" t="s">
        <v>1966</v>
      </c>
      <c r="B387" t="s">
        <v>1967</v>
      </c>
      <c r="C387" t="s">
        <v>18</v>
      </c>
      <c r="D387">
        <v>2</v>
      </c>
      <c r="E387" t="s">
        <v>17</v>
      </c>
      <c r="F387" t="s">
        <v>380</v>
      </c>
      <c r="G387" t="s">
        <v>608</v>
      </c>
      <c r="H387" t="s">
        <v>604</v>
      </c>
    </row>
    <row r="388" spans="1:8" x14ac:dyDescent="0.2">
      <c r="A388" t="s">
        <v>1968</v>
      </c>
      <c r="B388" t="s">
        <v>1967</v>
      </c>
      <c r="C388" t="s">
        <v>18</v>
      </c>
      <c r="D388">
        <v>2</v>
      </c>
      <c r="E388" t="s">
        <v>17</v>
      </c>
      <c r="F388" t="s">
        <v>380</v>
      </c>
      <c r="G388" t="s">
        <v>608</v>
      </c>
      <c r="H388" t="s">
        <v>604</v>
      </c>
    </row>
    <row r="389" spans="1:8" x14ac:dyDescent="0.2">
      <c r="A389" t="s">
        <v>1969</v>
      </c>
      <c r="B389" t="s">
        <v>1967</v>
      </c>
      <c r="C389" t="s">
        <v>19</v>
      </c>
      <c r="D389">
        <v>2</v>
      </c>
      <c r="E389" t="s">
        <v>17</v>
      </c>
      <c r="F389" t="s">
        <v>380</v>
      </c>
      <c r="G389" t="s">
        <v>608</v>
      </c>
      <c r="H389" t="s">
        <v>604</v>
      </c>
    </row>
    <row r="390" spans="1:8" x14ac:dyDescent="0.2">
      <c r="A390" t="s">
        <v>1970</v>
      </c>
      <c r="B390" t="s">
        <v>1967</v>
      </c>
      <c r="C390" t="s">
        <v>18</v>
      </c>
      <c r="D390">
        <v>3</v>
      </c>
      <c r="E390" t="s">
        <v>21</v>
      </c>
      <c r="F390" t="s">
        <v>380</v>
      </c>
      <c r="G390" t="s">
        <v>608</v>
      </c>
      <c r="H390" t="s">
        <v>604</v>
      </c>
    </row>
    <row r="391" spans="1:8" x14ac:dyDescent="0.2">
      <c r="A391" t="s">
        <v>1971</v>
      </c>
      <c r="B391" t="s">
        <v>1967</v>
      </c>
      <c r="C391" t="s">
        <v>19</v>
      </c>
      <c r="D391">
        <v>2</v>
      </c>
      <c r="E391" t="s">
        <v>21</v>
      </c>
      <c r="F391" t="s">
        <v>380</v>
      </c>
      <c r="G391" t="s">
        <v>608</v>
      </c>
      <c r="H391" t="s">
        <v>604</v>
      </c>
    </row>
    <row r="392" spans="1:8" x14ac:dyDescent="0.2">
      <c r="A392" t="s">
        <v>1972</v>
      </c>
      <c r="B392" t="s">
        <v>1973</v>
      </c>
      <c r="C392" t="s">
        <v>19</v>
      </c>
      <c r="D392">
        <v>2</v>
      </c>
      <c r="E392" t="s">
        <v>17</v>
      </c>
      <c r="F392" t="s">
        <v>380</v>
      </c>
      <c r="G392" t="s">
        <v>608</v>
      </c>
      <c r="H392" t="s">
        <v>604</v>
      </c>
    </row>
    <row r="393" spans="1:8" x14ac:dyDescent="0.2">
      <c r="A393" t="s">
        <v>1974</v>
      </c>
      <c r="B393" t="s">
        <v>1973</v>
      </c>
      <c r="C393" t="s">
        <v>18</v>
      </c>
      <c r="D393">
        <v>2</v>
      </c>
      <c r="E393" t="s">
        <v>17</v>
      </c>
      <c r="F393" t="s">
        <v>380</v>
      </c>
      <c r="G393" t="s">
        <v>608</v>
      </c>
      <c r="H393" t="s">
        <v>604</v>
      </c>
    </row>
    <row r="394" spans="1:8" x14ac:dyDescent="0.2">
      <c r="A394" t="s">
        <v>1975</v>
      </c>
      <c r="B394" t="s">
        <v>1973</v>
      </c>
      <c r="C394" t="s">
        <v>18</v>
      </c>
      <c r="D394">
        <v>2</v>
      </c>
      <c r="E394" t="s">
        <v>17</v>
      </c>
      <c r="F394" t="s">
        <v>380</v>
      </c>
      <c r="G394" t="s">
        <v>608</v>
      </c>
      <c r="H394" t="s">
        <v>604</v>
      </c>
    </row>
    <row r="395" spans="1:8" x14ac:dyDescent="0.2">
      <c r="A395" t="s">
        <v>1976</v>
      </c>
      <c r="B395" t="s">
        <v>1973</v>
      </c>
      <c r="C395" t="s">
        <v>18</v>
      </c>
      <c r="D395">
        <v>2</v>
      </c>
      <c r="E395" t="s">
        <v>17</v>
      </c>
      <c r="F395" t="s">
        <v>380</v>
      </c>
      <c r="G395" t="s">
        <v>608</v>
      </c>
      <c r="H395" t="s">
        <v>604</v>
      </c>
    </row>
    <row r="396" spans="1:8" x14ac:dyDescent="0.2">
      <c r="A396" t="s">
        <v>1977</v>
      </c>
      <c r="B396" t="s">
        <v>1973</v>
      </c>
      <c r="C396" t="s">
        <v>18</v>
      </c>
      <c r="D396">
        <v>2</v>
      </c>
      <c r="E396" t="s">
        <v>21</v>
      </c>
      <c r="F396" t="s">
        <v>380</v>
      </c>
      <c r="G396" t="s">
        <v>608</v>
      </c>
      <c r="H396" t="s">
        <v>604</v>
      </c>
    </row>
    <row r="397" spans="1:8" x14ac:dyDescent="0.2">
      <c r="A397" t="s">
        <v>1978</v>
      </c>
      <c r="B397" t="s">
        <v>1979</v>
      </c>
      <c r="C397" t="s">
        <v>18</v>
      </c>
      <c r="D397">
        <v>3</v>
      </c>
      <c r="E397" t="s">
        <v>17</v>
      </c>
      <c r="F397" t="s">
        <v>380</v>
      </c>
      <c r="G397" t="s">
        <v>608</v>
      </c>
      <c r="H397" t="s">
        <v>604</v>
      </c>
    </row>
    <row r="398" spans="1:8" x14ac:dyDescent="0.2">
      <c r="A398" t="s">
        <v>1980</v>
      </c>
      <c r="B398" t="s">
        <v>1979</v>
      </c>
      <c r="C398" t="s">
        <v>18</v>
      </c>
      <c r="D398">
        <v>2</v>
      </c>
      <c r="E398" t="s">
        <v>17</v>
      </c>
      <c r="F398" t="s">
        <v>380</v>
      </c>
      <c r="G398" t="s">
        <v>608</v>
      </c>
      <c r="H398" t="s">
        <v>604</v>
      </c>
    </row>
    <row r="399" spans="1:8" x14ac:dyDescent="0.2">
      <c r="A399" t="s">
        <v>1981</v>
      </c>
      <c r="B399" t="s">
        <v>1979</v>
      </c>
      <c r="C399" t="s">
        <v>16</v>
      </c>
      <c r="D399">
        <v>4</v>
      </c>
      <c r="E399" t="s">
        <v>21</v>
      </c>
      <c r="F399" t="s">
        <v>380</v>
      </c>
      <c r="G399" t="s">
        <v>608</v>
      </c>
      <c r="H399" t="s">
        <v>604</v>
      </c>
    </row>
    <row r="400" spans="1:8" x14ac:dyDescent="0.2">
      <c r="A400" t="s">
        <v>1982</v>
      </c>
      <c r="B400" t="s">
        <v>1979</v>
      </c>
      <c r="C400" t="s">
        <v>19</v>
      </c>
      <c r="D400">
        <v>2</v>
      </c>
      <c r="E400" t="s">
        <v>17</v>
      </c>
      <c r="F400" t="s">
        <v>380</v>
      </c>
      <c r="G400" t="s">
        <v>608</v>
      </c>
      <c r="H400" t="s">
        <v>604</v>
      </c>
    </row>
    <row r="401" spans="1:8" x14ac:dyDescent="0.2">
      <c r="A401" t="s">
        <v>1983</v>
      </c>
      <c r="B401" t="s">
        <v>1979</v>
      </c>
      <c r="C401" t="s">
        <v>16</v>
      </c>
      <c r="D401">
        <v>4</v>
      </c>
      <c r="E401" t="s">
        <v>17</v>
      </c>
      <c r="F401" t="s">
        <v>380</v>
      </c>
      <c r="G401" t="s">
        <v>608</v>
      </c>
      <c r="H401" t="s">
        <v>604</v>
      </c>
    </row>
    <row r="402" spans="1:8" x14ac:dyDescent="0.2">
      <c r="A402" t="s">
        <v>1984</v>
      </c>
      <c r="B402" t="s">
        <v>1985</v>
      </c>
      <c r="C402" t="s">
        <v>18</v>
      </c>
      <c r="D402">
        <v>2</v>
      </c>
      <c r="E402" t="s">
        <v>17</v>
      </c>
      <c r="F402" t="s">
        <v>380</v>
      </c>
      <c r="G402" t="s">
        <v>608</v>
      </c>
      <c r="H402" t="s">
        <v>604</v>
      </c>
    </row>
    <row r="403" spans="1:8" x14ac:dyDescent="0.2">
      <c r="A403" t="s">
        <v>1986</v>
      </c>
      <c r="B403" t="s">
        <v>1985</v>
      </c>
      <c r="C403" t="s">
        <v>16</v>
      </c>
      <c r="D403">
        <v>4</v>
      </c>
      <c r="E403" t="s">
        <v>21</v>
      </c>
      <c r="F403" t="s">
        <v>380</v>
      </c>
      <c r="G403" t="s">
        <v>608</v>
      </c>
      <c r="H403" t="s">
        <v>604</v>
      </c>
    </row>
    <row r="404" spans="1:8" x14ac:dyDescent="0.2">
      <c r="A404" t="s">
        <v>1987</v>
      </c>
      <c r="B404" t="s">
        <v>1985</v>
      </c>
      <c r="C404" t="s">
        <v>16</v>
      </c>
      <c r="D404">
        <v>4</v>
      </c>
      <c r="E404" t="s">
        <v>17</v>
      </c>
      <c r="F404" t="s">
        <v>380</v>
      </c>
      <c r="G404" t="s">
        <v>608</v>
      </c>
      <c r="H404" t="s">
        <v>604</v>
      </c>
    </row>
    <row r="405" spans="1:8" x14ac:dyDescent="0.2">
      <c r="A405" t="s">
        <v>1988</v>
      </c>
      <c r="B405" t="s">
        <v>1985</v>
      </c>
      <c r="C405" t="s">
        <v>16</v>
      </c>
      <c r="D405">
        <v>4</v>
      </c>
      <c r="E405" t="s">
        <v>21</v>
      </c>
      <c r="F405" t="s">
        <v>380</v>
      </c>
      <c r="G405" t="s">
        <v>608</v>
      </c>
      <c r="H405" t="s">
        <v>604</v>
      </c>
    </row>
    <row r="406" spans="1:8" x14ac:dyDescent="0.2">
      <c r="A406" t="s">
        <v>1989</v>
      </c>
      <c r="B406" t="s">
        <v>1985</v>
      </c>
      <c r="C406" t="s">
        <v>18</v>
      </c>
      <c r="D406">
        <v>2</v>
      </c>
      <c r="E406" t="s">
        <v>17</v>
      </c>
      <c r="F406" t="s">
        <v>380</v>
      </c>
      <c r="G406" t="s">
        <v>608</v>
      </c>
      <c r="H406" t="s">
        <v>604</v>
      </c>
    </row>
    <row r="407" spans="1:8" x14ac:dyDescent="0.2">
      <c r="A407" t="s">
        <v>1990</v>
      </c>
      <c r="B407" t="s">
        <v>1991</v>
      </c>
      <c r="C407" t="s">
        <v>19</v>
      </c>
      <c r="D407">
        <v>2</v>
      </c>
      <c r="E407" t="s">
        <v>17</v>
      </c>
      <c r="F407" t="s">
        <v>380</v>
      </c>
      <c r="G407" t="s">
        <v>608</v>
      </c>
      <c r="H407" t="s">
        <v>604</v>
      </c>
    </row>
    <row r="408" spans="1:8" x14ac:dyDescent="0.2">
      <c r="A408" t="s">
        <v>1992</v>
      </c>
      <c r="B408" t="s">
        <v>1991</v>
      </c>
      <c r="C408" t="s">
        <v>16</v>
      </c>
      <c r="D408">
        <v>4</v>
      </c>
      <c r="E408" t="s">
        <v>17</v>
      </c>
      <c r="F408" t="s">
        <v>380</v>
      </c>
      <c r="G408" t="s">
        <v>608</v>
      </c>
      <c r="H408" t="s">
        <v>604</v>
      </c>
    </row>
    <row r="409" spans="1:8" x14ac:dyDescent="0.2">
      <c r="A409" t="s">
        <v>1993</v>
      </c>
      <c r="B409" t="s">
        <v>1991</v>
      </c>
      <c r="C409" t="s">
        <v>18</v>
      </c>
      <c r="D409">
        <v>2</v>
      </c>
      <c r="E409" t="s">
        <v>17</v>
      </c>
      <c r="F409" t="s">
        <v>380</v>
      </c>
      <c r="G409" t="s">
        <v>608</v>
      </c>
      <c r="H409" t="s">
        <v>604</v>
      </c>
    </row>
    <row r="410" spans="1:8" x14ac:dyDescent="0.2">
      <c r="A410" t="s">
        <v>1994</v>
      </c>
      <c r="B410" t="s">
        <v>1991</v>
      </c>
      <c r="C410" t="s">
        <v>19</v>
      </c>
      <c r="D410">
        <v>2</v>
      </c>
      <c r="E410" t="s">
        <v>17</v>
      </c>
      <c r="F410" t="s">
        <v>380</v>
      </c>
      <c r="G410" t="s">
        <v>608</v>
      </c>
      <c r="H410" t="s">
        <v>604</v>
      </c>
    </row>
    <row r="411" spans="1:8" x14ac:dyDescent="0.2">
      <c r="A411" t="s">
        <v>1995</v>
      </c>
      <c r="B411" t="s">
        <v>1991</v>
      </c>
      <c r="C411" t="s">
        <v>18</v>
      </c>
      <c r="D411">
        <v>2</v>
      </c>
      <c r="E411" t="s">
        <v>17</v>
      </c>
      <c r="F411" t="s">
        <v>380</v>
      </c>
      <c r="G411" t="s">
        <v>608</v>
      </c>
      <c r="H411" t="s">
        <v>604</v>
      </c>
    </row>
    <row r="412" spans="1:8" x14ac:dyDescent="0.2">
      <c r="A412" t="s">
        <v>1996</v>
      </c>
      <c r="B412" t="s">
        <v>1997</v>
      </c>
      <c r="C412" t="s">
        <v>18</v>
      </c>
      <c r="D412">
        <v>2</v>
      </c>
      <c r="E412" t="s">
        <v>17</v>
      </c>
      <c r="F412" t="s">
        <v>380</v>
      </c>
      <c r="G412" t="s">
        <v>608</v>
      </c>
      <c r="H412" t="s">
        <v>604</v>
      </c>
    </row>
    <row r="413" spans="1:8" x14ac:dyDescent="0.2">
      <c r="A413" t="s">
        <v>1998</v>
      </c>
      <c r="B413" t="s">
        <v>1997</v>
      </c>
      <c r="C413" t="s">
        <v>19</v>
      </c>
      <c r="D413">
        <v>2</v>
      </c>
      <c r="E413" t="s">
        <v>17</v>
      </c>
      <c r="F413" t="s">
        <v>380</v>
      </c>
      <c r="G413" t="s">
        <v>608</v>
      </c>
      <c r="H413" t="s">
        <v>604</v>
      </c>
    </row>
    <row r="414" spans="1:8" x14ac:dyDescent="0.2">
      <c r="A414" t="s">
        <v>1999</v>
      </c>
      <c r="B414" t="s">
        <v>1997</v>
      </c>
      <c r="C414" t="s">
        <v>19</v>
      </c>
      <c r="D414">
        <v>2</v>
      </c>
      <c r="E414" t="s">
        <v>17</v>
      </c>
      <c r="F414" t="s">
        <v>380</v>
      </c>
      <c r="G414" t="s">
        <v>608</v>
      </c>
      <c r="H414" t="s">
        <v>604</v>
      </c>
    </row>
    <row r="415" spans="1:8" x14ac:dyDescent="0.2">
      <c r="A415" t="s">
        <v>2000</v>
      </c>
      <c r="B415" t="s">
        <v>1997</v>
      </c>
      <c r="C415" t="s">
        <v>18</v>
      </c>
      <c r="D415">
        <v>2</v>
      </c>
      <c r="E415" t="s">
        <v>17</v>
      </c>
      <c r="F415" t="s">
        <v>380</v>
      </c>
      <c r="G415" t="s">
        <v>608</v>
      </c>
      <c r="H415" t="s">
        <v>604</v>
      </c>
    </row>
    <row r="416" spans="1:8" x14ac:dyDescent="0.2">
      <c r="A416" t="s">
        <v>2001</v>
      </c>
      <c r="B416" t="s">
        <v>1997</v>
      </c>
      <c r="C416" t="s">
        <v>18</v>
      </c>
      <c r="D416">
        <v>2</v>
      </c>
      <c r="E416" t="s">
        <v>17</v>
      </c>
      <c r="F416" t="s">
        <v>380</v>
      </c>
      <c r="G416" t="s">
        <v>608</v>
      </c>
      <c r="H416" t="s">
        <v>604</v>
      </c>
    </row>
    <row r="417" spans="1:8" x14ac:dyDescent="0.2">
      <c r="A417" t="s">
        <v>2002</v>
      </c>
      <c r="B417" t="s">
        <v>2003</v>
      </c>
      <c r="C417" t="s">
        <v>18</v>
      </c>
      <c r="D417">
        <v>2</v>
      </c>
      <c r="E417" t="s">
        <v>17</v>
      </c>
      <c r="F417" t="s">
        <v>380</v>
      </c>
      <c r="G417" t="s">
        <v>608</v>
      </c>
      <c r="H417" t="s">
        <v>604</v>
      </c>
    </row>
    <row r="418" spans="1:8" x14ac:dyDescent="0.2">
      <c r="A418" t="s">
        <v>2004</v>
      </c>
      <c r="B418" t="s">
        <v>2003</v>
      </c>
      <c r="C418" t="s">
        <v>18</v>
      </c>
      <c r="D418">
        <v>2</v>
      </c>
      <c r="E418" t="s">
        <v>17</v>
      </c>
      <c r="F418" t="s">
        <v>380</v>
      </c>
      <c r="G418" t="s">
        <v>608</v>
      </c>
      <c r="H418" t="s">
        <v>604</v>
      </c>
    </row>
    <row r="419" spans="1:8" x14ac:dyDescent="0.2">
      <c r="A419" t="s">
        <v>2005</v>
      </c>
      <c r="B419" t="s">
        <v>2003</v>
      </c>
      <c r="C419" t="s">
        <v>18</v>
      </c>
      <c r="D419">
        <v>2</v>
      </c>
      <c r="E419" t="s">
        <v>17</v>
      </c>
      <c r="F419" t="s">
        <v>380</v>
      </c>
      <c r="G419" t="s">
        <v>608</v>
      </c>
      <c r="H419" t="s">
        <v>604</v>
      </c>
    </row>
    <row r="420" spans="1:8" x14ac:dyDescent="0.2">
      <c r="A420" t="s">
        <v>2006</v>
      </c>
      <c r="B420" t="s">
        <v>2003</v>
      </c>
      <c r="C420" t="s">
        <v>19</v>
      </c>
      <c r="D420">
        <v>2</v>
      </c>
      <c r="E420" t="s">
        <v>17</v>
      </c>
      <c r="F420" t="s">
        <v>380</v>
      </c>
      <c r="G420" t="s">
        <v>608</v>
      </c>
      <c r="H420" t="s">
        <v>604</v>
      </c>
    </row>
    <row r="421" spans="1:8" x14ac:dyDescent="0.2">
      <c r="A421" t="s">
        <v>2007</v>
      </c>
      <c r="B421" t="s">
        <v>2003</v>
      </c>
      <c r="C421" t="s">
        <v>19</v>
      </c>
      <c r="D421">
        <v>2</v>
      </c>
      <c r="E421" t="s">
        <v>17</v>
      </c>
      <c r="F421" t="s">
        <v>380</v>
      </c>
      <c r="G421" t="s">
        <v>608</v>
      </c>
      <c r="H421" t="s">
        <v>604</v>
      </c>
    </row>
    <row r="422" spans="1:8" x14ac:dyDescent="0.2">
      <c r="A422" t="s">
        <v>2008</v>
      </c>
      <c r="B422" t="s">
        <v>2009</v>
      </c>
      <c r="C422" t="s">
        <v>18</v>
      </c>
      <c r="D422">
        <v>2</v>
      </c>
      <c r="E422" t="s">
        <v>17</v>
      </c>
      <c r="F422" t="s">
        <v>380</v>
      </c>
      <c r="G422" t="s">
        <v>608</v>
      </c>
      <c r="H422" t="s">
        <v>604</v>
      </c>
    </row>
    <row r="423" spans="1:8" x14ac:dyDescent="0.2">
      <c r="A423" t="s">
        <v>2010</v>
      </c>
      <c r="B423" t="s">
        <v>2009</v>
      </c>
      <c r="C423" t="s">
        <v>19</v>
      </c>
      <c r="D423">
        <v>2</v>
      </c>
      <c r="E423" t="s">
        <v>17</v>
      </c>
      <c r="F423" t="s">
        <v>380</v>
      </c>
      <c r="G423" t="s">
        <v>608</v>
      </c>
      <c r="H423" t="s">
        <v>604</v>
      </c>
    </row>
    <row r="424" spans="1:8" x14ac:dyDescent="0.2">
      <c r="A424" t="s">
        <v>2011</v>
      </c>
      <c r="B424" t="s">
        <v>2009</v>
      </c>
      <c r="C424" t="s">
        <v>18</v>
      </c>
      <c r="D424">
        <v>2</v>
      </c>
      <c r="E424" t="s">
        <v>17</v>
      </c>
      <c r="F424" t="s">
        <v>380</v>
      </c>
      <c r="G424" t="s">
        <v>608</v>
      </c>
      <c r="H424" t="s">
        <v>604</v>
      </c>
    </row>
    <row r="425" spans="1:8" x14ac:dyDescent="0.2">
      <c r="A425" t="s">
        <v>2012</v>
      </c>
      <c r="B425" t="s">
        <v>2009</v>
      </c>
      <c r="C425" t="s">
        <v>18</v>
      </c>
      <c r="D425">
        <v>2</v>
      </c>
      <c r="E425" t="s">
        <v>17</v>
      </c>
      <c r="F425" t="s">
        <v>380</v>
      </c>
      <c r="G425" t="s">
        <v>608</v>
      </c>
      <c r="H425" t="s">
        <v>604</v>
      </c>
    </row>
    <row r="426" spans="1:8" x14ac:dyDescent="0.2">
      <c r="A426" t="s">
        <v>2013</v>
      </c>
      <c r="B426" t="s">
        <v>2009</v>
      </c>
      <c r="C426" t="s">
        <v>18</v>
      </c>
      <c r="D426">
        <v>2</v>
      </c>
      <c r="E426" t="s">
        <v>17</v>
      </c>
      <c r="F426" t="s">
        <v>380</v>
      </c>
      <c r="G426" t="s">
        <v>608</v>
      </c>
      <c r="H426" t="s">
        <v>604</v>
      </c>
    </row>
    <row r="427" spans="1:8" x14ac:dyDescent="0.2">
      <c r="A427" t="s">
        <v>2014</v>
      </c>
      <c r="B427" t="s">
        <v>2015</v>
      </c>
      <c r="C427" t="s">
        <v>18</v>
      </c>
      <c r="D427">
        <v>2</v>
      </c>
      <c r="E427" t="s">
        <v>21</v>
      </c>
      <c r="F427" t="s">
        <v>380</v>
      </c>
      <c r="G427" t="s">
        <v>608</v>
      </c>
      <c r="H427" t="s">
        <v>604</v>
      </c>
    </row>
    <row r="428" spans="1:8" x14ac:dyDescent="0.2">
      <c r="A428" t="s">
        <v>2016</v>
      </c>
      <c r="B428" t="s">
        <v>2015</v>
      </c>
      <c r="C428" t="s">
        <v>18</v>
      </c>
      <c r="D428">
        <v>2</v>
      </c>
      <c r="E428" t="s">
        <v>17</v>
      </c>
      <c r="F428" t="s">
        <v>380</v>
      </c>
      <c r="G428" t="s">
        <v>608</v>
      </c>
      <c r="H428" t="s">
        <v>604</v>
      </c>
    </row>
    <row r="429" spans="1:8" x14ac:dyDescent="0.2">
      <c r="A429" t="s">
        <v>2017</v>
      </c>
      <c r="B429" t="s">
        <v>2015</v>
      </c>
      <c r="C429" t="s">
        <v>18</v>
      </c>
      <c r="D429">
        <v>2</v>
      </c>
      <c r="E429" t="s">
        <v>17</v>
      </c>
      <c r="F429" t="s">
        <v>380</v>
      </c>
      <c r="G429" t="s">
        <v>608</v>
      </c>
      <c r="H429" t="s">
        <v>604</v>
      </c>
    </row>
    <row r="430" spans="1:8" x14ac:dyDescent="0.2">
      <c r="A430" t="s">
        <v>2018</v>
      </c>
      <c r="B430" t="s">
        <v>2015</v>
      </c>
      <c r="C430" t="s">
        <v>19</v>
      </c>
      <c r="D430">
        <v>2</v>
      </c>
      <c r="E430" t="s">
        <v>17</v>
      </c>
      <c r="F430" t="s">
        <v>380</v>
      </c>
      <c r="G430" t="s">
        <v>608</v>
      </c>
      <c r="H430" t="s">
        <v>604</v>
      </c>
    </row>
    <row r="431" spans="1:8" x14ac:dyDescent="0.2">
      <c r="A431" t="s">
        <v>2019</v>
      </c>
      <c r="B431" t="s">
        <v>2015</v>
      </c>
      <c r="C431" t="s">
        <v>19</v>
      </c>
      <c r="D431">
        <v>2</v>
      </c>
      <c r="E431" t="s">
        <v>17</v>
      </c>
      <c r="F431" t="s">
        <v>380</v>
      </c>
      <c r="G431" t="s">
        <v>608</v>
      </c>
      <c r="H431" t="s">
        <v>604</v>
      </c>
    </row>
    <row r="432" spans="1:8" x14ac:dyDescent="0.2">
      <c r="A432" t="s">
        <v>2020</v>
      </c>
      <c r="B432" t="s">
        <v>2021</v>
      </c>
      <c r="C432" t="s">
        <v>18</v>
      </c>
      <c r="D432">
        <v>2</v>
      </c>
      <c r="E432" t="s">
        <v>17</v>
      </c>
      <c r="F432" t="s">
        <v>381</v>
      </c>
      <c r="G432" t="s">
        <v>608</v>
      </c>
      <c r="H432" t="s">
        <v>604</v>
      </c>
    </row>
    <row r="433" spans="1:8" x14ac:dyDescent="0.2">
      <c r="A433" t="s">
        <v>2022</v>
      </c>
      <c r="B433" t="s">
        <v>2021</v>
      </c>
      <c r="C433" t="s">
        <v>18</v>
      </c>
      <c r="D433">
        <v>2</v>
      </c>
      <c r="E433" t="s">
        <v>17</v>
      </c>
      <c r="F433" t="s">
        <v>380</v>
      </c>
      <c r="G433" t="s">
        <v>608</v>
      </c>
      <c r="H433" t="s">
        <v>604</v>
      </c>
    </row>
    <row r="434" spans="1:8" x14ac:dyDescent="0.2">
      <c r="A434" t="s">
        <v>2023</v>
      </c>
      <c r="B434" t="s">
        <v>2021</v>
      </c>
      <c r="C434" t="s">
        <v>18</v>
      </c>
      <c r="D434">
        <v>2</v>
      </c>
      <c r="E434" t="s">
        <v>17</v>
      </c>
      <c r="F434" t="s">
        <v>380</v>
      </c>
      <c r="G434" t="s">
        <v>608</v>
      </c>
      <c r="H434" t="s">
        <v>604</v>
      </c>
    </row>
    <row r="435" spans="1:8" x14ac:dyDescent="0.2">
      <c r="A435" t="s">
        <v>2024</v>
      </c>
      <c r="B435" t="s">
        <v>2021</v>
      </c>
      <c r="C435" t="s">
        <v>18</v>
      </c>
      <c r="D435">
        <v>2</v>
      </c>
      <c r="E435" t="s">
        <v>17</v>
      </c>
      <c r="F435" t="s">
        <v>380</v>
      </c>
      <c r="G435" t="s">
        <v>608</v>
      </c>
      <c r="H435" t="s">
        <v>604</v>
      </c>
    </row>
    <row r="436" spans="1:8" x14ac:dyDescent="0.2">
      <c r="A436" t="s">
        <v>2025</v>
      </c>
      <c r="B436" t="s">
        <v>2021</v>
      </c>
      <c r="C436" t="s">
        <v>18</v>
      </c>
      <c r="D436">
        <v>2</v>
      </c>
      <c r="E436" t="s">
        <v>17</v>
      </c>
      <c r="F436" t="s">
        <v>380</v>
      </c>
      <c r="G436" t="s">
        <v>608</v>
      </c>
      <c r="H436" t="s">
        <v>604</v>
      </c>
    </row>
    <row r="437" spans="1:8" x14ac:dyDescent="0.2">
      <c r="A437" t="s">
        <v>2026</v>
      </c>
      <c r="B437" t="s">
        <v>2027</v>
      </c>
      <c r="C437" t="s">
        <v>19</v>
      </c>
      <c r="D437">
        <v>2</v>
      </c>
      <c r="E437" t="s">
        <v>17</v>
      </c>
      <c r="F437" t="s">
        <v>380</v>
      </c>
      <c r="G437" t="s">
        <v>608</v>
      </c>
      <c r="H437" t="s">
        <v>604</v>
      </c>
    </row>
    <row r="438" spans="1:8" x14ac:dyDescent="0.2">
      <c r="A438" t="s">
        <v>2028</v>
      </c>
      <c r="B438" t="s">
        <v>2027</v>
      </c>
      <c r="C438" t="s">
        <v>18</v>
      </c>
      <c r="D438">
        <v>2</v>
      </c>
      <c r="E438" t="s">
        <v>17</v>
      </c>
      <c r="F438" t="s">
        <v>380</v>
      </c>
      <c r="G438" t="s">
        <v>608</v>
      </c>
      <c r="H438" t="s">
        <v>604</v>
      </c>
    </row>
    <row r="439" spans="1:8" x14ac:dyDescent="0.2">
      <c r="A439" t="s">
        <v>2029</v>
      </c>
      <c r="B439" t="s">
        <v>2027</v>
      </c>
      <c r="C439" t="s">
        <v>18</v>
      </c>
      <c r="D439">
        <v>2</v>
      </c>
      <c r="E439" t="s">
        <v>17</v>
      </c>
      <c r="F439" t="s">
        <v>380</v>
      </c>
      <c r="G439" t="s">
        <v>608</v>
      </c>
      <c r="H439" t="s">
        <v>604</v>
      </c>
    </row>
    <row r="440" spans="1:8" x14ac:dyDescent="0.2">
      <c r="A440" t="s">
        <v>2030</v>
      </c>
      <c r="B440" t="s">
        <v>2027</v>
      </c>
      <c r="C440" t="s">
        <v>18</v>
      </c>
      <c r="D440">
        <v>2</v>
      </c>
      <c r="E440" t="s">
        <v>17</v>
      </c>
      <c r="F440" t="s">
        <v>380</v>
      </c>
      <c r="G440" t="s">
        <v>608</v>
      </c>
      <c r="H440" t="s">
        <v>604</v>
      </c>
    </row>
    <row r="441" spans="1:8" x14ac:dyDescent="0.2">
      <c r="A441" t="s">
        <v>2031</v>
      </c>
      <c r="B441" t="s">
        <v>2027</v>
      </c>
      <c r="C441" t="s">
        <v>18</v>
      </c>
      <c r="D441">
        <v>2</v>
      </c>
      <c r="E441" t="s">
        <v>17</v>
      </c>
      <c r="F441" t="s">
        <v>380</v>
      </c>
      <c r="G441" t="s">
        <v>608</v>
      </c>
      <c r="H441" t="s">
        <v>604</v>
      </c>
    </row>
    <row r="442" spans="1:8" x14ac:dyDescent="0.2">
      <c r="A442" t="s">
        <v>2032</v>
      </c>
      <c r="B442" t="s">
        <v>2033</v>
      </c>
      <c r="C442" t="s">
        <v>18</v>
      </c>
      <c r="D442">
        <v>2</v>
      </c>
      <c r="E442" t="s">
        <v>17</v>
      </c>
      <c r="F442" t="s">
        <v>380</v>
      </c>
      <c r="G442" t="s">
        <v>608</v>
      </c>
      <c r="H442" t="s">
        <v>604</v>
      </c>
    </row>
    <row r="443" spans="1:8" x14ac:dyDescent="0.2">
      <c r="A443" t="s">
        <v>2034</v>
      </c>
      <c r="B443" t="s">
        <v>2033</v>
      </c>
      <c r="C443" t="s">
        <v>18</v>
      </c>
      <c r="D443">
        <v>2</v>
      </c>
      <c r="E443" t="s">
        <v>17</v>
      </c>
      <c r="F443" t="s">
        <v>380</v>
      </c>
      <c r="G443" t="s">
        <v>608</v>
      </c>
      <c r="H443" t="s">
        <v>604</v>
      </c>
    </row>
    <row r="444" spans="1:8" x14ac:dyDescent="0.2">
      <c r="A444" t="s">
        <v>2035</v>
      </c>
      <c r="B444" t="s">
        <v>2033</v>
      </c>
      <c r="C444" t="s">
        <v>18</v>
      </c>
      <c r="D444">
        <v>2</v>
      </c>
      <c r="E444" t="s">
        <v>17</v>
      </c>
      <c r="F444" t="s">
        <v>380</v>
      </c>
      <c r="G444" t="s">
        <v>608</v>
      </c>
      <c r="H444" t="s">
        <v>604</v>
      </c>
    </row>
    <row r="445" spans="1:8" x14ac:dyDescent="0.2">
      <c r="A445" t="s">
        <v>2036</v>
      </c>
      <c r="B445" t="s">
        <v>2033</v>
      </c>
      <c r="C445" t="s">
        <v>18</v>
      </c>
      <c r="D445">
        <v>2</v>
      </c>
      <c r="E445" t="s">
        <v>17</v>
      </c>
      <c r="F445" t="s">
        <v>380</v>
      </c>
      <c r="G445" t="s">
        <v>608</v>
      </c>
      <c r="H445" t="s">
        <v>604</v>
      </c>
    </row>
    <row r="446" spans="1:8" x14ac:dyDescent="0.2">
      <c r="A446" t="s">
        <v>2037</v>
      </c>
      <c r="B446" t="s">
        <v>2033</v>
      </c>
      <c r="C446" t="s">
        <v>18</v>
      </c>
      <c r="D446">
        <v>2</v>
      </c>
      <c r="E446" t="s">
        <v>21</v>
      </c>
      <c r="F446" t="s">
        <v>380</v>
      </c>
      <c r="G446" t="s">
        <v>608</v>
      </c>
      <c r="H446" t="s">
        <v>604</v>
      </c>
    </row>
    <row r="447" spans="1:8" x14ac:dyDescent="0.2">
      <c r="A447" t="s">
        <v>2038</v>
      </c>
      <c r="B447" t="s">
        <v>2039</v>
      </c>
      <c r="C447" t="s">
        <v>16</v>
      </c>
      <c r="D447">
        <v>4</v>
      </c>
      <c r="E447" t="s">
        <v>17</v>
      </c>
      <c r="F447" t="s">
        <v>380</v>
      </c>
      <c r="G447" t="s">
        <v>608</v>
      </c>
      <c r="H447" t="s">
        <v>604</v>
      </c>
    </row>
    <row r="448" spans="1:8" x14ac:dyDescent="0.2">
      <c r="A448" t="s">
        <v>2040</v>
      </c>
      <c r="B448" t="s">
        <v>2039</v>
      </c>
      <c r="C448" t="s">
        <v>19</v>
      </c>
      <c r="D448">
        <v>2</v>
      </c>
      <c r="E448" t="s">
        <v>17</v>
      </c>
      <c r="F448" t="s">
        <v>380</v>
      </c>
      <c r="G448" t="s">
        <v>608</v>
      </c>
      <c r="H448" t="s">
        <v>604</v>
      </c>
    </row>
    <row r="449" spans="1:8" x14ac:dyDescent="0.2">
      <c r="A449" t="s">
        <v>2041</v>
      </c>
      <c r="B449" t="s">
        <v>2039</v>
      </c>
      <c r="C449" t="s">
        <v>18</v>
      </c>
      <c r="D449">
        <v>2</v>
      </c>
      <c r="E449" t="s">
        <v>17</v>
      </c>
      <c r="F449" t="s">
        <v>380</v>
      </c>
      <c r="G449" t="s">
        <v>608</v>
      </c>
      <c r="H449" t="s">
        <v>604</v>
      </c>
    </row>
    <row r="450" spans="1:8" x14ac:dyDescent="0.2">
      <c r="A450" t="s">
        <v>2042</v>
      </c>
      <c r="B450" t="s">
        <v>2039</v>
      </c>
      <c r="C450" t="s">
        <v>18</v>
      </c>
      <c r="D450">
        <v>2</v>
      </c>
      <c r="E450" t="s">
        <v>17</v>
      </c>
      <c r="F450" t="s">
        <v>380</v>
      </c>
      <c r="G450" t="s">
        <v>608</v>
      </c>
      <c r="H450" t="s">
        <v>604</v>
      </c>
    </row>
    <row r="451" spans="1:8" x14ac:dyDescent="0.2">
      <c r="A451" t="s">
        <v>2043</v>
      </c>
      <c r="B451" t="s">
        <v>2039</v>
      </c>
      <c r="C451" t="s">
        <v>18</v>
      </c>
      <c r="D451">
        <v>2</v>
      </c>
      <c r="E451" t="s">
        <v>17</v>
      </c>
      <c r="F451" t="s">
        <v>380</v>
      </c>
      <c r="G451" t="s">
        <v>608</v>
      </c>
      <c r="H451" t="s">
        <v>604</v>
      </c>
    </row>
    <row r="452" spans="1:8" x14ac:dyDescent="0.2">
      <c r="A452" t="s">
        <v>2044</v>
      </c>
      <c r="B452" t="s">
        <v>2045</v>
      </c>
      <c r="C452" t="s">
        <v>18</v>
      </c>
      <c r="D452">
        <v>2</v>
      </c>
      <c r="E452" t="s">
        <v>17</v>
      </c>
      <c r="F452" t="s">
        <v>380</v>
      </c>
      <c r="G452" t="s">
        <v>608</v>
      </c>
      <c r="H452" t="s">
        <v>604</v>
      </c>
    </row>
    <row r="453" spans="1:8" x14ac:dyDescent="0.2">
      <c r="A453" t="s">
        <v>2046</v>
      </c>
      <c r="B453" t="s">
        <v>2045</v>
      </c>
      <c r="C453" t="s">
        <v>18</v>
      </c>
      <c r="D453">
        <v>2</v>
      </c>
      <c r="E453" t="s">
        <v>17</v>
      </c>
      <c r="F453" t="s">
        <v>380</v>
      </c>
      <c r="G453" t="s">
        <v>608</v>
      </c>
      <c r="H453" t="s">
        <v>604</v>
      </c>
    </row>
    <row r="454" spans="1:8" x14ac:dyDescent="0.2">
      <c r="A454" t="s">
        <v>2047</v>
      </c>
      <c r="B454" t="s">
        <v>2045</v>
      </c>
      <c r="C454" t="s">
        <v>18</v>
      </c>
      <c r="D454">
        <v>2</v>
      </c>
      <c r="E454" t="s">
        <v>17</v>
      </c>
      <c r="F454" t="s">
        <v>380</v>
      </c>
      <c r="G454" t="s">
        <v>608</v>
      </c>
      <c r="H454" t="s">
        <v>604</v>
      </c>
    </row>
    <row r="455" spans="1:8" x14ac:dyDescent="0.2">
      <c r="A455" t="s">
        <v>2048</v>
      </c>
      <c r="B455" t="s">
        <v>2045</v>
      </c>
      <c r="C455" t="s">
        <v>19</v>
      </c>
      <c r="D455">
        <v>2</v>
      </c>
      <c r="E455" t="s">
        <v>17</v>
      </c>
      <c r="F455" t="s">
        <v>380</v>
      </c>
      <c r="G455" t="s">
        <v>608</v>
      </c>
      <c r="H455" t="s">
        <v>604</v>
      </c>
    </row>
    <row r="456" spans="1:8" x14ac:dyDescent="0.2">
      <c r="A456" t="s">
        <v>2049</v>
      </c>
      <c r="B456" t="s">
        <v>2045</v>
      </c>
      <c r="C456" t="s">
        <v>18</v>
      </c>
      <c r="D456">
        <v>2</v>
      </c>
      <c r="E456" t="s">
        <v>21</v>
      </c>
      <c r="F456" t="s">
        <v>380</v>
      </c>
      <c r="G456" t="s">
        <v>608</v>
      </c>
      <c r="H456" t="s">
        <v>604</v>
      </c>
    </row>
    <row r="457" spans="1:8" x14ac:dyDescent="0.2">
      <c r="A457" t="s">
        <v>2050</v>
      </c>
      <c r="B457" t="s">
        <v>2051</v>
      </c>
      <c r="C457" t="s">
        <v>18</v>
      </c>
      <c r="D457">
        <v>2</v>
      </c>
      <c r="E457" t="s">
        <v>17</v>
      </c>
      <c r="F457" t="s">
        <v>380</v>
      </c>
      <c r="G457" t="s">
        <v>608</v>
      </c>
      <c r="H457" t="s">
        <v>604</v>
      </c>
    </row>
    <row r="458" spans="1:8" x14ac:dyDescent="0.2">
      <c r="A458" t="s">
        <v>2052</v>
      </c>
      <c r="B458" t="s">
        <v>2051</v>
      </c>
      <c r="C458" t="s">
        <v>18</v>
      </c>
      <c r="D458">
        <v>2</v>
      </c>
      <c r="E458" t="s">
        <v>17</v>
      </c>
      <c r="F458" t="s">
        <v>380</v>
      </c>
      <c r="G458" t="s">
        <v>608</v>
      </c>
      <c r="H458" t="s">
        <v>604</v>
      </c>
    </row>
    <row r="459" spans="1:8" x14ac:dyDescent="0.2">
      <c r="A459" t="s">
        <v>2053</v>
      </c>
      <c r="B459" t="s">
        <v>2051</v>
      </c>
      <c r="C459" t="s">
        <v>18</v>
      </c>
      <c r="D459">
        <v>2</v>
      </c>
      <c r="E459" t="s">
        <v>17</v>
      </c>
      <c r="F459" t="s">
        <v>380</v>
      </c>
      <c r="G459" t="s">
        <v>608</v>
      </c>
      <c r="H459" t="s">
        <v>604</v>
      </c>
    </row>
    <row r="460" spans="1:8" x14ac:dyDescent="0.2">
      <c r="A460" t="s">
        <v>2054</v>
      </c>
      <c r="B460" t="s">
        <v>2051</v>
      </c>
      <c r="C460" t="s">
        <v>19</v>
      </c>
      <c r="D460">
        <v>3</v>
      </c>
      <c r="E460" t="s">
        <v>17</v>
      </c>
      <c r="F460" t="s">
        <v>381</v>
      </c>
      <c r="G460" t="s">
        <v>608</v>
      </c>
      <c r="H460" t="s">
        <v>604</v>
      </c>
    </row>
    <row r="461" spans="1:8" x14ac:dyDescent="0.2">
      <c r="A461" t="s">
        <v>2055</v>
      </c>
      <c r="B461" t="s">
        <v>2051</v>
      </c>
      <c r="C461" t="s">
        <v>18</v>
      </c>
      <c r="D461">
        <v>2</v>
      </c>
      <c r="E461" t="s">
        <v>17</v>
      </c>
      <c r="F461" t="s">
        <v>380</v>
      </c>
      <c r="G461" t="s">
        <v>608</v>
      </c>
      <c r="H461" t="s">
        <v>604</v>
      </c>
    </row>
    <row r="462" spans="1:8" x14ac:dyDescent="0.2">
      <c r="A462" t="s">
        <v>2056</v>
      </c>
      <c r="B462" t="s">
        <v>2057</v>
      </c>
      <c r="C462" t="s">
        <v>18</v>
      </c>
      <c r="D462">
        <v>2</v>
      </c>
      <c r="E462" t="s">
        <v>17</v>
      </c>
      <c r="F462" t="s">
        <v>380</v>
      </c>
      <c r="G462" t="s">
        <v>608</v>
      </c>
      <c r="H462" t="s">
        <v>604</v>
      </c>
    </row>
    <row r="463" spans="1:8" x14ac:dyDescent="0.2">
      <c r="A463" t="s">
        <v>2058</v>
      </c>
      <c r="B463" t="s">
        <v>2057</v>
      </c>
      <c r="C463" t="s">
        <v>18</v>
      </c>
      <c r="D463">
        <v>2</v>
      </c>
      <c r="E463" t="s">
        <v>17</v>
      </c>
      <c r="F463" t="s">
        <v>380</v>
      </c>
      <c r="G463" t="s">
        <v>608</v>
      </c>
      <c r="H463" t="s">
        <v>604</v>
      </c>
    </row>
    <row r="464" spans="1:8" x14ac:dyDescent="0.2">
      <c r="A464" t="s">
        <v>2059</v>
      </c>
      <c r="B464" t="s">
        <v>2057</v>
      </c>
      <c r="C464" t="s">
        <v>18</v>
      </c>
      <c r="D464">
        <v>2</v>
      </c>
      <c r="E464" t="s">
        <v>17</v>
      </c>
      <c r="F464" t="s">
        <v>380</v>
      </c>
      <c r="G464" t="s">
        <v>608</v>
      </c>
      <c r="H464" t="s">
        <v>604</v>
      </c>
    </row>
    <row r="465" spans="1:8" x14ac:dyDescent="0.2">
      <c r="A465" t="s">
        <v>2060</v>
      </c>
      <c r="B465" t="s">
        <v>2057</v>
      </c>
      <c r="C465" t="s">
        <v>18</v>
      </c>
      <c r="D465">
        <v>2</v>
      </c>
      <c r="E465" t="s">
        <v>17</v>
      </c>
      <c r="F465" t="s">
        <v>380</v>
      </c>
      <c r="G465" t="s">
        <v>608</v>
      </c>
      <c r="H465" t="s">
        <v>604</v>
      </c>
    </row>
    <row r="466" spans="1:8" x14ac:dyDescent="0.2">
      <c r="A466" t="s">
        <v>2061</v>
      </c>
      <c r="B466" t="s">
        <v>2057</v>
      </c>
      <c r="C466" t="s">
        <v>18</v>
      </c>
      <c r="D466">
        <v>2</v>
      </c>
      <c r="E466" t="s">
        <v>17</v>
      </c>
      <c r="F466" t="s">
        <v>380</v>
      </c>
      <c r="G466" t="s">
        <v>608</v>
      </c>
      <c r="H466" t="s">
        <v>604</v>
      </c>
    </row>
    <row r="467" spans="1:8" x14ac:dyDescent="0.2">
      <c r="A467" t="s">
        <v>2062</v>
      </c>
      <c r="B467" t="s">
        <v>2063</v>
      </c>
      <c r="C467" t="s">
        <v>18</v>
      </c>
      <c r="D467">
        <v>3</v>
      </c>
      <c r="E467" t="s">
        <v>17</v>
      </c>
      <c r="F467" t="s">
        <v>380</v>
      </c>
      <c r="G467" t="s">
        <v>608</v>
      </c>
      <c r="H467" t="s">
        <v>604</v>
      </c>
    </row>
    <row r="468" spans="1:8" x14ac:dyDescent="0.2">
      <c r="A468" t="s">
        <v>2064</v>
      </c>
      <c r="B468" t="s">
        <v>2063</v>
      </c>
      <c r="C468" t="s">
        <v>19</v>
      </c>
      <c r="D468">
        <v>2</v>
      </c>
      <c r="E468" t="s">
        <v>17</v>
      </c>
      <c r="F468" t="s">
        <v>380</v>
      </c>
      <c r="G468" t="s">
        <v>608</v>
      </c>
      <c r="H468" t="s">
        <v>604</v>
      </c>
    </row>
    <row r="469" spans="1:8" x14ac:dyDescent="0.2">
      <c r="A469" t="s">
        <v>2065</v>
      </c>
      <c r="B469" t="s">
        <v>2063</v>
      </c>
      <c r="C469" t="s">
        <v>18</v>
      </c>
      <c r="D469">
        <v>3</v>
      </c>
      <c r="E469" t="s">
        <v>17</v>
      </c>
      <c r="F469" t="s">
        <v>380</v>
      </c>
      <c r="G469" t="s">
        <v>608</v>
      </c>
      <c r="H469" t="s">
        <v>604</v>
      </c>
    </row>
    <row r="470" spans="1:8" x14ac:dyDescent="0.2">
      <c r="A470" t="s">
        <v>2066</v>
      </c>
      <c r="B470" t="s">
        <v>2063</v>
      </c>
      <c r="C470" t="s">
        <v>18</v>
      </c>
      <c r="D470" t="s">
        <v>608</v>
      </c>
      <c r="E470" t="s">
        <v>21</v>
      </c>
      <c r="F470" t="s">
        <v>381</v>
      </c>
      <c r="G470" t="s">
        <v>608</v>
      </c>
      <c r="H470" t="s">
        <v>604</v>
      </c>
    </row>
    <row r="471" spans="1:8" x14ac:dyDescent="0.2">
      <c r="A471" t="s">
        <v>2067</v>
      </c>
      <c r="B471" t="s">
        <v>2063</v>
      </c>
      <c r="C471" t="s">
        <v>18</v>
      </c>
      <c r="D471">
        <v>2</v>
      </c>
      <c r="E471" t="s">
        <v>17</v>
      </c>
      <c r="F471" t="s">
        <v>380</v>
      </c>
      <c r="G471" t="s">
        <v>608</v>
      </c>
      <c r="H471" t="s">
        <v>604</v>
      </c>
    </row>
    <row r="472" spans="1:8" x14ac:dyDescent="0.2">
      <c r="A472" t="s">
        <v>2068</v>
      </c>
      <c r="B472" t="s">
        <v>2069</v>
      </c>
      <c r="C472" t="s">
        <v>18</v>
      </c>
      <c r="D472">
        <v>2</v>
      </c>
      <c r="E472" t="s">
        <v>17</v>
      </c>
      <c r="F472" t="s">
        <v>380</v>
      </c>
      <c r="G472" t="s">
        <v>608</v>
      </c>
      <c r="H472" t="s">
        <v>604</v>
      </c>
    </row>
    <row r="473" spans="1:8" x14ac:dyDescent="0.2">
      <c r="A473" t="s">
        <v>2070</v>
      </c>
      <c r="B473" t="s">
        <v>2069</v>
      </c>
      <c r="C473" t="s">
        <v>18</v>
      </c>
      <c r="D473">
        <v>2</v>
      </c>
      <c r="E473" t="s">
        <v>17</v>
      </c>
      <c r="F473" t="s">
        <v>380</v>
      </c>
      <c r="G473" t="s">
        <v>608</v>
      </c>
      <c r="H473" t="s">
        <v>604</v>
      </c>
    </row>
    <row r="474" spans="1:8" x14ac:dyDescent="0.2">
      <c r="A474" t="s">
        <v>2071</v>
      </c>
      <c r="B474" t="s">
        <v>2069</v>
      </c>
      <c r="C474" t="s">
        <v>18</v>
      </c>
      <c r="D474">
        <v>3</v>
      </c>
      <c r="E474" t="s">
        <v>17</v>
      </c>
      <c r="F474" t="s">
        <v>380</v>
      </c>
      <c r="G474" t="s">
        <v>608</v>
      </c>
      <c r="H474" t="s">
        <v>604</v>
      </c>
    </row>
    <row r="475" spans="1:8" x14ac:dyDescent="0.2">
      <c r="A475" t="s">
        <v>2072</v>
      </c>
      <c r="B475" t="s">
        <v>2069</v>
      </c>
      <c r="C475" t="s">
        <v>19</v>
      </c>
      <c r="D475">
        <v>2</v>
      </c>
      <c r="E475" t="s">
        <v>21</v>
      </c>
      <c r="F475" t="s">
        <v>380</v>
      </c>
      <c r="G475" t="s">
        <v>608</v>
      </c>
      <c r="H475" t="s">
        <v>604</v>
      </c>
    </row>
    <row r="476" spans="1:8" x14ac:dyDescent="0.2">
      <c r="A476" t="s">
        <v>2073</v>
      </c>
      <c r="B476" t="s">
        <v>2069</v>
      </c>
      <c r="C476" t="s">
        <v>18</v>
      </c>
      <c r="D476">
        <v>2</v>
      </c>
      <c r="E476" t="s">
        <v>21</v>
      </c>
      <c r="F476" t="s">
        <v>380</v>
      </c>
      <c r="G476" t="s">
        <v>608</v>
      </c>
      <c r="H476" t="s">
        <v>604</v>
      </c>
    </row>
    <row r="477" spans="1:8" x14ac:dyDescent="0.2">
      <c r="A477" t="s">
        <v>2074</v>
      </c>
      <c r="B477" t="s">
        <v>2075</v>
      </c>
      <c r="C477" t="s">
        <v>18</v>
      </c>
      <c r="D477">
        <v>2</v>
      </c>
      <c r="E477" t="s">
        <v>17</v>
      </c>
      <c r="F477" t="s">
        <v>380</v>
      </c>
      <c r="G477" t="s">
        <v>608</v>
      </c>
      <c r="H477" t="s">
        <v>604</v>
      </c>
    </row>
    <row r="478" spans="1:8" x14ac:dyDescent="0.2">
      <c r="A478" t="s">
        <v>2076</v>
      </c>
      <c r="B478" t="s">
        <v>2075</v>
      </c>
      <c r="C478" t="s">
        <v>18</v>
      </c>
      <c r="D478">
        <v>3</v>
      </c>
      <c r="E478" t="s">
        <v>17</v>
      </c>
      <c r="F478" t="s">
        <v>380</v>
      </c>
      <c r="G478" t="s">
        <v>608</v>
      </c>
      <c r="H478" t="s">
        <v>604</v>
      </c>
    </row>
    <row r="479" spans="1:8" x14ac:dyDescent="0.2">
      <c r="A479" t="s">
        <v>2077</v>
      </c>
      <c r="B479" t="s">
        <v>2075</v>
      </c>
      <c r="C479" t="s">
        <v>18</v>
      </c>
      <c r="D479">
        <v>3</v>
      </c>
      <c r="E479" t="s">
        <v>17</v>
      </c>
      <c r="F479" t="s">
        <v>380</v>
      </c>
      <c r="G479" t="s">
        <v>608</v>
      </c>
      <c r="H479" t="s">
        <v>604</v>
      </c>
    </row>
    <row r="480" spans="1:8" x14ac:dyDescent="0.2">
      <c r="A480" t="s">
        <v>2078</v>
      </c>
      <c r="B480" t="s">
        <v>2075</v>
      </c>
      <c r="C480" t="s">
        <v>18</v>
      </c>
      <c r="D480">
        <v>3</v>
      </c>
      <c r="E480" t="s">
        <v>17</v>
      </c>
      <c r="F480" t="s">
        <v>380</v>
      </c>
      <c r="G480" t="s">
        <v>608</v>
      </c>
      <c r="H480" t="s">
        <v>604</v>
      </c>
    </row>
    <row r="481" spans="1:8" x14ac:dyDescent="0.2">
      <c r="A481" t="s">
        <v>2079</v>
      </c>
      <c r="B481" t="s">
        <v>2075</v>
      </c>
      <c r="C481" t="s">
        <v>16</v>
      </c>
      <c r="D481">
        <v>4</v>
      </c>
      <c r="E481" t="s">
        <v>17</v>
      </c>
      <c r="F481" t="s">
        <v>380</v>
      </c>
      <c r="G481" t="s">
        <v>608</v>
      </c>
      <c r="H481" t="s">
        <v>604</v>
      </c>
    </row>
    <row r="482" spans="1:8" x14ac:dyDescent="0.2">
      <c r="A482" t="s">
        <v>2080</v>
      </c>
      <c r="B482" t="s">
        <v>2081</v>
      </c>
      <c r="C482" t="s">
        <v>19</v>
      </c>
      <c r="D482">
        <v>2</v>
      </c>
      <c r="E482" t="s">
        <v>17</v>
      </c>
      <c r="F482" t="s">
        <v>380</v>
      </c>
      <c r="G482" t="s">
        <v>608</v>
      </c>
      <c r="H482" t="s">
        <v>604</v>
      </c>
    </row>
    <row r="483" spans="1:8" x14ac:dyDescent="0.2">
      <c r="A483" t="s">
        <v>2082</v>
      </c>
      <c r="B483" t="s">
        <v>2081</v>
      </c>
      <c r="C483" t="s">
        <v>18</v>
      </c>
      <c r="D483">
        <v>2</v>
      </c>
      <c r="E483" t="s">
        <v>17</v>
      </c>
      <c r="F483" t="s">
        <v>380</v>
      </c>
      <c r="G483" t="s">
        <v>608</v>
      </c>
      <c r="H483" t="s">
        <v>604</v>
      </c>
    </row>
    <row r="484" spans="1:8" x14ac:dyDescent="0.2">
      <c r="A484" t="s">
        <v>2083</v>
      </c>
      <c r="B484" t="s">
        <v>2081</v>
      </c>
      <c r="C484" t="s">
        <v>19</v>
      </c>
      <c r="D484">
        <v>2</v>
      </c>
      <c r="E484" t="s">
        <v>17</v>
      </c>
      <c r="F484" t="s">
        <v>380</v>
      </c>
      <c r="G484" t="s">
        <v>608</v>
      </c>
      <c r="H484" t="s">
        <v>604</v>
      </c>
    </row>
    <row r="485" spans="1:8" x14ac:dyDescent="0.2">
      <c r="A485" t="s">
        <v>2084</v>
      </c>
      <c r="B485" t="s">
        <v>2081</v>
      </c>
      <c r="C485" t="s">
        <v>18</v>
      </c>
      <c r="D485">
        <v>3</v>
      </c>
      <c r="E485" t="s">
        <v>21</v>
      </c>
      <c r="F485" t="s">
        <v>380</v>
      </c>
      <c r="G485" t="s">
        <v>608</v>
      </c>
      <c r="H485" t="s">
        <v>604</v>
      </c>
    </row>
    <row r="486" spans="1:8" x14ac:dyDescent="0.2">
      <c r="A486" t="s">
        <v>2085</v>
      </c>
      <c r="B486" t="s">
        <v>2081</v>
      </c>
      <c r="C486" t="s">
        <v>16</v>
      </c>
      <c r="D486">
        <v>4</v>
      </c>
      <c r="E486" t="s">
        <v>21</v>
      </c>
      <c r="F486" t="s">
        <v>380</v>
      </c>
      <c r="G486" t="s">
        <v>608</v>
      </c>
      <c r="H486" t="s">
        <v>604</v>
      </c>
    </row>
    <row r="487" spans="1:8" x14ac:dyDescent="0.2">
      <c r="A487" t="s">
        <v>2086</v>
      </c>
      <c r="B487" t="s">
        <v>2087</v>
      </c>
      <c r="C487" t="s">
        <v>16</v>
      </c>
      <c r="D487">
        <v>4</v>
      </c>
      <c r="E487" t="s">
        <v>21</v>
      </c>
      <c r="F487" t="s">
        <v>381</v>
      </c>
      <c r="G487" t="s">
        <v>608</v>
      </c>
      <c r="H487" t="s">
        <v>604</v>
      </c>
    </row>
    <row r="488" spans="1:8" x14ac:dyDescent="0.2">
      <c r="A488" t="s">
        <v>2088</v>
      </c>
      <c r="B488" t="s">
        <v>2087</v>
      </c>
      <c r="C488" t="s">
        <v>18</v>
      </c>
      <c r="D488">
        <v>2</v>
      </c>
      <c r="E488" t="s">
        <v>17</v>
      </c>
      <c r="F488" t="s">
        <v>380</v>
      </c>
      <c r="G488" t="s">
        <v>608</v>
      </c>
      <c r="H488" t="s">
        <v>604</v>
      </c>
    </row>
    <row r="489" spans="1:8" x14ac:dyDescent="0.2">
      <c r="A489" t="s">
        <v>2089</v>
      </c>
      <c r="B489" t="s">
        <v>2087</v>
      </c>
      <c r="C489" t="s">
        <v>18</v>
      </c>
      <c r="D489">
        <v>3</v>
      </c>
      <c r="E489" t="s">
        <v>17</v>
      </c>
      <c r="F489" t="s">
        <v>380</v>
      </c>
      <c r="G489" t="s">
        <v>608</v>
      </c>
      <c r="H489" t="s">
        <v>604</v>
      </c>
    </row>
    <row r="490" spans="1:8" x14ac:dyDescent="0.2">
      <c r="A490" t="s">
        <v>2090</v>
      </c>
      <c r="B490" t="s">
        <v>2087</v>
      </c>
      <c r="C490" t="s">
        <v>16</v>
      </c>
      <c r="D490">
        <v>4</v>
      </c>
      <c r="E490" t="s">
        <v>21</v>
      </c>
      <c r="F490" t="s">
        <v>380</v>
      </c>
      <c r="G490" t="s">
        <v>608</v>
      </c>
      <c r="H490" t="s">
        <v>604</v>
      </c>
    </row>
    <row r="491" spans="1:8" x14ac:dyDescent="0.2">
      <c r="A491" t="s">
        <v>2091</v>
      </c>
      <c r="B491" t="s">
        <v>2087</v>
      </c>
      <c r="C491" t="s">
        <v>16</v>
      </c>
      <c r="D491">
        <v>4</v>
      </c>
      <c r="E491" t="s">
        <v>17</v>
      </c>
      <c r="F491" t="s">
        <v>380</v>
      </c>
      <c r="G491" t="s">
        <v>608</v>
      </c>
      <c r="H491" t="s">
        <v>604</v>
      </c>
    </row>
    <row r="492" spans="1:8" x14ac:dyDescent="0.2">
      <c r="A492" t="s">
        <v>2092</v>
      </c>
      <c r="B492" t="s">
        <v>2093</v>
      </c>
      <c r="C492" t="s">
        <v>16</v>
      </c>
      <c r="D492">
        <v>4</v>
      </c>
      <c r="E492" t="s">
        <v>17</v>
      </c>
      <c r="F492" t="s">
        <v>380</v>
      </c>
      <c r="G492" t="s">
        <v>608</v>
      </c>
      <c r="H492" t="s">
        <v>604</v>
      </c>
    </row>
    <row r="493" spans="1:8" x14ac:dyDescent="0.2">
      <c r="A493" t="s">
        <v>2094</v>
      </c>
      <c r="B493" t="s">
        <v>2093</v>
      </c>
      <c r="C493" t="s">
        <v>16</v>
      </c>
      <c r="D493">
        <v>4</v>
      </c>
      <c r="E493" t="s">
        <v>17</v>
      </c>
      <c r="F493" t="s">
        <v>380</v>
      </c>
      <c r="G493" t="s">
        <v>608</v>
      </c>
      <c r="H493" t="s">
        <v>604</v>
      </c>
    </row>
    <row r="494" spans="1:8" x14ac:dyDescent="0.2">
      <c r="A494" t="s">
        <v>2095</v>
      </c>
      <c r="B494" t="s">
        <v>2093</v>
      </c>
      <c r="C494" t="s">
        <v>16</v>
      </c>
      <c r="D494" t="s">
        <v>608</v>
      </c>
      <c r="E494" t="s">
        <v>17</v>
      </c>
      <c r="F494" t="s">
        <v>381</v>
      </c>
      <c r="G494" t="s">
        <v>608</v>
      </c>
      <c r="H494" t="s">
        <v>604</v>
      </c>
    </row>
    <row r="495" spans="1:8" x14ac:dyDescent="0.2">
      <c r="A495" t="s">
        <v>2096</v>
      </c>
      <c r="B495" t="s">
        <v>2093</v>
      </c>
      <c r="C495" t="s">
        <v>16</v>
      </c>
      <c r="D495">
        <v>4</v>
      </c>
      <c r="E495" t="s">
        <v>17</v>
      </c>
      <c r="F495" t="s">
        <v>381</v>
      </c>
      <c r="G495" t="s">
        <v>608</v>
      </c>
      <c r="H495" t="s">
        <v>604</v>
      </c>
    </row>
    <row r="496" spans="1:8" x14ac:dyDescent="0.2">
      <c r="A496" t="s">
        <v>2097</v>
      </c>
      <c r="B496" t="s">
        <v>2093</v>
      </c>
      <c r="C496" t="s">
        <v>18</v>
      </c>
      <c r="D496">
        <v>3</v>
      </c>
      <c r="E496" t="s">
        <v>17</v>
      </c>
      <c r="F496" t="s">
        <v>381</v>
      </c>
      <c r="G496" t="s">
        <v>608</v>
      </c>
      <c r="H496" t="s">
        <v>604</v>
      </c>
    </row>
    <row r="497" spans="1:8" x14ac:dyDescent="0.2">
      <c r="A497" t="s">
        <v>2098</v>
      </c>
      <c r="B497" t="s">
        <v>2099</v>
      </c>
      <c r="C497" t="s">
        <v>18</v>
      </c>
      <c r="D497">
        <v>3</v>
      </c>
      <c r="E497" t="s">
        <v>17</v>
      </c>
      <c r="F497" t="s">
        <v>380</v>
      </c>
      <c r="G497" t="s">
        <v>608</v>
      </c>
      <c r="H497" t="s">
        <v>604</v>
      </c>
    </row>
    <row r="498" spans="1:8" x14ac:dyDescent="0.2">
      <c r="A498" t="s">
        <v>2100</v>
      </c>
      <c r="B498" t="s">
        <v>2099</v>
      </c>
      <c r="C498" t="s">
        <v>16</v>
      </c>
      <c r="D498">
        <v>4</v>
      </c>
      <c r="E498" t="s">
        <v>17</v>
      </c>
      <c r="F498" t="s">
        <v>380</v>
      </c>
      <c r="G498" t="s">
        <v>608</v>
      </c>
      <c r="H498" t="s">
        <v>604</v>
      </c>
    </row>
    <row r="499" spans="1:8" x14ac:dyDescent="0.2">
      <c r="A499" t="s">
        <v>2101</v>
      </c>
      <c r="B499" t="s">
        <v>2099</v>
      </c>
      <c r="C499" t="s">
        <v>16</v>
      </c>
      <c r="D499">
        <v>4</v>
      </c>
      <c r="E499" t="s">
        <v>17</v>
      </c>
      <c r="F499" t="s">
        <v>380</v>
      </c>
      <c r="G499" t="s">
        <v>608</v>
      </c>
      <c r="H499" t="s">
        <v>604</v>
      </c>
    </row>
    <row r="500" spans="1:8" x14ac:dyDescent="0.2">
      <c r="A500" t="s">
        <v>2102</v>
      </c>
      <c r="B500" t="s">
        <v>2099</v>
      </c>
      <c r="C500" t="s">
        <v>18</v>
      </c>
      <c r="D500">
        <v>1</v>
      </c>
      <c r="E500" t="s">
        <v>17</v>
      </c>
      <c r="F500" t="s">
        <v>380</v>
      </c>
      <c r="G500" t="s">
        <v>608</v>
      </c>
      <c r="H500" t="s">
        <v>604</v>
      </c>
    </row>
    <row r="501" spans="1:8" x14ac:dyDescent="0.2">
      <c r="A501" t="s">
        <v>2103</v>
      </c>
      <c r="B501" t="s">
        <v>2099</v>
      </c>
      <c r="C501" t="s">
        <v>16</v>
      </c>
      <c r="D501" t="s">
        <v>608</v>
      </c>
      <c r="E501" t="s">
        <v>17</v>
      </c>
      <c r="F501" t="s">
        <v>381</v>
      </c>
      <c r="G501" t="s">
        <v>608</v>
      </c>
      <c r="H501" t="s">
        <v>604</v>
      </c>
    </row>
    <row r="502" spans="1:8" x14ac:dyDescent="0.2">
      <c r="A502" t="s">
        <v>2104</v>
      </c>
      <c r="B502" t="s">
        <v>2105</v>
      </c>
      <c r="C502" t="s">
        <v>18</v>
      </c>
      <c r="D502">
        <v>2</v>
      </c>
      <c r="E502" t="s">
        <v>17</v>
      </c>
      <c r="F502" t="s">
        <v>380</v>
      </c>
      <c r="G502" t="s">
        <v>608</v>
      </c>
      <c r="H502" t="s">
        <v>604</v>
      </c>
    </row>
    <row r="503" spans="1:8" x14ac:dyDescent="0.2">
      <c r="A503" t="s">
        <v>2106</v>
      </c>
      <c r="B503" t="s">
        <v>2105</v>
      </c>
      <c r="C503" t="s">
        <v>18</v>
      </c>
      <c r="D503">
        <v>1</v>
      </c>
      <c r="E503" t="s">
        <v>21</v>
      </c>
      <c r="F503" t="s">
        <v>380</v>
      </c>
      <c r="G503" t="s">
        <v>608</v>
      </c>
      <c r="H503" t="s">
        <v>604</v>
      </c>
    </row>
    <row r="504" spans="1:8" x14ac:dyDescent="0.2">
      <c r="A504" t="s">
        <v>2107</v>
      </c>
      <c r="B504" t="s">
        <v>2105</v>
      </c>
      <c r="C504" t="s">
        <v>16</v>
      </c>
      <c r="D504">
        <v>4</v>
      </c>
      <c r="E504" t="s">
        <v>21</v>
      </c>
      <c r="F504" t="s">
        <v>380</v>
      </c>
      <c r="G504" t="s">
        <v>608</v>
      </c>
      <c r="H504" t="s">
        <v>604</v>
      </c>
    </row>
    <row r="505" spans="1:8" x14ac:dyDescent="0.2">
      <c r="A505" t="s">
        <v>2108</v>
      </c>
      <c r="B505" t="s">
        <v>2105</v>
      </c>
      <c r="C505" t="s">
        <v>18</v>
      </c>
      <c r="D505">
        <v>3</v>
      </c>
      <c r="E505" t="s">
        <v>17</v>
      </c>
      <c r="F505" t="s">
        <v>380</v>
      </c>
      <c r="G505" t="s">
        <v>608</v>
      </c>
      <c r="H505" t="s">
        <v>604</v>
      </c>
    </row>
    <row r="506" spans="1:8" x14ac:dyDescent="0.2">
      <c r="A506" t="s">
        <v>2109</v>
      </c>
      <c r="B506" t="s">
        <v>2105</v>
      </c>
      <c r="C506" t="s">
        <v>16</v>
      </c>
      <c r="D506">
        <v>4</v>
      </c>
      <c r="E506" t="s">
        <v>17</v>
      </c>
      <c r="F506" t="s">
        <v>380</v>
      </c>
      <c r="G506" t="s">
        <v>608</v>
      </c>
      <c r="H506" t="s">
        <v>604</v>
      </c>
    </row>
    <row r="507" spans="1:8" x14ac:dyDescent="0.2">
      <c r="A507" t="s">
        <v>2110</v>
      </c>
      <c r="B507" t="s">
        <v>2111</v>
      </c>
      <c r="C507" t="s">
        <v>16</v>
      </c>
      <c r="D507">
        <v>4</v>
      </c>
      <c r="E507" t="s">
        <v>17</v>
      </c>
      <c r="F507" t="s">
        <v>380</v>
      </c>
      <c r="G507" t="s">
        <v>608</v>
      </c>
      <c r="H507" t="s">
        <v>604</v>
      </c>
    </row>
    <row r="508" spans="1:8" x14ac:dyDescent="0.2">
      <c r="A508" t="s">
        <v>2112</v>
      </c>
      <c r="B508" t="s">
        <v>2111</v>
      </c>
      <c r="C508" t="s">
        <v>16</v>
      </c>
      <c r="D508">
        <v>4</v>
      </c>
      <c r="E508" t="s">
        <v>17</v>
      </c>
      <c r="F508" t="s">
        <v>380</v>
      </c>
      <c r="G508" t="s">
        <v>608</v>
      </c>
      <c r="H508" t="s">
        <v>604</v>
      </c>
    </row>
    <row r="509" spans="1:8" x14ac:dyDescent="0.2">
      <c r="A509" t="s">
        <v>2113</v>
      </c>
      <c r="B509" t="s">
        <v>2111</v>
      </c>
      <c r="C509" t="s">
        <v>19</v>
      </c>
      <c r="D509">
        <v>3</v>
      </c>
      <c r="E509" t="s">
        <v>21</v>
      </c>
      <c r="F509" t="s">
        <v>380</v>
      </c>
      <c r="G509" t="s">
        <v>608</v>
      </c>
      <c r="H509" t="s">
        <v>604</v>
      </c>
    </row>
    <row r="510" spans="1:8" x14ac:dyDescent="0.2">
      <c r="A510" t="s">
        <v>2114</v>
      </c>
      <c r="B510" t="s">
        <v>2111</v>
      </c>
      <c r="C510" t="s">
        <v>16</v>
      </c>
      <c r="D510">
        <v>4</v>
      </c>
      <c r="E510" t="s">
        <v>17</v>
      </c>
      <c r="F510" t="s">
        <v>380</v>
      </c>
      <c r="G510" t="s">
        <v>608</v>
      </c>
      <c r="H510" t="s">
        <v>604</v>
      </c>
    </row>
    <row r="511" spans="1:8" x14ac:dyDescent="0.2">
      <c r="A511" t="s">
        <v>2115</v>
      </c>
      <c r="B511" t="s">
        <v>2111</v>
      </c>
      <c r="C511" t="s">
        <v>16</v>
      </c>
      <c r="D511">
        <v>4</v>
      </c>
      <c r="E511" t="s">
        <v>21</v>
      </c>
      <c r="F511" t="s">
        <v>380</v>
      </c>
      <c r="G511" t="s">
        <v>608</v>
      </c>
      <c r="H511" t="s">
        <v>604</v>
      </c>
    </row>
    <row r="512" spans="1:8" x14ac:dyDescent="0.2">
      <c r="A512" t="s">
        <v>2116</v>
      </c>
      <c r="B512" t="s">
        <v>1319</v>
      </c>
      <c r="C512" t="s">
        <v>16</v>
      </c>
      <c r="D512">
        <v>4</v>
      </c>
      <c r="E512" t="s">
        <v>17</v>
      </c>
      <c r="F512" t="s">
        <v>380</v>
      </c>
      <c r="G512" t="s">
        <v>608</v>
      </c>
      <c r="H512" t="s">
        <v>52</v>
      </c>
    </row>
    <row r="513" spans="1:8" x14ac:dyDescent="0.2">
      <c r="A513" t="s">
        <v>2117</v>
      </c>
      <c r="B513" t="s">
        <v>1319</v>
      </c>
      <c r="C513" t="s">
        <v>16</v>
      </c>
      <c r="D513" t="s">
        <v>16</v>
      </c>
      <c r="E513" t="s">
        <v>17</v>
      </c>
      <c r="F513" t="s">
        <v>381</v>
      </c>
      <c r="G513" t="s">
        <v>608</v>
      </c>
      <c r="H513" t="s">
        <v>52</v>
      </c>
    </row>
    <row r="514" spans="1:8" x14ac:dyDescent="0.2">
      <c r="A514" t="s">
        <v>2118</v>
      </c>
      <c r="B514" t="s">
        <v>1319</v>
      </c>
      <c r="C514" t="s">
        <v>16</v>
      </c>
      <c r="D514">
        <v>4</v>
      </c>
      <c r="E514" t="s">
        <v>17</v>
      </c>
      <c r="F514" t="s">
        <v>380</v>
      </c>
      <c r="G514" t="s">
        <v>608</v>
      </c>
      <c r="H514" t="s">
        <v>52</v>
      </c>
    </row>
    <row r="515" spans="1:8" x14ac:dyDescent="0.2">
      <c r="A515" t="s">
        <v>2119</v>
      </c>
      <c r="B515" t="s">
        <v>1319</v>
      </c>
      <c r="C515" t="s">
        <v>16</v>
      </c>
      <c r="D515">
        <v>4</v>
      </c>
      <c r="E515" t="s">
        <v>17</v>
      </c>
      <c r="F515" t="s">
        <v>380</v>
      </c>
      <c r="G515" t="s">
        <v>608</v>
      </c>
      <c r="H515" t="s">
        <v>52</v>
      </c>
    </row>
    <row r="516" spans="1:8" x14ac:dyDescent="0.2">
      <c r="A516" t="s">
        <v>2120</v>
      </c>
      <c r="B516" t="s">
        <v>1319</v>
      </c>
      <c r="C516" t="s">
        <v>16</v>
      </c>
      <c r="D516">
        <v>4</v>
      </c>
      <c r="E516" t="s">
        <v>17</v>
      </c>
      <c r="F516" t="s">
        <v>380</v>
      </c>
      <c r="G516" t="s">
        <v>608</v>
      </c>
      <c r="H516" t="s">
        <v>52</v>
      </c>
    </row>
    <row r="517" spans="1:8" x14ac:dyDescent="0.2">
      <c r="A517" t="s">
        <v>2121</v>
      </c>
      <c r="B517" t="s">
        <v>1321</v>
      </c>
      <c r="C517" t="s">
        <v>18</v>
      </c>
      <c r="D517">
        <v>3</v>
      </c>
      <c r="E517" t="s">
        <v>17</v>
      </c>
      <c r="F517" t="s">
        <v>380</v>
      </c>
      <c r="G517" t="s">
        <v>608</v>
      </c>
      <c r="H517" t="s">
        <v>52</v>
      </c>
    </row>
    <row r="518" spans="1:8" x14ac:dyDescent="0.2">
      <c r="A518" t="s">
        <v>2122</v>
      </c>
      <c r="B518" t="s">
        <v>1321</v>
      </c>
      <c r="C518" t="s">
        <v>16</v>
      </c>
      <c r="D518">
        <v>4</v>
      </c>
      <c r="E518" t="s">
        <v>17</v>
      </c>
      <c r="F518" t="s">
        <v>380</v>
      </c>
      <c r="G518" t="s">
        <v>608</v>
      </c>
      <c r="H518" t="s">
        <v>52</v>
      </c>
    </row>
    <row r="519" spans="1:8" x14ac:dyDescent="0.2">
      <c r="A519" t="s">
        <v>2123</v>
      </c>
      <c r="B519" t="s">
        <v>1321</v>
      </c>
      <c r="C519" t="s">
        <v>16</v>
      </c>
      <c r="D519">
        <v>4</v>
      </c>
      <c r="E519" t="s">
        <v>17</v>
      </c>
      <c r="F519" t="s">
        <v>380</v>
      </c>
      <c r="G519" t="s">
        <v>608</v>
      </c>
      <c r="H519" t="s">
        <v>52</v>
      </c>
    </row>
    <row r="520" spans="1:8" x14ac:dyDescent="0.2">
      <c r="A520" t="s">
        <v>2124</v>
      </c>
      <c r="B520" t="s">
        <v>1321</v>
      </c>
      <c r="C520" t="s">
        <v>16</v>
      </c>
      <c r="D520">
        <v>4</v>
      </c>
      <c r="E520" t="s">
        <v>17</v>
      </c>
      <c r="F520" t="s">
        <v>380</v>
      </c>
      <c r="G520" t="s">
        <v>608</v>
      </c>
      <c r="H520" t="s">
        <v>52</v>
      </c>
    </row>
    <row r="521" spans="1:8" x14ac:dyDescent="0.2">
      <c r="A521" t="s">
        <v>2125</v>
      </c>
      <c r="B521" t="s">
        <v>1321</v>
      </c>
      <c r="C521" t="s">
        <v>16</v>
      </c>
      <c r="D521">
        <v>4</v>
      </c>
      <c r="E521" t="s">
        <v>17</v>
      </c>
      <c r="F521" t="s">
        <v>380</v>
      </c>
      <c r="G521" t="s">
        <v>608</v>
      </c>
      <c r="H521" t="s">
        <v>52</v>
      </c>
    </row>
    <row r="522" spans="1:8" x14ac:dyDescent="0.2">
      <c r="A522" t="s">
        <v>2126</v>
      </c>
      <c r="B522" t="s">
        <v>1323</v>
      </c>
      <c r="C522" t="s">
        <v>19</v>
      </c>
      <c r="D522">
        <v>3</v>
      </c>
      <c r="E522" t="s">
        <v>17</v>
      </c>
      <c r="F522" t="s">
        <v>380</v>
      </c>
      <c r="G522" t="s">
        <v>608</v>
      </c>
      <c r="H522" t="s">
        <v>52</v>
      </c>
    </row>
    <row r="523" spans="1:8" x14ac:dyDescent="0.2">
      <c r="A523" t="s">
        <v>2127</v>
      </c>
      <c r="B523" t="s">
        <v>1323</v>
      </c>
      <c r="C523" t="s">
        <v>16</v>
      </c>
      <c r="D523">
        <v>4</v>
      </c>
      <c r="E523" t="s">
        <v>17</v>
      </c>
      <c r="F523" t="s">
        <v>380</v>
      </c>
      <c r="G523" t="s">
        <v>608</v>
      </c>
      <c r="H523" t="s">
        <v>52</v>
      </c>
    </row>
    <row r="524" spans="1:8" x14ac:dyDescent="0.2">
      <c r="A524" t="s">
        <v>2128</v>
      </c>
      <c r="B524" t="s">
        <v>1323</v>
      </c>
      <c r="C524" t="s">
        <v>16</v>
      </c>
      <c r="D524">
        <v>4</v>
      </c>
      <c r="E524" t="s">
        <v>17</v>
      </c>
      <c r="F524" t="s">
        <v>380</v>
      </c>
      <c r="G524" t="s">
        <v>608</v>
      </c>
      <c r="H524" t="s">
        <v>52</v>
      </c>
    </row>
    <row r="525" spans="1:8" x14ac:dyDescent="0.2">
      <c r="A525" t="s">
        <v>2129</v>
      </c>
      <c r="B525" t="s">
        <v>1323</v>
      </c>
      <c r="C525" t="s">
        <v>16</v>
      </c>
      <c r="D525">
        <v>4</v>
      </c>
      <c r="E525" t="s">
        <v>17</v>
      </c>
      <c r="F525" t="s">
        <v>380</v>
      </c>
      <c r="G525" t="s">
        <v>608</v>
      </c>
      <c r="H525" t="s">
        <v>52</v>
      </c>
    </row>
    <row r="526" spans="1:8" x14ac:dyDescent="0.2">
      <c r="A526" t="s">
        <v>2130</v>
      </c>
      <c r="B526" t="s">
        <v>1323</v>
      </c>
      <c r="C526" t="s">
        <v>18</v>
      </c>
      <c r="D526">
        <v>3</v>
      </c>
      <c r="E526" t="s">
        <v>17</v>
      </c>
      <c r="F526" t="s">
        <v>380</v>
      </c>
      <c r="G526" t="s">
        <v>608</v>
      </c>
      <c r="H526" t="s">
        <v>52</v>
      </c>
    </row>
    <row r="527" spans="1:8" x14ac:dyDescent="0.2">
      <c r="A527" t="s">
        <v>2131</v>
      </c>
      <c r="B527" t="s">
        <v>1331</v>
      </c>
      <c r="C527" t="s">
        <v>16</v>
      </c>
      <c r="D527" t="s">
        <v>16</v>
      </c>
      <c r="E527" t="s">
        <v>17</v>
      </c>
      <c r="F527" t="s">
        <v>381</v>
      </c>
      <c r="G527" t="s">
        <v>608</v>
      </c>
      <c r="H527" t="s">
        <v>52</v>
      </c>
    </row>
    <row r="528" spans="1:8" x14ac:dyDescent="0.2">
      <c r="A528" t="s">
        <v>2132</v>
      </c>
      <c r="B528" t="s">
        <v>1331</v>
      </c>
      <c r="C528" t="s">
        <v>19</v>
      </c>
      <c r="D528">
        <v>1</v>
      </c>
      <c r="E528" t="s">
        <v>17</v>
      </c>
      <c r="F528" t="s">
        <v>380</v>
      </c>
      <c r="G528" t="s">
        <v>608</v>
      </c>
      <c r="H528" t="s">
        <v>52</v>
      </c>
    </row>
    <row r="529" spans="1:8" x14ac:dyDescent="0.2">
      <c r="A529" t="s">
        <v>2133</v>
      </c>
      <c r="B529" t="s">
        <v>1331</v>
      </c>
      <c r="C529" t="s">
        <v>16</v>
      </c>
      <c r="D529" t="s">
        <v>16</v>
      </c>
      <c r="E529" t="s">
        <v>17</v>
      </c>
      <c r="F529" t="s">
        <v>381</v>
      </c>
      <c r="G529" t="s">
        <v>608</v>
      </c>
      <c r="H529" t="s">
        <v>52</v>
      </c>
    </row>
    <row r="530" spans="1:8" x14ac:dyDescent="0.2">
      <c r="A530" t="s">
        <v>2134</v>
      </c>
      <c r="B530" t="s">
        <v>1331</v>
      </c>
      <c r="C530" t="s">
        <v>16</v>
      </c>
      <c r="D530" t="s">
        <v>16</v>
      </c>
      <c r="E530" t="s">
        <v>17</v>
      </c>
      <c r="F530" t="s">
        <v>381</v>
      </c>
      <c r="G530" t="s">
        <v>608</v>
      </c>
      <c r="H530" t="s">
        <v>52</v>
      </c>
    </row>
    <row r="531" spans="1:8" x14ac:dyDescent="0.2">
      <c r="A531" t="s">
        <v>2135</v>
      </c>
      <c r="B531" t="s">
        <v>1331</v>
      </c>
      <c r="C531" t="s">
        <v>16</v>
      </c>
      <c r="D531" t="s">
        <v>16</v>
      </c>
      <c r="E531" t="s">
        <v>21</v>
      </c>
      <c r="F531" t="s">
        <v>381</v>
      </c>
      <c r="G531" t="s">
        <v>608</v>
      </c>
      <c r="H531" t="s">
        <v>52</v>
      </c>
    </row>
    <row r="532" spans="1:8" x14ac:dyDescent="0.2">
      <c r="A532" t="s">
        <v>2136</v>
      </c>
      <c r="B532" t="s">
        <v>1333</v>
      </c>
      <c r="C532" t="s">
        <v>16</v>
      </c>
      <c r="D532" t="s">
        <v>16</v>
      </c>
      <c r="E532" t="s">
        <v>17</v>
      </c>
      <c r="F532" t="s">
        <v>381</v>
      </c>
      <c r="G532" t="s">
        <v>608</v>
      </c>
      <c r="H532" t="s">
        <v>52</v>
      </c>
    </row>
    <row r="533" spans="1:8" x14ac:dyDescent="0.2">
      <c r="A533" t="s">
        <v>2137</v>
      </c>
      <c r="B533" t="s">
        <v>1333</v>
      </c>
      <c r="C533" t="s">
        <v>16</v>
      </c>
      <c r="D533" t="s">
        <v>16</v>
      </c>
      <c r="E533" t="s">
        <v>17</v>
      </c>
      <c r="F533" t="s">
        <v>381</v>
      </c>
      <c r="G533" t="s">
        <v>608</v>
      </c>
      <c r="H533" t="s">
        <v>52</v>
      </c>
    </row>
    <row r="534" spans="1:8" x14ac:dyDescent="0.2">
      <c r="A534" t="s">
        <v>2138</v>
      </c>
      <c r="B534" t="s">
        <v>1333</v>
      </c>
      <c r="C534" t="s">
        <v>16</v>
      </c>
      <c r="D534" t="s">
        <v>16</v>
      </c>
      <c r="E534" t="s">
        <v>17</v>
      </c>
      <c r="F534" t="s">
        <v>381</v>
      </c>
      <c r="G534" t="s">
        <v>608</v>
      </c>
      <c r="H534" t="s">
        <v>52</v>
      </c>
    </row>
    <row r="535" spans="1:8" x14ac:dyDescent="0.2">
      <c r="A535" t="s">
        <v>2139</v>
      </c>
      <c r="B535" t="s">
        <v>1333</v>
      </c>
      <c r="C535" t="s">
        <v>19</v>
      </c>
      <c r="D535">
        <v>2</v>
      </c>
      <c r="E535" t="s">
        <v>17</v>
      </c>
      <c r="F535" t="s">
        <v>380</v>
      </c>
      <c r="G535" t="s">
        <v>608</v>
      </c>
      <c r="H535" t="s">
        <v>52</v>
      </c>
    </row>
    <row r="536" spans="1:8" x14ac:dyDescent="0.2">
      <c r="A536" t="s">
        <v>2140</v>
      </c>
      <c r="B536" t="s">
        <v>1333</v>
      </c>
      <c r="C536" t="s">
        <v>16</v>
      </c>
      <c r="D536" t="s">
        <v>16</v>
      </c>
      <c r="E536" t="s">
        <v>17</v>
      </c>
      <c r="F536" t="s">
        <v>381</v>
      </c>
      <c r="G536" t="s">
        <v>608</v>
      </c>
      <c r="H536" t="s">
        <v>52</v>
      </c>
    </row>
    <row r="537" spans="1:8" x14ac:dyDescent="0.2">
      <c r="A537" t="s">
        <v>2141</v>
      </c>
      <c r="B537" t="s">
        <v>1335</v>
      </c>
      <c r="C537" t="s">
        <v>18</v>
      </c>
      <c r="D537">
        <v>2</v>
      </c>
      <c r="E537" t="s">
        <v>17</v>
      </c>
      <c r="F537" t="s">
        <v>380</v>
      </c>
      <c r="G537" t="s">
        <v>608</v>
      </c>
      <c r="H537" t="s">
        <v>52</v>
      </c>
    </row>
    <row r="538" spans="1:8" x14ac:dyDescent="0.2">
      <c r="A538" t="s">
        <v>2142</v>
      </c>
      <c r="B538" t="s">
        <v>1335</v>
      </c>
      <c r="C538" t="s">
        <v>16</v>
      </c>
      <c r="D538">
        <v>4</v>
      </c>
      <c r="E538" t="s">
        <v>21</v>
      </c>
      <c r="F538" t="s">
        <v>380</v>
      </c>
      <c r="G538" t="s">
        <v>608</v>
      </c>
      <c r="H538" t="s">
        <v>52</v>
      </c>
    </row>
    <row r="539" spans="1:8" x14ac:dyDescent="0.2">
      <c r="A539" t="s">
        <v>2143</v>
      </c>
      <c r="B539" t="s">
        <v>1335</v>
      </c>
      <c r="C539" t="s">
        <v>16</v>
      </c>
      <c r="D539" t="s">
        <v>16</v>
      </c>
      <c r="E539" t="s">
        <v>17</v>
      </c>
      <c r="F539" t="s">
        <v>381</v>
      </c>
      <c r="G539" t="s">
        <v>608</v>
      </c>
      <c r="H539" t="s">
        <v>52</v>
      </c>
    </row>
    <row r="540" spans="1:8" x14ac:dyDescent="0.2">
      <c r="A540" t="s">
        <v>2144</v>
      </c>
      <c r="B540" t="s">
        <v>1335</v>
      </c>
      <c r="C540" t="s">
        <v>16</v>
      </c>
      <c r="D540">
        <v>4</v>
      </c>
      <c r="E540" t="s">
        <v>17</v>
      </c>
      <c r="F540" t="s">
        <v>380</v>
      </c>
      <c r="G540" t="s">
        <v>608</v>
      </c>
      <c r="H540" t="s">
        <v>52</v>
      </c>
    </row>
    <row r="541" spans="1:8" x14ac:dyDescent="0.2">
      <c r="A541" t="s">
        <v>2145</v>
      </c>
      <c r="B541" t="s">
        <v>1335</v>
      </c>
      <c r="C541" t="s">
        <v>16</v>
      </c>
      <c r="D541">
        <v>4</v>
      </c>
      <c r="E541" t="s">
        <v>17</v>
      </c>
      <c r="F541" t="s">
        <v>380</v>
      </c>
      <c r="G541" t="s">
        <v>608</v>
      </c>
      <c r="H541" t="s">
        <v>52</v>
      </c>
    </row>
    <row r="542" spans="1:8" x14ac:dyDescent="0.2">
      <c r="A542" t="s">
        <v>2146</v>
      </c>
      <c r="B542" t="s">
        <v>1343</v>
      </c>
      <c r="C542" t="s">
        <v>18</v>
      </c>
      <c r="D542">
        <v>1</v>
      </c>
      <c r="E542" t="s">
        <v>21</v>
      </c>
      <c r="F542" t="s">
        <v>380</v>
      </c>
      <c r="G542" t="s">
        <v>608</v>
      </c>
      <c r="H542" t="s">
        <v>52</v>
      </c>
    </row>
    <row r="543" spans="1:8" x14ac:dyDescent="0.2">
      <c r="A543" t="s">
        <v>2147</v>
      </c>
      <c r="B543" t="s">
        <v>1343</v>
      </c>
      <c r="C543" t="s">
        <v>18</v>
      </c>
      <c r="D543">
        <v>2</v>
      </c>
      <c r="E543" t="s">
        <v>21</v>
      </c>
      <c r="F543" t="s">
        <v>380</v>
      </c>
      <c r="G543" t="s">
        <v>608</v>
      </c>
      <c r="H543" t="s">
        <v>52</v>
      </c>
    </row>
    <row r="544" spans="1:8" x14ac:dyDescent="0.2">
      <c r="A544" t="s">
        <v>2148</v>
      </c>
      <c r="B544" t="s">
        <v>1343</v>
      </c>
      <c r="C544" t="s">
        <v>16</v>
      </c>
      <c r="D544">
        <v>4</v>
      </c>
      <c r="E544" t="s">
        <v>17</v>
      </c>
      <c r="F544" t="s">
        <v>380</v>
      </c>
      <c r="G544" t="s">
        <v>608</v>
      </c>
      <c r="H544" t="s">
        <v>52</v>
      </c>
    </row>
    <row r="545" spans="1:8" x14ac:dyDescent="0.2">
      <c r="A545" t="s">
        <v>2149</v>
      </c>
      <c r="B545" t="s">
        <v>1343</v>
      </c>
      <c r="C545" t="s">
        <v>18</v>
      </c>
      <c r="D545">
        <v>2</v>
      </c>
      <c r="E545" t="s">
        <v>17</v>
      </c>
      <c r="F545" t="s">
        <v>380</v>
      </c>
      <c r="G545" t="s">
        <v>608</v>
      </c>
      <c r="H545" t="s">
        <v>52</v>
      </c>
    </row>
    <row r="546" spans="1:8" x14ac:dyDescent="0.2">
      <c r="A546" t="s">
        <v>2150</v>
      </c>
      <c r="B546" t="s">
        <v>1343</v>
      </c>
      <c r="C546" t="s">
        <v>18</v>
      </c>
      <c r="D546">
        <v>2</v>
      </c>
      <c r="E546" t="s">
        <v>21</v>
      </c>
      <c r="F546" t="s">
        <v>380</v>
      </c>
      <c r="G546" t="s">
        <v>608</v>
      </c>
      <c r="H546" t="s">
        <v>52</v>
      </c>
    </row>
    <row r="547" spans="1:8" x14ac:dyDescent="0.2">
      <c r="A547" t="s">
        <v>2151</v>
      </c>
      <c r="B547" t="s">
        <v>1345</v>
      </c>
      <c r="C547" t="s">
        <v>16</v>
      </c>
      <c r="D547">
        <v>4</v>
      </c>
      <c r="E547" t="s">
        <v>17</v>
      </c>
      <c r="F547" t="s">
        <v>380</v>
      </c>
      <c r="G547" t="s">
        <v>608</v>
      </c>
      <c r="H547" t="s">
        <v>52</v>
      </c>
    </row>
    <row r="548" spans="1:8" x14ac:dyDescent="0.2">
      <c r="A548" t="s">
        <v>2152</v>
      </c>
      <c r="B548" t="s">
        <v>1345</v>
      </c>
      <c r="C548" t="s">
        <v>18</v>
      </c>
      <c r="D548">
        <v>2</v>
      </c>
      <c r="E548" t="s">
        <v>17</v>
      </c>
      <c r="F548" t="s">
        <v>380</v>
      </c>
      <c r="G548" t="s">
        <v>608</v>
      </c>
      <c r="H548" t="s">
        <v>52</v>
      </c>
    </row>
    <row r="549" spans="1:8" x14ac:dyDescent="0.2">
      <c r="A549" t="s">
        <v>2153</v>
      </c>
      <c r="B549" t="s">
        <v>1345</v>
      </c>
      <c r="C549" t="s">
        <v>18</v>
      </c>
      <c r="D549">
        <v>2</v>
      </c>
      <c r="E549" t="s">
        <v>17</v>
      </c>
      <c r="F549" t="s">
        <v>380</v>
      </c>
      <c r="G549" t="s">
        <v>608</v>
      </c>
      <c r="H549" t="s">
        <v>52</v>
      </c>
    </row>
    <row r="550" spans="1:8" x14ac:dyDescent="0.2">
      <c r="A550" t="s">
        <v>2154</v>
      </c>
      <c r="B550" t="s">
        <v>1345</v>
      </c>
      <c r="C550" t="s">
        <v>18</v>
      </c>
      <c r="D550">
        <v>1</v>
      </c>
      <c r="E550" t="s">
        <v>21</v>
      </c>
      <c r="F550" t="s">
        <v>380</v>
      </c>
      <c r="G550" t="s">
        <v>608</v>
      </c>
      <c r="H550" t="s">
        <v>52</v>
      </c>
    </row>
    <row r="551" spans="1:8" x14ac:dyDescent="0.2">
      <c r="A551" t="s">
        <v>2155</v>
      </c>
      <c r="B551" t="s">
        <v>1345</v>
      </c>
      <c r="C551" t="s">
        <v>18</v>
      </c>
      <c r="D551">
        <v>2</v>
      </c>
      <c r="E551" t="s">
        <v>17</v>
      </c>
      <c r="F551" t="s">
        <v>380</v>
      </c>
      <c r="G551" t="s">
        <v>608</v>
      </c>
      <c r="H551" t="s">
        <v>52</v>
      </c>
    </row>
    <row r="552" spans="1:8" x14ac:dyDescent="0.2">
      <c r="A552" t="s">
        <v>2156</v>
      </c>
      <c r="B552" t="s">
        <v>1347</v>
      </c>
      <c r="C552" t="s">
        <v>16</v>
      </c>
      <c r="D552">
        <v>4</v>
      </c>
      <c r="E552" t="s">
        <v>17</v>
      </c>
      <c r="F552" t="s">
        <v>380</v>
      </c>
      <c r="G552" t="s">
        <v>608</v>
      </c>
      <c r="H552" t="s">
        <v>52</v>
      </c>
    </row>
    <row r="553" spans="1:8" x14ac:dyDescent="0.2">
      <c r="A553" t="s">
        <v>2157</v>
      </c>
      <c r="B553" t="s">
        <v>1347</v>
      </c>
      <c r="C553" t="s">
        <v>19</v>
      </c>
      <c r="D553">
        <v>2</v>
      </c>
      <c r="E553" t="s">
        <v>17</v>
      </c>
      <c r="F553" t="s">
        <v>380</v>
      </c>
      <c r="G553" t="s">
        <v>608</v>
      </c>
      <c r="H553" t="s">
        <v>52</v>
      </c>
    </row>
    <row r="554" spans="1:8" x14ac:dyDescent="0.2">
      <c r="A554" t="s">
        <v>2158</v>
      </c>
      <c r="B554" t="s">
        <v>1347</v>
      </c>
      <c r="C554" t="s">
        <v>19</v>
      </c>
      <c r="D554">
        <v>2</v>
      </c>
      <c r="E554" t="s">
        <v>21</v>
      </c>
      <c r="F554" t="s">
        <v>380</v>
      </c>
      <c r="G554" t="s">
        <v>608</v>
      </c>
      <c r="H554" t="s">
        <v>52</v>
      </c>
    </row>
    <row r="555" spans="1:8" x14ac:dyDescent="0.2">
      <c r="A555" t="s">
        <v>2159</v>
      </c>
      <c r="B555" t="s">
        <v>1347</v>
      </c>
      <c r="C555" t="s">
        <v>19</v>
      </c>
      <c r="D555">
        <v>2</v>
      </c>
      <c r="E555" t="s">
        <v>17</v>
      </c>
      <c r="F555" t="s">
        <v>380</v>
      </c>
      <c r="G555" t="s">
        <v>608</v>
      </c>
      <c r="H555" t="s">
        <v>52</v>
      </c>
    </row>
    <row r="556" spans="1:8" x14ac:dyDescent="0.2">
      <c r="A556" t="s">
        <v>2160</v>
      </c>
      <c r="B556" t="s">
        <v>1347</v>
      </c>
      <c r="C556" t="s">
        <v>19</v>
      </c>
      <c r="D556">
        <v>2</v>
      </c>
      <c r="E556" t="s">
        <v>17</v>
      </c>
      <c r="F556" t="s">
        <v>380</v>
      </c>
      <c r="G556" t="s">
        <v>608</v>
      </c>
      <c r="H556" t="s">
        <v>52</v>
      </c>
    </row>
    <row r="557" spans="1:8" x14ac:dyDescent="0.2">
      <c r="A557" t="s">
        <v>2161</v>
      </c>
      <c r="B557" t="s">
        <v>1355</v>
      </c>
      <c r="C557" t="s">
        <v>18</v>
      </c>
      <c r="D557">
        <v>2</v>
      </c>
      <c r="E557" t="s">
        <v>17</v>
      </c>
      <c r="F557" t="s">
        <v>380</v>
      </c>
      <c r="G557" t="s">
        <v>608</v>
      </c>
      <c r="H557" t="s">
        <v>52</v>
      </c>
    </row>
    <row r="558" spans="1:8" x14ac:dyDescent="0.2">
      <c r="A558" t="s">
        <v>2162</v>
      </c>
      <c r="B558" t="s">
        <v>1355</v>
      </c>
      <c r="C558" t="s">
        <v>18</v>
      </c>
      <c r="D558">
        <v>2</v>
      </c>
      <c r="E558" t="s">
        <v>17</v>
      </c>
      <c r="F558" t="s">
        <v>380</v>
      </c>
      <c r="G558" t="s">
        <v>608</v>
      </c>
      <c r="H558" t="s">
        <v>52</v>
      </c>
    </row>
    <row r="559" spans="1:8" x14ac:dyDescent="0.2">
      <c r="A559" t="s">
        <v>2163</v>
      </c>
      <c r="B559" t="s">
        <v>1355</v>
      </c>
      <c r="C559" t="s">
        <v>19</v>
      </c>
      <c r="D559">
        <v>2</v>
      </c>
      <c r="E559" t="s">
        <v>17</v>
      </c>
      <c r="F559" t="s">
        <v>380</v>
      </c>
      <c r="G559" t="s">
        <v>608</v>
      </c>
      <c r="H559" t="s">
        <v>52</v>
      </c>
    </row>
    <row r="560" spans="1:8" x14ac:dyDescent="0.2">
      <c r="A560" t="s">
        <v>2164</v>
      </c>
      <c r="B560" t="s">
        <v>1355</v>
      </c>
      <c r="C560" t="s">
        <v>16</v>
      </c>
      <c r="D560" t="s">
        <v>16</v>
      </c>
      <c r="E560" t="s">
        <v>20</v>
      </c>
      <c r="F560" t="s">
        <v>380</v>
      </c>
      <c r="G560" t="s">
        <v>608</v>
      </c>
      <c r="H560" t="s">
        <v>52</v>
      </c>
    </row>
    <row r="561" spans="1:8" x14ac:dyDescent="0.2">
      <c r="A561" t="s">
        <v>2165</v>
      </c>
      <c r="B561" t="s">
        <v>1355</v>
      </c>
      <c r="C561" t="s">
        <v>18</v>
      </c>
      <c r="D561">
        <v>2</v>
      </c>
      <c r="E561" t="s">
        <v>21</v>
      </c>
      <c r="F561" t="s">
        <v>380</v>
      </c>
      <c r="G561" t="s">
        <v>608</v>
      </c>
      <c r="H561" t="s">
        <v>52</v>
      </c>
    </row>
    <row r="562" spans="1:8" x14ac:dyDescent="0.2">
      <c r="A562" t="s">
        <v>2166</v>
      </c>
      <c r="B562" t="s">
        <v>1357</v>
      </c>
      <c r="C562" t="s">
        <v>18</v>
      </c>
      <c r="D562">
        <v>2</v>
      </c>
      <c r="E562" t="s">
        <v>17</v>
      </c>
      <c r="F562" t="s">
        <v>380</v>
      </c>
      <c r="G562" t="s">
        <v>608</v>
      </c>
      <c r="H562" t="s">
        <v>52</v>
      </c>
    </row>
    <row r="563" spans="1:8" x14ac:dyDescent="0.2">
      <c r="A563" t="s">
        <v>2167</v>
      </c>
      <c r="B563" t="s">
        <v>1357</v>
      </c>
      <c r="C563" t="s">
        <v>18</v>
      </c>
      <c r="D563">
        <v>2</v>
      </c>
      <c r="E563" t="s">
        <v>17</v>
      </c>
      <c r="F563" t="s">
        <v>380</v>
      </c>
      <c r="G563" t="s">
        <v>608</v>
      </c>
      <c r="H563" t="s">
        <v>52</v>
      </c>
    </row>
    <row r="564" spans="1:8" x14ac:dyDescent="0.2">
      <c r="A564" t="s">
        <v>2168</v>
      </c>
      <c r="B564" t="s">
        <v>1357</v>
      </c>
      <c r="C564" t="s">
        <v>18</v>
      </c>
      <c r="D564">
        <v>2</v>
      </c>
      <c r="E564" t="s">
        <v>21</v>
      </c>
      <c r="F564" t="s">
        <v>380</v>
      </c>
      <c r="G564" t="s">
        <v>608</v>
      </c>
      <c r="H564" t="s">
        <v>52</v>
      </c>
    </row>
    <row r="565" spans="1:8" x14ac:dyDescent="0.2">
      <c r="A565" t="s">
        <v>2169</v>
      </c>
      <c r="B565" t="s">
        <v>1357</v>
      </c>
      <c r="C565" t="s">
        <v>19</v>
      </c>
      <c r="D565">
        <v>2</v>
      </c>
      <c r="E565" t="s">
        <v>17</v>
      </c>
      <c r="F565" t="s">
        <v>380</v>
      </c>
      <c r="G565" t="s">
        <v>608</v>
      </c>
      <c r="H565" t="s">
        <v>52</v>
      </c>
    </row>
    <row r="566" spans="1:8" x14ac:dyDescent="0.2">
      <c r="A566" t="s">
        <v>2170</v>
      </c>
      <c r="B566" t="s">
        <v>1357</v>
      </c>
      <c r="C566" t="s">
        <v>18</v>
      </c>
      <c r="D566">
        <v>2</v>
      </c>
      <c r="E566" t="s">
        <v>21</v>
      </c>
      <c r="F566" t="s">
        <v>380</v>
      </c>
      <c r="G566" t="s">
        <v>608</v>
      </c>
      <c r="H566" t="s">
        <v>52</v>
      </c>
    </row>
    <row r="567" spans="1:8" x14ac:dyDescent="0.2">
      <c r="A567" t="s">
        <v>2171</v>
      </c>
      <c r="B567" t="s">
        <v>1359</v>
      </c>
      <c r="C567" t="s">
        <v>18</v>
      </c>
      <c r="D567">
        <v>2</v>
      </c>
      <c r="E567" t="s">
        <v>17</v>
      </c>
      <c r="F567" t="s">
        <v>380</v>
      </c>
      <c r="G567" t="s">
        <v>608</v>
      </c>
      <c r="H567" t="s">
        <v>52</v>
      </c>
    </row>
    <row r="568" spans="1:8" x14ac:dyDescent="0.2">
      <c r="A568" t="s">
        <v>2172</v>
      </c>
      <c r="B568" t="s">
        <v>1359</v>
      </c>
      <c r="C568" t="s">
        <v>18</v>
      </c>
      <c r="D568">
        <v>2</v>
      </c>
      <c r="E568" t="s">
        <v>17</v>
      </c>
      <c r="F568" t="s">
        <v>380</v>
      </c>
      <c r="G568" t="s">
        <v>608</v>
      </c>
      <c r="H568" t="s">
        <v>52</v>
      </c>
    </row>
    <row r="569" spans="1:8" x14ac:dyDescent="0.2">
      <c r="A569" t="s">
        <v>2173</v>
      </c>
      <c r="B569" t="s">
        <v>1359</v>
      </c>
      <c r="C569" t="s">
        <v>18</v>
      </c>
      <c r="D569">
        <v>2</v>
      </c>
      <c r="E569" t="s">
        <v>17</v>
      </c>
      <c r="F569" t="s">
        <v>380</v>
      </c>
      <c r="G569" t="s">
        <v>608</v>
      </c>
      <c r="H569" t="s">
        <v>52</v>
      </c>
    </row>
    <row r="570" spans="1:8" x14ac:dyDescent="0.2">
      <c r="A570" t="s">
        <v>2174</v>
      </c>
      <c r="B570" t="s">
        <v>1359</v>
      </c>
      <c r="C570" t="s">
        <v>19</v>
      </c>
      <c r="D570">
        <v>2</v>
      </c>
      <c r="E570" t="s">
        <v>17</v>
      </c>
      <c r="F570" t="s">
        <v>380</v>
      </c>
      <c r="G570" t="s">
        <v>608</v>
      </c>
      <c r="H570" t="s">
        <v>52</v>
      </c>
    </row>
    <row r="571" spans="1:8" x14ac:dyDescent="0.2">
      <c r="A571" t="s">
        <v>2175</v>
      </c>
      <c r="B571" t="s">
        <v>1359</v>
      </c>
      <c r="C571" t="s">
        <v>19</v>
      </c>
      <c r="D571">
        <v>2</v>
      </c>
      <c r="E571" t="s">
        <v>17</v>
      </c>
      <c r="F571" t="s">
        <v>380</v>
      </c>
      <c r="G571" t="s">
        <v>608</v>
      </c>
      <c r="H571" t="s">
        <v>52</v>
      </c>
    </row>
    <row r="572" spans="1:8" x14ac:dyDescent="0.2">
      <c r="A572" t="s">
        <v>2176</v>
      </c>
      <c r="B572" t="s">
        <v>1367</v>
      </c>
      <c r="C572" t="s">
        <v>18</v>
      </c>
      <c r="D572">
        <v>2</v>
      </c>
      <c r="E572" t="s">
        <v>17</v>
      </c>
      <c r="F572" t="s">
        <v>380</v>
      </c>
      <c r="G572" t="s">
        <v>608</v>
      </c>
      <c r="H572" t="s">
        <v>52</v>
      </c>
    </row>
    <row r="573" spans="1:8" x14ac:dyDescent="0.2">
      <c r="A573" t="s">
        <v>2177</v>
      </c>
      <c r="B573" t="s">
        <v>1367</v>
      </c>
      <c r="C573" t="s">
        <v>18</v>
      </c>
      <c r="D573">
        <v>2</v>
      </c>
      <c r="E573" t="s">
        <v>17</v>
      </c>
      <c r="F573" t="s">
        <v>380</v>
      </c>
      <c r="G573" t="s">
        <v>608</v>
      </c>
      <c r="H573" t="s">
        <v>52</v>
      </c>
    </row>
    <row r="574" spans="1:8" x14ac:dyDescent="0.2">
      <c r="A574" t="s">
        <v>2178</v>
      </c>
      <c r="B574" t="s">
        <v>1367</v>
      </c>
      <c r="C574" t="s">
        <v>18</v>
      </c>
      <c r="D574">
        <v>2</v>
      </c>
      <c r="E574" t="s">
        <v>17</v>
      </c>
      <c r="F574" t="s">
        <v>380</v>
      </c>
      <c r="G574" t="s">
        <v>608</v>
      </c>
      <c r="H574" t="s">
        <v>52</v>
      </c>
    </row>
    <row r="575" spans="1:8" x14ac:dyDescent="0.2">
      <c r="A575" t="s">
        <v>2179</v>
      </c>
      <c r="B575" t="s">
        <v>1367</v>
      </c>
      <c r="C575" t="s">
        <v>19</v>
      </c>
      <c r="D575">
        <v>2</v>
      </c>
      <c r="E575" t="s">
        <v>17</v>
      </c>
      <c r="F575" t="s">
        <v>380</v>
      </c>
      <c r="G575" t="s">
        <v>608</v>
      </c>
      <c r="H575" t="s">
        <v>52</v>
      </c>
    </row>
    <row r="576" spans="1:8" x14ac:dyDescent="0.2">
      <c r="A576" t="s">
        <v>2180</v>
      </c>
      <c r="B576" t="s">
        <v>1367</v>
      </c>
      <c r="C576" t="s">
        <v>18</v>
      </c>
      <c r="D576">
        <v>2</v>
      </c>
      <c r="E576" t="s">
        <v>17</v>
      </c>
      <c r="F576" t="s">
        <v>380</v>
      </c>
      <c r="G576" t="s">
        <v>608</v>
      </c>
      <c r="H576" t="s">
        <v>52</v>
      </c>
    </row>
    <row r="577" spans="1:8" x14ac:dyDescent="0.2">
      <c r="A577" t="s">
        <v>2181</v>
      </c>
      <c r="B577" t="s">
        <v>1369</v>
      </c>
      <c r="C577" t="s">
        <v>18</v>
      </c>
      <c r="D577">
        <v>2</v>
      </c>
      <c r="E577" t="s">
        <v>17</v>
      </c>
      <c r="F577" t="s">
        <v>380</v>
      </c>
      <c r="G577" t="s">
        <v>608</v>
      </c>
      <c r="H577" t="s">
        <v>52</v>
      </c>
    </row>
    <row r="578" spans="1:8" x14ac:dyDescent="0.2">
      <c r="A578" t="s">
        <v>2182</v>
      </c>
      <c r="B578" t="s">
        <v>1369</v>
      </c>
      <c r="C578" t="s">
        <v>18</v>
      </c>
      <c r="D578">
        <v>2</v>
      </c>
      <c r="E578" t="s">
        <v>17</v>
      </c>
      <c r="F578" t="s">
        <v>380</v>
      </c>
      <c r="G578" t="s">
        <v>608</v>
      </c>
      <c r="H578" t="s">
        <v>52</v>
      </c>
    </row>
    <row r="579" spans="1:8" x14ac:dyDescent="0.2">
      <c r="A579" t="s">
        <v>2183</v>
      </c>
      <c r="B579" t="s">
        <v>1369</v>
      </c>
      <c r="C579" t="s">
        <v>18</v>
      </c>
      <c r="D579">
        <v>2</v>
      </c>
      <c r="E579" t="s">
        <v>21</v>
      </c>
      <c r="F579" t="s">
        <v>380</v>
      </c>
      <c r="G579" t="s">
        <v>608</v>
      </c>
      <c r="H579" t="s">
        <v>52</v>
      </c>
    </row>
    <row r="580" spans="1:8" x14ac:dyDescent="0.2">
      <c r="A580" t="s">
        <v>2184</v>
      </c>
      <c r="B580" t="s">
        <v>1369</v>
      </c>
      <c r="C580" t="s">
        <v>18</v>
      </c>
      <c r="D580">
        <v>2</v>
      </c>
      <c r="E580" t="s">
        <v>17</v>
      </c>
      <c r="F580" t="s">
        <v>380</v>
      </c>
      <c r="G580" t="s">
        <v>608</v>
      </c>
      <c r="H580" t="s">
        <v>52</v>
      </c>
    </row>
    <row r="581" spans="1:8" x14ac:dyDescent="0.2">
      <c r="A581" t="s">
        <v>2185</v>
      </c>
      <c r="B581" t="s">
        <v>1369</v>
      </c>
      <c r="C581" t="s">
        <v>18</v>
      </c>
      <c r="D581">
        <v>2</v>
      </c>
      <c r="E581" t="s">
        <v>17</v>
      </c>
      <c r="F581" t="s">
        <v>380</v>
      </c>
      <c r="G581" t="s">
        <v>608</v>
      </c>
      <c r="H581" t="s">
        <v>52</v>
      </c>
    </row>
    <row r="582" spans="1:8" x14ac:dyDescent="0.2">
      <c r="A582" t="s">
        <v>2186</v>
      </c>
      <c r="B582" t="s">
        <v>1371</v>
      </c>
      <c r="C582" t="s">
        <v>18</v>
      </c>
      <c r="D582">
        <v>2</v>
      </c>
      <c r="E582" t="s">
        <v>17</v>
      </c>
      <c r="F582" t="s">
        <v>380</v>
      </c>
      <c r="G582" t="s">
        <v>608</v>
      </c>
      <c r="H582" t="s">
        <v>52</v>
      </c>
    </row>
    <row r="583" spans="1:8" x14ac:dyDescent="0.2">
      <c r="A583" t="s">
        <v>2187</v>
      </c>
      <c r="B583" t="s">
        <v>1371</v>
      </c>
      <c r="C583" t="s">
        <v>18</v>
      </c>
      <c r="D583">
        <v>2</v>
      </c>
      <c r="E583" t="s">
        <v>17</v>
      </c>
      <c r="F583" t="s">
        <v>380</v>
      </c>
      <c r="G583" t="s">
        <v>608</v>
      </c>
      <c r="H583" t="s">
        <v>52</v>
      </c>
    </row>
    <row r="584" spans="1:8" x14ac:dyDescent="0.2">
      <c r="A584" t="s">
        <v>2188</v>
      </c>
      <c r="B584" t="s">
        <v>1371</v>
      </c>
      <c r="C584" t="s">
        <v>18</v>
      </c>
      <c r="D584">
        <v>2</v>
      </c>
      <c r="E584" t="s">
        <v>17</v>
      </c>
      <c r="F584" t="s">
        <v>380</v>
      </c>
      <c r="G584" t="s">
        <v>608</v>
      </c>
      <c r="H584" t="s">
        <v>52</v>
      </c>
    </row>
    <row r="585" spans="1:8" x14ac:dyDescent="0.2">
      <c r="A585" t="s">
        <v>2189</v>
      </c>
      <c r="B585" t="s">
        <v>1371</v>
      </c>
      <c r="C585" t="s">
        <v>18</v>
      </c>
      <c r="D585">
        <v>2</v>
      </c>
      <c r="E585" t="s">
        <v>17</v>
      </c>
      <c r="F585" t="s">
        <v>380</v>
      </c>
      <c r="G585" t="s">
        <v>608</v>
      </c>
      <c r="H585" t="s">
        <v>52</v>
      </c>
    </row>
    <row r="586" spans="1:8" x14ac:dyDescent="0.2">
      <c r="A586" t="s">
        <v>2190</v>
      </c>
      <c r="B586" t="s">
        <v>1371</v>
      </c>
      <c r="C586" t="s">
        <v>19</v>
      </c>
      <c r="D586">
        <v>2</v>
      </c>
      <c r="E586" t="s">
        <v>17</v>
      </c>
      <c r="F586" t="s">
        <v>380</v>
      </c>
      <c r="G586" t="s">
        <v>608</v>
      </c>
      <c r="H586" t="s">
        <v>52</v>
      </c>
    </row>
    <row r="587" spans="1:8" x14ac:dyDescent="0.2">
      <c r="A587" t="s">
        <v>2191</v>
      </c>
      <c r="B587" t="s">
        <v>1379</v>
      </c>
      <c r="C587" t="s">
        <v>18</v>
      </c>
      <c r="D587">
        <v>2</v>
      </c>
      <c r="E587" t="s">
        <v>21</v>
      </c>
      <c r="F587" t="s">
        <v>380</v>
      </c>
      <c r="G587" t="s">
        <v>608</v>
      </c>
      <c r="H587" t="s">
        <v>52</v>
      </c>
    </row>
    <row r="588" spans="1:8" x14ac:dyDescent="0.2">
      <c r="A588" t="s">
        <v>2192</v>
      </c>
      <c r="B588" t="s">
        <v>1379</v>
      </c>
      <c r="C588" t="s">
        <v>18</v>
      </c>
      <c r="D588">
        <v>2</v>
      </c>
      <c r="E588" t="s">
        <v>17</v>
      </c>
      <c r="F588" t="s">
        <v>380</v>
      </c>
      <c r="G588" t="s">
        <v>608</v>
      </c>
      <c r="H588" t="s">
        <v>52</v>
      </c>
    </row>
    <row r="589" spans="1:8" x14ac:dyDescent="0.2">
      <c r="A589" t="s">
        <v>2193</v>
      </c>
      <c r="B589" t="s">
        <v>1379</v>
      </c>
      <c r="C589" t="s">
        <v>18</v>
      </c>
      <c r="D589">
        <v>2</v>
      </c>
      <c r="E589" t="s">
        <v>21</v>
      </c>
      <c r="F589" t="s">
        <v>380</v>
      </c>
      <c r="G589" t="s">
        <v>608</v>
      </c>
      <c r="H589" t="s">
        <v>52</v>
      </c>
    </row>
    <row r="590" spans="1:8" x14ac:dyDescent="0.2">
      <c r="A590" t="s">
        <v>2194</v>
      </c>
      <c r="B590" t="s">
        <v>1379</v>
      </c>
      <c r="C590" t="s">
        <v>19</v>
      </c>
      <c r="D590">
        <v>2</v>
      </c>
      <c r="E590" t="s">
        <v>17</v>
      </c>
      <c r="F590" t="s">
        <v>380</v>
      </c>
      <c r="G590" t="s">
        <v>608</v>
      </c>
      <c r="H590" t="s">
        <v>52</v>
      </c>
    </row>
    <row r="591" spans="1:8" x14ac:dyDescent="0.2">
      <c r="A591" t="s">
        <v>2195</v>
      </c>
      <c r="B591" t="s">
        <v>1379</v>
      </c>
      <c r="C591" t="s">
        <v>18</v>
      </c>
      <c r="D591">
        <v>2</v>
      </c>
      <c r="E591" t="s">
        <v>21</v>
      </c>
      <c r="F591" t="s">
        <v>380</v>
      </c>
      <c r="G591" t="s">
        <v>608</v>
      </c>
      <c r="H591" t="s">
        <v>52</v>
      </c>
    </row>
    <row r="592" spans="1:8" x14ac:dyDescent="0.2">
      <c r="A592" t="s">
        <v>2196</v>
      </c>
      <c r="B592" t="s">
        <v>1381</v>
      </c>
      <c r="C592" t="s">
        <v>18</v>
      </c>
      <c r="D592">
        <v>2</v>
      </c>
      <c r="E592" t="s">
        <v>21</v>
      </c>
      <c r="F592" t="s">
        <v>380</v>
      </c>
      <c r="G592" t="s">
        <v>608</v>
      </c>
      <c r="H592" t="s">
        <v>52</v>
      </c>
    </row>
    <row r="593" spans="1:8" x14ac:dyDescent="0.2">
      <c r="A593" t="s">
        <v>2197</v>
      </c>
      <c r="B593" t="s">
        <v>1381</v>
      </c>
      <c r="C593" t="s">
        <v>18</v>
      </c>
      <c r="D593">
        <v>2</v>
      </c>
      <c r="E593" t="s">
        <v>17</v>
      </c>
      <c r="F593" t="s">
        <v>380</v>
      </c>
      <c r="G593" t="s">
        <v>608</v>
      </c>
      <c r="H593" t="s">
        <v>52</v>
      </c>
    </row>
    <row r="594" spans="1:8" x14ac:dyDescent="0.2">
      <c r="A594" t="s">
        <v>2198</v>
      </c>
      <c r="B594" t="s">
        <v>1381</v>
      </c>
      <c r="C594" t="s">
        <v>19</v>
      </c>
      <c r="D594">
        <v>2</v>
      </c>
      <c r="E594" t="s">
        <v>17</v>
      </c>
      <c r="F594" t="s">
        <v>380</v>
      </c>
      <c r="G594" t="s">
        <v>608</v>
      </c>
      <c r="H594" t="s">
        <v>52</v>
      </c>
    </row>
    <row r="595" spans="1:8" x14ac:dyDescent="0.2">
      <c r="A595" t="s">
        <v>2199</v>
      </c>
      <c r="B595" t="s">
        <v>1381</v>
      </c>
      <c r="C595" t="s">
        <v>19</v>
      </c>
      <c r="D595">
        <v>2</v>
      </c>
      <c r="E595" t="s">
        <v>17</v>
      </c>
      <c r="F595" t="s">
        <v>380</v>
      </c>
      <c r="G595" t="s">
        <v>608</v>
      </c>
      <c r="H595" t="s">
        <v>52</v>
      </c>
    </row>
    <row r="596" spans="1:8" x14ac:dyDescent="0.2">
      <c r="A596" t="s">
        <v>2200</v>
      </c>
      <c r="B596" t="s">
        <v>1381</v>
      </c>
      <c r="C596" t="s">
        <v>18</v>
      </c>
      <c r="D596">
        <v>2</v>
      </c>
      <c r="E596" t="s">
        <v>17</v>
      </c>
      <c r="F596" t="s">
        <v>380</v>
      </c>
      <c r="G596" t="s">
        <v>608</v>
      </c>
      <c r="H596" t="s">
        <v>52</v>
      </c>
    </row>
    <row r="597" spans="1:8" x14ac:dyDescent="0.2">
      <c r="A597" t="s">
        <v>2201</v>
      </c>
      <c r="B597" t="s">
        <v>1383</v>
      </c>
      <c r="C597" t="s">
        <v>19</v>
      </c>
      <c r="D597">
        <v>3</v>
      </c>
      <c r="E597" t="s">
        <v>17</v>
      </c>
      <c r="F597" t="s">
        <v>380</v>
      </c>
      <c r="G597" t="s">
        <v>608</v>
      </c>
      <c r="H597" t="s">
        <v>52</v>
      </c>
    </row>
    <row r="598" spans="1:8" x14ac:dyDescent="0.2">
      <c r="A598" t="s">
        <v>2202</v>
      </c>
      <c r="B598" t="s">
        <v>1383</v>
      </c>
      <c r="C598" t="s">
        <v>18</v>
      </c>
      <c r="D598">
        <v>2</v>
      </c>
      <c r="E598" t="s">
        <v>17</v>
      </c>
      <c r="F598" t="s">
        <v>380</v>
      </c>
      <c r="G598" t="s">
        <v>608</v>
      </c>
      <c r="H598" t="s">
        <v>52</v>
      </c>
    </row>
    <row r="599" spans="1:8" x14ac:dyDescent="0.2">
      <c r="A599" t="s">
        <v>2203</v>
      </c>
      <c r="B599" t="s">
        <v>1383</v>
      </c>
      <c r="C599" t="s">
        <v>19</v>
      </c>
      <c r="D599">
        <v>2</v>
      </c>
      <c r="E599" t="s">
        <v>17</v>
      </c>
      <c r="F599" t="s">
        <v>380</v>
      </c>
      <c r="G599" t="s">
        <v>608</v>
      </c>
      <c r="H599" t="s">
        <v>52</v>
      </c>
    </row>
    <row r="600" spans="1:8" x14ac:dyDescent="0.2">
      <c r="A600" t="s">
        <v>2204</v>
      </c>
      <c r="B600" t="s">
        <v>1383</v>
      </c>
      <c r="C600" t="s">
        <v>18</v>
      </c>
      <c r="D600" t="s">
        <v>16</v>
      </c>
      <c r="E600" t="s">
        <v>17</v>
      </c>
      <c r="F600" t="s">
        <v>381</v>
      </c>
      <c r="G600" t="s">
        <v>608</v>
      </c>
      <c r="H600" t="s">
        <v>52</v>
      </c>
    </row>
    <row r="601" spans="1:8" x14ac:dyDescent="0.2">
      <c r="A601" t="s">
        <v>2205</v>
      </c>
      <c r="B601" t="s">
        <v>1383</v>
      </c>
      <c r="C601" t="s">
        <v>19</v>
      </c>
      <c r="D601">
        <v>2</v>
      </c>
      <c r="E601" t="s">
        <v>17</v>
      </c>
      <c r="F601" t="s">
        <v>380</v>
      </c>
      <c r="G601" t="s">
        <v>608</v>
      </c>
      <c r="H601" t="s">
        <v>52</v>
      </c>
    </row>
    <row r="602" spans="1:8" x14ac:dyDescent="0.2">
      <c r="A602" t="s">
        <v>2206</v>
      </c>
      <c r="B602" t="s">
        <v>1391</v>
      </c>
      <c r="C602" t="s">
        <v>3202</v>
      </c>
      <c r="D602" t="s">
        <v>16</v>
      </c>
      <c r="E602" t="s">
        <v>17</v>
      </c>
      <c r="F602" t="s">
        <v>380</v>
      </c>
      <c r="G602" t="s">
        <v>608</v>
      </c>
      <c r="H602" t="s">
        <v>52</v>
      </c>
    </row>
    <row r="603" spans="1:8" x14ac:dyDescent="0.2">
      <c r="A603" t="s">
        <v>2207</v>
      </c>
      <c r="B603" t="s">
        <v>1391</v>
      </c>
      <c r="C603" t="s">
        <v>18</v>
      </c>
      <c r="D603">
        <v>2</v>
      </c>
      <c r="E603" t="s">
        <v>21</v>
      </c>
      <c r="F603" t="s">
        <v>380</v>
      </c>
      <c r="G603" t="s">
        <v>608</v>
      </c>
      <c r="H603" t="s">
        <v>52</v>
      </c>
    </row>
    <row r="604" spans="1:8" x14ac:dyDescent="0.2">
      <c r="A604" t="s">
        <v>2208</v>
      </c>
      <c r="B604" t="s">
        <v>1391</v>
      </c>
      <c r="C604" t="s">
        <v>18</v>
      </c>
      <c r="D604">
        <v>2</v>
      </c>
      <c r="E604" t="s">
        <v>17</v>
      </c>
      <c r="F604" t="s">
        <v>380</v>
      </c>
      <c r="G604" t="s">
        <v>608</v>
      </c>
      <c r="H604" t="s">
        <v>52</v>
      </c>
    </row>
    <row r="605" spans="1:8" x14ac:dyDescent="0.2">
      <c r="A605" t="s">
        <v>2209</v>
      </c>
      <c r="B605" t="s">
        <v>1391</v>
      </c>
      <c r="C605" t="s">
        <v>19</v>
      </c>
      <c r="D605">
        <v>2</v>
      </c>
      <c r="E605" t="s">
        <v>17</v>
      </c>
      <c r="F605" t="s">
        <v>380</v>
      </c>
      <c r="G605" t="s">
        <v>608</v>
      </c>
      <c r="H605" t="s">
        <v>52</v>
      </c>
    </row>
    <row r="606" spans="1:8" x14ac:dyDescent="0.2">
      <c r="A606" t="s">
        <v>2210</v>
      </c>
      <c r="B606" t="s">
        <v>1391</v>
      </c>
      <c r="C606" t="s">
        <v>18</v>
      </c>
      <c r="D606">
        <v>2</v>
      </c>
      <c r="E606" t="s">
        <v>17</v>
      </c>
      <c r="F606" t="s">
        <v>380</v>
      </c>
      <c r="G606" t="s">
        <v>608</v>
      </c>
      <c r="H606" t="s">
        <v>52</v>
      </c>
    </row>
    <row r="607" spans="1:8" x14ac:dyDescent="0.2">
      <c r="A607" t="s">
        <v>2211</v>
      </c>
      <c r="B607" t="s">
        <v>1393</v>
      </c>
      <c r="C607" t="s">
        <v>18</v>
      </c>
      <c r="D607">
        <v>2</v>
      </c>
      <c r="E607" t="s">
        <v>17</v>
      </c>
      <c r="F607" t="s">
        <v>380</v>
      </c>
      <c r="G607" t="s">
        <v>608</v>
      </c>
      <c r="H607" t="s">
        <v>52</v>
      </c>
    </row>
    <row r="608" spans="1:8" x14ac:dyDescent="0.2">
      <c r="A608" t="s">
        <v>2212</v>
      </c>
      <c r="B608" t="s">
        <v>1393</v>
      </c>
      <c r="C608" t="s">
        <v>18</v>
      </c>
      <c r="D608">
        <v>2</v>
      </c>
      <c r="E608" t="s">
        <v>17</v>
      </c>
      <c r="F608" t="s">
        <v>380</v>
      </c>
      <c r="G608" t="s">
        <v>608</v>
      </c>
      <c r="H608" t="s">
        <v>52</v>
      </c>
    </row>
    <row r="609" spans="1:8" x14ac:dyDescent="0.2">
      <c r="A609" t="s">
        <v>2213</v>
      </c>
      <c r="B609" t="s">
        <v>1393</v>
      </c>
      <c r="C609" t="s">
        <v>18</v>
      </c>
      <c r="D609">
        <v>2</v>
      </c>
      <c r="E609" t="s">
        <v>17</v>
      </c>
      <c r="F609" t="s">
        <v>380</v>
      </c>
      <c r="G609" t="s">
        <v>608</v>
      </c>
      <c r="H609" t="s">
        <v>52</v>
      </c>
    </row>
    <row r="610" spans="1:8" x14ac:dyDescent="0.2">
      <c r="A610" t="s">
        <v>2214</v>
      </c>
      <c r="B610" t="s">
        <v>1393</v>
      </c>
      <c r="C610" t="s">
        <v>18</v>
      </c>
      <c r="D610">
        <v>2</v>
      </c>
      <c r="E610" t="s">
        <v>17</v>
      </c>
      <c r="F610" t="s">
        <v>380</v>
      </c>
      <c r="G610" t="s">
        <v>608</v>
      </c>
      <c r="H610" t="s">
        <v>52</v>
      </c>
    </row>
    <row r="611" spans="1:8" x14ac:dyDescent="0.2">
      <c r="A611" t="s">
        <v>2215</v>
      </c>
      <c r="B611" t="s">
        <v>1393</v>
      </c>
      <c r="C611" t="s">
        <v>18</v>
      </c>
      <c r="D611">
        <v>2</v>
      </c>
      <c r="E611" t="s">
        <v>17</v>
      </c>
      <c r="F611" t="s">
        <v>380</v>
      </c>
      <c r="G611" t="s">
        <v>608</v>
      </c>
      <c r="H611" t="s">
        <v>52</v>
      </c>
    </row>
    <row r="612" spans="1:8" x14ac:dyDescent="0.2">
      <c r="A612" t="s">
        <v>2216</v>
      </c>
      <c r="B612" t="s">
        <v>1395</v>
      </c>
      <c r="C612" t="s">
        <v>18</v>
      </c>
      <c r="D612">
        <v>2</v>
      </c>
      <c r="E612" t="s">
        <v>17</v>
      </c>
      <c r="F612" t="s">
        <v>380</v>
      </c>
      <c r="G612" t="s">
        <v>608</v>
      </c>
      <c r="H612" t="s">
        <v>52</v>
      </c>
    </row>
    <row r="613" spans="1:8" x14ac:dyDescent="0.2">
      <c r="A613" t="s">
        <v>2217</v>
      </c>
      <c r="B613" t="s">
        <v>1395</v>
      </c>
      <c r="C613" t="s">
        <v>18</v>
      </c>
      <c r="D613">
        <v>2</v>
      </c>
      <c r="E613" t="s">
        <v>17</v>
      </c>
      <c r="F613" t="s">
        <v>380</v>
      </c>
      <c r="G613" t="s">
        <v>608</v>
      </c>
      <c r="H613" t="s">
        <v>52</v>
      </c>
    </row>
    <row r="614" spans="1:8" x14ac:dyDescent="0.2">
      <c r="A614" t="s">
        <v>2218</v>
      </c>
      <c r="B614" t="s">
        <v>1395</v>
      </c>
      <c r="C614" t="s">
        <v>18</v>
      </c>
      <c r="D614">
        <v>2</v>
      </c>
      <c r="E614" t="s">
        <v>17</v>
      </c>
      <c r="F614" t="s">
        <v>380</v>
      </c>
      <c r="G614" t="s">
        <v>608</v>
      </c>
      <c r="H614" t="s">
        <v>52</v>
      </c>
    </row>
    <row r="615" spans="1:8" x14ac:dyDescent="0.2">
      <c r="A615" t="s">
        <v>2219</v>
      </c>
      <c r="B615" t="s">
        <v>1395</v>
      </c>
      <c r="C615" t="s">
        <v>18</v>
      </c>
      <c r="D615">
        <v>2</v>
      </c>
      <c r="E615" t="s">
        <v>17</v>
      </c>
      <c r="F615" t="s">
        <v>380</v>
      </c>
      <c r="G615" t="s">
        <v>608</v>
      </c>
      <c r="H615" t="s">
        <v>52</v>
      </c>
    </row>
    <row r="616" spans="1:8" x14ac:dyDescent="0.2">
      <c r="A616" t="s">
        <v>2220</v>
      </c>
      <c r="B616" t="s">
        <v>1395</v>
      </c>
      <c r="C616" t="s">
        <v>18</v>
      </c>
      <c r="D616">
        <v>2</v>
      </c>
      <c r="E616" t="s">
        <v>17</v>
      </c>
      <c r="F616" t="s">
        <v>380</v>
      </c>
      <c r="G616" t="s">
        <v>608</v>
      </c>
      <c r="H616" t="s">
        <v>52</v>
      </c>
    </row>
    <row r="617" spans="1:8" x14ac:dyDescent="0.2">
      <c r="A617" t="s">
        <v>2221</v>
      </c>
      <c r="B617" t="s">
        <v>1403</v>
      </c>
      <c r="C617" t="s">
        <v>19</v>
      </c>
      <c r="D617">
        <v>2</v>
      </c>
      <c r="E617" t="s">
        <v>17</v>
      </c>
      <c r="F617" t="s">
        <v>380</v>
      </c>
      <c r="G617" t="s">
        <v>608</v>
      </c>
      <c r="H617" t="s">
        <v>52</v>
      </c>
    </row>
    <row r="618" spans="1:8" x14ac:dyDescent="0.2">
      <c r="A618" t="s">
        <v>2222</v>
      </c>
      <c r="B618" t="s">
        <v>1403</v>
      </c>
      <c r="C618" t="s">
        <v>18</v>
      </c>
      <c r="D618">
        <v>2</v>
      </c>
      <c r="E618" t="s">
        <v>17</v>
      </c>
      <c r="F618" t="s">
        <v>380</v>
      </c>
      <c r="G618" t="s">
        <v>608</v>
      </c>
      <c r="H618" t="s">
        <v>52</v>
      </c>
    </row>
    <row r="619" spans="1:8" x14ac:dyDescent="0.2">
      <c r="A619" t="s">
        <v>2223</v>
      </c>
      <c r="B619" t="s">
        <v>1403</v>
      </c>
      <c r="C619" t="s">
        <v>16</v>
      </c>
      <c r="D619">
        <v>4</v>
      </c>
      <c r="E619" t="s">
        <v>21</v>
      </c>
      <c r="F619" t="s">
        <v>380</v>
      </c>
      <c r="G619" t="s">
        <v>608</v>
      </c>
      <c r="H619" t="s">
        <v>52</v>
      </c>
    </row>
    <row r="620" spans="1:8" x14ac:dyDescent="0.2">
      <c r="A620" t="s">
        <v>2224</v>
      </c>
      <c r="B620" t="s">
        <v>1403</v>
      </c>
      <c r="C620" t="s">
        <v>18</v>
      </c>
      <c r="D620">
        <v>2</v>
      </c>
      <c r="E620" t="s">
        <v>17</v>
      </c>
      <c r="F620" t="s">
        <v>380</v>
      </c>
      <c r="G620" t="s">
        <v>608</v>
      </c>
      <c r="H620" t="s">
        <v>52</v>
      </c>
    </row>
    <row r="621" spans="1:8" x14ac:dyDescent="0.2">
      <c r="A621" t="s">
        <v>2225</v>
      </c>
      <c r="B621" t="s">
        <v>1403</v>
      </c>
      <c r="C621" t="s">
        <v>19</v>
      </c>
      <c r="D621">
        <v>2</v>
      </c>
      <c r="E621" t="s">
        <v>17</v>
      </c>
      <c r="F621" t="s">
        <v>380</v>
      </c>
      <c r="G621" t="s">
        <v>608</v>
      </c>
      <c r="H621" t="s">
        <v>52</v>
      </c>
    </row>
    <row r="622" spans="1:8" x14ac:dyDescent="0.2">
      <c r="A622" t="s">
        <v>2226</v>
      </c>
      <c r="B622" t="s">
        <v>1405</v>
      </c>
      <c r="C622" t="s">
        <v>18</v>
      </c>
      <c r="D622">
        <v>2</v>
      </c>
      <c r="E622" t="s">
        <v>21</v>
      </c>
      <c r="F622" t="s">
        <v>380</v>
      </c>
      <c r="G622" t="s">
        <v>608</v>
      </c>
      <c r="H622" t="s">
        <v>52</v>
      </c>
    </row>
    <row r="623" spans="1:8" x14ac:dyDescent="0.2">
      <c r="A623" t="s">
        <v>2227</v>
      </c>
      <c r="B623" t="s">
        <v>1405</v>
      </c>
      <c r="C623" t="s">
        <v>18</v>
      </c>
      <c r="D623">
        <v>2</v>
      </c>
      <c r="E623" t="s">
        <v>17</v>
      </c>
      <c r="F623" t="s">
        <v>380</v>
      </c>
      <c r="G623" t="s">
        <v>608</v>
      </c>
      <c r="H623" t="s">
        <v>52</v>
      </c>
    </row>
    <row r="624" spans="1:8" x14ac:dyDescent="0.2">
      <c r="A624" t="s">
        <v>2228</v>
      </c>
      <c r="B624" t="s">
        <v>1405</v>
      </c>
      <c r="C624" t="s">
        <v>18</v>
      </c>
      <c r="D624">
        <v>2</v>
      </c>
      <c r="E624" t="s">
        <v>17</v>
      </c>
      <c r="F624" t="s">
        <v>380</v>
      </c>
      <c r="G624" t="s">
        <v>608</v>
      </c>
      <c r="H624" t="s">
        <v>52</v>
      </c>
    </row>
    <row r="625" spans="1:8" x14ac:dyDescent="0.2">
      <c r="A625" t="s">
        <v>2229</v>
      </c>
      <c r="B625" t="s">
        <v>1405</v>
      </c>
      <c r="C625" t="s">
        <v>18</v>
      </c>
      <c r="D625">
        <v>2</v>
      </c>
      <c r="E625" t="s">
        <v>17</v>
      </c>
      <c r="F625" t="s">
        <v>380</v>
      </c>
      <c r="G625" t="s">
        <v>608</v>
      </c>
      <c r="H625" t="s">
        <v>52</v>
      </c>
    </row>
    <row r="626" spans="1:8" x14ac:dyDescent="0.2">
      <c r="A626" t="s">
        <v>2230</v>
      </c>
      <c r="B626" t="s">
        <v>1405</v>
      </c>
      <c r="C626" t="s">
        <v>16</v>
      </c>
      <c r="D626">
        <v>4</v>
      </c>
      <c r="E626" t="s">
        <v>17</v>
      </c>
      <c r="F626" t="s">
        <v>380</v>
      </c>
      <c r="G626" t="s">
        <v>608</v>
      </c>
      <c r="H626" t="s">
        <v>52</v>
      </c>
    </row>
    <row r="627" spans="1:8" x14ac:dyDescent="0.2">
      <c r="A627" t="s">
        <v>2231</v>
      </c>
      <c r="B627" t="s">
        <v>1407</v>
      </c>
      <c r="C627" t="s">
        <v>18</v>
      </c>
      <c r="D627">
        <v>3</v>
      </c>
      <c r="E627" t="s">
        <v>17</v>
      </c>
      <c r="F627" t="s">
        <v>380</v>
      </c>
      <c r="G627" t="s">
        <v>608</v>
      </c>
      <c r="H627" t="s">
        <v>52</v>
      </c>
    </row>
    <row r="628" spans="1:8" x14ac:dyDescent="0.2">
      <c r="A628" t="s">
        <v>2232</v>
      </c>
      <c r="B628" t="s">
        <v>1407</v>
      </c>
      <c r="C628" t="s">
        <v>16</v>
      </c>
      <c r="D628">
        <v>4</v>
      </c>
      <c r="E628" t="s">
        <v>17</v>
      </c>
      <c r="F628" t="s">
        <v>380</v>
      </c>
      <c r="G628" t="s">
        <v>608</v>
      </c>
      <c r="H628" t="s">
        <v>52</v>
      </c>
    </row>
    <row r="629" spans="1:8" x14ac:dyDescent="0.2">
      <c r="A629" t="s">
        <v>2233</v>
      </c>
      <c r="B629" t="s">
        <v>1407</v>
      </c>
      <c r="C629" t="s">
        <v>18</v>
      </c>
      <c r="D629">
        <v>2</v>
      </c>
      <c r="E629" t="s">
        <v>17</v>
      </c>
      <c r="F629" t="s">
        <v>380</v>
      </c>
      <c r="G629" t="s">
        <v>608</v>
      </c>
      <c r="H629" t="s">
        <v>52</v>
      </c>
    </row>
    <row r="630" spans="1:8" x14ac:dyDescent="0.2">
      <c r="A630" t="s">
        <v>2234</v>
      </c>
      <c r="B630" t="s">
        <v>1407</v>
      </c>
      <c r="C630" t="s">
        <v>18</v>
      </c>
      <c r="D630">
        <v>2</v>
      </c>
      <c r="E630" t="s">
        <v>17</v>
      </c>
      <c r="F630" t="s">
        <v>380</v>
      </c>
      <c r="G630" t="s">
        <v>608</v>
      </c>
      <c r="H630" t="s">
        <v>52</v>
      </c>
    </row>
    <row r="631" spans="1:8" x14ac:dyDescent="0.2">
      <c r="A631" t="s">
        <v>2235</v>
      </c>
      <c r="B631" t="s">
        <v>1407</v>
      </c>
      <c r="C631" t="s">
        <v>19</v>
      </c>
      <c r="D631">
        <v>2</v>
      </c>
      <c r="E631" t="s">
        <v>17</v>
      </c>
      <c r="F631" t="s">
        <v>381</v>
      </c>
      <c r="G631" t="s">
        <v>608</v>
      </c>
      <c r="H631" t="s">
        <v>52</v>
      </c>
    </row>
    <row r="632" spans="1:8" x14ac:dyDescent="0.2">
      <c r="A632" t="s">
        <v>2236</v>
      </c>
      <c r="B632" t="s">
        <v>1415</v>
      </c>
      <c r="C632" t="s">
        <v>18</v>
      </c>
      <c r="D632">
        <v>2</v>
      </c>
      <c r="E632" t="s">
        <v>17</v>
      </c>
      <c r="F632" t="s">
        <v>380</v>
      </c>
      <c r="G632" t="s">
        <v>608</v>
      </c>
      <c r="H632" t="s">
        <v>52</v>
      </c>
    </row>
    <row r="633" spans="1:8" x14ac:dyDescent="0.2">
      <c r="A633" t="s">
        <v>2237</v>
      </c>
      <c r="B633" t="s">
        <v>1415</v>
      </c>
      <c r="C633" t="s">
        <v>16</v>
      </c>
      <c r="D633">
        <v>4</v>
      </c>
      <c r="E633" t="s">
        <v>17</v>
      </c>
      <c r="F633" t="s">
        <v>380</v>
      </c>
      <c r="G633" t="s">
        <v>608</v>
      </c>
      <c r="H633" t="s">
        <v>52</v>
      </c>
    </row>
    <row r="634" spans="1:8" x14ac:dyDescent="0.2">
      <c r="A634" t="s">
        <v>2238</v>
      </c>
      <c r="B634" t="s">
        <v>1415</v>
      </c>
      <c r="C634" t="s">
        <v>19</v>
      </c>
      <c r="D634">
        <v>1</v>
      </c>
      <c r="E634" t="s">
        <v>17</v>
      </c>
      <c r="F634" t="s">
        <v>380</v>
      </c>
      <c r="G634" t="s">
        <v>608</v>
      </c>
      <c r="H634" t="s">
        <v>52</v>
      </c>
    </row>
    <row r="635" spans="1:8" x14ac:dyDescent="0.2">
      <c r="A635" t="s">
        <v>2239</v>
      </c>
      <c r="B635" t="s">
        <v>1415</v>
      </c>
      <c r="C635" t="s">
        <v>16</v>
      </c>
      <c r="D635">
        <v>4</v>
      </c>
      <c r="E635" t="s">
        <v>17</v>
      </c>
      <c r="F635" t="s">
        <v>380</v>
      </c>
      <c r="G635" t="s">
        <v>608</v>
      </c>
      <c r="H635" t="s">
        <v>52</v>
      </c>
    </row>
    <row r="636" spans="1:8" x14ac:dyDescent="0.2">
      <c r="A636" t="s">
        <v>2240</v>
      </c>
      <c r="B636" t="s">
        <v>1415</v>
      </c>
      <c r="C636" t="s">
        <v>16</v>
      </c>
      <c r="D636">
        <v>4</v>
      </c>
      <c r="E636" t="s">
        <v>21</v>
      </c>
      <c r="F636" t="s">
        <v>380</v>
      </c>
      <c r="G636" t="s">
        <v>608</v>
      </c>
      <c r="H636" t="s">
        <v>52</v>
      </c>
    </row>
    <row r="637" spans="1:8" x14ac:dyDescent="0.2">
      <c r="A637" t="s">
        <v>2241</v>
      </c>
      <c r="B637" t="s">
        <v>1417</v>
      </c>
      <c r="C637" t="s">
        <v>16</v>
      </c>
      <c r="D637" t="s">
        <v>16</v>
      </c>
      <c r="E637" t="s">
        <v>20</v>
      </c>
      <c r="F637" t="s">
        <v>380</v>
      </c>
      <c r="G637" t="s">
        <v>608</v>
      </c>
      <c r="H637" t="s">
        <v>52</v>
      </c>
    </row>
    <row r="638" spans="1:8" x14ac:dyDescent="0.2">
      <c r="A638" t="s">
        <v>2242</v>
      </c>
      <c r="B638" t="s">
        <v>1417</v>
      </c>
      <c r="C638" t="s">
        <v>18</v>
      </c>
      <c r="D638">
        <v>2</v>
      </c>
      <c r="E638" t="s">
        <v>17</v>
      </c>
      <c r="F638" t="s">
        <v>380</v>
      </c>
      <c r="G638" t="s">
        <v>608</v>
      </c>
      <c r="H638" t="s">
        <v>52</v>
      </c>
    </row>
    <row r="639" spans="1:8" x14ac:dyDescent="0.2">
      <c r="A639" t="s">
        <v>2243</v>
      </c>
      <c r="B639" t="s">
        <v>1417</v>
      </c>
      <c r="C639" t="s">
        <v>18</v>
      </c>
      <c r="D639">
        <v>1</v>
      </c>
      <c r="E639" t="s">
        <v>17</v>
      </c>
      <c r="F639" t="s">
        <v>380</v>
      </c>
      <c r="G639" t="s">
        <v>608</v>
      </c>
      <c r="H639" t="s">
        <v>52</v>
      </c>
    </row>
    <row r="640" spans="1:8" x14ac:dyDescent="0.2">
      <c r="A640" t="s">
        <v>2244</v>
      </c>
      <c r="B640" t="s">
        <v>1417</v>
      </c>
      <c r="C640" t="s">
        <v>18</v>
      </c>
      <c r="D640">
        <v>3</v>
      </c>
      <c r="E640" t="s">
        <v>21</v>
      </c>
      <c r="F640" t="s">
        <v>380</v>
      </c>
      <c r="G640" t="s">
        <v>608</v>
      </c>
      <c r="H640" t="s">
        <v>52</v>
      </c>
    </row>
    <row r="641" spans="1:8" x14ac:dyDescent="0.2">
      <c r="A641" t="s">
        <v>2245</v>
      </c>
      <c r="B641" t="s">
        <v>1417</v>
      </c>
      <c r="C641" t="s">
        <v>18</v>
      </c>
      <c r="D641">
        <v>2</v>
      </c>
      <c r="E641" t="s">
        <v>17</v>
      </c>
      <c r="F641" t="s">
        <v>380</v>
      </c>
      <c r="G641" t="s">
        <v>608</v>
      </c>
      <c r="H641" t="s">
        <v>52</v>
      </c>
    </row>
    <row r="642" spans="1:8" x14ac:dyDescent="0.2">
      <c r="A642" t="s">
        <v>2246</v>
      </c>
      <c r="B642" t="s">
        <v>1419</v>
      </c>
      <c r="C642" t="s">
        <v>16</v>
      </c>
      <c r="D642">
        <v>4</v>
      </c>
      <c r="E642" t="s">
        <v>17</v>
      </c>
      <c r="F642" t="s">
        <v>380</v>
      </c>
      <c r="G642" t="s">
        <v>608</v>
      </c>
      <c r="H642" t="s">
        <v>52</v>
      </c>
    </row>
    <row r="643" spans="1:8" x14ac:dyDescent="0.2">
      <c r="A643" t="s">
        <v>2247</v>
      </c>
      <c r="B643" t="s">
        <v>1419</v>
      </c>
      <c r="C643" t="s">
        <v>16</v>
      </c>
      <c r="D643">
        <v>4</v>
      </c>
      <c r="E643" t="s">
        <v>17</v>
      </c>
      <c r="F643" t="s">
        <v>380</v>
      </c>
      <c r="G643" t="s">
        <v>608</v>
      </c>
      <c r="H643" t="s">
        <v>52</v>
      </c>
    </row>
    <row r="644" spans="1:8" x14ac:dyDescent="0.2">
      <c r="A644" t="s">
        <v>2248</v>
      </c>
      <c r="B644" t="s">
        <v>1419</v>
      </c>
      <c r="C644" t="s">
        <v>16</v>
      </c>
      <c r="D644">
        <v>4</v>
      </c>
      <c r="E644" t="s">
        <v>17</v>
      </c>
      <c r="F644" t="s">
        <v>380</v>
      </c>
      <c r="G644" t="s">
        <v>608</v>
      </c>
      <c r="H644" t="s">
        <v>52</v>
      </c>
    </row>
    <row r="645" spans="1:8" x14ac:dyDescent="0.2">
      <c r="A645" t="s">
        <v>2249</v>
      </c>
      <c r="B645" t="s">
        <v>1419</v>
      </c>
      <c r="C645" t="s">
        <v>16</v>
      </c>
      <c r="D645">
        <v>4</v>
      </c>
      <c r="E645" t="s">
        <v>17</v>
      </c>
      <c r="F645" t="s">
        <v>380</v>
      </c>
      <c r="G645" t="s">
        <v>608</v>
      </c>
      <c r="H645" t="s">
        <v>52</v>
      </c>
    </row>
    <row r="646" spans="1:8" x14ac:dyDescent="0.2">
      <c r="A646" t="s">
        <v>2250</v>
      </c>
      <c r="B646" t="s">
        <v>1419</v>
      </c>
      <c r="C646" t="s">
        <v>16</v>
      </c>
      <c r="D646">
        <v>4</v>
      </c>
      <c r="E646" t="s">
        <v>17</v>
      </c>
      <c r="F646" t="s">
        <v>380</v>
      </c>
      <c r="G646" t="s">
        <v>608</v>
      </c>
      <c r="H646" t="s">
        <v>52</v>
      </c>
    </row>
    <row r="647" spans="1:8" x14ac:dyDescent="0.2">
      <c r="A647" t="s">
        <v>2251</v>
      </c>
      <c r="B647" t="s">
        <v>1427</v>
      </c>
      <c r="C647" t="s">
        <v>19</v>
      </c>
      <c r="D647">
        <v>2</v>
      </c>
      <c r="E647" t="s">
        <v>17</v>
      </c>
      <c r="F647" t="s">
        <v>380</v>
      </c>
      <c r="G647" t="s">
        <v>608</v>
      </c>
      <c r="H647" t="s">
        <v>52</v>
      </c>
    </row>
    <row r="648" spans="1:8" x14ac:dyDescent="0.2">
      <c r="A648" t="s">
        <v>2252</v>
      </c>
      <c r="B648" t="s">
        <v>1427</v>
      </c>
      <c r="C648" t="s">
        <v>16</v>
      </c>
      <c r="D648">
        <v>4</v>
      </c>
      <c r="E648" t="s">
        <v>17</v>
      </c>
      <c r="F648" t="s">
        <v>380</v>
      </c>
      <c r="G648" t="s">
        <v>608</v>
      </c>
      <c r="H648" t="s">
        <v>52</v>
      </c>
    </row>
    <row r="649" spans="1:8" x14ac:dyDescent="0.2">
      <c r="A649" t="s">
        <v>2253</v>
      </c>
      <c r="B649" t="s">
        <v>1427</v>
      </c>
      <c r="C649" t="s">
        <v>16</v>
      </c>
      <c r="D649">
        <v>4</v>
      </c>
      <c r="E649" t="s">
        <v>17</v>
      </c>
      <c r="F649" t="s">
        <v>380</v>
      </c>
      <c r="G649" t="s">
        <v>608</v>
      </c>
      <c r="H649" t="s">
        <v>52</v>
      </c>
    </row>
    <row r="650" spans="1:8" x14ac:dyDescent="0.2">
      <c r="A650" t="s">
        <v>2254</v>
      </c>
      <c r="B650" t="s">
        <v>1427</v>
      </c>
      <c r="C650" t="s">
        <v>18</v>
      </c>
      <c r="D650">
        <v>2</v>
      </c>
      <c r="E650" t="s">
        <v>17</v>
      </c>
      <c r="F650" t="s">
        <v>380</v>
      </c>
      <c r="G650" t="s">
        <v>608</v>
      </c>
      <c r="H650" t="s">
        <v>52</v>
      </c>
    </row>
    <row r="651" spans="1:8" x14ac:dyDescent="0.2">
      <c r="A651" t="s">
        <v>2255</v>
      </c>
      <c r="B651" t="s">
        <v>1427</v>
      </c>
      <c r="C651" t="s">
        <v>18</v>
      </c>
      <c r="D651">
        <v>3</v>
      </c>
      <c r="E651" t="s">
        <v>17</v>
      </c>
      <c r="F651" t="s">
        <v>380</v>
      </c>
      <c r="G651" t="s">
        <v>608</v>
      </c>
      <c r="H651" t="s">
        <v>52</v>
      </c>
    </row>
    <row r="652" spans="1:8" x14ac:dyDescent="0.2">
      <c r="A652" t="s">
        <v>2256</v>
      </c>
      <c r="B652" t="s">
        <v>1429</v>
      </c>
      <c r="C652" t="s">
        <v>18</v>
      </c>
      <c r="D652">
        <v>1</v>
      </c>
      <c r="E652" t="s">
        <v>17</v>
      </c>
      <c r="F652" t="s">
        <v>380</v>
      </c>
      <c r="G652" t="s">
        <v>608</v>
      </c>
      <c r="H652" t="s">
        <v>52</v>
      </c>
    </row>
    <row r="653" spans="1:8" x14ac:dyDescent="0.2">
      <c r="A653" t="s">
        <v>2257</v>
      </c>
      <c r="B653" t="s">
        <v>1429</v>
      </c>
      <c r="C653" t="s">
        <v>16</v>
      </c>
      <c r="D653">
        <v>4</v>
      </c>
      <c r="E653" t="s">
        <v>17</v>
      </c>
      <c r="F653" t="s">
        <v>380</v>
      </c>
      <c r="G653" t="s">
        <v>608</v>
      </c>
      <c r="H653" t="s">
        <v>52</v>
      </c>
    </row>
    <row r="654" spans="1:8" x14ac:dyDescent="0.2">
      <c r="A654" t="s">
        <v>2258</v>
      </c>
      <c r="B654" t="s">
        <v>1429</v>
      </c>
      <c r="C654" t="s">
        <v>16</v>
      </c>
      <c r="D654">
        <v>4</v>
      </c>
      <c r="E654" t="s">
        <v>21</v>
      </c>
      <c r="F654" t="s">
        <v>381</v>
      </c>
      <c r="G654" t="s">
        <v>608</v>
      </c>
      <c r="H654" t="s">
        <v>52</v>
      </c>
    </row>
    <row r="655" spans="1:8" x14ac:dyDescent="0.2">
      <c r="A655" t="s">
        <v>2259</v>
      </c>
      <c r="B655" t="s">
        <v>1429</v>
      </c>
      <c r="C655" t="s">
        <v>18</v>
      </c>
      <c r="D655">
        <v>2</v>
      </c>
      <c r="E655" t="s">
        <v>17</v>
      </c>
      <c r="F655" t="s">
        <v>380</v>
      </c>
      <c r="G655" t="s">
        <v>608</v>
      </c>
      <c r="H655" t="s">
        <v>52</v>
      </c>
    </row>
    <row r="656" spans="1:8" x14ac:dyDescent="0.2">
      <c r="A656" t="s">
        <v>2260</v>
      </c>
      <c r="B656" t="s">
        <v>1429</v>
      </c>
      <c r="C656" t="s">
        <v>18</v>
      </c>
      <c r="D656">
        <v>1</v>
      </c>
      <c r="E656" t="s">
        <v>21</v>
      </c>
      <c r="F656" t="s">
        <v>381</v>
      </c>
      <c r="G656" t="s">
        <v>608</v>
      </c>
      <c r="H656" t="s">
        <v>52</v>
      </c>
    </row>
    <row r="657" spans="1:8" x14ac:dyDescent="0.2">
      <c r="A657" t="s">
        <v>2261</v>
      </c>
      <c r="B657" t="s">
        <v>1431</v>
      </c>
      <c r="C657" t="s">
        <v>16</v>
      </c>
      <c r="D657">
        <v>4</v>
      </c>
      <c r="E657" t="s">
        <v>17</v>
      </c>
      <c r="F657" t="s">
        <v>380</v>
      </c>
      <c r="G657" t="s">
        <v>608</v>
      </c>
      <c r="H657" t="s">
        <v>52</v>
      </c>
    </row>
    <row r="658" spans="1:8" x14ac:dyDescent="0.2">
      <c r="A658" t="s">
        <v>2262</v>
      </c>
      <c r="B658" t="s">
        <v>1431</v>
      </c>
      <c r="C658" t="s">
        <v>16</v>
      </c>
      <c r="D658" t="s">
        <v>16</v>
      </c>
      <c r="E658" t="s">
        <v>20</v>
      </c>
      <c r="F658" t="s">
        <v>380</v>
      </c>
      <c r="G658" t="s">
        <v>608</v>
      </c>
      <c r="H658" t="s">
        <v>52</v>
      </c>
    </row>
    <row r="659" spans="1:8" x14ac:dyDescent="0.2">
      <c r="A659" t="s">
        <v>2263</v>
      </c>
      <c r="B659" t="s">
        <v>1431</v>
      </c>
      <c r="C659" t="s">
        <v>16</v>
      </c>
      <c r="D659" t="s">
        <v>16</v>
      </c>
      <c r="E659" t="s">
        <v>17</v>
      </c>
      <c r="F659" t="s">
        <v>381</v>
      </c>
      <c r="G659" t="s">
        <v>608</v>
      </c>
      <c r="H659" t="s">
        <v>52</v>
      </c>
    </row>
    <row r="660" spans="1:8" x14ac:dyDescent="0.2">
      <c r="A660" t="s">
        <v>2264</v>
      </c>
      <c r="B660" t="s">
        <v>1431</v>
      </c>
      <c r="C660" t="s">
        <v>16</v>
      </c>
      <c r="D660" t="s">
        <v>16</v>
      </c>
      <c r="E660" t="s">
        <v>17</v>
      </c>
      <c r="F660" t="s">
        <v>381</v>
      </c>
      <c r="G660" t="s">
        <v>608</v>
      </c>
      <c r="H660" t="s">
        <v>52</v>
      </c>
    </row>
    <row r="661" spans="1:8" x14ac:dyDescent="0.2">
      <c r="A661" t="s">
        <v>2265</v>
      </c>
      <c r="B661" t="s">
        <v>1431</v>
      </c>
      <c r="C661" t="s">
        <v>16</v>
      </c>
      <c r="D661">
        <v>4</v>
      </c>
      <c r="E661" t="s">
        <v>17</v>
      </c>
      <c r="F661" t="s">
        <v>380</v>
      </c>
      <c r="G661" t="s">
        <v>608</v>
      </c>
      <c r="H661" t="s">
        <v>52</v>
      </c>
    </row>
    <row r="662" spans="1:8" x14ac:dyDescent="0.2">
      <c r="A662" t="s">
        <v>2266</v>
      </c>
      <c r="B662" t="s">
        <v>1439</v>
      </c>
      <c r="C662" t="s">
        <v>16</v>
      </c>
      <c r="D662">
        <v>4</v>
      </c>
      <c r="E662" t="s">
        <v>17</v>
      </c>
      <c r="F662" t="s">
        <v>380</v>
      </c>
      <c r="G662" t="s">
        <v>608</v>
      </c>
      <c r="H662" t="s">
        <v>52</v>
      </c>
    </row>
    <row r="663" spans="1:8" x14ac:dyDescent="0.2">
      <c r="A663" t="s">
        <v>2267</v>
      </c>
      <c r="B663" t="s">
        <v>1439</v>
      </c>
      <c r="C663" t="s">
        <v>18</v>
      </c>
      <c r="D663">
        <v>2</v>
      </c>
      <c r="E663" t="s">
        <v>17</v>
      </c>
      <c r="F663" t="s">
        <v>380</v>
      </c>
      <c r="G663" t="s">
        <v>608</v>
      </c>
      <c r="H663" t="s">
        <v>52</v>
      </c>
    </row>
    <row r="664" spans="1:8" x14ac:dyDescent="0.2">
      <c r="A664" t="s">
        <v>2268</v>
      </c>
      <c r="B664" t="s">
        <v>1439</v>
      </c>
      <c r="C664" t="s">
        <v>18</v>
      </c>
      <c r="D664">
        <v>2</v>
      </c>
      <c r="E664" t="s">
        <v>17</v>
      </c>
      <c r="F664" t="s">
        <v>380</v>
      </c>
      <c r="G664" t="s">
        <v>608</v>
      </c>
      <c r="H664" t="s">
        <v>52</v>
      </c>
    </row>
    <row r="665" spans="1:8" x14ac:dyDescent="0.2">
      <c r="A665" t="s">
        <v>2269</v>
      </c>
      <c r="B665" t="s">
        <v>1439</v>
      </c>
      <c r="C665" t="s">
        <v>19</v>
      </c>
      <c r="D665">
        <v>3</v>
      </c>
      <c r="E665" t="s">
        <v>17</v>
      </c>
      <c r="F665" t="s">
        <v>380</v>
      </c>
      <c r="G665" t="s">
        <v>608</v>
      </c>
      <c r="H665" t="s">
        <v>52</v>
      </c>
    </row>
    <row r="666" spans="1:8" x14ac:dyDescent="0.2">
      <c r="A666" t="s">
        <v>2270</v>
      </c>
      <c r="B666" t="s">
        <v>1439</v>
      </c>
      <c r="C666" t="s">
        <v>16</v>
      </c>
      <c r="D666">
        <v>4</v>
      </c>
      <c r="E666" t="s">
        <v>17</v>
      </c>
      <c r="F666" t="s">
        <v>380</v>
      </c>
      <c r="G666" t="s">
        <v>608</v>
      </c>
      <c r="H666" t="s">
        <v>52</v>
      </c>
    </row>
    <row r="667" spans="1:8" x14ac:dyDescent="0.2">
      <c r="A667" t="s">
        <v>2271</v>
      </c>
      <c r="B667" t="s">
        <v>1441</v>
      </c>
      <c r="C667" t="s">
        <v>18</v>
      </c>
      <c r="D667">
        <v>3</v>
      </c>
      <c r="E667" t="s">
        <v>17</v>
      </c>
      <c r="F667" t="s">
        <v>380</v>
      </c>
      <c r="G667" t="s">
        <v>608</v>
      </c>
      <c r="H667" t="s">
        <v>52</v>
      </c>
    </row>
    <row r="668" spans="1:8" x14ac:dyDescent="0.2">
      <c r="A668" t="s">
        <v>2272</v>
      </c>
      <c r="B668" t="s">
        <v>1441</v>
      </c>
      <c r="C668" t="s">
        <v>19</v>
      </c>
      <c r="D668">
        <v>2</v>
      </c>
      <c r="E668" t="s">
        <v>17</v>
      </c>
      <c r="F668" t="s">
        <v>380</v>
      </c>
      <c r="G668" t="s">
        <v>608</v>
      </c>
      <c r="H668" t="s">
        <v>52</v>
      </c>
    </row>
    <row r="669" spans="1:8" x14ac:dyDescent="0.2">
      <c r="A669" t="s">
        <v>2273</v>
      </c>
      <c r="B669" t="s">
        <v>1441</v>
      </c>
      <c r="C669" t="s">
        <v>18</v>
      </c>
      <c r="D669">
        <v>1</v>
      </c>
      <c r="E669" t="s">
        <v>17</v>
      </c>
      <c r="F669" t="s">
        <v>380</v>
      </c>
      <c r="G669" t="s">
        <v>608</v>
      </c>
      <c r="H669" t="s">
        <v>52</v>
      </c>
    </row>
    <row r="670" spans="1:8" x14ac:dyDescent="0.2">
      <c r="A670" t="s">
        <v>2274</v>
      </c>
      <c r="B670" t="s">
        <v>1441</v>
      </c>
      <c r="C670" t="s">
        <v>18</v>
      </c>
      <c r="D670">
        <v>2</v>
      </c>
      <c r="E670" t="s">
        <v>17</v>
      </c>
      <c r="F670" t="s">
        <v>380</v>
      </c>
      <c r="G670" t="s">
        <v>608</v>
      </c>
      <c r="H670" t="s">
        <v>52</v>
      </c>
    </row>
    <row r="671" spans="1:8" x14ac:dyDescent="0.2">
      <c r="A671" t="s">
        <v>2275</v>
      </c>
      <c r="B671" t="s">
        <v>1441</v>
      </c>
      <c r="C671" t="s">
        <v>19</v>
      </c>
      <c r="D671">
        <v>2</v>
      </c>
      <c r="E671" t="s">
        <v>17</v>
      </c>
      <c r="F671" t="s">
        <v>380</v>
      </c>
      <c r="G671" t="s">
        <v>608</v>
      </c>
      <c r="H671" t="s">
        <v>52</v>
      </c>
    </row>
    <row r="672" spans="1:8" x14ac:dyDescent="0.2">
      <c r="A672" t="s">
        <v>2276</v>
      </c>
      <c r="B672" t="s">
        <v>1443</v>
      </c>
      <c r="C672" t="s">
        <v>18</v>
      </c>
      <c r="D672">
        <v>2</v>
      </c>
      <c r="E672" t="s">
        <v>17</v>
      </c>
      <c r="F672" t="s">
        <v>380</v>
      </c>
      <c r="G672" t="s">
        <v>608</v>
      </c>
      <c r="H672" t="s">
        <v>52</v>
      </c>
    </row>
    <row r="673" spans="1:8" x14ac:dyDescent="0.2">
      <c r="A673" t="s">
        <v>2277</v>
      </c>
      <c r="B673" t="s">
        <v>1443</v>
      </c>
      <c r="C673" t="s">
        <v>19</v>
      </c>
      <c r="D673">
        <v>1</v>
      </c>
      <c r="E673" t="s">
        <v>17</v>
      </c>
      <c r="F673" t="s">
        <v>380</v>
      </c>
      <c r="G673" t="s">
        <v>608</v>
      </c>
      <c r="H673" t="s">
        <v>52</v>
      </c>
    </row>
    <row r="674" spans="1:8" x14ac:dyDescent="0.2">
      <c r="A674" t="s">
        <v>2278</v>
      </c>
      <c r="B674" t="s">
        <v>1443</v>
      </c>
      <c r="C674" t="s">
        <v>18</v>
      </c>
      <c r="D674">
        <v>2</v>
      </c>
      <c r="E674" t="s">
        <v>17</v>
      </c>
      <c r="F674" t="s">
        <v>380</v>
      </c>
      <c r="G674" t="s">
        <v>608</v>
      </c>
      <c r="H674" t="s">
        <v>52</v>
      </c>
    </row>
    <row r="675" spans="1:8" x14ac:dyDescent="0.2">
      <c r="A675" t="s">
        <v>2279</v>
      </c>
      <c r="B675" t="s">
        <v>1443</v>
      </c>
      <c r="C675" t="s">
        <v>19</v>
      </c>
      <c r="D675">
        <v>2</v>
      </c>
      <c r="E675" t="s">
        <v>17</v>
      </c>
      <c r="F675" t="s">
        <v>380</v>
      </c>
      <c r="G675" t="s">
        <v>608</v>
      </c>
      <c r="H675" t="s">
        <v>52</v>
      </c>
    </row>
    <row r="676" spans="1:8" x14ac:dyDescent="0.2">
      <c r="A676" t="s">
        <v>2280</v>
      </c>
      <c r="B676" t="s">
        <v>1443</v>
      </c>
      <c r="C676" t="s">
        <v>18</v>
      </c>
      <c r="D676">
        <v>1</v>
      </c>
      <c r="E676" t="s">
        <v>17</v>
      </c>
      <c r="F676" t="s">
        <v>380</v>
      </c>
      <c r="G676" t="s">
        <v>608</v>
      </c>
      <c r="H676" t="s">
        <v>52</v>
      </c>
    </row>
    <row r="677" spans="1:8" x14ac:dyDescent="0.2">
      <c r="A677" t="s">
        <v>2281</v>
      </c>
      <c r="B677" t="s">
        <v>1451</v>
      </c>
      <c r="C677" t="s">
        <v>18</v>
      </c>
      <c r="D677">
        <v>2</v>
      </c>
      <c r="E677" t="s">
        <v>17</v>
      </c>
      <c r="F677" t="s">
        <v>380</v>
      </c>
      <c r="G677" t="s">
        <v>608</v>
      </c>
      <c r="H677" t="s">
        <v>52</v>
      </c>
    </row>
    <row r="678" spans="1:8" x14ac:dyDescent="0.2">
      <c r="A678" t="s">
        <v>2282</v>
      </c>
      <c r="B678" t="s">
        <v>1451</v>
      </c>
      <c r="C678" t="s">
        <v>19</v>
      </c>
      <c r="D678">
        <v>2</v>
      </c>
      <c r="E678" t="s">
        <v>17</v>
      </c>
      <c r="F678" t="s">
        <v>380</v>
      </c>
      <c r="G678" t="s">
        <v>608</v>
      </c>
      <c r="H678" t="s">
        <v>52</v>
      </c>
    </row>
    <row r="679" spans="1:8" x14ac:dyDescent="0.2">
      <c r="A679" t="s">
        <v>2283</v>
      </c>
      <c r="B679" t="s">
        <v>1451</v>
      </c>
      <c r="C679" t="s">
        <v>16</v>
      </c>
      <c r="D679">
        <v>4</v>
      </c>
      <c r="E679" t="s">
        <v>17</v>
      </c>
      <c r="F679" t="s">
        <v>380</v>
      </c>
      <c r="G679" t="s">
        <v>608</v>
      </c>
      <c r="H679" t="s">
        <v>52</v>
      </c>
    </row>
    <row r="680" spans="1:8" x14ac:dyDescent="0.2">
      <c r="A680" t="s">
        <v>2284</v>
      </c>
      <c r="B680" t="s">
        <v>1451</v>
      </c>
      <c r="C680" t="s">
        <v>16</v>
      </c>
      <c r="D680">
        <v>4</v>
      </c>
      <c r="E680" t="s">
        <v>21</v>
      </c>
      <c r="F680" t="s">
        <v>380</v>
      </c>
      <c r="G680" t="s">
        <v>608</v>
      </c>
      <c r="H680" t="s">
        <v>52</v>
      </c>
    </row>
    <row r="681" spans="1:8" x14ac:dyDescent="0.2">
      <c r="A681" t="s">
        <v>2285</v>
      </c>
      <c r="B681" t="s">
        <v>1451</v>
      </c>
      <c r="C681" t="s">
        <v>18</v>
      </c>
      <c r="D681">
        <v>2</v>
      </c>
      <c r="E681" t="s">
        <v>17</v>
      </c>
      <c r="F681" t="s">
        <v>380</v>
      </c>
      <c r="G681" t="s">
        <v>608</v>
      </c>
      <c r="H681" t="s">
        <v>52</v>
      </c>
    </row>
    <row r="682" spans="1:8" x14ac:dyDescent="0.2">
      <c r="A682" t="s">
        <v>2286</v>
      </c>
      <c r="B682" t="s">
        <v>1453</v>
      </c>
      <c r="C682" t="s">
        <v>18</v>
      </c>
      <c r="D682">
        <v>2</v>
      </c>
      <c r="E682" t="s">
        <v>17</v>
      </c>
      <c r="F682" t="s">
        <v>380</v>
      </c>
      <c r="G682" t="s">
        <v>608</v>
      </c>
      <c r="H682" t="s">
        <v>52</v>
      </c>
    </row>
    <row r="683" spans="1:8" x14ac:dyDescent="0.2">
      <c r="A683" t="s">
        <v>2287</v>
      </c>
      <c r="B683" t="s">
        <v>1453</v>
      </c>
      <c r="C683" t="s">
        <v>19</v>
      </c>
      <c r="D683">
        <v>2</v>
      </c>
      <c r="E683" t="s">
        <v>17</v>
      </c>
      <c r="F683" t="s">
        <v>380</v>
      </c>
      <c r="G683" t="s">
        <v>608</v>
      </c>
      <c r="H683" t="s">
        <v>52</v>
      </c>
    </row>
    <row r="684" spans="1:8" x14ac:dyDescent="0.2">
      <c r="A684" t="s">
        <v>2288</v>
      </c>
      <c r="B684" t="s">
        <v>1453</v>
      </c>
      <c r="C684" t="s">
        <v>18</v>
      </c>
      <c r="D684">
        <v>2</v>
      </c>
      <c r="E684" t="s">
        <v>17</v>
      </c>
      <c r="F684" t="s">
        <v>380</v>
      </c>
      <c r="G684" t="s">
        <v>608</v>
      </c>
      <c r="H684" t="s">
        <v>52</v>
      </c>
    </row>
    <row r="685" spans="1:8" x14ac:dyDescent="0.2">
      <c r="A685" t="s">
        <v>2289</v>
      </c>
      <c r="B685" t="s">
        <v>1453</v>
      </c>
      <c r="C685" t="s">
        <v>18</v>
      </c>
      <c r="D685">
        <v>2</v>
      </c>
      <c r="E685" t="s">
        <v>17</v>
      </c>
      <c r="F685" t="s">
        <v>380</v>
      </c>
      <c r="G685" t="s">
        <v>608</v>
      </c>
      <c r="H685" t="s">
        <v>52</v>
      </c>
    </row>
    <row r="686" spans="1:8" x14ac:dyDescent="0.2">
      <c r="A686" t="s">
        <v>2290</v>
      </c>
      <c r="B686" t="s">
        <v>1453</v>
      </c>
      <c r="C686" t="s">
        <v>18</v>
      </c>
      <c r="D686">
        <v>2</v>
      </c>
      <c r="E686" t="s">
        <v>17</v>
      </c>
      <c r="F686" t="s">
        <v>380</v>
      </c>
      <c r="G686" t="s">
        <v>608</v>
      </c>
      <c r="H686" t="s">
        <v>52</v>
      </c>
    </row>
    <row r="687" spans="1:8" x14ac:dyDescent="0.2">
      <c r="A687" t="s">
        <v>2291</v>
      </c>
      <c r="B687" t="s">
        <v>1455</v>
      </c>
      <c r="C687" t="s">
        <v>18</v>
      </c>
      <c r="D687">
        <v>2</v>
      </c>
      <c r="E687" t="s">
        <v>17</v>
      </c>
      <c r="F687" t="s">
        <v>380</v>
      </c>
      <c r="G687" t="s">
        <v>608</v>
      </c>
      <c r="H687" t="s">
        <v>52</v>
      </c>
    </row>
    <row r="688" spans="1:8" x14ac:dyDescent="0.2">
      <c r="A688" t="s">
        <v>2292</v>
      </c>
      <c r="B688" t="s">
        <v>1455</v>
      </c>
      <c r="C688" t="s">
        <v>18</v>
      </c>
      <c r="D688">
        <v>2</v>
      </c>
      <c r="E688" t="s">
        <v>17</v>
      </c>
      <c r="F688" t="s">
        <v>380</v>
      </c>
      <c r="G688" t="s">
        <v>608</v>
      </c>
      <c r="H688" t="s">
        <v>52</v>
      </c>
    </row>
    <row r="689" spans="1:8" x14ac:dyDescent="0.2">
      <c r="A689" t="s">
        <v>2293</v>
      </c>
      <c r="B689" t="s">
        <v>1455</v>
      </c>
      <c r="C689" t="s">
        <v>19</v>
      </c>
      <c r="D689">
        <v>2</v>
      </c>
      <c r="E689" t="s">
        <v>17</v>
      </c>
      <c r="F689" t="s">
        <v>380</v>
      </c>
      <c r="G689" t="s">
        <v>608</v>
      </c>
      <c r="H689" t="s">
        <v>52</v>
      </c>
    </row>
    <row r="690" spans="1:8" x14ac:dyDescent="0.2">
      <c r="A690" t="s">
        <v>2294</v>
      </c>
      <c r="B690" t="s">
        <v>1455</v>
      </c>
      <c r="C690" t="s">
        <v>18</v>
      </c>
      <c r="D690">
        <v>2</v>
      </c>
      <c r="E690" t="s">
        <v>17</v>
      </c>
      <c r="F690" t="s">
        <v>380</v>
      </c>
      <c r="G690" t="s">
        <v>608</v>
      </c>
      <c r="H690" t="s">
        <v>52</v>
      </c>
    </row>
    <row r="691" spans="1:8" x14ac:dyDescent="0.2">
      <c r="A691" t="s">
        <v>2295</v>
      </c>
      <c r="B691" t="s">
        <v>1455</v>
      </c>
      <c r="C691" t="s">
        <v>18</v>
      </c>
      <c r="D691">
        <v>2</v>
      </c>
      <c r="E691" t="s">
        <v>17</v>
      </c>
      <c r="F691" t="s">
        <v>380</v>
      </c>
      <c r="G691" t="s">
        <v>608</v>
      </c>
      <c r="H691" t="s">
        <v>52</v>
      </c>
    </row>
    <row r="692" spans="1:8" x14ac:dyDescent="0.2">
      <c r="A692" t="s">
        <v>2296</v>
      </c>
      <c r="B692" t="s">
        <v>1463</v>
      </c>
      <c r="C692" t="s">
        <v>18</v>
      </c>
      <c r="D692">
        <v>2</v>
      </c>
      <c r="E692" t="s">
        <v>17</v>
      </c>
      <c r="F692" t="s">
        <v>380</v>
      </c>
      <c r="G692" t="s">
        <v>608</v>
      </c>
      <c r="H692" t="s">
        <v>52</v>
      </c>
    </row>
    <row r="693" spans="1:8" x14ac:dyDescent="0.2">
      <c r="A693" t="s">
        <v>2297</v>
      </c>
      <c r="B693" t="s">
        <v>1463</v>
      </c>
      <c r="C693" t="s">
        <v>19</v>
      </c>
      <c r="D693">
        <v>2</v>
      </c>
      <c r="E693" t="s">
        <v>17</v>
      </c>
      <c r="F693" t="s">
        <v>380</v>
      </c>
      <c r="G693" t="s">
        <v>608</v>
      </c>
      <c r="H693" t="s">
        <v>52</v>
      </c>
    </row>
    <row r="694" spans="1:8" x14ac:dyDescent="0.2">
      <c r="A694" t="s">
        <v>2298</v>
      </c>
      <c r="B694" t="s">
        <v>1463</v>
      </c>
      <c r="C694" t="s">
        <v>19</v>
      </c>
      <c r="D694">
        <v>2</v>
      </c>
      <c r="E694" t="s">
        <v>17</v>
      </c>
      <c r="F694" t="s">
        <v>380</v>
      </c>
      <c r="G694" t="s">
        <v>608</v>
      </c>
      <c r="H694" t="s">
        <v>52</v>
      </c>
    </row>
    <row r="695" spans="1:8" x14ac:dyDescent="0.2">
      <c r="A695" t="s">
        <v>2299</v>
      </c>
      <c r="B695" t="s">
        <v>1463</v>
      </c>
      <c r="C695" t="s">
        <v>18</v>
      </c>
      <c r="D695">
        <v>2</v>
      </c>
      <c r="E695" t="s">
        <v>17</v>
      </c>
      <c r="F695" t="s">
        <v>380</v>
      </c>
      <c r="G695" t="s">
        <v>608</v>
      </c>
      <c r="H695" t="s">
        <v>52</v>
      </c>
    </row>
    <row r="696" spans="1:8" x14ac:dyDescent="0.2">
      <c r="A696" t="s">
        <v>2300</v>
      </c>
      <c r="B696" t="s">
        <v>1463</v>
      </c>
      <c r="C696" t="s">
        <v>16</v>
      </c>
      <c r="D696">
        <v>4</v>
      </c>
      <c r="E696" t="s">
        <v>21</v>
      </c>
      <c r="F696" t="s">
        <v>380</v>
      </c>
      <c r="G696" t="s">
        <v>608</v>
      </c>
      <c r="H696" t="s">
        <v>52</v>
      </c>
    </row>
    <row r="697" spans="1:8" x14ac:dyDescent="0.2">
      <c r="A697" t="s">
        <v>2301</v>
      </c>
      <c r="B697" t="s">
        <v>1465</v>
      </c>
      <c r="C697" t="s">
        <v>19</v>
      </c>
      <c r="D697">
        <v>2</v>
      </c>
      <c r="E697" t="s">
        <v>17</v>
      </c>
      <c r="F697" t="s">
        <v>380</v>
      </c>
      <c r="G697" t="s">
        <v>608</v>
      </c>
      <c r="H697" t="s">
        <v>52</v>
      </c>
    </row>
    <row r="698" spans="1:8" x14ac:dyDescent="0.2">
      <c r="A698" t="s">
        <v>2302</v>
      </c>
      <c r="B698" t="s">
        <v>1465</v>
      </c>
      <c r="C698" t="s">
        <v>19</v>
      </c>
      <c r="D698">
        <v>2</v>
      </c>
      <c r="E698" t="s">
        <v>17</v>
      </c>
      <c r="F698" t="s">
        <v>380</v>
      </c>
      <c r="G698" t="s">
        <v>608</v>
      </c>
      <c r="H698" t="s">
        <v>52</v>
      </c>
    </row>
    <row r="699" spans="1:8" x14ac:dyDescent="0.2">
      <c r="A699" t="s">
        <v>2303</v>
      </c>
      <c r="B699" t="s">
        <v>1465</v>
      </c>
      <c r="C699" t="s">
        <v>19</v>
      </c>
      <c r="D699">
        <v>2</v>
      </c>
      <c r="E699" t="s">
        <v>17</v>
      </c>
      <c r="F699" t="s">
        <v>380</v>
      </c>
      <c r="G699" t="s">
        <v>608</v>
      </c>
      <c r="H699" t="s">
        <v>52</v>
      </c>
    </row>
    <row r="700" spans="1:8" x14ac:dyDescent="0.2">
      <c r="A700" t="s">
        <v>2304</v>
      </c>
      <c r="B700" t="s">
        <v>1465</v>
      </c>
      <c r="C700" t="s">
        <v>18</v>
      </c>
      <c r="D700">
        <v>3</v>
      </c>
      <c r="E700" t="s">
        <v>17</v>
      </c>
      <c r="F700" t="s">
        <v>380</v>
      </c>
      <c r="G700" t="s">
        <v>608</v>
      </c>
      <c r="H700" t="s">
        <v>52</v>
      </c>
    </row>
    <row r="701" spans="1:8" x14ac:dyDescent="0.2">
      <c r="A701" t="s">
        <v>2305</v>
      </c>
      <c r="B701" t="s">
        <v>1465</v>
      </c>
      <c r="C701" t="s">
        <v>18</v>
      </c>
      <c r="D701">
        <v>2</v>
      </c>
      <c r="E701" t="s">
        <v>17</v>
      </c>
      <c r="F701" t="s">
        <v>380</v>
      </c>
      <c r="G701" t="s">
        <v>608</v>
      </c>
      <c r="H701" t="s">
        <v>52</v>
      </c>
    </row>
    <row r="702" spans="1:8" x14ac:dyDescent="0.2">
      <c r="A702" t="s">
        <v>2306</v>
      </c>
      <c r="B702" t="s">
        <v>1467</v>
      </c>
      <c r="C702" t="s">
        <v>19</v>
      </c>
      <c r="D702">
        <v>2</v>
      </c>
      <c r="E702" t="s">
        <v>17</v>
      </c>
      <c r="F702" t="s">
        <v>380</v>
      </c>
      <c r="G702" t="s">
        <v>608</v>
      </c>
      <c r="H702" t="s">
        <v>52</v>
      </c>
    </row>
    <row r="703" spans="1:8" x14ac:dyDescent="0.2">
      <c r="A703" t="s">
        <v>2307</v>
      </c>
      <c r="B703" t="s">
        <v>1467</v>
      </c>
      <c r="C703" t="s">
        <v>18</v>
      </c>
      <c r="D703">
        <v>2</v>
      </c>
      <c r="E703" t="s">
        <v>17</v>
      </c>
      <c r="F703" t="s">
        <v>380</v>
      </c>
      <c r="G703" t="s">
        <v>608</v>
      </c>
      <c r="H703" t="s">
        <v>52</v>
      </c>
    </row>
    <row r="704" spans="1:8" x14ac:dyDescent="0.2">
      <c r="A704" t="s">
        <v>2308</v>
      </c>
      <c r="B704" t="s">
        <v>1467</v>
      </c>
      <c r="C704" t="s">
        <v>18</v>
      </c>
      <c r="D704">
        <v>3</v>
      </c>
      <c r="E704" t="s">
        <v>17</v>
      </c>
      <c r="F704" t="s">
        <v>380</v>
      </c>
      <c r="G704" t="s">
        <v>608</v>
      </c>
      <c r="H704" t="s">
        <v>52</v>
      </c>
    </row>
    <row r="705" spans="1:8" x14ac:dyDescent="0.2">
      <c r="A705" t="s">
        <v>2309</v>
      </c>
      <c r="B705" t="s">
        <v>1467</v>
      </c>
      <c r="C705" t="s">
        <v>18</v>
      </c>
      <c r="D705">
        <v>2</v>
      </c>
      <c r="E705" t="s">
        <v>17</v>
      </c>
      <c r="F705" t="s">
        <v>380</v>
      </c>
      <c r="G705" t="s">
        <v>608</v>
      </c>
      <c r="H705" t="s">
        <v>52</v>
      </c>
    </row>
    <row r="706" spans="1:8" x14ac:dyDescent="0.2">
      <c r="A706" t="s">
        <v>2310</v>
      </c>
      <c r="B706" t="s">
        <v>1467</v>
      </c>
      <c r="C706" t="s">
        <v>19</v>
      </c>
      <c r="D706">
        <v>2</v>
      </c>
      <c r="E706" t="s">
        <v>17</v>
      </c>
      <c r="F706" t="s">
        <v>380</v>
      </c>
      <c r="G706" t="s">
        <v>608</v>
      </c>
      <c r="H706" t="s">
        <v>52</v>
      </c>
    </row>
    <row r="707" spans="1:8" x14ac:dyDescent="0.2">
      <c r="A707" t="s">
        <v>50</v>
      </c>
      <c r="B707" t="s">
        <v>51</v>
      </c>
      <c r="C707" t="s">
        <v>18</v>
      </c>
      <c r="D707">
        <v>2</v>
      </c>
      <c r="E707" t="s">
        <v>21</v>
      </c>
      <c r="F707" t="s">
        <v>380</v>
      </c>
      <c r="G707" t="s">
        <v>608</v>
      </c>
      <c r="H707" t="s">
        <v>52</v>
      </c>
    </row>
    <row r="708" spans="1:8" x14ac:dyDescent="0.2">
      <c r="A708" t="s">
        <v>53</v>
      </c>
      <c r="B708" t="s">
        <v>51</v>
      </c>
      <c r="C708" t="s">
        <v>18</v>
      </c>
      <c r="D708">
        <v>2</v>
      </c>
      <c r="E708" t="s">
        <v>17</v>
      </c>
      <c r="F708" t="s">
        <v>380</v>
      </c>
      <c r="G708" t="s">
        <v>608</v>
      </c>
      <c r="H708" t="s">
        <v>52</v>
      </c>
    </row>
    <row r="709" spans="1:8" x14ac:dyDescent="0.2">
      <c r="A709" t="s">
        <v>54</v>
      </c>
      <c r="B709" t="s">
        <v>51</v>
      </c>
      <c r="C709" t="s">
        <v>19</v>
      </c>
      <c r="D709">
        <v>2</v>
      </c>
      <c r="E709" t="s">
        <v>21</v>
      </c>
      <c r="F709" t="s">
        <v>380</v>
      </c>
      <c r="G709" t="s">
        <v>608</v>
      </c>
      <c r="H709" t="s">
        <v>52</v>
      </c>
    </row>
    <row r="710" spans="1:8" x14ac:dyDescent="0.2">
      <c r="A710" t="s">
        <v>55</v>
      </c>
      <c r="B710" t="s">
        <v>51</v>
      </c>
      <c r="C710" t="s">
        <v>19</v>
      </c>
      <c r="D710">
        <v>2</v>
      </c>
      <c r="E710" t="s">
        <v>21</v>
      </c>
      <c r="F710" t="s">
        <v>380</v>
      </c>
      <c r="G710" t="s">
        <v>608</v>
      </c>
      <c r="H710" t="s">
        <v>52</v>
      </c>
    </row>
    <row r="711" spans="1:8" x14ac:dyDescent="0.2">
      <c r="A711" t="s">
        <v>56</v>
      </c>
      <c r="B711" t="s">
        <v>51</v>
      </c>
      <c r="C711" t="s">
        <v>19</v>
      </c>
      <c r="D711">
        <v>2</v>
      </c>
      <c r="E711" t="s">
        <v>17</v>
      </c>
      <c r="F711" t="s">
        <v>380</v>
      </c>
      <c r="G711" t="s">
        <v>608</v>
      </c>
      <c r="H711" t="s">
        <v>52</v>
      </c>
    </row>
    <row r="712" spans="1:8" x14ac:dyDescent="0.2">
      <c r="A712" t="s">
        <v>57</v>
      </c>
      <c r="B712" t="s">
        <v>58</v>
      </c>
      <c r="C712" t="s">
        <v>18</v>
      </c>
      <c r="D712">
        <v>2</v>
      </c>
      <c r="E712" t="s">
        <v>17</v>
      </c>
      <c r="F712" t="s">
        <v>380</v>
      </c>
      <c r="G712" t="s">
        <v>608</v>
      </c>
      <c r="H712" t="s">
        <v>52</v>
      </c>
    </row>
    <row r="713" spans="1:8" x14ac:dyDescent="0.2">
      <c r="A713" t="s">
        <v>60</v>
      </c>
      <c r="B713" t="s">
        <v>58</v>
      </c>
      <c r="C713" t="s">
        <v>18</v>
      </c>
      <c r="D713">
        <v>2</v>
      </c>
      <c r="E713" t="s">
        <v>17</v>
      </c>
      <c r="F713" t="s">
        <v>380</v>
      </c>
      <c r="G713" t="s">
        <v>608</v>
      </c>
      <c r="H713" t="s">
        <v>52</v>
      </c>
    </row>
    <row r="714" spans="1:8" x14ac:dyDescent="0.2">
      <c r="A714" t="s">
        <v>61</v>
      </c>
      <c r="B714" t="s">
        <v>58</v>
      </c>
      <c r="C714" t="s">
        <v>19</v>
      </c>
      <c r="D714">
        <v>2</v>
      </c>
      <c r="E714" t="s">
        <v>17</v>
      </c>
      <c r="F714" t="s">
        <v>380</v>
      </c>
      <c r="G714" t="s">
        <v>608</v>
      </c>
      <c r="H714" t="s">
        <v>52</v>
      </c>
    </row>
    <row r="715" spans="1:8" x14ac:dyDescent="0.2">
      <c r="A715" t="s">
        <v>62</v>
      </c>
      <c r="B715" t="s">
        <v>58</v>
      </c>
      <c r="C715" t="s">
        <v>16</v>
      </c>
      <c r="D715">
        <v>4</v>
      </c>
      <c r="E715" t="s">
        <v>21</v>
      </c>
      <c r="F715" t="s">
        <v>380</v>
      </c>
      <c r="G715" t="s">
        <v>608</v>
      </c>
      <c r="H715" t="s">
        <v>52</v>
      </c>
    </row>
    <row r="716" spans="1:8" x14ac:dyDescent="0.2">
      <c r="A716" t="s">
        <v>64</v>
      </c>
      <c r="B716" t="s">
        <v>58</v>
      </c>
      <c r="C716" t="s">
        <v>16</v>
      </c>
      <c r="D716">
        <v>4</v>
      </c>
      <c r="E716" t="s">
        <v>21</v>
      </c>
      <c r="F716" t="s">
        <v>380</v>
      </c>
      <c r="G716" t="s">
        <v>608</v>
      </c>
      <c r="H716" t="s">
        <v>52</v>
      </c>
    </row>
    <row r="717" spans="1:8" x14ac:dyDescent="0.2">
      <c r="A717" t="s">
        <v>66</v>
      </c>
      <c r="B717" t="s">
        <v>67</v>
      </c>
      <c r="C717" t="s">
        <v>19</v>
      </c>
      <c r="D717">
        <v>2</v>
      </c>
      <c r="E717" t="s">
        <v>17</v>
      </c>
      <c r="F717" t="s">
        <v>380</v>
      </c>
      <c r="G717" t="s">
        <v>608</v>
      </c>
      <c r="H717" t="s">
        <v>52</v>
      </c>
    </row>
    <row r="718" spans="1:8" x14ac:dyDescent="0.2">
      <c r="A718" t="s">
        <v>68</v>
      </c>
      <c r="B718" t="s">
        <v>67</v>
      </c>
      <c r="C718" t="s">
        <v>18</v>
      </c>
      <c r="D718">
        <v>2</v>
      </c>
      <c r="E718" t="s">
        <v>17</v>
      </c>
      <c r="F718" t="s">
        <v>380</v>
      </c>
      <c r="G718" t="s">
        <v>608</v>
      </c>
      <c r="H718" t="s">
        <v>52</v>
      </c>
    </row>
    <row r="719" spans="1:8" x14ac:dyDescent="0.2">
      <c r="A719" t="s">
        <v>69</v>
      </c>
      <c r="B719" t="s">
        <v>67</v>
      </c>
      <c r="C719" t="s">
        <v>18</v>
      </c>
      <c r="D719">
        <v>2</v>
      </c>
      <c r="E719" t="s">
        <v>17</v>
      </c>
      <c r="F719" t="s">
        <v>380</v>
      </c>
      <c r="G719" t="s">
        <v>608</v>
      </c>
      <c r="H719" t="s">
        <v>52</v>
      </c>
    </row>
    <row r="720" spans="1:8" x14ac:dyDescent="0.2">
      <c r="A720" t="s">
        <v>70</v>
      </c>
      <c r="B720" t="s">
        <v>67</v>
      </c>
      <c r="C720" t="s">
        <v>18</v>
      </c>
      <c r="D720">
        <v>2</v>
      </c>
      <c r="E720" t="s">
        <v>17</v>
      </c>
      <c r="F720" t="s">
        <v>380</v>
      </c>
      <c r="G720" t="s">
        <v>608</v>
      </c>
      <c r="H720" t="s">
        <v>52</v>
      </c>
    </row>
    <row r="721" spans="1:8" x14ac:dyDescent="0.2">
      <c r="A721" t="s">
        <v>71</v>
      </c>
      <c r="B721" t="s">
        <v>67</v>
      </c>
      <c r="C721" t="s">
        <v>19</v>
      </c>
      <c r="D721">
        <v>2</v>
      </c>
      <c r="E721" t="s">
        <v>17</v>
      </c>
      <c r="F721" t="s">
        <v>380</v>
      </c>
      <c r="G721" t="s">
        <v>608</v>
      </c>
      <c r="H721" t="s">
        <v>52</v>
      </c>
    </row>
    <row r="722" spans="1:8" x14ac:dyDescent="0.2">
      <c r="A722" t="s">
        <v>72</v>
      </c>
      <c r="B722" t="s">
        <v>73</v>
      </c>
      <c r="C722" t="s">
        <v>18</v>
      </c>
      <c r="D722">
        <v>2</v>
      </c>
      <c r="E722" t="s">
        <v>17</v>
      </c>
      <c r="F722" t="s">
        <v>380</v>
      </c>
      <c r="G722" t="s">
        <v>608</v>
      </c>
      <c r="H722" t="s">
        <v>52</v>
      </c>
    </row>
    <row r="723" spans="1:8" x14ac:dyDescent="0.2">
      <c r="A723" t="s">
        <v>74</v>
      </c>
      <c r="B723" t="s">
        <v>73</v>
      </c>
      <c r="C723" t="s">
        <v>19</v>
      </c>
      <c r="D723">
        <v>2</v>
      </c>
      <c r="E723" t="s">
        <v>17</v>
      </c>
      <c r="F723" t="s">
        <v>380</v>
      </c>
      <c r="G723" t="s">
        <v>608</v>
      </c>
      <c r="H723" t="s">
        <v>52</v>
      </c>
    </row>
    <row r="724" spans="1:8" x14ac:dyDescent="0.2">
      <c r="A724" t="s">
        <v>76</v>
      </c>
      <c r="B724" t="s">
        <v>73</v>
      </c>
      <c r="C724" t="s">
        <v>18</v>
      </c>
      <c r="D724">
        <v>2</v>
      </c>
      <c r="E724" t="s">
        <v>17</v>
      </c>
      <c r="F724" t="s">
        <v>380</v>
      </c>
      <c r="G724" t="s">
        <v>608</v>
      </c>
      <c r="H724" t="s">
        <v>52</v>
      </c>
    </row>
    <row r="725" spans="1:8" x14ac:dyDescent="0.2">
      <c r="A725" t="s">
        <v>77</v>
      </c>
      <c r="B725" t="s">
        <v>73</v>
      </c>
      <c r="C725" t="s">
        <v>19</v>
      </c>
      <c r="D725">
        <v>2</v>
      </c>
      <c r="E725" t="s">
        <v>21</v>
      </c>
      <c r="F725" t="s">
        <v>380</v>
      </c>
      <c r="G725" t="s">
        <v>608</v>
      </c>
      <c r="H725" t="s">
        <v>52</v>
      </c>
    </row>
    <row r="726" spans="1:8" x14ac:dyDescent="0.2">
      <c r="A726" t="s">
        <v>78</v>
      </c>
      <c r="B726" t="s">
        <v>73</v>
      </c>
      <c r="C726" t="s">
        <v>18</v>
      </c>
      <c r="D726">
        <v>2</v>
      </c>
      <c r="E726" t="s">
        <v>17</v>
      </c>
      <c r="F726" t="s">
        <v>380</v>
      </c>
      <c r="G726" t="s">
        <v>608</v>
      </c>
      <c r="H726" t="s">
        <v>52</v>
      </c>
    </row>
    <row r="727" spans="1:8" x14ac:dyDescent="0.2">
      <c r="A727" t="s">
        <v>79</v>
      </c>
      <c r="B727" t="s">
        <v>80</v>
      </c>
      <c r="C727" t="s">
        <v>19</v>
      </c>
      <c r="D727">
        <v>2</v>
      </c>
      <c r="E727" t="s">
        <v>21</v>
      </c>
      <c r="F727" t="s">
        <v>380</v>
      </c>
      <c r="G727" t="s">
        <v>608</v>
      </c>
      <c r="H727" t="s">
        <v>52</v>
      </c>
    </row>
    <row r="728" spans="1:8" x14ac:dyDescent="0.2">
      <c r="A728" t="s">
        <v>81</v>
      </c>
      <c r="B728" t="s">
        <v>80</v>
      </c>
      <c r="C728" t="s">
        <v>18</v>
      </c>
      <c r="D728">
        <v>2</v>
      </c>
      <c r="E728" t="s">
        <v>17</v>
      </c>
      <c r="F728" t="s">
        <v>380</v>
      </c>
      <c r="G728" t="s">
        <v>608</v>
      </c>
      <c r="H728" t="s">
        <v>52</v>
      </c>
    </row>
    <row r="729" spans="1:8" x14ac:dyDescent="0.2">
      <c r="A729" t="s">
        <v>82</v>
      </c>
      <c r="B729" t="s">
        <v>80</v>
      </c>
      <c r="C729" t="s">
        <v>19</v>
      </c>
      <c r="D729">
        <v>3</v>
      </c>
      <c r="E729" t="s">
        <v>17</v>
      </c>
      <c r="F729" t="s">
        <v>380</v>
      </c>
      <c r="G729" t="s">
        <v>608</v>
      </c>
      <c r="H729" t="s">
        <v>52</v>
      </c>
    </row>
    <row r="730" spans="1:8" x14ac:dyDescent="0.2">
      <c r="A730" t="s">
        <v>84</v>
      </c>
      <c r="B730" t="s">
        <v>80</v>
      </c>
      <c r="C730" t="s">
        <v>18</v>
      </c>
      <c r="D730">
        <v>2</v>
      </c>
      <c r="E730" t="s">
        <v>17</v>
      </c>
      <c r="F730" t="s">
        <v>380</v>
      </c>
      <c r="G730" t="s">
        <v>608</v>
      </c>
      <c r="H730" t="s">
        <v>52</v>
      </c>
    </row>
    <row r="731" spans="1:8" x14ac:dyDescent="0.2">
      <c r="A731" t="s">
        <v>85</v>
      </c>
      <c r="B731" t="s">
        <v>80</v>
      </c>
      <c r="C731" t="s">
        <v>18</v>
      </c>
      <c r="D731">
        <v>2</v>
      </c>
      <c r="E731" t="s">
        <v>21</v>
      </c>
      <c r="F731" t="s">
        <v>380</v>
      </c>
      <c r="G731" t="s">
        <v>608</v>
      </c>
      <c r="H731" t="s">
        <v>52</v>
      </c>
    </row>
    <row r="732" spans="1:8" x14ac:dyDescent="0.2">
      <c r="A732" t="s">
        <v>86</v>
      </c>
      <c r="B732" t="s">
        <v>87</v>
      </c>
      <c r="C732" t="s">
        <v>18</v>
      </c>
      <c r="D732">
        <v>2</v>
      </c>
      <c r="E732" t="s">
        <v>17</v>
      </c>
      <c r="F732" t="s">
        <v>380</v>
      </c>
      <c r="G732" t="s">
        <v>608</v>
      </c>
      <c r="H732" t="s">
        <v>52</v>
      </c>
    </row>
    <row r="733" spans="1:8" x14ac:dyDescent="0.2">
      <c r="A733" t="s">
        <v>88</v>
      </c>
      <c r="B733" t="s">
        <v>87</v>
      </c>
      <c r="C733" t="s">
        <v>19</v>
      </c>
      <c r="D733">
        <v>2</v>
      </c>
      <c r="E733" t="s">
        <v>17</v>
      </c>
      <c r="F733" t="s">
        <v>380</v>
      </c>
      <c r="G733" t="s">
        <v>608</v>
      </c>
      <c r="H733" t="s">
        <v>52</v>
      </c>
    </row>
    <row r="734" spans="1:8" x14ac:dyDescent="0.2">
      <c r="A734" t="s">
        <v>89</v>
      </c>
      <c r="B734" t="s">
        <v>87</v>
      </c>
      <c r="C734" t="s">
        <v>18</v>
      </c>
      <c r="D734">
        <v>2</v>
      </c>
      <c r="E734" t="s">
        <v>21</v>
      </c>
      <c r="F734" t="s">
        <v>380</v>
      </c>
      <c r="G734" t="s">
        <v>608</v>
      </c>
      <c r="H734" t="s">
        <v>52</v>
      </c>
    </row>
    <row r="735" spans="1:8" x14ac:dyDescent="0.2">
      <c r="A735" t="s">
        <v>90</v>
      </c>
      <c r="B735" t="s">
        <v>87</v>
      </c>
      <c r="C735" t="s">
        <v>18</v>
      </c>
      <c r="D735">
        <v>2</v>
      </c>
      <c r="E735" t="s">
        <v>17</v>
      </c>
      <c r="F735" t="s">
        <v>380</v>
      </c>
      <c r="G735" t="s">
        <v>608</v>
      </c>
      <c r="H735" t="s">
        <v>52</v>
      </c>
    </row>
    <row r="736" spans="1:8" x14ac:dyDescent="0.2">
      <c r="A736" t="s">
        <v>91</v>
      </c>
      <c r="B736" t="s">
        <v>87</v>
      </c>
      <c r="C736" t="s">
        <v>18</v>
      </c>
      <c r="D736">
        <v>2</v>
      </c>
      <c r="E736" t="s">
        <v>17</v>
      </c>
      <c r="F736" t="s">
        <v>380</v>
      </c>
      <c r="G736" t="s">
        <v>608</v>
      </c>
      <c r="H736" t="s">
        <v>52</v>
      </c>
    </row>
    <row r="737" spans="1:8" x14ac:dyDescent="0.2">
      <c r="A737" t="s">
        <v>92</v>
      </c>
      <c r="B737" t="s">
        <v>93</v>
      </c>
      <c r="C737" t="s">
        <v>19</v>
      </c>
      <c r="D737">
        <v>2</v>
      </c>
      <c r="E737" t="s">
        <v>17</v>
      </c>
      <c r="F737" t="s">
        <v>380</v>
      </c>
      <c r="G737" t="s">
        <v>608</v>
      </c>
      <c r="H737" t="s">
        <v>52</v>
      </c>
    </row>
    <row r="738" spans="1:8" x14ac:dyDescent="0.2">
      <c r="A738" t="s">
        <v>94</v>
      </c>
      <c r="B738" t="s">
        <v>93</v>
      </c>
      <c r="C738" t="s">
        <v>18</v>
      </c>
      <c r="D738">
        <v>2</v>
      </c>
      <c r="E738" t="s">
        <v>17</v>
      </c>
      <c r="F738" t="s">
        <v>380</v>
      </c>
      <c r="G738" t="s">
        <v>608</v>
      </c>
      <c r="H738" t="s">
        <v>52</v>
      </c>
    </row>
    <row r="739" spans="1:8" x14ac:dyDescent="0.2">
      <c r="A739" t="s">
        <v>95</v>
      </c>
      <c r="B739" t="s">
        <v>93</v>
      </c>
      <c r="C739" t="s">
        <v>18</v>
      </c>
      <c r="D739">
        <v>2</v>
      </c>
      <c r="E739" t="s">
        <v>17</v>
      </c>
      <c r="F739" t="s">
        <v>380</v>
      </c>
      <c r="G739" t="s">
        <v>608</v>
      </c>
      <c r="H739" t="s">
        <v>52</v>
      </c>
    </row>
    <row r="740" spans="1:8" x14ac:dyDescent="0.2">
      <c r="A740" t="s">
        <v>96</v>
      </c>
      <c r="B740" t="s">
        <v>93</v>
      </c>
      <c r="C740" t="s">
        <v>18</v>
      </c>
      <c r="D740">
        <v>2</v>
      </c>
      <c r="E740" t="s">
        <v>17</v>
      </c>
      <c r="F740" t="s">
        <v>380</v>
      </c>
      <c r="G740" t="s">
        <v>608</v>
      </c>
      <c r="H740" t="s">
        <v>52</v>
      </c>
    </row>
    <row r="741" spans="1:8" x14ac:dyDescent="0.2">
      <c r="A741" t="s">
        <v>98</v>
      </c>
      <c r="B741" t="s">
        <v>93</v>
      </c>
      <c r="C741" t="s">
        <v>18</v>
      </c>
      <c r="D741">
        <v>2</v>
      </c>
      <c r="E741" t="s">
        <v>17</v>
      </c>
      <c r="F741" t="s">
        <v>380</v>
      </c>
      <c r="G741" t="s">
        <v>608</v>
      </c>
      <c r="H741" t="s">
        <v>52</v>
      </c>
    </row>
    <row r="742" spans="1:8" x14ac:dyDescent="0.2">
      <c r="A742" t="s">
        <v>99</v>
      </c>
      <c r="B742" t="s">
        <v>100</v>
      </c>
      <c r="C742" t="s">
        <v>19</v>
      </c>
      <c r="D742">
        <v>2</v>
      </c>
      <c r="E742" t="s">
        <v>17</v>
      </c>
      <c r="F742" t="s">
        <v>380</v>
      </c>
      <c r="G742" t="s">
        <v>608</v>
      </c>
      <c r="H742" t="s">
        <v>52</v>
      </c>
    </row>
    <row r="743" spans="1:8" x14ac:dyDescent="0.2">
      <c r="A743" t="s">
        <v>101</v>
      </c>
      <c r="B743" t="s">
        <v>100</v>
      </c>
      <c r="C743" t="s">
        <v>18</v>
      </c>
      <c r="D743">
        <v>2</v>
      </c>
      <c r="E743" t="s">
        <v>21</v>
      </c>
      <c r="F743" t="s">
        <v>380</v>
      </c>
      <c r="G743" t="s">
        <v>608</v>
      </c>
      <c r="H743" t="s">
        <v>52</v>
      </c>
    </row>
    <row r="744" spans="1:8" x14ac:dyDescent="0.2">
      <c r="A744" t="s">
        <v>103</v>
      </c>
      <c r="B744" t="s">
        <v>100</v>
      </c>
      <c r="C744" t="s">
        <v>19</v>
      </c>
      <c r="D744">
        <v>2</v>
      </c>
      <c r="E744" t="s">
        <v>17</v>
      </c>
      <c r="F744" t="s">
        <v>380</v>
      </c>
      <c r="G744" t="s">
        <v>608</v>
      </c>
      <c r="H744" t="s">
        <v>52</v>
      </c>
    </row>
    <row r="745" spans="1:8" x14ac:dyDescent="0.2">
      <c r="A745" t="s">
        <v>104</v>
      </c>
      <c r="B745" t="s">
        <v>100</v>
      </c>
      <c r="C745" t="s">
        <v>18</v>
      </c>
      <c r="D745">
        <v>2</v>
      </c>
      <c r="E745" t="s">
        <v>21</v>
      </c>
      <c r="F745" t="s">
        <v>380</v>
      </c>
      <c r="G745" t="s">
        <v>608</v>
      </c>
      <c r="H745" t="s">
        <v>52</v>
      </c>
    </row>
    <row r="746" spans="1:8" x14ac:dyDescent="0.2">
      <c r="A746" t="s">
        <v>105</v>
      </c>
      <c r="B746" t="s">
        <v>100</v>
      </c>
      <c r="C746" t="s">
        <v>18</v>
      </c>
      <c r="D746">
        <v>2</v>
      </c>
      <c r="E746" t="s">
        <v>21</v>
      </c>
      <c r="F746" t="s">
        <v>380</v>
      </c>
      <c r="G746" t="s">
        <v>608</v>
      </c>
      <c r="H746" t="s">
        <v>52</v>
      </c>
    </row>
    <row r="747" spans="1:8" x14ac:dyDescent="0.2">
      <c r="A747" t="s">
        <v>106</v>
      </c>
      <c r="B747" t="s">
        <v>107</v>
      </c>
      <c r="C747" t="s">
        <v>19</v>
      </c>
      <c r="D747">
        <v>2</v>
      </c>
      <c r="E747" t="s">
        <v>17</v>
      </c>
      <c r="F747" t="s">
        <v>380</v>
      </c>
      <c r="G747" t="s">
        <v>608</v>
      </c>
      <c r="H747" t="s">
        <v>52</v>
      </c>
    </row>
    <row r="748" spans="1:8" x14ac:dyDescent="0.2">
      <c r="A748" t="s">
        <v>108</v>
      </c>
      <c r="B748" t="s">
        <v>107</v>
      </c>
      <c r="C748" t="s">
        <v>18</v>
      </c>
      <c r="D748">
        <v>2</v>
      </c>
      <c r="E748" t="s">
        <v>17</v>
      </c>
      <c r="F748" t="s">
        <v>380</v>
      </c>
      <c r="G748" t="s">
        <v>608</v>
      </c>
      <c r="H748" t="s">
        <v>52</v>
      </c>
    </row>
    <row r="749" spans="1:8" x14ac:dyDescent="0.2">
      <c r="A749" t="s">
        <v>109</v>
      </c>
      <c r="B749" t="s">
        <v>107</v>
      </c>
      <c r="C749" t="s">
        <v>18</v>
      </c>
      <c r="D749">
        <v>2</v>
      </c>
      <c r="E749" t="s">
        <v>17</v>
      </c>
      <c r="F749" t="s">
        <v>380</v>
      </c>
      <c r="G749" t="s">
        <v>608</v>
      </c>
      <c r="H749" t="s">
        <v>52</v>
      </c>
    </row>
    <row r="750" spans="1:8" x14ac:dyDescent="0.2">
      <c r="A750" t="s">
        <v>110</v>
      </c>
      <c r="B750" t="s">
        <v>107</v>
      </c>
      <c r="C750" t="s">
        <v>19</v>
      </c>
      <c r="D750">
        <v>2</v>
      </c>
      <c r="E750" t="s">
        <v>17</v>
      </c>
      <c r="F750" t="s">
        <v>380</v>
      </c>
      <c r="G750" t="s">
        <v>608</v>
      </c>
      <c r="H750" t="s">
        <v>52</v>
      </c>
    </row>
    <row r="751" spans="1:8" x14ac:dyDescent="0.2">
      <c r="A751" t="s">
        <v>111</v>
      </c>
      <c r="B751" t="s">
        <v>107</v>
      </c>
      <c r="C751" t="s">
        <v>18</v>
      </c>
      <c r="D751">
        <v>2</v>
      </c>
      <c r="E751" t="s">
        <v>21</v>
      </c>
      <c r="F751" t="s">
        <v>380</v>
      </c>
      <c r="G751" t="s">
        <v>608</v>
      </c>
      <c r="H751" t="s">
        <v>52</v>
      </c>
    </row>
    <row r="752" spans="1:8" x14ac:dyDescent="0.2">
      <c r="A752" t="s">
        <v>112</v>
      </c>
      <c r="B752" t="s">
        <v>113</v>
      </c>
      <c r="C752" t="s">
        <v>18</v>
      </c>
      <c r="D752">
        <v>2</v>
      </c>
      <c r="E752" t="s">
        <v>17</v>
      </c>
      <c r="F752" t="s">
        <v>380</v>
      </c>
      <c r="G752" t="s">
        <v>608</v>
      </c>
      <c r="H752" t="s">
        <v>52</v>
      </c>
    </row>
    <row r="753" spans="1:8" x14ac:dyDescent="0.2">
      <c r="A753" t="s">
        <v>114</v>
      </c>
      <c r="B753" t="s">
        <v>113</v>
      </c>
      <c r="C753" t="s">
        <v>18</v>
      </c>
      <c r="D753">
        <v>2</v>
      </c>
      <c r="E753" t="s">
        <v>21</v>
      </c>
      <c r="F753" t="s">
        <v>380</v>
      </c>
      <c r="G753" t="s">
        <v>608</v>
      </c>
      <c r="H753" t="s">
        <v>52</v>
      </c>
    </row>
    <row r="754" spans="1:8" x14ac:dyDescent="0.2">
      <c r="A754" t="s">
        <v>115</v>
      </c>
      <c r="B754" t="s">
        <v>113</v>
      </c>
      <c r="C754" t="s">
        <v>19</v>
      </c>
      <c r="D754">
        <v>2</v>
      </c>
      <c r="E754" t="s">
        <v>17</v>
      </c>
      <c r="F754" t="s">
        <v>380</v>
      </c>
      <c r="G754" t="s">
        <v>608</v>
      </c>
      <c r="H754" t="s">
        <v>52</v>
      </c>
    </row>
    <row r="755" spans="1:8" x14ac:dyDescent="0.2">
      <c r="A755" t="s">
        <v>116</v>
      </c>
      <c r="B755" t="s">
        <v>113</v>
      </c>
      <c r="C755" t="s">
        <v>18</v>
      </c>
      <c r="D755">
        <v>2</v>
      </c>
      <c r="E755" t="s">
        <v>21</v>
      </c>
      <c r="F755" t="s">
        <v>380</v>
      </c>
      <c r="G755" t="s">
        <v>608</v>
      </c>
      <c r="H755" t="s">
        <v>52</v>
      </c>
    </row>
    <row r="756" spans="1:8" x14ac:dyDescent="0.2">
      <c r="A756" t="s">
        <v>117</v>
      </c>
      <c r="B756" t="s">
        <v>113</v>
      </c>
      <c r="C756" t="s">
        <v>19</v>
      </c>
      <c r="D756">
        <v>2</v>
      </c>
      <c r="E756" t="s">
        <v>17</v>
      </c>
      <c r="F756" t="s">
        <v>380</v>
      </c>
      <c r="G756" t="s">
        <v>608</v>
      </c>
      <c r="H756" t="s">
        <v>52</v>
      </c>
    </row>
    <row r="757" spans="1:8" x14ac:dyDescent="0.2">
      <c r="A757" t="s">
        <v>119</v>
      </c>
      <c r="B757" t="s">
        <v>120</v>
      </c>
      <c r="C757" t="s">
        <v>19</v>
      </c>
      <c r="D757">
        <v>2</v>
      </c>
      <c r="E757" t="s">
        <v>17</v>
      </c>
      <c r="F757" t="s">
        <v>380</v>
      </c>
      <c r="G757" t="s">
        <v>608</v>
      </c>
      <c r="H757" t="s">
        <v>52</v>
      </c>
    </row>
    <row r="758" spans="1:8" x14ac:dyDescent="0.2">
      <c r="A758" t="s">
        <v>121</v>
      </c>
      <c r="B758" t="s">
        <v>120</v>
      </c>
      <c r="C758" t="s">
        <v>18</v>
      </c>
      <c r="D758">
        <v>2</v>
      </c>
      <c r="E758" t="s">
        <v>17</v>
      </c>
      <c r="F758" t="s">
        <v>380</v>
      </c>
      <c r="G758" t="s">
        <v>608</v>
      </c>
      <c r="H758" t="s">
        <v>52</v>
      </c>
    </row>
    <row r="759" spans="1:8" x14ac:dyDescent="0.2">
      <c r="A759" t="s">
        <v>122</v>
      </c>
      <c r="B759" t="s">
        <v>120</v>
      </c>
      <c r="C759" t="s">
        <v>19</v>
      </c>
      <c r="D759">
        <v>2</v>
      </c>
      <c r="E759" t="s">
        <v>17</v>
      </c>
      <c r="F759" t="s">
        <v>380</v>
      </c>
      <c r="G759" t="s">
        <v>608</v>
      </c>
      <c r="H759" t="s">
        <v>52</v>
      </c>
    </row>
    <row r="760" spans="1:8" x14ac:dyDescent="0.2">
      <c r="A760" t="s">
        <v>123</v>
      </c>
      <c r="B760" t="s">
        <v>120</v>
      </c>
      <c r="C760" t="s">
        <v>18</v>
      </c>
      <c r="D760">
        <v>2</v>
      </c>
      <c r="E760" t="s">
        <v>21</v>
      </c>
      <c r="F760" t="s">
        <v>380</v>
      </c>
      <c r="G760" t="s">
        <v>608</v>
      </c>
      <c r="H760" t="s">
        <v>52</v>
      </c>
    </row>
    <row r="761" spans="1:8" x14ac:dyDescent="0.2">
      <c r="A761" t="s">
        <v>124</v>
      </c>
      <c r="B761" t="s">
        <v>120</v>
      </c>
      <c r="C761" t="s">
        <v>19</v>
      </c>
      <c r="D761">
        <v>2</v>
      </c>
      <c r="E761" t="s">
        <v>17</v>
      </c>
      <c r="F761" t="s">
        <v>380</v>
      </c>
      <c r="G761" t="s">
        <v>608</v>
      </c>
      <c r="H761" t="s">
        <v>52</v>
      </c>
    </row>
    <row r="762" spans="1:8" x14ac:dyDescent="0.2">
      <c r="A762" t="s">
        <v>126</v>
      </c>
      <c r="B762" t="s">
        <v>127</v>
      </c>
      <c r="C762" t="s">
        <v>16</v>
      </c>
      <c r="D762">
        <v>4</v>
      </c>
      <c r="E762" t="s">
        <v>21</v>
      </c>
      <c r="F762" t="s">
        <v>380</v>
      </c>
      <c r="G762" t="s">
        <v>608</v>
      </c>
      <c r="H762" t="s">
        <v>52</v>
      </c>
    </row>
    <row r="763" spans="1:8" x14ac:dyDescent="0.2">
      <c r="A763" t="s">
        <v>129</v>
      </c>
      <c r="B763" t="s">
        <v>127</v>
      </c>
      <c r="C763" t="s">
        <v>16</v>
      </c>
      <c r="D763" t="s">
        <v>16</v>
      </c>
      <c r="E763" t="s">
        <v>20</v>
      </c>
      <c r="F763" t="s">
        <v>380</v>
      </c>
      <c r="G763" t="s">
        <v>608</v>
      </c>
      <c r="H763" t="s">
        <v>52</v>
      </c>
    </row>
    <row r="764" spans="1:8" x14ac:dyDescent="0.2">
      <c r="A764" t="s">
        <v>130</v>
      </c>
      <c r="B764" t="s">
        <v>127</v>
      </c>
      <c r="C764" t="s">
        <v>19</v>
      </c>
      <c r="D764">
        <v>2</v>
      </c>
      <c r="E764" t="s">
        <v>17</v>
      </c>
      <c r="F764" t="s">
        <v>380</v>
      </c>
      <c r="G764" t="s">
        <v>608</v>
      </c>
      <c r="H764" t="s">
        <v>52</v>
      </c>
    </row>
    <row r="765" spans="1:8" x14ac:dyDescent="0.2">
      <c r="A765" t="s">
        <v>132</v>
      </c>
      <c r="B765" t="s">
        <v>127</v>
      </c>
      <c r="C765" t="s">
        <v>18</v>
      </c>
      <c r="D765">
        <v>2</v>
      </c>
      <c r="E765" t="s">
        <v>17</v>
      </c>
      <c r="F765" t="s">
        <v>380</v>
      </c>
      <c r="G765" t="s">
        <v>608</v>
      </c>
      <c r="H765" t="s">
        <v>52</v>
      </c>
    </row>
    <row r="766" spans="1:8" x14ac:dyDescent="0.2">
      <c r="A766" t="s">
        <v>133</v>
      </c>
      <c r="B766" t="s">
        <v>127</v>
      </c>
      <c r="C766" t="s">
        <v>18</v>
      </c>
      <c r="D766">
        <v>2</v>
      </c>
      <c r="E766" t="s">
        <v>21</v>
      </c>
      <c r="F766" t="s">
        <v>380</v>
      </c>
      <c r="G766" t="s">
        <v>608</v>
      </c>
      <c r="H766" t="s">
        <v>52</v>
      </c>
    </row>
    <row r="767" spans="1:8" x14ac:dyDescent="0.2">
      <c r="A767" t="s">
        <v>134</v>
      </c>
      <c r="B767" t="s">
        <v>135</v>
      </c>
      <c r="C767" t="s">
        <v>19</v>
      </c>
      <c r="D767">
        <v>2</v>
      </c>
      <c r="E767" t="s">
        <v>17</v>
      </c>
      <c r="F767" t="s">
        <v>380</v>
      </c>
      <c r="G767" t="s">
        <v>608</v>
      </c>
      <c r="H767" t="s">
        <v>52</v>
      </c>
    </row>
    <row r="768" spans="1:8" x14ac:dyDescent="0.2">
      <c r="A768" t="s">
        <v>137</v>
      </c>
      <c r="B768" t="s">
        <v>135</v>
      </c>
      <c r="C768" t="s">
        <v>18</v>
      </c>
      <c r="D768">
        <v>2</v>
      </c>
      <c r="E768" t="s">
        <v>17</v>
      </c>
      <c r="F768" t="s">
        <v>380</v>
      </c>
      <c r="G768" t="s">
        <v>608</v>
      </c>
      <c r="H768" t="s">
        <v>52</v>
      </c>
    </row>
    <row r="769" spans="1:8" x14ac:dyDescent="0.2">
      <c r="A769" t="s">
        <v>139</v>
      </c>
      <c r="B769" t="s">
        <v>135</v>
      </c>
      <c r="C769" t="s">
        <v>19</v>
      </c>
      <c r="D769">
        <v>2</v>
      </c>
      <c r="E769" t="s">
        <v>17</v>
      </c>
      <c r="F769" t="s">
        <v>380</v>
      </c>
      <c r="G769" t="s">
        <v>608</v>
      </c>
      <c r="H769" t="s">
        <v>52</v>
      </c>
    </row>
    <row r="770" spans="1:8" x14ac:dyDescent="0.2">
      <c r="A770" t="s">
        <v>140</v>
      </c>
      <c r="B770" t="s">
        <v>135</v>
      </c>
      <c r="C770" t="s">
        <v>19</v>
      </c>
      <c r="D770">
        <v>2</v>
      </c>
      <c r="E770" t="s">
        <v>17</v>
      </c>
      <c r="F770" t="s">
        <v>380</v>
      </c>
      <c r="G770" t="s">
        <v>608</v>
      </c>
      <c r="H770" t="s">
        <v>52</v>
      </c>
    </row>
    <row r="771" spans="1:8" x14ac:dyDescent="0.2">
      <c r="A771" t="s">
        <v>141</v>
      </c>
      <c r="B771" t="s">
        <v>135</v>
      </c>
      <c r="C771" t="s">
        <v>18</v>
      </c>
      <c r="D771">
        <v>2</v>
      </c>
      <c r="E771" t="s">
        <v>17</v>
      </c>
      <c r="F771" t="s">
        <v>380</v>
      </c>
      <c r="G771" t="s">
        <v>608</v>
      </c>
      <c r="H771" t="s">
        <v>52</v>
      </c>
    </row>
    <row r="772" spans="1:8" x14ac:dyDescent="0.2">
      <c r="A772" t="s">
        <v>142</v>
      </c>
      <c r="B772" t="s">
        <v>143</v>
      </c>
      <c r="C772" t="s">
        <v>18</v>
      </c>
      <c r="D772">
        <v>2</v>
      </c>
      <c r="E772" t="s">
        <v>17</v>
      </c>
      <c r="F772" t="s">
        <v>380</v>
      </c>
      <c r="G772" t="s">
        <v>608</v>
      </c>
      <c r="H772" t="s">
        <v>52</v>
      </c>
    </row>
    <row r="773" spans="1:8" x14ac:dyDescent="0.2">
      <c r="A773" t="s">
        <v>145</v>
      </c>
      <c r="B773" t="s">
        <v>143</v>
      </c>
      <c r="C773" t="s">
        <v>18</v>
      </c>
      <c r="D773">
        <v>2</v>
      </c>
      <c r="E773" t="s">
        <v>21</v>
      </c>
      <c r="F773" t="s">
        <v>380</v>
      </c>
      <c r="G773" t="s">
        <v>608</v>
      </c>
      <c r="H773" t="s">
        <v>52</v>
      </c>
    </row>
    <row r="774" spans="1:8" x14ac:dyDescent="0.2">
      <c r="A774" t="s">
        <v>146</v>
      </c>
      <c r="B774" t="s">
        <v>143</v>
      </c>
      <c r="C774" t="s">
        <v>18</v>
      </c>
      <c r="D774">
        <v>2</v>
      </c>
      <c r="E774" t="s">
        <v>17</v>
      </c>
      <c r="F774" t="s">
        <v>380</v>
      </c>
      <c r="G774" t="s">
        <v>608</v>
      </c>
      <c r="H774" t="s">
        <v>52</v>
      </c>
    </row>
    <row r="775" spans="1:8" x14ac:dyDescent="0.2">
      <c r="A775" t="s">
        <v>147</v>
      </c>
      <c r="B775" t="s">
        <v>143</v>
      </c>
      <c r="C775" t="s">
        <v>18</v>
      </c>
      <c r="D775">
        <v>2</v>
      </c>
      <c r="E775" t="s">
        <v>17</v>
      </c>
      <c r="F775" t="s">
        <v>380</v>
      </c>
      <c r="G775" t="s">
        <v>608</v>
      </c>
      <c r="H775" t="s">
        <v>52</v>
      </c>
    </row>
    <row r="776" spans="1:8" x14ac:dyDescent="0.2">
      <c r="A776" t="s">
        <v>148</v>
      </c>
      <c r="B776" t="s">
        <v>143</v>
      </c>
      <c r="C776" t="s">
        <v>18</v>
      </c>
      <c r="D776">
        <v>2</v>
      </c>
      <c r="E776" t="s">
        <v>17</v>
      </c>
      <c r="F776" t="s">
        <v>380</v>
      </c>
      <c r="G776" t="s">
        <v>608</v>
      </c>
      <c r="H776" t="s">
        <v>52</v>
      </c>
    </row>
    <row r="777" spans="1:8" x14ac:dyDescent="0.2">
      <c r="A777" t="s">
        <v>149</v>
      </c>
      <c r="B777" t="s">
        <v>150</v>
      </c>
      <c r="C777" t="s">
        <v>18</v>
      </c>
      <c r="D777">
        <v>2</v>
      </c>
      <c r="E777" t="s">
        <v>17</v>
      </c>
      <c r="F777" t="s">
        <v>380</v>
      </c>
      <c r="G777" t="s">
        <v>608</v>
      </c>
      <c r="H777" t="s">
        <v>52</v>
      </c>
    </row>
    <row r="778" spans="1:8" x14ac:dyDescent="0.2">
      <c r="A778" t="s">
        <v>151</v>
      </c>
      <c r="B778" t="s">
        <v>150</v>
      </c>
      <c r="C778" t="s">
        <v>19</v>
      </c>
      <c r="D778">
        <v>2</v>
      </c>
      <c r="E778" t="s">
        <v>17</v>
      </c>
      <c r="F778" t="s">
        <v>380</v>
      </c>
      <c r="G778" t="s">
        <v>608</v>
      </c>
      <c r="H778" t="s">
        <v>52</v>
      </c>
    </row>
    <row r="779" spans="1:8" x14ac:dyDescent="0.2">
      <c r="A779" t="s">
        <v>153</v>
      </c>
      <c r="B779" t="s">
        <v>150</v>
      </c>
      <c r="C779" t="s">
        <v>18</v>
      </c>
      <c r="D779">
        <v>2</v>
      </c>
      <c r="E779" t="s">
        <v>17</v>
      </c>
      <c r="F779" t="s">
        <v>380</v>
      </c>
      <c r="G779" t="s">
        <v>608</v>
      </c>
      <c r="H779" t="s">
        <v>52</v>
      </c>
    </row>
    <row r="780" spans="1:8" x14ac:dyDescent="0.2">
      <c r="A780" t="s">
        <v>154</v>
      </c>
      <c r="B780" t="s">
        <v>150</v>
      </c>
      <c r="C780" t="s">
        <v>18</v>
      </c>
      <c r="D780">
        <v>2</v>
      </c>
      <c r="E780" t="s">
        <v>17</v>
      </c>
      <c r="F780" t="s">
        <v>380</v>
      </c>
      <c r="G780" t="s">
        <v>608</v>
      </c>
      <c r="H780" t="s">
        <v>52</v>
      </c>
    </row>
    <row r="781" spans="1:8" x14ac:dyDescent="0.2">
      <c r="A781" t="s">
        <v>155</v>
      </c>
      <c r="B781" t="s">
        <v>150</v>
      </c>
      <c r="C781" t="s">
        <v>18</v>
      </c>
      <c r="D781">
        <v>2</v>
      </c>
      <c r="E781" t="s">
        <v>17</v>
      </c>
      <c r="F781" t="s">
        <v>380</v>
      </c>
      <c r="G781" t="s">
        <v>608</v>
      </c>
      <c r="H781" t="s">
        <v>52</v>
      </c>
    </row>
    <row r="782" spans="1:8" x14ac:dyDescent="0.2">
      <c r="A782" t="s">
        <v>156</v>
      </c>
      <c r="B782" t="s">
        <v>157</v>
      </c>
      <c r="C782" t="s">
        <v>18</v>
      </c>
      <c r="D782">
        <v>3</v>
      </c>
      <c r="E782" t="s">
        <v>17</v>
      </c>
      <c r="F782" t="s">
        <v>380</v>
      </c>
      <c r="G782" t="s">
        <v>608</v>
      </c>
      <c r="H782" t="s">
        <v>52</v>
      </c>
    </row>
    <row r="783" spans="1:8" x14ac:dyDescent="0.2">
      <c r="A783" t="s">
        <v>158</v>
      </c>
      <c r="B783" t="s">
        <v>157</v>
      </c>
      <c r="C783" t="s">
        <v>19</v>
      </c>
      <c r="D783">
        <v>2</v>
      </c>
      <c r="E783" t="s">
        <v>21</v>
      </c>
      <c r="F783" t="s">
        <v>380</v>
      </c>
      <c r="G783" t="s">
        <v>608</v>
      </c>
      <c r="H783" t="s">
        <v>52</v>
      </c>
    </row>
    <row r="784" spans="1:8" x14ac:dyDescent="0.2">
      <c r="A784" t="s">
        <v>160</v>
      </c>
      <c r="B784" t="s">
        <v>157</v>
      </c>
      <c r="C784" t="s">
        <v>19</v>
      </c>
      <c r="D784">
        <v>2</v>
      </c>
      <c r="E784" t="s">
        <v>17</v>
      </c>
      <c r="F784" t="s">
        <v>380</v>
      </c>
      <c r="G784" t="s">
        <v>608</v>
      </c>
      <c r="H784" t="s">
        <v>52</v>
      </c>
    </row>
    <row r="785" spans="1:8" x14ac:dyDescent="0.2">
      <c r="A785" t="s">
        <v>162</v>
      </c>
      <c r="B785" t="s">
        <v>157</v>
      </c>
      <c r="C785" t="s">
        <v>18</v>
      </c>
      <c r="D785">
        <v>2</v>
      </c>
      <c r="E785" t="s">
        <v>17</v>
      </c>
      <c r="F785" t="s">
        <v>380</v>
      </c>
      <c r="G785" t="s">
        <v>608</v>
      </c>
      <c r="H785" t="s">
        <v>52</v>
      </c>
    </row>
    <row r="786" spans="1:8" x14ac:dyDescent="0.2">
      <c r="A786" t="s">
        <v>163</v>
      </c>
      <c r="B786" t="s">
        <v>157</v>
      </c>
      <c r="C786" t="s">
        <v>18</v>
      </c>
      <c r="D786">
        <v>2</v>
      </c>
      <c r="E786" t="s">
        <v>17</v>
      </c>
      <c r="F786" t="s">
        <v>380</v>
      </c>
      <c r="G786" t="s">
        <v>608</v>
      </c>
      <c r="H786" t="s">
        <v>52</v>
      </c>
    </row>
    <row r="787" spans="1:8" x14ac:dyDescent="0.2">
      <c r="A787" t="s">
        <v>164</v>
      </c>
      <c r="B787" t="s">
        <v>165</v>
      </c>
      <c r="C787" t="s">
        <v>18</v>
      </c>
      <c r="D787">
        <v>2</v>
      </c>
      <c r="E787" t="s">
        <v>17</v>
      </c>
      <c r="F787" t="s">
        <v>380</v>
      </c>
      <c r="G787" t="s">
        <v>608</v>
      </c>
      <c r="H787" t="s">
        <v>52</v>
      </c>
    </row>
    <row r="788" spans="1:8" x14ac:dyDescent="0.2">
      <c r="A788" t="s">
        <v>166</v>
      </c>
      <c r="B788" t="s">
        <v>165</v>
      </c>
      <c r="C788" t="s">
        <v>18</v>
      </c>
      <c r="D788">
        <v>2</v>
      </c>
      <c r="E788" t="s">
        <v>17</v>
      </c>
      <c r="F788" t="s">
        <v>380</v>
      </c>
      <c r="G788" t="s">
        <v>608</v>
      </c>
      <c r="H788" t="s">
        <v>52</v>
      </c>
    </row>
    <row r="789" spans="1:8" x14ac:dyDescent="0.2">
      <c r="A789" t="s">
        <v>167</v>
      </c>
      <c r="B789" t="s">
        <v>165</v>
      </c>
      <c r="C789" t="s">
        <v>19</v>
      </c>
      <c r="D789">
        <v>2</v>
      </c>
      <c r="E789" t="s">
        <v>17</v>
      </c>
      <c r="F789" t="s">
        <v>380</v>
      </c>
      <c r="G789" t="s">
        <v>608</v>
      </c>
      <c r="H789" t="s">
        <v>52</v>
      </c>
    </row>
    <row r="790" spans="1:8" x14ac:dyDescent="0.2">
      <c r="A790" t="s">
        <v>169</v>
      </c>
      <c r="B790" t="s">
        <v>165</v>
      </c>
      <c r="C790" t="s">
        <v>18</v>
      </c>
      <c r="D790">
        <v>2</v>
      </c>
      <c r="E790" t="s">
        <v>17</v>
      </c>
      <c r="F790" t="s">
        <v>380</v>
      </c>
      <c r="G790" t="s">
        <v>608</v>
      </c>
      <c r="H790" t="s">
        <v>52</v>
      </c>
    </row>
    <row r="791" spans="1:8" x14ac:dyDescent="0.2">
      <c r="A791" t="s">
        <v>170</v>
      </c>
      <c r="B791" t="s">
        <v>165</v>
      </c>
      <c r="C791" t="s">
        <v>18</v>
      </c>
      <c r="D791">
        <v>2</v>
      </c>
      <c r="E791" t="s">
        <v>17</v>
      </c>
      <c r="F791" t="s">
        <v>380</v>
      </c>
      <c r="G791" t="s">
        <v>608</v>
      </c>
      <c r="H791" t="s">
        <v>52</v>
      </c>
    </row>
    <row r="792" spans="1:8" x14ac:dyDescent="0.2">
      <c r="A792" t="s">
        <v>171</v>
      </c>
      <c r="B792" t="s">
        <v>172</v>
      </c>
      <c r="C792" t="s">
        <v>18</v>
      </c>
      <c r="D792">
        <v>2</v>
      </c>
      <c r="E792" t="s">
        <v>17</v>
      </c>
      <c r="F792" t="s">
        <v>380</v>
      </c>
      <c r="G792" t="s">
        <v>608</v>
      </c>
      <c r="H792" t="s">
        <v>52</v>
      </c>
    </row>
    <row r="793" spans="1:8" x14ac:dyDescent="0.2">
      <c r="A793" t="s">
        <v>173</v>
      </c>
      <c r="B793" t="s">
        <v>172</v>
      </c>
      <c r="C793" t="s">
        <v>19</v>
      </c>
      <c r="D793">
        <v>2</v>
      </c>
      <c r="E793" t="s">
        <v>17</v>
      </c>
      <c r="F793" t="s">
        <v>380</v>
      </c>
      <c r="G793" t="s">
        <v>608</v>
      </c>
      <c r="H793" t="s">
        <v>52</v>
      </c>
    </row>
    <row r="794" spans="1:8" x14ac:dyDescent="0.2">
      <c r="A794" t="s">
        <v>174</v>
      </c>
      <c r="B794" t="s">
        <v>172</v>
      </c>
      <c r="C794" t="s">
        <v>18</v>
      </c>
      <c r="D794">
        <v>3</v>
      </c>
      <c r="E794" t="s">
        <v>17</v>
      </c>
      <c r="F794" t="s">
        <v>380</v>
      </c>
      <c r="G794" t="s">
        <v>608</v>
      </c>
      <c r="H794" t="s">
        <v>52</v>
      </c>
    </row>
    <row r="795" spans="1:8" x14ac:dyDescent="0.2">
      <c r="A795" t="s">
        <v>175</v>
      </c>
      <c r="B795" t="s">
        <v>172</v>
      </c>
      <c r="C795" t="s">
        <v>19</v>
      </c>
      <c r="D795">
        <v>2</v>
      </c>
      <c r="E795" t="s">
        <v>17</v>
      </c>
      <c r="F795" t="s">
        <v>380</v>
      </c>
      <c r="G795" t="s">
        <v>608</v>
      </c>
      <c r="H795" t="s">
        <v>52</v>
      </c>
    </row>
    <row r="796" spans="1:8" x14ac:dyDescent="0.2">
      <c r="A796" t="s">
        <v>176</v>
      </c>
      <c r="B796" t="s">
        <v>172</v>
      </c>
      <c r="C796" t="s">
        <v>18</v>
      </c>
      <c r="D796">
        <v>2</v>
      </c>
      <c r="E796" t="s">
        <v>17</v>
      </c>
      <c r="F796" t="s">
        <v>380</v>
      </c>
      <c r="G796" t="s">
        <v>608</v>
      </c>
      <c r="H796" t="s">
        <v>52</v>
      </c>
    </row>
    <row r="797" spans="1:8" x14ac:dyDescent="0.2">
      <c r="A797" t="s">
        <v>177</v>
      </c>
      <c r="B797" t="s">
        <v>178</v>
      </c>
      <c r="C797" t="s">
        <v>18</v>
      </c>
      <c r="D797">
        <v>1</v>
      </c>
      <c r="E797" t="s">
        <v>17</v>
      </c>
      <c r="F797" t="s">
        <v>380</v>
      </c>
      <c r="G797" t="s">
        <v>608</v>
      </c>
      <c r="H797" t="s">
        <v>52</v>
      </c>
    </row>
    <row r="798" spans="1:8" x14ac:dyDescent="0.2">
      <c r="A798" t="s">
        <v>179</v>
      </c>
      <c r="B798" t="s">
        <v>178</v>
      </c>
      <c r="C798" t="s">
        <v>18</v>
      </c>
      <c r="D798">
        <v>3</v>
      </c>
      <c r="E798" t="s">
        <v>17</v>
      </c>
      <c r="F798" t="s">
        <v>380</v>
      </c>
      <c r="G798" t="s">
        <v>608</v>
      </c>
      <c r="H798" t="s">
        <v>52</v>
      </c>
    </row>
    <row r="799" spans="1:8" x14ac:dyDescent="0.2">
      <c r="A799" t="s">
        <v>180</v>
      </c>
      <c r="B799" t="s">
        <v>178</v>
      </c>
      <c r="C799" t="s">
        <v>18</v>
      </c>
      <c r="D799">
        <v>2</v>
      </c>
      <c r="E799" t="s">
        <v>17</v>
      </c>
      <c r="F799" t="s">
        <v>380</v>
      </c>
      <c r="G799" t="s">
        <v>608</v>
      </c>
      <c r="H799" t="s">
        <v>52</v>
      </c>
    </row>
    <row r="800" spans="1:8" x14ac:dyDescent="0.2">
      <c r="A800" t="s">
        <v>181</v>
      </c>
      <c r="B800" t="s">
        <v>178</v>
      </c>
      <c r="C800" t="s">
        <v>18</v>
      </c>
      <c r="D800">
        <v>2</v>
      </c>
      <c r="E800" t="s">
        <v>17</v>
      </c>
      <c r="F800" t="s">
        <v>380</v>
      </c>
      <c r="G800" t="s">
        <v>608</v>
      </c>
      <c r="H800" t="s">
        <v>52</v>
      </c>
    </row>
    <row r="801" spans="1:8" x14ac:dyDescent="0.2">
      <c r="A801" t="s">
        <v>182</v>
      </c>
      <c r="B801" t="s">
        <v>178</v>
      </c>
      <c r="C801" t="s">
        <v>19</v>
      </c>
      <c r="D801">
        <v>2</v>
      </c>
      <c r="E801" t="s">
        <v>17</v>
      </c>
      <c r="F801" t="s">
        <v>380</v>
      </c>
      <c r="G801" t="s">
        <v>608</v>
      </c>
      <c r="H801" t="s">
        <v>52</v>
      </c>
    </row>
    <row r="802" spans="1:8" x14ac:dyDescent="0.2">
      <c r="A802" t="s">
        <v>183</v>
      </c>
      <c r="B802" t="s">
        <v>184</v>
      </c>
      <c r="C802" t="s">
        <v>18</v>
      </c>
      <c r="D802" t="s">
        <v>16</v>
      </c>
      <c r="E802" t="s">
        <v>17</v>
      </c>
      <c r="F802" t="s">
        <v>381</v>
      </c>
      <c r="G802" t="s">
        <v>608</v>
      </c>
      <c r="H802" t="s">
        <v>52</v>
      </c>
    </row>
    <row r="803" spans="1:8" x14ac:dyDescent="0.2">
      <c r="A803" t="s">
        <v>185</v>
      </c>
      <c r="B803" t="s">
        <v>184</v>
      </c>
      <c r="C803" t="s">
        <v>18</v>
      </c>
      <c r="D803">
        <v>3</v>
      </c>
      <c r="E803" t="s">
        <v>17</v>
      </c>
      <c r="F803" t="s">
        <v>380</v>
      </c>
      <c r="G803" t="s">
        <v>608</v>
      </c>
      <c r="H803" t="s">
        <v>52</v>
      </c>
    </row>
    <row r="804" spans="1:8" x14ac:dyDescent="0.2">
      <c r="A804" t="s">
        <v>186</v>
      </c>
      <c r="B804" t="s">
        <v>184</v>
      </c>
      <c r="C804" t="s">
        <v>18</v>
      </c>
      <c r="D804">
        <v>3</v>
      </c>
      <c r="E804" t="s">
        <v>17</v>
      </c>
      <c r="F804" t="s">
        <v>380</v>
      </c>
      <c r="G804" t="s">
        <v>608</v>
      </c>
      <c r="H804" t="s">
        <v>52</v>
      </c>
    </row>
    <row r="805" spans="1:8" x14ac:dyDescent="0.2">
      <c r="A805" t="s">
        <v>187</v>
      </c>
      <c r="B805" t="s">
        <v>184</v>
      </c>
      <c r="C805" t="s">
        <v>18</v>
      </c>
      <c r="D805">
        <v>3</v>
      </c>
      <c r="E805" t="s">
        <v>17</v>
      </c>
      <c r="F805" t="s">
        <v>380</v>
      </c>
      <c r="G805" t="s">
        <v>608</v>
      </c>
      <c r="H805" t="s">
        <v>52</v>
      </c>
    </row>
    <row r="806" spans="1:8" x14ac:dyDescent="0.2">
      <c r="A806" t="s">
        <v>188</v>
      </c>
      <c r="B806" t="s">
        <v>184</v>
      </c>
      <c r="C806" t="s">
        <v>18</v>
      </c>
      <c r="D806">
        <v>3</v>
      </c>
      <c r="E806" t="s">
        <v>17</v>
      </c>
      <c r="F806" t="s">
        <v>380</v>
      </c>
      <c r="G806" t="s">
        <v>608</v>
      </c>
      <c r="H806" t="s">
        <v>52</v>
      </c>
    </row>
    <row r="807" spans="1:8" x14ac:dyDescent="0.2">
      <c r="A807" t="s">
        <v>189</v>
      </c>
      <c r="B807" t="s">
        <v>190</v>
      </c>
      <c r="C807" t="s">
        <v>18</v>
      </c>
      <c r="D807">
        <v>2</v>
      </c>
      <c r="E807" t="s">
        <v>17</v>
      </c>
      <c r="F807" t="s">
        <v>380</v>
      </c>
      <c r="G807" t="s">
        <v>608</v>
      </c>
      <c r="H807" t="s">
        <v>52</v>
      </c>
    </row>
    <row r="808" spans="1:8" x14ac:dyDescent="0.2">
      <c r="A808" t="s">
        <v>191</v>
      </c>
      <c r="B808" t="s">
        <v>190</v>
      </c>
      <c r="C808" t="s">
        <v>18</v>
      </c>
      <c r="D808">
        <v>1</v>
      </c>
      <c r="E808" t="s">
        <v>17</v>
      </c>
      <c r="F808" t="s">
        <v>380</v>
      </c>
      <c r="G808" t="s">
        <v>608</v>
      </c>
      <c r="H808" t="s">
        <v>52</v>
      </c>
    </row>
    <row r="809" spans="1:8" x14ac:dyDescent="0.2">
      <c r="A809" t="s">
        <v>192</v>
      </c>
      <c r="B809" t="s">
        <v>190</v>
      </c>
      <c r="C809" t="s">
        <v>18</v>
      </c>
      <c r="D809">
        <v>3</v>
      </c>
      <c r="E809" t="s">
        <v>17</v>
      </c>
      <c r="F809" t="s">
        <v>380</v>
      </c>
      <c r="G809" t="s">
        <v>608</v>
      </c>
      <c r="H809" t="s">
        <v>52</v>
      </c>
    </row>
    <row r="810" spans="1:8" x14ac:dyDescent="0.2">
      <c r="A810" t="s">
        <v>193</v>
      </c>
      <c r="B810" t="s">
        <v>190</v>
      </c>
      <c r="C810" t="s">
        <v>18</v>
      </c>
      <c r="D810">
        <v>3</v>
      </c>
      <c r="E810" t="s">
        <v>17</v>
      </c>
      <c r="F810" t="s">
        <v>380</v>
      </c>
      <c r="G810" t="s">
        <v>608</v>
      </c>
      <c r="H810" t="s">
        <v>52</v>
      </c>
    </row>
    <row r="811" spans="1:8" x14ac:dyDescent="0.2">
      <c r="A811" t="s">
        <v>194</v>
      </c>
      <c r="B811" t="s">
        <v>190</v>
      </c>
      <c r="C811" t="s">
        <v>18</v>
      </c>
      <c r="D811">
        <v>2</v>
      </c>
      <c r="E811" t="s">
        <v>17</v>
      </c>
      <c r="F811" t="s">
        <v>380</v>
      </c>
      <c r="G811" t="s">
        <v>608</v>
      </c>
      <c r="H811" t="s">
        <v>52</v>
      </c>
    </row>
    <row r="812" spans="1:8" x14ac:dyDescent="0.2">
      <c r="A812" t="s">
        <v>195</v>
      </c>
      <c r="B812" t="s">
        <v>196</v>
      </c>
      <c r="C812" t="s">
        <v>16</v>
      </c>
      <c r="D812">
        <v>4</v>
      </c>
      <c r="E812" t="s">
        <v>17</v>
      </c>
      <c r="F812" t="s">
        <v>380</v>
      </c>
      <c r="G812" t="s">
        <v>608</v>
      </c>
      <c r="H812" t="s">
        <v>52</v>
      </c>
    </row>
    <row r="813" spans="1:8" x14ac:dyDescent="0.2">
      <c r="A813" t="s">
        <v>197</v>
      </c>
      <c r="B813" t="s">
        <v>196</v>
      </c>
      <c r="C813" t="s">
        <v>19</v>
      </c>
      <c r="D813">
        <v>2</v>
      </c>
      <c r="E813" t="s">
        <v>17</v>
      </c>
      <c r="F813" t="s">
        <v>380</v>
      </c>
      <c r="G813" t="s">
        <v>608</v>
      </c>
      <c r="H813" t="s">
        <v>52</v>
      </c>
    </row>
    <row r="814" spans="1:8" x14ac:dyDescent="0.2">
      <c r="A814" t="s">
        <v>198</v>
      </c>
      <c r="B814" t="s">
        <v>196</v>
      </c>
      <c r="C814" t="s">
        <v>16</v>
      </c>
      <c r="D814">
        <v>4</v>
      </c>
      <c r="E814" t="s">
        <v>17</v>
      </c>
      <c r="F814" t="s">
        <v>380</v>
      </c>
      <c r="G814" t="s">
        <v>608</v>
      </c>
      <c r="H814" t="s">
        <v>52</v>
      </c>
    </row>
    <row r="815" spans="1:8" x14ac:dyDescent="0.2">
      <c r="A815" t="s">
        <v>199</v>
      </c>
      <c r="B815" t="s">
        <v>196</v>
      </c>
      <c r="C815" t="s">
        <v>16</v>
      </c>
      <c r="D815">
        <v>4</v>
      </c>
      <c r="E815" t="s">
        <v>17</v>
      </c>
      <c r="F815" t="s">
        <v>380</v>
      </c>
      <c r="G815" t="s">
        <v>608</v>
      </c>
      <c r="H815" t="s">
        <v>52</v>
      </c>
    </row>
    <row r="816" spans="1:8" x14ac:dyDescent="0.2">
      <c r="A816" t="s">
        <v>200</v>
      </c>
      <c r="B816" t="s">
        <v>196</v>
      </c>
      <c r="C816" t="s">
        <v>16</v>
      </c>
      <c r="D816">
        <v>4</v>
      </c>
      <c r="E816" t="s">
        <v>21</v>
      </c>
      <c r="F816" t="s">
        <v>380</v>
      </c>
      <c r="G816" t="s">
        <v>608</v>
      </c>
      <c r="H816" t="s">
        <v>52</v>
      </c>
    </row>
    <row r="817" spans="1:8" x14ac:dyDescent="0.2">
      <c r="A817" t="s">
        <v>201</v>
      </c>
      <c r="B817" t="s">
        <v>202</v>
      </c>
      <c r="C817" t="s">
        <v>16</v>
      </c>
      <c r="D817">
        <v>4</v>
      </c>
      <c r="E817" t="s">
        <v>17</v>
      </c>
      <c r="F817" t="s">
        <v>380</v>
      </c>
      <c r="G817" t="s">
        <v>608</v>
      </c>
      <c r="H817" t="s">
        <v>52</v>
      </c>
    </row>
    <row r="818" spans="1:8" x14ac:dyDescent="0.2">
      <c r="A818" t="s">
        <v>204</v>
      </c>
      <c r="B818" t="s">
        <v>202</v>
      </c>
      <c r="C818" t="s">
        <v>18</v>
      </c>
      <c r="D818">
        <v>3</v>
      </c>
      <c r="E818" t="s">
        <v>17</v>
      </c>
      <c r="F818" t="s">
        <v>380</v>
      </c>
      <c r="G818" t="s">
        <v>608</v>
      </c>
      <c r="H818" t="s">
        <v>52</v>
      </c>
    </row>
    <row r="819" spans="1:8" x14ac:dyDescent="0.2">
      <c r="A819" t="s">
        <v>205</v>
      </c>
      <c r="B819" t="s">
        <v>202</v>
      </c>
      <c r="C819" t="s">
        <v>19</v>
      </c>
      <c r="D819">
        <v>2</v>
      </c>
      <c r="E819" t="s">
        <v>17</v>
      </c>
      <c r="F819" t="s">
        <v>380</v>
      </c>
      <c r="G819" t="s">
        <v>608</v>
      </c>
      <c r="H819" t="s">
        <v>52</v>
      </c>
    </row>
    <row r="820" spans="1:8" x14ac:dyDescent="0.2">
      <c r="A820" t="s">
        <v>207</v>
      </c>
      <c r="B820" t="s">
        <v>202</v>
      </c>
      <c r="C820" t="s">
        <v>18</v>
      </c>
      <c r="D820">
        <v>2</v>
      </c>
      <c r="E820" t="s">
        <v>17</v>
      </c>
      <c r="F820" t="s">
        <v>380</v>
      </c>
      <c r="G820" t="s">
        <v>608</v>
      </c>
      <c r="H820" t="s">
        <v>52</v>
      </c>
    </row>
    <row r="821" spans="1:8" x14ac:dyDescent="0.2">
      <c r="A821" t="s">
        <v>208</v>
      </c>
      <c r="B821" t="s">
        <v>202</v>
      </c>
      <c r="C821" t="s">
        <v>18</v>
      </c>
      <c r="D821">
        <v>3</v>
      </c>
      <c r="E821" t="s">
        <v>17</v>
      </c>
      <c r="F821" t="s">
        <v>380</v>
      </c>
      <c r="G821" t="s">
        <v>608</v>
      </c>
      <c r="H821" t="s">
        <v>52</v>
      </c>
    </row>
    <row r="822" spans="1:8" x14ac:dyDescent="0.2">
      <c r="A822" t="s">
        <v>209</v>
      </c>
      <c r="B822" t="s">
        <v>210</v>
      </c>
      <c r="C822" t="s">
        <v>16</v>
      </c>
      <c r="D822">
        <v>4</v>
      </c>
      <c r="E822" t="s">
        <v>17</v>
      </c>
      <c r="F822" t="s">
        <v>380</v>
      </c>
      <c r="G822" t="s">
        <v>608</v>
      </c>
      <c r="H822" t="s">
        <v>52</v>
      </c>
    </row>
    <row r="823" spans="1:8" x14ac:dyDescent="0.2">
      <c r="A823" t="s">
        <v>211</v>
      </c>
      <c r="B823" t="s">
        <v>210</v>
      </c>
      <c r="C823" t="s">
        <v>19</v>
      </c>
      <c r="D823">
        <v>2</v>
      </c>
      <c r="E823" t="s">
        <v>17</v>
      </c>
      <c r="F823" t="s">
        <v>380</v>
      </c>
      <c r="G823" t="s">
        <v>608</v>
      </c>
      <c r="H823" t="s">
        <v>52</v>
      </c>
    </row>
    <row r="824" spans="1:8" x14ac:dyDescent="0.2">
      <c r="A824" t="s">
        <v>212</v>
      </c>
      <c r="B824" t="s">
        <v>210</v>
      </c>
      <c r="C824" t="s">
        <v>16</v>
      </c>
      <c r="D824">
        <v>4</v>
      </c>
      <c r="E824" t="s">
        <v>17</v>
      </c>
      <c r="F824" t="s">
        <v>380</v>
      </c>
      <c r="G824" t="s">
        <v>608</v>
      </c>
      <c r="H824" t="s">
        <v>52</v>
      </c>
    </row>
    <row r="825" spans="1:8" x14ac:dyDescent="0.2">
      <c r="A825" t="s">
        <v>213</v>
      </c>
      <c r="B825" t="s">
        <v>210</v>
      </c>
      <c r="C825" t="s">
        <v>16</v>
      </c>
      <c r="D825">
        <v>4</v>
      </c>
      <c r="E825" t="s">
        <v>17</v>
      </c>
      <c r="F825" t="s">
        <v>380</v>
      </c>
      <c r="G825" t="s">
        <v>608</v>
      </c>
      <c r="H825" t="s">
        <v>52</v>
      </c>
    </row>
    <row r="826" spans="1:8" x14ac:dyDescent="0.2">
      <c r="A826" t="s">
        <v>214</v>
      </c>
      <c r="B826" t="s">
        <v>210</v>
      </c>
      <c r="C826" t="s">
        <v>16</v>
      </c>
      <c r="D826">
        <v>4</v>
      </c>
      <c r="E826" t="s">
        <v>17</v>
      </c>
      <c r="F826" t="s">
        <v>380</v>
      </c>
      <c r="G826" t="s">
        <v>608</v>
      </c>
      <c r="H826" t="s">
        <v>52</v>
      </c>
    </row>
    <row r="827" spans="1:8" x14ac:dyDescent="0.2">
      <c r="A827" t="s">
        <v>2311</v>
      </c>
      <c r="B827" t="s">
        <v>1475</v>
      </c>
      <c r="C827" t="s">
        <v>18</v>
      </c>
      <c r="D827">
        <v>1</v>
      </c>
      <c r="E827" t="s">
        <v>17</v>
      </c>
      <c r="F827" t="s">
        <v>380</v>
      </c>
      <c r="G827" t="s">
        <v>608</v>
      </c>
      <c r="H827" t="s">
        <v>52</v>
      </c>
    </row>
    <row r="828" spans="1:8" x14ac:dyDescent="0.2">
      <c r="A828" t="s">
        <v>2312</v>
      </c>
      <c r="B828" t="s">
        <v>1475</v>
      </c>
      <c r="C828" t="s">
        <v>18</v>
      </c>
      <c r="D828">
        <v>1</v>
      </c>
      <c r="E828" t="s">
        <v>17</v>
      </c>
      <c r="F828" t="s">
        <v>380</v>
      </c>
      <c r="G828" t="s">
        <v>608</v>
      </c>
      <c r="H828" t="s">
        <v>52</v>
      </c>
    </row>
    <row r="829" spans="1:8" x14ac:dyDescent="0.2">
      <c r="A829" t="s">
        <v>2313</v>
      </c>
      <c r="B829" t="s">
        <v>1475</v>
      </c>
      <c r="C829" t="s">
        <v>18</v>
      </c>
      <c r="D829">
        <v>1</v>
      </c>
      <c r="E829" t="s">
        <v>17</v>
      </c>
      <c r="F829" t="s">
        <v>380</v>
      </c>
      <c r="G829" t="s">
        <v>382</v>
      </c>
      <c r="H829" t="s">
        <v>52</v>
      </c>
    </row>
    <row r="830" spans="1:8" x14ac:dyDescent="0.2">
      <c r="A830" t="s">
        <v>2314</v>
      </c>
      <c r="B830" t="s">
        <v>1475</v>
      </c>
      <c r="C830" t="s">
        <v>18</v>
      </c>
      <c r="D830">
        <v>1</v>
      </c>
      <c r="E830" t="s">
        <v>17</v>
      </c>
      <c r="F830" t="s">
        <v>380</v>
      </c>
      <c r="G830" t="s">
        <v>608</v>
      </c>
      <c r="H830" t="s">
        <v>52</v>
      </c>
    </row>
    <row r="831" spans="1:8" x14ac:dyDescent="0.2">
      <c r="A831" t="s">
        <v>2315</v>
      </c>
      <c r="B831" t="s">
        <v>1475</v>
      </c>
      <c r="C831" t="s">
        <v>18</v>
      </c>
      <c r="D831">
        <v>1</v>
      </c>
      <c r="E831" t="s">
        <v>17</v>
      </c>
      <c r="F831" t="s">
        <v>380</v>
      </c>
      <c r="G831" t="s">
        <v>608</v>
      </c>
      <c r="H831" t="s">
        <v>52</v>
      </c>
    </row>
    <row r="832" spans="1:8" x14ac:dyDescent="0.2">
      <c r="A832" t="s">
        <v>2316</v>
      </c>
      <c r="B832" t="s">
        <v>1477</v>
      </c>
      <c r="C832" t="s">
        <v>16</v>
      </c>
      <c r="D832">
        <v>4</v>
      </c>
      <c r="E832" t="s">
        <v>17</v>
      </c>
      <c r="F832" t="s">
        <v>380</v>
      </c>
      <c r="G832" t="s">
        <v>608</v>
      </c>
      <c r="H832" t="s">
        <v>52</v>
      </c>
    </row>
    <row r="833" spans="1:8" x14ac:dyDescent="0.2">
      <c r="A833" t="s">
        <v>2317</v>
      </c>
      <c r="B833" t="s">
        <v>1477</v>
      </c>
      <c r="C833" t="s">
        <v>16</v>
      </c>
      <c r="D833">
        <v>4</v>
      </c>
      <c r="E833" t="s">
        <v>17</v>
      </c>
      <c r="F833" t="s">
        <v>380</v>
      </c>
      <c r="G833" t="s">
        <v>608</v>
      </c>
      <c r="H833" t="s">
        <v>52</v>
      </c>
    </row>
    <row r="834" spans="1:8" x14ac:dyDescent="0.2">
      <c r="A834" t="s">
        <v>2318</v>
      </c>
      <c r="B834" t="s">
        <v>1477</v>
      </c>
      <c r="C834" t="s">
        <v>16</v>
      </c>
      <c r="D834">
        <v>4</v>
      </c>
      <c r="E834" t="s">
        <v>17</v>
      </c>
      <c r="F834" t="s">
        <v>380</v>
      </c>
      <c r="G834" t="s">
        <v>608</v>
      </c>
      <c r="H834" t="s">
        <v>52</v>
      </c>
    </row>
    <row r="835" spans="1:8" x14ac:dyDescent="0.2">
      <c r="A835" t="s">
        <v>2319</v>
      </c>
      <c r="B835" t="s">
        <v>1477</v>
      </c>
      <c r="C835" t="s">
        <v>16</v>
      </c>
      <c r="D835" t="s">
        <v>16</v>
      </c>
      <c r="E835" t="s">
        <v>20</v>
      </c>
      <c r="F835" t="s">
        <v>380</v>
      </c>
      <c r="G835" t="s">
        <v>608</v>
      </c>
      <c r="H835" t="s">
        <v>52</v>
      </c>
    </row>
    <row r="836" spans="1:8" x14ac:dyDescent="0.2">
      <c r="A836" t="s">
        <v>2320</v>
      </c>
      <c r="B836" t="s">
        <v>1477</v>
      </c>
      <c r="C836" t="s">
        <v>16</v>
      </c>
      <c r="D836">
        <v>4</v>
      </c>
      <c r="E836" t="s">
        <v>17</v>
      </c>
      <c r="F836" t="s">
        <v>380</v>
      </c>
      <c r="G836" t="s">
        <v>608</v>
      </c>
      <c r="H836" t="s">
        <v>52</v>
      </c>
    </row>
    <row r="837" spans="1:8" x14ac:dyDescent="0.2">
      <c r="A837" t="s">
        <v>2321</v>
      </c>
      <c r="B837" t="s">
        <v>1479</v>
      </c>
      <c r="C837" t="s">
        <v>18</v>
      </c>
      <c r="D837">
        <v>1</v>
      </c>
      <c r="E837" t="s">
        <v>17</v>
      </c>
      <c r="F837" t="s">
        <v>380</v>
      </c>
      <c r="G837" t="s">
        <v>608</v>
      </c>
      <c r="H837" t="s">
        <v>52</v>
      </c>
    </row>
    <row r="838" spans="1:8" x14ac:dyDescent="0.2">
      <c r="A838" t="s">
        <v>2322</v>
      </c>
      <c r="B838" t="s">
        <v>1479</v>
      </c>
      <c r="C838" t="s">
        <v>16</v>
      </c>
      <c r="D838">
        <v>4</v>
      </c>
      <c r="E838" t="s">
        <v>17</v>
      </c>
      <c r="F838" t="s">
        <v>380</v>
      </c>
      <c r="G838" t="s">
        <v>608</v>
      </c>
      <c r="H838" t="s">
        <v>52</v>
      </c>
    </row>
    <row r="839" spans="1:8" x14ac:dyDescent="0.2">
      <c r="A839" t="s">
        <v>2323</v>
      </c>
      <c r="B839" t="s">
        <v>1479</v>
      </c>
      <c r="C839" t="s">
        <v>16</v>
      </c>
      <c r="D839">
        <v>4</v>
      </c>
      <c r="E839" t="s">
        <v>17</v>
      </c>
      <c r="F839" t="s">
        <v>380</v>
      </c>
      <c r="G839" t="s">
        <v>608</v>
      </c>
      <c r="H839" t="s">
        <v>52</v>
      </c>
    </row>
    <row r="840" spans="1:8" x14ac:dyDescent="0.2">
      <c r="A840" t="s">
        <v>2324</v>
      </c>
      <c r="B840" t="s">
        <v>1479</v>
      </c>
      <c r="C840" t="s">
        <v>16</v>
      </c>
      <c r="D840">
        <v>4</v>
      </c>
      <c r="E840" t="s">
        <v>17</v>
      </c>
      <c r="F840" t="s">
        <v>381</v>
      </c>
      <c r="G840" t="s">
        <v>3203</v>
      </c>
      <c r="H840" t="s">
        <v>52</v>
      </c>
    </row>
    <row r="841" spans="1:8" x14ac:dyDescent="0.2">
      <c r="A841" t="s">
        <v>2325</v>
      </c>
      <c r="B841" t="s">
        <v>1479</v>
      </c>
      <c r="C841" t="s">
        <v>18</v>
      </c>
      <c r="D841">
        <v>1</v>
      </c>
      <c r="E841" t="s">
        <v>21</v>
      </c>
      <c r="F841" t="s">
        <v>380</v>
      </c>
      <c r="G841" t="s">
        <v>608</v>
      </c>
      <c r="H841" t="s">
        <v>52</v>
      </c>
    </row>
    <row r="842" spans="1:8" x14ac:dyDescent="0.2">
      <c r="A842" t="s">
        <v>684</v>
      </c>
      <c r="B842" t="s">
        <v>685</v>
      </c>
      <c r="C842" t="s">
        <v>18</v>
      </c>
      <c r="D842">
        <v>1</v>
      </c>
      <c r="E842" t="s">
        <v>17</v>
      </c>
      <c r="F842" t="s">
        <v>380</v>
      </c>
      <c r="G842" t="s">
        <v>608</v>
      </c>
      <c r="H842" t="s">
        <v>52</v>
      </c>
    </row>
    <row r="843" spans="1:8" x14ac:dyDescent="0.2">
      <c r="A843" t="s">
        <v>687</v>
      </c>
      <c r="B843" t="s">
        <v>685</v>
      </c>
      <c r="C843" t="s">
        <v>19</v>
      </c>
      <c r="D843">
        <v>2</v>
      </c>
      <c r="E843" t="s">
        <v>21</v>
      </c>
      <c r="F843" t="s">
        <v>380</v>
      </c>
      <c r="G843" t="s">
        <v>608</v>
      </c>
      <c r="H843" t="s">
        <v>52</v>
      </c>
    </row>
    <row r="844" spans="1:8" x14ac:dyDescent="0.2">
      <c r="A844" t="s">
        <v>688</v>
      </c>
      <c r="B844" t="s">
        <v>685</v>
      </c>
      <c r="C844" t="s">
        <v>18</v>
      </c>
      <c r="D844">
        <v>2</v>
      </c>
      <c r="E844" t="s">
        <v>17</v>
      </c>
      <c r="F844" t="s">
        <v>380</v>
      </c>
      <c r="G844" t="s">
        <v>608</v>
      </c>
      <c r="H844" t="s">
        <v>52</v>
      </c>
    </row>
    <row r="845" spans="1:8" x14ac:dyDescent="0.2">
      <c r="A845" t="s">
        <v>689</v>
      </c>
      <c r="B845" t="s">
        <v>685</v>
      </c>
      <c r="C845" t="s">
        <v>18</v>
      </c>
      <c r="D845">
        <v>2</v>
      </c>
      <c r="E845" t="s">
        <v>17</v>
      </c>
      <c r="F845" t="s">
        <v>380</v>
      </c>
      <c r="G845" t="s">
        <v>608</v>
      </c>
      <c r="H845" t="s">
        <v>52</v>
      </c>
    </row>
    <row r="846" spans="1:8" x14ac:dyDescent="0.2">
      <c r="A846" t="s">
        <v>690</v>
      </c>
      <c r="B846" t="s">
        <v>685</v>
      </c>
      <c r="C846" t="s">
        <v>19</v>
      </c>
      <c r="D846">
        <v>2</v>
      </c>
      <c r="E846" t="s">
        <v>17</v>
      </c>
      <c r="F846" t="s">
        <v>380</v>
      </c>
      <c r="G846" t="s">
        <v>608</v>
      </c>
      <c r="H846" t="s">
        <v>52</v>
      </c>
    </row>
    <row r="847" spans="1:8" x14ac:dyDescent="0.2">
      <c r="A847" t="s">
        <v>691</v>
      </c>
      <c r="B847" t="s">
        <v>692</v>
      </c>
      <c r="C847" t="s">
        <v>16</v>
      </c>
      <c r="D847">
        <v>4</v>
      </c>
      <c r="E847" t="s">
        <v>21</v>
      </c>
      <c r="F847" t="s">
        <v>380</v>
      </c>
      <c r="G847" t="s">
        <v>608</v>
      </c>
      <c r="H847" t="s">
        <v>52</v>
      </c>
    </row>
    <row r="848" spans="1:8" x14ac:dyDescent="0.2">
      <c r="A848" t="s">
        <v>694</v>
      </c>
      <c r="B848" t="s">
        <v>692</v>
      </c>
      <c r="C848" t="s">
        <v>19</v>
      </c>
      <c r="D848">
        <v>2</v>
      </c>
      <c r="E848" t="s">
        <v>21</v>
      </c>
      <c r="F848" t="s">
        <v>380</v>
      </c>
      <c r="G848" t="s">
        <v>608</v>
      </c>
      <c r="H848" t="s">
        <v>52</v>
      </c>
    </row>
    <row r="849" spans="1:8" x14ac:dyDescent="0.2">
      <c r="A849" t="s">
        <v>695</v>
      </c>
      <c r="B849" t="s">
        <v>692</v>
      </c>
      <c r="C849" t="s">
        <v>18</v>
      </c>
      <c r="D849">
        <v>1</v>
      </c>
      <c r="E849" t="s">
        <v>21</v>
      </c>
      <c r="F849" t="s">
        <v>380</v>
      </c>
      <c r="G849" t="s">
        <v>608</v>
      </c>
      <c r="H849" t="s">
        <v>52</v>
      </c>
    </row>
    <row r="850" spans="1:8" x14ac:dyDescent="0.2">
      <c r="A850" t="s">
        <v>696</v>
      </c>
      <c r="B850" t="s">
        <v>692</v>
      </c>
      <c r="C850" t="s">
        <v>18</v>
      </c>
      <c r="D850">
        <v>2</v>
      </c>
      <c r="E850" t="s">
        <v>17</v>
      </c>
      <c r="F850" t="s">
        <v>380</v>
      </c>
      <c r="G850" t="s">
        <v>608</v>
      </c>
      <c r="H850" t="s">
        <v>52</v>
      </c>
    </row>
    <row r="851" spans="1:8" x14ac:dyDescent="0.2">
      <c r="A851" t="s">
        <v>697</v>
      </c>
      <c r="B851" t="s">
        <v>692</v>
      </c>
      <c r="C851" t="s">
        <v>16</v>
      </c>
      <c r="D851">
        <v>4</v>
      </c>
      <c r="E851" t="s">
        <v>21</v>
      </c>
      <c r="F851" t="s">
        <v>380</v>
      </c>
      <c r="G851" t="s">
        <v>608</v>
      </c>
      <c r="H851" t="s">
        <v>52</v>
      </c>
    </row>
    <row r="852" spans="1:8" x14ac:dyDescent="0.2">
      <c r="A852" t="s">
        <v>699</v>
      </c>
      <c r="B852" t="s">
        <v>700</v>
      </c>
      <c r="C852" t="s">
        <v>18</v>
      </c>
      <c r="D852">
        <v>1</v>
      </c>
      <c r="E852" t="s">
        <v>17</v>
      </c>
      <c r="F852" t="s">
        <v>380</v>
      </c>
      <c r="G852" t="s">
        <v>608</v>
      </c>
      <c r="H852" t="s">
        <v>52</v>
      </c>
    </row>
    <row r="853" spans="1:8" x14ac:dyDescent="0.2">
      <c r="A853" t="s">
        <v>701</v>
      </c>
      <c r="B853" t="s">
        <v>700</v>
      </c>
      <c r="C853" t="s">
        <v>18</v>
      </c>
      <c r="D853">
        <v>1</v>
      </c>
      <c r="E853" t="s">
        <v>17</v>
      </c>
      <c r="F853" t="s">
        <v>380</v>
      </c>
      <c r="G853" t="s">
        <v>608</v>
      </c>
      <c r="H853" t="s">
        <v>52</v>
      </c>
    </row>
    <row r="854" spans="1:8" x14ac:dyDescent="0.2">
      <c r="A854" t="s">
        <v>702</v>
      </c>
      <c r="B854" t="s">
        <v>700</v>
      </c>
      <c r="C854" t="s">
        <v>18</v>
      </c>
      <c r="D854">
        <v>1</v>
      </c>
      <c r="E854" t="s">
        <v>17</v>
      </c>
      <c r="F854" t="s">
        <v>380</v>
      </c>
      <c r="G854" t="s">
        <v>608</v>
      </c>
      <c r="H854" t="s">
        <v>52</v>
      </c>
    </row>
    <row r="855" spans="1:8" x14ac:dyDescent="0.2">
      <c r="A855" t="s">
        <v>703</v>
      </c>
      <c r="B855" t="s">
        <v>700</v>
      </c>
      <c r="C855" t="s">
        <v>18</v>
      </c>
      <c r="D855">
        <v>2</v>
      </c>
      <c r="E855" t="s">
        <v>21</v>
      </c>
      <c r="F855" t="s">
        <v>380</v>
      </c>
      <c r="G855" t="s">
        <v>608</v>
      </c>
      <c r="H855" t="s">
        <v>52</v>
      </c>
    </row>
    <row r="856" spans="1:8" x14ac:dyDescent="0.2">
      <c r="A856" t="s">
        <v>704</v>
      </c>
      <c r="B856" t="s">
        <v>700</v>
      </c>
      <c r="C856" t="s">
        <v>16</v>
      </c>
      <c r="D856">
        <v>4</v>
      </c>
      <c r="E856" t="s">
        <v>17</v>
      </c>
      <c r="F856" t="s">
        <v>380</v>
      </c>
      <c r="G856" t="s">
        <v>608</v>
      </c>
      <c r="H856" t="s">
        <v>52</v>
      </c>
    </row>
    <row r="857" spans="1:8" x14ac:dyDescent="0.2">
      <c r="A857" t="s">
        <v>705</v>
      </c>
      <c r="B857" t="s">
        <v>482</v>
      </c>
      <c r="C857" t="s">
        <v>18</v>
      </c>
      <c r="D857">
        <v>2</v>
      </c>
      <c r="E857" t="s">
        <v>17</v>
      </c>
      <c r="F857" t="s">
        <v>380</v>
      </c>
      <c r="G857" t="s">
        <v>608</v>
      </c>
      <c r="H857" t="s">
        <v>52</v>
      </c>
    </row>
    <row r="858" spans="1:8" x14ac:dyDescent="0.2">
      <c r="A858" t="s">
        <v>706</v>
      </c>
      <c r="B858" t="s">
        <v>482</v>
      </c>
      <c r="C858" t="s">
        <v>19</v>
      </c>
      <c r="D858">
        <v>2</v>
      </c>
      <c r="E858" t="s">
        <v>17</v>
      </c>
      <c r="F858" t="s">
        <v>380</v>
      </c>
      <c r="G858" t="s">
        <v>608</v>
      </c>
      <c r="H858" t="s">
        <v>52</v>
      </c>
    </row>
    <row r="859" spans="1:8" x14ac:dyDescent="0.2">
      <c r="A859" t="s">
        <v>707</v>
      </c>
      <c r="B859" t="s">
        <v>482</v>
      </c>
      <c r="C859" t="s">
        <v>19</v>
      </c>
      <c r="D859">
        <v>2</v>
      </c>
      <c r="E859" t="s">
        <v>17</v>
      </c>
      <c r="F859" t="s">
        <v>380</v>
      </c>
      <c r="G859" t="s">
        <v>608</v>
      </c>
      <c r="H859" t="s">
        <v>52</v>
      </c>
    </row>
    <row r="860" spans="1:8" x14ac:dyDescent="0.2">
      <c r="A860" t="s">
        <v>708</v>
      </c>
      <c r="B860" t="s">
        <v>482</v>
      </c>
      <c r="C860" t="s">
        <v>16</v>
      </c>
      <c r="D860">
        <v>4</v>
      </c>
      <c r="E860" t="s">
        <v>21</v>
      </c>
      <c r="F860" t="s">
        <v>380</v>
      </c>
      <c r="G860" t="s">
        <v>608</v>
      </c>
      <c r="H860" t="s">
        <v>52</v>
      </c>
    </row>
    <row r="861" spans="1:8" x14ac:dyDescent="0.2">
      <c r="A861" t="s">
        <v>709</v>
      </c>
      <c r="B861" t="s">
        <v>482</v>
      </c>
      <c r="C861" t="s">
        <v>19</v>
      </c>
      <c r="D861">
        <v>2</v>
      </c>
      <c r="E861" t="s">
        <v>17</v>
      </c>
      <c r="F861" t="s">
        <v>380</v>
      </c>
      <c r="G861" t="s">
        <v>608</v>
      </c>
      <c r="H861" t="s">
        <v>52</v>
      </c>
    </row>
    <row r="862" spans="1:8" x14ac:dyDescent="0.2">
      <c r="A862" t="s">
        <v>710</v>
      </c>
      <c r="B862" t="s">
        <v>496</v>
      </c>
      <c r="C862" t="s">
        <v>18</v>
      </c>
      <c r="D862">
        <v>2</v>
      </c>
      <c r="E862" t="s">
        <v>21</v>
      </c>
      <c r="F862" t="s">
        <v>380</v>
      </c>
      <c r="G862" t="s">
        <v>608</v>
      </c>
      <c r="H862" t="s">
        <v>52</v>
      </c>
    </row>
    <row r="863" spans="1:8" x14ac:dyDescent="0.2">
      <c r="A863" t="s">
        <v>711</v>
      </c>
      <c r="B863" t="s">
        <v>496</v>
      </c>
      <c r="C863" t="s">
        <v>19</v>
      </c>
      <c r="D863">
        <v>2</v>
      </c>
      <c r="E863" t="s">
        <v>17</v>
      </c>
      <c r="F863" t="s">
        <v>380</v>
      </c>
      <c r="G863" t="s">
        <v>608</v>
      </c>
      <c r="H863" t="s">
        <v>52</v>
      </c>
    </row>
    <row r="864" spans="1:8" x14ac:dyDescent="0.2">
      <c r="A864" t="s">
        <v>712</v>
      </c>
      <c r="B864" t="s">
        <v>496</v>
      </c>
      <c r="C864" t="s">
        <v>18</v>
      </c>
      <c r="D864">
        <v>2</v>
      </c>
      <c r="E864" t="s">
        <v>17</v>
      </c>
      <c r="F864" t="s">
        <v>380</v>
      </c>
      <c r="G864" t="s">
        <v>608</v>
      </c>
      <c r="H864" t="s">
        <v>52</v>
      </c>
    </row>
    <row r="865" spans="1:8" x14ac:dyDescent="0.2">
      <c r="A865" t="s">
        <v>713</v>
      </c>
      <c r="B865" t="s">
        <v>496</v>
      </c>
      <c r="C865" t="s">
        <v>18</v>
      </c>
      <c r="D865">
        <v>2</v>
      </c>
      <c r="E865" t="s">
        <v>21</v>
      </c>
      <c r="F865" t="s">
        <v>380</v>
      </c>
      <c r="G865" t="s">
        <v>608</v>
      </c>
      <c r="H865" t="s">
        <v>52</v>
      </c>
    </row>
    <row r="866" spans="1:8" x14ac:dyDescent="0.2">
      <c r="A866" t="s">
        <v>714</v>
      </c>
      <c r="B866" t="s">
        <v>496</v>
      </c>
      <c r="C866" t="s">
        <v>19</v>
      </c>
      <c r="D866">
        <v>2</v>
      </c>
      <c r="E866" t="s">
        <v>21</v>
      </c>
      <c r="F866" t="s">
        <v>380</v>
      </c>
      <c r="G866" t="s">
        <v>608</v>
      </c>
      <c r="H866" t="s">
        <v>52</v>
      </c>
    </row>
    <row r="867" spans="1:8" x14ac:dyDescent="0.2">
      <c r="A867" t="s">
        <v>715</v>
      </c>
      <c r="B867" t="s">
        <v>508</v>
      </c>
      <c r="C867" t="s">
        <v>18</v>
      </c>
      <c r="D867">
        <v>1</v>
      </c>
      <c r="E867" t="s">
        <v>17</v>
      </c>
      <c r="F867" t="s">
        <v>380</v>
      </c>
      <c r="G867" t="s">
        <v>608</v>
      </c>
      <c r="H867" t="s">
        <v>52</v>
      </c>
    </row>
    <row r="868" spans="1:8" x14ac:dyDescent="0.2">
      <c r="A868" t="s">
        <v>716</v>
      </c>
      <c r="B868" t="s">
        <v>508</v>
      </c>
      <c r="C868" t="s">
        <v>18</v>
      </c>
      <c r="D868">
        <v>1</v>
      </c>
      <c r="E868" t="s">
        <v>21</v>
      </c>
      <c r="F868" t="s">
        <v>380</v>
      </c>
      <c r="G868" t="s">
        <v>608</v>
      </c>
      <c r="H868" t="s">
        <v>52</v>
      </c>
    </row>
    <row r="869" spans="1:8" x14ac:dyDescent="0.2">
      <c r="A869" t="s">
        <v>717</v>
      </c>
      <c r="B869" t="s">
        <v>508</v>
      </c>
      <c r="C869" t="s">
        <v>18</v>
      </c>
      <c r="D869">
        <v>2</v>
      </c>
      <c r="E869" t="s">
        <v>21</v>
      </c>
      <c r="F869" t="s">
        <v>380</v>
      </c>
      <c r="G869" t="s">
        <v>608</v>
      </c>
      <c r="H869" t="s">
        <v>52</v>
      </c>
    </row>
    <row r="870" spans="1:8" x14ac:dyDescent="0.2">
      <c r="A870" t="s">
        <v>718</v>
      </c>
      <c r="B870" t="s">
        <v>508</v>
      </c>
      <c r="C870" t="s">
        <v>19</v>
      </c>
      <c r="D870">
        <v>2</v>
      </c>
      <c r="E870" t="s">
        <v>21</v>
      </c>
      <c r="F870" t="s">
        <v>380</v>
      </c>
      <c r="G870" t="s">
        <v>608</v>
      </c>
      <c r="H870" t="s">
        <v>52</v>
      </c>
    </row>
    <row r="871" spans="1:8" x14ac:dyDescent="0.2">
      <c r="A871" t="s">
        <v>719</v>
      </c>
      <c r="B871" t="s">
        <v>508</v>
      </c>
      <c r="C871" t="s">
        <v>18</v>
      </c>
      <c r="D871">
        <v>2</v>
      </c>
      <c r="E871" t="s">
        <v>17</v>
      </c>
      <c r="F871" t="s">
        <v>380</v>
      </c>
      <c r="G871" t="s">
        <v>608</v>
      </c>
      <c r="H871" t="s">
        <v>52</v>
      </c>
    </row>
    <row r="872" spans="1:8" x14ac:dyDescent="0.2">
      <c r="A872" t="s">
        <v>481</v>
      </c>
      <c r="B872" t="s">
        <v>482</v>
      </c>
      <c r="C872" t="s">
        <v>16</v>
      </c>
      <c r="D872">
        <v>4</v>
      </c>
      <c r="E872" t="s">
        <v>21</v>
      </c>
      <c r="F872" t="s">
        <v>380</v>
      </c>
      <c r="G872" t="s">
        <v>603</v>
      </c>
      <c r="H872" t="s">
        <v>52</v>
      </c>
    </row>
    <row r="873" spans="1:8" x14ac:dyDescent="0.2">
      <c r="A873" t="s">
        <v>483</v>
      </c>
      <c r="B873" t="s">
        <v>482</v>
      </c>
      <c r="C873" t="s">
        <v>19</v>
      </c>
      <c r="D873">
        <v>2</v>
      </c>
      <c r="E873" t="s">
        <v>17</v>
      </c>
      <c r="F873" t="s">
        <v>380</v>
      </c>
      <c r="G873" t="s">
        <v>608</v>
      </c>
      <c r="H873" t="s">
        <v>52</v>
      </c>
    </row>
    <row r="874" spans="1:8" x14ac:dyDescent="0.2">
      <c r="A874" t="s">
        <v>484</v>
      </c>
      <c r="B874" t="s">
        <v>482</v>
      </c>
      <c r="C874" t="s">
        <v>16</v>
      </c>
      <c r="D874">
        <v>4</v>
      </c>
      <c r="E874" t="s">
        <v>17</v>
      </c>
      <c r="F874" t="s">
        <v>380</v>
      </c>
      <c r="G874" t="s">
        <v>603</v>
      </c>
      <c r="H874" t="s">
        <v>52</v>
      </c>
    </row>
    <row r="875" spans="1:8" x14ac:dyDescent="0.2">
      <c r="A875" t="s">
        <v>485</v>
      </c>
      <c r="B875" t="s">
        <v>482</v>
      </c>
      <c r="C875" t="s">
        <v>19</v>
      </c>
      <c r="D875">
        <v>3</v>
      </c>
      <c r="E875" t="s">
        <v>17</v>
      </c>
      <c r="F875" t="s">
        <v>380</v>
      </c>
      <c r="G875" t="s">
        <v>608</v>
      </c>
      <c r="H875" t="s">
        <v>52</v>
      </c>
    </row>
    <row r="876" spans="1:8" x14ac:dyDescent="0.2">
      <c r="A876" t="s">
        <v>486</v>
      </c>
      <c r="B876" t="s">
        <v>482</v>
      </c>
      <c r="C876" t="s">
        <v>16</v>
      </c>
      <c r="D876" t="s">
        <v>16</v>
      </c>
      <c r="E876" t="s">
        <v>17</v>
      </c>
      <c r="F876" t="s">
        <v>380</v>
      </c>
      <c r="G876" t="s">
        <v>608</v>
      </c>
      <c r="H876" t="s">
        <v>52</v>
      </c>
    </row>
    <row r="877" spans="1:8" x14ac:dyDescent="0.2">
      <c r="A877" t="s">
        <v>487</v>
      </c>
      <c r="B877" t="s">
        <v>482</v>
      </c>
      <c r="C877" t="s">
        <v>19</v>
      </c>
      <c r="D877">
        <v>2</v>
      </c>
      <c r="E877" t="s">
        <v>17</v>
      </c>
      <c r="F877" t="s">
        <v>380</v>
      </c>
      <c r="G877" t="s">
        <v>608</v>
      </c>
      <c r="H877" t="s">
        <v>52</v>
      </c>
    </row>
    <row r="878" spans="1:8" x14ac:dyDescent="0.2">
      <c r="A878" t="s">
        <v>488</v>
      </c>
      <c r="B878" t="s">
        <v>482</v>
      </c>
      <c r="C878" t="s">
        <v>16</v>
      </c>
      <c r="D878" t="s">
        <v>16</v>
      </c>
      <c r="E878" t="s">
        <v>17</v>
      </c>
      <c r="F878" t="s">
        <v>380</v>
      </c>
      <c r="G878" t="s">
        <v>608</v>
      </c>
      <c r="H878" t="s">
        <v>52</v>
      </c>
    </row>
    <row r="879" spans="1:8" x14ac:dyDescent="0.2">
      <c r="A879" t="s">
        <v>489</v>
      </c>
      <c r="B879" t="s">
        <v>482</v>
      </c>
      <c r="C879" t="s">
        <v>18</v>
      </c>
      <c r="D879">
        <v>2</v>
      </c>
      <c r="E879" t="s">
        <v>17</v>
      </c>
      <c r="F879" t="s">
        <v>380</v>
      </c>
      <c r="G879" t="s">
        <v>608</v>
      </c>
      <c r="H879" t="s">
        <v>52</v>
      </c>
    </row>
    <row r="880" spans="1:8" x14ac:dyDescent="0.2">
      <c r="A880" t="s">
        <v>490</v>
      </c>
      <c r="B880" t="s">
        <v>482</v>
      </c>
      <c r="C880" t="s">
        <v>16</v>
      </c>
      <c r="D880" t="s">
        <v>16</v>
      </c>
      <c r="E880" t="s">
        <v>17</v>
      </c>
      <c r="F880" t="s">
        <v>380</v>
      </c>
      <c r="G880" t="s">
        <v>608</v>
      </c>
      <c r="H880" t="s">
        <v>52</v>
      </c>
    </row>
    <row r="881" spans="1:8" x14ac:dyDescent="0.2">
      <c r="A881" t="s">
        <v>491</v>
      </c>
      <c r="B881" t="s">
        <v>482</v>
      </c>
      <c r="C881" t="s">
        <v>18</v>
      </c>
      <c r="D881">
        <v>2</v>
      </c>
      <c r="E881" t="s">
        <v>17</v>
      </c>
      <c r="F881" t="s">
        <v>380</v>
      </c>
      <c r="G881" t="s">
        <v>608</v>
      </c>
      <c r="H881" t="s">
        <v>52</v>
      </c>
    </row>
    <row r="882" spans="1:8" x14ac:dyDescent="0.2">
      <c r="A882" t="s">
        <v>492</v>
      </c>
      <c r="B882" t="s">
        <v>482</v>
      </c>
      <c r="C882" t="s">
        <v>18</v>
      </c>
      <c r="D882">
        <v>1</v>
      </c>
      <c r="E882" t="s">
        <v>17</v>
      </c>
      <c r="F882" t="s">
        <v>380</v>
      </c>
      <c r="G882" t="s">
        <v>608</v>
      </c>
      <c r="H882" t="s">
        <v>52</v>
      </c>
    </row>
    <row r="883" spans="1:8" x14ac:dyDescent="0.2">
      <c r="A883" t="s">
        <v>493</v>
      </c>
      <c r="B883" t="s">
        <v>482</v>
      </c>
      <c r="C883" t="s">
        <v>19</v>
      </c>
      <c r="D883">
        <v>2</v>
      </c>
      <c r="E883" t="s">
        <v>21</v>
      </c>
      <c r="F883" t="s">
        <v>380</v>
      </c>
      <c r="G883" t="s">
        <v>608</v>
      </c>
      <c r="H883" t="s">
        <v>52</v>
      </c>
    </row>
    <row r="884" spans="1:8" x14ac:dyDescent="0.2">
      <c r="A884" t="s">
        <v>494</v>
      </c>
      <c r="B884" t="s">
        <v>482</v>
      </c>
      <c r="C884" t="s">
        <v>19</v>
      </c>
      <c r="D884">
        <v>2</v>
      </c>
      <c r="E884" t="s">
        <v>17</v>
      </c>
      <c r="F884" t="s">
        <v>380</v>
      </c>
      <c r="G884" t="s">
        <v>608</v>
      </c>
      <c r="H884" t="s">
        <v>52</v>
      </c>
    </row>
    <row r="885" spans="1:8" x14ac:dyDescent="0.2">
      <c r="A885" t="s">
        <v>495</v>
      </c>
      <c r="B885" t="s">
        <v>496</v>
      </c>
      <c r="C885" t="s">
        <v>18</v>
      </c>
      <c r="D885">
        <v>2</v>
      </c>
      <c r="E885" t="s">
        <v>21</v>
      </c>
      <c r="F885" t="s">
        <v>380</v>
      </c>
      <c r="G885" t="s">
        <v>608</v>
      </c>
      <c r="H885" t="s">
        <v>52</v>
      </c>
    </row>
    <row r="886" spans="1:8" x14ac:dyDescent="0.2">
      <c r="A886" t="s">
        <v>497</v>
      </c>
      <c r="B886" t="s">
        <v>496</v>
      </c>
      <c r="C886" t="s">
        <v>18</v>
      </c>
      <c r="D886">
        <v>2</v>
      </c>
      <c r="E886" t="s">
        <v>17</v>
      </c>
      <c r="F886" t="s">
        <v>380</v>
      </c>
      <c r="G886" t="s">
        <v>608</v>
      </c>
      <c r="H886" t="s">
        <v>52</v>
      </c>
    </row>
    <row r="887" spans="1:8" x14ac:dyDescent="0.2">
      <c r="A887" t="s">
        <v>498</v>
      </c>
      <c r="B887" t="s">
        <v>496</v>
      </c>
      <c r="C887" t="s">
        <v>19</v>
      </c>
      <c r="D887">
        <v>1</v>
      </c>
      <c r="E887" t="s">
        <v>21</v>
      </c>
      <c r="F887" t="s">
        <v>380</v>
      </c>
      <c r="G887" t="s">
        <v>608</v>
      </c>
      <c r="H887" t="s">
        <v>52</v>
      </c>
    </row>
    <row r="888" spans="1:8" x14ac:dyDescent="0.2">
      <c r="A888" t="s">
        <v>499</v>
      </c>
      <c r="B888" t="s">
        <v>496</v>
      </c>
      <c r="C888" t="s">
        <v>18</v>
      </c>
      <c r="D888">
        <v>2</v>
      </c>
      <c r="E888" t="s">
        <v>17</v>
      </c>
      <c r="F888" t="s">
        <v>380</v>
      </c>
      <c r="G888" t="s">
        <v>608</v>
      </c>
      <c r="H888" t="s">
        <v>52</v>
      </c>
    </row>
    <row r="889" spans="1:8" x14ac:dyDescent="0.2">
      <c r="A889" t="s">
        <v>500</v>
      </c>
      <c r="B889" t="s">
        <v>496</v>
      </c>
      <c r="C889" t="s">
        <v>16</v>
      </c>
      <c r="D889">
        <v>4</v>
      </c>
      <c r="E889" t="s">
        <v>17</v>
      </c>
      <c r="F889" t="s">
        <v>380</v>
      </c>
      <c r="G889" t="s">
        <v>603</v>
      </c>
      <c r="H889" t="s">
        <v>52</v>
      </c>
    </row>
    <row r="890" spans="1:8" x14ac:dyDescent="0.2">
      <c r="A890" t="s">
        <v>501</v>
      </c>
      <c r="B890" t="s">
        <v>496</v>
      </c>
      <c r="C890" t="s">
        <v>19</v>
      </c>
      <c r="D890">
        <v>2</v>
      </c>
      <c r="E890" t="s">
        <v>17</v>
      </c>
      <c r="F890" t="s">
        <v>380</v>
      </c>
      <c r="G890" t="s">
        <v>608</v>
      </c>
      <c r="H890" t="s">
        <v>52</v>
      </c>
    </row>
    <row r="891" spans="1:8" x14ac:dyDescent="0.2">
      <c r="A891" t="s">
        <v>502</v>
      </c>
      <c r="B891" t="s">
        <v>496</v>
      </c>
      <c r="C891" t="s">
        <v>18</v>
      </c>
      <c r="D891">
        <v>2</v>
      </c>
      <c r="E891" t="s">
        <v>17</v>
      </c>
      <c r="F891" t="s">
        <v>380</v>
      </c>
      <c r="G891" t="s">
        <v>608</v>
      </c>
      <c r="H891" t="s">
        <v>52</v>
      </c>
    </row>
    <row r="892" spans="1:8" x14ac:dyDescent="0.2">
      <c r="A892" t="s">
        <v>503</v>
      </c>
      <c r="B892" t="s">
        <v>496</v>
      </c>
      <c r="C892" t="s">
        <v>18</v>
      </c>
      <c r="D892">
        <v>1</v>
      </c>
      <c r="E892" t="s">
        <v>17</v>
      </c>
      <c r="F892" t="s">
        <v>380</v>
      </c>
      <c r="G892" t="s">
        <v>608</v>
      </c>
      <c r="H892" t="s">
        <v>52</v>
      </c>
    </row>
    <row r="893" spans="1:8" x14ac:dyDescent="0.2">
      <c r="A893" t="s">
        <v>504</v>
      </c>
      <c r="B893" t="s">
        <v>496</v>
      </c>
      <c r="C893" t="s">
        <v>19</v>
      </c>
      <c r="D893">
        <v>2</v>
      </c>
      <c r="E893" t="s">
        <v>17</v>
      </c>
      <c r="F893" t="s">
        <v>380</v>
      </c>
      <c r="G893" t="s">
        <v>608</v>
      </c>
      <c r="H893" t="s">
        <v>52</v>
      </c>
    </row>
    <row r="894" spans="1:8" x14ac:dyDescent="0.2">
      <c r="A894" t="s">
        <v>505</v>
      </c>
      <c r="B894" t="s">
        <v>496</v>
      </c>
      <c r="C894" t="s">
        <v>19</v>
      </c>
      <c r="D894">
        <v>2</v>
      </c>
      <c r="E894" t="s">
        <v>17</v>
      </c>
      <c r="F894" t="s">
        <v>380</v>
      </c>
      <c r="G894" t="s">
        <v>608</v>
      </c>
      <c r="H894" t="s">
        <v>52</v>
      </c>
    </row>
    <row r="895" spans="1:8" x14ac:dyDescent="0.2">
      <c r="A895" t="s">
        <v>506</v>
      </c>
      <c r="B895" t="s">
        <v>496</v>
      </c>
      <c r="C895" t="s">
        <v>18</v>
      </c>
      <c r="D895" t="s">
        <v>16</v>
      </c>
      <c r="E895" t="s">
        <v>21</v>
      </c>
      <c r="F895" t="s">
        <v>380</v>
      </c>
      <c r="G895" t="s">
        <v>608</v>
      </c>
      <c r="H895" t="s">
        <v>52</v>
      </c>
    </row>
    <row r="896" spans="1:8" x14ac:dyDescent="0.2">
      <c r="A896" t="s">
        <v>507</v>
      </c>
      <c r="B896" t="s">
        <v>508</v>
      </c>
      <c r="C896" t="s">
        <v>19</v>
      </c>
      <c r="D896">
        <v>2</v>
      </c>
      <c r="E896" t="s">
        <v>17</v>
      </c>
      <c r="F896" t="s">
        <v>380</v>
      </c>
      <c r="G896" t="s">
        <v>608</v>
      </c>
      <c r="H896" t="s">
        <v>52</v>
      </c>
    </row>
    <row r="897" spans="1:8" x14ac:dyDescent="0.2">
      <c r="A897" t="s">
        <v>509</v>
      </c>
      <c r="B897" t="s">
        <v>508</v>
      </c>
      <c r="C897" t="s">
        <v>19</v>
      </c>
      <c r="D897">
        <v>2</v>
      </c>
      <c r="E897" t="s">
        <v>17</v>
      </c>
      <c r="F897" t="s">
        <v>380</v>
      </c>
      <c r="G897" t="s">
        <v>608</v>
      </c>
      <c r="H897" t="s">
        <v>52</v>
      </c>
    </row>
    <row r="898" spans="1:8" x14ac:dyDescent="0.2">
      <c r="A898" t="s">
        <v>510</v>
      </c>
      <c r="B898" t="s">
        <v>508</v>
      </c>
      <c r="C898" t="s">
        <v>19</v>
      </c>
      <c r="D898">
        <v>2</v>
      </c>
      <c r="E898" t="s">
        <v>17</v>
      </c>
      <c r="F898" t="s">
        <v>380</v>
      </c>
      <c r="G898" t="s">
        <v>608</v>
      </c>
      <c r="H898" t="s">
        <v>52</v>
      </c>
    </row>
    <row r="899" spans="1:8" x14ac:dyDescent="0.2">
      <c r="A899" t="s">
        <v>511</v>
      </c>
      <c r="B899" t="s">
        <v>508</v>
      </c>
      <c r="C899" t="s">
        <v>16</v>
      </c>
      <c r="D899" t="s">
        <v>16</v>
      </c>
      <c r="E899" t="s">
        <v>17</v>
      </c>
      <c r="F899" t="s">
        <v>380</v>
      </c>
      <c r="G899" t="s">
        <v>608</v>
      </c>
      <c r="H899" t="s">
        <v>52</v>
      </c>
    </row>
    <row r="900" spans="1:8" x14ac:dyDescent="0.2">
      <c r="A900" t="s">
        <v>512</v>
      </c>
      <c r="B900" t="s">
        <v>508</v>
      </c>
      <c r="C900" t="s">
        <v>16</v>
      </c>
      <c r="D900" t="s">
        <v>16</v>
      </c>
      <c r="E900" t="s">
        <v>17</v>
      </c>
      <c r="F900" t="s">
        <v>380</v>
      </c>
      <c r="G900" t="s">
        <v>608</v>
      </c>
      <c r="H900" t="s">
        <v>52</v>
      </c>
    </row>
    <row r="901" spans="1:8" x14ac:dyDescent="0.2">
      <c r="A901" t="s">
        <v>513</v>
      </c>
      <c r="B901" t="s">
        <v>508</v>
      </c>
      <c r="C901" t="s">
        <v>19</v>
      </c>
      <c r="D901">
        <v>2</v>
      </c>
      <c r="E901" t="s">
        <v>17</v>
      </c>
      <c r="F901" t="s">
        <v>380</v>
      </c>
      <c r="G901" t="s">
        <v>608</v>
      </c>
      <c r="H901" t="s">
        <v>52</v>
      </c>
    </row>
    <row r="902" spans="1:8" x14ac:dyDescent="0.2">
      <c r="A902" t="s">
        <v>514</v>
      </c>
      <c r="B902" t="s">
        <v>508</v>
      </c>
      <c r="C902" t="s">
        <v>19</v>
      </c>
      <c r="D902">
        <v>2</v>
      </c>
      <c r="E902" t="s">
        <v>17</v>
      </c>
      <c r="F902" t="s">
        <v>380</v>
      </c>
      <c r="G902" t="s">
        <v>608</v>
      </c>
      <c r="H902" t="s">
        <v>52</v>
      </c>
    </row>
    <row r="903" spans="1:8" x14ac:dyDescent="0.2">
      <c r="A903" t="s">
        <v>515</v>
      </c>
      <c r="B903" t="s">
        <v>508</v>
      </c>
      <c r="C903" t="s">
        <v>19</v>
      </c>
      <c r="D903">
        <v>2</v>
      </c>
      <c r="E903" t="s">
        <v>17</v>
      </c>
      <c r="F903" t="s">
        <v>380</v>
      </c>
      <c r="G903" t="s">
        <v>608</v>
      </c>
      <c r="H903" t="s">
        <v>52</v>
      </c>
    </row>
    <row r="904" spans="1:8" x14ac:dyDescent="0.2">
      <c r="A904" t="s">
        <v>516</v>
      </c>
      <c r="B904" t="s">
        <v>508</v>
      </c>
      <c r="C904" t="s">
        <v>19</v>
      </c>
      <c r="D904">
        <v>2</v>
      </c>
      <c r="E904" t="s">
        <v>21</v>
      </c>
      <c r="F904" t="s">
        <v>380</v>
      </c>
      <c r="G904" t="s">
        <v>608</v>
      </c>
      <c r="H904" t="s">
        <v>52</v>
      </c>
    </row>
    <row r="905" spans="1:8" x14ac:dyDescent="0.2">
      <c r="A905" t="s">
        <v>517</v>
      </c>
      <c r="B905" t="s">
        <v>508</v>
      </c>
      <c r="C905" t="s">
        <v>16</v>
      </c>
      <c r="D905">
        <v>4</v>
      </c>
      <c r="E905" t="s">
        <v>17</v>
      </c>
      <c r="F905" t="s">
        <v>380</v>
      </c>
      <c r="G905" t="s">
        <v>603</v>
      </c>
      <c r="H905" t="s">
        <v>52</v>
      </c>
    </row>
    <row r="906" spans="1:8" x14ac:dyDescent="0.2">
      <c r="A906" t="s">
        <v>518</v>
      </c>
      <c r="B906" t="s">
        <v>508</v>
      </c>
      <c r="C906" t="s">
        <v>18</v>
      </c>
      <c r="D906">
        <v>2</v>
      </c>
      <c r="E906" t="s">
        <v>21</v>
      </c>
      <c r="F906" t="s">
        <v>380</v>
      </c>
      <c r="G906" t="s">
        <v>608</v>
      </c>
      <c r="H906" t="s">
        <v>52</v>
      </c>
    </row>
    <row r="907" spans="1:8" x14ac:dyDescent="0.2">
      <c r="A907" t="s">
        <v>519</v>
      </c>
      <c r="B907" t="s">
        <v>508</v>
      </c>
      <c r="C907" t="s">
        <v>19</v>
      </c>
      <c r="D907">
        <v>2</v>
      </c>
      <c r="E907" t="s">
        <v>17</v>
      </c>
      <c r="F907" t="s">
        <v>380</v>
      </c>
      <c r="G907" t="s">
        <v>608</v>
      </c>
      <c r="H907" t="s">
        <v>52</v>
      </c>
    </row>
    <row r="908" spans="1:8" x14ac:dyDescent="0.2">
      <c r="A908" t="s">
        <v>520</v>
      </c>
      <c r="B908" t="s">
        <v>508</v>
      </c>
      <c r="C908" t="s">
        <v>19</v>
      </c>
      <c r="D908">
        <v>2</v>
      </c>
      <c r="E908" t="s">
        <v>17</v>
      </c>
      <c r="F908" t="s">
        <v>380</v>
      </c>
      <c r="G908" t="s">
        <v>608</v>
      </c>
      <c r="H908" t="s">
        <v>52</v>
      </c>
    </row>
    <row r="909" spans="1:8" x14ac:dyDescent="0.2">
      <c r="A909" t="s">
        <v>521</v>
      </c>
      <c r="B909" t="s">
        <v>508</v>
      </c>
      <c r="C909" t="s">
        <v>19</v>
      </c>
      <c r="D909">
        <v>2</v>
      </c>
      <c r="E909" t="s">
        <v>17</v>
      </c>
      <c r="F909" t="s">
        <v>380</v>
      </c>
      <c r="G909" t="s">
        <v>608</v>
      </c>
      <c r="H909" t="s">
        <v>52</v>
      </c>
    </row>
    <row r="910" spans="1:8" x14ac:dyDescent="0.2">
      <c r="A910" t="s">
        <v>522</v>
      </c>
      <c r="B910" t="s">
        <v>508</v>
      </c>
      <c r="C910" t="s">
        <v>19</v>
      </c>
      <c r="D910">
        <v>2</v>
      </c>
      <c r="E910" t="s">
        <v>17</v>
      </c>
      <c r="F910" t="s">
        <v>380</v>
      </c>
      <c r="G910" t="s">
        <v>608</v>
      </c>
      <c r="H910" t="s">
        <v>52</v>
      </c>
    </row>
    <row r="911" spans="1:8" x14ac:dyDescent="0.2">
      <c r="A911" t="s">
        <v>523</v>
      </c>
      <c r="B911" t="s">
        <v>508</v>
      </c>
      <c r="C911" t="s">
        <v>19</v>
      </c>
      <c r="D911">
        <v>2</v>
      </c>
      <c r="E911" t="s">
        <v>17</v>
      </c>
      <c r="F911" t="s">
        <v>380</v>
      </c>
      <c r="G911" t="s">
        <v>608</v>
      </c>
      <c r="H911" t="s">
        <v>52</v>
      </c>
    </row>
    <row r="912" spans="1:8" x14ac:dyDescent="0.2">
      <c r="A912" t="s">
        <v>721</v>
      </c>
      <c r="B912" t="s">
        <v>525</v>
      </c>
      <c r="C912" t="s">
        <v>18</v>
      </c>
      <c r="D912">
        <v>2</v>
      </c>
      <c r="E912" t="s">
        <v>17</v>
      </c>
      <c r="F912" t="s">
        <v>380</v>
      </c>
      <c r="G912" t="s">
        <v>608</v>
      </c>
      <c r="H912" t="s">
        <v>52</v>
      </c>
    </row>
    <row r="913" spans="1:8" x14ac:dyDescent="0.2">
      <c r="A913" t="s">
        <v>722</v>
      </c>
      <c r="B913" t="s">
        <v>525</v>
      </c>
      <c r="C913" t="s">
        <v>3202</v>
      </c>
      <c r="D913" t="s">
        <v>16</v>
      </c>
      <c r="E913" t="s">
        <v>21</v>
      </c>
      <c r="F913" t="s">
        <v>380</v>
      </c>
      <c r="G913" t="s">
        <v>608</v>
      </c>
      <c r="H913" t="s">
        <v>52</v>
      </c>
    </row>
    <row r="914" spans="1:8" x14ac:dyDescent="0.2">
      <c r="A914" t="s">
        <v>723</v>
      </c>
      <c r="B914" t="s">
        <v>525</v>
      </c>
      <c r="C914" t="s">
        <v>16</v>
      </c>
      <c r="D914">
        <v>4</v>
      </c>
      <c r="E914" t="s">
        <v>21</v>
      </c>
      <c r="F914" t="s">
        <v>380</v>
      </c>
      <c r="G914" t="s">
        <v>608</v>
      </c>
      <c r="H914" t="s">
        <v>52</v>
      </c>
    </row>
    <row r="915" spans="1:8" x14ac:dyDescent="0.2">
      <c r="A915" t="s">
        <v>724</v>
      </c>
      <c r="B915" t="s">
        <v>525</v>
      </c>
      <c r="C915" t="s">
        <v>18</v>
      </c>
      <c r="D915">
        <v>2</v>
      </c>
      <c r="E915" t="s">
        <v>17</v>
      </c>
      <c r="F915" t="s">
        <v>380</v>
      </c>
      <c r="G915" t="s">
        <v>608</v>
      </c>
      <c r="H915" t="s">
        <v>52</v>
      </c>
    </row>
    <row r="916" spans="1:8" x14ac:dyDescent="0.2">
      <c r="A916" t="s">
        <v>725</v>
      </c>
      <c r="B916" t="s">
        <v>525</v>
      </c>
      <c r="C916" t="s">
        <v>18</v>
      </c>
      <c r="D916">
        <v>2</v>
      </c>
      <c r="E916" t="s">
        <v>17</v>
      </c>
      <c r="F916" t="s">
        <v>380</v>
      </c>
      <c r="G916" t="s">
        <v>608</v>
      </c>
      <c r="H916" t="s">
        <v>52</v>
      </c>
    </row>
    <row r="917" spans="1:8" x14ac:dyDescent="0.2">
      <c r="A917" t="s">
        <v>726</v>
      </c>
      <c r="B917" t="s">
        <v>537</v>
      </c>
      <c r="C917" t="s">
        <v>18</v>
      </c>
      <c r="D917">
        <v>1</v>
      </c>
      <c r="E917" t="s">
        <v>17</v>
      </c>
      <c r="F917" t="s">
        <v>380</v>
      </c>
      <c r="G917" t="s">
        <v>608</v>
      </c>
      <c r="H917" t="s">
        <v>52</v>
      </c>
    </row>
    <row r="918" spans="1:8" x14ac:dyDescent="0.2">
      <c r="A918" t="s">
        <v>728</v>
      </c>
      <c r="B918" t="s">
        <v>537</v>
      </c>
      <c r="C918" t="s">
        <v>18</v>
      </c>
      <c r="D918">
        <v>2</v>
      </c>
      <c r="E918" t="s">
        <v>17</v>
      </c>
      <c r="F918" t="s">
        <v>380</v>
      </c>
      <c r="G918" t="s">
        <v>608</v>
      </c>
      <c r="H918" t="s">
        <v>52</v>
      </c>
    </row>
    <row r="919" spans="1:8" x14ac:dyDescent="0.2">
      <c r="A919" t="s">
        <v>729</v>
      </c>
      <c r="B919" t="s">
        <v>537</v>
      </c>
      <c r="C919" t="s">
        <v>18</v>
      </c>
      <c r="D919">
        <v>2</v>
      </c>
      <c r="E919" t="s">
        <v>17</v>
      </c>
      <c r="F919" t="s">
        <v>380</v>
      </c>
      <c r="G919" t="s">
        <v>608</v>
      </c>
      <c r="H919" t="s">
        <v>52</v>
      </c>
    </row>
    <row r="920" spans="1:8" x14ac:dyDescent="0.2">
      <c r="A920" t="s">
        <v>730</v>
      </c>
      <c r="B920" t="s">
        <v>537</v>
      </c>
      <c r="C920" t="s">
        <v>19</v>
      </c>
      <c r="D920">
        <v>2</v>
      </c>
      <c r="E920" t="s">
        <v>17</v>
      </c>
      <c r="F920" t="s">
        <v>380</v>
      </c>
      <c r="G920" t="s">
        <v>608</v>
      </c>
      <c r="H920" t="s">
        <v>52</v>
      </c>
    </row>
    <row r="921" spans="1:8" x14ac:dyDescent="0.2">
      <c r="A921" t="s">
        <v>731</v>
      </c>
      <c r="B921" t="s">
        <v>537</v>
      </c>
      <c r="C921" t="s">
        <v>18</v>
      </c>
      <c r="D921">
        <v>2</v>
      </c>
      <c r="E921" t="s">
        <v>17</v>
      </c>
      <c r="F921" t="s">
        <v>380</v>
      </c>
      <c r="G921" t="s">
        <v>608</v>
      </c>
      <c r="H921" t="s">
        <v>52</v>
      </c>
    </row>
    <row r="922" spans="1:8" x14ac:dyDescent="0.2">
      <c r="A922" t="s">
        <v>732</v>
      </c>
      <c r="B922" t="s">
        <v>551</v>
      </c>
      <c r="C922" t="s">
        <v>19</v>
      </c>
      <c r="D922">
        <v>2</v>
      </c>
      <c r="E922" t="s">
        <v>17</v>
      </c>
      <c r="F922" t="s">
        <v>380</v>
      </c>
      <c r="G922" t="s">
        <v>608</v>
      </c>
      <c r="H922" t="s">
        <v>52</v>
      </c>
    </row>
    <row r="923" spans="1:8" x14ac:dyDescent="0.2">
      <c r="A923" t="s">
        <v>733</v>
      </c>
      <c r="B923" t="s">
        <v>551</v>
      </c>
      <c r="C923" t="s">
        <v>19</v>
      </c>
      <c r="D923">
        <v>2</v>
      </c>
      <c r="E923" t="s">
        <v>17</v>
      </c>
      <c r="F923" t="s">
        <v>380</v>
      </c>
      <c r="G923" t="s">
        <v>608</v>
      </c>
      <c r="H923" t="s">
        <v>52</v>
      </c>
    </row>
    <row r="924" spans="1:8" x14ac:dyDescent="0.2">
      <c r="A924" t="s">
        <v>734</v>
      </c>
      <c r="B924" t="s">
        <v>551</v>
      </c>
      <c r="C924" t="s">
        <v>3202</v>
      </c>
      <c r="D924" t="s">
        <v>16</v>
      </c>
      <c r="E924" t="s">
        <v>17</v>
      </c>
      <c r="F924" t="s">
        <v>380</v>
      </c>
      <c r="G924" t="s">
        <v>608</v>
      </c>
      <c r="H924" t="s">
        <v>52</v>
      </c>
    </row>
    <row r="925" spans="1:8" x14ac:dyDescent="0.2">
      <c r="A925" t="s">
        <v>735</v>
      </c>
      <c r="B925" t="s">
        <v>551</v>
      </c>
      <c r="C925" t="s">
        <v>19</v>
      </c>
      <c r="D925">
        <v>2</v>
      </c>
      <c r="E925" t="s">
        <v>17</v>
      </c>
      <c r="F925" t="s">
        <v>380</v>
      </c>
      <c r="G925" t="s">
        <v>608</v>
      </c>
      <c r="H925" t="s">
        <v>52</v>
      </c>
    </row>
    <row r="926" spans="1:8" x14ac:dyDescent="0.2">
      <c r="A926" t="s">
        <v>736</v>
      </c>
      <c r="B926" t="s">
        <v>551</v>
      </c>
      <c r="C926" t="s">
        <v>19</v>
      </c>
      <c r="D926">
        <v>2</v>
      </c>
      <c r="E926" t="s">
        <v>17</v>
      </c>
      <c r="F926" t="s">
        <v>380</v>
      </c>
      <c r="G926" t="s">
        <v>608</v>
      </c>
      <c r="H926" t="s">
        <v>52</v>
      </c>
    </row>
    <row r="927" spans="1:8" x14ac:dyDescent="0.2">
      <c r="A927" t="s">
        <v>524</v>
      </c>
      <c r="B927" t="s">
        <v>525</v>
      </c>
      <c r="C927" t="s">
        <v>19</v>
      </c>
      <c r="D927">
        <v>2</v>
      </c>
      <c r="E927" t="s">
        <v>17</v>
      </c>
      <c r="F927" t="s">
        <v>380</v>
      </c>
      <c r="G927" t="s">
        <v>608</v>
      </c>
      <c r="H927" t="s">
        <v>52</v>
      </c>
    </row>
    <row r="928" spans="1:8" x14ac:dyDescent="0.2">
      <c r="A928" t="s">
        <v>526</v>
      </c>
      <c r="B928" t="s">
        <v>525</v>
      </c>
      <c r="C928" t="s">
        <v>18</v>
      </c>
      <c r="D928">
        <v>1</v>
      </c>
      <c r="E928" t="s">
        <v>17</v>
      </c>
      <c r="F928" t="s">
        <v>380</v>
      </c>
      <c r="G928" t="s">
        <v>608</v>
      </c>
      <c r="H928" t="s">
        <v>52</v>
      </c>
    </row>
    <row r="929" spans="1:8" x14ac:dyDescent="0.2">
      <c r="A929" t="s">
        <v>527</v>
      </c>
      <c r="B929" t="s">
        <v>525</v>
      </c>
      <c r="C929" t="s">
        <v>19</v>
      </c>
      <c r="D929">
        <v>2</v>
      </c>
      <c r="E929" t="s">
        <v>17</v>
      </c>
      <c r="F929" t="s">
        <v>380</v>
      </c>
      <c r="G929" t="s">
        <v>608</v>
      </c>
      <c r="H929" t="s">
        <v>52</v>
      </c>
    </row>
    <row r="930" spans="1:8" x14ac:dyDescent="0.2">
      <c r="A930" t="s">
        <v>528</v>
      </c>
      <c r="B930" t="s">
        <v>525</v>
      </c>
      <c r="C930" t="s">
        <v>19</v>
      </c>
      <c r="D930">
        <v>2</v>
      </c>
      <c r="E930" t="s">
        <v>17</v>
      </c>
      <c r="F930" t="s">
        <v>380</v>
      </c>
      <c r="G930" t="s">
        <v>608</v>
      </c>
      <c r="H930" t="s">
        <v>52</v>
      </c>
    </row>
    <row r="931" spans="1:8" x14ac:dyDescent="0.2">
      <c r="A931" t="s">
        <v>529</v>
      </c>
      <c r="B931" t="s">
        <v>525</v>
      </c>
      <c r="C931" t="s">
        <v>19</v>
      </c>
      <c r="D931">
        <v>2</v>
      </c>
      <c r="E931" t="s">
        <v>17</v>
      </c>
      <c r="F931" t="s">
        <v>380</v>
      </c>
      <c r="G931" t="s">
        <v>608</v>
      </c>
      <c r="H931" t="s">
        <v>52</v>
      </c>
    </row>
    <row r="932" spans="1:8" x14ac:dyDescent="0.2">
      <c r="A932" t="s">
        <v>530</v>
      </c>
      <c r="B932" t="s">
        <v>525</v>
      </c>
      <c r="C932" t="s">
        <v>19</v>
      </c>
      <c r="D932">
        <v>2</v>
      </c>
      <c r="E932" t="s">
        <v>21</v>
      </c>
      <c r="F932" t="s">
        <v>380</v>
      </c>
      <c r="G932" t="s">
        <v>608</v>
      </c>
      <c r="H932" t="s">
        <v>52</v>
      </c>
    </row>
    <row r="933" spans="1:8" x14ac:dyDescent="0.2">
      <c r="A933" t="s">
        <v>531</v>
      </c>
      <c r="B933" t="s">
        <v>525</v>
      </c>
      <c r="C933" t="s">
        <v>19</v>
      </c>
      <c r="D933">
        <v>2</v>
      </c>
      <c r="E933" t="s">
        <v>17</v>
      </c>
      <c r="F933" t="s">
        <v>380</v>
      </c>
      <c r="G933" t="s">
        <v>608</v>
      </c>
      <c r="H933" t="s">
        <v>52</v>
      </c>
    </row>
    <row r="934" spans="1:8" x14ac:dyDescent="0.2">
      <c r="A934" t="s">
        <v>532</v>
      </c>
      <c r="B934" t="s">
        <v>525</v>
      </c>
      <c r="C934" t="s">
        <v>19</v>
      </c>
      <c r="D934">
        <v>2</v>
      </c>
      <c r="E934" t="s">
        <v>17</v>
      </c>
      <c r="F934" t="s">
        <v>380</v>
      </c>
      <c r="G934" t="s">
        <v>608</v>
      </c>
      <c r="H934" t="s">
        <v>52</v>
      </c>
    </row>
    <row r="935" spans="1:8" x14ac:dyDescent="0.2">
      <c r="A935" t="s">
        <v>533</v>
      </c>
      <c r="B935" t="s">
        <v>525</v>
      </c>
      <c r="C935" t="s">
        <v>19</v>
      </c>
      <c r="D935">
        <v>2</v>
      </c>
      <c r="E935" t="s">
        <v>17</v>
      </c>
      <c r="F935" t="s">
        <v>380</v>
      </c>
      <c r="G935" t="s">
        <v>608</v>
      </c>
      <c r="H935" t="s">
        <v>52</v>
      </c>
    </row>
    <row r="936" spans="1:8" x14ac:dyDescent="0.2">
      <c r="A936" t="s">
        <v>534</v>
      </c>
      <c r="B936" t="s">
        <v>525</v>
      </c>
      <c r="C936" t="s">
        <v>16</v>
      </c>
      <c r="D936">
        <v>4</v>
      </c>
      <c r="E936" t="s">
        <v>17</v>
      </c>
      <c r="F936" t="s">
        <v>380</v>
      </c>
      <c r="G936" t="s">
        <v>3204</v>
      </c>
      <c r="H936" t="s">
        <v>52</v>
      </c>
    </row>
    <row r="937" spans="1:8" x14ac:dyDescent="0.2">
      <c r="A937" t="s">
        <v>535</v>
      </c>
      <c r="B937" t="s">
        <v>525</v>
      </c>
      <c r="C937" t="s">
        <v>19</v>
      </c>
      <c r="D937">
        <v>2</v>
      </c>
      <c r="E937" t="s">
        <v>17</v>
      </c>
      <c r="F937" t="s">
        <v>380</v>
      </c>
      <c r="G937" t="s">
        <v>608</v>
      </c>
      <c r="H937" t="s">
        <v>52</v>
      </c>
    </row>
    <row r="938" spans="1:8" x14ac:dyDescent="0.2">
      <c r="A938" t="s">
        <v>536</v>
      </c>
      <c r="B938" t="s">
        <v>537</v>
      </c>
      <c r="C938" t="s">
        <v>19</v>
      </c>
      <c r="D938">
        <v>2</v>
      </c>
      <c r="E938" t="s">
        <v>17</v>
      </c>
      <c r="F938" t="s">
        <v>380</v>
      </c>
      <c r="G938" t="s">
        <v>608</v>
      </c>
      <c r="H938" t="s">
        <v>52</v>
      </c>
    </row>
    <row r="939" spans="1:8" x14ac:dyDescent="0.2">
      <c r="A939" t="s">
        <v>538</v>
      </c>
      <c r="B939" t="s">
        <v>537</v>
      </c>
      <c r="C939" t="s">
        <v>18</v>
      </c>
      <c r="D939">
        <v>2</v>
      </c>
      <c r="E939" t="s">
        <v>17</v>
      </c>
      <c r="F939" t="s">
        <v>380</v>
      </c>
      <c r="G939" t="s">
        <v>608</v>
      </c>
      <c r="H939" t="s">
        <v>52</v>
      </c>
    </row>
    <row r="940" spans="1:8" x14ac:dyDescent="0.2">
      <c r="A940" t="s">
        <v>539</v>
      </c>
      <c r="B940" t="s">
        <v>537</v>
      </c>
      <c r="C940" t="s">
        <v>19</v>
      </c>
      <c r="D940">
        <v>2</v>
      </c>
      <c r="E940" t="s">
        <v>17</v>
      </c>
      <c r="F940" t="s">
        <v>380</v>
      </c>
      <c r="G940" t="s">
        <v>608</v>
      </c>
      <c r="H940" t="s">
        <v>52</v>
      </c>
    </row>
    <row r="941" spans="1:8" x14ac:dyDescent="0.2">
      <c r="A941" t="s">
        <v>540</v>
      </c>
      <c r="B941" t="s">
        <v>537</v>
      </c>
      <c r="C941" t="s">
        <v>19</v>
      </c>
      <c r="D941">
        <v>2</v>
      </c>
      <c r="E941" t="s">
        <v>17</v>
      </c>
      <c r="F941" t="s">
        <v>380</v>
      </c>
      <c r="G941" t="s">
        <v>608</v>
      </c>
      <c r="H941" t="s">
        <v>52</v>
      </c>
    </row>
    <row r="942" spans="1:8" x14ac:dyDescent="0.2">
      <c r="A942" t="s">
        <v>541</v>
      </c>
      <c r="B942" t="s">
        <v>537</v>
      </c>
      <c r="C942" t="s">
        <v>19</v>
      </c>
      <c r="D942">
        <v>2</v>
      </c>
      <c r="E942" t="s">
        <v>17</v>
      </c>
      <c r="F942" t="s">
        <v>380</v>
      </c>
      <c r="G942" t="s">
        <v>608</v>
      </c>
      <c r="H942" t="s">
        <v>52</v>
      </c>
    </row>
    <row r="943" spans="1:8" x14ac:dyDescent="0.2">
      <c r="A943" t="s">
        <v>542</v>
      </c>
      <c r="B943" t="s">
        <v>537</v>
      </c>
      <c r="C943" t="s">
        <v>19</v>
      </c>
      <c r="D943">
        <v>2</v>
      </c>
      <c r="E943" t="s">
        <v>21</v>
      </c>
      <c r="F943" t="s">
        <v>380</v>
      </c>
      <c r="G943" t="s">
        <v>608</v>
      </c>
      <c r="H943" t="s">
        <v>52</v>
      </c>
    </row>
    <row r="944" spans="1:8" x14ac:dyDescent="0.2">
      <c r="A944" t="s">
        <v>543</v>
      </c>
      <c r="B944" t="s">
        <v>537</v>
      </c>
      <c r="C944" t="s">
        <v>19</v>
      </c>
      <c r="D944">
        <v>2</v>
      </c>
      <c r="E944" t="s">
        <v>17</v>
      </c>
      <c r="F944" t="s">
        <v>380</v>
      </c>
      <c r="G944" t="s">
        <v>608</v>
      </c>
      <c r="H944" t="s">
        <v>52</v>
      </c>
    </row>
    <row r="945" spans="1:8" x14ac:dyDescent="0.2">
      <c r="A945" t="s">
        <v>544</v>
      </c>
      <c r="B945" t="s">
        <v>537</v>
      </c>
      <c r="C945" t="s">
        <v>19</v>
      </c>
      <c r="D945">
        <v>2</v>
      </c>
      <c r="E945" t="s">
        <v>17</v>
      </c>
      <c r="F945" t="s">
        <v>380</v>
      </c>
      <c r="G945" t="s">
        <v>608</v>
      </c>
      <c r="H945" t="s">
        <v>52</v>
      </c>
    </row>
    <row r="946" spans="1:8" x14ac:dyDescent="0.2">
      <c r="A946" t="s">
        <v>545</v>
      </c>
      <c r="B946" t="s">
        <v>537</v>
      </c>
      <c r="C946" t="s">
        <v>19</v>
      </c>
      <c r="D946">
        <v>2</v>
      </c>
      <c r="E946" t="s">
        <v>17</v>
      </c>
      <c r="F946" t="s">
        <v>380</v>
      </c>
      <c r="G946" t="s">
        <v>608</v>
      </c>
      <c r="H946" t="s">
        <v>52</v>
      </c>
    </row>
    <row r="947" spans="1:8" x14ac:dyDescent="0.2">
      <c r="A947" t="s">
        <v>546</v>
      </c>
      <c r="B947" t="s">
        <v>537</v>
      </c>
      <c r="C947" t="s">
        <v>19</v>
      </c>
      <c r="D947">
        <v>2</v>
      </c>
      <c r="E947" t="s">
        <v>17</v>
      </c>
      <c r="F947" t="s">
        <v>380</v>
      </c>
      <c r="G947" t="s">
        <v>608</v>
      </c>
      <c r="H947" t="s">
        <v>52</v>
      </c>
    </row>
    <row r="948" spans="1:8" x14ac:dyDescent="0.2">
      <c r="A948" t="s">
        <v>547</v>
      </c>
      <c r="B948" t="s">
        <v>537</v>
      </c>
      <c r="C948" t="s">
        <v>19</v>
      </c>
      <c r="D948">
        <v>2</v>
      </c>
      <c r="E948" t="s">
        <v>17</v>
      </c>
      <c r="F948" t="s">
        <v>380</v>
      </c>
      <c r="G948" t="s">
        <v>608</v>
      </c>
      <c r="H948" t="s">
        <v>52</v>
      </c>
    </row>
    <row r="949" spans="1:8" x14ac:dyDescent="0.2">
      <c r="A949" t="s">
        <v>548</v>
      </c>
      <c r="B949" t="s">
        <v>537</v>
      </c>
      <c r="C949" t="s">
        <v>19</v>
      </c>
      <c r="D949">
        <v>2</v>
      </c>
      <c r="E949" t="s">
        <v>17</v>
      </c>
      <c r="F949" t="s">
        <v>380</v>
      </c>
      <c r="G949" t="s">
        <v>608</v>
      </c>
      <c r="H949" t="s">
        <v>52</v>
      </c>
    </row>
    <row r="950" spans="1:8" x14ac:dyDescent="0.2">
      <c r="A950" t="s">
        <v>549</v>
      </c>
      <c r="B950" t="s">
        <v>537</v>
      </c>
      <c r="C950" t="s">
        <v>19</v>
      </c>
      <c r="D950">
        <v>2</v>
      </c>
      <c r="E950" t="s">
        <v>17</v>
      </c>
      <c r="F950" t="s">
        <v>380</v>
      </c>
      <c r="G950" t="s">
        <v>608</v>
      </c>
      <c r="H950" t="s">
        <v>52</v>
      </c>
    </row>
    <row r="951" spans="1:8" x14ac:dyDescent="0.2">
      <c r="A951" t="s">
        <v>550</v>
      </c>
      <c r="B951" t="s">
        <v>551</v>
      </c>
      <c r="C951" t="s">
        <v>19</v>
      </c>
      <c r="D951">
        <v>2</v>
      </c>
      <c r="E951" t="s">
        <v>17</v>
      </c>
      <c r="F951" t="s">
        <v>380</v>
      </c>
      <c r="G951" t="s">
        <v>608</v>
      </c>
      <c r="H951" t="s">
        <v>52</v>
      </c>
    </row>
    <row r="952" spans="1:8" x14ac:dyDescent="0.2">
      <c r="A952" t="s">
        <v>552</v>
      </c>
      <c r="B952" t="s">
        <v>551</v>
      </c>
      <c r="C952" t="s">
        <v>16</v>
      </c>
      <c r="D952">
        <v>4</v>
      </c>
      <c r="E952" t="s">
        <v>21</v>
      </c>
      <c r="F952" t="s">
        <v>380</v>
      </c>
      <c r="G952" t="s">
        <v>3205</v>
      </c>
      <c r="H952" t="s">
        <v>52</v>
      </c>
    </row>
    <row r="953" spans="1:8" x14ac:dyDescent="0.2">
      <c r="A953" t="s">
        <v>553</v>
      </c>
      <c r="B953" t="s">
        <v>551</v>
      </c>
      <c r="C953" t="s">
        <v>19</v>
      </c>
      <c r="D953">
        <v>2</v>
      </c>
      <c r="E953" t="s">
        <v>17</v>
      </c>
      <c r="F953" t="s">
        <v>380</v>
      </c>
      <c r="G953" t="s">
        <v>608</v>
      </c>
      <c r="H953" t="s">
        <v>52</v>
      </c>
    </row>
    <row r="954" spans="1:8" x14ac:dyDescent="0.2">
      <c r="A954" t="s">
        <v>554</v>
      </c>
      <c r="B954" t="s">
        <v>551</v>
      </c>
      <c r="C954" t="s">
        <v>19</v>
      </c>
      <c r="D954">
        <v>2</v>
      </c>
      <c r="E954" t="s">
        <v>17</v>
      </c>
      <c r="F954" t="s">
        <v>380</v>
      </c>
      <c r="G954" t="s">
        <v>608</v>
      </c>
      <c r="H954" t="s">
        <v>52</v>
      </c>
    </row>
    <row r="955" spans="1:8" x14ac:dyDescent="0.2">
      <c r="A955" t="s">
        <v>555</v>
      </c>
      <c r="B955" t="s">
        <v>551</v>
      </c>
      <c r="C955" t="s">
        <v>19</v>
      </c>
      <c r="D955">
        <v>2</v>
      </c>
      <c r="E955" t="s">
        <v>17</v>
      </c>
      <c r="F955" t="s">
        <v>380</v>
      </c>
      <c r="G955" t="s">
        <v>608</v>
      </c>
      <c r="H955" t="s">
        <v>52</v>
      </c>
    </row>
    <row r="956" spans="1:8" x14ac:dyDescent="0.2">
      <c r="A956" t="s">
        <v>556</v>
      </c>
      <c r="B956" t="s">
        <v>551</v>
      </c>
      <c r="C956" t="s">
        <v>19</v>
      </c>
      <c r="D956">
        <v>2</v>
      </c>
      <c r="E956" t="s">
        <v>21</v>
      </c>
      <c r="F956" t="s">
        <v>380</v>
      </c>
      <c r="G956" t="s">
        <v>608</v>
      </c>
      <c r="H956" t="s">
        <v>52</v>
      </c>
    </row>
    <row r="957" spans="1:8" x14ac:dyDescent="0.2">
      <c r="A957" t="s">
        <v>557</v>
      </c>
      <c r="B957" t="s">
        <v>551</v>
      </c>
      <c r="C957" t="s">
        <v>19</v>
      </c>
      <c r="D957">
        <v>2</v>
      </c>
      <c r="E957" t="s">
        <v>17</v>
      </c>
      <c r="F957" t="s">
        <v>380</v>
      </c>
      <c r="G957" t="s">
        <v>608</v>
      </c>
      <c r="H957" t="s">
        <v>52</v>
      </c>
    </row>
    <row r="958" spans="1:8" x14ac:dyDescent="0.2">
      <c r="A958" t="s">
        <v>558</v>
      </c>
      <c r="B958" t="s">
        <v>551</v>
      </c>
      <c r="C958" t="s">
        <v>19</v>
      </c>
      <c r="D958">
        <v>2</v>
      </c>
      <c r="E958" t="s">
        <v>17</v>
      </c>
      <c r="F958" t="s">
        <v>380</v>
      </c>
      <c r="G958" t="s">
        <v>608</v>
      </c>
      <c r="H958" t="s">
        <v>52</v>
      </c>
    </row>
    <row r="959" spans="1:8" x14ac:dyDescent="0.2">
      <c r="A959" t="s">
        <v>559</v>
      </c>
      <c r="B959" t="s">
        <v>551</v>
      </c>
      <c r="C959" t="s">
        <v>19</v>
      </c>
      <c r="D959">
        <v>2</v>
      </c>
      <c r="E959" t="s">
        <v>17</v>
      </c>
      <c r="F959" t="s">
        <v>380</v>
      </c>
      <c r="G959" t="s">
        <v>608</v>
      </c>
      <c r="H959" t="s">
        <v>52</v>
      </c>
    </row>
    <row r="960" spans="1:8" x14ac:dyDescent="0.2">
      <c r="A960" t="s">
        <v>560</v>
      </c>
      <c r="B960" t="s">
        <v>551</v>
      </c>
      <c r="C960" t="s">
        <v>19</v>
      </c>
      <c r="D960">
        <v>2</v>
      </c>
      <c r="E960" t="s">
        <v>17</v>
      </c>
      <c r="F960" t="s">
        <v>380</v>
      </c>
      <c r="G960" t="s">
        <v>608</v>
      </c>
      <c r="H960" t="s">
        <v>52</v>
      </c>
    </row>
    <row r="961" spans="1:8" x14ac:dyDescent="0.2">
      <c r="A961" t="s">
        <v>561</v>
      </c>
      <c r="B961" t="s">
        <v>551</v>
      </c>
      <c r="C961" t="s">
        <v>3202</v>
      </c>
      <c r="D961" t="s">
        <v>16</v>
      </c>
      <c r="E961" t="s">
        <v>17</v>
      </c>
      <c r="F961" t="s">
        <v>380</v>
      </c>
      <c r="G961" t="s">
        <v>608</v>
      </c>
      <c r="H961" t="s">
        <v>52</v>
      </c>
    </row>
    <row r="962" spans="1:8" x14ac:dyDescent="0.2">
      <c r="A962" t="s">
        <v>738</v>
      </c>
      <c r="B962" t="s">
        <v>563</v>
      </c>
      <c r="C962" t="s">
        <v>3202</v>
      </c>
      <c r="D962" t="s">
        <v>16</v>
      </c>
      <c r="E962" t="s">
        <v>21</v>
      </c>
      <c r="F962" t="s">
        <v>380</v>
      </c>
      <c r="G962" t="s">
        <v>608</v>
      </c>
      <c r="H962" t="s">
        <v>52</v>
      </c>
    </row>
    <row r="963" spans="1:8" x14ac:dyDescent="0.2">
      <c r="A963" t="s">
        <v>739</v>
      </c>
      <c r="B963" t="s">
        <v>563</v>
      </c>
      <c r="C963" t="s">
        <v>18</v>
      </c>
      <c r="D963">
        <v>2</v>
      </c>
      <c r="E963" t="s">
        <v>17</v>
      </c>
      <c r="F963" t="s">
        <v>380</v>
      </c>
      <c r="G963" t="s">
        <v>608</v>
      </c>
      <c r="H963" t="s">
        <v>52</v>
      </c>
    </row>
    <row r="964" spans="1:8" x14ac:dyDescent="0.2">
      <c r="A964" t="s">
        <v>740</v>
      </c>
      <c r="B964" t="s">
        <v>563</v>
      </c>
      <c r="C964" t="s">
        <v>19</v>
      </c>
      <c r="D964">
        <v>2</v>
      </c>
      <c r="E964" t="s">
        <v>17</v>
      </c>
      <c r="F964" t="s">
        <v>380</v>
      </c>
      <c r="G964" t="s">
        <v>608</v>
      </c>
      <c r="H964" t="s">
        <v>52</v>
      </c>
    </row>
    <row r="965" spans="1:8" x14ac:dyDescent="0.2">
      <c r="A965" t="s">
        <v>741</v>
      </c>
      <c r="B965" t="s">
        <v>563</v>
      </c>
      <c r="C965" t="s">
        <v>18</v>
      </c>
      <c r="D965">
        <v>2</v>
      </c>
      <c r="E965" t="s">
        <v>17</v>
      </c>
      <c r="F965" t="s">
        <v>380</v>
      </c>
      <c r="G965" t="s">
        <v>608</v>
      </c>
      <c r="H965" t="s">
        <v>52</v>
      </c>
    </row>
    <row r="966" spans="1:8" x14ac:dyDescent="0.2">
      <c r="A966" t="s">
        <v>742</v>
      </c>
      <c r="B966" t="s">
        <v>563</v>
      </c>
      <c r="C966" t="s">
        <v>19</v>
      </c>
      <c r="D966">
        <v>2</v>
      </c>
      <c r="E966" t="s">
        <v>17</v>
      </c>
      <c r="F966" t="s">
        <v>380</v>
      </c>
      <c r="G966" t="s">
        <v>608</v>
      </c>
      <c r="H966" t="s">
        <v>52</v>
      </c>
    </row>
    <row r="967" spans="1:8" x14ac:dyDescent="0.2">
      <c r="A967" t="s">
        <v>743</v>
      </c>
      <c r="B967" t="s">
        <v>576</v>
      </c>
      <c r="C967" t="s">
        <v>18</v>
      </c>
      <c r="D967">
        <v>2</v>
      </c>
      <c r="E967" t="s">
        <v>17</v>
      </c>
      <c r="F967" t="s">
        <v>380</v>
      </c>
      <c r="G967" t="s">
        <v>608</v>
      </c>
      <c r="H967" t="s">
        <v>52</v>
      </c>
    </row>
    <row r="968" spans="1:8" x14ac:dyDescent="0.2">
      <c r="A968" t="s">
        <v>744</v>
      </c>
      <c r="B968" t="s">
        <v>576</v>
      </c>
      <c r="C968" t="s">
        <v>18</v>
      </c>
      <c r="D968">
        <v>2</v>
      </c>
      <c r="E968" t="s">
        <v>21</v>
      </c>
      <c r="F968" t="s">
        <v>380</v>
      </c>
      <c r="G968" t="s">
        <v>608</v>
      </c>
      <c r="H968" t="s">
        <v>52</v>
      </c>
    </row>
    <row r="969" spans="1:8" x14ac:dyDescent="0.2">
      <c r="A969" t="s">
        <v>745</v>
      </c>
      <c r="B969" t="s">
        <v>576</v>
      </c>
      <c r="C969" t="s">
        <v>19</v>
      </c>
      <c r="D969">
        <v>2</v>
      </c>
      <c r="E969" t="s">
        <v>17</v>
      </c>
      <c r="F969" t="s">
        <v>380</v>
      </c>
      <c r="G969" t="s">
        <v>608</v>
      </c>
      <c r="H969" t="s">
        <v>52</v>
      </c>
    </row>
    <row r="970" spans="1:8" x14ac:dyDescent="0.2">
      <c r="A970" t="s">
        <v>746</v>
      </c>
      <c r="B970" t="s">
        <v>576</v>
      </c>
      <c r="C970" t="s">
        <v>19</v>
      </c>
      <c r="D970">
        <v>2</v>
      </c>
      <c r="E970" t="s">
        <v>17</v>
      </c>
      <c r="F970" t="s">
        <v>380</v>
      </c>
      <c r="G970" t="s">
        <v>608</v>
      </c>
      <c r="H970" t="s">
        <v>52</v>
      </c>
    </row>
    <row r="971" spans="1:8" x14ac:dyDescent="0.2">
      <c r="A971" t="s">
        <v>747</v>
      </c>
      <c r="B971" t="s">
        <v>576</v>
      </c>
      <c r="C971" t="s">
        <v>18</v>
      </c>
      <c r="D971">
        <v>2</v>
      </c>
      <c r="E971" t="s">
        <v>21</v>
      </c>
      <c r="F971" t="s">
        <v>380</v>
      </c>
      <c r="G971" t="s">
        <v>608</v>
      </c>
      <c r="H971" t="s">
        <v>52</v>
      </c>
    </row>
    <row r="972" spans="1:8" x14ac:dyDescent="0.2">
      <c r="A972" t="s">
        <v>748</v>
      </c>
      <c r="B972" t="s">
        <v>590</v>
      </c>
      <c r="C972" t="s">
        <v>19</v>
      </c>
      <c r="D972">
        <v>2</v>
      </c>
      <c r="E972" t="s">
        <v>17</v>
      </c>
      <c r="F972" t="s">
        <v>380</v>
      </c>
      <c r="G972" t="s">
        <v>608</v>
      </c>
      <c r="H972" t="s">
        <v>52</v>
      </c>
    </row>
    <row r="973" spans="1:8" x14ac:dyDescent="0.2">
      <c r="A973" t="s">
        <v>749</v>
      </c>
      <c r="B973" t="s">
        <v>590</v>
      </c>
      <c r="C973" t="s">
        <v>18</v>
      </c>
      <c r="D973">
        <v>2</v>
      </c>
      <c r="E973" t="s">
        <v>17</v>
      </c>
      <c r="F973" t="s">
        <v>380</v>
      </c>
      <c r="G973" t="s">
        <v>608</v>
      </c>
      <c r="H973" t="s">
        <v>52</v>
      </c>
    </row>
    <row r="974" spans="1:8" x14ac:dyDescent="0.2">
      <c r="A974" t="s">
        <v>750</v>
      </c>
      <c r="B974" t="s">
        <v>590</v>
      </c>
      <c r="C974" t="s">
        <v>18</v>
      </c>
      <c r="D974">
        <v>2</v>
      </c>
      <c r="E974" t="s">
        <v>17</v>
      </c>
      <c r="F974" t="s">
        <v>380</v>
      </c>
      <c r="G974" t="s">
        <v>608</v>
      </c>
      <c r="H974" t="s">
        <v>52</v>
      </c>
    </row>
    <row r="975" spans="1:8" x14ac:dyDescent="0.2">
      <c r="A975" t="s">
        <v>751</v>
      </c>
      <c r="B975" t="s">
        <v>590</v>
      </c>
      <c r="C975" t="s">
        <v>18</v>
      </c>
      <c r="D975">
        <v>2</v>
      </c>
      <c r="E975" t="s">
        <v>17</v>
      </c>
      <c r="F975" t="s">
        <v>380</v>
      </c>
      <c r="G975" t="s">
        <v>608</v>
      </c>
      <c r="H975" t="s">
        <v>52</v>
      </c>
    </row>
    <row r="976" spans="1:8" x14ac:dyDescent="0.2">
      <c r="A976" t="s">
        <v>752</v>
      </c>
      <c r="B976" t="s">
        <v>590</v>
      </c>
      <c r="C976" t="s">
        <v>18</v>
      </c>
      <c r="D976">
        <v>2</v>
      </c>
      <c r="E976" t="s">
        <v>17</v>
      </c>
      <c r="F976" t="s">
        <v>380</v>
      </c>
      <c r="G976" t="s">
        <v>608</v>
      </c>
      <c r="H976" t="s">
        <v>52</v>
      </c>
    </row>
    <row r="977" spans="1:8" x14ac:dyDescent="0.2">
      <c r="A977" t="s">
        <v>562</v>
      </c>
      <c r="B977" t="s">
        <v>563</v>
      </c>
      <c r="C977" t="s">
        <v>19</v>
      </c>
      <c r="D977">
        <v>2</v>
      </c>
      <c r="E977" t="s">
        <v>17</v>
      </c>
      <c r="F977" t="s">
        <v>380</v>
      </c>
      <c r="G977" t="s">
        <v>608</v>
      </c>
      <c r="H977" t="s">
        <v>52</v>
      </c>
    </row>
    <row r="978" spans="1:8" x14ac:dyDescent="0.2">
      <c r="A978" t="s">
        <v>564</v>
      </c>
      <c r="B978" t="s">
        <v>563</v>
      </c>
      <c r="C978" t="s">
        <v>18</v>
      </c>
      <c r="D978">
        <v>2</v>
      </c>
      <c r="E978" t="s">
        <v>17</v>
      </c>
      <c r="F978" t="s">
        <v>380</v>
      </c>
      <c r="G978" t="s">
        <v>608</v>
      </c>
      <c r="H978" t="s">
        <v>52</v>
      </c>
    </row>
    <row r="979" spans="1:8" x14ac:dyDescent="0.2">
      <c r="A979" t="s">
        <v>565</v>
      </c>
      <c r="B979" t="s">
        <v>563</v>
      </c>
      <c r="C979" t="s">
        <v>19</v>
      </c>
      <c r="D979">
        <v>3</v>
      </c>
      <c r="E979" t="s">
        <v>17</v>
      </c>
      <c r="F979" t="s">
        <v>380</v>
      </c>
      <c r="G979" t="s">
        <v>608</v>
      </c>
      <c r="H979" t="s">
        <v>52</v>
      </c>
    </row>
    <row r="980" spans="1:8" x14ac:dyDescent="0.2">
      <c r="A980" t="s">
        <v>566</v>
      </c>
      <c r="B980" t="s">
        <v>563</v>
      </c>
      <c r="C980" t="s">
        <v>19</v>
      </c>
      <c r="D980">
        <v>2</v>
      </c>
      <c r="E980" t="s">
        <v>17</v>
      </c>
      <c r="F980" t="s">
        <v>380</v>
      </c>
      <c r="G980" t="s">
        <v>608</v>
      </c>
      <c r="H980" t="s">
        <v>52</v>
      </c>
    </row>
    <row r="981" spans="1:8" x14ac:dyDescent="0.2">
      <c r="A981" t="s">
        <v>567</v>
      </c>
      <c r="B981" t="s">
        <v>563</v>
      </c>
      <c r="C981" t="s">
        <v>19</v>
      </c>
      <c r="D981">
        <v>2</v>
      </c>
      <c r="E981" t="s">
        <v>17</v>
      </c>
      <c r="F981" t="s">
        <v>380</v>
      </c>
      <c r="G981" t="s">
        <v>608</v>
      </c>
      <c r="H981" t="s">
        <v>52</v>
      </c>
    </row>
    <row r="982" spans="1:8" x14ac:dyDescent="0.2">
      <c r="A982" t="s">
        <v>568</v>
      </c>
      <c r="B982" t="s">
        <v>563</v>
      </c>
      <c r="C982" t="s">
        <v>19</v>
      </c>
      <c r="D982">
        <v>2</v>
      </c>
      <c r="E982" t="s">
        <v>21</v>
      </c>
      <c r="F982" t="s">
        <v>380</v>
      </c>
      <c r="G982" t="s">
        <v>608</v>
      </c>
      <c r="H982" t="s">
        <v>52</v>
      </c>
    </row>
    <row r="983" spans="1:8" x14ac:dyDescent="0.2">
      <c r="A983" t="s">
        <v>569</v>
      </c>
      <c r="B983" t="s">
        <v>563</v>
      </c>
      <c r="C983" t="s">
        <v>19</v>
      </c>
      <c r="D983">
        <v>2</v>
      </c>
      <c r="E983" t="s">
        <v>17</v>
      </c>
      <c r="F983" t="s">
        <v>380</v>
      </c>
      <c r="G983" t="s">
        <v>608</v>
      </c>
      <c r="H983" t="s">
        <v>52</v>
      </c>
    </row>
    <row r="984" spans="1:8" x14ac:dyDescent="0.2">
      <c r="A984" t="s">
        <v>570</v>
      </c>
      <c r="B984" t="s">
        <v>563</v>
      </c>
      <c r="C984" t="s">
        <v>19</v>
      </c>
      <c r="D984">
        <v>2</v>
      </c>
      <c r="E984" t="s">
        <v>21</v>
      </c>
      <c r="F984" t="s">
        <v>380</v>
      </c>
      <c r="G984" t="s">
        <v>608</v>
      </c>
      <c r="H984" t="s">
        <v>52</v>
      </c>
    </row>
    <row r="985" spans="1:8" x14ac:dyDescent="0.2">
      <c r="A985" t="s">
        <v>571</v>
      </c>
      <c r="B985" t="s">
        <v>563</v>
      </c>
      <c r="C985" t="s">
        <v>19</v>
      </c>
      <c r="D985">
        <v>2</v>
      </c>
      <c r="E985" t="s">
        <v>17</v>
      </c>
      <c r="F985" t="s">
        <v>380</v>
      </c>
      <c r="G985" t="s">
        <v>608</v>
      </c>
      <c r="H985" t="s">
        <v>52</v>
      </c>
    </row>
    <row r="986" spans="1:8" x14ac:dyDescent="0.2">
      <c r="A986" t="s">
        <v>572</v>
      </c>
      <c r="B986" t="s">
        <v>563</v>
      </c>
      <c r="C986" t="s">
        <v>19</v>
      </c>
      <c r="D986">
        <v>2</v>
      </c>
      <c r="E986" t="s">
        <v>17</v>
      </c>
      <c r="F986" t="s">
        <v>380</v>
      </c>
      <c r="G986" t="s">
        <v>608</v>
      </c>
      <c r="H986" t="s">
        <v>52</v>
      </c>
    </row>
    <row r="987" spans="1:8" x14ac:dyDescent="0.2">
      <c r="A987" t="s">
        <v>573</v>
      </c>
      <c r="B987" t="s">
        <v>563</v>
      </c>
      <c r="C987" t="s">
        <v>19</v>
      </c>
      <c r="D987">
        <v>2</v>
      </c>
      <c r="E987" t="s">
        <v>17</v>
      </c>
      <c r="F987" t="s">
        <v>380</v>
      </c>
      <c r="G987" t="s">
        <v>608</v>
      </c>
      <c r="H987" t="s">
        <v>52</v>
      </c>
    </row>
    <row r="988" spans="1:8" x14ac:dyDescent="0.2">
      <c r="A988" t="s">
        <v>574</v>
      </c>
      <c r="B988" t="s">
        <v>563</v>
      </c>
      <c r="C988" t="s">
        <v>19</v>
      </c>
      <c r="D988">
        <v>1</v>
      </c>
      <c r="E988" t="s">
        <v>17</v>
      </c>
      <c r="F988" t="s">
        <v>380</v>
      </c>
      <c r="G988" t="s">
        <v>608</v>
      </c>
      <c r="H988" t="s">
        <v>52</v>
      </c>
    </row>
    <row r="989" spans="1:8" x14ac:dyDescent="0.2">
      <c r="A989" t="s">
        <v>575</v>
      </c>
      <c r="B989" t="s">
        <v>576</v>
      </c>
      <c r="C989" t="s">
        <v>18</v>
      </c>
      <c r="D989">
        <v>2</v>
      </c>
      <c r="E989" t="s">
        <v>17</v>
      </c>
      <c r="F989" t="s">
        <v>380</v>
      </c>
      <c r="G989" t="s">
        <v>608</v>
      </c>
      <c r="H989" t="s">
        <v>52</v>
      </c>
    </row>
    <row r="990" spans="1:8" x14ac:dyDescent="0.2">
      <c r="A990" t="s">
        <v>577</v>
      </c>
      <c r="B990" t="s">
        <v>576</v>
      </c>
      <c r="C990" t="s">
        <v>19</v>
      </c>
      <c r="D990">
        <v>2</v>
      </c>
      <c r="E990" t="s">
        <v>21</v>
      </c>
      <c r="F990" t="s">
        <v>380</v>
      </c>
      <c r="G990" t="s">
        <v>608</v>
      </c>
      <c r="H990" t="s">
        <v>52</v>
      </c>
    </row>
    <row r="991" spans="1:8" x14ac:dyDescent="0.2">
      <c r="A991" t="s">
        <v>578</v>
      </c>
      <c r="B991" t="s">
        <v>576</v>
      </c>
      <c r="C991" t="s">
        <v>19</v>
      </c>
      <c r="D991">
        <v>2</v>
      </c>
      <c r="E991" t="s">
        <v>17</v>
      </c>
      <c r="F991" t="s">
        <v>380</v>
      </c>
      <c r="G991" t="s">
        <v>608</v>
      </c>
      <c r="H991" t="s">
        <v>52</v>
      </c>
    </row>
    <row r="992" spans="1:8" x14ac:dyDescent="0.2">
      <c r="A992" t="s">
        <v>579</v>
      </c>
      <c r="B992" t="s">
        <v>576</v>
      </c>
      <c r="C992" t="s">
        <v>18</v>
      </c>
      <c r="D992">
        <v>2</v>
      </c>
      <c r="E992" t="s">
        <v>17</v>
      </c>
      <c r="F992" t="s">
        <v>380</v>
      </c>
      <c r="G992" t="s">
        <v>608</v>
      </c>
      <c r="H992" t="s">
        <v>52</v>
      </c>
    </row>
    <row r="993" spans="1:8" x14ac:dyDescent="0.2">
      <c r="A993" t="s">
        <v>580</v>
      </c>
      <c r="B993" t="s">
        <v>576</v>
      </c>
      <c r="C993" t="s">
        <v>19</v>
      </c>
      <c r="D993">
        <v>2</v>
      </c>
      <c r="E993" t="s">
        <v>17</v>
      </c>
      <c r="F993" t="s">
        <v>380</v>
      </c>
      <c r="G993" t="s">
        <v>608</v>
      </c>
      <c r="H993" t="s">
        <v>52</v>
      </c>
    </row>
    <row r="994" spans="1:8" x14ac:dyDescent="0.2">
      <c r="A994" t="s">
        <v>581</v>
      </c>
      <c r="B994" t="s">
        <v>576</v>
      </c>
      <c r="C994" t="s">
        <v>19</v>
      </c>
      <c r="D994">
        <v>2</v>
      </c>
      <c r="E994" t="s">
        <v>17</v>
      </c>
      <c r="F994" t="s">
        <v>380</v>
      </c>
      <c r="G994" t="s">
        <v>608</v>
      </c>
      <c r="H994" t="s">
        <v>52</v>
      </c>
    </row>
    <row r="995" spans="1:8" x14ac:dyDescent="0.2">
      <c r="A995" t="s">
        <v>582</v>
      </c>
      <c r="B995" t="s">
        <v>576</v>
      </c>
      <c r="C995" t="s">
        <v>19</v>
      </c>
      <c r="D995">
        <v>2</v>
      </c>
      <c r="E995" t="s">
        <v>17</v>
      </c>
      <c r="F995" t="s">
        <v>380</v>
      </c>
      <c r="G995" t="s">
        <v>608</v>
      </c>
      <c r="H995" t="s">
        <v>52</v>
      </c>
    </row>
    <row r="996" spans="1:8" x14ac:dyDescent="0.2">
      <c r="A996" t="s">
        <v>583</v>
      </c>
      <c r="B996" t="s">
        <v>576</v>
      </c>
      <c r="C996" t="s">
        <v>16</v>
      </c>
      <c r="D996">
        <v>4</v>
      </c>
      <c r="E996" t="s">
        <v>17</v>
      </c>
      <c r="F996" t="s">
        <v>380</v>
      </c>
      <c r="G996" t="s">
        <v>3212</v>
      </c>
      <c r="H996" t="s">
        <v>52</v>
      </c>
    </row>
    <row r="997" spans="1:8" x14ac:dyDescent="0.2">
      <c r="A997" t="s">
        <v>584</v>
      </c>
      <c r="B997" t="s">
        <v>576</v>
      </c>
      <c r="C997" t="s">
        <v>19</v>
      </c>
      <c r="D997">
        <v>1</v>
      </c>
      <c r="E997" t="s">
        <v>17</v>
      </c>
      <c r="F997" t="s">
        <v>380</v>
      </c>
      <c r="G997" t="s">
        <v>608</v>
      </c>
      <c r="H997" t="s">
        <v>52</v>
      </c>
    </row>
    <row r="998" spans="1:8" x14ac:dyDescent="0.2">
      <c r="A998" t="s">
        <v>585</v>
      </c>
      <c r="B998" t="s">
        <v>576</v>
      </c>
      <c r="C998" t="s">
        <v>19</v>
      </c>
      <c r="D998">
        <v>2</v>
      </c>
      <c r="E998" t="s">
        <v>17</v>
      </c>
      <c r="F998" t="s">
        <v>380</v>
      </c>
      <c r="G998" t="s">
        <v>608</v>
      </c>
      <c r="H998" t="s">
        <v>52</v>
      </c>
    </row>
    <row r="999" spans="1:8" x14ac:dyDescent="0.2">
      <c r="A999" t="s">
        <v>586</v>
      </c>
      <c r="B999" t="s">
        <v>576</v>
      </c>
      <c r="C999" t="s">
        <v>19</v>
      </c>
      <c r="D999">
        <v>2</v>
      </c>
      <c r="E999" t="s">
        <v>17</v>
      </c>
      <c r="F999" t="s">
        <v>380</v>
      </c>
      <c r="G999" t="s">
        <v>608</v>
      </c>
      <c r="H999" t="s">
        <v>52</v>
      </c>
    </row>
    <row r="1000" spans="1:8" x14ac:dyDescent="0.2">
      <c r="A1000" t="s">
        <v>587</v>
      </c>
      <c r="B1000" t="s">
        <v>576</v>
      </c>
      <c r="C1000" t="s">
        <v>16</v>
      </c>
      <c r="D1000">
        <v>4</v>
      </c>
      <c r="E1000" t="s">
        <v>17</v>
      </c>
      <c r="F1000" t="s">
        <v>380</v>
      </c>
      <c r="G1000" t="s">
        <v>3212</v>
      </c>
      <c r="H1000" t="s">
        <v>52</v>
      </c>
    </row>
    <row r="1001" spans="1:8" x14ac:dyDescent="0.2">
      <c r="A1001" t="s">
        <v>588</v>
      </c>
      <c r="B1001" t="s">
        <v>576</v>
      </c>
      <c r="C1001" t="s">
        <v>16</v>
      </c>
      <c r="D1001">
        <v>4</v>
      </c>
      <c r="E1001" t="s">
        <v>17</v>
      </c>
      <c r="F1001" t="s">
        <v>380</v>
      </c>
      <c r="G1001" t="s">
        <v>3212</v>
      </c>
      <c r="H1001" t="s">
        <v>52</v>
      </c>
    </row>
    <row r="1002" spans="1:8" x14ac:dyDescent="0.2">
      <c r="A1002" t="s">
        <v>589</v>
      </c>
      <c r="B1002" t="s">
        <v>590</v>
      </c>
      <c r="C1002" t="s">
        <v>18</v>
      </c>
      <c r="D1002">
        <v>2</v>
      </c>
      <c r="E1002" t="s">
        <v>17</v>
      </c>
      <c r="F1002" t="s">
        <v>380</v>
      </c>
      <c r="G1002" t="s">
        <v>608</v>
      </c>
      <c r="H1002" t="s">
        <v>52</v>
      </c>
    </row>
    <row r="1003" spans="1:8" x14ac:dyDescent="0.2">
      <c r="A1003" t="s">
        <v>591</v>
      </c>
      <c r="B1003" t="s">
        <v>590</v>
      </c>
      <c r="C1003" t="s">
        <v>19</v>
      </c>
      <c r="D1003">
        <v>2</v>
      </c>
      <c r="E1003" t="s">
        <v>21</v>
      </c>
      <c r="F1003" t="s">
        <v>380</v>
      </c>
      <c r="G1003" t="s">
        <v>608</v>
      </c>
      <c r="H1003" t="s">
        <v>52</v>
      </c>
    </row>
    <row r="1004" spans="1:8" x14ac:dyDescent="0.2">
      <c r="A1004" t="s">
        <v>592</v>
      </c>
      <c r="B1004" t="s">
        <v>590</v>
      </c>
      <c r="C1004" t="s">
        <v>19</v>
      </c>
      <c r="D1004">
        <v>2</v>
      </c>
      <c r="E1004" t="s">
        <v>17</v>
      </c>
      <c r="F1004" t="s">
        <v>380</v>
      </c>
      <c r="G1004" t="s">
        <v>608</v>
      </c>
      <c r="H1004" t="s">
        <v>52</v>
      </c>
    </row>
    <row r="1005" spans="1:8" x14ac:dyDescent="0.2">
      <c r="A1005" t="s">
        <v>593</v>
      </c>
      <c r="B1005" t="s">
        <v>590</v>
      </c>
      <c r="C1005" t="s">
        <v>19</v>
      </c>
      <c r="D1005">
        <v>2</v>
      </c>
      <c r="E1005" t="s">
        <v>17</v>
      </c>
      <c r="F1005" t="s">
        <v>380</v>
      </c>
      <c r="G1005" t="s">
        <v>608</v>
      </c>
      <c r="H1005" t="s">
        <v>52</v>
      </c>
    </row>
    <row r="1006" spans="1:8" x14ac:dyDescent="0.2">
      <c r="A1006" t="s">
        <v>594</v>
      </c>
      <c r="B1006" t="s">
        <v>590</v>
      </c>
      <c r="C1006" t="s">
        <v>19</v>
      </c>
      <c r="D1006">
        <v>2</v>
      </c>
      <c r="E1006" t="s">
        <v>17</v>
      </c>
      <c r="F1006" t="s">
        <v>380</v>
      </c>
      <c r="G1006" t="s">
        <v>608</v>
      </c>
      <c r="H1006" t="s">
        <v>52</v>
      </c>
    </row>
    <row r="1007" spans="1:8" x14ac:dyDescent="0.2">
      <c r="A1007" t="s">
        <v>595</v>
      </c>
      <c r="B1007" t="s">
        <v>590</v>
      </c>
      <c r="C1007" t="s">
        <v>19</v>
      </c>
      <c r="D1007">
        <v>2</v>
      </c>
      <c r="E1007" t="s">
        <v>17</v>
      </c>
      <c r="F1007" t="s">
        <v>380</v>
      </c>
      <c r="G1007" t="s">
        <v>608</v>
      </c>
      <c r="H1007" t="s">
        <v>52</v>
      </c>
    </row>
    <row r="1008" spans="1:8" x14ac:dyDescent="0.2">
      <c r="A1008" t="s">
        <v>596</v>
      </c>
      <c r="B1008" t="s">
        <v>590</v>
      </c>
      <c r="C1008" t="s">
        <v>19</v>
      </c>
      <c r="D1008">
        <v>2</v>
      </c>
      <c r="E1008" t="s">
        <v>17</v>
      </c>
      <c r="F1008" t="s">
        <v>380</v>
      </c>
      <c r="G1008" t="s">
        <v>608</v>
      </c>
      <c r="H1008" t="s">
        <v>52</v>
      </c>
    </row>
    <row r="1009" spans="1:8" x14ac:dyDescent="0.2">
      <c r="A1009" t="s">
        <v>597</v>
      </c>
      <c r="B1009" t="s">
        <v>590</v>
      </c>
      <c r="C1009" t="s">
        <v>19</v>
      </c>
      <c r="D1009">
        <v>2</v>
      </c>
      <c r="E1009" t="s">
        <v>21</v>
      </c>
      <c r="F1009" t="s">
        <v>380</v>
      </c>
      <c r="G1009" t="s">
        <v>608</v>
      </c>
      <c r="H1009" t="s">
        <v>52</v>
      </c>
    </row>
    <row r="1010" spans="1:8" x14ac:dyDescent="0.2">
      <c r="A1010" t="s">
        <v>598</v>
      </c>
      <c r="B1010" t="s">
        <v>590</v>
      </c>
      <c r="C1010" t="s">
        <v>19</v>
      </c>
      <c r="D1010">
        <v>2</v>
      </c>
      <c r="E1010" t="s">
        <v>17</v>
      </c>
      <c r="F1010" t="s">
        <v>380</v>
      </c>
      <c r="G1010" t="s">
        <v>608</v>
      </c>
      <c r="H1010" t="s">
        <v>52</v>
      </c>
    </row>
    <row r="1011" spans="1:8" x14ac:dyDescent="0.2">
      <c r="A1011" t="s">
        <v>599</v>
      </c>
      <c r="B1011" t="s">
        <v>590</v>
      </c>
      <c r="C1011" t="s">
        <v>19</v>
      </c>
      <c r="D1011">
        <v>2</v>
      </c>
      <c r="E1011" t="s">
        <v>17</v>
      </c>
      <c r="F1011" t="s">
        <v>380</v>
      </c>
      <c r="G1011" t="s">
        <v>608</v>
      </c>
      <c r="H1011" t="s">
        <v>52</v>
      </c>
    </row>
    <row r="1012" spans="1:8" x14ac:dyDescent="0.2">
      <c r="A1012" t="s">
        <v>600</v>
      </c>
      <c r="B1012" t="s">
        <v>590</v>
      </c>
      <c r="C1012" t="s">
        <v>19</v>
      </c>
      <c r="D1012">
        <v>2</v>
      </c>
      <c r="E1012" t="s">
        <v>17</v>
      </c>
      <c r="F1012" t="s">
        <v>380</v>
      </c>
      <c r="G1012" t="s">
        <v>608</v>
      </c>
      <c r="H1012" t="s">
        <v>52</v>
      </c>
    </row>
    <row r="1013" spans="1:8" x14ac:dyDescent="0.2">
      <c r="A1013" t="s">
        <v>601</v>
      </c>
      <c r="B1013" t="s">
        <v>590</v>
      </c>
      <c r="C1013" t="s">
        <v>19</v>
      </c>
      <c r="D1013">
        <v>2</v>
      </c>
      <c r="E1013" t="s">
        <v>17</v>
      </c>
      <c r="F1013" t="s">
        <v>380</v>
      </c>
      <c r="G1013" t="s">
        <v>608</v>
      </c>
      <c r="H1013" t="s">
        <v>52</v>
      </c>
    </row>
    <row r="1014" spans="1:8" x14ac:dyDescent="0.2">
      <c r="A1014" t="s">
        <v>602</v>
      </c>
      <c r="B1014" t="s">
        <v>590</v>
      </c>
      <c r="C1014" t="s">
        <v>19</v>
      </c>
      <c r="D1014">
        <v>2</v>
      </c>
      <c r="E1014" t="s">
        <v>21</v>
      </c>
      <c r="F1014" t="s">
        <v>380</v>
      </c>
      <c r="G1014" t="s">
        <v>608</v>
      </c>
      <c r="H1014" t="s">
        <v>52</v>
      </c>
    </row>
    <row r="1015" spans="1:8" x14ac:dyDescent="0.2">
      <c r="A1015" t="s">
        <v>606</v>
      </c>
      <c r="B1015" t="s">
        <v>607</v>
      </c>
      <c r="C1015" t="s">
        <v>18</v>
      </c>
      <c r="D1015">
        <v>2</v>
      </c>
      <c r="E1015" t="s">
        <v>21</v>
      </c>
      <c r="F1015" t="s">
        <v>380</v>
      </c>
      <c r="G1015" t="s">
        <v>608</v>
      </c>
      <c r="H1015" t="s">
        <v>52</v>
      </c>
    </row>
    <row r="1016" spans="1:8" x14ac:dyDescent="0.2">
      <c r="A1016" t="s">
        <v>609</v>
      </c>
      <c r="B1016" t="s">
        <v>607</v>
      </c>
      <c r="C1016" t="s">
        <v>18</v>
      </c>
      <c r="D1016">
        <v>2</v>
      </c>
      <c r="E1016" t="s">
        <v>17</v>
      </c>
      <c r="F1016" t="s">
        <v>380</v>
      </c>
      <c r="G1016" t="s">
        <v>608</v>
      </c>
      <c r="H1016" t="s">
        <v>52</v>
      </c>
    </row>
    <row r="1017" spans="1:8" x14ac:dyDescent="0.2">
      <c r="A1017" t="s">
        <v>610</v>
      </c>
      <c r="B1017" t="s">
        <v>607</v>
      </c>
      <c r="C1017" t="s">
        <v>18</v>
      </c>
      <c r="D1017">
        <v>2</v>
      </c>
      <c r="E1017" t="s">
        <v>17</v>
      </c>
      <c r="F1017" t="s">
        <v>380</v>
      </c>
      <c r="G1017" t="s">
        <v>608</v>
      </c>
      <c r="H1017" t="s">
        <v>52</v>
      </c>
    </row>
    <row r="1018" spans="1:8" x14ac:dyDescent="0.2">
      <c r="A1018" t="s">
        <v>611</v>
      </c>
      <c r="B1018" t="s">
        <v>607</v>
      </c>
      <c r="C1018" t="s">
        <v>18</v>
      </c>
      <c r="D1018">
        <v>2</v>
      </c>
      <c r="E1018" t="s">
        <v>17</v>
      </c>
      <c r="F1018" t="s">
        <v>380</v>
      </c>
      <c r="G1018" t="s">
        <v>608</v>
      </c>
      <c r="H1018" t="s">
        <v>52</v>
      </c>
    </row>
    <row r="1019" spans="1:8" x14ac:dyDescent="0.2">
      <c r="A1019" t="s">
        <v>612</v>
      </c>
      <c r="B1019" t="s">
        <v>607</v>
      </c>
      <c r="C1019" t="s">
        <v>19</v>
      </c>
      <c r="D1019">
        <v>2</v>
      </c>
      <c r="E1019" t="s">
        <v>17</v>
      </c>
      <c r="F1019" t="s">
        <v>380</v>
      </c>
      <c r="G1019" t="s">
        <v>608</v>
      </c>
      <c r="H1019" t="s">
        <v>52</v>
      </c>
    </row>
    <row r="1020" spans="1:8" x14ac:dyDescent="0.2">
      <c r="A1020" t="s">
        <v>613</v>
      </c>
      <c r="B1020" t="s">
        <v>614</v>
      </c>
      <c r="C1020" t="s">
        <v>18</v>
      </c>
      <c r="D1020">
        <v>2</v>
      </c>
      <c r="E1020" t="s">
        <v>17</v>
      </c>
      <c r="F1020" t="s">
        <v>380</v>
      </c>
      <c r="G1020" t="s">
        <v>608</v>
      </c>
      <c r="H1020" t="s">
        <v>52</v>
      </c>
    </row>
    <row r="1021" spans="1:8" x14ac:dyDescent="0.2">
      <c r="A1021" t="s">
        <v>615</v>
      </c>
      <c r="B1021" t="s">
        <v>614</v>
      </c>
      <c r="C1021" t="s">
        <v>19</v>
      </c>
      <c r="D1021">
        <v>2</v>
      </c>
      <c r="E1021" t="s">
        <v>21</v>
      </c>
      <c r="F1021" t="s">
        <v>380</v>
      </c>
      <c r="G1021" t="s">
        <v>608</v>
      </c>
      <c r="H1021" t="s">
        <v>52</v>
      </c>
    </row>
    <row r="1022" spans="1:8" x14ac:dyDescent="0.2">
      <c r="A1022" t="s">
        <v>616</v>
      </c>
      <c r="B1022" t="s">
        <v>614</v>
      </c>
      <c r="C1022" t="s">
        <v>18</v>
      </c>
      <c r="D1022">
        <v>2</v>
      </c>
      <c r="E1022" t="s">
        <v>17</v>
      </c>
      <c r="F1022" t="s">
        <v>380</v>
      </c>
      <c r="G1022" t="s">
        <v>608</v>
      </c>
      <c r="H1022" t="s">
        <v>52</v>
      </c>
    </row>
    <row r="1023" spans="1:8" x14ac:dyDescent="0.2">
      <c r="A1023" t="s">
        <v>617</v>
      </c>
      <c r="B1023" t="s">
        <v>614</v>
      </c>
      <c r="C1023" t="s">
        <v>18</v>
      </c>
      <c r="D1023">
        <v>2</v>
      </c>
      <c r="E1023" t="s">
        <v>21</v>
      </c>
      <c r="F1023" t="s">
        <v>380</v>
      </c>
      <c r="G1023" t="s">
        <v>608</v>
      </c>
      <c r="H1023" t="s">
        <v>52</v>
      </c>
    </row>
    <row r="1024" spans="1:8" x14ac:dyDescent="0.2">
      <c r="A1024" t="s">
        <v>618</v>
      </c>
      <c r="B1024" t="s">
        <v>614</v>
      </c>
      <c r="C1024" t="s">
        <v>19</v>
      </c>
      <c r="D1024">
        <v>2</v>
      </c>
      <c r="E1024" t="s">
        <v>21</v>
      </c>
      <c r="F1024" t="s">
        <v>380</v>
      </c>
      <c r="G1024" t="s">
        <v>608</v>
      </c>
      <c r="H1024" t="s">
        <v>52</v>
      </c>
    </row>
    <row r="1025" spans="1:8" x14ac:dyDescent="0.2">
      <c r="A1025" t="s">
        <v>619</v>
      </c>
      <c r="B1025" t="s">
        <v>620</v>
      </c>
      <c r="C1025" t="s">
        <v>18</v>
      </c>
      <c r="D1025">
        <v>2</v>
      </c>
      <c r="E1025" t="s">
        <v>21</v>
      </c>
      <c r="F1025" t="s">
        <v>380</v>
      </c>
      <c r="G1025" t="s">
        <v>608</v>
      </c>
      <c r="H1025" t="s">
        <v>52</v>
      </c>
    </row>
    <row r="1026" spans="1:8" x14ac:dyDescent="0.2">
      <c r="A1026" t="s">
        <v>621</v>
      </c>
      <c r="B1026" t="s">
        <v>620</v>
      </c>
      <c r="C1026" t="s">
        <v>18</v>
      </c>
      <c r="D1026">
        <v>2</v>
      </c>
      <c r="E1026" t="s">
        <v>21</v>
      </c>
      <c r="F1026" t="s">
        <v>380</v>
      </c>
      <c r="G1026" t="s">
        <v>608</v>
      </c>
      <c r="H1026" t="s">
        <v>52</v>
      </c>
    </row>
    <row r="1027" spans="1:8" x14ac:dyDescent="0.2">
      <c r="A1027" t="s">
        <v>622</v>
      </c>
      <c r="B1027" t="s">
        <v>620</v>
      </c>
      <c r="C1027" t="s">
        <v>16</v>
      </c>
      <c r="D1027">
        <v>4</v>
      </c>
      <c r="E1027" t="s">
        <v>17</v>
      </c>
      <c r="F1027" t="s">
        <v>380</v>
      </c>
      <c r="G1027" t="s">
        <v>608</v>
      </c>
      <c r="H1027" t="s">
        <v>52</v>
      </c>
    </row>
    <row r="1028" spans="1:8" x14ac:dyDescent="0.2">
      <c r="A1028" t="s">
        <v>623</v>
      </c>
      <c r="B1028" t="s">
        <v>620</v>
      </c>
      <c r="C1028" t="s">
        <v>18</v>
      </c>
      <c r="D1028">
        <v>2</v>
      </c>
      <c r="E1028" t="s">
        <v>17</v>
      </c>
      <c r="F1028" t="s">
        <v>380</v>
      </c>
      <c r="G1028" t="s">
        <v>608</v>
      </c>
      <c r="H1028" t="s">
        <v>52</v>
      </c>
    </row>
    <row r="1029" spans="1:8" x14ac:dyDescent="0.2">
      <c r="A1029" t="s">
        <v>624</v>
      </c>
      <c r="B1029" t="s">
        <v>620</v>
      </c>
      <c r="C1029" t="s">
        <v>19</v>
      </c>
      <c r="D1029">
        <v>2</v>
      </c>
      <c r="E1029" t="s">
        <v>17</v>
      </c>
      <c r="F1029" t="s">
        <v>380</v>
      </c>
      <c r="G1029" t="s">
        <v>608</v>
      </c>
      <c r="H1029" t="s">
        <v>52</v>
      </c>
    </row>
    <row r="1030" spans="1:8" x14ac:dyDescent="0.2">
      <c r="A1030" t="s">
        <v>625</v>
      </c>
      <c r="B1030" t="s">
        <v>607</v>
      </c>
      <c r="C1030" t="s">
        <v>19</v>
      </c>
      <c r="D1030">
        <v>2</v>
      </c>
      <c r="E1030" t="s">
        <v>17</v>
      </c>
      <c r="F1030" t="s">
        <v>380</v>
      </c>
      <c r="G1030" t="s">
        <v>608</v>
      </c>
      <c r="H1030" t="s">
        <v>52</v>
      </c>
    </row>
    <row r="1031" spans="1:8" x14ac:dyDescent="0.2">
      <c r="A1031" t="s">
        <v>626</v>
      </c>
      <c r="B1031" t="s">
        <v>607</v>
      </c>
      <c r="C1031" t="s">
        <v>19</v>
      </c>
      <c r="D1031">
        <v>2</v>
      </c>
      <c r="E1031" t="s">
        <v>17</v>
      </c>
      <c r="F1031" t="s">
        <v>380</v>
      </c>
      <c r="G1031" t="s">
        <v>608</v>
      </c>
      <c r="H1031" t="s">
        <v>52</v>
      </c>
    </row>
    <row r="1032" spans="1:8" x14ac:dyDescent="0.2">
      <c r="A1032" t="s">
        <v>627</v>
      </c>
      <c r="B1032" t="s">
        <v>607</v>
      </c>
      <c r="C1032" t="s">
        <v>19</v>
      </c>
      <c r="D1032">
        <v>2</v>
      </c>
      <c r="E1032" t="s">
        <v>17</v>
      </c>
      <c r="F1032" t="s">
        <v>380</v>
      </c>
      <c r="G1032" t="s">
        <v>608</v>
      </c>
      <c r="H1032" t="s">
        <v>52</v>
      </c>
    </row>
    <row r="1033" spans="1:8" x14ac:dyDescent="0.2">
      <c r="A1033" t="s">
        <v>628</v>
      </c>
      <c r="B1033" t="s">
        <v>607</v>
      </c>
      <c r="C1033" t="s">
        <v>19</v>
      </c>
      <c r="D1033">
        <v>2</v>
      </c>
      <c r="E1033" t="s">
        <v>17</v>
      </c>
      <c r="F1033" t="s">
        <v>380</v>
      </c>
      <c r="G1033" t="s">
        <v>608</v>
      </c>
      <c r="H1033" t="s">
        <v>52</v>
      </c>
    </row>
    <row r="1034" spans="1:8" x14ac:dyDescent="0.2">
      <c r="A1034" t="s">
        <v>629</v>
      </c>
      <c r="B1034" t="s">
        <v>607</v>
      </c>
      <c r="C1034" t="s">
        <v>19</v>
      </c>
      <c r="D1034">
        <v>2</v>
      </c>
      <c r="E1034" t="s">
        <v>17</v>
      </c>
      <c r="F1034" t="s">
        <v>380</v>
      </c>
      <c r="G1034" t="s">
        <v>608</v>
      </c>
      <c r="H1034" t="s">
        <v>52</v>
      </c>
    </row>
    <row r="1035" spans="1:8" x14ac:dyDescent="0.2">
      <c r="A1035" t="s">
        <v>630</v>
      </c>
      <c r="B1035" t="s">
        <v>607</v>
      </c>
      <c r="C1035" t="s">
        <v>19</v>
      </c>
      <c r="D1035">
        <v>2</v>
      </c>
      <c r="E1035" t="s">
        <v>17</v>
      </c>
      <c r="F1035" t="s">
        <v>380</v>
      </c>
      <c r="G1035" t="s">
        <v>608</v>
      </c>
      <c r="H1035" t="s">
        <v>52</v>
      </c>
    </row>
    <row r="1036" spans="1:8" x14ac:dyDescent="0.2">
      <c r="A1036" t="s">
        <v>631</v>
      </c>
      <c r="B1036" t="s">
        <v>607</v>
      </c>
      <c r="C1036" t="s">
        <v>18</v>
      </c>
      <c r="D1036">
        <v>2</v>
      </c>
      <c r="E1036" t="s">
        <v>17</v>
      </c>
      <c r="F1036" t="s">
        <v>380</v>
      </c>
      <c r="G1036" t="s">
        <v>608</v>
      </c>
      <c r="H1036" t="s">
        <v>52</v>
      </c>
    </row>
    <row r="1037" spans="1:8" x14ac:dyDescent="0.2">
      <c r="A1037" t="s">
        <v>632</v>
      </c>
      <c r="B1037" t="s">
        <v>607</v>
      </c>
      <c r="C1037" t="s">
        <v>19</v>
      </c>
      <c r="D1037">
        <v>2</v>
      </c>
      <c r="E1037" t="s">
        <v>17</v>
      </c>
      <c r="F1037" t="s">
        <v>380</v>
      </c>
      <c r="G1037" t="s">
        <v>608</v>
      </c>
      <c r="H1037" t="s">
        <v>52</v>
      </c>
    </row>
    <row r="1038" spans="1:8" x14ac:dyDescent="0.2">
      <c r="A1038" t="s">
        <v>633</v>
      </c>
      <c r="B1038" t="s">
        <v>607</v>
      </c>
      <c r="C1038" t="s">
        <v>19</v>
      </c>
      <c r="D1038">
        <v>2</v>
      </c>
      <c r="E1038" t="s">
        <v>17</v>
      </c>
      <c r="F1038" t="s">
        <v>380</v>
      </c>
      <c r="G1038" t="s">
        <v>608</v>
      </c>
      <c r="H1038" t="s">
        <v>52</v>
      </c>
    </row>
    <row r="1039" spans="1:8" x14ac:dyDescent="0.2">
      <c r="A1039" t="s">
        <v>634</v>
      </c>
      <c r="B1039" t="s">
        <v>607</v>
      </c>
      <c r="C1039" t="s">
        <v>19</v>
      </c>
      <c r="D1039">
        <v>2</v>
      </c>
      <c r="E1039" t="s">
        <v>17</v>
      </c>
      <c r="F1039" t="s">
        <v>380</v>
      </c>
      <c r="G1039" t="s">
        <v>608</v>
      </c>
      <c r="H1039" t="s">
        <v>52</v>
      </c>
    </row>
    <row r="1040" spans="1:8" x14ac:dyDescent="0.2">
      <c r="A1040" t="s">
        <v>636</v>
      </c>
      <c r="B1040" t="s">
        <v>607</v>
      </c>
      <c r="C1040" t="s">
        <v>19</v>
      </c>
      <c r="D1040">
        <v>2</v>
      </c>
      <c r="E1040" t="s">
        <v>17</v>
      </c>
      <c r="F1040" t="s">
        <v>380</v>
      </c>
      <c r="G1040" t="s">
        <v>608</v>
      </c>
      <c r="H1040" t="s">
        <v>52</v>
      </c>
    </row>
    <row r="1041" spans="1:8" x14ac:dyDescent="0.2">
      <c r="A1041" t="s">
        <v>637</v>
      </c>
      <c r="B1041" t="s">
        <v>614</v>
      </c>
      <c r="C1041" t="s">
        <v>19</v>
      </c>
      <c r="D1041">
        <v>2</v>
      </c>
      <c r="E1041" t="s">
        <v>17</v>
      </c>
      <c r="F1041" t="s">
        <v>380</v>
      </c>
      <c r="G1041" t="s">
        <v>608</v>
      </c>
      <c r="H1041" t="s">
        <v>52</v>
      </c>
    </row>
    <row r="1042" spans="1:8" x14ac:dyDescent="0.2">
      <c r="A1042" t="s">
        <v>638</v>
      </c>
      <c r="B1042" t="s">
        <v>614</v>
      </c>
      <c r="C1042" t="s">
        <v>19</v>
      </c>
      <c r="D1042">
        <v>2</v>
      </c>
      <c r="E1042" t="s">
        <v>17</v>
      </c>
      <c r="F1042" t="s">
        <v>380</v>
      </c>
      <c r="G1042" t="s">
        <v>608</v>
      </c>
      <c r="H1042" t="s">
        <v>52</v>
      </c>
    </row>
    <row r="1043" spans="1:8" x14ac:dyDescent="0.2">
      <c r="A1043" t="s">
        <v>639</v>
      </c>
      <c r="B1043" t="s">
        <v>614</v>
      </c>
      <c r="C1043" t="s">
        <v>18</v>
      </c>
      <c r="D1043">
        <v>2</v>
      </c>
      <c r="E1043" t="s">
        <v>17</v>
      </c>
      <c r="F1043" t="s">
        <v>380</v>
      </c>
      <c r="G1043" t="s">
        <v>608</v>
      </c>
      <c r="H1043" t="s">
        <v>52</v>
      </c>
    </row>
    <row r="1044" spans="1:8" x14ac:dyDescent="0.2">
      <c r="A1044" t="s">
        <v>640</v>
      </c>
      <c r="B1044" t="s">
        <v>614</v>
      </c>
      <c r="C1044" t="s">
        <v>19</v>
      </c>
      <c r="D1044">
        <v>2</v>
      </c>
      <c r="E1044" t="s">
        <v>17</v>
      </c>
      <c r="F1044" t="s">
        <v>380</v>
      </c>
      <c r="G1044" t="s">
        <v>608</v>
      </c>
      <c r="H1044" t="s">
        <v>52</v>
      </c>
    </row>
    <row r="1045" spans="1:8" x14ac:dyDescent="0.2">
      <c r="A1045" t="s">
        <v>641</v>
      </c>
      <c r="B1045" t="s">
        <v>614</v>
      </c>
      <c r="C1045" t="s">
        <v>18</v>
      </c>
      <c r="D1045">
        <v>2</v>
      </c>
      <c r="E1045" t="s">
        <v>17</v>
      </c>
      <c r="F1045" t="s">
        <v>380</v>
      </c>
      <c r="G1045" t="s">
        <v>608</v>
      </c>
      <c r="H1045" t="s">
        <v>52</v>
      </c>
    </row>
    <row r="1046" spans="1:8" x14ac:dyDescent="0.2">
      <c r="A1046" t="s">
        <v>642</v>
      </c>
      <c r="B1046" t="s">
        <v>614</v>
      </c>
      <c r="C1046" t="s">
        <v>19</v>
      </c>
      <c r="D1046">
        <v>2</v>
      </c>
      <c r="E1046" t="s">
        <v>17</v>
      </c>
      <c r="F1046" t="s">
        <v>380</v>
      </c>
      <c r="G1046" t="s">
        <v>608</v>
      </c>
      <c r="H1046" t="s">
        <v>52</v>
      </c>
    </row>
    <row r="1047" spans="1:8" x14ac:dyDescent="0.2">
      <c r="A1047" t="s">
        <v>643</v>
      </c>
      <c r="B1047" t="s">
        <v>614</v>
      </c>
      <c r="C1047" t="s">
        <v>19</v>
      </c>
      <c r="D1047">
        <v>2</v>
      </c>
      <c r="E1047" t="s">
        <v>17</v>
      </c>
      <c r="F1047" t="s">
        <v>380</v>
      </c>
      <c r="G1047" t="s">
        <v>608</v>
      </c>
      <c r="H1047" t="s">
        <v>52</v>
      </c>
    </row>
    <row r="1048" spans="1:8" x14ac:dyDescent="0.2">
      <c r="A1048" t="s">
        <v>644</v>
      </c>
      <c r="B1048" t="s">
        <v>614</v>
      </c>
      <c r="C1048" t="s">
        <v>19</v>
      </c>
      <c r="D1048">
        <v>2</v>
      </c>
      <c r="E1048" t="s">
        <v>21</v>
      </c>
      <c r="F1048" t="s">
        <v>380</v>
      </c>
      <c r="G1048" t="s">
        <v>608</v>
      </c>
      <c r="H1048" t="s">
        <v>52</v>
      </c>
    </row>
    <row r="1049" spans="1:8" x14ac:dyDescent="0.2">
      <c r="A1049" t="s">
        <v>645</v>
      </c>
      <c r="B1049" t="s">
        <v>614</v>
      </c>
      <c r="C1049" t="s">
        <v>19</v>
      </c>
      <c r="D1049">
        <v>2</v>
      </c>
      <c r="E1049" t="s">
        <v>17</v>
      </c>
      <c r="F1049" t="s">
        <v>380</v>
      </c>
      <c r="G1049" t="s">
        <v>608</v>
      </c>
      <c r="H1049" t="s">
        <v>52</v>
      </c>
    </row>
    <row r="1050" spans="1:8" x14ac:dyDescent="0.2">
      <c r="A1050" t="s">
        <v>646</v>
      </c>
      <c r="B1050" t="s">
        <v>614</v>
      </c>
      <c r="C1050" t="s">
        <v>19</v>
      </c>
      <c r="D1050">
        <v>2</v>
      </c>
      <c r="E1050" t="s">
        <v>17</v>
      </c>
      <c r="F1050" t="s">
        <v>380</v>
      </c>
      <c r="G1050" t="s">
        <v>608</v>
      </c>
      <c r="H1050" t="s">
        <v>52</v>
      </c>
    </row>
    <row r="1051" spans="1:8" x14ac:dyDescent="0.2">
      <c r="A1051" t="s">
        <v>647</v>
      </c>
      <c r="B1051" t="s">
        <v>614</v>
      </c>
      <c r="C1051" t="s">
        <v>19</v>
      </c>
      <c r="D1051">
        <v>2</v>
      </c>
      <c r="E1051" t="s">
        <v>17</v>
      </c>
      <c r="F1051" t="s">
        <v>380</v>
      </c>
      <c r="G1051" t="s">
        <v>608</v>
      </c>
      <c r="H1051" t="s">
        <v>52</v>
      </c>
    </row>
    <row r="1052" spans="1:8" x14ac:dyDescent="0.2">
      <c r="A1052" t="s">
        <v>648</v>
      </c>
      <c r="B1052" t="s">
        <v>614</v>
      </c>
      <c r="C1052" t="s">
        <v>16</v>
      </c>
      <c r="D1052">
        <v>4</v>
      </c>
      <c r="E1052" t="s">
        <v>17</v>
      </c>
      <c r="F1052" t="s">
        <v>380</v>
      </c>
      <c r="G1052" t="s">
        <v>3205</v>
      </c>
      <c r="H1052" t="s">
        <v>52</v>
      </c>
    </row>
    <row r="1053" spans="1:8" x14ac:dyDescent="0.2">
      <c r="A1053" t="s">
        <v>649</v>
      </c>
      <c r="B1053" t="s">
        <v>620</v>
      </c>
      <c r="C1053" t="s">
        <v>19</v>
      </c>
      <c r="D1053">
        <v>2</v>
      </c>
      <c r="E1053" t="s">
        <v>17</v>
      </c>
      <c r="F1053" t="s">
        <v>380</v>
      </c>
      <c r="G1053" t="s">
        <v>608</v>
      </c>
      <c r="H1053" t="s">
        <v>52</v>
      </c>
    </row>
    <row r="1054" spans="1:8" x14ac:dyDescent="0.2">
      <c r="A1054" t="s">
        <v>650</v>
      </c>
      <c r="B1054" t="s">
        <v>620</v>
      </c>
      <c r="C1054" t="s">
        <v>18</v>
      </c>
      <c r="D1054">
        <v>2</v>
      </c>
      <c r="E1054" t="s">
        <v>17</v>
      </c>
      <c r="F1054" t="s">
        <v>380</v>
      </c>
      <c r="G1054" t="s">
        <v>608</v>
      </c>
      <c r="H1054" t="s">
        <v>52</v>
      </c>
    </row>
    <row r="1055" spans="1:8" x14ac:dyDescent="0.2">
      <c r="A1055" t="s">
        <v>651</v>
      </c>
      <c r="B1055" t="s">
        <v>620</v>
      </c>
      <c r="C1055" t="s">
        <v>19</v>
      </c>
      <c r="D1055">
        <v>2</v>
      </c>
      <c r="E1055" t="s">
        <v>17</v>
      </c>
      <c r="F1055" t="s">
        <v>380</v>
      </c>
      <c r="G1055" t="s">
        <v>608</v>
      </c>
      <c r="H1055" t="s">
        <v>52</v>
      </c>
    </row>
    <row r="1056" spans="1:8" x14ac:dyDescent="0.2">
      <c r="A1056" t="s">
        <v>652</v>
      </c>
      <c r="B1056" t="s">
        <v>620</v>
      </c>
      <c r="C1056" t="s">
        <v>18</v>
      </c>
      <c r="D1056">
        <v>2</v>
      </c>
      <c r="E1056" t="s">
        <v>17</v>
      </c>
      <c r="F1056" t="s">
        <v>380</v>
      </c>
      <c r="G1056" t="s">
        <v>608</v>
      </c>
      <c r="H1056" t="s">
        <v>52</v>
      </c>
    </row>
    <row r="1057" spans="1:8" x14ac:dyDescent="0.2">
      <c r="A1057" t="s">
        <v>653</v>
      </c>
      <c r="B1057" t="s">
        <v>620</v>
      </c>
      <c r="C1057" t="s">
        <v>18</v>
      </c>
      <c r="D1057">
        <v>2</v>
      </c>
      <c r="E1057" t="s">
        <v>21</v>
      </c>
      <c r="F1057" t="s">
        <v>380</v>
      </c>
      <c r="G1057" t="s">
        <v>608</v>
      </c>
      <c r="H1057" t="s">
        <v>52</v>
      </c>
    </row>
    <row r="1058" spans="1:8" x14ac:dyDescent="0.2">
      <c r="A1058" t="s">
        <v>654</v>
      </c>
      <c r="B1058" t="s">
        <v>620</v>
      </c>
      <c r="C1058" t="s">
        <v>19</v>
      </c>
      <c r="D1058">
        <v>2</v>
      </c>
      <c r="E1058" t="s">
        <v>17</v>
      </c>
      <c r="F1058" t="s">
        <v>380</v>
      </c>
      <c r="G1058" t="s">
        <v>608</v>
      </c>
      <c r="H1058" t="s">
        <v>52</v>
      </c>
    </row>
    <row r="1059" spans="1:8" x14ac:dyDescent="0.2">
      <c r="A1059" t="s">
        <v>655</v>
      </c>
      <c r="B1059" t="s">
        <v>620</v>
      </c>
      <c r="C1059" t="s">
        <v>19</v>
      </c>
      <c r="D1059">
        <v>2</v>
      </c>
      <c r="E1059" t="s">
        <v>17</v>
      </c>
      <c r="F1059" t="s">
        <v>380</v>
      </c>
      <c r="G1059" t="s">
        <v>608</v>
      </c>
      <c r="H1059" t="s">
        <v>52</v>
      </c>
    </row>
    <row r="1060" spans="1:8" x14ac:dyDescent="0.2">
      <c r="A1060" t="s">
        <v>656</v>
      </c>
      <c r="B1060" t="s">
        <v>620</v>
      </c>
      <c r="C1060" t="s">
        <v>18</v>
      </c>
      <c r="D1060">
        <v>2</v>
      </c>
      <c r="E1060" t="s">
        <v>17</v>
      </c>
      <c r="F1060" t="s">
        <v>380</v>
      </c>
      <c r="G1060" t="s">
        <v>608</v>
      </c>
      <c r="H1060" t="s">
        <v>52</v>
      </c>
    </row>
    <row r="1061" spans="1:8" x14ac:dyDescent="0.2">
      <c r="A1061" t="s">
        <v>657</v>
      </c>
      <c r="B1061" t="s">
        <v>620</v>
      </c>
      <c r="C1061" t="s">
        <v>16</v>
      </c>
      <c r="D1061">
        <v>4</v>
      </c>
      <c r="E1061" t="s">
        <v>21</v>
      </c>
      <c r="F1061" t="s">
        <v>380</v>
      </c>
      <c r="G1061" t="s">
        <v>3205</v>
      </c>
      <c r="H1061" t="s">
        <v>52</v>
      </c>
    </row>
    <row r="1062" spans="1:8" x14ac:dyDescent="0.2">
      <c r="A1062" t="s">
        <v>658</v>
      </c>
      <c r="B1062" t="s">
        <v>620</v>
      </c>
      <c r="C1062" t="s">
        <v>16</v>
      </c>
      <c r="D1062">
        <v>4</v>
      </c>
      <c r="E1062" t="s">
        <v>21</v>
      </c>
      <c r="F1062" t="s">
        <v>380</v>
      </c>
      <c r="G1062" t="s">
        <v>3205</v>
      </c>
      <c r="H1062" t="s">
        <v>52</v>
      </c>
    </row>
    <row r="1063" spans="1:8" x14ac:dyDescent="0.2">
      <c r="A1063" t="s">
        <v>659</v>
      </c>
      <c r="B1063" t="s">
        <v>620</v>
      </c>
      <c r="C1063" t="s">
        <v>16</v>
      </c>
      <c r="D1063">
        <v>4</v>
      </c>
      <c r="E1063" t="s">
        <v>17</v>
      </c>
      <c r="F1063" t="s">
        <v>380</v>
      </c>
      <c r="G1063" t="s">
        <v>3205</v>
      </c>
      <c r="H1063" t="s">
        <v>52</v>
      </c>
    </row>
    <row r="1064" spans="1:8" x14ac:dyDescent="0.2">
      <c r="A1064" t="s">
        <v>660</v>
      </c>
      <c r="B1064" t="s">
        <v>620</v>
      </c>
      <c r="C1064" t="s">
        <v>16</v>
      </c>
      <c r="D1064">
        <v>4</v>
      </c>
      <c r="E1064" t="s">
        <v>17</v>
      </c>
      <c r="F1064" t="s">
        <v>380</v>
      </c>
      <c r="G1064" t="s">
        <v>3204</v>
      </c>
      <c r="H1064" t="s">
        <v>52</v>
      </c>
    </row>
    <row r="1065" spans="1:8" x14ac:dyDescent="0.2">
      <c r="A1065" t="s">
        <v>661</v>
      </c>
      <c r="B1065" t="s">
        <v>620</v>
      </c>
      <c r="C1065" t="s">
        <v>16</v>
      </c>
      <c r="D1065">
        <v>4</v>
      </c>
      <c r="E1065" t="s">
        <v>17</v>
      </c>
      <c r="F1065" t="s">
        <v>380</v>
      </c>
      <c r="G1065" t="s">
        <v>3204</v>
      </c>
      <c r="H1065" t="s">
        <v>52</v>
      </c>
    </row>
    <row r="1066" spans="1:8" x14ac:dyDescent="0.2">
      <c r="A1066" t="s">
        <v>831</v>
      </c>
      <c r="B1066" t="s">
        <v>832</v>
      </c>
      <c r="C1066" t="s">
        <v>19</v>
      </c>
      <c r="D1066">
        <v>2</v>
      </c>
      <c r="E1066" t="s">
        <v>21</v>
      </c>
      <c r="F1066" t="s">
        <v>380</v>
      </c>
      <c r="G1066" t="s">
        <v>608</v>
      </c>
      <c r="H1066" t="s">
        <v>52</v>
      </c>
    </row>
    <row r="1067" spans="1:8" x14ac:dyDescent="0.2">
      <c r="A1067" t="s">
        <v>834</v>
      </c>
      <c r="B1067" t="s">
        <v>832</v>
      </c>
      <c r="C1067" t="s">
        <v>18</v>
      </c>
      <c r="D1067">
        <v>2</v>
      </c>
      <c r="E1067" t="s">
        <v>17</v>
      </c>
      <c r="F1067" t="s">
        <v>380</v>
      </c>
      <c r="G1067" t="s">
        <v>608</v>
      </c>
      <c r="H1067" t="s">
        <v>52</v>
      </c>
    </row>
    <row r="1068" spans="1:8" x14ac:dyDescent="0.2">
      <c r="A1068" t="s">
        <v>835</v>
      </c>
      <c r="B1068" t="s">
        <v>832</v>
      </c>
      <c r="C1068" t="s">
        <v>18</v>
      </c>
      <c r="D1068">
        <v>2</v>
      </c>
      <c r="E1068" t="s">
        <v>17</v>
      </c>
      <c r="F1068" t="s">
        <v>380</v>
      </c>
      <c r="G1068" t="s">
        <v>608</v>
      </c>
      <c r="H1068" t="s">
        <v>52</v>
      </c>
    </row>
    <row r="1069" spans="1:8" x14ac:dyDescent="0.2">
      <c r="A1069" t="s">
        <v>836</v>
      </c>
      <c r="B1069" t="s">
        <v>832</v>
      </c>
      <c r="C1069" t="s">
        <v>18</v>
      </c>
      <c r="D1069">
        <v>2</v>
      </c>
      <c r="E1069" t="s">
        <v>17</v>
      </c>
      <c r="F1069" t="s">
        <v>380</v>
      </c>
      <c r="G1069" t="s">
        <v>608</v>
      </c>
      <c r="H1069" t="s">
        <v>52</v>
      </c>
    </row>
    <row r="1070" spans="1:8" x14ac:dyDescent="0.2">
      <c r="A1070" t="s">
        <v>837</v>
      </c>
      <c r="B1070" t="s">
        <v>832</v>
      </c>
      <c r="C1070" t="s">
        <v>19</v>
      </c>
      <c r="D1070">
        <v>2</v>
      </c>
      <c r="E1070" t="s">
        <v>17</v>
      </c>
      <c r="F1070" t="s">
        <v>380</v>
      </c>
      <c r="G1070" t="s">
        <v>608</v>
      </c>
      <c r="H1070" t="s">
        <v>52</v>
      </c>
    </row>
    <row r="1071" spans="1:8" x14ac:dyDescent="0.2">
      <c r="A1071" t="s">
        <v>838</v>
      </c>
      <c r="B1071" t="s">
        <v>839</v>
      </c>
      <c r="C1071" t="s">
        <v>18</v>
      </c>
      <c r="D1071">
        <v>2</v>
      </c>
      <c r="E1071" t="s">
        <v>17</v>
      </c>
      <c r="F1071" t="s">
        <v>380</v>
      </c>
      <c r="G1071" t="s">
        <v>608</v>
      </c>
      <c r="H1071" t="s">
        <v>52</v>
      </c>
    </row>
    <row r="1072" spans="1:8" x14ac:dyDescent="0.2">
      <c r="A1072" t="s">
        <v>840</v>
      </c>
      <c r="B1072" t="s">
        <v>839</v>
      </c>
      <c r="C1072" t="s">
        <v>18</v>
      </c>
      <c r="D1072">
        <v>2</v>
      </c>
      <c r="E1072" t="s">
        <v>21</v>
      </c>
      <c r="F1072" t="s">
        <v>380</v>
      </c>
      <c r="G1072" t="s">
        <v>608</v>
      </c>
      <c r="H1072" t="s">
        <v>52</v>
      </c>
    </row>
    <row r="1073" spans="1:8" x14ac:dyDescent="0.2">
      <c r="A1073" t="s">
        <v>841</v>
      </c>
      <c r="B1073" t="s">
        <v>839</v>
      </c>
      <c r="C1073" t="s">
        <v>16</v>
      </c>
      <c r="D1073">
        <v>4</v>
      </c>
      <c r="E1073" t="s">
        <v>21</v>
      </c>
      <c r="F1073" t="s">
        <v>380</v>
      </c>
      <c r="G1073" t="s">
        <v>608</v>
      </c>
      <c r="H1073" t="s">
        <v>52</v>
      </c>
    </row>
    <row r="1074" spans="1:8" x14ac:dyDescent="0.2">
      <c r="A1074" t="s">
        <v>843</v>
      </c>
      <c r="B1074" t="s">
        <v>839</v>
      </c>
      <c r="C1074" t="s">
        <v>19</v>
      </c>
      <c r="D1074">
        <v>2</v>
      </c>
      <c r="E1074" t="s">
        <v>21</v>
      </c>
      <c r="F1074" t="s">
        <v>380</v>
      </c>
      <c r="G1074" t="s">
        <v>608</v>
      </c>
      <c r="H1074" t="s">
        <v>52</v>
      </c>
    </row>
    <row r="1075" spans="1:8" x14ac:dyDescent="0.2">
      <c r="A1075" t="s">
        <v>845</v>
      </c>
      <c r="B1075" t="s">
        <v>839</v>
      </c>
      <c r="C1075" t="s">
        <v>18</v>
      </c>
      <c r="D1075">
        <v>2</v>
      </c>
      <c r="E1075" t="s">
        <v>17</v>
      </c>
      <c r="F1075" t="s">
        <v>380</v>
      </c>
      <c r="G1075" t="s">
        <v>608</v>
      </c>
      <c r="H1075" t="s">
        <v>52</v>
      </c>
    </row>
    <row r="1076" spans="1:8" x14ac:dyDescent="0.2">
      <c r="A1076" t="s">
        <v>846</v>
      </c>
      <c r="B1076" t="s">
        <v>847</v>
      </c>
      <c r="C1076" t="s">
        <v>18</v>
      </c>
      <c r="D1076">
        <v>2</v>
      </c>
      <c r="E1076" t="s">
        <v>17</v>
      </c>
      <c r="F1076" t="s">
        <v>380</v>
      </c>
      <c r="G1076" t="s">
        <v>608</v>
      </c>
      <c r="H1076" t="s">
        <v>52</v>
      </c>
    </row>
    <row r="1077" spans="1:8" x14ac:dyDescent="0.2">
      <c r="A1077" t="s">
        <v>848</v>
      </c>
      <c r="B1077" t="s">
        <v>847</v>
      </c>
      <c r="C1077" t="s">
        <v>18</v>
      </c>
      <c r="D1077">
        <v>2</v>
      </c>
      <c r="E1077" t="s">
        <v>17</v>
      </c>
      <c r="F1077" t="s">
        <v>380</v>
      </c>
      <c r="G1077" t="s">
        <v>608</v>
      </c>
      <c r="H1077" t="s">
        <v>52</v>
      </c>
    </row>
    <row r="1078" spans="1:8" x14ac:dyDescent="0.2">
      <c r="A1078" t="s">
        <v>849</v>
      </c>
      <c r="B1078" t="s">
        <v>847</v>
      </c>
      <c r="C1078" t="s">
        <v>18</v>
      </c>
      <c r="D1078">
        <v>2</v>
      </c>
      <c r="E1078" t="s">
        <v>17</v>
      </c>
      <c r="F1078" t="s">
        <v>380</v>
      </c>
      <c r="G1078" t="s">
        <v>608</v>
      </c>
      <c r="H1078" t="s">
        <v>52</v>
      </c>
    </row>
    <row r="1079" spans="1:8" x14ac:dyDescent="0.2">
      <c r="A1079" t="s">
        <v>850</v>
      </c>
      <c r="B1079" t="s">
        <v>847</v>
      </c>
      <c r="C1079" t="s">
        <v>18</v>
      </c>
      <c r="D1079">
        <v>2</v>
      </c>
      <c r="E1079" t="s">
        <v>21</v>
      </c>
      <c r="F1079" t="s">
        <v>380</v>
      </c>
      <c r="G1079" t="s">
        <v>608</v>
      </c>
      <c r="H1079" t="s">
        <v>52</v>
      </c>
    </row>
    <row r="1080" spans="1:8" x14ac:dyDescent="0.2">
      <c r="A1080" t="s">
        <v>851</v>
      </c>
      <c r="B1080" t="s">
        <v>847</v>
      </c>
      <c r="C1080" t="s">
        <v>18</v>
      </c>
      <c r="D1080">
        <v>2</v>
      </c>
      <c r="E1080" t="s">
        <v>21</v>
      </c>
      <c r="F1080" t="s">
        <v>380</v>
      </c>
      <c r="G1080" t="s">
        <v>608</v>
      </c>
      <c r="H1080" t="s">
        <v>52</v>
      </c>
    </row>
    <row r="1081" spans="1:8" x14ac:dyDescent="0.2">
      <c r="A1081" t="s">
        <v>852</v>
      </c>
      <c r="B1081" t="s">
        <v>832</v>
      </c>
      <c r="C1081" t="s">
        <v>18</v>
      </c>
      <c r="D1081">
        <v>2</v>
      </c>
      <c r="E1081" t="s">
        <v>17</v>
      </c>
      <c r="F1081" t="s">
        <v>380</v>
      </c>
      <c r="G1081" t="s">
        <v>608</v>
      </c>
      <c r="H1081" t="s">
        <v>52</v>
      </c>
    </row>
    <row r="1082" spans="1:8" x14ac:dyDescent="0.2">
      <c r="A1082" t="s">
        <v>853</v>
      </c>
      <c r="B1082" t="s">
        <v>832</v>
      </c>
      <c r="C1082" t="s">
        <v>16</v>
      </c>
      <c r="D1082">
        <v>4</v>
      </c>
      <c r="E1082" t="s">
        <v>17</v>
      </c>
      <c r="F1082" t="s">
        <v>380</v>
      </c>
      <c r="G1082" t="s">
        <v>3206</v>
      </c>
      <c r="H1082" t="s">
        <v>52</v>
      </c>
    </row>
    <row r="1083" spans="1:8" x14ac:dyDescent="0.2">
      <c r="A1083" t="s">
        <v>855</v>
      </c>
      <c r="B1083" t="s">
        <v>832</v>
      </c>
      <c r="C1083" t="s">
        <v>18</v>
      </c>
      <c r="D1083">
        <v>2</v>
      </c>
      <c r="E1083" t="s">
        <v>17</v>
      </c>
      <c r="F1083" t="s">
        <v>380</v>
      </c>
      <c r="G1083" t="s">
        <v>608</v>
      </c>
      <c r="H1083" t="s">
        <v>52</v>
      </c>
    </row>
    <row r="1084" spans="1:8" x14ac:dyDescent="0.2">
      <c r="A1084" t="s">
        <v>856</v>
      </c>
      <c r="B1084" t="s">
        <v>832</v>
      </c>
      <c r="C1084" t="s">
        <v>18</v>
      </c>
      <c r="D1084">
        <v>2</v>
      </c>
      <c r="E1084" t="s">
        <v>21</v>
      </c>
      <c r="F1084" t="s">
        <v>380</v>
      </c>
      <c r="G1084" t="s">
        <v>608</v>
      </c>
      <c r="H1084" t="s">
        <v>52</v>
      </c>
    </row>
    <row r="1085" spans="1:8" x14ac:dyDescent="0.2">
      <c r="A1085" t="s">
        <v>857</v>
      </c>
      <c r="B1085" t="s">
        <v>832</v>
      </c>
      <c r="C1085" t="s">
        <v>18</v>
      </c>
      <c r="D1085">
        <v>2</v>
      </c>
      <c r="E1085" t="s">
        <v>17</v>
      </c>
      <c r="F1085" t="s">
        <v>380</v>
      </c>
      <c r="G1085" t="s">
        <v>608</v>
      </c>
      <c r="H1085" t="s">
        <v>52</v>
      </c>
    </row>
    <row r="1086" spans="1:8" x14ac:dyDescent="0.2">
      <c r="A1086" t="s">
        <v>858</v>
      </c>
      <c r="B1086" t="s">
        <v>832</v>
      </c>
      <c r="C1086" t="s">
        <v>19</v>
      </c>
      <c r="D1086">
        <v>2</v>
      </c>
      <c r="E1086" t="s">
        <v>17</v>
      </c>
      <c r="F1086" t="s">
        <v>380</v>
      </c>
      <c r="G1086" t="s">
        <v>608</v>
      </c>
      <c r="H1086" t="s">
        <v>52</v>
      </c>
    </row>
    <row r="1087" spans="1:8" x14ac:dyDescent="0.2">
      <c r="A1087" t="s">
        <v>859</v>
      </c>
      <c r="B1087" t="s">
        <v>832</v>
      </c>
      <c r="C1087" t="s">
        <v>19</v>
      </c>
      <c r="D1087">
        <v>2</v>
      </c>
      <c r="E1087" t="s">
        <v>17</v>
      </c>
      <c r="F1087" t="s">
        <v>380</v>
      </c>
      <c r="G1087" t="s">
        <v>608</v>
      </c>
      <c r="H1087" t="s">
        <v>52</v>
      </c>
    </row>
    <row r="1088" spans="1:8" x14ac:dyDescent="0.2">
      <c r="A1088" t="s">
        <v>861</v>
      </c>
      <c r="B1088" t="s">
        <v>832</v>
      </c>
      <c r="C1088" t="s">
        <v>19</v>
      </c>
      <c r="D1088">
        <v>2</v>
      </c>
      <c r="E1088" t="s">
        <v>17</v>
      </c>
      <c r="F1088" t="s">
        <v>380</v>
      </c>
      <c r="G1088" t="s">
        <v>608</v>
      </c>
      <c r="H1088" t="s">
        <v>52</v>
      </c>
    </row>
    <row r="1089" spans="1:8" x14ac:dyDescent="0.2">
      <c r="A1089" t="s">
        <v>863</v>
      </c>
      <c r="B1089" t="s">
        <v>832</v>
      </c>
      <c r="C1089" t="s">
        <v>16</v>
      </c>
      <c r="D1089">
        <v>4</v>
      </c>
      <c r="E1089" t="s">
        <v>17</v>
      </c>
      <c r="F1089" t="s">
        <v>380</v>
      </c>
      <c r="G1089" t="s">
        <v>3207</v>
      </c>
      <c r="H1089" t="s">
        <v>52</v>
      </c>
    </row>
    <row r="1090" spans="1:8" x14ac:dyDescent="0.2">
      <c r="A1090" t="s">
        <v>864</v>
      </c>
      <c r="B1090" t="s">
        <v>832</v>
      </c>
      <c r="C1090" t="s">
        <v>16</v>
      </c>
      <c r="D1090">
        <v>4</v>
      </c>
      <c r="E1090" t="s">
        <v>17</v>
      </c>
      <c r="F1090" t="s">
        <v>380</v>
      </c>
      <c r="G1090" t="s">
        <v>3207</v>
      </c>
      <c r="H1090" t="s">
        <v>52</v>
      </c>
    </row>
    <row r="1091" spans="1:8" x14ac:dyDescent="0.2">
      <c r="A1091" t="s">
        <v>865</v>
      </c>
      <c r="B1091" t="s">
        <v>832</v>
      </c>
      <c r="C1091" t="s">
        <v>16</v>
      </c>
      <c r="D1091">
        <v>4</v>
      </c>
      <c r="E1091" t="s">
        <v>17</v>
      </c>
      <c r="F1091" t="s">
        <v>380</v>
      </c>
      <c r="G1091" t="s">
        <v>3207</v>
      </c>
      <c r="H1091" t="s">
        <v>52</v>
      </c>
    </row>
    <row r="1092" spans="1:8" x14ac:dyDescent="0.2">
      <c r="A1092" t="s">
        <v>866</v>
      </c>
      <c r="B1092" t="s">
        <v>832</v>
      </c>
      <c r="C1092" t="s">
        <v>16</v>
      </c>
      <c r="D1092">
        <v>4</v>
      </c>
      <c r="E1092" t="s">
        <v>17</v>
      </c>
      <c r="F1092" t="s">
        <v>380</v>
      </c>
      <c r="G1092" t="s">
        <v>3207</v>
      </c>
      <c r="H1092" t="s">
        <v>52</v>
      </c>
    </row>
    <row r="1093" spans="1:8" x14ac:dyDescent="0.2">
      <c r="A1093" t="s">
        <v>867</v>
      </c>
      <c r="B1093" t="s">
        <v>839</v>
      </c>
      <c r="C1093" t="s">
        <v>18</v>
      </c>
      <c r="D1093">
        <v>2</v>
      </c>
      <c r="E1093" t="s">
        <v>17</v>
      </c>
      <c r="F1093" t="s">
        <v>380</v>
      </c>
      <c r="G1093" t="s">
        <v>608</v>
      </c>
      <c r="H1093" t="s">
        <v>52</v>
      </c>
    </row>
    <row r="1094" spans="1:8" x14ac:dyDescent="0.2">
      <c r="A1094" t="s">
        <v>868</v>
      </c>
      <c r="B1094" t="s">
        <v>839</v>
      </c>
      <c r="C1094" t="s">
        <v>18</v>
      </c>
      <c r="D1094">
        <v>2</v>
      </c>
      <c r="E1094" t="s">
        <v>17</v>
      </c>
      <c r="F1094" t="s">
        <v>380</v>
      </c>
      <c r="G1094" t="s">
        <v>608</v>
      </c>
      <c r="H1094" t="s">
        <v>52</v>
      </c>
    </row>
    <row r="1095" spans="1:8" x14ac:dyDescent="0.2">
      <c r="A1095" t="s">
        <v>869</v>
      </c>
      <c r="B1095" t="s">
        <v>839</v>
      </c>
      <c r="C1095" t="s">
        <v>19</v>
      </c>
      <c r="D1095">
        <v>2</v>
      </c>
      <c r="E1095" t="s">
        <v>17</v>
      </c>
      <c r="F1095" t="s">
        <v>380</v>
      </c>
      <c r="G1095" t="s">
        <v>608</v>
      </c>
      <c r="H1095" t="s">
        <v>52</v>
      </c>
    </row>
    <row r="1096" spans="1:8" x14ac:dyDescent="0.2">
      <c r="A1096" t="s">
        <v>870</v>
      </c>
      <c r="B1096" t="s">
        <v>839</v>
      </c>
      <c r="C1096" t="s">
        <v>19</v>
      </c>
      <c r="D1096">
        <v>2</v>
      </c>
      <c r="E1096" t="s">
        <v>17</v>
      </c>
      <c r="F1096" t="s">
        <v>380</v>
      </c>
      <c r="G1096" t="s">
        <v>608</v>
      </c>
      <c r="H1096" t="s">
        <v>52</v>
      </c>
    </row>
    <row r="1097" spans="1:8" x14ac:dyDescent="0.2">
      <c r="A1097" t="s">
        <v>871</v>
      </c>
      <c r="B1097" t="s">
        <v>839</v>
      </c>
      <c r="C1097" t="s">
        <v>19</v>
      </c>
      <c r="D1097">
        <v>2</v>
      </c>
      <c r="E1097" t="s">
        <v>17</v>
      </c>
      <c r="F1097" t="s">
        <v>380</v>
      </c>
      <c r="G1097" t="s">
        <v>608</v>
      </c>
      <c r="H1097" t="s">
        <v>52</v>
      </c>
    </row>
    <row r="1098" spans="1:8" x14ac:dyDescent="0.2">
      <c r="A1098" t="s">
        <v>873</v>
      </c>
      <c r="B1098" t="s">
        <v>839</v>
      </c>
      <c r="C1098" t="s">
        <v>19</v>
      </c>
      <c r="D1098">
        <v>2</v>
      </c>
      <c r="E1098" t="s">
        <v>17</v>
      </c>
      <c r="F1098" t="s">
        <v>380</v>
      </c>
      <c r="G1098" t="s">
        <v>608</v>
      </c>
      <c r="H1098" t="s">
        <v>52</v>
      </c>
    </row>
    <row r="1099" spans="1:8" x14ac:dyDescent="0.2">
      <c r="A1099" t="s">
        <v>874</v>
      </c>
      <c r="B1099" t="s">
        <v>839</v>
      </c>
      <c r="C1099" t="s">
        <v>18</v>
      </c>
      <c r="D1099">
        <v>2</v>
      </c>
      <c r="E1099" t="s">
        <v>17</v>
      </c>
      <c r="F1099" t="s">
        <v>380</v>
      </c>
      <c r="G1099" t="s">
        <v>608</v>
      </c>
      <c r="H1099" t="s">
        <v>52</v>
      </c>
    </row>
    <row r="1100" spans="1:8" x14ac:dyDescent="0.2">
      <c r="A1100" t="s">
        <v>875</v>
      </c>
      <c r="B1100" t="s">
        <v>839</v>
      </c>
      <c r="C1100" t="s">
        <v>16</v>
      </c>
      <c r="D1100">
        <v>4</v>
      </c>
      <c r="E1100" t="s">
        <v>21</v>
      </c>
      <c r="F1100" t="s">
        <v>380</v>
      </c>
      <c r="G1100" t="s">
        <v>3206</v>
      </c>
      <c r="H1100" t="s">
        <v>52</v>
      </c>
    </row>
    <row r="1101" spans="1:8" x14ac:dyDescent="0.2">
      <c r="A1101" t="s">
        <v>876</v>
      </c>
      <c r="B1101" t="s">
        <v>839</v>
      </c>
      <c r="C1101" t="s">
        <v>19</v>
      </c>
      <c r="D1101" t="s">
        <v>16</v>
      </c>
      <c r="E1101" t="s">
        <v>17</v>
      </c>
      <c r="F1101" t="s">
        <v>380</v>
      </c>
      <c r="G1101" t="s">
        <v>608</v>
      </c>
      <c r="H1101" t="s">
        <v>52</v>
      </c>
    </row>
    <row r="1102" spans="1:8" x14ac:dyDescent="0.2">
      <c r="A1102" t="s">
        <v>877</v>
      </c>
      <c r="B1102" t="s">
        <v>839</v>
      </c>
      <c r="C1102" t="s">
        <v>16</v>
      </c>
      <c r="D1102">
        <v>4</v>
      </c>
      <c r="E1102" t="s">
        <v>17</v>
      </c>
      <c r="F1102" t="s">
        <v>380</v>
      </c>
      <c r="G1102" t="s">
        <v>3206</v>
      </c>
      <c r="H1102" t="s">
        <v>52</v>
      </c>
    </row>
    <row r="1103" spans="1:8" x14ac:dyDescent="0.2">
      <c r="A1103" t="s">
        <v>878</v>
      </c>
      <c r="B1103" t="s">
        <v>839</v>
      </c>
      <c r="C1103" t="s">
        <v>16</v>
      </c>
      <c r="D1103">
        <v>4</v>
      </c>
      <c r="E1103" t="s">
        <v>17</v>
      </c>
      <c r="F1103" t="s">
        <v>380</v>
      </c>
      <c r="G1103" t="s">
        <v>3206</v>
      </c>
      <c r="H1103" t="s">
        <v>52</v>
      </c>
    </row>
    <row r="1104" spans="1:8" x14ac:dyDescent="0.2">
      <c r="A1104" t="s">
        <v>879</v>
      </c>
      <c r="B1104" t="s">
        <v>839</v>
      </c>
      <c r="C1104" t="s">
        <v>19</v>
      </c>
      <c r="D1104">
        <v>2</v>
      </c>
      <c r="E1104" t="s">
        <v>17</v>
      </c>
      <c r="F1104" t="s">
        <v>380</v>
      </c>
      <c r="G1104" t="s">
        <v>608</v>
      </c>
      <c r="H1104" t="s">
        <v>52</v>
      </c>
    </row>
    <row r="1105" spans="1:8" x14ac:dyDescent="0.2">
      <c r="A1105" t="s">
        <v>880</v>
      </c>
      <c r="B1105" t="s">
        <v>847</v>
      </c>
      <c r="C1105" t="s">
        <v>19</v>
      </c>
      <c r="D1105">
        <v>2</v>
      </c>
      <c r="E1105" t="s">
        <v>17</v>
      </c>
      <c r="F1105" t="s">
        <v>380</v>
      </c>
      <c r="G1105" t="s">
        <v>608</v>
      </c>
      <c r="H1105" t="s">
        <v>52</v>
      </c>
    </row>
    <row r="1106" spans="1:8" x14ac:dyDescent="0.2">
      <c r="A1106" t="s">
        <v>881</v>
      </c>
      <c r="B1106" t="s">
        <v>847</v>
      </c>
      <c r="C1106" t="s">
        <v>19</v>
      </c>
      <c r="D1106">
        <v>2</v>
      </c>
      <c r="E1106" t="s">
        <v>17</v>
      </c>
      <c r="F1106" t="s">
        <v>380</v>
      </c>
      <c r="G1106" t="s">
        <v>608</v>
      </c>
      <c r="H1106" t="s">
        <v>52</v>
      </c>
    </row>
    <row r="1107" spans="1:8" x14ac:dyDescent="0.2">
      <c r="A1107" t="s">
        <v>882</v>
      </c>
      <c r="B1107" t="s">
        <v>847</v>
      </c>
      <c r="C1107" t="s">
        <v>19</v>
      </c>
      <c r="D1107">
        <v>2</v>
      </c>
      <c r="E1107" t="s">
        <v>17</v>
      </c>
      <c r="F1107" t="s">
        <v>380</v>
      </c>
      <c r="G1107" t="s">
        <v>608</v>
      </c>
      <c r="H1107" t="s">
        <v>52</v>
      </c>
    </row>
    <row r="1108" spans="1:8" x14ac:dyDescent="0.2">
      <c r="A1108" t="s">
        <v>883</v>
      </c>
      <c r="B1108" t="s">
        <v>847</v>
      </c>
      <c r="C1108" t="s">
        <v>16</v>
      </c>
      <c r="D1108">
        <v>4</v>
      </c>
      <c r="E1108" t="s">
        <v>17</v>
      </c>
      <c r="F1108" t="s">
        <v>380</v>
      </c>
      <c r="G1108" t="s">
        <v>3205</v>
      </c>
      <c r="H1108" t="s">
        <v>52</v>
      </c>
    </row>
    <row r="1109" spans="1:8" x14ac:dyDescent="0.2">
      <c r="A1109" t="s">
        <v>884</v>
      </c>
      <c r="B1109" t="s">
        <v>847</v>
      </c>
      <c r="C1109" t="s">
        <v>19</v>
      </c>
      <c r="D1109">
        <v>2</v>
      </c>
      <c r="E1109" t="s">
        <v>17</v>
      </c>
      <c r="F1109" t="s">
        <v>380</v>
      </c>
      <c r="G1109" t="s">
        <v>608</v>
      </c>
      <c r="H1109" t="s">
        <v>52</v>
      </c>
    </row>
    <row r="1110" spans="1:8" x14ac:dyDescent="0.2">
      <c r="A1110" t="s">
        <v>885</v>
      </c>
      <c r="B1110" t="s">
        <v>847</v>
      </c>
      <c r="C1110" t="s">
        <v>16</v>
      </c>
      <c r="D1110">
        <v>4</v>
      </c>
      <c r="E1110" t="s">
        <v>17</v>
      </c>
      <c r="F1110" t="s">
        <v>380</v>
      </c>
      <c r="G1110" t="s">
        <v>3205</v>
      </c>
      <c r="H1110" t="s">
        <v>52</v>
      </c>
    </row>
    <row r="1111" spans="1:8" x14ac:dyDescent="0.2">
      <c r="A1111" t="s">
        <v>886</v>
      </c>
      <c r="B1111" t="s">
        <v>847</v>
      </c>
      <c r="C1111" t="s">
        <v>16</v>
      </c>
      <c r="D1111">
        <v>4</v>
      </c>
      <c r="E1111" t="s">
        <v>17</v>
      </c>
      <c r="F1111" t="s">
        <v>380</v>
      </c>
      <c r="G1111" t="s">
        <v>3205</v>
      </c>
      <c r="H1111" t="s">
        <v>52</v>
      </c>
    </row>
    <row r="1112" spans="1:8" x14ac:dyDescent="0.2">
      <c r="A1112" t="s">
        <v>887</v>
      </c>
      <c r="B1112" t="s">
        <v>847</v>
      </c>
      <c r="C1112" t="s">
        <v>16</v>
      </c>
      <c r="D1112">
        <v>4</v>
      </c>
      <c r="E1112" t="s">
        <v>21</v>
      </c>
      <c r="F1112" t="s">
        <v>380</v>
      </c>
      <c r="G1112" t="s">
        <v>3204</v>
      </c>
      <c r="H1112" t="s">
        <v>52</v>
      </c>
    </row>
    <row r="1113" spans="1:8" x14ac:dyDescent="0.2">
      <c r="A1113" t="s">
        <v>888</v>
      </c>
      <c r="B1113" t="s">
        <v>847</v>
      </c>
      <c r="C1113" t="s">
        <v>16</v>
      </c>
      <c r="D1113">
        <v>4</v>
      </c>
      <c r="E1113" t="s">
        <v>21</v>
      </c>
      <c r="F1113" t="s">
        <v>380</v>
      </c>
      <c r="G1113" t="s">
        <v>3204</v>
      </c>
      <c r="H1113" t="s">
        <v>52</v>
      </c>
    </row>
    <row r="1114" spans="1:8" x14ac:dyDescent="0.2">
      <c r="A1114" t="s">
        <v>889</v>
      </c>
      <c r="B1114" t="s">
        <v>847</v>
      </c>
      <c r="C1114" t="s">
        <v>16</v>
      </c>
      <c r="D1114">
        <v>4</v>
      </c>
      <c r="E1114" t="s">
        <v>17</v>
      </c>
      <c r="F1114" t="s">
        <v>380</v>
      </c>
      <c r="G1114" t="s">
        <v>3204</v>
      </c>
      <c r="H1114" t="s">
        <v>52</v>
      </c>
    </row>
    <row r="1115" spans="1:8" x14ac:dyDescent="0.2">
      <c r="A1115" t="s">
        <v>2326</v>
      </c>
      <c r="B1115" t="s">
        <v>1061</v>
      </c>
      <c r="C1115" t="s">
        <v>18</v>
      </c>
      <c r="D1115">
        <v>3</v>
      </c>
      <c r="E1115" t="s">
        <v>17</v>
      </c>
      <c r="F1115" t="s">
        <v>380</v>
      </c>
      <c r="G1115" t="s">
        <v>3201</v>
      </c>
      <c r="H1115" t="s">
        <v>604</v>
      </c>
    </row>
    <row r="1116" spans="1:8" x14ac:dyDescent="0.2">
      <c r="A1116" t="s">
        <v>2327</v>
      </c>
      <c r="B1116" t="s">
        <v>1061</v>
      </c>
      <c r="C1116" t="s">
        <v>16</v>
      </c>
      <c r="D1116">
        <v>4</v>
      </c>
      <c r="E1116" t="s">
        <v>17</v>
      </c>
      <c r="F1116" t="s">
        <v>380</v>
      </c>
      <c r="G1116" t="s">
        <v>3201</v>
      </c>
      <c r="H1116" t="s">
        <v>604</v>
      </c>
    </row>
    <row r="1117" spans="1:8" x14ac:dyDescent="0.2">
      <c r="A1117" t="s">
        <v>2328</v>
      </c>
      <c r="B1117" t="s">
        <v>1061</v>
      </c>
      <c r="C1117" t="s">
        <v>16</v>
      </c>
      <c r="D1117">
        <v>4</v>
      </c>
      <c r="E1117" t="s">
        <v>17</v>
      </c>
      <c r="F1117" t="s">
        <v>380</v>
      </c>
      <c r="G1117" t="s">
        <v>3201</v>
      </c>
      <c r="H1117" t="s">
        <v>604</v>
      </c>
    </row>
    <row r="1118" spans="1:8" x14ac:dyDescent="0.2">
      <c r="A1118" t="s">
        <v>2329</v>
      </c>
      <c r="B1118" t="s">
        <v>1061</v>
      </c>
      <c r="C1118" t="s">
        <v>18</v>
      </c>
      <c r="D1118">
        <v>3</v>
      </c>
      <c r="E1118" t="s">
        <v>17</v>
      </c>
      <c r="F1118" t="s">
        <v>380</v>
      </c>
      <c r="G1118" t="s">
        <v>3201</v>
      </c>
      <c r="H1118" t="s">
        <v>604</v>
      </c>
    </row>
    <row r="1119" spans="1:8" x14ac:dyDescent="0.2">
      <c r="A1119" t="s">
        <v>2330</v>
      </c>
      <c r="B1119" t="s">
        <v>1061</v>
      </c>
      <c r="C1119" t="s">
        <v>16</v>
      </c>
      <c r="D1119">
        <v>4</v>
      </c>
      <c r="E1119" t="s">
        <v>17</v>
      </c>
      <c r="F1119" t="s">
        <v>380</v>
      </c>
      <c r="G1119" t="s">
        <v>3201</v>
      </c>
      <c r="H1119" t="s">
        <v>604</v>
      </c>
    </row>
    <row r="1120" spans="1:8" x14ac:dyDescent="0.2">
      <c r="A1120" t="s">
        <v>2331</v>
      </c>
      <c r="B1120" t="s">
        <v>1063</v>
      </c>
      <c r="C1120" t="s">
        <v>18</v>
      </c>
      <c r="D1120">
        <v>1</v>
      </c>
      <c r="E1120" t="s">
        <v>17</v>
      </c>
      <c r="F1120" t="s">
        <v>380</v>
      </c>
      <c r="G1120" t="s">
        <v>3201</v>
      </c>
      <c r="H1120" t="s">
        <v>604</v>
      </c>
    </row>
    <row r="1121" spans="1:8" x14ac:dyDescent="0.2">
      <c r="A1121" t="s">
        <v>2332</v>
      </c>
      <c r="B1121" t="s">
        <v>1063</v>
      </c>
      <c r="C1121" t="s">
        <v>16</v>
      </c>
      <c r="D1121">
        <v>4</v>
      </c>
      <c r="E1121" t="s">
        <v>17</v>
      </c>
      <c r="F1121" t="s">
        <v>380</v>
      </c>
      <c r="G1121" t="s">
        <v>3201</v>
      </c>
      <c r="H1121" t="s">
        <v>604</v>
      </c>
    </row>
    <row r="1122" spans="1:8" x14ac:dyDescent="0.2">
      <c r="A1122" t="s">
        <v>2333</v>
      </c>
      <c r="B1122" t="s">
        <v>1063</v>
      </c>
      <c r="C1122" t="s">
        <v>18</v>
      </c>
      <c r="D1122">
        <v>1</v>
      </c>
      <c r="E1122" t="s">
        <v>17</v>
      </c>
      <c r="F1122" t="s">
        <v>380</v>
      </c>
      <c r="G1122" t="s">
        <v>3201</v>
      </c>
      <c r="H1122" t="s">
        <v>604</v>
      </c>
    </row>
    <row r="1123" spans="1:8" x14ac:dyDescent="0.2">
      <c r="A1123" t="s">
        <v>2334</v>
      </c>
      <c r="B1123" t="s">
        <v>1063</v>
      </c>
      <c r="C1123" t="s">
        <v>16</v>
      </c>
      <c r="D1123">
        <v>4</v>
      </c>
      <c r="E1123" t="s">
        <v>17</v>
      </c>
      <c r="F1123" t="s">
        <v>380</v>
      </c>
      <c r="G1123" t="s">
        <v>3201</v>
      </c>
      <c r="H1123" t="s">
        <v>604</v>
      </c>
    </row>
    <row r="1124" spans="1:8" x14ac:dyDescent="0.2">
      <c r="A1124" t="s">
        <v>2335</v>
      </c>
      <c r="B1124" t="s">
        <v>1063</v>
      </c>
      <c r="C1124" t="s">
        <v>16</v>
      </c>
      <c r="D1124">
        <v>4</v>
      </c>
      <c r="E1124" t="s">
        <v>21</v>
      </c>
      <c r="F1124" t="s">
        <v>380</v>
      </c>
      <c r="G1124" t="s">
        <v>3201</v>
      </c>
      <c r="H1124" t="s">
        <v>604</v>
      </c>
    </row>
    <row r="1125" spans="1:8" x14ac:dyDescent="0.2">
      <c r="A1125" t="s">
        <v>2336</v>
      </c>
      <c r="B1125" t="s">
        <v>1065</v>
      </c>
      <c r="C1125" t="s">
        <v>18</v>
      </c>
      <c r="D1125">
        <v>1</v>
      </c>
      <c r="E1125" t="s">
        <v>17</v>
      </c>
      <c r="F1125" t="s">
        <v>380</v>
      </c>
      <c r="G1125" t="s">
        <v>3201</v>
      </c>
      <c r="H1125" t="s">
        <v>604</v>
      </c>
    </row>
    <row r="1126" spans="1:8" x14ac:dyDescent="0.2">
      <c r="A1126" t="s">
        <v>2337</v>
      </c>
      <c r="B1126" t="s">
        <v>1065</v>
      </c>
      <c r="C1126" t="s">
        <v>16</v>
      </c>
      <c r="D1126">
        <v>4</v>
      </c>
      <c r="E1126" t="s">
        <v>21</v>
      </c>
      <c r="F1126" t="s">
        <v>380</v>
      </c>
      <c r="G1126" t="s">
        <v>3201</v>
      </c>
      <c r="H1126" t="s">
        <v>604</v>
      </c>
    </row>
    <row r="1127" spans="1:8" x14ac:dyDescent="0.2">
      <c r="A1127" t="s">
        <v>2338</v>
      </c>
      <c r="B1127" t="s">
        <v>1065</v>
      </c>
      <c r="C1127" t="s">
        <v>18</v>
      </c>
      <c r="D1127">
        <v>3</v>
      </c>
      <c r="E1127" t="s">
        <v>17</v>
      </c>
      <c r="F1127" t="s">
        <v>380</v>
      </c>
      <c r="G1127" t="s">
        <v>3201</v>
      </c>
      <c r="H1127" t="s">
        <v>604</v>
      </c>
    </row>
    <row r="1128" spans="1:8" x14ac:dyDescent="0.2">
      <c r="A1128" t="s">
        <v>2339</v>
      </c>
      <c r="B1128" t="s">
        <v>1065</v>
      </c>
      <c r="C1128" t="s">
        <v>18</v>
      </c>
      <c r="D1128">
        <v>1</v>
      </c>
      <c r="E1128" t="s">
        <v>17</v>
      </c>
      <c r="F1128" t="s">
        <v>380</v>
      </c>
      <c r="G1128" t="s">
        <v>3201</v>
      </c>
      <c r="H1128" t="s">
        <v>604</v>
      </c>
    </row>
    <row r="1129" spans="1:8" x14ac:dyDescent="0.2">
      <c r="A1129" t="s">
        <v>2340</v>
      </c>
      <c r="B1129" t="s">
        <v>1065</v>
      </c>
      <c r="C1129" t="s">
        <v>16</v>
      </c>
      <c r="D1129">
        <v>4</v>
      </c>
      <c r="E1129" t="s">
        <v>17</v>
      </c>
      <c r="F1129" t="s">
        <v>380</v>
      </c>
      <c r="G1129" t="s">
        <v>3201</v>
      </c>
      <c r="H1129" t="s">
        <v>604</v>
      </c>
    </row>
    <row r="1130" spans="1:8" x14ac:dyDescent="0.2">
      <c r="A1130" t="s">
        <v>2341</v>
      </c>
      <c r="B1130" t="s">
        <v>1073</v>
      </c>
      <c r="C1130" t="s">
        <v>18</v>
      </c>
      <c r="D1130">
        <v>2</v>
      </c>
      <c r="E1130" t="s">
        <v>17</v>
      </c>
      <c r="F1130" t="s">
        <v>380</v>
      </c>
      <c r="G1130" t="s">
        <v>3201</v>
      </c>
      <c r="H1130" t="s">
        <v>604</v>
      </c>
    </row>
    <row r="1131" spans="1:8" x14ac:dyDescent="0.2">
      <c r="A1131" t="s">
        <v>2342</v>
      </c>
      <c r="B1131" t="s">
        <v>1073</v>
      </c>
      <c r="C1131" t="s">
        <v>18</v>
      </c>
      <c r="D1131">
        <v>1</v>
      </c>
      <c r="E1131" t="s">
        <v>17</v>
      </c>
      <c r="F1131" t="s">
        <v>380</v>
      </c>
      <c r="G1131" t="s">
        <v>3201</v>
      </c>
      <c r="H1131" t="s">
        <v>604</v>
      </c>
    </row>
    <row r="1132" spans="1:8" x14ac:dyDescent="0.2">
      <c r="A1132" t="s">
        <v>2343</v>
      </c>
      <c r="B1132" t="s">
        <v>1073</v>
      </c>
      <c r="C1132" t="s">
        <v>18</v>
      </c>
      <c r="D1132">
        <v>1</v>
      </c>
      <c r="E1132" t="s">
        <v>21</v>
      </c>
      <c r="F1132" t="s">
        <v>380</v>
      </c>
      <c r="G1132" t="s">
        <v>3201</v>
      </c>
      <c r="H1132" t="s">
        <v>604</v>
      </c>
    </row>
    <row r="1133" spans="1:8" x14ac:dyDescent="0.2">
      <c r="A1133" t="s">
        <v>2344</v>
      </c>
      <c r="B1133" t="s">
        <v>1073</v>
      </c>
      <c r="C1133" t="s">
        <v>16</v>
      </c>
      <c r="D1133">
        <v>4</v>
      </c>
      <c r="E1133" t="s">
        <v>21</v>
      </c>
      <c r="F1133" t="s">
        <v>380</v>
      </c>
      <c r="G1133" t="s">
        <v>3201</v>
      </c>
      <c r="H1133" t="s">
        <v>604</v>
      </c>
    </row>
    <row r="1134" spans="1:8" x14ac:dyDescent="0.2">
      <c r="A1134" t="s">
        <v>2345</v>
      </c>
      <c r="B1134" t="s">
        <v>1073</v>
      </c>
      <c r="C1134" t="s">
        <v>19</v>
      </c>
      <c r="D1134">
        <v>3</v>
      </c>
      <c r="E1134" t="s">
        <v>17</v>
      </c>
      <c r="F1134" t="s">
        <v>380</v>
      </c>
      <c r="G1134" t="s">
        <v>3201</v>
      </c>
      <c r="H1134" t="s">
        <v>604</v>
      </c>
    </row>
    <row r="1135" spans="1:8" x14ac:dyDescent="0.2">
      <c r="A1135" t="s">
        <v>2346</v>
      </c>
      <c r="B1135" t="s">
        <v>1075</v>
      </c>
      <c r="C1135" t="s">
        <v>18</v>
      </c>
      <c r="D1135">
        <v>2</v>
      </c>
      <c r="E1135" t="s">
        <v>17</v>
      </c>
      <c r="F1135" t="s">
        <v>380</v>
      </c>
      <c r="G1135" t="s">
        <v>3201</v>
      </c>
      <c r="H1135" t="s">
        <v>604</v>
      </c>
    </row>
    <row r="1136" spans="1:8" x14ac:dyDescent="0.2">
      <c r="A1136" t="s">
        <v>2347</v>
      </c>
      <c r="B1136" t="s">
        <v>1075</v>
      </c>
      <c r="C1136" t="s">
        <v>19</v>
      </c>
      <c r="D1136">
        <v>3</v>
      </c>
      <c r="E1136" t="s">
        <v>17</v>
      </c>
      <c r="F1136" t="s">
        <v>380</v>
      </c>
      <c r="G1136" t="s">
        <v>3201</v>
      </c>
      <c r="H1136" t="s">
        <v>604</v>
      </c>
    </row>
    <row r="1137" spans="1:8" x14ac:dyDescent="0.2">
      <c r="A1137" t="s">
        <v>2348</v>
      </c>
      <c r="B1137" t="s">
        <v>1075</v>
      </c>
      <c r="C1137" t="s">
        <v>18</v>
      </c>
      <c r="D1137">
        <v>1</v>
      </c>
      <c r="E1137" t="s">
        <v>17</v>
      </c>
      <c r="F1137" t="s">
        <v>380</v>
      </c>
      <c r="G1137" t="s">
        <v>3201</v>
      </c>
      <c r="H1137" t="s">
        <v>604</v>
      </c>
    </row>
    <row r="1138" spans="1:8" x14ac:dyDescent="0.2">
      <c r="A1138" t="s">
        <v>2349</v>
      </c>
      <c r="B1138" t="s">
        <v>1075</v>
      </c>
      <c r="C1138" t="s">
        <v>18</v>
      </c>
      <c r="D1138">
        <v>2</v>
      </c>
      <c r="E1138" t="s">
        <v>17</v>
      </c>
      <c r="F1138" t="s">
        <v>380</v>
      </c>
      <c r="G1138" t="s">
        <v>3201</v>
      </c>
      <c r="H1138" t="s">
        <v>604</v>
      </c>
    </row>
    <row r="1139" spans="1:8" x14ac:dyDescent="0.2">
      <c r="A1139" t="s">
        <v>2350</v>
      </c>
      <c r="B1139" t="s">
        <v>1075</v>
      </c>
      <c r="C1139" t="s">
        <v>16</v>
      </c>
      <c r="D1139">
        <v>4</v>
      </c>
      <c r="E1139" t="s">
        <v>17</v>
      </c>
      <c r="F1139" t="s">
        <v>380</v>
      </c>
      <c r="G1139" t="s">
        <v>3201</v>
      </c>
      <c r="H1139" t="s">
        <v>604</v>
      </c>
    </row>
    <row r="1140" spans="1:8" x14ac:dyDescent="0.2">
      <c r="A1140" t="s">
        <v>2351</v>
      </c>
      <c r="B1140" t="s">
        <v>1077</v>
      </c>
      <c r="C1140" t="s">
        <v>16</v>
      </c>
      <c r="D1140">
        <v>4</v>
      </c>
      <c r="E1140" t="s">
        <v>17</v>
      </c>
      <c r="F1140" t="s">
        <v>380</v>
      </c>
      <c r="G1140" t="s">
        <v>3201</v>
      </c>
      <c r="H1140" t="s">
        <v>604</v>
      </c>
    </row>
    <row r="1141" spans="1:8" x14ac:dyDescent="0.2">
      <c r="A1141" t="s">
        <v>2352</v>
      </c>
      <c r="B1141" t="s">
        <v>1077</v>
      </c>
      <c r="C1141" t="s">
        <v>18</v>
      </c>
      <c r="D1141">
        <v>1</v>
      </c>
      <c r="E1141" t="s">
        <v>21</v>
      </c>
      <c r="F1141" t="s">
        <v>380</v>
      </c>
      <c r="G1141" t="s">
        <v>3201</v>
      </c>
      <c r="H1141" t="s">
        <v>604</v>
      </c>
    </row>
    <row r="1142" spans="1:8" x14ac:dyDescent="0.2">
      <c r="A1142" t="s">
        <v>2353</v>
      </c>
      <c r="B1142" t="s">
        <v>1077</v>
      </c>
      <c r="C1142" t="s">
        <v>18</v>
      </c>
      <c r="D1142">
        <v>1</v>
      </c>
      <c r="E1142" t="s">
        <v>17</v>
      </c>
      <c r="F1142" t="s">
        <v>380</v>
      </c>
      <c r="G1142" t="s">
        <v>3201</v>
      </c>
      <c r="H1142" t="s">
        <v>604</v>
      </c>
    </row>
    <row r="1143" spans="1:8" x14ac:dyDescent="0.2">
      <c r="A1143" t="s">
        <v>2354</v>
      </c>
      <c r="B1143" t="s">
        <v>1077</v>
      </c>
      <c r="C1143" t="s">
        <v>16</v>
      </c>
      <c r="D1143">
        <v>4</v>
      </c>
      <c r="E1143" t="s">
        <v>17</v>
      </c>
      <c r="F1143" t="s">
        <v>380</v>
      </c>
      <c r="G1143" t="s">
        <v>3201</v>
      </c>
      <c r="H1143" t="s">
        <v>604</v>
      </c>
    </row>
    <row r="1144" spans="1:8" x14ac:dyDescent="0.2">
      <c r="A1144" t="s">
        <v>2355</v>
      </c>
      <c r="B1144" t="s">
        <v>1077</v>
      </c>
      <c r="C1144" t="s">
        <v>16</v>
      </c>
      <c r="D1144">
        <v>4</v>
      </c>
      <c r="E1144" t="s">
        <v>17</v>
      </c>
      <c r="F1144" t="s">
        <v>380</v>
      </c>
      <c r="G1144" t="s">
        <v>3201</v>
      </c>
      <c r="H1144" t="s">
        <v>604</v>
      </c>
    </row>
    <row r="1145" spans="1:8" x14ac:dyDescent="0.2">
      <c r="A1145" t="s">
        <v>2356</v>
      </c>
      <c r="B1145" t="s">
        <v>1079</v>
      </c>
      <c r="C1145" t="s">
        <v>18</v>
      </c>
      <c r="D1145">
        <v>2</v>
      </c>
      <c r="E1145" t="s">
        <v>17</v>
      </c>
      <c r="F1145" t="s">
        <v>380</v>
      </c>
      <c r="G1145" t="s">
        <v>3201</v>
      </c>
      <c r="H1145" t="s">
        <v>604</v>
      </c>
    </row>
    <row r="1146" spans="1:8" x14ac:dyDescent="0.2">
      <c r="A1146" t="s">
        <v>2357</v>
      </c>
      <c r="B1146" t="s">
        <v>1079</v>
      </c>
      <c r="C1146" t="s">
        <v>18</v>
      </c>
      <c r="D1146">
        <v>1</v>
      </c>
      <c r="E1146" t="s">
        <v>17</v>
      </c>
      <c r="F1146" t="s">
        <v>380</v>
      </c>
      <c r="G1146" t="s">
        <v>3201</v>
      </c>
      <c r="H1146" t="s">
        <v>604</v>
      </c>
    </row>
    <row r="1147" spans="1:8" x14ac:dyDescent="0.2">
      <c r="A1147" t="s">
        <v>2358</v>
      </c>
      <c r="B1147" t="s">
        <v>1079</v>
      </c>
      <c r="C1147" t="s">
        <v>18</v>
      </c>
      <c r="D1147">
        <v>2</v>
      </c>
      <c r="E1147" t="s">
        <v>17</v>
      </c>
      <c r="F1147" t="s">
        <v>380</v>
      </c>
      <c r="G1147" t="s">
        <v>3201</v>
      </c>
      <c r="H1147" t="s">
        <v>604</v>
      </c>
    </row>
    <row r="1148" spans="1:8" x14ac:dyDescent="0.2">
      <c r="A1148" t="s">
        <v>2359</v>
      </c>
      <c r="B1148" t="s">
        <v>1079</v>
      </c>
      <c r="C1148" t="s">
        <v>19</v>
      </c>
      <c r="D1148">
        <v>2</v>
      </c>
      <c r="E1148" t="s">
        <v>17</v>
      </c>
      <c r="F1148" t="s">
        <v>380</v>
      </c>
      <c r="G1148" t="s">
        <v>3201</v>
      </c>
      <c r="H1148" t="s">
        <v>604</v>
      </c>
    </row>
    <row r="1149" spans="1:8" x14ac:dyDescent="0.2">
      <c r="A1149" t="s">
        <v>2360</v>
      </c>
      <c r="B1149" t="s">
        <v>1079</v>
      </c>
      <c r="C1149" t="s">
        <v>18</v>
      </c>
      <c r="D1149">
        <v>2</v>
      </c>
      <c r="E1149" t="s">
        <v>17</v>
      </c>
      <c r="F1149" t="s">
        <v>380</v>
      </c>
      <c r="G1149" t="s">
        <v>3201</v>
      </c>
      <c r="H1149" t="s">
        <v>604</v>
      </c>
    </row>
    <row r="1150" spans="1:8" x14ac:dyDescent="0.2">
      <c r="A1150" t="s">
        <v>2361</v>
      </c>
      <c r="B1150" t="s">
        <v>1081</v>
      </c>
      <c r="C1150" t="s">
        <v>18</v>
      </c>
      <c r="D1150" t="s">
        <v>16</v>
      </c>
      <c r="E1150" t="s">
        <v>20</v>
      </c>
      <c r="F1150" t="s">
        <v>380</v>
      </c>
      <c r="G1150" t="s">
        <v>3201</v>
      </c>
      <c r="H1150" t="s">
        <v>604</v>
      </c>
    </row>
    <row r="1151" spans="1:8" x14ac:dyDescent="0.2">
      <c r="A1151" t="s">
        <v>2362</v>
      </c>
      <c r="B1151" t="s">
        <v>1081</v>
      </c>
      <c r="C1151" t="s">
        <v>16</v>
      </c>
      <c r="D1151">
        <v>4</v>
      </c>
      <c r="E1151" t="s">
        <v>17</v>
      </c>
      <c r="F1151" t="s">
        <v>380</v>
      </c>
      <c r="G1151" t="s">
        <v>3201</v>
      </c>
      <c r="H1151" t="s">
        <v>604</v>
      </c>
    </row>
    <row r="1152" spans="1:8" x14ac:dyDescent="0.2">
      <c r="A1152" t="s">
        <v>2363</v>
      </c>
      <c r="B1152" t="s">
        <v>1081</v>
      </c>
      <c r="C1152" t="s">
        <v>18</v>
      </c>
      <c r="D1152">
        <v>2</v>
      </c>
      <c r="E1152" t="s">
        <v>17</v>
      </c>
      <c r="F1152" t="s">
        <v>380</v>
      </c>
      <c r="G1152" t="s">
        <v>3201</v>
      </c>
      <c r="H1152" t="s">
        <v>604</v>
      </c>
    </row>
    <row r="1153" spans="1:8" x14ac:dyDescent="0.2">
      <c r="A1153" t="s">
        <v>2364</v>
      </c>
      <c r="B1153" t="s">
        <v>1081</v>
      </c>
      <c r="C1153" t="s">
        <v>19</v>
      </c>
      <c r="D1153">
        <v>2</v>
      </c>
      <c r="E1153" t="s">
        <v>17</v>
      </c>
      <c r="F1153" t="s">
        <v>380</v>
      </c>
      <c r="G1153" t="s">
        <v>3201</v>
      </c>
      <c r="H1153" t="s">
        <v>604</v>
      </c>
    </row>
    <row r="1154" spans="1:8" x14ac:dyDescent="0.2">
      <c r="A1154" t="s">
        <v>2365</v>
      </c>
      <c r="B1154" t="s">
        <v>1081</v>
      </c>
      <c r="C1154" t="s">
        <v>18</v>
      </c>
      <c r="D1154">
        <v>1</v>
      </c>
      <c r="E1154" t="s">
        <v>17</v>
      </c>
      <c r="F1154" t="s">
        <v>380</v>
      </c>
      <c r="G1154" t="s">
        <v>3201</v>
      </c>
      <c r="H1154" t="s">
        <v>604</v>
      </c>
    </row>
    <row r="1155" spans="1:8" x14ac:dyDescent="0.2">
      <c r="A1155" t="s">
        <v>2366</v>
      </c>
      <c r="B1155" t="s">
        <v>1083</v>
      </c>
      <c r="C1155" t="s">
        <v>18</v>
      </c>
      <c r="D1155">
        <v>1</v>
      </c>
      <c r="E1155" t="s">
        <v>17</v>
      </c>
      <c r="F1155" t="s">
        <v>380</v>
      </c>
      <c r="G1155" t="s">
        <v>3201</v>
      </c>
      <c r="H1155" t="s">
        <v>604</v>
      </c>
    </row>
    <row r="1156" spans="1:8" x14ac:dyDescent="0.2">
      <c r="A1156" t="s">
        <v>2367</v>
      </c>
      <c r="B1156" t="s">
        <v>1083</v>
      </c>
      <c r="C1156" t="s">
        <v>18</v>
      </c>
      <c r="D1156">
        <v>2</v>
      </c>
      <c r="E1156" t="s">
        <v>17</v>
      </c>
      <c r="F1156" t="s">
        <v>380</v>
      </c>
      <c r="G1156" t="s">
        <v>3201</v>
      </c>
      <c r="H1156" t="s">
        <v>604</v>
      </c>
    </row>
    <row r="1157" spans="1:8" x14ac:dyDescent="0.2">
      <c r="A1157" t="s">
        <v>2368</v>
      </c>
      <c r="B1157" t="s">
        <v>1083</v>
      </c>
      <c r="C1157" t="s">
        <v>18</v>
      </c>
      <c r="D1157">
        <v>2</v>
      </c>
      <c r="E1157" t="s">
        <v>17</v>
      </c>
      <c r="F1157" t="s">
        <v>380</v>
      </c>
      <c r="G1157" t="s">
        <v>3201</v>
      </c>
      <c r="H1157" t="s">
        <v>604</v>
      </c>
    </row>
    <row r="1158" spans="1:8" x14ac:dyDescent="0.2">
      <c r="A1158" t="s">
        <v>2369</v>
      </c>
      <c r="B1158" t="s">
        <v>1083</v>
      </c>
      <c r="C1158" t="s">
        <v>19</v>
      </c>
      <c r="D1158">
        <v>2</v>
      </c>
      <c r="E1158" t="s">
        <v>21</v>
      </c>
      <c r="F1158" t="s">
        <v>380</v>
      </c>
      <c r="G1158" t="s">
        <v>3201</v>
      </c>
      <c r="H1158" t="s">
        <v>604</v>
      </c>
    </row>
    <row r="1159" spans="1:8" x14ac:dyDescent="0.2">
      <c r="A1159" t="s">
        <v>2370</v>
      </c>
      <c r="B1159" t="s">
        <v>1083</v>
      </c>
      <c r="C1159" t="s">
        <v>18</v>
      </c>
      <c r="D1159">
        <v>2</v>
      </c>
      <c r="E1159" t="s">
        <v>17</v>
      </c>
      <c r="F1159" t="s">
        <v>380</v>
      </c>
      <c r="G1159" t="s">
        <v>3201</v>
      </c>
      <c r="H1159" t="s">
        <v>604</v>
      </c>
    </row>
    <row r="1160" spans="1:8" x14ac:dyDescent="0.2">
      <c r="A1160" t="s">
        <v>2371</v>
      </c>
      <c r="B1160" t="s">
        <v>1097</v>
      </c>
      <c r="C1160" t="s">
        <v>18</v>
      </c>
      <c r="D1160">
        <v>2</v>
      </c>
      <c r="E1160" t="s">
        <v>21</v>
      </c>
      <c r="F1160" t="s">
        <v>380</v>
      </c>
      <c r="G1160" t="s">
        <v>3201</v>
      </c>
      <c r="H1160" t="s">
        <v>604</v>
      </c>
    </row>
    <row r="1161" spans="1:8" x14ac:dyDescent="0.2">
      <c r="A1161" t="s">
        <v>2372</v>
      </c>
      <c r="B1161" t="s">
        <v>1097</v>
      </c>
      <c r="C1161" t="s">
        <v>18</v>
      </c>
      <c r="D1161">
        <v>2</v>
      </c>
      <c r="E1161" t="s">
        <v>17</v>
      </c>
      <c r="F1161" t="s">
        <v>380</v>
      </c>
      <c r="G1161" t="s">
        <v>3201</v>
      </c>
      <c r="H1161" t="s">
        <v>604</v>
      </c>
    </row>
    <row r="1162" spans="1:8" x14ac:dyDescent="0.2">
      <c r="A1162" t="s">
        <v>2373</v>
      </c>
      <c r="B1162" t="s">
        <v>1097</v>
      </c>
      <c r="C1162" t="s">
        <v>19</v>
      </c>
      <c r="D1162">
        <v>2</v>
      </c>
      <c r="E1162" t="s">
        <v>17</v>
      </c>
      <c r="F1162" t="s">
        <v>380</v>
      </c>
      <c r="G1162" t="s">
        <v>3201</v>
      </c>
      <c r="H1162" t="s">
        <v>604</v>
      </c>
    </row>
    <row r="1163" spans="1:8" x14ac:dyDescent="0.2">
      <c r="A1163" t="s">
        <v>2374</v>
      </c>
      <c r="B1163" t="s">
        <v>1097</v>
      </c>
      <c r="C1163" t="s">
        <v>18</v>
      </c>
      <c r="D1163">
        <v>2</v>
      </c>
      <c r="E1163" t="s">
        <v>21</v>
      </c>
      <c r="F1163" t="s">
        <v>380</v>
      </c>
      <c r="G1163" t="s">
        <v>3201</v>
      </c>
      <c r="H1163" t="s">
        <v>604</v>
      </c>
    </row>
    <row r="1164" spans="1:8" x14ac:dyDescent="0.2">
      <c r="A1164" t="s">
        <v>2375</v>
      </c>
      <c r="B1164" t="s">
        <v>1097</v>
      </c>
      <c r="C1164" t="s">
        <v>18</v>
      </c>
      <c r="D1164">
        <v>2</v>
      </c>
      <c r="E1164" t="s">
        <v>17</v>
      </c>
      <c r="F1164" t="s">
        <v>380</v>
      </c>
      <c r="G1164" t="s">
        <v>3201</v>
      </c>
      <c r="H1164" t="s">
        <v>604</v>
      </c>
    </row>
    <row r="1165" spans="1:8" x14ac:dyDescent="0.2">
      <c r="A1165" t="s">
        <v>2376</v>
      </c>
      <c r="B1165" t="s">
        <v>1099</v>
      </c>
      <c r="C1165" t="s">
        <v>18</v>
      </c>
      <c r="D1165">
        <v>3</v>
      </c>
      <c r="E1165" t="s">
        <v>17</v>
      </c>
      <c r="F1165" t="s">
        <v>380</v>
      </c>
      <c r="G1165" t="s">
        <v>3201</v>
      </c>
      <c r="H1165" t="s">
        <v>604</v>
      </c>
    </row>
    <row r="1166" spans="1:8" x14ac:dyDescent="0.2">
      <c r="A1166" t="s">
        <v>2377</v>
      </c>
      <c r="B1166" t="s">
        <v>1099</v>
      </c>
      <c r="C1166" t="s">
        <v>18</v>
      </c>
      <c r="D1166">
        <v>2</v>
      </c>
      <c r="E1166" t="s">
        <v>17</v>
      </c>
      <c r="F1166" t="s">
        <v>380</v>
      </c>
      <c r="G1166" t="s">
        <v>3201</v>
      </c>
      <c r="H1166" t="s">
        <v>604</v>
      </c>
    </row>
    <row r="1167" spans="1:8" x14ac:dyDescent="0.2">
      <c r="A1167" t="s">
        <v>2378</v>
      </c>
      <c r="B1167" t="s">
        <v>1099</v>
      </c>
      <c r="C1167" t="s">
        <v>18</v>
      </c>
      <c r="D1167">
        <v>2</v>
      </c>
      <c r="E1167" t="s">
        <v>17</v>
      </c>
      <c r="F1167" t="s">
        <v>380</v>
      </c>
      <c r="G1167" t="s">
        <v>3201</v>
      </c>
      <c r="H1167" t="s">
        <v>604</v>
      </c>
    </row>
    <row r="1168" spans="1:8" x14ac:dyDescent="0.2">
      <c r="A1168" t="s">
        <v>2379</v>
      </c>
      <c r="B1168" t="s">
        <v>1099</v>
      </c>
      <c r="C1168" t="s">
        <v>18</v>
      </c>
      <c r="D1168">
        <v>2</v>
      </c>
      <c r="E1168" t="s">
        <v>21</v>
      </c>
      <c r="F1168" t="s">
        <v>380</v>
      </c>
      <c r="G1168" t="s">
        <v>3201</v>
      </c>
      <c r="H1168" t="s">
        <v>604</v>
      </c>
    </row>
    <row r="1169" spans="1:8" x14ac:dyDescent="0.2">
      <c r="A1169" t="s">
        <v>2380</v>
      </c>
      <c r="B1169" t="s">
        <v>1099</v>
      </c>
      <c r="C1169" t="s">
        <v>16</v>
      </c>
      <c r="D1169" t="s">
        <v>16</v>
      </c>
      <c r="E1169" t="s">
        <v>20</v>
      </c>
      <c r="F1169" t="s">
        <v>380</v>
      </c>
      <c r="G1169" t="s">
        <v>3201</v>
      </c>
      <c r="H1169" t="s">
        <v>604</v>
      </c>
    </row>
    <row r="1170" spans="1:8" x14ac:dyDescent="0.2">
      <c r="A1170" t="s">
        <v>2381</v>
      </c>
      <c r="B1170" t="s">
        <v>1101</v>
      </c>
      <c r="C1170" t="s">
        <v>18</v>
      </c>
      <c r="D1170">
        <v>2</v>
      </c>
      <c r="E1170" t="s">
        <v>17</v>
      </c>
      <c r="F1170" t="s">
        <v>380</v>
      </c>
      <c r="G1170" t="s">
        <v>3201</v>
      </c>
      <c r="H1170" t="s">
        <v>604</v>
      </c>
    </row>
    <row r="1171" spans="1:8" x14ac:dyDescent="0.2">
      <c r="A1171" t="s">
        <v>2382</v>
      </c>
      <c r="B1171" t="s">
        <v>1101</v>
      </c>
      <c r="C1171" t="s">
        <v>19</v>
      </c>
      <c r="D1171">
        <v>2</v>
      </c>
      <c r="E1171" t="s">
        <v>17</v>
      </c>
      <c r="F1171" t="s">
        <v>380</v>
      </c>
      <c r="G1171" t="s">
        <v>3201</v>
      </c>
      <c r="H1171" t="s">
        <v>604</v>
      </c>
    </row>
    <row r="1172" spans="1:8" x14ac:dyDescent="0.2">
      <c r="A1172" t="s">
        <v>2383</v>
      </c>
      <c r="B1172" t="s">
        <v>1101</v>
      </c>
      <c r="C1172" t="s">
        <v>18</v>
      </c>
      <c r="D1172">
        <v>2</v>
      </c>
      <c r="E1172" t="s">
        <v>21</v>
      </c>
      <c r="F1172" t="s">
        <v>380</v>
      </c>
      <c r="G1172" t="s">
        <v>3201</v>
      </c>
      <c r="H1172" t="s">
        <v>604</v>
      </c>
    </row>
    <row r="1173" spans="1:8" x14ac:dyDescent="0.2">
      <c r="A1173" t="s">
        <v>2384</v>
      </c>
      <c r="B1173" t="s">
        <v>1101</v>
      </c>
      <c r="C1173" t="s">
        <v>18</v>
      </c>
      <c r="D1173">
        <v>2</v>
      </c>
      <c r="E1173" t="s">
        <v>17</v>
      </c>
      <c r="F1173" t="s">
        <v>380</v>
      </c>
      <c r="G1173" t="s">
        <v>3201</v>
      </c>
      <c r="H1173" t="s">
        <v>604</v>
      </c>
    </row>
    <row r="1174" spans="1:8" x14ac:dyDescent="0.2">
      <c r="A1174" t="s">
        <v>2385</v>
      </c>
      <c r="B1174" t="s">
        <v>1101</v>
      </c>
      <c r="C1174" t="s">
        <v>18</v>
      </c>
      <c r="D1174">
        <v>2</v>
      </c>
      <c r="E1174" t="s">
        <v>21</v>
      </c>
      <c r="F1174" t="s">
        <v>380</v>
      </c>
      <c r="G1174" t="s">
        <v>3201</v>
      </c>
      <c r="H1174" t="s">
        <v>604</v>
      </c>
    </row>
    <row r="1175" spans="1:8" x14ac:dyDescent="0.2">
      <c r="A1175" t="s">
        <v>2386</v>
      </c>
      <c r="B1175" t="s">
        <v>1109</v>
      </c>
      <c r="C1175" t="s">
        <v>18</v>
      </c>
      <c r="D1175">
        <v>2</v>
      </c>
      <c r="E1175" t="s">
        <v>17</v>
      </c>
      <c r="F1175" t="s">
        <v>380</v>
      </c>
      <c r="G1175" t="s">
        <v>3201</v>
      </c>
      <c r="H1175" t="s">
        <v>604</v>
      </c>
    </row>
    <row r="1176" spans="1:8" x14ac:dyDescent="0.2">
      <c r="A1176" t="s">
        <v>2387</v>
      </c>
      <c r="B1176" t="s">
        <v>1109</v>
      </c>
      <c r="C1176" t="s">
        <v>18</v>
      </c>
      <c r="D1176">
        <v>2</v>
      </c>
      <c r="E1176" t="s">
        <v>17</v>
      </c>
      <c r="F1176" t="s">
        <v>380</v>
      </c>
      <c r="G1176" t="s">
        <v>3201</v>
      </c>
      <c r="H1176" t="s">
        <v>604</v>
      </c>
    </row>
    <row r="1177" spans="1:8" x14ac:dyDescent="0.2">
      <c r="A1177" t="s">
        <v>2388</v>
      </c>
      <c r="B1177" t="s">
        <v>1109</v>
      </c>
      <c r="C1177" t="s">
        <v>18</v>
      </c>
      <c r="D1177">
        <v>2</v>
      </c>
      <c r="E1177" t="s">
        <v>17</v>
      </c>
      <c r="F1177" t="s">
        <v>380</v>
      </c>
      <c r="G1177" t="s">
        <v>3201</v>
      </c>
      <c r="H1177" t="s">
        <v>604</v>
      </c>
    </row>
    <row r="1178" spans="1:8" x14ac:dyDescent="0.2">
      <c r="A1178" t="s">
        <v>2389</v>
      </c>
      <c r="B1178" t="s">
        <v>1109</v>
      </c>
      <c r="C1178" t="s">
        <v>18</v>
      </c>
      <c r="D1178">
        <v>2</v>
      </c>
      <c r="E1178" t="s">
        <v>17</v>
      </c>
      <c r="F1178" t="s">
        <v>380</v>
      </c>
      <c r="G1178" t="s">
        <v>3201</v>
      </c>
      <c r="H1178" t="s">
        <v>604</v>
      </c>
    </row>
    <row r="1179" spans="1:8" x14ac:dyDescent="0.2">
      <c r="A1179" t="s">
        <v>2390</v>
      </c>
      <c r="B1179" t="s">
        <v>1109</v>
      </c>
      <c r="C1179" t="s">
        <v>18</v>
      </c>
      <c r="D1179">
        <v>2</v>
      </c>
      <c r="E1179" t="s">
        <v>17</v>
      </c>
      <c r="F1179" t="s">
        <v>380</v>
      </c>
      <c r="G1179" t="s">
        <v>3201</v>
      </c>
      <c r="H1179" t="s">
        <v>604</v>
      </c>
    </row>
    <row r="1180" spans="1:8" x14ac:dyDescent="0.2">
      <c r="A1180" t="s">
        <v>2391</v>
      </c>
      <c r="B1180" t="s">
        <v>1111</v>
      </c>
      <c r="C1180" t="s">
        <v>18</v>
      </c>
      <c r="D1180">
        <v>2</v>
      </c>
      <c r="E1180" t="s">
        <v>17</v>
      </c>
      <c r="F1180" t="s">
        <v>380</v>
      </c>
      <c r="G1180" t="s">
        <v>3201</v>
      </c>
      <c r="H1180" t="s">
        <v>604</v>
      </c>
    </row>
    <row r="1181" spans="1:8" x14ac:dyDescent="0.2">
      <c r="A1181" t="s">
        <v>2392</v>
      </c>
      <c r="B1181" t="s">
        <v>1111</v>
      </c>
      <c r="C1181" t="s">
        <v>19</v>
      </c>
      <c r="D1181">
        <v>2</v>
      </c>
      <c r="E1181" t="s">
        <v>17</v>
      </c>
      <c r="F1181" t="s">
        <v>380</v>
      </c>
      <c r="G1181" t="s">
        <v>3201</v>
      </c>
      <c r="H1181" t="s">
        <v>604</v>
      </c>
    </row>
    <row r="1182" spans="1:8" x14ac:dyDescent="0.2">
      <c r="A1182" t="s">
        <v>2393</v>
      </c>
      <c r="B1182" t="s">
        <v>1111</v>
      </c>
      <c r="C1182" t="s">
        <v>18</v>
      </c>
      <c r="D1182">
        <v>2</v>
      </c>
      <c r="E1182" t="s">
        <v>17</v>
      </c>
      <c r="F1182" t="s">
        <v>380</v>
      </c>
      <c r="G1182" t="s">
        <v>3201</v>
      </c>
      <c r="H1182" t="s">
        <v>604</v>
      </c>
    </row>
    <row r="1183" spans="1:8" x14ac:dyDescent="0.2">
      <c r="A1183" t="s">
        <v>2394</v>
      </c>
      <c r="B1183" t="s">
        <v>1111</v>
      </c>
      <c r="C1183" t="s">
        <v>18</v>
      </c>
      <c r="D1183" t="s">
        <v>16</v>
      </c>
      <c r="E1183" t="s">
        <v>20</v>
      </c>
      <c r="F1183" t="s">
        <v>380</v>
      </c>
      <c r="G1183" t="s">
        <v>3201</v>
      </c>
      <c r="H1183" t="s">
        <v>604</v>
      </c>
    </row>
    <row r="1184" spans="1:8" x14ac:dyDescent="0.2">
      <c r="A1184" t="s">
        <v>2395</v>
      </c>
      <c r="B1184" t="s">
        <v>1111</v>
      </c>
      <c r="C1184" t="s">
        <v>18</v>
      </c>
      <c r="D1184">
        <v>2</v>
      </c>
      <c r="E1184" t="s">
        <v>17</v>
      </c>
      <c r="F1184" t="s">
        <v>380</v>
      </c>
      <c r="G1184" t="s">
        <v>3201</v>
      </c>
      <c r="H1184" t="s">
        <v>604</v>
      </c>
    </row>
    <row r="1185" spans="1:8" x14ac:dyDescent="0.2">
      <c r="A1185" t="s">
        <v>2396</v>
      </c>
      <c r="B1185" t="s">
        <v>1113</v>
      </c>
      <c r="C1185" t="s">
        <v>18</v>
      </c>
      <c r="D1185">
        <v>2</v>
      </c>
      <c r="E1185" t="s">
        <v>17</v>
      </c>
      <c r="F1185" t="s">
        <v>380</v>
      </c>
      <c r="G1185" t="s">
        <v>3201</v>
      </c>
      <c r="H1185" t="s">
        <v>604</v>
      </c>
    </row>
    <row r="1186" spans="1:8" x14ac:dyDescent="0.2">
      <c r="A1186" t="s">
        <v>2397</v>
      </c>
      <c r="B1186" t="s">
        <v>1113</v>
      </c>
      <c r="C1186" t="s">
        <v>18</v>
      </c>
      <c r="D1186">
        <v>2</v>
      </c>
      <c r="E1186" t="s">
        <v>17</v>
      </c>
      <c r="F1186" t="s">
        <v>380</v>
      </c>
      <c r="G1186" t="s">
        <v>3201</v>
      </c>
      <c r="H1186" t="s">
        <v>604</v>
      </c>
    </row>
    <row r="1187" spans="1:8" x14ac:dyDescent="0.2">
      <c r="A1187" t="s">
        <v>2398</v>
      </c>
      <c r="B1187" t="s">
        <v>1113</v>
      </c>
      <c r="C1187" t="s">
        <v>18</v>
      </c>
      <c r="D1187">
        <v>2</v>
      </c>
      <c r="E1187" t="s">
        <v>17</v>
      </c>
      <c r="F1187" t="s">
        <v>380</v>
      </c>
      <c r="G1187" t="s">
        <v>3201</v>
      </c>
      <c r="H1187" t="s">
        <v>604</v>
      </c>
    </row>
    <row r="1188" spans="1:8" x14ac:dyDescent="0.2">
      <c r="A1188" t="s">
        <v>2399</v>
      </c>
      <c r="B1188" t="s">
        <v>1113</v>
      </c>
      <c r="C1188" t="s">
        <v>19</v>
      </c>
      <c r="D1188">
        <v>2</v>
      </c>
      <c r="E1188" t="s">
        <v>17</v>
      </c>
      <c r="F1188" t="s">
        <v>380</v>
      </c>
      <c r="G1188" t="s">
        <v>3201</v>
      </c>
      <c r="H1188" t="s">
        <v>604</v>
      </c>
    </row>
    <row r="1189" spans="1:8" x14ac:dyDescent="0.2">
      <c r="A1189" t="s">
        <v>2400</v>
      </c>
      <c r="B1189" t="s">
        <v>1113</v>
      </c>
      <c r="C1189" t="s">
        <v>19</v>
      </c>
      <c r="D1189">
        <v>2</v>
      </c>
      <c r="E1189" t="s">
        <v>21</v>
      </c>
      <c r="F1189" t="s">
        <v>380</v>
      </c>
      <c r="G1189" t="s">
        <v>3201</v>
      </c>
      <c r="H1189" t="s">
        <v>604</v>
      </c>
    </row>
    <row r="1190" spans="1:8" x14ac:dyDescent="0.2">
      <c r="A1190" t="s">
        <v>2401</v>
      </c>
      <c r="B1190" t="s">
        <v>1121</v>
      </c>
      <c r="C1190" t="s">
        <v>18</v>
      </c>
      <c r="D1190">
        <v>2</v>
      </c>
      <c r="E1190" t="s">
        <v>17</v>
      </c>
      <c r="F1190" t="s">
        <v>380</v>
      </c>
      <c r="G1190" t="s">
        <v>3201</v>
      </c>
      <c r="H1190" t="s">
        <v>604</v>
      </c>
    </row>
    <row r="1191" spans="1:8" x14ac:dyDescent="0.2">
      <c r="A1191" t="s">
        <v>2402</v>
      </c>
      <c r="B1191" t="s">
        <v>1121</v>
      </c>
      <c r="C1191" t="s">
        <v>18</v>
      </c>
      <c r="D1191">
        <v>2</v>
      </c>
      <c r="E1191" t="s">
        <v>17</v>
      </c>
      <c r="F1191" t="s">
        <v>380</v>
      </c>
      <c r="G1191" t="s">
        <v>3201</v>
      </c>
      <c r="H1191" t="s">
        <v>604</v>
      </c>
    </row>
    <row r="1192" spans="1:8" x14ac:dyDescent="0.2">
      <c r="A1192" t="s">
        <v>2403</v>
      </c>
      <c r="B1192" t="s">
        <v>1121</v>
      </c>
      <c r="C1192" t="s">
        <v>19</v>
      </c>
      <c r="D1192">
        <v>2</v>
      </c>
      <c r="E1192" t="s">
        <v>17</v>
      </c>
      <c r="F1192" t="s">
        <v>380</v>
      </c>
      <c r="G1192" t="s">
        <v>3201</v>
      </c>
      <c r="H1192" t="s">
        <v>604</v>
      </c>
    </row>
    <row r="1193" spans="1:8" x14ac:dyDescent="0.2">
      <c r="A1193" t="s">
        <v>2404</v>
      </c>
      <c r="B1193" t="s">
        <v>1121</v>
      </c>
      <c r="C1193" t="s">
        <v>18</v>
      </c>
      <c r="D1193">
        <v>2</v>
      </c>
      <c r="E1193" t="s">
        <v>17</v>
      </c>
      <c r="F1193" t="s">
        <v>380</v>
      </c>
      <c r="G1193" t="s">
        <v>3201</v>
      </c>
      <c r="H1193" t="s">
        <v>604</v>
      </c>
    </row>
    <row r="1194" spans="1:8" x14ac:dyDescent="0.2">
      <c r="A1194" t="s">
        <v>2405</v>
      </c>
      <c r="B1194" t="s">
        <v>1121</v>
      </c>
      <c r="C1194" t="s">
        <v>18</v>
      </c>
      <c r="D1194">
        <v>2</v>
      </c>
      <c r="E1194" t="s">
        <v>17</v>
      </c>
      <c r="F1194" t="s">
        <v>380</v>
      </c>
      <c r="G1194" t="s">
        <v>3201</v>
      </c>
      <c r="H1194" t="s">
        <v>604</v>
      </c>
    </row>
    <row r="1195" spans="1:8" x14ac:dyDescent="0.2">
      <c r="A1195" t="s">
        <v>2406</v>
      </c>
      <c r="B1195" t="s">
        <v>1123</v>
      </c>
      <c r="C1195" t="s">
        <v>18</v>
      </c>
      <c r="D1195">
        <v>2</v>
      </c>
      <c r="E1195" t="s">
        <v>17</v>
      </c>
      <c r="F1195" t="s">
        <v>381</v>
      </c>
      <c r="G1195" t="s">
        <v>3201</v>
      </c>
      <c r="H1195" t="s">
        <v>604</v>
      </c>
    </row>
    <row r="1196" spans="1:8" x14ac:dyDescent="0.2">
      <c r="A1196" t="s">
        <v>2407</v>
      </c>
      <c r="B1196" t="s">
        <v>1123</v>
      </c>
      <c r="C1196" t="s">
        <v>18</v>
      </c>
      <c r="D1196">
        <v>2</v>
      </c>
      <c r="E1196" t="s">
        <v>17</v>
      </c>
      <c r="F1196" t="s">
        <v>380</v>
      </c>
      <c r="G1196" t="s">
        <v>3201</v>
      </c>
      <c r="H1196" t="s">
        <v>604</v>
      </c>
    </row>
    <row r="1197" spans="1:8" x14ac:dyDescent="0.2">
      <c r="A1197" t="s">
        <v>2408</v>
      </c>
      <c r="B1197" t="s">
        <v>1123</v>
      </c>
      <c r="C1197" t="s">
        <v>18</v>
      </c>
      <c r="D1197">
        <v>2</v>
      </c>
      <c r="E1197" t="s">
        <v>17</v>
      </c>
      <c r="F1197" t="s">
        <v>380</v>
      </c>
      <c r="G1197" t="s">
        <v>3201</v>
      </c>
      <c r="H1197" t="s">
        <v>604</v>
      </c>
    </row>
    <row r="1198" spans="1:8" x14ac:dyDescent="0.2">
      <c r="A1198" t="s">
        <v>2409</v>
      </c>
      <c r="B1198" t="s">
        <v>1123</v>
      </c>
      <c r="C1198" t="s">
        <v>18</v>
      </c>
      <c r="D1198">
        <v>3</v>
      </c>
      <c r="E1198" t="s">
        <v>17</v>
      </c>
      <c r="F1198" t="s">
        <v>380</v>
      </c>
      <c r="G1198" t="s">
        <v>3201</v>
      </c>
      <c r="H1198" t="s">
        <v>604</v>
      </c>
    </row>
    <row r="1199" spans="1:8" x14ac:dyDescent="0.2">
      <c r="A1199" t="s">
        <v>2410</v>
      </c>
      <c r="B1199" t="s">
        <v>1123</v>
      </c>
      <c r="C1199" t="s">
        <v>18</v>
      </c>
      <c r="D1199">
        <v>2</v>
      </c>
      <c r="E1199" t="s">
        <v>17</v>
      </c>
      <c r="F1199" t="s">
        <v>380</v>
      </c>
      <c r="G1199" t="s">
        <v>3201</v>
      </c>
      <c r="H1199" t="s">
        <v>604</v>
      </c>
    </row>
    <row r="1200" spans="1:8" x14ac:dyDescent="0.2">
      <c r="A1200" t="s">
        <v>2411</v>
      </c>
      <c r="B1200" t="s">
        <v>1125</v>
      </c>
      <c r="C1200" t="s">
        <v>18</v>
      </c>
      <c r="D1200">
        <v>2</v>
      </c>
      <c r="E1200" t="s">
        <v>17</v>
      </c>
      <c r="F1200" t="s">
        <v>380</v>
      </c>
      <c r="G1200" t="s">
        <v>3201</v>
      </c>
      <c r="H1200" t="s">
        <v>604</v>
      </c>
    </row>
    <row r="1201" spans="1:8" x14ac:dyDescent="0.2">
      <c r="A1201" t="s">
        <v>2412</v>
      </c>
      <c r="B1201" t="s">
        <v>1125</v>
      </c>
      <c r="C1201" t="s">
        <v>18</v>
      </c>
      <c r="D1201">
        <v>2</v>
      </c>
      <c r="E1201" t="s">
        <v>17</v>
      </c>
      <c r="F1201" t="s">
        <v>380</v>
      </c>
      <c r="G1201" t="s">
        <v>3201</v>
      </c>
      <c r="H1201" t="s">
        <v>604</v>
      </c>
    </row>
    <row r="1202" spans="1:8" x14ac:dyDescent="0.2">
      <c r="A1202" t="s">
        <v>2413</v>
      </c>
      <c r="B1202" t="s">
        <v>1125</v>
      </c>
      <c r="C1202" t="s">
        <v>19</v>
      </c>
      <c r="D1202">
        <v>2</v>
      </c>
      <c r="E1202" t="s">
        <v>17</v>
      </c>
      <c r="F1202" t="s">
        <v>380</v>
      </c>
      <c r="G1202" t="s">
        <v>3201</v>
      </c>
      <c r="H1202" t="s">
        <v>604</v>
      </c>
    </row>
    <row r="1203" spans="1:8" x14ac:dyDescent="0.2">
      <c r="A1203" t="s">
        <v>2414</v>
      </c>
      <c r="B1203" t="s">
        <v>1125</v>
      </c>
      <c r="C1203" t="s">
        <v>18</v>
      </c>
      <c r="D1203">
        <v>2</v>
      </c>
      <c r="E1203" t="s">
        <v>17</v>
      </c>
      <c r="F1203" t="s">
        <v>380</v>
      </c>
      <c r="G1203" t="s">
        <v>3201</v>
      </c>
      <c r="H1203" t="s">
        <v>604</v>
      </c>
    </row>
    <row r="1204" spans="1:8" x14ac:dyDescent="0.2">
      <c r="A1204" t="s">
        <v>2415</v>
      </c>
      <c r="B1204" t="s">
        <v>1125</v>
      </c>
      <c r="C1204" t="s">
        <v>18</v>
      </c>
      <c r="D1204">
        <v>2</v>
      </c>
      <c r="E1204" t="s">
        <v>17</v>
      </c>
      <c r="F1204" t="s">
        <v>380</v>
      </c>
      <c r="G1204" t="s">
        <v>3201</v>
      </c>
      <c r="H1204" t="s">
        <v>604</v>
      </c>
    </row>
    <row r="1205" spans="1:8" x14ac:dyDescent="0.2">
      <c r="A1205" t="s">
        <v>2416</v>
      </c>
      <c r="B1205" t="s">
        <v>1127</v>
      </c>
      <c r="C1205" t="s">
        <v>18</v>
      </c>
      <c r="D1205">
        <v>2</v>
      </c>
      <c r="E1205" t="s">
        <v>17</v>
      </c>
      <c r="F1205" t="s">
        <v>380</v>
      </c>
      <c r="G1205" t="s">
        <v>3201</v>
      </c>
      <c r="H1205" t="s">
        <v>604</v>
      </c>
    </row>
    <row r="1206" spans="1:8" x14ac:dyDescent="0.2">
      <c r="A1206" t="s">
        <v>2417</v>
      </c>
      <c r="B1206" t="s">
        <v>1127</v>
      </c>
      <c r="C1206" t="s">
        <v>18</v>
      </c>
      <c r="D1206">
        <v>2</v>
      </c>
      <c r="E1206" t="s">
        <v>17</v>
      </c>
      <c r="F1206" t="s">
        <v>380</v>
      </c>
      <c r="G1206" t="s">
        <v>3201</v>
      </c>
      <c r="H1206" t="s">
        <v>604</v>
      </c>
    </row>
    <row r="1207" spans="1:8" x14ac:dyDescent="0.2">
      <c r="A1207" t="s">
        <v>2418</v>
      </c>
      <c r="B1207" t="s">
        <v>1127</v>
      </c>
      <c r="C1207" t="s">
        <v>18</v>
      </c>
      <c r="D1207">
        <v>2</v>
      </c>
      <c r="E1207" t="s">
        <v>17</v>
      </c>
      <c r="F1207" t="s">
        <v>381</v>
      </c>
      <c r="G1207" t="s">
        <v>3201</v>
      </c>
      <c r="H1207" t="s">
        <v>604</v>
      </c>
    </row>
    <row r="1208" spans="1:8" x14ac:dyDescent="0.2">
      <c r="A1208" t="s">
        <v>2419</v>
      </c>
      <c r="B1208" t="s">
        <v>1127</v>
      </c>
      <c r="C1208" t="s">
        <v>18</v>
      </c>
      <c r="D1208">
        <v>2</v>
      </c>
      <c r="E1208" t="s">
        <v>17</v>
      </c>
      <c r="F1208" t="s">
        <v>380</v>
      </c>
      <c r="G1208" t="s">
        <v>3201</v>
      </c>
      <c r="H1208" t="s">
        <v>604</v>
      </c>
    </row>
    <row r="1209" spans="1:8" x14ac:dyDescent="0.2">
      <c r="A1209" t="s">
        <v>2420</v>
      </c>
      <c r="B1209" t="s">
        <v>1127</v>
      </c>
      <c r="C1209" t="s">
        <v>18</v>
      </c>
      <c r="D1209">
        <v>2</v>
      </c>
      <c r="E1209" t="s">
        <v>17</v>
      </c>
      <c r="F1209" t="s">
        <v>380</v>
      </c>
      <c r="G1209" t="s">
        <v>3201</v>
      </c>
      <c r="H1209" t="s">
        <v>604</v>
      </c>
    </row>
    <row r="1210" spans="1:8" x14ac:dyDescent="0.2">
      <c r="A1210" t="s">
        <v>2421</v>
      </c>
      <c r="B1210" t="s">
        <v>1129</v>
      </c>
      <c r="C1210" t="s">
        <v>19</v>
      </c>
      <c r="D1210">
        <v>3</v>
      </c>
      <c r="E1210" t="s">
        <v>17</v>
      </c>
      <c r="F1210" t="s">
        <v>380</v>
      </c>
      <c r="G1210" t="s">
        <v>3201</v>
      </c>
      <c r="H1210" t="s">
        <v>604</v>
      </c>
    </row>
    <row r="1211" spans="1:8" x14ac:dyDescent="0.2">
      <c r="A1211" t="s">
        <v>2422</v>
      </c>
      <c r="B1211" t="s">
        <v>1129</v>
      </c>
      <c r="C1211" t="s">
        <v>18</v>
      </c>
      <c r="D1211">
        <v>2</v>
      </c>
      <c r="E1211" t="s">
        <v>17</v>
      </c>
      <c r="F1211" t="s">
        <v>380</v>
      </c>
      <c r="G1211" t="s">
        <v>3201</v>
      </c>
      <c r="H1211" t="s">
        <v>604</v>
      </c>
    </row>
    <row r="1212" spans="1:8" x14ac:dyDescent="0.2">
      <c r="A1212" t="s">
        <v>2423</v>
      </c>
      <c r="B1212" t="s">
        <v>1129</v>
      </c>
      <c r="C1212" t="s">
        <v>18</v>
      </c>
      <c r="D1212">
        <v>2</v>
      </c>
      <c r="E1212" t="s">
        <v>17</v>
      </c>
      <c r="F1212" t="s">
        <v>380</v>
      </c>
      <c r="G1212" t="s">
        <v>3201</v>
      </c>
      <c r="H1212" t="s">
        <v>604</v>
      </c>
    </row>
    <row r="1213" spans="1:8" x14ac:dyDescent="0.2">
      <c r="A1213" t="s">
        <v>2424</v>
      </c>
      <c r="B1213" t="s">
        <v>1129</v>
      </c>
      <c r="C1213" t="s">
        <v>18</v>
      </c>
      <c r="D1213">
        <v>2</v>
      </c>
      <c r="E1213" t="s">
        <v>17</v>
      </c>
      <c r="F1213" t="s">
        <v>380</v>
      </c>
      <c r="G1213" t="s">
        <v>3201</v>
      </c>
      <c r="H1213" t="s">
        <v>604</v>
      </c>
    </row>
    <row r="1214" spans="1:8" x14ac:dyDescent="0.2">
      <c r="A1214" t="s">
        <v>2425</v>
      </c>
      <c r="B1214" t="s">
        <v>1129</v>
      </c>
      <c r="C1214" t="s">
        <v>19</v>
      </c>
      <c r="D1214">
        <v>2</v>
      </c>
      <c r="E1214" t="s">
        <v>17</v>
      </c>
      <c r="F1214" t="s">
        <v>380</v>
      </c>
      <c r="G1214" t="s">
        <v>3201</v>
      </c>
      <c r="H1214" t="s">
        <v>604</v>
      </c>
    </row>
    <row r="1215" spans="1:8" x14ac:dyDescent="0.2">
      <c r="A1215" t="s">
        <v>2426</v>
      </c>
      <c r="B1215" t="s">
        <v>1131</v>
      </c>
      <c r="C1215" t="s">
        <v>18</v>
      </c>
      <c r="D1215">
        <v>2</v>
      </c>
      <c r="E1215" t="s">
        <v>17</v>
      </c>
      <c r="F1215" t="s">
        <v>380</v>
      </c>
      <c r="G1215" t="s">
        <v>3201</v>
      </c>
      <c r="H1215" t="s">
        <v>604</v>
      </c>
    </row>
    <row r="1216" spans="1:8" x14ac:dyDescent="0.2">
      <c r="A1216" t="s">
        <v>2427</v>
      </c>
      <c r="B1216" t="s">
        <v>1131</v>
      </c>
      <c r="C1216" t="s">
        <v>18</v>
      </c>
      <c r="D1216">
        <v>2</v>
      </c>
      <c r="E1216" t="s">
        <v>17</v>
      </c>
      <c r="F1216" t="s">
        <v>380</v>
      </c>
      <c r="G1216" t="s">
        <v>3201</v>
      </c>
      <c r="H1216" t="s">
        <v>604</v>
      </c>
    </row>
    <row r="1217" spans="1:8" x14ac:dyDescent="0.2">
      <c r="A1217" t="s">
        <v>2428</v>
      </c>
      <c r="B1217" t="s">
        <v>1131</v>
      </c>
      <c r="C1217" t="s">
        <v>18</v>
      </c>
      <c r="D1217">
        <v>2</v>
      </c>
      <c r="E1217" t="s">
        <v>17</v>
      </c>
      <c r="F1217" t="s">
        <v>380</v>
      </c>
      <c r="G1217" t="s">
        <v>3201</v>
      </c>
      <c r="H1217" t="s">
        <v>604</v>
      </c>
    </row>
    <row r="1218" spans="1:8" x14ac:dyDescent="0.2">
      <c r="A1218" t="s">
        <v>2429</v>
      </c>
      <c r="B1218" t="s">
        <v>1131</v>
      </c>
      <c r="C1218" t="s">
        <v>3202</v>
      </c>
      <c r="D1218" t="s">
        <v>16</v>
      </c>
      <c r="E1218" t="s">
        <v>17</v>
      </c>
      <c r="F1218" t="s">
        <v>380</v>
      </c>
      <c r="G1218" t="s">
        <v>3201</v>
      </c>
      <c r="H1218" t="s">
        <v>604</v>
      </c>
    </row>
    <row r="1219" spans="1:8" x14ac:dyDescent="0.2">
      <c r="A1219" t="s">
        <v>2430</v>
      </c>
      <c r="B1219" t="s">
        <v>1131</v>
      </c>
      <c r="C1219" t="s">
        <v>3202</v>
      </c>
      <c r="D1219" t="s">
        <v>16</v>
      </c>
      <c r="E1219" t="s">
        <v>17</v>
      </c>
      <c r="F1219" t="s">
        <v>380</v>
      </c>
      <c r="G1219" t="s">
        <v>3201</v>
      </c>
      <c r="H1219" t="s">
        <v>604</v>
      </c>
    </row>
    <row r="1220" spans="1:8" x14ac:dyDescent="0.2">
      <c r="A1220" t="s">
        <v>2431</v>
      </c>
      <c r="B1220" t="s">
        <v>1145</v>
      </c>
      <c r="C1220" t="s">
        <v>18</v>
      </c>
      <c r="D1220">
        <v>2</v>
      </c>
      <c r="E1220" t="s">
        <v>21</v>
      </c>
      <c r="F1220" t="s">
        <v>380</v>
      </c>
      <c r="G1220" t="s">
        <v>3201</v>
      </c>
      <c r="H1220" t="s">
        <v>604</v>
      </c>
    </row>
    <row r="1221" spans="1:8" x14ac:dyDescent="0.2">
      <c r="A1221" t="s">
        <v>2432</v>
      </c>
      <c r="B1221" t="s">
        <v>1145</v>
      </c>
      <c r="C1221" t="s">
        <v>18</v>
      </c>
      <c r="D1221">
        <v>2</v>
      </c>
      <c r="E1221" t="s">
        <v>21</v>
      </c>
      <c r="F1221" t="s">
        <v>381</v>
      </c>
      <c r="G1221" t="s">
        <v>3201</v>
      </c>
      <c r="H1221" t="s">
        <v>604</v>
      </c>
    </row>
    <row r="1222" spans="1:8" x14ac:dyDescent="0.2">
      <c r="A1222" t="s">
        <v>2433</v>
      </c>
      <c r="B1222" t="s">
        <v>1145</v>
      </c>
      <c r="C1222" t="s">
        <v>18</v>
      </c>
      <c r="D1222">
        <v>2</v>
      </c>
      <c r="E1222" t="s">
        <v>17</v>
      </c>
      <c r="F1222" t="s">
        <v>380</v>
      </c>
      <c r="G1222" t="s">
        <v>3201</v>
      </c>
      <c r="H1222" t="s">
        <v>604</v>
      </c>
    </row>
    <row r="1223" spans="1:8" x14ac:dyDescent="0.2">
      <c r="A1223" t="s">
        <v>2434</v>
      </c>
      <c r="B1223" t="s">
        <v>1145</v>
      </c>
      <c r="C1223" t="s">
        <v>19</v>
      </c>
      <c r="D1223">
        <v>2</v>
      </c>
      <c r="E1223" t="s">
        <v>17</v>
      </c>
      <c r="F1223" t="s">
        <v>380</v>
      </c>
      <c r="G1223" t="s">
        <v>3201</v>
      </c>
      <c r="H1223" t="s">
        <v>604</v>
      </c>
    </row>
    <row r="1224" spans="1:8" x14ac:dyDescent="0.2">
      <c r="A1224" t="s">
        <v>2435</v>
      </c>
      <c r="B1224" t="s">
        <v>1145</v>
      </c>
      <c r="C1224" t="s">
        <v>18</v>
      </c>
      <c r="D1224">
        <v>2</v>
      </c>
      <c r="E1224" t="s">
        <v>17</v>
      </c>
      <c r="F1224" t="s">
        <v>380</v>
      </c>
      <c r="G1224" t="s">
        <v>3201</v>
      </c>
      <c r="H1224" t="s">
        <v>604</v>
      </c>
    </row>
    <row r="1225" spans="1:8" x14ac:dyDescent="0.2">
      <c r="A1225" t="s">
        <v>2436</v>
      </c>
      <c r="B1225" t="s">
        <v>1147</v>
      </c>
      <c r="C1225" t="s">
        <v>18</v>
      </c>
      <c r="D1225">
        <v>3</v>
      </c>
      <c r="E1225" t="s">
        <v>17</v>
      </c>
      <c r="F1225" t="s">
        <v>380</v>
      </c>
      <c r="G1225" t="s">
        <v>3201</v>
      </c>
      <c r="H1225" t="s">
        <v>604</v>
      </c>
    </row>
    <row r="1226" spans="1:8" x14ac:dyDescent="0.2">
      <c r="A1226" t="s">
        <v>2437</v>
      </c>
      <c r="B1226" t="s">
        <v>1147</v>
      </c>
      <c r="C1226" t="s">
        <v>19</v>
      </c>
      <c r="D1226">
        <v>2</v>
      </c>
      <c r="E1226" t="s">
        <v>17</v>
      </c>
      <c r="F1226" t="s">
        <v>380</v>
      </c>
      <c r="G1226" t="s">
        <v>3201</v>
      </c>
      <c r="H1226" t="s">
        <v>604</v>
      </c>
    </row>
    <row r="1227" spans="1:8" x14ac:dyDescent="0.2">
      <c r="A1227" t="s">
        <v>2438</v>
      </c>
      <c r="B1227" t="s">
        <v>1147</v>
      </c>
      <c r="C1227" t="s">
        <v>18</v>
      </c>
      <c r="D1227">
        <v>3</v>
      </c>
      <c r="E1227" t="s">
        <v>17</v>
      </c>
      <c r="F1227" t="s">
        <v>380</v>
      </c>
      <c r="G1227" t="s">
        <v>3201</v>
      </c>
      <c r="H1227" t="s">
        <v>604</v>
      </c>
    </row>
    <row r="1228" spans="1:8" x14ac:dyDescent="0.2">
      <c r="A1228" t="s">
        <v>2439</v>
      </c>
      <c r="B1228" t="s">
        <v>1147</v>
      </c>
      <c r="C1228" t="s">
        <v>18</v>
      </c>
      <c r="D1228">
        <v>2</v>
      </c>
      <c r="E1228" t="s">
        <v>17</v>
      </c>
      <c r="F1228" t="s">
        <v>380</v>
      </c>
      <c r="G1228" t="s">
        <v>3201</v>
      </c>
      <c r="H1228" t="s">
        <v>604</v>
      </c>
    </row>
    <row r="1229" spans="1:8" x14ac:dyDescent="0.2">
      <c r="A1229" t="s">
        <v>2440</v>
      </c>
      <c r="B1229" t="s">
        <v>1147</v>
      </c>
      <c r="C1229" t="s">
        <v>18</v>
      </c>
      <c r="D1229">
        <v>2</v>
      </c>
      <c r="E1229" t="s">
        <v>21</v>
      </c>
      <c r="F1229" t="s">
        <v>380</v>
      </c>
      <c r="G1229" t="s">
        <v>3201</v>
      </c>
      <c r="H1229" t="s">
        <v>604</v>
      </c>
    </row>
    <row r="1230" spans="1:8" x14ac:dyDescent="0.2">
      <c r="A1230" t="s">
        <v>2441</v>
      </c>
      <c r="B1230" t="s">
        <v>1149</v>
      </c>
      <c r="C1230" t="s">
        <v>18</v>
      </c>
      <c r="D1230">
        <v>2</v>
      </c>
      <c r="E1230" t="s">
        <v>17</v>
      </c>
      <c r="F1230" t="s">
        <v>380</v>
      </c>
      <c r="G1230" t="s">
        <v>3201</v>
      </c>
      <c r="H1230" t="s">
        <v>604</v>
      </c>
    </row>
    <row r="1231" spans="1:8" x14ac:dyDescent="0.2">
      <c r="A1231" t="s">
        <v>2442</v>
      </c>
      <c r="B1231" t="s">
        <v>1149</v>
      </c>
      <c r="C1231" t="s">
        <v>18</v>
      </c>
      <c r="D1231">
        <v>3</v>
      </c>
      <c r="E1231" t="s">
        <v>17</v>
      </c>
      <c r="F1231" t="s">
        <v>380</v>
      </c>
      <c r="G1231" t="s">
        <v>3201</v>
      </c>
      <c r="H1231" t="s">
        <v>604</v>
      </c>
    </row>
    <row r="1232" spans="1:8" x14ac:dyDescent="0.2">
      <c r="A1232" t="s">
        <v>2443</v>
      </c>
      <c r="B1232" t="s">
        <v>1149</v>
      </c>
      <c r="C1232" t="s">
        <v>19</v>
      </c>
      <c r="D1232">
        <v>2</v>
      </c>
      <c r="E1232" t="s">
        <v>17</v>
      </c>
      <c r="F1232" t="s">
        <v>380</v>
      </c>
      <c r="G1232" t="s">
        <v>3201</v>
      </c>
      <c r="H1232" t="s">
        <v>604</v>
      </c>
    </row>
    <row r="1233" spans="1:8" x14ac:dyDescent="0.2">
      <c r="A1233" t="s">
        <v>2444</v>
      </c>
      <c r="B1233" t="s">
        <v>1149</v>
      </c>
      <c r="C1233" t="s">
        <v>18</v>
      </c>
      <c r="D1233">
        <v>2</v>
      </c>
      <c r="E1233" t="s">
        <v>17</v>
      </c>
      <c r="F1233" t="s">
        <v>380</v>
      </c>
      <c r="G1233" t="s">
        <v>3201</v>
      </c>
      <c r="H1233" t="s">
        <v>604</v>
      </c>
    </row>
    <row r="1234" spans="1:8" x14ac:dyDescent="0.2">
      <c r="A1234" t="s">
        <v>2445</v>
      </c>
      <c r="B1234" t="s">
        <v>1149</v>
      </c>
      <c r="C1234" t="s">
        <v>18</v>
      </c>
      <c r="D1234">
        <v>3</v>
      </c>
      <c r="E1234" t="s">
        <v>17</v>
      </c>
      <c r="F1234" t="s">
        <v>380</v>
      </c>
      <c r="G1234" t="s">
        <v>3201</v>
      </c>
      <c r="H1234" t="s">
        <v>604</v>
      </c>
    </row>
    <row r="1235" spans="1:8" x14ac:dyDescent="0.2">
      <c r="A1235" t="s">
        <v>2446</v>
      </c>
      <c r="B1235" t="s">
        <v>1157</v>
      </c>
      <c r="C1235" t="s">
        <v>18</v>
      </c>
      <c r="D1235">
        <v>2</v>
      </c>
      <c r="E1235" t="s">
        <v>17</v>
      </c>
      <c r="F1235" t="s">
        <v>380</v>
      </c>
      <c r="G1235" t="s">
        <v>3201</v>
      </c>
      <c r="H1235" t="s">
        <v>604</v>
      </c>
    </row>
    <row r="1236" spans="1:8" x14ac:dyDescent="0.2">
      <c r="A1236" t="s">
        <v>2447</v>
      </c>
      <c r="B1236" t="s">
        <v>1157</v>
      </c>
      <c r="C1236" t="s">
        <v>18</v>
      </c>
      <c r="D1236">
        <v>2</v>
      </c>
      <c r="E1236" t="s">
        <v>17</v>
      </c>
      <c r="F1236" t="s">
        <v>380</v>
      </c>
      <c r="G1236" t="s">
        <v>3201</v>
      </c>
      <c r="H1236" t="s">
        <v>604</v>
      </c>
    </row>
    <row r="1237" spans="1:8" x14ac:dyDescent="0.2">
      <c r="A1237" t="s">
        <v>2448</v>
      </c>
      <c r="B1237" t="s">
        <v>1157</v>
      </c>
      <c r="C1237" t="s">
        <v>18</v>
      </c>
      <c r="D1237">
        <v>2</v>
      </c>
      <c r="E1237" t="s">
        <v>17</v>
      </c>
      <c r="F1237" t="s">
        <v>380</v>
      </c>
      <c r="G1237" t="s">
        <v>3201</v>
      </c>
      <c r="H1237" t="s">
        <v>604</v>
      </c>
    </row>
    <row r="1238" spans="1:8" x14ac:dyDescent="0.2">
      <c r="A1238" t="s">
        <v>2449</v>
      </c>
      <c r="B1238" t="s">
        <v>1157</v>
      </c>
      <c r="C1238" t="s">
        <v>18</v>
      </c>
      <c r="D1238">
        <v>3</v>
      </c>
      <c r="E1238" t="s">
        <v>17</v>
      </c>
      <c r="F1238" t="s">
        <v>380</v>
      </c>
      <c r="G1238" t="s">
        <v>3201</v>
      </c>
      <c r="H1238" t="s">
        <v>604</v>
      </c>
    </row>
    <row r="1239" spans="1:8" x14ac:dyDescent="0.2">
      <c r="A1239" t="s">
        <v>2450</v>
      </c>
      <c r="B1239" t="s">
        <v>1157</v>
      </c>
      <c r="C1239" t="s">
        <v>19</v>
      </c>
      <c r="D1239">
        <v>2</v>
      </c>
      <c r="E1239" t="s">
        <v>17</v>
      </c>
      <c r="F1239" t="s">
        <v>380</v>
      </c>
      <c r="G1239" t="s">
        <v>3201</v>
      </c>
      <c r="H1239" t="s">
        <v>604</v>
      </c>
    </row>
    <row r="1240" spans="1:8" x14ac:dyDescent="0.2">
      <c r="A1240" t="s">
        <v>2451</v>
      </c>
      <c r="B1240" t="s">
        <v>1159</v>
      </c>
      <c r="C1240" t="s">
        <v>18</v>
      </c>
      <c r="D1240">
        <v>3</v>
      </c>
      <c r="E1240" t="s">
        <v>17</v>
      </c>
      <c r="F1240" t="s">
        <v>380</v>
      </c>
      <c r="G1240" t="s">
        <v>3201</v>
      </c>
      <c r="H1240" t="s">
        <v>604</v>
      </c>
    </row>
    <row r="1241" spans="1:8" x14ac:dyDescent="0.2">
      <c r="A1241" t="s">
        <v>2452</v>
      </c>
      <c r="B1241" t="s">
        <v>1159</v>
      </c>
      <c r="C1241" t="s">
        <v>18</v>
      </c>
      <c r="D1241">
        <v>2</v>
      </c>
      <c r="E1241" t="s">
        <v>17</v>
      </c>
      <c r="F1241" t="s">
        <v>380</v>
      </c>
      <c r="G1241" t="s">
        <v>3201</v>
      </c>
      <c r="H1241" t="s">
        <v>604</v>
      </c>
    </row>
    <row r="1242" spans="1:8" x14ac:dyDescent="0.2">
      <c r="A1242" t="s">
        <v>2453</v>
      </c>
      <c r="B1242" t="s">
        <v>1159</v>
      </c>
      <c r="C1242" t="s">
        <v>16</v>
      </c>
      <c r="D1242">
        <v>4</v>
      </c>
      <c r="E1242" t="s">
        <v>17</v>
      </c>
      <c r="F1242" t="s">
        <v>380</v>
      </c>
      <c r="G1242" t="s">
        <v>3201</v>
      </c>
      <c r="H1242" t="s">
        <v>604</v>
      </c>
    </row>
    <row r="1243" spans="1:8" x14ac:dyDescent="0.2">
      <c r="A1243" t="s">
        <v>2454</v>
      </c>
      <c r="B1243" t="s">
        <v>1159</v>
      </c>
      <c r="C1243" t="s">
        <v>18</v>
      </c>
      <c r="D1243">
        <v>3</v>
      </c>
      <c r="E1243" t="s">
        <v>17</v>
      </c>
      <c r="F1243" t="s">
        <v>380</v>
      </c>
      <c r="G1243" t="s">
        <v>3201</v>
      </c>
      <c r="H1243" t="s">
        <v>604</v>
      </c>
    </row>
    <row r="1244" spans="1:8" x14ac:dyDescent="0.2">
      <c r="A1244" t="s">
        <v>2455</v>
      </c>
      <c r="B1244" t="s">
        <v>1159</v>
      </c>
      <c r="C1244" t="s">
        <v>19</v>
      </c>
      <c r="D1244">
        <v>2</v>
      </c>
      <c r="E1244" t="s">
        <v>17</v>
      </c>
      <c r="F1244" t="s">
        <v>380</v>
      </c>
      <c r="G1244" t="s">
        <v>3201</v>
      </c>
      <c r="H1244" t="s">
        <v>604</v>
      </c>
    </row>
    <row r="1245" spans="1:8" x14ac:dyDescent="0.2">
      <c r="A1245" t="s">
        <v>2456</v>
      </c>
      <c r="B1245" t="s">
        <v>1161</v>
      </c>
      <c r="C1245" t="s">
        <v>16</v>
      </c>
      <c r="D1245">
        <v>4</v>
      </c>
      <c r="E1245" t="s">
        <v>17</v>
      </c>
      <c r="F1245" t="s">
        <v>380</v>
      </c>
      <c r="G1245" t="s">
        <v>3201</v>
      </c>
      <c r="H1245" t="s">
        <v>604</v>
      </c>
    </row>
    <row r="1246" spans="1:8" x14ac:dyDescent="0.2">
      <c r="A1246" t="s">
        <v>2457</v>
      </c>
      <c r="B1246" t="s">
        <v>1161</v>
      </c>
      <c r="C1246" t="s">
        <v>18</v>
      </c>
      <c r="D1246">
        <v>3</v>
      </c>
      <c r="E1246" t="s">
        <v>17</v>
      </c>
      <c r="F1246" t="s">
        <v>380</v>
      </c>
      <c r="G1246" t="s">
        <v>3201</v>
      </c>
      <c r="H1246" t="s">
        <v>604</v>
      </c>
    </row>
    <row r="1247" spans="1:8" x14ac:dyDescent="0.2">
      <c r="A1247" t="s">
        <v>2458</v>
      </c>
      <c r="B1247" t="s">
        <v>1161</v>
      </c>
      <c r="C1247" t="s">
        <v>18</v>
      </c>
      <c r="D1247">
        <v>2</v>
      </c>
      <c r="E1247" t="s">
        <v>17</v>
      </c>
      <c r="F1247" t="s">
        <v>380</v>
      </c>
      <c r="G1247" t="s">
        <v>3201</v>
      </c>
      <c r="H1247" t="s">
        <v>604</v>
      </c>
    </row>
    <row r="1248" spans="1:8" x14ac:dyDescent="0.2">
      <c r="A1248" t="s">
        <v>2459</v>
      </c>
      <c r="B1248" t="s">
        <v>1161</v>
      </c>
      <c r="C1248" t="s">
        <v>19</v>
      </c>
      <c r="D1248">
        <v>2</v>
      </c>
      <c r="E1248" t="s">
        <v>17</v>
      </c>
      <c r="F1248" t="s">
        <v>380</v>
      </c>
      <c r="G1248" t="s">
        <v>3201</v>
      </c>
      <c r="H1248" t="s">
        <v>604</v>
      </c>
    </row>
    <row r="1249" spans="1:8" x14ac:dyDescent="0.2">
      <c r="A1249" t="s">
        <v>2460</v>
      </c>
      <c r="B1249" t="s">
        <v>1161</v>
      </c>
      <c r="C1249" t="s">
        <v>18</v>
      </c>
      <c r="D1249">
        <v>3</v>
      </c>
      <c r="E1249" t="s">
        <v>17</v>
      </c>
      <c r="F1249" t="s">
        <v>380</v>
      </c>
      <c r="G1249" t="s">
        <v>3201</v>
      </c>
      <c r="H1249" t="s">
        <v>604</v>
      </c>
    </row>
    <row r="1250" spans="1:8" x14ac:dyDescent="0.2">
      <c r="A1250" t="s">
        <v>2461</v>
      </c>
      <c r="B1250" t="s">
        <v>1169</v>
      </c>
      <c r="C1250" t="s">
        <v>19</v>
      </c>
      <c r="D1250">
        <v>3</v>
      </c>
      <c r="E1250" t="s">
        <v>17</v>
      </c>
      <c r="F1250" t="s">
        <v>380</v>
      </c>
      <c r="G1250" t="s">
        <v>3201</v>
      </c>
      <c r="H1250" t="s">
        <v>604</v>
      </c>
    </row>
    <row r="1251" spans="1:8" x14ac:dyDescent="0.2">
      <c r="A1251" t="s">
        <v>2462</v>
      </c>
      <c r="B1251" t="s">
        <v>1169</v>
      </c>
      <c r="C1251" t="s">
        <v>18</v>
      </c>
      <c r="D1251">
        <v>1</v>
      </c>
      <c r="E1251" t="s">
        <v>17</v>
      </c>
      <c r="F1251" t="s">
        <v>380</v>
      </c>
      <c r="G1251" t="s">
        <v>3201</v>
      </c>
      <c r="H1251" t="s">
        <v>604</v>
      </c>
    </row>
    <row r="1252" spans="1:8" x14ac:dyDescent="0.2">
      <c r="A1252" t="s">
        <v>2463</v>
      </c>
      <c r="B1252" t="s">
        <v>1169</v>
      </c>
      <c r="C1252" t="s">
        <v>18</v>
      </c>
      <c r="D1252">
        <v>2</v>
      </c>
      <c r="E1252" t="s">
        <v>17</v>
      </c>
      <c r="F1252" t="s">
        <v>380</v>
      </c>
      <c r="G1252" t="s">
        <v>3201</v>
      </c>
      <c r="H1252" t="s">
        <v>604</v>
      </c>
    </row>
    <row r="1253" spans="1:8" x14ac:dyDescent="0.2">
      <c r="A1253" t="s">
        <v>2464</v>
      </c>
      <c r="B1253" t="s">
        <v>1169</v>
      </c>
      <c r="C1253" t="s">
        <v>18</v>
      </c>
      <c r="D1253">
        <v>3</v>
      </c>
      <c r="E1253" t="s">
        <v>17</v>
      </c>
      <c r="F1253" t="s">
        <v>380</v>
      </c>
      <c r="G1253" t="s">
        <v>3201</v>
      </c>
      <c r="H1253" t="s">
        <v>604</v>
      </c>
    </row>
    <row r="1254" spans="1:8" x14ac:dyDescent="0.2">
      <c r="A1254" t="s">
        <v>2465</v>
      </c>
      <c r="B1254" t="s">
        <v>1169</v>
      </c>
      <c r="C1254" t="s">
        <v>16</v>
      </c>
      <c r="D1254">
        <v>4</v>
      </c>
      <c r="E1254" t="s">
        <v>17</v>
      </c>
      <c r="F1254" t="s">
        <v>380</v>
      </c>
      <c r="G1254" t="s">
        <v>3201</v>
      </c>
      <c r="H1254" t="s">
        <v>604</v>
      </c>
    </row>
    <row r="1255" spans="1:8" x14ac:dyDescent="0.2">
      <c r="A1255" t="s">
        <v>2466</v>
      </c>
      <c r="B1255" t="s">
        <v>1171</v>
      </c>
      <c r="C1255" t="s">
        <v>16</v>
      </c>
      <c r="D1255">
        <v>4</v>
      </c>
      <c r="E1255" t="s">
        <v>17</v>
      </c>
      <c r="F1255" t="s">
        <v>380</v>
      </c>
      <c r="G1255" t="s">
        <v>3201</v>
      </c>
      <c r="H1255" t="s">
        <v>604</v>
      </c>
    </row>
    <row r="1256" spans="1:8" x14ac:dyDescent="0.2">
      <c r="A1256" t="s">
        <v>2467</v>
      </c>
      <c r="B1256" t="s">
        <v>1171</v>
      </c>
      <c r="C1256" t="s">
        <v>19</v>
      </c>
      <c r="D1256">
        <v>3</v>
      </c>
      <c r="E1256" t="s">
        <v>17</v>
      </c>
      <c r="F1256" t="s">
        <v>381</v>
      </c>
      <c r="G1256" t="s">
        <v>3201</v>
      </c>
      <c r="H1256" t="s">
        <v>604</v>
      </c>
    </row>
    <row r="1257" spans="1:8" x14ac:dyDescent="0.2">
      <c r="A1257" t="s">
        <v>2468</v>
      </c>
      <c r="B1257" t="s">
        <v>1171</v>
      </c>
      <c r="C1257" t="s">
        <v>19</v>
      </c>
      <c r="D1257">
        <v>2</v>
      </c>
      <c r="E1257" t="s">
        <v>17</v>
      </c>
      <c r="F1257" t="s">
        <v>380</v>
      </c>
      <c r="G1257" t="s">
        <v>3201</v>
      </c>
      <c r="H1257" t="s">
        <v>604</v>
      </c>
    </row>
    <row r="1258" spans="1:8" x14ac:dyDescent="0.2">
      <c r="A1258" t="s">
        <v>2469</v>
      </c>
      <c r="B1258" t="s">
        <v>1171</v>
      </c>
      <c r="C1258" t="s">
        <v>16</v>
      </c>
      <c r="D1258">
        <v>4</v>
      </c>
      <c r="E1258" t="s">
        <v>17</v>
      </c>
      <c r="F1258" t="s">
        <v>380</v>
      </c>
      <c r="G1258" t="s">
        <v>3201</v>
      </c>
      <c r="H1258" t="s">
        <v>604</v>
      </c>
    </row>
    <row r="1259" spans="1:8" x14ac:dyDescent="0.2">
      <c r="A1259" t="s">
        <v>2470</v>
      </c>
      <c r="B1259" t="s">
        <v>1171</v>
      </c>
      <c r="C1259" t="s">
        <v>16</v>
      </c>
      <c r="D1259">
        <v>4</v>
      </c>
      <c r="E1259" t="s">
        <v>17</v>
      </c>
      <c r="F1259" t="s">
        <v>380</v>
      </c>
      <c r="G1259" t="s">
        <v>3201</v>
      </c>
      <c r="H1259" t="s">
        <v>604</v>
      </c>
    </row>
    <row r="1260" spans="1:8" x14ac:dyDescent="0.2">
      <c r="A1260" t="s">
        <v>2471</v>
      </c>
      <c r="B1260" t="s">
        <v>1173</v>
      </c>
      <c r="C1260" t="s">
        <v>18</v>
      </c>
      <c r="D1260">
        <v>3</v>
      </c>
      <c r="E1260" t="s">
        <v>17</v>
      </c>
      <c r="F1260" t="s">
        <v>380</v>
      </c>
      <c r="G1260" t="s">
        <v>3201</v>
      </c>
      <c r="H1260" t="s">
        <v>604</v>
      </c>
    </row>
    <row r="1261" spans="1:8" x14ac:dyDescent="0.2">
      <c r="A1261" t="s">
        <v>2472</v>
      </c>
      <c r="B1261" t="s">
        <v>1173</v>
      </c>
      <c r="C1261" t="s">
        <v>16</v>
      </c>
      <c r="D1261">
        <v>4</v>
      </c>
      <c r="E1261" t="s">
        <v>17</v>
      </c>
      <c r="F1261" t="s">
        <v>380</v>
      </c>
      <c r="G1261" t="s">
        <v>3201</v>
      </c>
      <c r="H1261" t="s">
        <v>604</v>
      </c>
    </row>
    <row r="1262" spans="1:8" x14ac:dyDescent="0.2">
      <c r="A1262" t="s">
        <v>2473</v>
      </c>
      <c r="B1262" t="s">
        <v>1173</v>
      </c>
      <c r="C1262" t="s">
        <v>16</v>
      </c>
      <c r="D1262">
        <v>4</v>
      </c>
      <c r="E1262" t="s">
        <v>17</v>
      </c>
      <c r="F1262" t="s">
        <v>380</v>
      </c>
      <c r="G1262" t="s">
        <v>3201</v>
      </c>
      <c r="H1262" t="s">
        <v>604</v>
      </c>
    </row>
    <row r="1263" spans="1:8" x14ac:dyDescent="0.2">
      <c r="A1263" t="s">
        <v>2474</v>
      </c>
      <c r="B1263" t="s">
        <v>1173</v>
      </c>
      <c r="C1263" t="s">
        <v>18</v>
      </c>
      <c r="D1263">
        <v>2</v>
      </c>
      <c r="E1263" t="s">
        <v>17</v>
      </c>
      <c r="F1263" t="s">
        <v>380</v>
      </c>
      <c r="G1263" t="s">
        <v>3201</v>
      </c>
      <c r="H1263" t="s">
        <v>604</v>
      </c>
    </row>
    <row r="1264" spans="1:8" x14ac:dyDescent="0.2">
      <c r="A1264" t="s">
        <v>2475</v>
      </c>
      <c r="B1264" t="s">
        <v>1173</v>
      </c>
      <c r="C1264" t="s">
        <v>19</v>
      </c>
      <c r="D1264">
        <v>2</v>
      </c>
      <c r="E1264" t="s">
        <v>17</v>
      </c>
      <c r="F1264" t="s">
        <v>380</v>
      </c>
      <c r="G1264" t="s">
        <v>3201</v>
      </c>
      <c r="H1264" t="s">
        <v>604</v>
      </c>
    </row>
    <row r="1265" spans="1:8" x14ac:dyDescent="0.2">
      <c r="A1265" t="s">
        <v>2476</v>
      </c>
      <c r="B1265" t="s">
        <v>1181</v>
      </c>
      <c r="C1265" t="s">
        <v>16</v>
      </c>
      <c r="D1265" t="s">
        <v>16</v>
      </c>
      <c r="E1265" t="s">
        <v>17</v>
      </c>
      <c r="F1265" t="s">
        <v>381</v>
      </c>
      <c r="G1265" t="s">
        <v>3201</v>
      </c>
      <c r="H1265" t="s">
        <v>604</v>
      </c>
    </row>
    <row r="1266" spans="1:8" x14ac:dyDescent="0.2">
      <c r="A1266" t="s">
        <v>2477</v>
      </c>
      <c r="B1266" t="s">
        <v>1181</v>
      </c>
      <c r="C1266" t="s">
        <v>16</v>
      </c>
      <c r="D1266">
        <v>4</v>
      </c>
      <c r="E1266" t="s">
        <v>17</v>
      </c>
      <c r="F1266" t="s">
        <v>380</v>
      </c>
      <c r="G1266" t="s">
        <v>3201</v>
      </c>
      <c r="H1266" t="s">
        <v>604</v>
      </c>
    </row>
    <row r="1267" spans="1:8" x14ac:dyDescent="0.2">
      <c r="A1267" t="s">
        <v>2478</v>
      </c>
      <c r="B1267" t="s">
        <v>1181</v>
      </c>
      <c r="C1267" t="s">
        <v>16</v>
      </c>
      <c r="D1267">
        <v>4</v>
      </c>
      <c r="E1267" t="s">
        <v>17</v>
      </c>
      <c r="F1267" t="s">
        <v>380</v>
      </c>
      <c r="G1267" t="s">
        <v>3201</v>
      </c>
      <c r="H1267" t="s">
        <v>604</v>
      </c>
    </row>
    <row r="1268" spans="1:8" x14ac:dyDescent="0.2">
      <c r="A1268" t="s">
        <v>2479</v>
      </c>
      <c r="B1268" t="s">
        <v>1181</v>
      </c>
      <c r="C1268" t="s">
        <v>16</v>
      </c>
      <c r="D1268">
        <v>4</v>
      </c>
      <c r="E1268" t="s">
        <v>17</v>
      </c>
      <c r="F1268" t="s">
        <v>380</v>
      </c>
      <c r="G1268" t="s">
        <v>3201</v>
      </c>
      <c r="H1268" t="s">
        <v>604</v>
      </c>
    </row>
    <row r="1269" spans="1:8" x14ac:dyDescent="0.2">
      <c r="A1269" t="s">
        <v>2480</v>
      </c>
      <c r="B1269" t="s">
        <v>1181</v>
      </c>
      <c r="C1269" t="s">
        <v>16</v>
      </c>
      <c r="D1269" t="s">
        <v>16</v>
      </c>
      <c r="E1269" t="s">
        <v>17</v>
      </c>
      <c r="F1269" t="s">
        <v>381</v>
      </c>
      <c r="G1269" t="s">
        <v>3201</v>
      </c>
      <c r="H1269" t="s">
        <v>604</v>
      </c>
    </row>
    <row r="1270" spans="1:8" x14ac:dyDescent="0.2">
      <c r="A1270" t="s">
        <v>2481</v>
      </c>
      <c r="B1270" t="s">
        <v>1183</v>
      </c>
      <c r="C1270" t="s">
        <v>19</v>
      </c>
      <c r="D1270">
        <v>3</v>
      </c>
      <c r="E1270" t="s">
        <v>17</v>
      </c>
      <c r="F1270" t="s">
        <v>381</v>
      </c>
      <c r="G1270" t="s">
        <v>3201</v>
      </c>
      <c r="H1270" t="s">
        <v>604</v>
      </c>
    </row>
    <row r="1271" spans="1:8" x14ac:dyDescent="0.2">
      <c r="A1271" t="s">
        <v>2482</v>
      </c>
      <c r="B1271" t="s">
        <v>1183</v>
      </c>
      <c r="C1271" t="s">
        <v>16</v>
      </c>
      <c r="D1271">
        <v>4</v>
      </c>
      <c r="E1271" t="s">
        <v>17</v>
      </c>
      <c r="F1271" t="s">
        <v>380</v>
      </c>
      <c r="G1271" t="s">
        <v>3201</v>
      </c>
      <c r="H1271" t="s">
        <v>604</v>
      </c>
    </row>
    <row r="1272" spans="1:8" x14ac:dyDescent="0.2">
      <c r="A1272" t="s">
        <v>2483</v>
      </c>
      <c r="B1272" t="s">
        <v>1183</v>
      </c>
      <c r="C1272" t="s">
        <v>16</v>
      </c>
      <c r="D1272" t="s">
        <v>16</v>
      </c>
      <c r="E1272" t="s">
        <v>17</v>
      </c>
      <c r="F1272" t="s">
        <v>381</v>
      </c>
      <c r="G1272" t="s">
        <v>3201</v>
      </c>
      <c r="H1272" t="s">
        <v>604</v>
      </c>
    </row>
    <row r="1273" spans="1:8" x14ac:dyDescent="0.2">
      <c r="A1273" t="s">
        <v>2484</v>
      </c>
      <c r="B1273" t="s">
        <v>1183</v>
      </c>
      <c r="C1273" t="s">
        <v>16</v>
      </c>
      <c r="D1273" t="s">
        <v>16</v>
      </c>
      <c r="E1273" t="s">
        <v>17</v>
      </c>
      <c r="F1273" t="s">
        <v>381</v>
      </c>
      <c r="G1273" t="s">
        <v>3201</v>
      </c>
      <c r="H1273" t="s">
        <v>604</v>
      </c>
    </row>
    <row r="1274" spans="1:8" x14ac:dyDescent="0.2">
      <c r="A1274" t="s">
        <v>2485</v>
      </c>
      <c r="B1274" t="s">
        <v>1183</v>
      </c>
      <c r="C1274" t="s">
        <v>18</v>
      </c>
      <c r="D1274">
        <v>1</v>
      </c>
      <c r="E1274" t="s">
        <v>17</v>
      </c>
      <c r="F1274" t="s">
        <v>380</v>
      </c>
      <c r="G1274" t="s">
        <v>3201</v>
      </c>
      <c r="H1274" t="s">
        <v>604</v>
      </c>
    </row>
    <row r="1275" spans="1:8" x14ac:dyDescent="0.2">
      <c r="A1275" t="s">
        <v>2486</v>
      </c>
      <c r="B1275" t="s">
        <v>1185</v>
      </c>
      <c r="C1275" t="s">
        <v>18</v>
      </c>
      <c r="D1275">
        <v>1</v>
      </c>
      <c r="E1275" t="s">
        <v>17</v>
      </c>
      <c r="F1275" t="s">
        <v>380</v>
      </c>
      <c r="G1275" t="s">
        <v>3201</v>
      </c>
      <c r="H1275" t="s">
        <v>604</v>
      </c>
    </row>
    <row r="1276" spans="1:8" x14ac:dyDescent="0.2">
      <c r="A1276" t="s">
        <v>2487</v>
      </c>
      <c r="B1276" t="s">
        <v>1185</v>
      </c>
      <c r="C1276" t="s">
        <v>18</v>
      </c>
      <c r="D1276">
        <v>1</v>
      </c>
      <c r="E1276" t="s">
        <v>17</v>
      </c>
      <c r="F1276" t="s">
        <v>380</v>
      </c>
      <c r="G1276" t="s">
        <v>3201</v>
      </c>
      <c r="H1276" t="s">
        <v>604</v>
      </c>
    </row>
    <row r="1277" spans="1:8" x14ac:dyDescent="0.2">
      <c r="A1277" t="s">
        <v>2488</v>
      </c>
      <c r="B1277" t="s">
        <v>1185</v>
      </c>
      <c r="C1277" t="s">
        <v>16</v>
      </c>
      <c r="D1277">
        <v>4</v>
      </c>
      <c r="E1277" t="s">
        <v>17</v>
      </c>
      <c r="F1277" t="s">
        <v>381</v>
      </c>
      <c r="G1277" t="s">
        <v>3201</v>
      </c>
      <c r="H1277" t="s">
        <v>604</v>
      </c>
    </row>
    <row r="1278" spans="1:8" x14ac:dyDescent="0.2">
      <c r="A1278" t="s">
        <v>2489</v>
      </c>
      <c r="B1278" t="s">
        <v>1185</v>
      </c>
      <c r="C1278" t="s">
        <v>16</v>
      </c>
      <c r="D1278" t="s">
        <v>16</v>
      </c>
      <c r="E1278" t="s">
        <v>17</v>
      </c>
      <c r="F1278" t="s">
        <v>381</v>
      </c>
      <c r="G1278" t="s">
        <v>3201</v>
      </c>
      <c r="H1278" t="s">
        <v>604</v>
      </c>
    </row>
    <row r="1279" spans="1:8" x14ac:dyDescent="0.2">
      <c r="A1279" t="s">
        <v>2490</v>
      </c>
      <c r="B1279" t="s">
        <v>1185</v>
      </c>
      <c r="C1279" t="s">
        <v>19</v>
      </c>
      <c r="D1279">
        <v>3</v>
      </c>
      <c r="E1279" t="s">
        <v>17</v>
      </c>
      <c r="F1279" t="s">
        <v>380</v>
      </c>
      <c r="G1279" t="s">
        <v>3201</v>
      </c>
      <c r="H1279" t="s">
        <v>604</v>
      </c>
    </row>
    <row r="1280" spans="1:8" x14ac:dyDescent="0.2">
      <c r="A1280" t="s">
        <v>2491</v>
      </c>
      <c r="B1280" t="s">
        <v>1193</v>
      </c>
      <c r="C1280" t="s">
        <v>18</v>
      </c>
      <c r="D1280">
        <v>1</v>
      </c>
      <c r="E1280" t="s">
        <v>17</v>
      </c>
      <c r="F1280" t="s">
        <v>380</v>
      </c>
      <c r="G1280" t="s">
        <v>3201</v>
      </c>
      <c r="H1280" t="s">
        <v>604</v>
      </c>
    </row>
    <row r="1281" spans="1:8" x14ac:dyDescent="0.2">
      <c r="A1281" t="s">
        <v>2492</v>
      </c>
      <c r="B1281" t="s">
        <v>1193</v>
      </c>
      <c r="C1281" t="s">
        <v>18</v>
      </c>
      <c r="D1281">
        <v>1</v>
      </c>
      <c r="E1281" t="s">
        <v>21</v>
      </c>
      <c r="F1281" t="s">
        <v>380</v>
      </c>
      <c r="G1281" t="s">
        <v>3201</v>
      </c>
      <c r="H1281" t="s">
        <v>604</v>
      </c>
    </row>
    <row r="1282" spans="1:8" x14ac:dyDescent="0.2">
      <c r="A1282" t="s">
        <v>2493</v>
      </c>
      <c r="B1282" t="s">
        <v>1193</v>
      </c>
      <c r="C1282" t="s">
        <v>16</v>
      </c>
      <c r="D1282">
        <v>4</v>
      </c>
      <c r="E1282" t="s">
        <v>17</v>
      </c>
      <c r="F1282" t="s">
        <v>380</v>
      </c>
      <c r="G1282" t="s">
        <v>3201</v>
      </c>
      <c r="H1282" t="s">
        <v>604</v>
      </c>
    </row>
    <row r="1283" spans="1:8" x14ac:dyDescent="0.2">
      <c r="A1283" t="s">
        <v>2494</v>
      </c>
      <c r="B1283" t="s">
        <v>1193</v>
      </c>
      <c r="C1283" t="s">
        <v>16</v>
      </c>
      <c r="D1283">
        <v>4</v>
      </c>
      <c r="E1283" t="s">
        <v>17</v>
      </c>
      <c r="F1283" t="s">
        <v>380</v>
      </c>
      <c r="G1283" t="s">
        <v>3201</v>
      </c>
      <c r="H1283" t="s">
        <v>604</v>
      </c>
    </row>
    <row r="1284" spans="1:8" x14ac:dyDescent="0.2">
      <c r="A1284" t="s">
        <v>2495</v>
      </c>
      <c r="B1284" t="s">
        <v>1193</v>
      </c>
      <c r="C1284" t="s">
        <v>18</v>
      </c>
      <c r="D1284">
        <v>1</v>
      </c>
      <c r="E1284" t="s">
        <v>17</v>
      </c>
      <c r="F1284" t="s">
        <v>380</v>
      </c>
      <c r="G1284" t="s">
        <v>3201</v>
      </c>
      <c r="H1284" t="s">
        <v>604</v>
      </c>
    </row>
    <row r="1285" spans="1:8" x14ac:dyDescent="0.2">
      <c r="A1285" t="s">
        <v>2496</v>
      </c>
      <c r="B1285" t="s">
        <v>1195</v>
      </c>
      <c r="C1285" t="s">
        <v>18</v>
      </c>
      <c r="D1285">
        <v>1</v>
      </c>
      <c r="E1285" t="s">
        <v>17</v>
      </c>
      <c r="F1285" t="s">
        <v>380</v>
      </c>
      <c r="G1285" t="s">
        <v>3201</v>
      </c>
      <c r="H1285" t="s">
        <v>604</v>
      </c>
    </row>
    <row r="1286" spans="1:8" x14ac:dyDescent="0.2">
      <c r="A1286" t="s">
        <v>2497</v>
      </c>
      <c r="B1286" t="s">
        <v>1195</v>
      </c>
      <c r="C1286" t="s">
        <v>19</v>
      </c>
      <c r="D1286">
        <v>2</v>
      </c>
      <c r="E1286" t="s">
        <v>17</v>
      </c>
      <c r="F1286" t="s">
        <v>380</v>
      </c>
      <c r="G1286" t="s">
        <v>3201</v>
      </c>
      <c r="H1286" t="s">
        <v>604</v>
      </c>
    </row>
    <row r="1287" spans="1:8" x14ac:dyDescent="0.2">
      <c r="A1287" t="s">
        <v>2498</v>
      </c>
      <c r="B1287" t="s">
        <v>1195</v>
      </c>
      <c r="C1287" t="s">
        <v>19</v>
      </c>
      <c r="D1287">
        <v>2</v>
      </c>
      <c r="E1287" t="s">
        <v>17</v>
      </c>
      <c r="F1287" t="s">
        <v>380</v>
      </c>
      <c r="G1287" t="s">
        <v>3201</v>
      </c>
      <c r="H1287" t="s">
        <v>604</v>
      </c>
    </row>
    <row r="1288" spans="1:8" x14ac:dyDescent="0.2">
      <c r="A1288" t="s">
        <v>2499</v>
      </c>
      <c r="B1288" t="s">
        <v>1195</v>
      </c>
      <c r="C1288" t="s">
        <v>16</v>
      </c>
      <c r="D1288">
        <v>4</v>
      </c>
      <c r="E1288" t="s">
        <v>17</v>
      </c>
      <c r="F1288" t="s">
        <v>380</v>
      </c>
      <c r="G1288" t="s">
        <v>3201</v>
      </c>
      <c r="H1288" t="s">
        <v>604</v>
      </c>
    </row>
    <row r="1289" spans="1:8" x14ac:dyDescent="0.2">
      <c r="A1289" t="s">
        <v>2500</v>
      </c>
      <c r="B1289" t="s">
        <v>1195</v>
      </c>
      <c r="C1289" t="s">
        <v>19</v>
      </c>
      <c r="D1289">
        <v>2</v>
      </c>
      <c r="E1289" t="s">
        <v>17</v>
      </c>
      <c r="F1289" t="s">
        <v>380</v>
      </c>
      <c r="G1289" t="s">
        <v>3201</v>
      </c>
      <c r="H1289" t="s">
        <v>604</v>
      </c>
    </row>
    <row r="1290" spans="1:8" x14ac:dyDescent="0.2">
      <c r="A1290" t="s">
        <v>2501</v>
      </c>
      <c r="B1290" t="s">
        <v>1197</v>
      </c>
      <c r="C1290" t="s">
        <v>18</v>
      </c>
      <c r="D1290">
        <v>1</v>
      </c>
      <c r="E1290" t="s">
        <v>17</v>
      </c>
      <c r="F1290" t="s">
        <v>380</v>
      </c>
      <c r="G1290" t="s">
        <v>3201</v>
      </c>
      <c r="H1290" t="s">
        <v>604</v>
      </c>
    </row>
    <row r="1291" spans="1:8" x14ac:dyDescent="0.2">
      <c r="A1291" t="s">
        <v>2502</v>
      </c>
      <c r="B1291" t="s">
        <v>1197</v>
      </c>
      <c r="C1291" t="s">
        <v>19</v>
      </c>
      <c r="D1291">
        <v>2</v>
      </c>
      <c r="E1291" t="s">
        <v>17</v>
      </c>
      <c r="F1291" t="s">
        <v>380</v>
      </c>
      <c r="G1291" t="s">
        <v>3201</v>
      </c>
      <c r="H1291" t="s">
        <v>604</v>
      </c>
    </row>
    <row r="1292" spans="1:8" x14ac:dyDescent="0.2">
      <c r="A1292" t="s">
        <v>2503</v>
      </c>
      <c r="B1292" t="s">
        <v>1197</v>
      </c>
      <c r="C1292" t="s">
        <v>18</v>
      </c>
      <c r="D1292">
        <v>1</v>
      </c>
      <c r="E1292" t="s">
        <v>17</v>
      </c>
      <c r="F1292" t="s">
        <v>380</v>
      </c>
      <c r="G1292" t="s">
        <v>3201</v>
      </c>
      <c r="H1292" t="s">
        <v>604</v>
      </c>
    </row>
    <row r="1293" spans="1:8" x14ac:dyDescent="0.2">
      <c r="A1293" t="s">
        <v>2504</v>
      </c>
      <c r="B1293" t="s">
        <v>1197</v>
      </c>
      <c r="C1293" t="s">
        <v>18</v>
      </c>
      <c r="D1293">
        <v>2</v>
      </c>
      <c r="E1293" t="s">
        <v>17</v>
      </c>
      <c r="F1293" t="s">
        <v>380</v>
      </c>
      <c r="G1293" t="s">
        <v>3201</v>
      </c>
      <c r="H1293" t="s">
        <v>604</v>
      </c>
    </row>
    <row r="1294" spans="1:8" x14ac:dyDescent="0.2">
      <c r="A1294" t="s">
        <v>2505</v>
      </c>
      <c r="B1294" t="s">
        <v>1197</v>
      </c>
      <c r="C1294" t="s">
        <v>18</v>
      </c>
      <c r="D1294">
        <v>2</v>
      </c>
      <c r="E1294" t="s">
        <v>17</v>
      </c>
      <c r="F1294" t="s">
        <v>380</v>
      </c>
      <c r="G1294" t="s">
        <v>3201</v>
      </c>
      <c r="H1294" t="s">
        <v>604</v>
      </c>
    </row>
    <row r="1295" spans="1:8" x14ac:dyDescent="0.2">
      <c r="A1295" t="s">
        <v>2506</v>
      </c>
      <c r="B1295" t="s">
        <v>1199</v>
      </c>
      <c r="C1295" t="s">
        <v>18</v>
      </c>
      <c r="D1295">
        <v>2</v>
      </c>
      <c r="E1295" t="s">
        <v>17</v>
      </c>
      <c r="F1295" t="s">
        <v>380</v>
      </c>
      <c r="G1295" t="s">
        <v>3201</v>
      </c>
      <c r="H1295" t="s">
        <v>604</v>
      </c>
    </row>
    <row r="1296" spans="1:8" x14ac:dyDescent="0.2">
      <c r="A1296" t="s">
        <v>2507</v>
      </c>
      <c r="B1296" t="s">
        <v>1199</v>
      </c>
      <c r="C1296" t="s">
        <v>19</v>
      </c>
      <c r="D1296">
        <v>2</v>
      </c>
      <c r="E1296" t="s">
        <v>17</v>
      </c>
      <c r="F1296" t="s">
        <v>380</v>
      </c>
      <c r="G1296" t="s">
        <v>3201</v>
      </c>
      <c r="H1296" t="s">
        <v>604</v>
      </c>
    </row>
    <row r="1297" spans="1:8" x14ac:dyDescent="0.2">
      <c r="A1297" t="s">
        <v>2508</v>
      </c>
      <c r="B1297" t="s">
        <v>1199</v>
      </c>
      <c r="C1297" t="s">
        <v>19</v>
      </c>
      <c r="D1297">
        <v>2</v>
      </c>
      <c r="E1297" t="s">
        <v>17</v>
      </c>
      <c r="F1297" t="s">
        <v>380</v>
      </c>
      <c r="G1297" t="s">
        <v>3201</v>
      </c>
      <c r="H1297" t="s">
        <v>604</v>
      </c>
    </row>
    <row r="1298" spans="1:8" x14ac:dyDescent="0.2">
      <c r="A1298" t="s">
        <v>2509</v>
      </c>
      <c r="B1298" t="s">
        <v>1199</v>
      </c>
      <c r="C1298" t="s">
        <v>18</v>
      </c>
      <c r="D1298">
        <v>2</v>
      </c>
      <c r="E1298" t="s">
        <v>17</v>
      </c>
      <c r="F1298" t="s">
        <v>380</v>
      </c>
      <c r="G1298" t="s">
        <v>3201</v>
      </c>
      <c r="H1298" t="s">
        <v>604</v>
      </c>
    </row>
    <row r="1299" spans="1:8" x14ac:dyDescent="0.2">
      <c r="A1299" t="s">
        <v>2510</v>
      </c>
      <c r="B1299" t="s">
        <v>1199</v>
      </c>
      <c r="C1299" t="s">
        <v>19</v>
      </c>
      <c r="D1299">
        <v>2</v>
      </c>
      <c r="E1299" t="s">
        <v>17</v>
      </c>
      <c r="F1299" t="s">
        <v>380</v>
      </c>
      <c r="G1299" t="s">
        <v>3201</v>
      </c>
      <c r="H1299" t="s">
        <v>604</v>
      </c>
    </row>
    <row r="1300" spans="1:8" x14ac:dyDescent="0.2">
      <c r="A1300" t="s">
        <v>2511</v>
      </c>
      <c r="B1300" t="s">
        <v>1201</v>
      </c>
      <c r="C1300" t="s">
        <v>19</v>
      </c>
      <c r="D1300">
        <v>2</v>
      </c>
      <c r="E1300" t="s">
        <v>17</v>
      </c>
      <c r="F1300" t="s">
        <v>380</v>
      </c>
      <c r="G1300" t="s">
        <v>3201</v>
      </c>
      <c r="H1300" t="s">
        <v>604</v>
      </c>
    </row>
    <row r="1301" spans="1:8" x14ac:dyDescent="0.2">
      <c r="A1301" t="s">
        <v>2512</v>
      </c>
      <c r="B1301" t="s">
        <v>1201</v>
      </c>
      <c r="C1301" t="s">
        <v>18</v>
      </c>
      <c r="D1301">
        <v>2</v>
      </c>
      <c r="E1301" t="s">
        <v>17</v>
      </c>
      <c r="F1301" t="s">
        <v>380</v>
      </c>
      <c r="G1301" t="s">
        <v>3201</v>
      </c>
      <c r="H1301" t="s">
        <v>604</v>
      </c>
    </row>
    <row r="1302" spans="1:8" x14ac:dyDescent="0.2">
      <c r="A1302" t="s">
        <v>2513</v>
      </c>
      <c r="B1302" t="s">
        <v>1201</v>
      </c>
      <c r="C1302" t="s">
        <v>18</v>
      </c>
      <c r="D1302">
        <v>2</v>
      </c>
      <c r="E1302" t="s">
        <v>17</v>
      </c>
      <c r="F1302" t="s">
        <v>380</v>
      </c>
      <c r="G1302" t="s">
        <v>3201</v>
      </c>
      <c r="H1302" t="s">
        <v>604</v>
      </c>
    </row>
    <row r="1303" spans="1:8" x14ac:dyDescent="0.2">
      <c r="A1303" t="s">
        <v>2514</v>
      </c>
      <c r="B1303" t="s">
        <v>1201</v>
      </c>
      <c r="C1303" t="s">
        <v>19</v>
      </c>
      <c r="D1303">
        <v>2</v>
      </c>
      <c r="E1303" t="s">
        <v>17</v>
      </c>
      <c r="F1303" t="s">
        <v>380</v>
      </c>
      <c r="G1303" t="s">
        <v>3201</v>
      </c>
      <c r="H1303" t="s">
        <v>604</v>
      </c>
    </row>
    <row r="1304" spans="1:8" x14ac:dyDescent="0.2">
      <c r="A1304" t="s">
        <v>2515</v>
      </c>
      <c r="B1304" t="s">
        <v>1201</v>
      </c>
      <c r="C1304" t="s">
        <v>18</v>
      </c>
      <c r="D1304">
        <v>2</v>
      </c>
      <c r="E1304" t="s">
        <v>17</v>
      </c>
      <c r="F1304" t="s">
        <v>380</v>
      </c>
      <c r="G1304" t="s">
        <v>3201</v>
      </c>
      <c r="H1304" t="s">
        <v>604</v>
      </c>
    </row>
    <row r="1305" spans="1:8" x14ac:dyDescent="0.2">
      <c r="A1305" t="s">
        <v>2516</v>
      </c>
      <c r="B1305" t="s">
        <v>1203</v>
      </c>
      <c r="C1305" t="s">
        <v>19</v>
      </c>
      <c r="D1305">
        <v>2</v>
      </c>
      <c r="E1305" t="s">
        <v>17</v>
      </c>
      <c r="F1305" t="s">
        <v>380</v>
      </c>
      <c r="G1305" t="s">
        <v>3201</v>
      </c>
      <c r="H1305" t="s">
        <v>604</v>
      </c>
    </row>
    <row r="1306" spans="1:8" x14ac:dyDescent="0.2">
      <c r="A1306" t="s">
        <v>2517</v>
      </c>
      <c r="B1306" t="s">
        <v>1203</v>
      </c>
      <c r="C1306" t="s">
        <v>18</v>
      </c>
      <c r="D1306">
        <v>2</v>
      </c>
      <c r="E1306" t="s">
        <v>17</v>
      </c>
      <c r="F1306" t="s">
        <v>380</v>
      </c>
      <c r="G1306" t="s">
        <v>3201</v>
      </c>
      <c r="H1306" t="s">
        <v>604</v>
      </c>
    </row>
    <row r="1307" spans="1:8" x14ac:dyDescent="0.2">
      <c r="A1307" t="s">
        <v>2518</v>
      </c>
      <c r="B1307" t="s">
        <v>1203</v>
      </c>
      <c r="C1307" t="s">
        <v>19</v>
      </c>
      <c r="D1307">
        <v>2</v>
      </c>
      <c r="E1307" t="s">
        <v>17</v>
      </c>
      <c r="F1307" t="s">
        <v>380</v>
      </c>
      <c r="G1307" t="s">
        <v>3201</v>
      </c>
      <c r="H1307" t="s">
        <v>604</v>
      </c>
    </row>
    <row r="1308" spans="1:8" x14ac:dyDescent="0.2">
      <c r="A1308" t="s">
        <v>2519</v>
      </c>
      <c r="B1308" t="s">
        <v>1203</v>
      </c>
      <c r="C1308" t="s">
        <v>19</v>
      </c>
      <c r="D1308">
        <v>2</v>
      </c>
      <c r="E1308" t="s">
        <v>17</v>
      </c>
      <c r="F1308" t="s">
        <v>380</v>
      </c>
      <c r="G1308" t="s">
        <v>3201</v>
      </c>
      <c r="H1308" t="s">
        <v>604</v>
      </c>
    </row>
    <row r="1309" spans="1:8" x14ac:dyDescent="0.2">
      <c r="A1309" t="s">
        <v>2520</v>
      </c>
      <c r="B1309" t="s">
        <v>1203</v>
      </c>
      <c r="C1309" t="s">
        <v>18</v>
      </c>
      <c r="D1309">
        <v>2</v>
      </c>
      <c r="E1309" t="s">
        <v>17</v>
      </c>
      <c r="F1309" t="s">
        <v>380</v>
      </c>
      <c r="G1309" t="s">
        <v>3201</v>
      </c>
      <c r="H1309" t="s">
        <v>604</v>
      </c>
    </row>
    <row r="1310" spans="1:8" x14ac:dyDescent="0.2">
      <c r="A1310" t="s">
        <v>2521</v>
      </c>
      <c r="B1310" t="s">
        <v>1217</v>
      </c>
      <c r="C1310" t="s">
        <v>18</v>
      </c>
      <c r="D1310">
        <v>2</v>
      </c>
      <c r="E1310" t="s">
        <v>21</v>
      </c>
      <c r="F1310" t="s">
        <v>380</v>
      </c>
      <c r="G1310" t="s">
        <v>3201</v>
      </c>
      <c r="H1310" t="s">
        <v>604</v>
      </c>
    </row>
    <row r="1311" spans="1:8" x14ac:dyDescent="0.2">
      <c r="A1311" t="s">
        <v>2522</v>
      </c>
      <c r="B1311" t="s">
        <v>1217</v>
      </c>
      <c r="C1311" t="s">
        <v>18</v>
      </c>
      <c r="D1311">
        <v>2</v>
      </c>
      <c r="E1311" t="s">
        <v>17</v>
      </c>
      <c r="F1311" t="s">
        <v>380</v>
      </c>
      <c r="G1311" t="s">
        <v>3201</v>
      </c>
      <c r="H1311" t="s">
        <v>604</v>
      </c>
    </row>
    <row r="1312" spans="1:8" x14ac:dyDescent="0.2">
      <c r="A1312" t="s">
        <v>2523</v>
      </c>
      <c r="B1312" t="s">
        <v>1217</v>
      </c>
      <c r="C1312" t="s">
        <v>18</v>
      </c>
      <c r="D1312">
        <v>2</v>
      </c>
      <c r="E1312" t="s">
        <v>17</v>
      </c>
      <c r="F1312" t="s">
        <v>380</v>
      </c>
      <c r="G1312" t="s">
        <v>3201</v>
      </c>
      <c r="H1312" t="s">
        <v>604</v>
      </c>
    </row>
    <row r="1313" spans="1:8" x14ac:dyDescent="0.2">
      <c r="A1313" t="s">
        <v>2524</v>
      </c>
      <c r="B1313" t="s">
        <v>1217</v>
      </c>
      <c r="C1313" t="s">
        <v>18</v>
      </c>
      <c r="D1313">
        <v>2</v>
      </c>
      <c r="E1313" t="s">
        <v>17</v>
      </c>
      <c r="F1313" t="s">
        <v>380</v>
      </c>
      <c r="G1313" t="s">
        <v>3201</v>
      </c>
      <c r="H1313" t="s">
        <v>604</v>
      </c>
    </row>
    <row r="1314" spans="1:8" x14ac:dyDescent="0.2">
      <c r="A1314" t="s">
        <v>2525</v>
      </c>
      <c r="B1314" t="s">
        <v>1217</v>
      </c>
      <c r="C1314" t="s">
        <v>18</v>
      </c>
      <c r="D1314">
        <v>2</v>
      </c>
      <c r="E1314" t="s">
        <v>17</v>
      </c>
      <c r="F1314" t="s">
        <v>380</v>
      </c>
      <c r="G1314" t="s">
        <v>3201</v>
      </c>
      <c r="H1314" t="s">
        <v>604</v>
      </c>
    </row>
    <row r="1315" spans="1:8" x14ac:dyDescent="0.2">
      <c r="A1315" t="s">
        <v>2526</v>
      </c>
      <c r="B1315" t="s">
        <v>1219</v>
      </c>
      <c r="C1315" t="s">
        <v>18</v>
      </c>
      <c r="D1315">
        <v>2</v>
      </c>
      <c r="E1315" t="s">
        <v>17</v>
      </c>
      <c r="F1315" t="s">
        <v>380</v>
      </c>
      <c r="G1315" t="s">
        <v>3201</v>
      </c>
      <c r="H1315" t="s">
        <v>604</v>
      </c>
    </row>
    <row r="1316" spans="1:8" x14ac:dyDescent="0.2">
      <c r="A1316" t="s">
        <v>2527</v>
      </c>
      <c r="B1316" t="s">
        <v>1219</v>
      </c>
      <c r="C1316" t="s">
        <v>19</v>
      </c>
      <c r="D1316">
        <v>2</v>
      </c>
      <c r="E1316" t="s">
        <v>17</v>
      </c>
      <c r="F1316" t="s">
        <v>380</v>
      </c>
      <c r="G1316" t="s">
        <v>3201</v>
      </c>
      <c r="H1316" t="s">
        <v>604</v>
      </c>
    </row>
    <row r="1317" spans="1:8" x14ac:dyDescent="0.2">
      <c r="A1317" t="s">
        <v>2528</v>
      </c>
      <c r="B1317" t="s">
        <v>1219</v>
      </c>
      <c r="C1317" t="s">
        <v>19</v>
      </c>
      <c r="D1317">
        <v>2</v>
      </c>
      <c r="E1317" t="s">
        <v>21</v>
      </c>
      <c r="F1317" t="s">
        <v>380</v>
      </c>
      <c r="G1317" t="s">
        <v>3201</v>
      </c>
      <c r="H1317" t="s">
        <v>604</v>
      </c>
    </row>
    <row r="1318" spans="1:8" x14ac:dyDescent="0.2">
      <c r="A1318" t="s">
        <v>2529</v>
      </c>
      <c r="B1318" t="s">
        <v>1219</v>
      </c>
      <c r="C1318" t="s">
        <v>18</v>
      </c>
      <c r="D1318">
        <v>2</v>
      </c>
      <c r="E1318" t="s">
        <v>17</v>
      </c>
      <c r="F1318" t="s">
        <v>380</v>
      </c>
      <c r="G1318" t="s">
        <v>3201</v>
      </c>
      <c r="H1318" t="s">
        <v>604</v>
      </c>
    </row>
    <row r="1319" spans="1:8" x14ac:dyDescent="0.2">
      <c r="A1319" t="s">
        <v>2530</v>
      </c>
      <c r="B1319" t="s">
        <v>1219</v>
      </c>
      <c r="C1319" t="s">
        <v>19</v>
      </c>
      <c r="D1319">
        <v>2</v>
      </c>
      <c r="E1319" t="s">
        <v>17</v>
      </c>
      <c r="F1319" t="s">
        <v>380</v>
      </c>
      <c r="G1319" t="s">
        <v>3201</v>
      </c>
      <c r="H1319" t="s">
        <v>604</v>
      </c>
    </row>
    <row r="1320" spans="1:8" x14ac:dyDescent="0.2">
      <c r="A1320" t="s">
        <v>2531</v>
      </c>
      <c r="B1320" t="s">
        <v>1221</v>
      </c>
      <c r="C1320" t="s">
        <v>18</v>
      </c>
      <c r="D1320">
        <v>2</v>
      </c>
      <c r="E1320" t="s">
        <v>21</v>
      </c>
      <c r="F1320" t="s">
        <v>380</v>
      </c>
      <c r="G1320" t="s">
        <v>3201</v>
      </c>
      <c r="H1320" t="s">
        <v>604</v>
      </c>
    </row>
    <row r="1321" spans="1:8" x14ac:dyDescent="0.2">
      <c r="A1321" t="s">
        <v>2532</v>
      </c>
      <c r="B1321" t="s">
        <v>1221</v>
      </c>
      <c r="C1321" t="s">
        <v>18</v>
      </c>
      <c r="D1321">
        <v>2</v>
      </c>
      <c r="E1321" t="s">
        <v>17</v>
      </c>
      <c r="F1321" t="s">
        <v>380</v>
      </c>
      <c r="G1321" t="s">
        <v>3201</v>
      </c>
      <c r="H1321" t="s">
        <v>604</v>
      </c>
    </row>
    <row r="1322" spans="1:8" x14ac:dyDescent="0.2">
      <c r="A1322" t="s">
        <v>2533</v>
      </c>
      <c r="B1322" t="s">
        <v>1221</v>
      </c>
      <c r="C1322" t="s">
        <v>19</v>
      </c>
      <c r="D1322">
        <v>2</v>
      </c>
      <c r="E1322" t="s">
        <v>21</v>
      </c>
      <c r="F1322" t="s">
        <v>380</v>
      </c>
      <c r="G1322" t="s">
        <v>3201</v>
      </c>
      <c r="H1322" t="s">
        <v>604</v>
      </c>
    </row>
    <row r="1323" spans="1:8" x14ac:dyDescent="0.2">
      <c r="A1323" t="s">
        <v>2534</v>
      </c>
      <c r="B1323" t="s">
        <v>1221</v>
      </c>
      <c r="C1323" t="s">
        <v>19</v>
      </c>
      <c r="D1323">
        <v>2</v>
      </c>
      <c r="E1323" t="s">
        <v>21</v>
      </c>
      <c r="F1323" t="s">
        <v>380</v>
      </c>
      <c r="G1323" t="s">
        <v>3201</v>
      </c>
      <c r="H1323" t="s">
        <v>604</v>
      </c>
    </row>
    <row r="1324" spans="1:8" x14ac:dyDescent="0.2">
      <c r="A1324" t="s">
        <v>2535</v>
      </c>
      <c r="B1324" t="s">
        <v>1221</v>
      </c>
      <c r="C1324" t="s">
        <v>18</v>
      </c>
      <c r="D1324" t="s">
        <v>16</v>
      </c>
      <c r="E1324" t="s">
        <v>20</v>
      </c>
      <c r="F1324" t="s">
        <v>380</v>
      </c>
      <c r="G1324" t="s">
        <v>3201</v>
      </c>
      <c r="H1324" t="s">
        <v>604</v>
      </c>
    </row>
    <row r="1325" spans="1:8" x14ac:dyDescent="0.2">
      <c r="A1325" t="s">
        <v>2536</v>
      </c>
      <c r="B1325" t="s">
        <v>1229</v>
      </c>
      <c r="C1325" t="s">
        <v>18</v>
      </c>
      <c r="D1325">
        <v>2</v>
      </c>
      <c r="E1325" t="s">
        <v>17</v>
      </c>
      <c r="F1325" t="s">
        <v>380</v>
      </c>
      <c r="G1325" t="s">
        <v>3201</v>
      </c>
      <c r="H1325" t="s">
        <v>604</v>
      </c>
    </row>
    <row r="1326" spans="1:8" x14ac:dyDescent="0.2">
      <c r="A1326" t="s">
        <v>2537</v>
      </c>
      <c r="B1326" t="s">
        <v>1229</v>
      </c>
      <c r="C1326" t="s">
        <v>18</v>
      </c>
      <c r="D1326">
        <v>2</v>
      </c>
      <c r="E1326" t="s">
        <v>21</v>
      </c>
      <c r="F1326" t="s">
        <v>380</v>
      </c>
      <c r="G1326" t="s">
        <v>3201</v>
      </c>
      <c r="H1326" t="s">
        <v>604</v>
      </c>
    </row>
    <row r="1327" spans="1:8" x14ac:dyDescent="0.2">
      <c r="A1327" t="s">
        <v>2538</v>
      </c>
      <c r="B1327" t="s">
        <v>1229</v>
      </c>
      <c r="C1327" t="s">
        <v>18</v>
      </c>
      <c r="D1327">
        <v>2</v>
      </c>
      <c r="E1327" t="s">
        <v>17</v>
      </c>
      <c r="F1327" t="s">
        <v>380</v>
      </c>
      <c r="G1327" t="s">
        <v>3201</v>
      </c>
      <c r="H1327" t="s">
        <v>604</v>
      </c>
    </row>
    <row r="1328" spans="1:8" x14ac:dyDescent="0.2">
      <c r="A1328" t="s">
        <v>2539</v>
      </c>
      <c r="B1328" t="s">
        <v>1229</v>
      </c>
      <c r="C1328" t="s">
        <v>18</v>
      </c>
      <c r="D1328">
        <v>2</v>
      </c>
      <c r="E1328" t="s">
        <v>17</v>
      </c>
      <c r="F1328" t="s">
        <v>380</v>
      </c>
      <c r="G1328" t="s">
        <v>3201</v>
      </c>
      <c r="H1328" t="s">
        <v>604</v>
      </c>
    </row>
    <row r="1329" spans="1:8" x14ac:dyDescent="0.2">
      <c r="A1329" t="s">
        <v>2540</v>
      </c>
      <c r="B1329" t="s">
        <v>1229</v>
      </c>
      <c r="C1329" t="s">
        <v>18</v>
      </c>
      <c r="D1329">
        <v>2</v>
      </c>
      <c r="E1329" t="s">
        <v>17</v>
      </c>
      <c r="F1329" t="s">
        <v>380</v>
      </c>
      <c r="G1329" t="s">
        <v>3201</v>
      </c>
      <c r="H1329" t="s">
        <v>604</v>
      </c>
    </row>
    <row r="1330" spans="1:8" x14ac:dyDescent="0.2">
      <c r="A1330" t="s">
        <v>2541</v>
      </c>
      <c r="B1330" t="s">
        <v>1231</v>
      </c>
      <c r="C1330" t="s">
        <v>18</v>
      </c>
      <c r="D1330">
        <v>2</v>
      </c>
      <c r="E1330" t="s">
        <v>17</v>
      </c>
      <c r="F1330" t="s">
        <v>380</v>
      </c>
      <c r="G1330" t="s">
        <v>3201</v>
      </c>
      <c r="H1330" t="s">
        <v>604</v>
      </c>
    </row>
    <row r="1331" spans="1:8" x14ac:dyDescent="0.2">
      <c r="A1331" t="s">
        <v>2542</v>
      </c>
      <c r="B1331" t="s">
        <v>1231</v>
      </c>
      <c r="C1331" t="s">
        <v>19</v>
      </c>
      <c r="D1331">
        <v>2</v>
      </c>
      <c r="E1331" t="s">
        <v>17</v>
      </c>
      <c r="F1331" t="s">
        <v>380</v>
      </c>
      <c r="G1331" t="s">
        <v>3201</v>
      </c>
      <c r="H1331" t="s">
        <v>604</v>
      </c>
    </row>
    <row r="1332" spans="1:8" x14ac:dyDescent="0.2">
      <c r="A1332" t="s">
        <v>2543</v>
      </c>
      <c r="B1332" t="s">
        <v>1231</v>
      </c>
      <c r="C1332" t="s">
        <v>18</v>
      </c>
      <c r="D1332">
        <v>2</v>
      </c>
      <c r="E1332" t="s">
        <v>17</v>
      </c>
      <c r="F1332" t="s">
        <v>380</v>
      </c>
      <c r="G1332" t="s">
        <v>3201</v>
      </c>
      <c r="H1332" t="s">
        <v>604</v>
      </c>
    </row>
    <row r="1333" spans="1:8" x14ac:dyDescent="0.2">
      <c r="A1333" t="s">
        <v>2544</v>
      </c>
      <c r="B1333" t="s">
        <v>1231</v>
      </c>
      <c r="C1333" t="s">
        <v>19</v>
      </c>
      <c r="D1333">
        <v>1</v>
      </c>
      <c r="E1333" t="s">
        <v>17</v>
      </c>
      <c r="F1333" t="s">
        <v>380</v>
      </c>
      <c r="G1333" t="s">
        <v>3201</v>
      </c>
      <c r="H1333" t="s">
        <v>604</v>
      </c>
    </row>
    <row r="1334" spans="1:8" x14ac:dyDescent="0.2">
      <c r="A1334" t="s">
        <v>2545</v>
      </c>
      <c r="B1334" t="s">
        <v>1231</v>
      </c>
      <c r="C1334" t="s">
        <v>19</v>
      </c>
      <c r="D1334">
        <v>2</v>
      </c>
      <c r="E1334" t="s">
        <v>17</v>
      </c>
      <c r="F1334" t="s">
        <v>380</v>
      </c>
      <c r="G1334" t="s">
        <v>3201</v>
      </c>
      <c r="H1334" t="s">
        <v>604</v>
      </c>
    </row>
    <row r="1335" spans="1:8" x14ac:dyDescent="0.2">
      <c r="A1335" t="s">
        <v>2546</v>
      </c>
      <c r="B1335" t="s">
        <v>1233</v>
      </c>
      <c r="C1335" t="s">
        <v>18</v>
      </c>
      <c r="D1335">
        <v>2</v>
      </c>
      <c r="E1335" t="s">
        <v>17</v>
      </c>
      <c r="F1335" t="s">
        <v>380</v>
      </c>
      <c r="G1335" t="s">
        <v>3201</v>
      </c>
      <c r="H1335" t="s">
        <v>604</v>
      </c>
    </row>
    <row r="1336" spans="1:8" x14ac:dyDescent="0.2">
      <c r="A1336" t="s">
        <v>2547</v>
      </c>
      <c r="B1336" t="s">
        <v>1233</v>
      </c>
      <c r="C1336" t="s">
        <v>16</v>
      </c>
      <c r="D1336" t="s">
        <v>16</v>
      </c>
      <c r="E1336" t="s">
        <v>17</v>
      </c>
      <c r="F1336" t="s">
        <v>381</v>
      </c>
      <c r="G1336" t="s">
        <v>3201</v>
      </c>
      <c r="H1336" t="s">
        <v>604</v>
      </c>
    </row>
    <row r="1337" spans="1:8" x14ac:dyDescent="0.2">
      <c r="A1337" t="s">
        <v>2548</v>
      </c>
      <c r="B1337" t="s">
        <v>1233</v>
      </c>
      <c r="C1337" t="s">
        <v>19</v>
      </c>
      <c r="D1337">
        <v>2</v>
      </c>
      <c r="E1337" t="s">
        <v>17</v>
      </c>
      <c r="F1337" t="s">
        <v>380</v>
      </c>
      <c r="G1337" t="s">
        <v>3201</v>
      </c>
      <c r="H1337" t="s">
        <v>604</v>
      </c>
    </row>
    <row r="1338" spans="1:8" x14ac:dyDescent="0.2">
      <c r="A1338" t="s">
        <v>2549</v>
      </c>
      <c r="B1338" t="s">
        <v>1233</v>
      </c>
      <c r="C1338" t="s">
        <v>19</v>
      </c>
      <c r="D1338">
        <v>2</v>
      </c>
      <c r="E1338" t="s">
        <v>17</v>
      </c>
      <c r="F1338" t="s">
        <v>380</v>
      </c>
      <c r="G1338" t="s">
        <v>3201</v>
      </c>
      <c r="H1338" t="s">
        <v>604</v>
      </c>
    </row>
    <row r="1339" spans="1:8" x14ac:dyDescent="0.2">
      <c r="A1339" t="s">
        <v>2550</v>
      </c>
      <c r="B1339" t="s">
        <v>1233</v>
      </c>
      <c r="C1339" t="s">
        <v>18</v>
      </c>
      <c r="D1339">
        <v>2</v>
      </c>
      <c r="E1339" t="s">
        <v>17</v>
      </c>
      <c r="F1339" t="s">
        <v>380</v>
      </c>
      <c r="G1339" t="s">
        <v>3201</v>
      </c>
      <c r="H1339" t="s">
        <v>604</v>
      </c>
    </row>
    <row r="1340" spans="1:8" x14ac:dyDescent="0.2">
      <c r="A1340" t="s">
        <v>2551</v>
      </c>
      <c r="B1340" t="s">
        <v>1241</v>
      </c>
      <c r="C1340" t="s">
        <v>18</v>
      </c>
      <c r="D1340">
        <v>3</v>
      </c>
      <c r="E1340" t="s">
        <v>17</v>
      </c>
      <c r="F1340" t="s">
        <v>380</v>
      </c>
      <c r="G1340" t="s">
        <v>3201</v>
      </c>
      <c r="H1340" t="s">
        <v>604</v>
      </c>
    </row>
    <row r="1341" spans="1:8" x14ac:dyDescent="0.2">
      <c r="A1341" t="s">
        <v>2552</v>
      </c>
      <c r="B1341" t="s">
        <v>1241</v>
      </c>
      <c r="C1341" t="s">
        <v>18</v>
      </c>
      <c r="D1341">
        <v>2</v>
      </c>
      <c r="E1341" t="s">
        <v>17</v>
      </c>
      <c r="F1341" t="s">
        <v>380</v>
      </c>
      <c r="G1341" t="s">
        <v>3201</v>
      </c>
      <c r="H1341" t="s">
        <v>604</v>
      </c>
    </row>
    <row r="1342" spans="1:8" x14ac:dyDescent="0.2">
      <c r="A1342" t="s">
        <v>2553</v>
      </c>
      <c r="B1342" t="s">
        <v>1241</v>
      </c>
      <c r="C1342" t="s">
        <v>18</v>
      </c>
      <c r="D1342">
        <v>1</v>
      </c>
      <c r="E1342" t="s">
        <v>17</v>
      </c>
      <c r="F1342" t="s">
        <v>380</v>
      </c>
      <c r="G1342" t="s">
        <v>3201</v>
      </c>
      <c r="H1342" t="s">
        <v>604</v>
      </c>
    </row>
    <row r="1343" spans="1:8" x14ac:dyDescent="0.2">
      <c r="A1343" t="s">
        <v>2554</v>
      </c>
      <c r="B1343" t="s">
        <v>1241</v>
      </c>
      <c r="C1343" t="s">
        <v>19</v>
      </c>
      <c r="D1343">
        <v>2</v>
      </c>
      <c r="E1343" t="s">
        <v>17</v>
      </c>
      <c r="F1343" t="s">
        <v>380</v>
      </c>
      <c r="G1343" t="s">
        <v>3201</v>
      </c>
      <c r="H1343" t="s">
        <v>604</v>
      </c>
    </row>
    <row r="1344" spans="1:8" x14ac:dyDescent="0.2">
      <c r="A1344" t="s">
        <v>2555</v>
      </c>
      <c r="B1344" t="s">
        <v>1241</v>
      </c>
      <c r="C1344" t="s">
        <v>18</v>
      </c>
      <c r="D1344">
        <v>2</v>
      </c>
      <c r="E1344" t="s">
        <v>17</v>
      </c>
      <c r="F1344" t="s">
        <v>380</v>
      </c>
      <c r="G1344" t="s">
        <v>3201</v>
      </c>
      <c r="H1344" t="s">
        <v>604</v>
      </c>
    </row>
    <row r="1345" spans="1:8" x14ac:dyDescent="0.2">
      <c r="A1345" t="s">
        <v>2556</v>
      </c>
      <c r="B1345" t="s">
        <v>1243</v>
      </c>
      <c r="C1345" t="s">
        <v>18</v>
      </c>
      <c r="D1345">
        <v>2</v>
      </c>
      <c r="E1345" t="s">
        <v>17</v>
      </c>
      <c r="F1345" t="s">
        <v>380</v>
      </c>
      <c r="G1345" t="s">
        <v>3201</v>
      </c>
      <c r="H1345" t="s">
        <v>604</v>
      </c>
    </row>
    <row r="1346" spans="1:8" x14ac:dyDescent="0.2">
      <c r="A1346" t="s">
        <v>2557</v>
      </c>
      <c r="B1346" t="s">
        <v>1243</v>
      </c>
      <c r="C1346" t="s">
        <v>18</v>
      </c>
      <c r="D1346">
        <v>2</v>
      </c>
      <c r="E1346" t="s">
        <v>17</v>
      </c>
      <c r="F1346" t="s">
        <v>380</v>
      </c>
      <c r="G1346" t="s">
        <v>3201</v>
      </c>
      <c r="H1346" t="s">
        <v>604</v>
      </c>
    </row>
    <row r="1347" spans="1:8" x14ac:dyDescent="0.2">
      <c r="A1347" t="s">
        <v>2558</v>
      </c>
      <c r="B1347" t="s">
        <v>1243</v>
      </c>
      <c r="C1347" t="s">
        <v>19</v>
      </c>
      <c r="D1347">
        <v>2</v>
      </c>
      <c r="E1347" t="s">
        <v>17</v>
      </c>
      <c r="F1347" t="s">
        <v>380</v>
      </c>
      <c r="G1347" t="s">
        <v>3201</v>
      </c>
      <c r="H1347" t="s">
        <v>604</v>
      </c>
    </row>
    <row r="1348" spans="1:8" x14ac:dyDescent="0.2">
      <c r="A1348" t="s">
        <v>2559</v>
      </c>
      <c r="B1348" t="s">
        <v>1243</v>
      </c>
      <c r="C1348" t="s">
        <v>18</v>
      </c>
      <c r="D1348">
        <v>2</v>
      </c>
      <c r="E1348" t="s">
        <v>17</v>
      </c>
      <c r="F1348" t="s">
        <v>380</v>
      </c>
      <c r="G1348" t="s">
        <v>3201</v>
      </c>
      <c r="H1348" t="s">
        <v>604</v>
      </c>
    </row>
    <row r="1349" spans="1:8" x14ac:dyDescent="0.2">
      <c r="A1349" t="s">
        <v>2560</v>
      </c>
      <c r="B1349" t="s">
        <v>1243</v>
      </c>
      <c r="C1349" t="s">
        <v>19</v>
      </c>
      <c r="D1349">
        <v>2</v>
      </c>
      <c r="E1349" t="s">
        <v>17</v>
      </c>
      <c r="F1349" t="s">
        <v>380</v>
      </c>
      <c r="G1349" t="s">
        <v>3201</v>
      </c>
      <c r="H1349" t="s">
        <v>604</v>
      </c>
    </row>
    <row r="1350" spans="1:8" x14ac:dyDescent="0.2">
      <c r="A1350" t="s">
        <v>2561</v>
      </c>
      <c r="B1350" t="s">
        <v>1245</v>
      </c>
      <c r="C1350" t="s">
        <v>18</v>
      </c>
      <c r="D1350">
        <v>2</v>
      </c>
      <c r="E1350" t="s">
        <v>17</v>
      </c>
      <c r="F1350" t="s">
        <v>380</v>
      </c>
      <c r="G1350" t="s">
        <v>3201</v>
      </c>
      <c r="H1350" t="s">
        <v>604</v>
      </c>
    </row>
    <row r="1351" spans="1:8" x14ac:dyDescent="0.2">
      <c r="A1351" t="s">
        <v>2562</v>
      </c>
      <c r="B1351" t="s">
        <v>1245</v>
      </c>
      <c r="C1351" t="s">
        <v>18</v>
      </c>
      <c r="D1351">
        <v>2</v>
      </c>
      <c r="E1351" t="s">
        <v>17</v>
      </c>
      <c r="F1351" t="s">
        <v>380</v>
      </c>
      <c r="G1351" t="s">
        <v>3201</v>
      </c>
      <c r="H1351" t="s">
        <v>604</v>
      </c>
    </row>
    <row r="1352" spans="1:8" x14ac:dyDescent="0.2">
      <c r="A1352" t="s">
        <v>2563</v>
      </c>
      <c r="B1352" t="s">
        <v>1245</v>
      </c>
      <c r="C1352" t="s">
        <v>19</v>
      </c>
      <c r="D1352">
        <v>2</v>
      </c>
      <c r="E1352" t="s">
        <v>17</v>
      </c>
      <c r="F1352" t="s">
        <v>380</v>
      </c>
      <c r="G1352" t="s">
        <v>3201</v>
      </c>
      <c r="H1352" t="s">
        <v>604</v>
      </c>
    </row>
    <row r="1353" spans="1:8" x14ac:dyDescent="0.2">
      <c r="A1353" t="s">
        <v>2564</v>
      </c>
      <c r="B1353" t="s">
        <v>1245</v>
      </c>
      <c r="C1353" t="s">
        <v>18</v>
      </c>
      <c r="D1353">
        <v>2</v>
      </c>
      <c r="E1353" t="s">
        <v>17</v>
      </c>
      <c r="F1353" t="s">
        <v>380</v>
      </c>
      <c r="G1353" t="s">
        <v>3201</v>
      </c>
      <c r="H1353" t="s">
        <v>604</v>
      </c>
    </row>
    <row r="1354" spans="1:8" x14ac:dyDescent="0.2">
      <c r="A1354" t="s">
        <v>2565</v>
      </c>
      <c r="B1354" t="s">
        <v>1245</v>
      </c>
      <c r="C1354" t="s">
        <v>18</v>
      </c>
      <c r="D1354">
        <v>2</v>
      </c>
      <c r="E1354" t="s">
        <v>17</v>
      </c>
      <c r="F1354" t="s">
        <v>380</v>
      </c>
      <c r="G1354" t="s">
        <v>3201</v>
      </c>
      <c r="H1354" t="s">
        <v>604</v>
      </c>
    </row>
    <row r="1355" spans="1:8" x14ac:dyDescent="0.2">
      <c r="A1355" t="s">
        <v>2566</v>
      </c>
      <c r="B1355" t="s">
        <v>1253</v>
      </c>
      <c r="C1355" t="s">
        <v>18</v>
      </c>
      <c r="D1355">
        <v>2</v>
      </c>
      <c r="E1355" t="s">
        <v>21</v>
      </c>
      <c r="F1355" t="s">
        <v>380</v>
      </c>
      <c r="G1355" t="s">
        <v>3201</v>
      </c>
      <c r="H1355" t="s">
        <v>604</v>
      </c>
    </row>
    <row r="1356" spans="1:8" x14ac:dyDescent="0.2">
      <c r="A1356" t="s">
        <v>2567</v>
      </c>
      <c r="B1356" t="s">
        <v>1253</v>
      </c>
      <c r="C1356" t="s">
        <v>18</v>
      </c>
      <c r="D1356">
        <v>2</v>
      </c>
      <c r="E1356" t="s">
        <v>17</v>
      </c>
      <c r="F1356" t="s">
        <v>380</v>
      </c>
      <c r="G1356" t="s">
        <v>3201</v>
      </c>
      <c r="H1356" t="s">
        <v>604</v>
      </c>
    </row>
    <row r="1357" spans="1:8" x14ac:dyDescent="0.2">
      <c r="A1357" t="s">
        <v>2568</v>
      </c>
      <c r="B1357" t="s">
        <v>1253</v>
      </c>
      <c r="C1357" t="s">
        <v>18</v>
      </c>
      <c r="D1357">
        <v>2</v>
      </c>
      <c r="E1357" t="s">
        <v>21</v>
      </c>
      <c r="F1357" t="s">
        <v>380</v>
      </c>
      <c r="G1357" t="s">
        <v>3201</v>
      </c>
      <c r="H1357" t="s">
        <v>604</v>
      </c>
    </row>
    <row r="1358" spans="1:8" x14ac:dyDescent="0.2">
      <c r="A1358" t="s">
        <v>2569</v>
      </c>
      <c r="B1358" t="s">
        <v>1253</v>
      </c>
      <c r="C1358" t="s">
        <v>18</v>
      </c>
      <c r="D1358">
        <v>2</v>
      </c>
      <c r="E1358" t="s">
        <v>17</v>
      </c>
      <c r="F1358" t="s">
        <v>380</v>
      </c>
      <c r="G1358" t="s">
        <v>3201</v>
      </c>
      <c r="H1358" t="s">
        <v>604</v>
      </c>
    </row>
    <row r="1359" spans="1:8" x14ac:dyDescent="0.2">
      <c r="A1359" t="s">
        <v>2570</v>
      </c>
      <c r="B1359" t="s">
        <v>1253</v>
      </c>
      <c r="C1359" t="s">
        <v>18</v>
      </c>
      <c r="D1359">
        <v>2</v>
      </c>
      <c r="E1359" t="s">
        <v>17</v>
      </c>
      <c r="F1359" t="s">
        <v>380</v>
      </c>
      <c r="G1359" t="s">
        <v>3201</v>
      </c>
      <c r="H1359" t="s">
        <v>604</v>
      </c>
    </row>
    <row r="1360" spans="1:8" x14ac:dyDescent="0.2">
      <c r="A1360" t="s">
        <v>2571</v>
      </c>
      <c r="B1360" t="s">
        <v>1255</v>
      </c>
      <c r="C1360" t="s">
        <v>18</v>
      </c>
      <c r="D1360">
        <v>2</v>
      </c>
      <c r="E1360" t="s">
        <v>17</v>
      </c>
      <c r="F1360" t="s">
        <v>380</v>
      </c>
      <c r="G1360" t="s">
        <v>3201</v>
      </c>
      <c r="H1360" t="s">
        <v>604</v>
      </c>
    </row>
    <row r="1361" spans="1:8" x14ac:dyDescent="0.2">
      <c r="A1361" t="s">
        <v>2572</v>
      </c>
      <c r="B1361" t="s">
        <v>1255</v>
      </c>
      <c r="C1361" t="s">
        <v>18</v>
      </c>
      <c r="D1361">
        <v>2</v>
      </c>
      <c r="E1361" t="s">
        <v>17</v>
      </c>
      <c r="F1361" t="s">
        <v>380</v>
      </c>
      <c r="G1361" t="s">
        <v>3201</v>
      </c>
      <c r="H1361" t="s">
        <v>604</v>
      </c>
    </row>
    <row r="1362" spans="1:8" x14ac:dyDescent="0.2">
      <c r="A1362" t="s">
        <v>2573</v>
      </c>
      <c r="B1362" t="s">
        <v>1255</v>
      </c>
      <c r="C1362" t="s">
        <v>18</v>
      </c>
      <c r="D1362">
        <v>1</v>
      </c>
      <c r="E1362" t="s">
        <v>17</v>
      </c>
      <c r="F1362" t="s">
        <v>380</v>
      </c>
      <c r="G1362" t="s">
        <v>3201</v>
      </c>
      <c r="H1362" t="s">
        <v>604</v>
      </c>
    </row>
    <row r="1363" spans="1:8" x14ac:dyDescent="0.2">
      <c r="A1363" t="s">
        <v>2574</v>
      </c>
      <c r="B1363" t="s">
        <v>1255</v>
      </c>
      <c r="C1363" t="s">
        <v>18</v>
      </c>
      <c r="D1363">
        <v>2</v>
      </c>
      <c r="E1363" t="s">
        <v>17</v>
      </c>
      <c r="F1363" t="s">
        <v>380</v>
      </c>
      <c r="G1363" t="s">
        <v>3201</v>
      </c>
      <c r="H1363" t="s">
        <v>604</v>
      </c>
    </row>
    <row r="1364" spans="1:8" x14ac:dyDescent="0.2">
      <c r="A1364" t="s">
        <v>2575</v>
      </c>
      <c r="B1364" t="s">
        <v>1255</v>
      </c>
      <c r="C1364" t="s">
        <v>18</v>
      </c>
      <c r="D1364">
        <v>2</v>
      </c>
      <c r="E1364" t="s">
        <v>17</v>
      </c>
      <c r="F1364" t="s">
        <v>380</v>
      </c>
      <c r="G1364" t="s">
        <v>3201</v>
      </c>
      <c r="H1364" t="s">
        <v>604</v>
      </c>
    </row>
    <row r="1365" spans="1:8" x14ac:dyDescent="0.2">
      <c r="A1365" t="s">
        <v>2576</v>
      </c>
      <c r="B1365" t="s">
        <v>1257</v>
      </c>
      <c r="C1365" t="s">
        <v>18</v>
      </c>
      <c r="D1365">
        <v>2</v>
      </c>
      <c r="E1365" t="s">
        <v>17</v>
      </c>
      <c r="F1365" t="s">
        <v>380</v>
      </c>
      <c r="G1365" t="s">
        <v>3201</v>
      </c>
      <c r="H1365" t="s">
        <v>604</v>
      </c>
    </row>
    <row r="1366" spans="1:8" x14ac:dyDescent="0.2">
      <c r="A1366" t="s">
        <v>2577</v>
      </c>
      <c r="B1366" t="s">
        <v>1257</v>
      </c>
      <c r="C1366" t="s">
        <v>18</v>
      </c>
      <c r="D1366">
        <v>2</v>
      </c>
      <c r="E1366" t="s">
        <v>17</v>
      </c>
      <c r="F1366" t="s">
        <v>380</v>
      </c>
      <c r="G1366" t="s">
        <v>3201</v>
      </c>
      <c r="H1366" t="s">
        <v>604</v>
      </c>
    </row>
    <row r="1367" spans="1:8" x14ac:dyDescent="0.2">
      <c r="A1367" t="s">
        <v>2578</v>
      </c>
      <c r="B1367" t="s">
        <v>1257</v>
      </c>
      <c r="C1367" t="s">
        <v>18</v>
      </c>
      <c r="D1367">
        <v>2</v>
      </c>
      <c r="E1367" t="s">
        <v>17</v>
      </c>
      <c r="F1367" t="s">
        <v>380</v>
      </c>
      <c r="G1367" t="s">
        <v>3201</v>
      </c>
      <c r="H1367" t="s">
        <v>604</v>
      </c>
    </row>
    <row r="1368" spans="1:8" x14ac:dyDescent="0.2">
      <c r="A1368" t="s">
        <v>2579</v>
      </c>
      <c r="B1368" t="s">
        <v>1257</v>
      </c>
      <c r="C1368" t="s">
        <v>18</v>
      </c>
      <c r="D1368">
        <v>2</v>
      </c>
      <c r="E1368" t="s">
        <v>17</v>
      </c>
      <c r="F1368" t="s">
        <v>380</v>
      </c>
      <c r="G1368" t="s">
        <v>3201</v>
      </c>
      <c r="H1368" t="s">
        <v>604</v>
      </c>
    </row>
    <row r="1369" spans="1:8" x14ac:dyDescent="0.2">
      <c r="A1369" t="s">
        <v>2580</v>
      </c>
      <c r="B1369" t="s">
        <v>1257</v>
      </c>
      <c r="C1369" t="s">
        <v>18</v>
      </c>
      <c r="D1369">
        <v>2</v>
      </c>
      <c r="E1369" t="s">
        <v>17</v>
      </c>
      <c r="F1369" t="s">
        <v>380</v>
      </c>
      <c r="G1369" t="s">
        <v>3201</v>
      </c>
      <c r="H1369" t="s">
        <v>604</v>
      </c>
    </row>
    <row r="1370" spans="1:8" x14ac:dyDescent="0.2">
      <c r="A1370" t="s">
        <v>2581</v>
      </c>
      <c r="B1370" t="s">
        <v>1265</v>
      </c>
      <c r="C1370" t="s">
        <v>18</v>
      </c>
      <c r="D1370">
        <v>3</v>
      </c>
      <c r="E1370" t="s">
        <v>21</v>
      </c>
      <c r="F1370" t="s">
        <v>380</v>
      </c>
      <c r="G1370" t="s">
        <v>3201</v>
      </c>
      <c r="H1370" t="s">
        <v>604</v>
      </c>
    </row>
    <row r="1371" spans="1:8" x14ac:dyDescent="0.2">
      <c r="A1371" t="s">
        <v>2582</v>
      </c>
      <c r="B1371" t="s">
        <v>1265</v>
      </c>
      <c r="C1371" t="s">
        <v>18</v>
      </c>
      <c r="D1371">
        <v>2</v>
      </c>
      <c r="E1371" t="s">
        <v>17</v>
      </c>
      <c r="F1371" t="s">
        <v>380</v>
      </c>
      <c r="G1371" t="s">
        <v>3201</v>
      </c>
      <c r="H1371" t="s">
        <v>604</v>
      </c>
    </row>
    <row r="1372" spans="1:8" x14ac:dyDescent="0.2">
      <c r="A1372" t="s">
        <v>2583</v>
      </c>
      <c r="B1372" t="s">
        <v>1265</v>
      </c>
      <c r="C1372" t="s">
        <v>18</v>
      </c>
      <c r="D1372">
        <v>3</v>
      </c>
      <c r="E1372" t="s">
        <v>17</v>
      </c>
      <c r="F1372" t="s">
        <v>380</v>
      </c>
      <c r="G1372" t="s">
        <v>3201</v>
      </c>
      <c r="H1372" t="s">
        <v>604</v>
      </c>
    </row>
    <row r="1373" spans="1:8" x14ac:dyDescent="0.2">
      <c r="A1373" t="s">
        <v>2584</v>
      </c>
      <c r="B1373" t="s">
        <v>1265</v>
      </c>
      <c r="C1373" t="s">
        <v>18</v>
      </c>
      <c r="D1373">
        <v>2</v>
      </c>
      <c r="E1373" t="s">
        <v>17</v>
      </c>
      <c r="F1373" t="s">
        <v>380</v>
      </c>
      <c r="G1373" t="s">
        <v>3201</v>
      </c>
      <c r="H1373" t="s">
        <v>604</v>
      </c>
    </row>
    <row r="1374" spans="1:8" x14ac:dyDescent="0.2">
      <c r="A1374" t="s">
        <v>2585</v>
      </c>
      <c r="B1374" t="s">
        <v>1265</v>
      </c>
      <c r="C1374" t="s">
        <v>18</v>
      </c>
      <c r="D1374">
        <v>2</v>
      </c>
      <c r="E1374" t="s">
        <v>17</v>
      </c>
      <c r="F1374" t="s">
        <v>380</v>
      </c>
      <c r="G1374" t="s">
        <v>3201</v>
      </c>
      <c r="H1374" t="s">
        <v>604</v>
      </c>
    </row>
    <row r="1375" spans="1:8" x14ac:dyDescent="0.2">
      <c r="A1375" t="s">
        <v>2586</v>
      </c>
      <c r="B1375" t="s">
        <v>1267</v>
      </c>
      <c r="C1375" t="s">
        <v>18</v>
      </c>
      <c r="D1375">
        <v>2</v>
      </c>
      <c r="E1375" t="s">
        <v>17</v>
      </c>
      <c r="F1375" t="s">
        <v>380</v>
      </c>
      <c r="G1375" t="s">
        <v>3201</v>
      </c>
      <c r="H1375" t="s">
        <v>604</v>
      </c>
    </row>
    <row r="1376" spans="1:8" x14ac:dyDescent="0.2">
      <c r="A1376" t="s">
        <v>2587</v>
      </c>
      <c r="B1376" t="s">
        <v>1267</v>
      </c>
      <c r="C1376" t="s">
        <v>18</v>
      </c>
      <c r="D1376">
        <v>2</v>
      </c>
      <c r="E1376" t="s">
        <v>17</v>
      </c>
      <c r="F1376" t="s">
        <v>380</v>
      </c>
      <c r="G1376" t="s">
        <v>3201</v>
      </c>
      <c r="H1376" t="s">
        <v>604</v>
      </c>
    </row>
    <row r="1377" spans="1:8" x14ac:dyDescent="0.2">
      <c r="A1377" t="s">
        <v>2588</v>
      </c>
      <c r="B1377" t="s">
        <v>1267</v>
      </c>
      <c r="C1377" t="s">
        <v>18</v>
      </c>
      <c r="D1377">
        <v>2</v>
      </c>
      <c r="E1377" t="s">
        <v>17</v>
      </c>
      <c r="F1377" t="s">
        <v>380</v>
      </c>
      <c r="G1377" t="s">
        <v>3201</v>
      </c>
      <c r="H1377" t="s">
        <v>604</v>
      </c>
    </row>
    <row r="1378" spans="1:8" x14ac:dyDescent="0.2">
      <c r="A1378" t="s">
        <v>2589</v>
      </c>
      <c r="B1378" t="s">
        <v>1267</v>
      </c>
      <c r="C1378" t="s">
        <v>18</v>
      </c>
      <c r="D1378">
        <v>2</v>
      </c>
      <c r="E1378" t="s">
        <v>21</v>
      </c>
      <c r="F1378" t="s">
        <v>380</v>
      </c>
      <c r="G1378" t="s">
        <v>3201</v>
      </c>
      <c r="H1378" t="s">
        <v>604</v>
      </c>
    </row>
    <row r="1379" spans="1:8" x14ac:dyDescent="0.2">
      <c r="A1379" t="s">
        <v>2590</v>
      </c>
      <c r="B1379" t="s">
        <v>1267</v>
      </c>
      <c r="C1379" t="s">
        <v>18</v>
      </c>
      <c r="D1379">
        <v>2</v>
      </c>
      <c r="E1379" t="s">
        <v>17</v>
      </c>
      <c r="F1379" t="s">
        <v>380</v>
      </c>
      <c r="G1379" t="s">
        <v>3201</v>
      </c>
      <c r="H1379" t="s">
        <v>604</v>
      </c>
    </row>
    <row r="1380" spans="1:8" x14ac:dyDescent="0.2">
      <c r="A1380" t="s">
        <v>2591</v>
      </c>
      <c r="B1380" t="s">
        <v>1269</v>
      </c>
      <c r="C1380" t="s">
        <v>18</v>
      </c>
      <c r="D1380">
        <v>2</v>
      </c>
      <c r="E1380" t="s">
        <v>17</v>
      </c>
      <c r="F1380" t="s">
        <v>380</v>
      </c>
      <c r="G1380" t="s">
        <v>3201</v>
      </c>
      <c r="H1380" t="s">
        <v>604</v>
      </c>
    </row>
    <row r="1381" spans="1:8" x14ac:dyDescent="0.2">
      <c r="A1381" t="s">
        <v>2592</v>
      </c>
      <c r="B1381" t="s">
        <v>1269</v>
      </c>
      <c r="C1381" t="s">
        <v>19</v>
      </c>
      <c r="D1381">
        <v>2</v>
      </c>
      <c r="E1381" t="s">
        <v>17</v>
      </c>
      <c r="F1381" t="s">
        <v>380</v>
      </c>
      <c r="G1381" t="s">
        <v>3201</v>
      </c>
      <c r="H1381" t="s">
        <v>604</v>
      </c>
    </row>
    <row r="1382" spans="1:8" x14ac:dyDescent="0.2">
      <c r="A1382" t="s">
        <v>2593</v>
      </c>
      <c r="B1382" t="s">
        <v>1269</v>
      </c>
      <c r="C1382" t="s">
        <v>18</v>
      </c>
      <c r="D1382">
        <v>2</v>
      </c>
      <c r="E1382" t="s">
        <v>17</v>
      </c>
      <c r="F1382" t="s">
        <v>380</v>
      </c>
      <c r="G1382" t="s">
        <v>3201</v>
      </c>
      <c r="H1382" t="s">
        <v>604</v>
      </c>
    </row>
    <row r="1383" spans="1:8" x14ac:dyDescent="0.2">
      <c r="A1383" t="s">
        <v>2594</v>
      </c>
      <c r="B1383" t="s">
        <v>1269</v>
      </c>
      <c r="C1383" t="s">
        <v>16</v>
      </c>
      <c r="D1383">
        <v>4</v>
      </c>
      <c r="E1383" t="s">
        <v>21</v>
      </c>
      <c r="F1383" t="s">
        <v>380</v>
      </c>
      <c r="G1383" t="s">
        <v>3201</v>
      </c>
      <c r="H1383" t="s">
        <v>604</v>
      </c>
    </row>
    <row r="1384" spans="1:8" x14ac:dyDescent="0.2">
      <c r="A1384" t="s">
        <v>2595</v>
      </c>
      <c r="B1384" t="s">
        <v>1269</v>
      </c>
      <c r="C1384" t="s">
        <v>18</v>
      </c>
      <c r="D1384">
        <v>2</v>
      </c>
      <c r="E1384" t="s">
        <v>17</v>
      </c>
      <c r="F1384" t="s">
        <v>380</v>
      </c>
      <c r="G1384" t="s">
        <v>3201</v>
      </c>
      <c r="H1384" t="s">
        <v>604</v>
      </c>
    </row>
    <row r="1385" spans="1:8" x14ac:dyDescent="0.2">
      <c r="A1385" t="s">
        <v>2596</v>
      </c>
      <c r="B1385" t="s">
        <v>1277</v>
      </c>
      <c r="C1385" t="s">
        <v>18</v>
      </c>
      <c r="D1385">
        <v>2</v>
      </c>
      <c r="E1385" t="s">
        <v>17</v>
      </c>
      <c r="F1385" t="s">
        <v>380</v>
      </c>
      <c r="G1385" t="s">
        <v>3201</v>
      </c>
      <c r="H1385" t="s">
        <v>604</v>
      </c>
    </row>
    <row r="1386" spans="1:8" x14ac:dyDescent="0.2">
      <c r="A1386" t="s">
        <v>2597</v>
      </c>
      <c r="B1386" t="s">
        <v>1277</v>
      </c>
      <c r="C1386" t="s">
        <v>18</v>
      </c>
      <c r="D1386">
        <v>2</v>
      </c>
      <c r="E1386" t="s">
        <v>17</v>
      </c>
      <c r="F1386" t="s">
        <v>380</v>
      </c>
      <c r="G1386" t="s">
        <v>3201</v>
      </c>
      <c r="H1386" t="s">
        <v>604</v>
      </c>
    </row>
    <row r="1387" spans="1:8" x14ac:dyDescent="0.2">
      <c r="A1387" t="s">
        <v>2598</v>
      </c>
      <c r="B1387" t="s">
        <v>1277</v>
      </c>
      <c r="C1387" t="s">
        <v>19</v>
      </c>
      <c r="D1387">
        <v>2</v>
      </c>
      <c r="E1387" t="s">
        <v>17</v>
      </c>
      <c r="F1387" t="s">
        <v>380</v>
      </c>
      <c r="G1387" t="s">
        <v>3201</v>
      </c>
      <c r="H1387" t="s">
        <v>604</v>
      </c>
    </row>
    <row r="1388" spans="1:8" x14ac:dyDescent="0.2">
      <c r="A1388" t="s">
        <v>2599</v>
      </c>
      <c r="B1388" t="s">
        <v>1277</v>
      </c>
      <c r="C1388" t="s">
        <v>18</v>
      </c>
      <c r="D1388">
        <v>2</v>
      </c>
      <c r="E1388" t="s">
        <v>17</v>
      </c>
      <c r="F1388" t="s">
        <v>380</v>
      </c>
      <c r="G1388" t="s">
        <v>3201</v>
      </c>
      <c r="H1388" t="s">
        <v>604</v>
      </c>
    </row>
    <row r="1389" spans="1:8" x14ac:dyDescent="0.2">
      <c r="A1389" t="s">
        <v>2600</v>
      </c>
      <c r="B1389" t="s">
        <v>1277</v>
      </c>
      <c r="C1389" t="s">
        <v>18</v>
      </c>
      <c r="D1389">
        <v>2</v>
      </c>
      <c r="E1389" t="s">
        <v>17</v>
      </c>
      <c r="F1389" t="s">
        <v>380</v>
      </c>
      <c r="G1389" t="s">
        <v>3201</v>
      </c>
      <c r="H1389" t="s">
        <v>604</v>
      </c>
    </row>
    <row r="1390" spans="1:8" x14ac:dyDescent="0.2">
      <c r="A1390" t="s">
        <v>2601</v>
      </c>
      <c r="B1390" t="s">
        <v>1279</v>
      </c>
      <c r="C1390" t="s">
        <v>18</v>
      </c>
      <c r="D1390">
        <v>2</v>
      </c>
      <c r="E1390" t="s">
        <v>17</v>
      </c>
      <c r="F1390" t="s">
        <v>380</v>
      </c>
      <c r="G1390" t="s">
        <v>3201</v>
      </c>
      <c r="H1390" t="s">
        <v>604</v>
      </c>
    </row>
    <row r="1391" spans="1:8" x14ac:dyDescent="0.2">
      <c r="A1391" t="s">
        <v>2602</v>
      </c>
      <c r="B1391" t="s">
        <v>1279</v>
      </c>
      <c r="C1391" t="s">
        <v>19</v>
      </c>
      <c r="D1391">
        <v>2</v>
      </c>
      <c r="E1391" t="s">
        <v>17</v>
      </c>
      <c r="F1391" t="s">
        <v>380</v>
      </c>
      <c r="G1391" t="s">
        <v>3201</v>
      </c>
      <c r="H1391" t="s">
        <v>604</v>
      </c>
    </row>
    <row r="1392" spans="1:8" x14ac:dyDescent="0.2">
      <c r="A1392" t="s">
        <v>2603</v>
      </c>
      <c r="B1392" t="s">
        <v>1279</v>
      </c>
      <c r="C1392" t="s">
        <v>18</v>
      </c>
      <c r="D1392">
        <v>2</v>
      </c>
      <c r="E1392" t="s">
        <v>17</v>
      </c>
      <c r="F1392" t="s">
        <v>380</v>
      </c>
      <c r="G1392" t="s">
        <v>3201</v>
      </c>
      <c r="H1392" t="s">
        <v>604</v>
      </c>
    </row>
    <row r="1393" spans="1:8" x14ac:dyDescent="0.2">
      <c r="A1393" t="s">
        <v>2604</v>
      </c>
      <c r="B1393" t="s">
        <v>1279</v>
      </c>
      <c r="C1393" t="s">
        <v>18</v>
      </c>
      <c r="D1393">
        <v>2</v>
      </c>
      <c r="E1393" t="s">
        <v>17</v>
      </c>
      <c r="F1393" t="s">
        <v>380</v>
      </c>
      <c r="G1393" t="s">
        <v>3201</v>
      </c>
      <c r="H1393" t="s">
        <v>604</v>
      </c>
    </row>
    <row r="1394" spans="1:8" x14ac:dyDescent="0.2">
      <c r="A1394" t="s">
        <v>2605</v>
      </c>
      <c r="B1394" t="s">
        <v>1279</v>
      </c>
      <c r="C1394" t="s">
        <v>18</v>
      </c>
      <c r="D1394">
        <v>2</v>
      </c>
      <c r="E1394" t="s">
        <v>17</v>
      </c>
      <c r="F1394" t="s">
        <v>380</v>
      </c>
      <c r="G1394" t="s">
        <v>3201</v>
      </c>
      <c r="H1394" t="s">
        <v>604</v>
      </c>
    </row>
    <row r="1395" spans="1:8" x14ac:dyDescent="0.2">
      <c r="A1395" t="s">
        <v>2606</v>
      </c>
      <c r="B1395" t="s">
        <v>1281</v>
      </c>
      <c r="C1395" t="s">
        <v>18</v>
      </c>
      <c r="D1395">
        <v>2</v>
      </c>
      <c r="E1395" t="s">
        <v>17</v>
      </c>
      <c r="F1395" t="s">
        <v>380</v>
      </c>
      <c r="G1395" t="s">
        <v>3201</v>
      </c>
      <c r="H1395" t="s">
        <v>604</v>
      </c>
    </row>
    <row r="1396" spans="1:8" x14ac:dyDescent="0.2">
      <c r="A1396" t="s">
        <v>2607</v>
      </c>
      <c r="B1396" t="s">
        <v>1281</v>
      </c>
      <c r="C1396" t="s">
        <v>19</v>
      </c>
      <c r="D1396">
        <v>2</v>
      </c>
      <c r="E1396" t="s">
        <v>17</v>
      </c>
      <c r="F1396" t="s">
        <v>380</v>
      </c>
      <c r="G1396" t="s">
        <v>3201</v>
      </c>
      <c r="H1396" t="s">
        <v>604</v>
      </c>
    </row>
    <row r="1397" spans="1:8" x14ac:dyDescent="0.2">
      <c r="A1397" t="s">
        <v>2608</v>
      </c>
      <c r="B1397" t="s">
        <v>1281</v>
      </c>
      <c r="C1397" t="s">
        <v>18</v>
      </c>
      <c r="D1397">
        <v>2</v>
      </c>
      <c r="E1397" t="s">
        <v>17</v>
      </c>
      <c r="F1397" t="s">
        <v>380</v>
      </c>
      <c r="G1397" t="s">
        <v>3201</v>
      </c>
      <c r="H1397" t="s">
        <v>604</v>
      </c>
    </row>
    <row r="1398" spans="1:8" x14ac:dyDescent="0.2">
      <c r="A1398" t="s">
        <v>2609</v>
      </c>
      <c r="B1398" t="s">
        <v>1281</v>
      </c>
      <c r="C1398" t="s">
        <v>18</v>
      </c>
      <c r="D1398">
        <v>2</v>
      </c>
      <c r="E1398" t="s">
        <v>17</v>
      </c>
      <c r="F1398" t="s">
        <v>380</v>
      </c>
      <c r="G1398" t="s">
        <v>3201</v>
      </c>
      <c r="H1398" t="s">
        <v>604</v>
      </c>
    </row>
    <row r="1399" spans="1:8" x14ac:dyDescent="0.2">
      <c r="A1399" t="s">
        <v>2610</v>
      </c>
      <c r="B1399" t="s">
        <v>1281</v>
      </c>
      <c r="C1399" t="s">
        <v>18</v>
      </c>
      <c r="D1399">
        <v>2</v>
      </c>
      <c r="E1399" t="s">
        <v>17</v>
      </c>
      <c r="F1399" t="s">
        <v>380</v>
      </c>
      <c r="G1399" t="s">
        <v>3201</v>
      </c>
      <c r="H1399" t="s">
        <v>604</v>
      </c>
    </row>
    <row r="1400" spans="1:8" x14ac:dyDescent="0.2">
      <c r="A1400" t="s">
        <v>2611</v>
      </c>
      <c r="B1400" t="s">
        <v>1289</v>
      </c>
      <c r="C1400" t="s">
        <v>18</v>
      </c>
      <c r="D1400">
        <v>2</v>
      </c>
      <c r="E1400" t="s">
        <v>17</v>
      </c>
      <c r="F1400" t="s">
        <v>380</v>
      </c>
      <c r="G1400" t="s">
        <v>3201</v>
      </c>
      <c r="H1400" t="s">
        <v>604</v>
      </c>
    </row>
    <row r="1401" spans="1:8" x14ac:dyDescent="0.2">
      <c r="A1401" t="s">
        <v>2612</v>
      </c>
      <c r="B1401" t="s">
        <v>1289</v>
      </c>
      <c r="C1401" t="s">
        <v>18</v>
      </c>
      <c r="D1401">
        <v>2</v>
      </c>
      <c r="E1401" t="s">
        <v>17</v>
      </c>
      <c r="F1401" t="s">
        <v>380</v>
      </c>
      <c r="G1401" t="s">
        <v>3201</v>
      </c>
      <c r="H1401" t="s">
        <v>604</v>
      </c>
    </row>
    <row r="1402" spans="1:8" x14ac:dyDescent="0.2">
      <c r="A1402" t="s">
        <v>2613</v>
      </c>
      <c r="B1402" t="s">
        <v>1289</v>
      </c>
      <c r="C1402" t="s">
        <v>18</v>
      </c>
      <c r="D1402">
        <v>2</v>
      </c>
      <c r="E1402" t="s">
        <v>17</v>
      </c>
      <c r="F1402" t="s">
        <v>380</v>
      </c>
      <c r="G1402" t="s">
        <v>3201</v>
      </c>
      <c r="H1402" t="s">
        <v>604</v>
      </c>
    </row>
    <row r="1403" spans="1:8" x14ac:dyDescent="0.2">
      <c r="A1403" t="s">
        <v>2614</v>
      </c>
      <c r="B1403" t="s">
        <v>1289</v>
      </c>
      <c r="C1403" t="s">
        <v>18</v>
      </c>
      <c r="D1403">
        <v>2</v>
      </c>
      <c r="E1403" t="s">
        <v>17</v>
      </c>
      <c r="F1403" t="s">
        <v>380</v>
      </c>
      <c r="G1403" t="s">
        <v>3201</v>
      </c>
      <c r="H1403" t="s">
        <v>604</v>
      </c>
    </row>
    <row r="1404" spans="1:8" x14ac:dyDescent="0.2">
      <c r="A1404" t="s">
        <v>2615</v>
      </c>
      <c r="B1404" t="s">
        <v>1289</v>
      </c>
      <c r="C1404" t="s">
        <v>18</v>
      </c>
      <c r="D1404">
        <v>2</v>
      </c>
      <c r="E1404" t="s">
        <v>17</v>
      </c>
      <c r="F1404" t="s">
        <v>380</v>
      </c>
      <c r="G1404" t="s">
        <v>3201</v>
      </c>
      <c r="H1404" t="s">
        <v>604</v>
      </c>
    </row>
    <row r="1405" spans="1:8" x14ac:dyDescent="0.2">
      <c r="A1405" t="s">
        <v>2616</v>
      </c>
      <c r="B1405" t="s">
        <v>1291</v>
      </c>
      <c r="C1405" t="s">
        <v>19</v>
      </c>
      <c r="D1405">
        <v>2</v>
      </c>
      <c r="E1405" t="s">
        <v>17</v>
      </c>
      <c r="F1405" t="s">
        <v>380</v>
      </c>
      <c r="G1405" t="s">
        <v>3201</v>
      </c>
      <c r="H1405" t="s">
        <v>604</v>
      </c>
    </row>
    <row r="1406" spans="1:8" x14ac:dyDescent="0.2">
      <c r="A1406" t="s">
        <v>2617</v>
      </c>
      <c r="B1406" t="s">
        <v>1291</v>
      </c>
      <c r="C1406" t="s">
        <v>18</v>
      </c>
      <c r="D1406">
        <v>2</v>
      </c>
      <c r="E1406" t="s">
        <v>17</v>
      </c>
      <c r="F1406" t="s">
        <v>380</v>
      </c>
      <c r="G1406" t="s">
        <v>3201</v>
      </c>
      <c r="H1406" t="s">
        <v>604</v>
      </c>
    </row>
    <row r="1407" spans="1:8" x14ac:dyDescent="0.2">
      <c r="A1407" t="s">
        <v>2618</v>
      </c>
      <c r="B1407" t="s">
        <v>1291</v>
      </c>
      <c r="C1407" t="s">
        <v>19</v>
      </c>
      <c r="D1407">
        <v>2</v>
      </c>
      <c r="E1407" t="s">
        <v>17</v>
      </c>
      <c r="F1407" t="s">
        <v>380</v>
      </c>
      <c r="G1407" t="s">
        <v>3201</v>
      </c>
      <c r="H1407" t="s">
        <v>604</v>
      </c>
    </row>
    <row r="1408" spans="1:8" x14ac:dyDescent="0.2">
      <c r="A1408" t="s">
        <v>2619</v>
      </c>
      <c r="B1408" t="s">
        <v>1291</v>
      </c>
      <c r="C1408" t="s">
        <v>19</v>
      </c>
      <c r="D1408">
        <v>2</v>
      </c>
      <c r="E1408" t="s">
        <v>17</v>
      </c>
      <c r="F1408" t="s">
        <v>380</v>
      </c>
      <c r="G1408" t="s">
        <v>3201</v>
      </c>
      <c r="H1408" t="s">
        <v>604</v>
      </c>
    </row>
    <row r="1409" spans="1:8" x14ac:dyDescent="0.2">
      <c r="A1409" t="s">
        <v>2620</v>
      </c>
      <c r="B1409" t="s">
        <v>1291</v>
      </c>
      <c r="C1409" t="s">
        <v>18</v>
      </c>
      <c r="D1409">
        <v>2</v>
      </c>
      <c r="E1409" t="s">
        <v>17</v>
      </c>
      <c r="F1409" t="s">
        <v>380</v>
      </c>
      <c r="G1409" t="s">
        <v>3201</v>
      </c>
      <c r="H1409" t="s">
        <v>604</v>
      </c>
    </row>
    <row r="1410" spans="1:8" x14ac:dyDescent="0.2">
      <c r="A1410" t="s">
        <v>2621</v>
      </c>
      <c r="B1410" t="s">
        <v>1293</v>
      </c>
      <c r="C1410" t="s">
        <v>18</v>
      </c>
      <c r="D1410">
        <v>2</v>
      </c>
      <c r="E1410" t="s">
        <v>17</v>
      </c>
      <c r="F1410" t="s">
        <v>380</v>
      </c>
      <c r="G1410" t="s">
        <v>3201</v>
      </c>
      <c r="H1410" t="s">
        <v>604</v>
      </c>
    </row>
    <row r="1411" spans="1:8" x14ac:dyDescent="0.2">
      <c r="A1411" t="s">
        <v>2622</v>
      </c>
      <c r="B1411" t="s">
        <v>1293</v>
      </c>
      <c r="C1411" t="s">
        <v>19</v>
      </c>
      <c r="D1411">
        <v>2</v>
      </c>
      <c r="E1411" t="s">
        <v>17</v>
      </c>
      <c r="F1411" t="s">
        <v>380</v>
      </c>
      <c r="G1411" t="s">
        <v>3201</v>
      </c>
      <c r="H1411" t="s">
        <v>604</v>
      </c>
    </row>
    <row r="1412" spans="1:8" x14ac:dyDescent="0.2">
      <c r="A1412" t="s">
        <v>2623</v>
      </c>
      <c r="B1412" t="s">
        <v>1293</v>
      </c>
      <c r="C1412" t="s">
        <v>18</v>
      </c>
      <c r="D1412">
        <v>2</v>
      </c>
      <c r="E1412" t="s">
        <v>17</v>
      </c>
      <c r="F1412" t="s">
        <v>380</v>
      </c>
      <c r="G1412" t="s">
        <v>3201</v>
      </c>
      <c r="H1412" t="s">
        <v>604</v>
      </c>
    </row>
    <row r="1413" spans="1:8" x14ac:dyDescent="0.2">
      <c r="A1413" t="s">
        <v>2624</v>
      </c>
      <c r="B1413" t="s">
        <v>1293</v>
      </c>
      <c r="C1413" t="s">
        <v>18</v>
      </c>
      <c r="D1413">
        <v>2</v>
      </c>
      <c r="E1413" t="s">
        <v>17</v>
      </c>
      <c r="F1413" t="s">
        <v>380</v>
      </c>
      <c r="G1413" t="s">
        <v>3201</v>
      </c>
      <c r="H1413" t="s">
        <v>604</v>
      </c>
    </row>
    <row r="1414" spans="1:8" x14ac:dyDescent="0.2">
      <c r="A1414" t="s">
        <v>2625</v>
      </c>
      <c r="B1414" t="s">
        <v>1293</v>
      </c>
      <c r="C1414" t="s">
        <v>18</v>
      </c>
      <c r="D1414">
        <v>2</v>
      </c>
      <c r="E1414" t="s">
        <v>17</v>
      </c>
      <c r="F1414" t="s">
        <v>380</v>
      </c>
      <c r="G1414" t="s">
        <v>3201</v>
      </c>
      <c r="H1414" t="s">
        <v>604</v>
      </c>
    </row>
    <row r="1415" spans="1:8" x14ac:dyDescent="0.2">
      <c r="A1415" t="s">
        <v>2626</v>
      </c>
      <c r="B1415" t="s">
        <v>1301</v>
      </c>
      <c r="C1415" t="s">
        <v>19</v>
      </c>
      <c r="D1415">
        <v>2</v>
      </c>
      <c r="E1415" t="s">
        <v>17</v>
      </c>
      <c r="F1415" t="s">
        <v>380</v>
      </c>
      <c r="G1415" t="s">
        <v>3201</v>
      </c>
      <c r="H1415" t="s">
        <v>604</v>
      </c>
    </row>
    <row r="1416" spans="1:8" x14ac:dyDescent="0.2">
      <c r="A1416" t="s">
        <v>2627</v>
      </c>
      <c r="B1416" t="s">
        <v>1301</v>
      </c>
      <c r="C1416" t="s">
        <v>18</v>
      </c>
      <c r="D1416">
        <v>2</v>
      </c>
      <c r="E1416" t="s">
        <v>17</v>
      </c>
      <c r="F1416" t="s">
        <v>380</v>
      </c>
      <c r="G1416" t="s">
        <v>3201</v>
      </c>
      <c r="H1416" t="s">
        <v>604</v>
      </c>
    </row>
    <row r="1417" spans="1:8" x14ac:dyDescent="0.2">
      <c r="A1417" t="s">
        <v>2628</v>
      </c>
      <c r="B1417" t="s">
        <v>1301</v>
      </c>
      <c r="C1417" t="s">
        <v>16</v>
      </c>
      <c r="D1417">
        <v>4</v>
      </c>
      <c r="E1417" t="s">
        <v>17</v>
      </c>
      <c r="F1417" t="s">
        <v>380</v>
      </c>
      <c r="G1417" t="s">
        <v>3201</v>
      </c>
      <c r="H1417" t="s">
        <v>604</v>
      </c>
    </row>
    <row r="1418" spans="1:8" x14ac:dyDescent="0.2">
      <c r="A1418" t="s">
        <v>2629</v>
      </c>
      <c r="B1418" t="s">
        <v>1301</v>
      </c>
      <c r="C1418" t="s">
        <v>19</v>
      </c>
      <c r="D1418">
        <v>2</v>
      </c>
      <c r="E1418" t="s">
        <v>17</v>
      </c>
      <c r="F1418" t="s">
        <v>380</v>
      </c>
      <c r="G1418" t="s">
        <v>3201</v>
      </c>
      <c r="H1418" t="s">
        <v>604</v>
      </c>
    </row>
    <row r="1419" spans="1:8" x14ac:dyDescent="0.2">
      <c r="A1419" t="s">
        <v>2630</v>
      </c>
      <c r="B1419" t="s">
        <v>1301</v>
      </c>
      <c r="C1419" t="s">
        <v>18</v>
      </c>
      <c r="D1419">
        <v>2</v>
      </c>
      <c r="E1419" t="s">
        <v>17</v>
      </c>
      <c r="F1419" t="s">
        <v>380</v>
      </c>
      <c r="G1419" t="s">
        <v>3201</v>
      </c>
      <c r="H1419" t="s">
        <v>604</v>
      </c>
    </row>
    <row r="1420" spans="1:8" x14ac:dyDescent="0.2">
      <c r="A1420" t="s">
        <v>2631</v>
      </c>
      <c r="B1420" t="s">
        <v>1303</v>
      </c>
      <c r="C1420" t="s">
        <v>18</v>
      </c>
      <c r="D1420">
        <v>2</v>
      </c>
      <c r="E1420" t="s">
        <v>17</v>
      </c>
      <c r="F1420" t="s">
        <v>380</v>
      </c>
      <c r="G1420" t="s">
        <v>3201</v>
      </c>
      <c r="H1420" t="s">
        <v>604</v>
      </c>
    </row>
    <row r="1421" spans="1:8" x14ac:dyDescent="0.2">
      <c r="A1421" t="s">
        <v>2632</v>
      </c>
      <c r="B1421" t="s">
        <v>1303</v>
      </c>
      <c r="C1421" t="s">
        <v>18</v>
      </c>
      <c r="D1421">
        <v>2</v>
      </c>
      <c r="E1421" t="s">
        <v>17</v>
      </c>
      <c r="F1421" t="s">
        <v>380</v>
      </c>
      <c r="G1421" t="s">
        <v>3201</v>
      </c>
      <c r="H1421" t="s">
        <v>604</v>
      </c>
    </row>
    <row r="1422" spans="1:8" x14ac:dyDescent="0.2">
      <c r="A1422" t="s">
        <v>2633</v>
      </c>
      <c r="B1422" t="s">
        <v>1303</v>
      </c>
      <c r="C1422" t="s">
        <v>18</v>
      </c>
      <c r="D1422">
        <v>2</v>
      </c>
      <c r="E1422" t="s">
        <v>17</v>
      </c>
      <c r="F1422" t="s">
        <v>380</v>
      </c>
      <c r="G1422" t="s">
        <v>3201</v>
      </c>
      <c r="H1422" t="s">
        <v>604</v>
      </c>
    </row>
    <row r="1423" spans="1:8" x14ac:dyDescent="0.2">
      <c r="A1423" t="s">
        <v>2634</v>
      </c>
      <c r="B1423" t="s">
        <v>1303</v>
      </c>
      <c r="C1423" t="s">
        <v>18</v>
      </c>
      <c r="D1423">
        <v>2</v>
      </c>
      <c r="E1423" t="s">
        <v>21</v>
      </c>
      <c r="F1423" t="s">
        <v>381</v>
      </c>
      <c r="G1423" t="s">
        <v>3201</v>
      </c>
      <c r="H1423" t="s">
        <v>604</v>
      </c>
    </row>
    <row r="1424" spans="1:8" x14ac:dyDescent="0.2">
      <c r="A1424" t="s">
        <v>2635</v>
      </c>
      <c r="B1424" t="s">
        <v>1303</v>
      </c>
      <c r="C1424" t="s">
        <v>19</v>
      </c>
      <c r="D1424">
        <v>2</v>
      </c>
      <c r="E1424" t="s">
        <v>21</v>
      </c>
      <c r="F1424" t="s">
        <v>380</v>
      </c>
      <c r="G1424" t="s">
        <v>3201</v>
      </c>
      <c r="H1424" t="s">
        <v>604</v>
      </c>
    </row>
    <row r="1425" spans="1:8" x14ac:dyDescent="0.2">
      <c r="A1425" t="s">
        <v>2636</v>
      </c>
      <c r="B1425" t="s">
        <v>1305</v>
      </c>
      <c r="C1425" t="s">
        <v>18</v>
      </c>
      <c r="D1425">
        <v>2</v>
      </c>
      <c r="E1425" t="s">
        <v>21</v>
      </c>
      <c r="F1425" t="s">
        <v>380</v>
      </c>
      <c r="G1425" t="s">
        <v>3201</v>
      </c>
      <c r="H1425" t="s">
        <v>604</v>
      </c>
    </row>
    <row r="1426" spans="1:8" x14ac:dyDescent="0.2">
      <c r="A1426" t="s">
        <v>2637</v>
      </c>
      <c r="B1426" t="s">
        <v>1305</v>
      </c>
      <c r="C1426" t="s">
        <v>18</v>
      </c>
      <c r="D1426">
        <v>2</v>
      </c>
      <c r="E1426" t="s">
        <v>17</v>
      </c>
      <c r="F1426" t="s">
        <v>380</v>
      </c>
      <c r="G1426" t="s">
        <v>3201</v>
      </c>
      <c r="H1426" t="s">
        <v>604</v>
      </c>
    </row>
    <row r="1427" spans="1:8" x14ac:dyDescent="0.2">
      <c r="A1427" t="s">
        <v>2638</v>
      </c>
      <c r="B1427" t="s">
        <v>1305</v>
      </c>
      <c r="C1427" t="s">
        <v>19</v>
      </c>
      <c r="D1427">
        <v>2</v>
      </c>
      <c r="E1427" t="s">
        <v>17</v>
      </c>
      <c r="F1427" t="s">
        <v>380</v>
      </c>
      <c r="G1427" t="s">
        <v>3201</v>
      </c>
      <c r="H1427" t="s">
        <v>604</v>
      </c>
    </row>
    <row r="1428" spans="1:8" x14ac:dyDescent="0.2">
      <c r="A1428" t="s">
        <v>2639</v>
      </c>
      <c r="B1428" t="s">
        <v>1305</v>
      </c>
      <c r="C1428" t="s">
        <v>18</v>
      </c>
      <c r="D1428">
        <v>2</v>
      </c>
      <c r="E1428" t="s">
        <v>17</v>
      </c>
      <c r="F1428" t="s">
        <v>380</v>
      </c>
      <c r="G1428" t="s">
        <v>3201</v>
      </c>
      <c r="H1428" t="s">
        <v>604</v>
      </c>
    </row>
    <row r="1429" spans="1:8" x14ac:dyDescent="0.2">
      <c r="A1429" t="s">
        <v>2640</v>
      </c>
      <c r="B1429" t="s">
        <v>1305</v>
      </c>
      <c r="C1429" t="s">
        <v>18</v>
      </c>
      <c r="D1429">
        <v>2</v>
      </c>
      <c r="E1429" t="s">
        <v>17</v>
      </c>
      <c r="F1429" t="s">
        <v>380</v>
      </c>
      <c r="G1429" t="s">
        <v>3201</v>
      </c>
      <c r="H1429" t="s">
        <v>604</v>
      </c>
    </row>
    <row r="1430" spans="1:8" x14ac:dyDescent="0.2">
      <c r="A1430" t="s">
        <v>2641</v>
      </c>
      <c r="B1430" t="s">
        <v>1313</v>
      </c>
      <c r="C1430" t="s">
        <v>16</v>
      </c>
      <c r="D1430">
        <v>4</v>
      </c>
      <c r="E1430" t="s">
        <v>21</v>
      </c>
      <c r="F1430" t="s">
        <v>380</v>
      </c>
      <c r="G1430" t="s">
        <v>3201</v>
      </c>
      <c r="H1430" t="s">
        <v>604</v>
      </c>
    </row>
    <row r="1431" spans="1:8" x14ac:dyDescent="0.2">
      <c r="A1431" t="s">
        <v>2642</v>
      </c>
      <c r="B1431" t="s">
        <v>1313</v>
      </c>
      <c r="C1431" t="s">
        <v>16</v>
      </c>
      <c r="D1431">
        <v>4</v>
      </c>
      <c r="E1431" t="s">
        <v>17</v>
      </c>
      <c r="F1431" t="s">
        <v>380</v>
      </c>
      <c r="G1431" t="s">
        <v>3201</v>
      </c>
      <c r="H1431" t="s">
        <v>604</v>
      </c>
    </row>
    <row r="1432" spans="1:8" x14ac:dyDescent="0.2">
      <c r="A1432" t="s">
        <v>2643</v>
      </c>
      <c r="B1432" t="s">
        <v>1313</v>
      </c>
      <c r="C1432" t="s">
        <v>16</v>
      </c>
      <c r="D1432">
        <v>4</v>
      </c>
      <c r="E1432" t="s">
        <v>17</v>
      </c>
      <c r="F1432" t="s">
        <v>380</v>
      </c>
      <c r="G1432" t="s">
        <v>3201</v>
      </c>
      <c r="H1432" t="s">
        <v>604</v>
      </c>
    </row>
    <row r="1433" spans="1:8" x14ac:dyDescent="0.2">
      <c r="A1433" t="s">
        <v>2644</v>
      </c>
      <c r="B1433" t="s">
        <v>1313</v>
      </c>
      <c r="C1433" t="s">
        <v>16</v>
      </c>
      <c r="D1433">
        <v>4</v>
      </c>
      <c r="E1433" t="s">
        <v>17</v>
      </c>
      <c r="F1433" t="s">
        <v>380</v>
      </c>
      <c r="G1433" t="s">
        <v>3201</v>
      </c>
      <c r="H1433" t="s">
        <v>604</v>
      </c>
    </row>
    <row r="1434" spans="1:8" x14ac:dyDescent="0.2">
      <c r="A1434" t="s">
        <v>2645</v>
      </c>
      <c r="B1434" t="s">
        <v>1313</v>
      </c>
      <c r="C1434" t="s">
        <v>16</v>
      </c>
      <c r="D1434">
        <v>4</v>
      </c>
      <c r="E1434" t="s">
        <v>17</v>
      </c>
      <c r="F1434" t="s">
        <v>380</v>
      </c>
      <c r="G1434" t="s">
        <v>3201</v>
      </c>
      <c r="H1434" t="s">
        <v>604</v>
      </c>
    </row>
    <row r="1435" spans="1:8" x14ac:dyDescent="0.2">
      <c r="A1435" t="s">
        <v>2646</v>
      </c>
      <c r="B1435" t="s">
        <v>1315</v>
      </c>
      <c r="C1435" t="s">
        <v>18</v>
      </c>
      <c r="D1435">
        <v>3</v>
      </c>
      <c r="E1435" t="s">
        <v>17</v>
      </c>
      <c r="F1435" t="s">
        <v>380</v>
      </c>
      <c r="G1435" t="s">
        <v>3201</v>
      </c>
      <c r="H1435" t="s">
        <v>604</v>
      </c>
    </row>
    <row r="1436" spans="1:8" x14ac:dyDescent="0.2">
      <c r="A1436" t="s">
        <v>2647</v>
      </c>
      <c r="B1436" t="s">
        <v>1315</v>
      </c>
      <c r="C1436" t="s">
        <v>16</v>
      </c>
      <c r="D1436">
        <v>4</v>
      </c>
      <c r="E1436" t="s">
        <v>17</v>
      </c>
      <c r="F1436" t="s">
        <v>380</v>
      </c>
      <c r="G1436" t="s">
        <v>3201</v>
      </c>
      <c r="H1436" t="s">
        <v>604</v>
      </c>
    </row>
    <row r="1437" spans="1:8" x14ac:dyDescent="0.2">
      <c r="A1437" t="s">
        <v>2648</v>
      </c>
      <c r="B1437" t="s">
        <v>1315</v>
      </c>
      <c r="C1437" t="s">
        <v>16</v>
      </c>
      <c r="D1437">
        <v>4</v>
      </c>
      <c r="E1437" t="s">
        <v>17</v>
      </c>
      <c r="F1437" t="s">
        <v>380</v>
      </c>
      <c r="G1437" t="s">
        <v>3201</v>
      </c>
      <c r="H1437" t="s">
        <v>604</v>
      </c>
    </row>
    <row r="1438" spans="1:8" x14ac:dyDescent="0.2">
      <c r="A1438" t="s">
        <v>2649</v>
      </c>
      <c r="B1438" t="s">
        <v>1315</v>
      </c>
      <c r="C1438" t="s">
        <v>18</v>
      </c>
      <c r="D1438">
        <v>1</v>
      </c>
      <c r="E1438" t="s">
        <v>17</v>
      </c>
      <c r="F1438" t="s">
        <v>380</v>
      </c>
      <c r="G1438" t="s">
        <v>3201</v>
      </c>
      <c r="H1438" t="s">
        <v>604</v>
      </c>
    </row>
    <row r="1439" spans="1:8" x14ac:dyDescent="0.2">
      <c r="A1439" t="s">
        <v>2650</v>
      </c>
      <c r="B1439" t="s">
        <v>1315</v>
      </c>
      <c r="C1439" t="s">
        <v>16</v>
      </c>
      <c r="D1439">
        <v>4</v>
      </c>
      <c r="E1439" t="s">
        <v>17</v>
      </c>
      <c r="F1439" t="s">
        <v>380</v>
      </c>
      <c r="G1439" t="s">
        <v>3201</v>
      </c>
      <c r="H1439" t="s">
        <v>604</v>
      </c>
    </row>
    <row r="1440" spans="1:8" x14ac:dyDescent="0.2">
      <c r="A1440" t="s">
        <v>2651</v>
      </c>
      <c r="B1440" t="s">
        <v>1317</v>
      </c>
      <c r="C1440" t="s">
        <v>19</v>
      </c>
      <c r="D1440">
        <v>2</v>
      </c>
      <c r="E1440" t="s">
        <v>17</v>
      </c>
      <c r="F1440" t="s">
        <v>380</v>
      </c>
      <c r="G1440" t="s">
        <v>3201</v>
      </c>
      <c r="H1440" t="s">
        <v>604</v>
      </c>
    </row>
    <row r="1441" spans="1:8" x14ac:dyDescent="0.2">
      <c r="A1441" t="s">
        <v>2652</v>
      </c>
      <c r="B1441" t="s">
        <v>1317</v>
      </c>
      <c r="C1441" t="s">
        <v>18</v>
      </c>
      <c r="D1441">
        <v>1</v>
      </c>
      <c r="E1441" t="s">
        <v>21</v>
      </c>
      <c r="F1441" t="s">
        <v>380</v>
      </c>
      <c r="G1441" t="s">
        <v>3201</v>
      </c>
      <c r="H1441" t="s">
        <v>604</v>
      </c>
    </row>
    <row r="1442" spans="1:8" x14ac:dyDescent="0.2">
      <c r="A1442" t="s">
        <v>2653</v>
      </c>
      <c r="B1442" t="s">
        <v>1317</v>
      </c>
      <c r="C1442" t="s">
        <v>18</v>
      </c>
      <c r="D1442">
        <v>1</v>
      </c>
      <c r="E1442" t="s">
        <v>17</v>
      </c>
      <c r="F1442" t="s">
        <v>380</v>
      </c>
      <c r="G1442" t="s">
        <v>3201</v>
      </c>
      <c r="H1442" t="s">
        <v>604</v>
      </c>
    </row>
    <row r="1443" spans="1:8" x14ac:dyDescent="0.2">
      <c r="A1443" t="s">
        <v>2654</v>
      </c>
      <c r="B1443" t="s">
        <v>1317</v>
      </c>
      <c r="C1443" t="s">
        <v>18</v>
      </c>
      <c r="D1443">
        <v>2</v>
      </c>
      <c r="E1443" t="s">
        <v>17</v>
      </c>
      <c r="F1443" t="s">
        <v>380</v>
      </c>
      <c r="G1443" t="s">
        <v>3201</v>
      </c>
      <c r="H1443" t="s">
        <v>604</v>
      </c>
    </row>
    <row r="1444" spans="1:8" x14ac:dyDescent="0.2">
      <c r="A1444" t="s">
        <v>2655</v>
      </c>
      <c r="B1444" t="s">
        <v>1317</v>
      </c>
      <c r="C1444" t="s">
        <v>19</v>
      </c>
      <c r="D1444">
        <v>2</v>
      </c>
      <c r="E1444" t="s">
        <v>17</v>
      </c>
      <c r="F1444" t="s">
        <v>380</v>
      </c>
      <c r="G1444" t="s">
        <v>3201</v>
      </c>
      <c r="H1444" t="s">
        <v>604</v>
      </c>
    </row>
    <row r="1445" spans="1:8" x14ac:dyDescent="0.2">
      <c r="A1445" t="s">
        <v>2666</v>
      </c>
      <c r="B1445" t="s">
        <v>2663</v>
      </c>
      <c r="C1445" t="s">
        <v>16</v>
      </c>
      <c r="D1445">
        <v>4</v>
      </c>
      <c r="E1445" t="s">
        <v>21</v>
      </c>
      <c r="F1445" t="s">
        <v>380</v>
      </c>
      <c r="G1445" t="s">
        <v>608</v>
      </c>
      <c r="H1445" t="s">
        <v>604</v>
      </c>
    </row>
    <row r="1446" spans="1:8" x14ac:dyDescent="0.2">
      <c r="A1446" t="s">
        <v>2667</v>
      </c>
      <c r="B1446" t="s">
        <v>2663</v>
      </c>
      <c r="C1446" t="s">
        <v>18</v>
      </c>
      <c r="D1446">
        <v>3</v>
      </c>
      <c r="E1446" t="s">
        <v>21</v>
      </c>
      <c r="F1446" t="s">
        <v>380</v>
      </c>
      <c r="G1446" t="s">
        <v>608</v>
      </c>
      <c r="H1446" t="s">
        <v>604</v>
      </c>
    </row>
    <row r="1447" spans="1:8" x14ac:dyDescent="0.2">
      <c r="A1447" t="s">
        <v>2668</v>
      </c>
      <c r="B1447" t="s">
        <v>2669</v>
      </c>
      <c r="C1447" t="s">
        <v>18</v>
      </c>
      <c r="D1447">
        <v>3</v>
      </c>
      <c r="E1447" t="s">
        <v>17</v>
      </c>
      <c r="F1447" t="s">
        <v>380</v>
      </c>
      <c r="G1447" t="s">
        <v>608</v>
      </c>
      <c r="H1447" t="s">
        <v>604</v>
      </c>
    </row>
    <row r="1448" spans="1:8" x14ac:dyDescent="0.2">
      <c r="A1448" t="s">
        <v>2670</v>
      </c>
      <c r="B1448" t="s">
        <v>2669</v>
      </c>
      <c r="C1448" t="s">
        <v>18</v>
      </c>
      <c r="D1448">
        <v>2</v>
      </c>
      <c r="E1448" t="s">
        <v>17</v>
      </c>
      <c r="F1448" t="s">
        <v>380</v>
      </c>
      <c r="G1448" t="s">
        <v>608</v>
      </c>
      <c r="H1448" t="s">
        <v>604</v>
      </c>
    </row>
    <row r="1449" spans="1:8" x14ac:dyDescent="0.2">
      <c r="A1449" t="s">
        <v>2671</v>
      </c>
      <c r="B1449" t="s">
        <v>2669</v>
      </c>
      <c r="C1449" t="s">
        <v>18</v>
      </c>
      <c r="D1449">
        <v>1</v>
      </c>
      <c r="E1449" t="s">
        <v>17</v>
      </c>
      <c r="F1449" t="s">
        <v>380</v>
      </c>
      <c r="G1449" t="s">
        <v>608</v>
      </c>
      <c r="H1449" t="s">
        <v>604</v>
      </c>
    </row>
    <row r="1450" spans="1:8" x14ac:dyDescent="0.2">
      <c r="A1450" t="s">
        <v>2672</v>
      </c>
      <c r="B1450" t="s">
        <v>2669</v>
      </c>
      <c r="C1450" t="s">
        <v>19</v>
      </c>
      <c r="D1450">
        <v>2</v>
      </c>
      <c r="E1450" t="s">
        <v>17</v>
      </c>
      <c r="F1450" t="s">
        <v>381</v>
      </c>
      <c r="G1450" t="s">
        <v>608</v>
      </c>
      <c r="H1450" t="s">
        <v>604</v>
      </c>
    </row>
    <row r="1451" spans="1:8" x14ac:dyDescent="0.2">
      <c r="A1451" t="s">
        <v>2673</v>
      </c>
      <c r="B1451" t="s">
        <v>2669</v>
      </c>
      <c r="C1451" t="s">
        <v>16</v>
      </c>
      <c r="D1451">
        <v>4</v>
      </c>
      <c r="E1451" t="s">
        <v>17</v>
      </c>
      <c r="F1451" t="s">
        <v>380</v>
      </c>
      <c r="G1451" t="s">
        <v>608</v>
      </c>
      <c r="H1451" t="s">
        <v>604</v>
      </c>
    </row>
    <row r="1452" spans="1:8" x14ac:dyDescent="0.2">
      <c r="A1452" t="s">
        <v>2674</v>
      </c>
      <c r="B1452" t="s">
        <v>2675</v>
      </c>
      <c r="C1452" t="s">
        <v>16</v>
      </c>
      <c r="D1452">
        <v>4</v>
      </c>
      <c r="E1452" t="s">
        <v>21</v>
      </c>
      <c r="F1452" t="s">
        <v>380</v>
      </c>
      <c r="G1452" t="s">
        <v>608</v>
      </c>
      <c r="H1452" t="s">
        <v>604</v>
      </c>
    </row>
    <row r="1453" spans="1:8" x14ac:dyDescent="0.2">
      <c r="A1453" t="s">
        <v>2676</v>
      </c>
      <c r="B1453" t="s">
        <v>2675</v>
      </c>
      <c r="C1453" t="s">
        <v>16</v>
      </c>
      <c r="D1453">
        <v>4</v>
      </c>
      <c r="E1453" t="s">
        <v>21</v>
      </c>
      <c r="F1453" t="s">
        <v>380</v>
      </c>
      <c r="G1453" t="s">
        <v>608</v>
      </c>
      <c r="H1453" t="s">
        <v>604</v>
      </c>
    </row>
    <row r="1454" spans="1:8" x14ac:dyDescent="0.2">
      <c r="A1454" t="s">
        <v>2677</v>
      </c>
      <c r="B1454" t="s">
        <v>2675</v>
      </c>
      <c r="C1454" t="s">
        <v>18</v>
      </c>
      <c r="D1454">
        <v>2</v>
      </c>
      <c r="E1454" t="s">
        <v>17</v>
      </c>
      <c r="F1454" t="s">
        <v>380</v>
      </c>
      <c r="G1454" t="s">
        <v>608</v>
      </c>
      <c r="H1454" t="s">
        <v>604</v>
      </c>
    </row>
    <row r="1455" spans="1:8" x14ac:dyDescent="0.2">
      <c r="A1455" t="s">
        <v>2678</v>
      </c>
      <c r="B1455" t="s">
        <v>2675</v>
      </c>
      <c r="C1455" t="s">
        <v>18</v>
      </c>
      <c r="D1455">
        <v>1</v>
      </c>
      <c r="E1455" t="s">
        <v>21</v>
      </c>
      <c r="F1455" t="s">
        <v>380</v>
      </c>
      <c r="G1455" t="s">
        <v>608</v>
      </c>
      <c r="H1455" t="s">
        <v>604</v>
      </c>
    </row>
    <row r="1456" spans="1:8" x14ac:dyDescent="0.2">
      <c r="A1456" t="s">
        <v>2679</v>
      </c>
      <c r="B1456" t="s">
        <v>2675</v>
      </c>
      <c r="C1456" t="s">
        <v>16</v>
      </c>
      <c r="D1456">
        <v>4</v>
      </c>
      <c r="E1456" t="s">
        <v>17</v>
      </c>
      <c r="F1456" t="s">
        <v>380</v>
      </c>
      <c r="G1456" t="s">
        <v>608</v>
      </c>
      <c r="H1456" t="s">
        <v>604</v>
      </c>
    </row>
    <row r="1457" spans="1:8" x14ac:dyDescent="0.2">
      <c r="A1457" t="s">
        <v>2680</v>
      </c>
      <c r="B1457" t="s">
        <v>2681</v>
      </c>
      <c r="C1457" t="s">
        <v>16</v>
      </c>
      <c r="D1457">
        <v>4</v>
      </c>
      <c r="E1457" t="s">
        <v>17</v>
      </c>
      <c r="F1457" t="s">
        <v>381</v>
      </c>
      <c r="G1457" t="s">
        <v>608</v>
      </c>
      <c r="H1457" t="s">
        <v>604</v>
      </c>
    </row>
    <row r="1458" spans="1:8" x14ac:dyDescent="0.2">
      <c r="A1458" t="s">
        <v>2682</v>
      </c>
      <c r="B1458" t="s">
        <v>2681</v>
      </c>
      <c r="C1458" t="s">
        <v>16</v>
      </c>
      <c r="D1458">
        <v>4</v>
      </c>
      <c r="E1458" t="s">
        <v>17</v>
      </c>
      <c r="F1458" t="s">
        <v>381</v>
      </c>
      <c r="G1458" t="s">
        <v>608</v>
      </c>
      <c r="H1458" t="s">
        <v>604</v>
      </c>
    </row>
    <row r="1459" spans="1:8" x14ac:dyDescent="0.2">
      <c r="A1459" t="s">
        <v>2683</v>
      </c>
      <c r="B1459" t="s">
        <v>2681</v>
      </c>
      <c r="C1459" t="s">
        <v>18</v>
      </c>
      <c r="D1459">
        <v>2</v>
      </c>
      <c r="E1459" t="s">
        <v>17</v>
      </c>
      <c r="F1459" t="s">
        <v>380</v>
      </c>
      <c r="G1459" t="s">
        <v>608</v>
      </c>
      <c r="H1459" t="s">
        <v>604</v>
      </c>
    </row>
    <row r="1460" spans="1:8" x14ac:dyDescent="0.2">
      <c r="A1460" t="s">
        <v>2684</v>
      </c>
      <c r="B1460" t="s">
        <v>2681</v>
      </c>
      <c r="C1460" t="s">
        <v>18</v>
      </c>
      <c r="D1460">
        <v>1</v>
      </c>
      <c r="E1460" t="s">
        <v>21</v>
      </c>
      <c r="F1460" t="s">
        <v>380</v>
      </c>
      <c r="G1460" t="s">
        <v>608</v>
      </c>
      <c r="H1460" t="s">
        <v>604</v>
      </c>
    </row>
    <row r="1461" spans="1:8" x14ac:dyDescent="0.2">
      <c r="A1461" t="s">
        <v>2685</v>
      </c>
      <c r="B1461" t="s">
        <v>2681</v>
      </c>
      <c r="C1461" t="s">
        <v>18</v>
      </c>
      <c r="D1461">
        <v>1</v>
      </c>
      <c r="E1461" t="s">
        <v>17</v>
      </c>
      <c r="F1461" t="s">
        <v>380</v>
      </c>
      <c r="G1461" t="s">
        <v>608</v>
      </c>
      <c r="H1461" t="s">
        <v>604</v>
      </c>
    </row>
    <row r="1462" spans="1:8" x14ac:dyDescent="0.2">
      <c r="A1462" t="s">
        <v>2686</v>
      </c>
      <c r="B1462" t="s">
        <v>2687</v>
      </c>
      <c r="C1462" t="s">
        <v>18</v>
      </c>
      <c r="D1462">
        <v>1</v>
      </c>
      <c r="E1462" t="s">
        <v>17</v>
      </c>
      <c r="F1462" t="s">
        <v>380</v>
      </c>
      <c r="G1462" t="s">
        <v>608</v>
      </c>
      <c r="H1462" t="s">
        <v>604</v>
      </c>
    </row>
    <row r="1463" spans="1:8" x14ac:dyDescent="0.2">
      <c r="A1463" t="s">
        <v>2688</v>
      </c>
      <c r="B1463" t="s">
        <v>2687</v>
      </c>
      <c r="C1463" t="s">
        <v>18</v>
      </c>
      <c r="D1463">
        <v>1</v>
      </c>
      <c r="E1463" t="s">
        <v>21</v>
      </c>
      <c r="F1463" t="s">
        <v>380</v>
      </c>
      <c r="G1463" t="s">
        <v>608</v>
      </c>
      <c r="H1463" t="s">
        <v>604</v>
      </c>
    </row>
    <row r="1464" spans="1:8" x14ac:dyDescent="0.2">
      <c r="A1464" t="s">
        <v>2689</v>
      </c>
      <c r="B1464" t="s">
        <v>2687</v>
      </c>
      <c r="C1464" t="s">
        <v>18</v>
      </c>
      <c r="D1464">
        <v>2</v>
      </c>
      <c r="E1464" t="s">
        <v>17</v>
      </c>
      <c r="F1464" t="s">
        <v>380</v>
      </c>
      <c r="G1464" t="s">
        <v>608</v>
      </c>
      <c r="H1464" t="s">
        <v>604</v>
      </c>
    </row>
    <row r="1465" spans="1:8" x14ac:dyDescent="0.2">
      <c r="A1465" t="s">
        <v>2690</v>
      </c>
      <c r="B1465" t="s">
        <v>2687</v>
      </c>
      <c r="C1465" t="s">
        <v>19</v>
      </c>
      <c r="D1465">
        <v>1</v>
      </c>
      <c r="E1465" t="s">
        <v>17</v>
      </c>
      <c r="F1465" t="s">
        <v>380</v>
      </c>
      <c r="G1465" t="s">
        <v>608</v>
      </c>
      <c r="H1465" t="s">
        <v>604</v>
      </c>
    </row>
    <row r="1466" spans="1:8" x14ac:dyDescent="0.2">
      <c r="A1466" t="s">
        <v>2691</v>
      </c>
      <c r="B1466" t="s">
        <v>2687</v>
      </c>
      <c r="C1466" t="s">
        <v>16</v>
      </c>
      <c r="D1466">
        <v>4</v>
      </c>
      <c r="E1466" t="s">
        <v>17</v>
      </c>
      <c r="F1466" t="s">
        <v>380</v>
      </c>
      <c r="G1466" t="s">
        <v>608</v>
      </c>
      <c r="H1466" t="s">
        <v>604</v>
      </c>
    </row>
    <row r="1467" spans="1:8" x14ac:dyDescent="0.2">
      <c r="A1467" t="s">
        <v>2692</v>
      </c>
      <c r="B1467" t="s">
        <v>2693</v>
      </c>
      <c r="C1467" t="s">
        <v>16</v>
      </c>
      <c r="D1467" t="s">
        <v>608</v>
      </c>
      <c r="E1467" t="s">
        <v>17</v>
      </c>
      <c r="F1467" t="s">
        <v>381</v>
      </c>
      <c r="G1467" t="s">
        <v>608</v>
      </c>
      <c r="H1467" t="s">
        <v>604</v>
      </c>
    </row>
    <row r="1468" spans="1:8" x14ac:dyDescent="0.2">
      <c r="A1468" t="s">
        <v>2694</v>
      </c>
      <c r="B1468" t="s">
        <v>2693</v>
      </c>
      <c r="C1468" t="s">
        <v>16</v>
      </c>
      <c r="D1468">
        <v>4</v>
      </c>
      <c r="E1468" t="s">
        <v>21</v>
      </c>
      <c r="F1468" t="s">
        <v>380</v>
      </c>
      <c r="G1468" t="s">
        <v>608</v>
      </c>
      <c r="H1468" t="s">
        <v>604</v>
      </c>
    </row>
    <row r="1469" spans="1:8" x14ac:dyDescent="0.2">
      <c r="A1469" t="s">
        <v>2695</v>
      </c>
      <c r="B1469" t="s">
        <v>2693</v>
      </c>
      <c r="C1469" t="s">
        <v>19</v>
      </c>
      <c r="D1469">
        <v>2</v>
      </c>
      <c r="E1469" t="s">
        <v>17</v>
      </c>
      <c r="F1469" t="s">
        <v>380</v>
      </c>
      <c r="G1469" t="s">
        <v>608</v>
      </c>
      <c r="H1469" t="s">
        <v>604</v>
      </c>
    </row>
    <row r="1470" spans="1:8" x14ac:dyDescent="0.2">
      <c r="A1470" t="s">
        <v>2696</v>
      </c>
      <c r="B1470" t="s">
        <v>2693</v>
      </c>
      <c r="C1470" t="s">
        <v>16</v>
      </c>
      <c r="D1470">
        <v>4</v>
      </c>
      <c r="E1470" t="s">
        <v>17</v>
      </c>
      <c r="F1470" t="s">
        <v>380</v>
      </c>
      <c r="G1470" t="s">
        <v>608</v>
      </c>
      <c r="H1470" t="s">
        <v>604</v>
      </c>
    </row>
    <row r="1471" spans="1:8" x14ac:dyDescent="0.2">
      <c r="A1471" t="s">
        <v>2697</v>
      </c>
      <c r="B1471" t="s">
        <v>2693</v>
      </c>
      <c r="C1471" t="s">
        <v>18</v>
      </c>
      <c r="D1471">
        <v>2</v>
      </c>
      <c r="E1471" t="s">
        <v>21</v>
      </c>
      <c r="F1471" t="s">
        <v>380</v>
      </c>
      <c r="G1471" t="s">
        <v>608</v>
      </c>
      <c r="H1471" t="s">
        <v>604</v>
      </c>
    </row>
    <row r="1472" spans="1:8" x14ac:dyDescent="0.2">
      <c r="A1472" t="s">
        <v>2698</v>
      </c>
      <c r="B1472" t="s">
        <v>2699</v>
      </c>
      <c r="C1472" t="s">
        <v>19</v>
      </c>
      <c r="D1472">
        <v>2</v>
      </c>
      <c r="E1472" t="s">
        <v>17</v>
      </c>
      <c r="F1472" t="s">
        <v>380</v>
      </c>
      <c r="G1472" t="s">
        <v>608</v>
      </c>
      <c r="H1472" t="s">
        <v>604</v>
      </c>
    </row>
    <row r="1473" spans="1:8" x14ac:dyDescent="0.2">
      <c r="A1473" t="s">
        <v>2700</v>
      </c>
      <c r="B1473" t="s">
        <v>2699</v>
      </c>
      <c r="C1473" t="s">
        <v>16</v>
      </c>
      <c r="D1473">
        <v>4</v>
      </c>
      <c r="E1473" t="s">
        <v>21</v>
      </c>
      <c r="F1473" t="s">
        <v>380</v>
      </c>
      <c r="G1473" t="s">
        <v>608</v>
      </c>
      <c r="H1473" t="s">
        <v>604</v>
      </c>
    </row>
    <row r="1474" spans="1:8" x14ac:dyDescent="0.2">
      <c r="A1474" t="s">
        <v>2701</v>
      </c>
      <c r="B1474" t="s">
        <v>2699</v>
      </c>
      <c r="C1474" t="s">
        <v>18</v>
      </c>
      <c r="D1474">
        <v>2</v>
      </c>
      <c r="E1474" t="s">
        <v>17</v>
      </c>
      <c r="F1474" t="s">
        <v>380</v>
      </c>
      <c r="G1474" t="s">
        <v>608</v>
      </c>
      <c r="H1474" t="s">
        <v>604</v>
      </c>
    </row>
    <row r="1475" spans="1:8" x14ac:dyDescent="0.2">
      <c r="A1475" t="s">
        <v>2702</v>
      </c>
      <c r="B1475" t="s">
        <v>2699</v>
      </c>
      <c r="C1475" t="s">
        <v>18</v>
      </c>
      <c r="D1475">
        <v>2</v>
      </c>
      <c r="E1475" t="s">
        <v>17</v>
      </c>
      <c r="F1475" t="s">
        <v>380</v>
      </c>
      <c r="G1475" t="s">
        <v>608</v>
      </c>
      <c r="H1475" t="s">
        <v>604</v>
      </c>
    </row>
    <row r="1476" spans="1:8" x14ac:dyDescent="0.2">
      <c r="A1476" t="s">
        <v>2703</v>
      </c>
      <c r="B1476" t="s">
        <v>2699</v>
      </c>
      <c r="C1476" t="s">
        <v>19</v>
      </c>
      <c r="D1476">
        <v>2</v>
      </c>
      <c r="E1476" t="s">
        <v>17</v>
      </c>
      <c r="F1476" t="s">
        <v>380</v>
      </c>
      <c r="G1476" t="s">
        <v>608</v>
      </c>
      <c r="H1476" t="s">
        <v>604</v>
      </c>
    </row>
    <row r="1477" spans="1:8" x14ac:dyDescent="0.2">
      <c r="A1477" t="s">
        <v>2704</v>
      </c>
      <c r="B1477" t="s">
        <v>2705</v>
      </c>
      <c r="C1477" t="s">
        <v>18</v>
      </c>
      <c r="D1477">
        <v>2</v>
      </c>
      <c r="E1477" t="s">
        <v>17</v>
      </c>
      <c r="F1477" t="s">
        <v>380</v>
      </c>
      <c r="G1477" t="s">
        <v>608</v>
      </c>
      <c r="H1477" t="s">
        <v>604</v>
      </c>
    </row>
    <row r="1478" spans="1:8" x14ac:dyDescent="0.2">
      <c r="A1478" t="s">
        <v>2706</v>
      </c>
      <c r="B1478" t="s">
        <v>2705</v>
      </c>
      <c r="C1478" t="s">
        <v>19</v>
      </c>
      <c r="D1478">
        <v>2</v>
      </c>
      <c r="E1478" t="s">
        <v>17</v>
      </c>
      <c r="F1478" t="s">
        <v>380</v>
      </c>
      <c r="G1478" t="s">
        <v>608</v>
      </c>
      <c r="H1478" t="s">
        <v>604</v>
      </c>
    </row>
    <row r="1479" spans="1:8" x14ac:dyDescent="0.2">
      <c r="A1479" t="s">
        <v>2707</v>
      </c>
      <c r="B1479" t="s">
        <v>2705</v>
      </c>
      <c r="C1479" t="s">
        <v>18</v>
      </c>
      <c r="D1479">
        <v>2</v>
      </c>
      <c r="E1479" t="s">
        <v>17</v>
      </c>
      <c r="F1479" t="s">
        <v>380</v>
      </c>
      <c r="G1479" t="s">
        <v>608</v>
      </c>
      <c r="H1479" t="s">
        <v>604</v>
      </c>
    </row>
    <row r="1480" spans="1:8" x14ac:dyDescent="0.2">
      <c r="A1480" t="s">
        <v>2708</v>
      </c>
      <c r="B1480" t="s">
        <v>2705</v>
      </c>
      <c r="C1480" t="s">
        <v>18</v>
      </c>
      <c r="D1480">
        <v>2</v>
      </c>
      <c r="E1480" t="s">
        <v>17</v>
      </c>
      <c r="F1480" t="s">
        <v>380</v>
      </c>
      <c r="G1480" t="s">
        <v>608</v>
      </c>
      <c r="H1480" t="s">
        <v>604</v>
      </c>
    </row>
    <row r="1481" spans="1:8" x14ac:dyDescent="0.2">
      <c r="A1481" t="s">
        <v>2709</v>
      </c>
      <c r="B1481" t="s">
        <v>2705</v>
      </c>
      <c r="C1481" t="s">
        <v>18</v>
      </c>
      <c r="D1481">
        <v>2</v>
      </c>
      <c r="E1481" t="s">
        <v>17</v>
      </c>
      <c r="F1481" t="s">
        <v>380</v>
      </c>
      <c r="G1481" t="s">
        <v>608</v>
      </c>
      <c r="H1481" t="s">
        <v>604</v>
      </c>
    </row>
    <row r="1482" spans="1:8" x14ac:dyDescent="0.2">
      <c r="A1482" t="s">
        <v>2710</v>
      </c>
      <c r="B1482" t="s">
        <v>2711</v>
      </c>
      <c r="C1482" t="s">
        <v>18</v>
      </c>
      <c r="D1482">
        <v>2</v>
      </c>
      <c r="E1482" t="s">
        <v>17</v>
      </c>
      <c r="F1482" t="s">
        <v>380</v>
      </c>
      <c r="G1482" t="s">
        <v>608</v>
      </c>
      <c r="H1482" t="s">
        <v>604</v>
      </c>
    </row>
    <row r="1483" spans="1:8" x14ac:dyDescent="0.2">
      <c r="A1483" t="s">
        <v>2712</v>
      </c>
      <c r="B1483" t="s">
        <v>2711</v>
      </c>
      <c r="C1483" t="s">
        <v>18</v>
      </c>
      <c r="D1483">
        <v>2</v>
      </c>
      <c r="E1483" t="s">
        <v>17</v>
      </c>
      <c r="F1483" t="s">
        <v>380</v>
      </c>
      <c r="G1483" t="s">
        <v>608</v>
      </c>
      <c r="H1483" t="s">
        <v>604</v>
      </c>
    </row>
    <row r="1484" spans="1:8" x14ac:dyDescent="0.2">
      <c r="A1484" t="s">
        <v>2713</v>
      </c>
      <c r="B1484" t="s">
        <v>2711</v>
      </c>
      <c r="C1484" t="s">
        <v>18</v>
      </c>
      <c r="D1484">
        <v>2</v>
      </c>
      <c r="E1484" t="s">
        <v>17</v>
      </c>
      <c r="F1484" t="s">
        <v>380</v>
      </c>
      <c r="G1484" t="s">
        <v>608</v>
      </c>
      <c r="H1484" t="s">
        <v>604</v>
      </c>
    </row>
    <row r="1485" spans="1:8" x14ac:dyDescent="0.2">
      <c r="A1485" t="s">
        <v>2714</v>
      </c>
      <c r="B1485" t="s">
        <v>2711</v>
      </c>
      <c r="C1485" t="s">
        <v>16</v>
      </c>
      <c r="D1485">
        <v>4</v>
      </c>
      <c r="E1485" t="s">
        <v>21</v>
      </c>
      <c r="F1485" t="s">
        <v>380</v>
      </c>
      <c r="G1485" t="s">
        <v>608</v>
      </c>
      <c r="H1485" t="s">
        <v>604</v>
      </c>
    </row>
    <row r="1486" spans="1:8" x14ac:dyDescent="0.2">
      <c r="A1486" t="s">
        <v>2715</v>
      </c>
      <c r="B1486" t="s">
        <v>2711</v>
      </c>
      <c r="C1486" t="s">
        <v>18</v>
      </c>
      <c r="D1486">
        <v>2</v>
      </c>
      <c r="E1486" t="s">
        <v>17</v>
      </c>
      <c r="F1486" t="s">
        <v>380</v>
      </c>
      <c r="G1486" t="s">
        <v>608</v>
      </c>
      <c r="H1486" t="s">
        <v>604</v>
      </c>
    </row>
    <row r="1487" spans="1:8" x14ac:dyDescent="0.2">
      <c r="A1487" t="s">
        <v>2716</v>
      </c>
      <c r="B1487" t="s">
        <v>2717</v>
      </c>
      <c r="C1487" t="s">
        <v>18</v>
      </c>
      <c r="D1487">
        <v>1</v>
      </c>
      <c r="E1487" t="s">
        <v>17</v>
      </c>
      <c r="F1487" t="s">
        <v>380</v>
      </c>
      <c r="G1487" t="s">
        <v>608</v>
      </c>
      <c r="H1487" t="s">
        <v>604</v>
      </c>
    </row>
    <row r="1488" spans="1:8" x14ac:dyDescent="0.2">
      <c r="A1488" t="s">
        <v>2718</v>
      </c>
      <c r="B1488" t="s">
        <v>2717</v>
      </c>
      <c r="C1488" t="s">
        <v>18</v>
      </c>
      <c r="D1488">
        <v>2</v>
      </c>
      <c r="E1488" t="s">
        <v>17</v>
      </c>
      <c r="F1488" t="s">
        <v>380</v>
      </c>
      <c r="G1488" t="s">
        <v>608</v>
      </c>
      <c r="H1488" t="s">
        <v>604</v>
      </c>
    </row>
    <row r="1489" spans="1:8" x14ac:dyDescent="0.2">
      <c r="A1489" t="s">
        <v>2719</v>
      </c>
      <c r="B1489" t="s">
        <v>2717</v>
      </c>
      <c r="C1489" t="s">
        <v>18</v>
      </c>
      <c r="D1489">
        <v>2</v>
      </c>
      <c r="E1489" t="s">
        <v>17</v>
      </c>
      <c r="F1489" t="s">
        <v>380</v>
      </c>
      <c r="G1489" t="s">
        <v>608</v>
      </c>
      <c r="H1489" t="s">
        <v>604</v>
      </c>
    </row>
    <row r="1490" spans="1:8" x14ac:dyDescent="0.2">
      <c r="A1490" t="s">
        <v>2720</v>
      </c>
      <c r="B1490" t="s">
        <v>2717</v>
      </c>
      <c r="C1490" t="s">
        <v>16</v>
      </c>
      <c r="D1490">
        <v>4</v>
      </c>
      <c r="E1490" t="s">
        <v>17</v>
      </c>
      <c r="F1490" t="s">
        <v>380</v>
      </c>
      <c r="G1490" t="s">
        <v>608</v>
      </c>
      <c r="H1490" t="s">
        <v>604</v>
      </c>
    </row>
    <row r="1491" spans="1:8" x14ac:dyDescent="0.2">
      <c r="A1491" t="s">
        <v>2721</v>
      </c>
      <c r="B1491" t="s">
        <v>2717</v>
      </c>
      <c r="C1491" t="s">
        <v>18</v>
      </c>
      <c r="D1491">
        <v>3</v>
      </c>
      <c r="E1491" t="s">
        <v>17</v>
      </c>
      <c r="F1491" t="s">
        <v>380</v>
      </c>
      <c r="G1491" t="s">
        <v>608</v>
      </c>
      <c r="H1491" t="s">
        <v>604</v>
      </c>
    </row>
    <row r="1492" spans="1:8" x14ac:dyDescent="0.2">
      <c r="A1492" t="s">
        <v>2722</v>
      </c>
      <c r="B1492" t="s">
        <v>2723</v>
      </c>
      <c r="C1492" t="s">
        <v>16</v>
      </c>
      <c r="D1492" t="s">
        <v>16</v>
      </c>
      <c r="E1492" t="s">
        <v>20</v>
      </c>
      <c r="F1492" t="s">
        <v>380</v>
      </c>
      <c r="G1492" t="s">
        <v>608</v>
      </c>
      <c r="H1492" t="s">
        <v>604</v>
      </c>
    </row>
    <row r="1493" spans="1:8" x14ac:dyDescent="0.2">
      <c r="A1493" t="s">
        <v>2724</v>
      </c>
      <c r="B1493" t="s">
        <v>2723</v>
      </c>
      <c r="C1493" t="s">
        <v>18</v>
      </c>
      <c r="D1493">
        <v>2</v>
      </c>
      <c r="E1493" t="s">
        <v>17</v>
      </c>
      <c r="F1493" t="s">
        <v>380</v>
      </c>
      <c r="G1493" t="s">
        <v>608</v>
      </c>
      <c r="H1493" t="s">
        <v>604</v>
      </c>
    </row>
    <row r="1494" spans="1:8" x14ac:dyDescent="0.2">
      <c r="A1494" t="s">
        <v>2725</v>
      </c>
      <c r="B1494" t="s">
        <v>2723</v>
      </c>
      <c r="C1494" t="s">
        <v>18</v>
      </c>
      <c r="D1494">
        <v>2</v>
      </c>
      <c r="E1494" t="s">
        <v>21</v>
      </c>
      <c r="F1494" t="s">
        <v>380</v>
      </c>
      <c r="G1494" t="s">
        <v>608</v>
      </c>
      <c r="H1494" t="s">
        <v>604</v>
      </c>
    </row>
    <row r="1495" spans="1:8" x14ac:dyDescent="0.2">
      <c r="A1495" t="s">
        <v>2726</v>
      </c>
      <c r="B1495" t="s">
        <v>2723</v>
      </c>
      <c r="C1495" t="s">
        <v>18</v>
      </c>
      <c r="D1495">
        <v>2</v>
      </c>
      <c r="E1495" t="s">
        <v>17</v>
      </c>
      <c r="F1495" t="s">
        <v>380</v>
      </c>
      <c r="G1495" t="s">
        <v>608</v>
      </c>
      <c r="H1495" t="s">
        <v>604</v>
      </c>
    </row>
    <row r="1496" spans="1:8" x14ac:dyDescent="0.2">
      <c r="A1496" t="s">
        <v>2727</v>
      </c>
      <c r="B1496" t="s">
        <v>2723</v>
      </c>
      <c r="C1496" t="s">
        <v>18</v>
      </c>
      <c r="D1496">
        <v>2</v>
      </c>
      <c r="E1496" t="s">
        <v>17</v>
      </c>
      <c r="F1496" t="s">
        <v>380</v>
      </c>
      <c r="G1496" t="s">
        <v>608</v>
      </c>
      <c r="H1496" t="s">
        <v>604</v>
      </c>
    </row>
    <row r="1497" spans="1:8" x14ac:dyDescent="0.2">
      <c r="A1497" t="s">
        <v>2728</v>
      </c>
      <c r="B1497" t="s">
        <v>2729</v>
      </c>
      <c r="C1497" t="s">
        <v>18</v>
      </c>
      <c r="D1497">
        <v>2</v>
      </c>
      <c r="E1497" t="s">
        <v>17</v>
      </c>
      <c r="F1497" t="s">
        <v>380</v>
      </c>
      <c r="G1497" t="s">
        <v>608</v>
      </c>
      <c r="H1497" t="s">
        <v>604</v>
      </c>
    </row>
    <row r="1498" spans="1:8" x14ac:dyDescent="0.2">
      <c r="A1498" t="s">
        <v>2730</v>
      </c>
      <c r="B1498" t="s">
        <v>2729</v>
      </c>
      <c r="C1498" t="s">
        <v>18</v>
      </c>
      <c r="D1498">
        <v>2</v>
      </c>
      <c r="E1498" t="s">
        <v>17</v>
      </c>
      <c r="F1498" t="s">
        <v>380</v>
      </c>
      <c r="G1498" t="s">
        <v>608</v>
      </c>
      <c r="H1498" t="s">
        <v>604</v>
      </c>
    </row>
    <row r="1499" spans="1:8" x14ac:dyDescent="0.2">
      <c r="A1499" t="s">
        <v>2731</v>
      </c>
      <c r="B1499" t="s">
        <v>2729</v>
      </c>
      <c r="C1499" t="s">
        <v>18</v>
      </c>
      <c r="D1499">
        <v>2</v>
      </c>
      <c r="E1499" t="s">
        <v>21</v>
      </c>
      <c r="F1499" t="s">
        <v>380</v>
      </c>
      <c r="G1499" t="s">
        <v>608</v>
      </c>
      <c r="H1499" t="s">
        <v>604</v>
      </c>
    </row>
    <row r="1500" spans="1:8" x14ac:dyDescent="0.2">
      <c r="A1500" t="s">
        <v>2732</v>
      </c>
      <c r="B1500" t="s">
        <v>2729</v>
      </c>
      <c r="C1500" t="s">
        <v>16</v>
      </c>
      <c r="D1500">
        <v>4</v>
      </c>
      <c r="E1500" t="s">
        <v>17</v>
      </c>
      <c r="F1500" t="s">
        <v>380</v>
      </c>
      <c r="G1500" t="s">
        <v>608</v>
      </c>
      <c r="H1500" t="s">
        <v>604</v>
      </c>
    </row>
    <row r="1501" spans="1:8" x14ac:dyDescent="0.2">
      <c r="A1501" t="s">
        <v>2733</v>
      </c>
      <c r="B1501" t="s">
        <v>2729</v>
      </c>
      <c r="C1501" t="s">
        <v>18</v>
      </c>
      <c r="D1501">
        <v>2</v>
      </c>
      <c r="E1501" t="s">
        <v>17</v>
      </c>
      <c r="F1501" t="s">
        <v>381</v>
      </c>
      <c r="G1501" t="s">
        <v>608</v>
      </c>
      <c r="H1501" t="s">
        <v>604</v>
      </c>
    </row>
    <row r="1502" spans="1:8" x14ac:dyDescent="0.2">
      <c r="A1502" t="s">
        <v>2734</v>
      </c>
      <c r="B1502" t="s">
        <v>2735</v>
      </c>
      <c r="C1502" t="s">
        <v>18</v>
      </c>
      <c r="D1502">
        <v>2</v>
      </c>
      <c r="E1502" t="s">
        <v>17</v>
      </c>
      <c r="F1502" t="s">
        <v>380</v>
      </c>
      <c r="G1502" t="s">
        <v>608</v>
      </c>
      <c r="H1502" t="s">
        <v>604</v>
      </c>
    </row>
    <row r="1503" spans="1:8" x14ac:dyDescent="0.2">
      <c r="A1503" t="s">
        <v>2736</v>
      </c>
      <c r="B1503" t="s">
        <v>2735</v>
      </c>
      <c r="C1503" t="s">
        <v>18</v>
      </c>
      <c r="D1503">
        <v>1</v>
      </c>
      <c r="E1503" t="s">
        <v>17</v>
      </c>
      <c r="F1503" t="s">
        <v>380</v>
      </c>
      <c r="G1503" t="s">
        <v>608</v>
      </c>
      <c r="H1503" t="s">
        <v>604</v>
      </c>
    </row>
    <row r="1504" spans="1:8" x14ac:dyDescent="0.2">
      <c r="A1504" t="s">
        <v>2737</v>
      </c>
      <c r="B1504" t="s">
        <v>2735</v>
      </c>
      <c r="C1504" t="s">
        <v>19</v>
      </c>
      <c r="D1504">
        <v>2</v>
      </c>
      <c r="E1504" t="s">
        <v>17</v>
      </c>
      <c r="F1504" t="s">
        <v>380</v>
      </c>
      <c r="G1504" t="s">
        <v>608</v>
      </c>
      <c r="H1504" t="s">
        <v>604</v>
      </c>
    </row>
    <row r="1505" spans="1:8" x14ac:dyDescent="0.2">
      <c r="A1505" t="s">
        <v>2738</v>
      </c>
      <c r="B1505" t="s">
        <v>2735</v>
      </c>
      <c r="C1505" t="s">
        <v>19</v>
      </c>
      <c r="D1505">
        <v>2</v>
      </c>
      <c r="E1505" t="s">
        <v>17</v>
      </c>
      <c r="F1505" t="s">
        <v>380</v>
      </c>
      <c r="G1505" t="s">
        <v>608</v>
      </c>
      <c r="H1505" t="s">
        <v>604</v>
      </c>
    </row>
    <row r="1506" spans="1:8" x14ac:dyDescent="0.2">
      <c r="A1506" t="s">
        <v>2739</v>
      </c>
      <c r="B1506" t="s">
        <v>2735</v>
      </c>
      <c r="C1506" t="s">
        <v>16</v>
      </c>
      <c r="D1506">
        <v>4</v>
      </c>
      <c r="E1506" t="s">
        <v>17</v>
      </c>
      <c r="F1506" t="s">
        <v>380</v>
      </c>
      <c r="G1506" t="s">
        <v>608</v>
      </c>
      <c r="H1506" t="s">
        <v>604</v>
      </c>
    </row>
    <row r="1507" spans="1:8" x14ac:dyDescent="0.2">
      <c r="A1507" t="s">
        <v>2740</v>
      </c>
      <c r="B1507" t="s">
        <v>2741</v>
      </c>
      <c r="C1507" t="s">
        <v>18</v>
      </c>
      <c r="D1507">
        <v>2</v>
      </c>
      <c r="E1507" t="s">
        <v>17</v>
      </c>
      <c r="F1507" t="s">
        <v>380</v>
      </c>
      <c r="G1507" t="s">
        <v>608</v>
      </c>
      <c r="H1507" t="s">
        <v>604</v>
      </c>
    </row>
    <row r="1508" spans="1:8" x14ac:dyDescent="0.2">
      <c r="A1508" t="s">
        <v>2742</v>
      </c>
      <c r="B1508" t="s">
        <v>2741</v>
      </c>
      <c r="C1508" t="s">
        <v>18</v>
      </c>
      <c r="D1508">
        <v>3</v>
      </c>
      <c r="E1508" t="s">
        <v>17</v>
      </c>
      <c r="F1508" t="s">
        <v>380</v>
      </c>
      <c r="G1508" t="s">
        <v>608</v>
      </c>
      <c r="H1508" t="s">
        <v>604</v>
      </c>
    </row>
    <row r="1509" spans="1:8" x14ac:dyDescent="0.2">
      <c r="A1509" t="s">
        <v>2743</v>
      </c>
      <c r="B1509" t="s">
        <v>2741</v>
      </c>
      <c r="C1509" t="s">
        <v>18</v>
      </c>
      <c r="D1509">
        <v>3</v>
      </c>
      <c r="E1509" t="s">
        <v>17</v>
      </c>
      <c r="F1509" t="s">
        <v>380</v>
      </c>
      <c r="G1509" t="s">
        <v>608</v>
      </c>
      <c r="H1509" t="s">
        <v>604</v>
      </c>
    </row>
    <row r="1510" spans="1:8" x14ac:dyDescent="0.2">
      <c r="A1510" t="s">
        <v>2744</v>
      </c>
      <c r="B1510" t="s">
        <v>2741</v>
      </c>
      <c r="C1510" t="s">
        <v>18</v>
      </c>
      <c r="D1510">
        <v>2</v>
      </c>
      <c r="E1510" t="s">
        <v>17</v>
      </c>
      <c r="F1510" t="s">
        <v>380</v>
      </c>
      <c r="G1510" t="s">
        <v>608</v>
      </c>
      <c r="H1510" t="s">
        <v>604</v>
      </c>
    </row>
    <row r="1511" spans="1:8" x14ac:dyDescent="0.2">
      <c r="A1511" t="s">
        <v>2745</v>
      </c>
      <c r="B1511" t="s">
        <v>2741</v>
      </c>
      <c r="C1511" t="s">
        <v>19</v>
      </c>
      <c r="D1511">
        <v>2</v>
      </c>
      <c r="E1511" t="s">
        <v>17</v>
      </c>
      <c r="F1511" t="s">
        <v>380</v>
      </c>
      <c r="G1511" t="s">
        <v>608</v>
      </c>
      <c r="H1511" t="s">
        <v>604</v>
      </c>
    </row>
    <row r="1512" spans="1:8" x14ac:dyDescent="0.2">
      <c r="A1512" t="s">
        <v>2746</v>
      </c>
      <c r="B1512" t="s">
        <v>2747</v>
      </c>
      <c r="C1512" t="s">
        <v>18</v>
      </c>
      <c r="D1512">
        <v>2</v>
      </c>
      <c r="E1512" t="s">
        <v>17</v>
      </c>
      <c r="F1512" t="s">
        <v>380</v>
      </c>
      <c r="G1512" t="s">
        <v>608</v>
      </c>
      <c r="H1512" t="s">
        <v>604</v>
      </c>
    </row>
    <row r="1513" spans="1:8" x14ac:dyDescent="0.2">
      <c r="A1513" t="s">
        <v>2748</v>
      </c>
      <c r="B1513" t="s">
        <v>2747</v>
      </c>
      <c r="C1513" t="s">
        <v>19</v>
      </c>
      <c r="D1513">
        <v>2</v>
      </c>
      <c r="E1513" t="s">
        <v>17</v>
      </c>
      <c r="F1513" t="s">
        <v>380</v>
      </c>
      <c r="G1513" t="s">
        <v>608</v>
      </c>
      <c r="H1513" t="s">
        <v>604</v>
      </c>
    </row>
    <row r="1514" spans="1:8" x14ac:dyDescent="0.2">
      <c r="A1514" t="s">
        <v>2749</v>
      </c>
      <c r="B1514" t="s">
        <v>2747</v>
      </c>
      <c r="C1514" t="s">
        <v>19</v>
      </c>
      <c r="D1514">
        <v>2</v>
      </c>
      <c r="E1514" t="s">
        <v>17</v>
      </c>
      <c r="F1514" t="s">
        <v>380</v>
      </c>
      <c r="G1514" t="s">
        <v>608</v>
      </c>
      <c r="H1514" t="s">
        <v>604</v>
      </c>
    </row>
    <row r="1515" spans="1:8" x14ac:dyDescent="0.2">
      <c r="A1515" t="s">
        <v>2750</v>
      </c>
      <c r="B1515" t="s">
        <v>2747</v>
      </c>
      <c r="C1515" t="s">
        <v>18</v>
      </c>
      <c r="D1515">
        <v>2</v>
      </c>
      <c r="E1515" t="s">
        <v>17</v>
      </c>
      <c r="F1515" t="s">
        <v>380</v>
      </c>
      <c r="G1515" t="s">
        <v>608</v>
      </c>
      <c r="H1515" t="s">
        <v>604</v>
      </c>
    </row>
    <row r="1516" spans="1:8" x14ac:dyDescent="0.2">
      <c r="A1516" t="s">
        <v>2751</v>
      </c>
      <c r="B1516" t="s">
        <v>2747</v>
      </c>
      <c r="C1516" t="s">
        <v>18</v>
      </c>
      <c r="D1516">
        <v>2</v>
      </c>
      <c r="E1516" t="s">
        <v>17</v>
      </c>
      <c r="F1516" t="s">
        <v>380</v>
      </c>
      <c r="G1516" t="s">
        <v>608</v>
      </c>
      <c r="H1516" t="s">
        <v>604</v>
      </c>
    </row>
    <row r="1517" spans="1:8" x14ac:dyDescent="0.2">
      <c r="A1517" t="s">
        <v>2752</v>
      </c>
      <c r="B1517" t="s">
        <v>2753</v>
      </c>
      <c r="C1517" t="s">
        <v>16</v>
      </c>
      <c r="D1517" t="s">
        <v>608</v>
      </c>
      <c r="E1517" t="s">
        <v>17</v>
      </c>
      <c r="F1517" t="s">
        <v>381</v>
      </c>
      <c r="G1517" t="s">
        <v>608</v>
      </c>
      <c r="H1517" t="s">
        <v>604</v>
      </c>
    </row>
    <row r="1518" spans="1:8" x14ac:dyDescent="0.2">
      <c r="A1518" t="s">
        <v>2754</v>
      </c>
      <c r="B1518" t="s">
        <v>2753</v>
      </c>
      <c r="C1518" t="s">
        <v>19</v>
      </c>
      <c r="D1518">
        <v>2</v>
      </c>
      <c r="E1518" t="s">
        <v>17</v>
      </c>
      <c r="F1518" t="s">
        <v>380</v>
      </c>
      <c r="G1518" t="s">
        <v>608</v>
      </c>
      <c r="H1518" t="s">
        <v>604</v>
      </c>
    </row>
    <row r="1519" spans="1:8" x14ac:dyDescent="0.2">
      <c r="A1519" t="s">
        <v>2755</v>
      </c>
      <c r="B1519" t="s">
        <v>2753</v>
      </c>
      <c r="C1519" t="s">
        <v>18</v>
      </c>
      <c r="D1519">
        <v>2</v>
      </c>
      <c r="E1519" t="s">
        <v>17</v>
      </c>
      <c r="F1519" t="s">
        <v>380</v>
      </c>
      <c r="G1519" t="s">
        <v>608</v>
      </c>
      <c r="H1519" t="s">
        <v>604</v>
      </c>
    </row>
    <row r="1520" spans="1:8" x14ac:dyDescent="0.2">
      <c r="A1520" t="s">
        <v>2756</v>
      </c>
      <c r="B1520" t="s">
        <v>2753</v>
      </c>
      <c r="C1520" t="s">
        <v>18</v>
      </c>
      <c r="D1520">
        <v>2</v>
      </c>
      <c r="E1520" t="s">
        <v>17</v>
      </c>
      <c r="F1520" t="s">
        <v>380</v>
      </c>
      <c r="G1520" t="s">
        <v>608</v>
      </c>
      <c r="H1520" t="s">
        <v>604</v>
      </c>
    </row>
    <row r="1521" spans="1:8" x14ac:dyDescent="0.2">
      <c r="A1521" t="s">
        <v>2757</v>
      </c>
      <c r="B1521" t="s">
        <v>2753</v>
      </c>
      <c r="C1521" t="s">
        <v>19</v>
      </c>
      <c r="D1521">
        <v>2</v>
      </c>
      <c r="E1521" t="s">
        <v>17</v>
      </c>
      <c r="F1521" t="s">
        <v>380</v>
      </c>
      <c r="G1521" t="s">
        <v>608</v>
      </c>
      <c r="H1521" t="s">
        <v>604</v>
      </c>
    </row>
    <row r="1522" spans="1:8" x14ac:dyDescent="0.2">
      <c r="A1522" t="s">
        <v>2758</v>
      </c>
      <c r="B1522" t="s">
        <v>2759</v>
      </c>
      <c r="C1522" t="s">
        <v>18</v>
      </c>
      <c r="D1522">
        <v>2</v>
      </c>
      <c r="E1522" t="s">
        <v>21</v>
      </c>
      <c r="F1522" t="s">
        <v>380</v>
      </c>
      <c r="G1522" t="s">
        <v>608</v>
      </c>
      <c r="H1522" t="s">
        <v>604</v>
      </c>
    </row>
    <row r="1523" spans="1:8" x14ac:dyDescent="0.2">
      <c r="A1523" t="s">
        <v>2760</v>
      </c>
      <c r="B1523" t="s">
        <v>2759</v>
      </c>
      <c r="C1523" t="s">
        <v>18</v>
      </c>
      <c r="D1523">
        <v>2</v>
      </c>
      <c r="E1523" t="s">
        <v>17</v>
      </c>
      <c r="F1523" t="s">
        <v>380</v>
      </c>
      <c r="G1523" t="s">
        <v>608</v>
      </c>
      <c r="H1523" t="s">
        <v>604</v>
      </c>
    </row>
    <row r="1524" spans="1:8" x14ac:dyDescent="0.2">
      <c r="A1524" t="s">
        <v>2761</v>
      </c>
      <c r="B1524" t="s">
        <v>2759</v>
      </c>
      <c r="C1524" t="s">
        <v>18</v>
      </c>
      <c r="D1524">
        <v>2</v>
      </c>
      <c r="E1524" t="s">
        <v>21</v>
      </c>
      <c r="F1524" t="s">
        <v>380</v>
      </c>
      <c r="G1524" t="s">
        <v>608</v>
      </c>
      <c r="H1524" t="s">
        <v>604</v>
      </c>
    </row>
    <row r="1525" spans="1:8" x14ac:dyDescent="0.2">
      <c r="A1525" t="s">
        <v>2762</v>
      </c>
      <c r="B1525" t="s">
        <v>2759</v>
      </c>
      <c r="C1525" t="s">
        <v>18</v>
      </c>
      <c r="D1525">
        <v>2</v>
      </c>
      <c r="E1525" t="s">
        <v>17</v>
      </c>
      <c r="F1525" t="s">
        <v>380</v>
      </c>
      <c r="G1525" t="s">
        <v>608</v>
      </c>
      <c r="H1525" t="s">
        <v>604</v>
      </c>
    </row>
    <row r="1526" spans="1:8" x14ac:dyDescent="0.2">
      <c r="A1526" t="s">
        <v>2763</v>
      </c>
      <c r="B1526" t="s">
        <v>2759</v>
      </c>
      <c r="C1526" t="s">
        <v>18</v>
      </c>
      <c r="D1526">
        <v>2</v>
      </c>
      <c r="E1526" t="s">
        <v>17</v>
      </c>
      <c r="F1526" t="s">
        <v>380</v>
      </c>
      <c r="G1526" t="s">
        <v>608</v>
      </c>
      <c r="H1526" t="s">
        <v>604</v>
      </c>
    </row>
    <row r="1527" spans="1:8" x14ac:dyDescent="0.2">
      <c r="A1527" t="s">
        <v>2764</v>
      </c>
      <c r="B1527" t="s">
        <v>2765</v>
      </c>
      <c r="C1527" t="s">
        <v>18</v>
      </c>
      <c r="D1527">
        <v>2</v>
      </c>
      <c r="E1527" t="s">
        <v>17</v>
      </c>
      <c r="F1527" t="s">
        <v>380</v>
      </c>
      <c r="G1527" t="s">
        <v>608</v>
      </c>
      <c r="H1527" t="s">
        <v>604</v>
      </c>
    </row>
    <row r="1528" spans="1:8" x14ac:dyDescent="0.2">
      <c r="A1528" t="s">
        <v>2766</v>
      </c>
      <c r="B1528" t="s">
        <v>2765</v>
      </c>
      <c r="C1528" t="s">
        <v>18</v>
      </c>
      <c r="D1528">
        <v>2</v>
      </c>
      <c r="E1528" t="s">
        <v>17</v>
      </c>
      <c r="F1528" t="s">
        <v>380</v>
      </c>
      <c r="G1528" t="s">
        <v>608</v>
      </c>
      <c r="H1528" t="s">
        <v>604</v>
      </c>
    </row>
    <row r="1529" spans="1:8" x14ac:dyDescent="0.2">
      <c r="A1529" t="s">
        <v>2767</v>
      </c>
      <c r="B1529" t="s">
        <v>2765</v>
      </c>
      <c r="C1529" t="s">
        <v>18</v>
      </c>
      <c r="D1529">
        <v>2</v>
      </c>
      <c r="E1529" t="s">
        <v>21</v>
      </c>
      <c r="F1529" t="s">
        <v>380</v>
      </c>
      <c r="G1529" t="s">
        <v>608</v>
      </c>
      <c r="H1529" t="s">
        <v>604</v>
      </c>
    </row>
    <row r="1530" spans="1:8" x14ac:dyDescent="0.2">
      <c r="A1530" t="s">
        <v>2768</v>
      </c>
      <c r="B1530" t="s">
        <v>2765</v>
      </c>
      <c r="C1530" t="s">
        <v>18</v>
      </c>
      <c r="D1530">
        <v>2</v>
      </c>
      <c r="E1530" t="s">
        <v>17</v>
      </c>
      <c r="F1530" t="s">
        <v>380</v>
      </c>
      <c r="G1530" t="s">
        <v>608</v>
      </c>
      <c r="H1530" t="s">
        <v>604</v>
      </c>
    </row>
    <row r="1531" spans="1:8" x14ac:dyDescent="0.2">
      <c r="A1531" t="s">
        <v>2769</v>
      </c>
      <c r="B1531" t="s">
        <v>2765</v>
      </c>
      <c r="C1531" t="s">
        <v>18</v>
      </c>
      <c r="D1531">
        <v>2</v>
      </c>
      <c r="E1531" t="s">
        <v>17</v>
      </c>
      <c r="F1531" t="s">
        <v>380</v>
      </c>
      <c r="G1531" t="s">
        <v>608</v>
      </c>
      <c r="H1531" t="s">
        <v>604</v>
      </c>
    </row>
    <row r="1532" spans="1:8" x14ac:dyDescent="0.2">
      <c r="A1532" t="s">
        <v>2770</v>
      </c>
      <c r="B1532" t="s">
        <v>2771</v>
      </c>
      <c r="C1532" t="s">
        <v>18</v>
      </c>
      <c r="D1532">
        <v>2</v>
      </c>
      <c r="E1532" t="s">
        <v>17</v>
      </c>
      <c r="F1532" t="s">
        <v>380</v>
      </c>
      <c r="G1532" t="s">
        <v>608</v>
      </c>
      <c r="H1532" t="s">
        <v>604</v>
      </c>
    </row>
    <row r="1533" spans="1:8" x14ac:dyDescent="0.2">
      <c r="A1533" t="s">
        <v>2772</v>
      </c>
      <c r="B1533" t="s">
        <v>2771</v>
      </c>
      <c r="C1533" t="s">
        <v>18</v>
      </c>
      <c r="D1533">
        <v>2</v>
      </c>
      <c r="E1533" t="s">
        <v>20</v>
      </c>
      <c r="F1533" t="s">
        <v>380</v>
      </c>
      <c r="G1533" t="s">
        <v>608</v>
      </c>
      <c r="H1533" t="s">
        <v>604</v>
      </c>
    </row>
    <row r="1534" spans="1:8" x14ac:dyDescent="0.2">
      <c r="A1534" t="s">
        <v>2773</v>
      </c>
      <c r="B1534" t="s">
        <v>2771</v>
      </c>
      <c r="C1534" t="s">
        <v>19</v>
      </c>
      <c r="D1534">
        <v>2</v>
      </c>
      <c r="E1534" t="s">
        <v>17</v>
      </c>
      <c r="F1534" t="s">
        <v>380</v>
      </c>
      <c r="G1534" t="s">
        <v>608</v>
      </c>
      <c r="H1534" t="s">
        <v>604</v>
      </c>
    </row>
    <row r="1535" spans="1:8" x14ac:dyDescent="0.2">
      <c r="A1535" t="s">
        <v>2774</v>
      </c>
      <c r="B1535" t="s">
        <v>2771</v>
      </c>
      <c r="C1535" t="s">
        <v>16</v>
      </c>
      <c r="D1535" t="s">
        <v>608</v>
      </c>
      <c r="E1535" t="s">
        <v>17</v>
      </c>
      <c r="F1535" t="s">
        <v>380</v>
      </c>
      <c r="G1535" t="s">
        <v>608</v>
      </c>
      <c r="H1535" t="s">
        <v>604</v>
      </c>
    </row>
    <row r="1536" spans="1:8" x14ac:dyDescent="0.2">
      <c r="A1536" t="s">
        <v>2775</v>
      </c>
      <c r="B1536" t="s">
        <v>2771</v>
      </c>
      <c r="C1536" t="s">
        <v>18</v>
      </c>
      <c r="D1536">
        <v>2</v>
      </c>
      <c r="E1536" t="s">
        <v>21</v>
      </c>
      <c r="F1536" t="s">
        <v>380</v>
      </c>
      <c r="G1536" t="s">
        <v>608</v>
      </c>
      <c r="H1536" t="s">
        <v>604</v>
      </c>
    </row>
    <row r="1537" spans="1:8" x14ac:dyDescent="0.2">
      <c r="A1537" t="s">
        <v>2776</v>
      </c>
      <c r="B1537" t="s">
        <v>2777</v>
      </c>
      <c r="C1537" t="s">
        <v>18</v>
      </c>
      <c r="D1537">
        <v>2</v>
      </c>
      <c r="E1537" t="s">
        <v>17</v>
      </c>
      <c r="F1537" t="s">
        <v>380</v>
      </c>
      <c r="G1537" t="s">
        <v>608</v>
      </c>
      <c r="H1537" t="s">
        <v>604</v>
      </c>
    </row>
    <row r="1538" spans="1:8" x14ac:dyDescent="0.2">
      <c r="A1538" t="s">
        <v>2778</v>
      </c>
      <c r="B1538" t="s">
        <v>2777</v>
      </c>
      <c r="C1538" t="s">
        <v>18</v>
      </c>
      <c r="D1538">
        <v>2</v>
      </c>
      <c r="E1538" t="s">
        <v>17</v>
      </c>
      <c r="F1538" t="s">
        <v>380</v>
      </c>
      <c r="G1538" t="s">
        <v>608</v>
      </c>
      <c r="H1538" t="s">
        <v>604</v>
      </c>
    </row>
    <row r="1539" spans="1:8" x14ac:dyDescent="0.2">
      <c r="A1539" t="s">
        <v>2779</v>
      </c>
      <c r="B1539" t="s">
        <v>2777</v>
      </c>
      <c r="C1539" t="s">
        <v>18</v>
      </c>
      <c r="D1539">
        <v>2</v>
      </c>
      <c r="E1539" t="s">
        <v>17</v>
      </c>
      <c r="F1539" t="s">
        <v>380</v>
      </c>
      <c r="G1539" t="s">
        <v>608</v>
      </c>
      <c r="H1539" t="s">
        <v>604</v>
      </c>
    </row>
    <row r="1540" spans="1:8" x14ac:dyDescent="0.2">
      <c r="A1540" t="s">
        <v>2780</v>
      </c>
      <c r="B1540" t="s">
        <v>2777</v>
      </c>
      <c r="C1540" t="s">
        <v>18</v>
      </c>
      <c r="D1540">
        <v>2</v>
      </c>
      <c r="E1540" t="s">
        <v>17</v>
      </c>
      <c r="F1540" t="s">
        <v>380</v>
      </c>
      <c r="G1540" t="s">
        <v>608</v>
      </c>
      <c r="H1540" t="s">
        <v>604</v>
      </c>
    </row>
    <row r="1541" spans="1:8" x14ac:dyDescent="0.2">
      <c r="A1541" t="s">
        <v>2781</v>
      </c>
      <c r="B1541" t="s">
        <v>2777</v>
      </c>
      <c r="C1541" t="s">
        <v>19</v>
      </c>
      <c r="D1541">
        <v>2</v>
      </c>
      <c r="E1541" t="s">
        <v>17</v>
      </c>
      <c r="F1541" t="s">
        <v>380</v>
      </c>
      <c r="G1541" t="s">
        <v>608</v>
      </c>
      <c r="H1541" t="s">
        <v>604</v>
      </c>
    </row>
    <row r="1542" spans="1:8" x14ac:dyDescent="0.2">
      <c r="A1542" t="s">
        <v>2782</v>
      </c>
      <c r="B1542" t="s">
        <v>2783</v>
      </c>
      <c r="C1542" t="s">
        <v>19</v>
      </c>
      <c r="D1542">
        <v>2</v>
      </c>
      <c r="E1542" t="s">
        <v>17</v>
      </c>
      <c r="F1542" t="s">
        <v>380</v>
      </c>
      <c r="G1542" t="s">
        <v>608</v>
      </c>
      <c r="H1542" t="s">
        <v>604</v>
      </c>
    </row>
    <row r="1543" spans="1:8" x14ac:dyDescent="0.2">
      <c r="A1543" t="s">
        <v>2784</v>
      </c>
      <c r="B1543" t="s">
        <v>2783</v>
      </c>
      <c r="C1543" t="s">
        <v>18</v>
      </c>
      <c r="D1543">
        <v>2</v>
      </c>
      <c r="E1543" t="s">
        <v>21</v>
      </c>
      <c r="F1543" t="s">
        <v>380</v>
      </c>
      <c r="G1543" t="s">
        <v>608</v>
      </c>
      <c r="H1543" t="s">
        <v>604</v>
      </c>
    </row>
    <row r="1544" spans="1:8" x14ac:dyDescent="0.2">
      <c r="A1544" t="s">
        <v>2785</v>
      </c>
      <c r="B1544" t="s">
        <v>2783</v>
      </c>
      <c r="C1544" t="s">
        <v>18</v>
      </c>
      <c r="D1544">
        <v>2</v>
      </c>
      <c r="E1544" t="s">
        <v>17</v>
      </c>
      <c r="F1544" t="s">
        <v>380</v>
      </c>
      <c r="G1544" t="s">
        <v>608</v>
      </c>
      <c r="H1544" t="s">
        <v>604</v>
      </c>
    </row>
    <row r="1545" spans="1:8" x14ac:dyDescent="0.2">
      <c r="A1545" t="s">
        <v>2786</v>
      </c>
      <c r="B1545" t="s">
        <v>2783</v>
      </c>
      <c r="C1545" t="s">
        <v>19</v>
      </c>
      <c r="D1545">
        <v>2</v>
      </c>
      <c r="E1545" t="s">
        <v>17</v>
      </c>
      <c r="F1545" t="s">
        <v>380</v>
      </c>
      <c r="G1545" t="s">
        <v>608</v>
      </c>
      <c r="H1545" t="s">
        <v>604</v>
      </c>
    </row>
    <row r="1546" spans="1:8" x14ac:dyDescent="0.2">
      <c r="A1546" t="s">
        <v>2787</v>
      </c>
      <c r="B1546" t="s">
        <v>2783</v>
      </c>
      <c r="C1546" t="s">
        <v>18</v>
      </c>
      <c r="D1546">
        <v>2</v>
      </c>
      <c r="E1546" t="s">
        <v>17</v>
      </c>
      <c r="F1546" t="s">
        <v>380</v>
      </c>
      <c r="G1546" t="s">
        <v>608</v>
      </c>
      <c r="H1546" t="s">
        <v>604</v>
      </c>
    </row>
    <row r="1547" spans="1:8" x14ac:dyDescent="0.2">
      <c r="A1547" t="s">
        <v>2788</v>
      </c>
      <c r="B1547" t="s">
        <v>2789</v>
      </c>
      <c r="C1547" t="s">
        <v>18</v>
      </c>
      <c r="D1547">
        <v>2</v>
      </c>
      <c r="E1547" t="s">
        <v>17</v>
      </c>
      <c r="F1547" t="s">
        <v>380</v>
      </c>
      <c r="G1547" t="s">
        <v>608</v>
      </c>
      <c r="H1547" t="s">
        <v>604</v>
      </c>
    </row>
    <row r="1548" spans="1:8" x14ac:dyDescent="0.2">
      <c r="A1548" t="s">
        <v>2790</v>
      </c>
      <c r="B1548" t="s">
        <v>2789</v>
      </c>
      <c r="C1548" t="s">
        <v>19</v>
      </c>
      <c r="D1548">
        <v>2</v>
      </c>
      <c r="E1548" t="s">
        <v>17</v>
      </c>
      <c r="F1548" t="s">
        <v>380</v>
      </c>
      <c r="G1548" t="s">
        <v>608</v>
      </c>
      <c r="H1548" t="s">
        <v>604</v>
      </c>
    </row>
    <row r="1549" spans="1:8" x14ac:dyDescent="0.2">
      <c r="A1549" t="s">
        <v>2791</v>
      </c>
      <c r="B1549" t="s">
        <v>2789</v>
      </c>
      <c r="C1549" t="s">
        <v>18</v>
      </c>
      <c r="D1549">
        <v>2</v>
      </c>
      <c r="E1549" t="s">
        <v>17</v>
      </c>
      <c r="F1549" t="s">
        <v>380</v>
      </c>
      <c r="G1549" t="s">
        <v>608</v>
      </c>
      <c r="H1549" t="s">
        <v>604</v>
      </c>
    </row>
    <row r="1550" spans="1:8" x14ac:dyDescent="0.2">
      <c r="A1550" t="s">
        <v>2792</v>
      </c>
      <c r="B1550" t="s">
        <v>2789</v>
      </c>
      <c r="C1550" t="s">
        <v>19</v>
      </c>
      <c r="D1550">
        <v>2</v>
      </c>
      <c r="E1550" t="s">
        <v>17</v>
      </c>
      <c r="F1550" t="s">
        <v>380</v>
      </c>
      <c r="G1550" t="s">
        <v>608</v>
      </c>
      <c r="H1550" t="s">
        <v>604</v>
      </c>
    </row>
    <row r="1551" spans="1:8" x14ac:dyDescent="0.2">
      <c r="A1551" t="s">
        <v>2793</v>
      </c>
      <c r="B1551" t="s">
        <v>2789</v>
      </c>
      <c r="C1551" t="s">
        <v>19</v>
      </c>
      <c r="D1551">
        <v>2</v>
      </c>
      <c r="E1551" t="s">
        <v>17</v>
      </c>
      <c r="F1551" t="s">
        <v>380</v>
      </c>
      <c r="G1551" t="s">
        <v>608</v>
      </c>
      <c r="H1551" t="s">
        <v>604</v>
      </c>
    </row>
    <row r="1552" spans="1:8" x14ac:dyDescent="0.2">
      <c r="A1552" t="s">
        <v>2794</v>
      </c>
      <c r="B1552" t="s">
        <v>2795</v>
      </c>
      <c r="C1552" t="s">
        <v>19</v>
      </c>
      <c r="D1552">
        <v>2</v>
      </c>
      <c r="E1552" t="s">
        <v>17</v>
      </c>
      <c r="F1552" t="s">
        <v>380</v>
      </c>
      <c r="G1552" t="s">
        <v>608</v>
      </c>
      <c r="H1552" t="s">
        <v>604</v>
      </c>
    </row>
    <row r="1553" spans="1:8" x14ac:dyDescent="0.2">
      <c r="A1553" t="s">
        <v>2796</v>
      </c>
      <c r="B1553" t="s">
        <v>2795</v>
      </c>
      <c r="C1553" t="s">
        <v>18</v>
      </c>
      <c r="D1553">
        <v>2</v>
      </c>
      <c r="E1553" t="s">
        <v>17</v>
      </c>
      <c r="F1553" t="s">
        <v>380</v>
      </c>
      <c r="G1553" t="s">
        <v>608</v>
      </c>
      <c r="H1553" t="s">
        <v>604</v>
      </c>
    </row>
    <row r="1554" spans="1:8" x14ac:dyDescent="0.2">
      <c r="A1554" t="s">
        <v>2797</v>
      </c>
      <c r="B1554" t="s">
        <v>2795</v>
      </c>
      <c r="C1554" t="s">
        <v>18</v>
      </c>
      <c r="D1554">
        <v>2</v>
      </c>
      <c r="E1554" t="s">
        <v>17</v>
      </c>
      <c r="F1554" t="s">
        <v>380</v>
      </c>
      <c r="G1554" t="s">
        <v>608</v>
      </c>
      <c r="H1554" t="s">
        <v>604</v>
      </c>
    </row>
    <row r="1555" spans="1:8" x14ac:dyDescent="0.2">
      <c r="A1555" t="s">
        <v>2798</v>
      </c>
      <c r="B1555" t="s">
        <v>2795</v>
      </c>
      <c r="C1555" t="s">
        <v>19</v>
      </c>
      <c r="D1555">
        <v>2</v>
      </c>
      <c r="E1555" t="s">
        <v>17</v>
      </c>
      <c r="F1555" t="s">
        <v>380</v>
      </c>
      <c r="G1555" t="s">
        <v>608</v>
      </c>
      <c r="H1555" t="s">
        <v>604</v>
      </c>
    </row>
    <row r="1556" spans="1:8" x14ac:dyDescent="0.2">
      <c r="A1556" t="s">
        <v>2799</v>
      </c>
      <c r="B1556" t="s">
        <v>2795</v>
      </c>
      <c r="C1556" t="s">
        <v>19</v>
      </c>
      <c r="D1556">
        <v>2</v>
      </c>
      <c r="E1556" t="s">
        <v>17</v>
      </c>
      <c r="F1556" t="s">
        <v>380</v>
      </c>
      <c r="G1556" t="s">
        <v>608</v>
      </c>
      <c r="H1556" t="s">
        <v>604</v>
      </c>
    </row>
    <row r="1557" spans="1:8" x14ac:dyDescent="0.2">
      <c r="A1557" t="s">
        <v>2800</v>
      </c>
      <c r="B1557" t="s">
        <v>2801</v>
      </c>
      <c r="C1557" t="s">
        <v>18</v>
      </c>
      <c r="D1557">
        <v>2</v>
      </c>
      <c r="E1557" t="s">
        <v>21</v>
      </c>
      <c r="F1557" t="s">
        <v>380</v>
      </c>
      <c r="G1557" t="s">
        <v>608</v>
      </c>
      <c r="H1557" t="s">
        <v>604</v>
      </c>
    </row>
    <row r="1558" spans="1:8" x14ac:dyDescent="0.2">
      <c r="A1558" t="s">
        <v>2802</v>
      </c>
      <c r="B1558" t="s">
        <v>2801</v>
      </c>
      <c r="C1558" t="s">
        <v>18</v>
      </c>
      <c r="D1558">
        <v>2</v>
      </c>
      <c r="E1558" t="s">
        <v>17</v>
      </c>
      <c r="F1558" t="s">
        <v>380</v>
      </c>
      <c r="G1558" t="s">
        <v>608</v>
      </c>
      <c r="H1558" t="s">
        <v>604</v>
      </c>
    </row>
    <row r="1559" spans="1:8" x14ac:dyDescent="0.2">
      <c r="A1559" t="s">
        <v>2803</v>
      </c>
      <c r="B1559" t="s">
        <v>2801</v>
      </c>
      <c r="C1559" t="s">
        <v>18</v>
      </c>
      <c r="D1559">
        <v>2</v>
      </c>
      <c r="E1559" t="s">
        <v>17</v>
      </c>
      <c r="F1559" t="s">
        <v>380</v>
      </c>
      <c r="G1559" t="s">
        <v>608</v>
      </c>
      <c r="H1559" t="s">
        <v>604</v>
      </c>
    </row>
    <row r="1560" spans="1:8" x14ac:dyDescent="0.2">
      <c r="A1560" t="s">
        <v>2804</v>
      </c>
      <c r="B1560" t="s">
        <v>2801</v>
      </c>
      <c r="C1560" t="s">
        <v>18</v>
      </c>
      <c r="D1560">
        <v>2</v>
      </c>
      <c r="E1560" t="s">
        <v>17</v>
      </c>
      <c r="F1560" t="s">
        <v>380</v>
      </c>
      <c r="G1560" t="s">
        <v>608</v>
      </c>
      <c r="H1560" t="s">
        <v>604</v>
      </c>
    </row>
    <row r="1561" spans="1:8" x14ac:dyDescent="0.2">
      <c r="A1561" t="s">
        <v>2805</v>
      </c>
      <c r="B1561" t="s">
        <v>2801</v>
      </c>
      <c r="C1561" t="s">
        <v>19</v>
      </c>
      <c r="D1561">
        <v>2</v>
      </c>
      <c r="E1561" t="s">
        <v>17</v>
      </c>
      <c r="F1561" t="s">
        <v>380</v>
      </c>
      <c r="G1561" t="s">
        <v>608</v>
      </c>
      <c r="H1561" t="s">
        <v>604</v>
      </c>
    </row>
    <row r="1562" spans="1:8" x14ac:dyDescent="0.2">
      <c r="A1562" t="s">
        <v>2806</v>
      </c>
      <c r="B1562" t="s">
        <v>2807</v>
      </c>
      <c r="C1562" t="s">
        <v>18</v>
      </c>
      <c r="D1562">
        <v>2</v>
      </c>
      <c r="E1562" t="s">
        <v>17</v>
      </c>
      <c r="F1562" t="s">
        <v>380</v>
      </c>
      <c r="G1562" t="s">
        <v>608</v>
      </c>
      <c r="H1562" t="s">
        <v>604</v>
      </c>
    </row>
    <row r="1563" spans="1:8" x14ac:dyDescent="0.2">
      <c r="A1563" t="s">
        <v>2808</v>
      </c>
      <c r="B1563" t="s">
        <v>2807</v>
      </c>
      <c r="C1563" t="s">
        <v>18</v>
      </c>
      <c r="D1563">
        <v>2</v>
      </c>
      <c r="E1563" t="s">
        <v>17</v>
      </c>
      <c r="F1563" t="s">
        <v>380</v>
      </c>
      <c r="G1563" t="s">
        <v>608</v>
      </c>
      <c r="H1563" t="s">
        <v>604</v>
      </c>
    </row>
    <row r="1564" spans="1:8" x14ac:dyDescent="0.2">
      <c r="A1564" t="s">
        <v>2809</v>
      </c>
      <c r="B1564" t="s">
        <v>2807</v>
      </c>
      <c r="C1564" t="s">
        <v>18</v>
      </c>
      <c r="D1564">
        <v>2</v>
      </c>
      <c r="E1564" t="s">
        <v>17</v>
      </c>
      <c r="F1564" t="s">
        <v>380</v>
      </c>
      <c r="G1564" t="s">
        <v>608</v>
      </c>
      <c r="H1564" t="s">
        <v>604</v>
      </c>
    </row>
    <row r="1565" spans="1:8" x14ac:dyDescent="0.2">
      <c r="A1565" t="s">
        <v>2810</v>
      </c>
      <c r="B1565" t="s">
        <v>2807</v>
      </c>
      <c r="C1565" t="s">
        <v>18</v>
      </c>
      <c r="D1565">
        <v>2</v>
      </c>
      <c r="E1565" t="s">
        <v>17</v>
      </c>
      <c r="F1565" t="s">
        <v>380</v>
      </c>
      <c r="G1565" t="s">
        <v>608</v>
      </c>
      <c r="H1565" t="s">
        <v>604</v>
      </c>
    </row>
    <row r="1566" spans="1:8" x14ac:dyDescent="0.2">
      <c r="A1566" t="s">
        <v>2811</v>
      </c>
      <c r="B1566" t="s">
        <v>2807</v>
      </c>
      <c r="C1566" t="s">
        <v>19</v>
      </c>
      <c r="D1566">
        <v>2</v>
      </c>
      <c r="E1566" t="s">
        <v>17</v>
      </c>
      <c r="F1566" t="s">
        <v>380</v>
      </c>
      <c r="G1566" t="s">
        <v>608</v>
      </c>
      <c r="H1566" t="s">
        <v>604</v>
      </c>
    </row>
    <row r="1567" spans="1:8" x14ac:dyDescent="0.2">
      <c r="A1567" t="s">
        <v>2812</v>
      </c>
      <c r="B1567" t="s">
        <v>2813</v>
      </c>
      <c r="C1567" t="s">
        <v>18</v>
      </c>
      <c r="D1567">
        <v>2</v>
      </c>
      <c r="E1567" t="s">
        <v>21</v>
      </c>
      <c r="F1567" t="s">
        <v>380</v>
      </c>
      <c r="G1567" t="s">
        <v>608</v>
      </c>
      <c r="H1567" t="s">
        <v>604</v>
      </c>
    </row>
    <row r="1568" spans="1:8" x14ac:dyDescent="0.2">
      <c r="A1568" t="s">
        <v>2814</v>
      </c>
      <c r="B1568" t="s">
        <v>2813</v>
      </c>
      <c r="C1568" t="s">
        <v>18</v>
      </c>
      <c r="D1568">
        <v>2</v>
      </c>
      <c r="E1568" t="s">
        <v>17</v>
      </c>
      <c r="F1568" t="s">
        <v>380</v>
      </c>
      <c r="G1568" t="s">
        <v>608</v>
      </c>
      <c r="H1568" t="s">
        <v>604</v>
      </c>
    </row>
    <row r="1569" spans="1:8" x14ac:dyDescent="0.2">
      <c r="A1569" t="s">
        <v>2815</v>
      </c>
      <c r="B1569" t="s">
        <v>2813</v>
      </c>
      <c r="C1569" t="s">
        <v>18</v>
      </c>
      <c r="D1569">
        <v>2</v>
      </c>
      <c r="E1569" t="s">
        <v>17</v>
      </c>
      <c r="F1569" t="s">
        <v>380</v>
      </c>
      <c r="G1569" t="s">
        <v>608</v>
      </c>
      <c r="H1569" t="s">
        <v>604</v>
      </c>
    </row>
    <row r="1570" spans="1:8" x14ac:dyDescent="0.2">
      <c r="A1570" t="s">
        <v>2816</v>
      </c>
      <c r="B1570" t="s">
        <v>2813</v>
      </c>
      <c r="C1570" t="s">
        <v>19</v>
      </c>
      <c r="D1570">
        <v>2</v>
      </c>
      <c r="E1570" t="s">
        <v>17</v>
      </c>
      <c r="F1570" t="s">
        <v>380</v>
      </c>
      <c r="G1570" t="s">
        <v>608</v>
      </c>
      <c r="H1570" t="s">
        <v>604</v>
      </c>
    </row>
    <row r="1571" spans="1:8" x14ac:dyDescent="0.2">
      <c r="A1571" t="s">
        <v>2817</v>
      </c>
      <c r="B1571" t="s">
        <v>2813</v>
      </c>
      <c r="C1571" t="s">
        <v>18</v>
      </c>
      <c r="D1571">
        <v>2</v>
      </c>
      <c r="E1571" t="s">
        <v>17</v>
      </c>
      <c r="F1571" t="s">
        <v>380</v>
      </c>
      <c r="G1571" t="s">
        <v>608</v>
      </c>
      <c r="H1571" t="s">
        <v>604</v>
      </c>
    </row>
    <row r="1572" spans="1:8" x14ac:dyDescent="0.2">
      <c r="A1572" t="s">
        <v>2818</v>
      </c>
      <c r="B1572" t="s">
        <v>2819</v>
      </c>
      <c r="C1572" t="s">
        <v>18</v>
      </c>
      <c r="D1572">
        <v>2</v>
      </c>
      <c r="E1572" t="s">
        <v>17</v>
      </c>
      <c r="F1572" t="s">
        <v>380</v>
      </c>
      <c r="G1572" t="s">
        <v>608</v>
      </c>
      <c r="H1572" t="s">
        <v>604</v>
      </c>
    </row>
    <row r="1573" spans="1:8" x14ac:dyDescent="0.2">
      <c r="A1573" t="s">
        <v>2820</v>
      </c>
      <c r="B1573" t="s">
        <v>2819</v>
      </c>
      <c r="C1573" t="s">
        <v>18</v>
      </c>
      <c r="D1573">
        <v>3</v>
      </c>
      <c r="E1573" t="s">
        <v>21</v>
      </c>
      <c r="F1573" t="s">
        <v>380</v>
      </c>
      <c r="G1573" t="s">
        <v>608</v>
      </c>
      <c r="H1573" t="s">
        <v>604</v>
      </c>
    </row>
    <row r="1574" spans="1:8" x14ac:dyDescent="0.2">
      <c r="A1574" t="s">
        <v>2821</v>
      </c>
      <c r="B1574" t="s">
        <v>2819</v>
      </c>
      <c r="C1574" t="s">
        <v>18</v>
      </c>
      <c r="D1574">
        <v>2</v>
      </c>
      <c r="E1574" t="s">
        <v>17</v>
      </c>
      <c r="F1574" t="s">
        <v>380</v>
      </c>
      <c r="G1574" t="s">
        <v>608</v>
      </c>
      <c r="H1574" t="s">
        <v>604</v>
      </c>
    </row>
    <row r="1575" spans="1:8" x14ac:dyDescent="0.2">
      <c r="A1575" t="s">
        <v>2822</v>
      </c>
      <c r="B1575" t="s">
        <v>2819</v>
      </c>
      <c r="C1575" t="s">
        <v>18</v>
      </c>
      <c r="D1575">
        <v>2</v>
      </c>
      <c r="E1575" t="s">
        <v>17</v>
      </c>
      <c r="F1575" t="s">
        <v>380</v>
      </c>
      <c r="G1575" t="s">
        <v>608</v>
      </c>
      <c r="H1575" t="s">
        <v>604</v>
      </c>
    </row>
    <row r="1576" spans="1:8" x14ac:dyDescent="0.2">
      <c r="A1576" t="s">
        <v>2823</v>
      </c>
      <c r="B1576" t="s">
        <v>2819</v>
      </c>
      <c r="C1576" t="s">
        <v>18</v>
      </c>
      <c r="D1576">
        <v>2</v>
      </c>
      <c r="E1576" t="s">
        <v>17</v>
      </c>
      <c r="F1576" t="s">
        <v>380</v>
      </c>
      <c r="G1576" t="s">
        <v>608</v>
      </c>
      <c r="H1576" t="s">
        <v>604</v>
      </c>
    </row>
    <row r="1577" spans="1:8" x14ac:dyDescent="0.2">
      <c r="A1577" t="s">
        <v>2824</v>
      </c>
      <c r="B1577" t="s">
        <v>2825</v>
      </c>
      <c r="C1577" t="s">
        <v>18</v>
      </c>
      <c r="D1577">
        <v>2</v>
      </c>
      <c r="E1577" t="s">
        <v>17</v>
      </c>
      <c r="F1577" t="s">
        <v>380</v>
      </c>
      <c r="G1577" t="s">
        <v>608</v>
      </c>
      <c r="H1577" t="s">
        <v>604</v>
      </c>
    </row>
    <row r="1578" spans="1:8" x14ac:dyDescent="0.2">
      <c r="A1578" t="s">
        <v>2826</v>
      </c>
      <c r="B1578" t="s">
        <v>2825</v>
      </c>
      <c r="C1578" t="s">
        <v>18</v>
      </c>
      <c r="D1578">
        <v>2</v>
      </c>
      <c r="E1578" t="s">
        <v>17</v>
      </c>
      <c r="F1578" t="s">
        <v>380</v>
      </c>
      <c r="G1578" t="s">
        <v>608</v>
      </c>
      <c r="H1578" t="s">
        <v>604</v>
      </c>
    </row>
    <row r="1579" spans="1:8" x14ac:dyDescent="0.2">
      <c r="A1579" t="s">
        <v>2827</v>
      </c>
      <c r="B1579" t="s">
        <v>2825</v>
      </c>
      <c r="C1579" t="s">
        <v>18</v>
      </c>
      <c r="D1579">
        <v>2</v>
      </c>
      <c r="E1579" t="s">
        <v>17</v>
      </c>
      <c r="F1579" t="s">
        <v>380</v>
      </c>
      <c r="G1579" t="s">
        <v>608</v>
      </c>
      <c r="H1579" t="s">
        <v>604</v>
      </c>
    </row>
    <row r="1580" spans="1:8" x14ac:dyDescent="0.2">
      <c r="A1580" t="s">
        <v>2828</v>
      </c>
      <c r="B1580" t="s">
        <v>2825</v>
      </c>
      <c r="C1580" t="s">
        <v>18</v>
      </c>
      <c r="D1580">
        <v>2</v>
      </c>
      <c r="E1580" t="s">
        <v>17</v>
      </c>
      <c r="F1580" t="s">
        <v>380</v>
      </c>
      <c r="G1580" t="s">
        <v>608</v>
      </c>
      <c r="H1580" t="s">
        <v>604</v>
      </c>
    </row>
    <row r="1581" spans="1:8" x14ac:dyDescent="0.2">
      <c r="A1581" t="s">
        <v>2829</v>
      </c>
      <c r="B1581" t="s">
        <v>2825</v>
      </c>
      <c r="C1581" t="s">
        <v>18</v>
      </c>
      <c r="D1581">
        <v>2</v>
      </c>
      <c r="E1581" t="s">
        <v>17</v>
      </c>
      <c r="F1581" t="s">
        <v>380</v>
      </c>
      <c r="G1581" t="s">
        <v>608</v>
      </c>
      <c r="H1581" t="s">
        <v>604</v>
      </c>
    </row>
    <row r="1582" spans="1:8" x14ac:dyDescent="0.2">
      <c r="A1582" t="s">
        <v>2830</v>
      </c>
      <c r="B1582" t="s">
        <v>2831</v>
      </c>
      <c r="C1582" t="s">
        <v>18</v>
      </c>
      <c r="D1582">
        <v>2</v>
      </c>
      <c r="E1582" t="s">
        <v>17</v>
      </c>
      <c r="F1582" t="s">
        <v>380</v>
      </c>
      <c r="G1582" t="s">
        <v>608</v>
      </c>
      <c r="H1582" t="s">
        <v>604</v>
      </c>
    </row>
    <row r="1583" spans="1:8" x14ac:dyDescent="0.2">
      <c r="A1583" t="s">
        <v>2832</v>
      </c>
      <c r="B1583" t="s">
        <v>2831</v>
      </c>
      <c r="C1583" t="s">
        <v>18</v>
      </c>
      <c r="D1583">
        <v>2</v>
      </c>
      <c r="E1583" t="s">
        <v>17</v>
      </c>
      <c r="F1583" t="s">
        <v>380</v>
      </c>
      <c r="G1583" t="s">
        <v>608</v>
      </c>
      <c r="H1583" t="s">
        <v>604</v>
      </c>
    </row>
    <row r="1584" spans="1:8" x14ac:dyDescent="0.2">
      <c r="A1584" t="s">
        <v>2833</v>
      </c>
      <c r="B1584" t="s">
        <v>2831</v>
      </c>
      <c r="C1584" t="s">
        <v>18</v>
      </c>
      <c r="D1584">
        <v>2</v>
      </c>
      <c r="E1584" t="s">
        <v>17</v>
      </c>
      <c r="F1584" t="s">
        <v>380</v>
      </c>
      <c r="G1584" t="s">
        <v>608</v>
      </c>
      <c r="H1584" t="s">
        <v>604</v>
      </c>
    </row>
    <row r="1585" spans="1:8" x14ac:dyDescent="0.2">
      <c r="A1585" t="s">
        <v>2834</v>
      </c>
      <c r="B1585" t="s">
        <v>2831</v>
      </c>
      <c r="C1585" t="s">
        <v>18</v>
      </c>
      <c r="D1585">
        <v>2</v>
      </c>
      <c r="E1585" t="s">
        <v>17</v>
      </c>
      <c r="F1585" t="s">
        <v>380</v>
      </c>
      <c r="G1585" t="s">
        <v>608</v>
      </c>
      <c r="H1585" t="s">
        <v>604</v>
      </c>
    </row>
    <row r="1586" spans="1:8" x14ac:dyDescent="0.2">
      <c r="A1586" t="s">
        <v>2835</v>
      </c>
      <c r="B1586" t="s">
        <v>2831</v>
      </c>
      <c r="C1586" t="s">
        <v>18</v>
      </c>
      <c r="D1586">
        <v>2</v>
      </c>
      <c r="E1586" t="s">
        <v>17</v>
      </c>
      <c r="F1586" t="s">
        <v>380</v>
      </c>
      <c r="G1586" t="s">
        <v>608</v>
      </c>
      <c r="H1586" t="s">
        <v>604</v>
      </c>
    </row>
    <row r="1587" spans="1:8" x14ac:dyDescent="0.2">
      <c r="A1587" t="s">
        <v>2836</v>
      </c>
      <c r="B1587" t="s">
        <v>2837</v>
      </c>
      <c r="C1587" t="s">
        <v>18</v>
      </c>
      <c r="D1587">
        <v>2</v>
      </c>
      <c r="E1587" t="s">
        <v>17</v>
      </c>
      <c r="F1587" t="s">
        <v>380</v>
      </c>
      <c r="G1587" t="s">
        <v>608</v>
      </c>
      <c r="H1587" t="s">
        <v>604</v>
      </c>
    </row>
    <row r="1588" spans="1:8" x14ac:dyDescent="0.2">
      <c r="A1588" t="s">
        <v>2838</v>
      </c>
      <c r="B1588" t="s">
        <v>2837</v>
      </c>
      <c r="C1588" t="s">
        <v>18</v>
      </c>
      <c r="D1588">
        <v>3</v>
      </c>
      <c r="E1588" t="s">
        <v>17</v>
      </c>
      <c r="F1588" t="s">
        <v>380</v>
      </c>
      <c r="G1588" t="s">
        <v>608</v>
      </c>
      <c r="H1588" t="s">
        <v>604</v>
      </c>
    </row>
    <row r="1589" spans="1:8" x14ac:dyDescent="0.2">
      <c r="A1589" t="s">
        <v>2839</v>
      </c>
      <c r="B1589" t="s">
        <v>2837</v>
      </c>
      <c r="C1589" t="s">
        <v>19</v>
      </c>
      <c r="D1589">
        <v>2</v>
      </c>
      <c r="E1589" t="s">
        <v>17</v>
      </c>
      <c r="F1589" t="s">
        <v>380</v>
      </c>
      <c r="G1589" t="s">
        <v>608</v>
      </c>
      <c r="H1589" t="s">
        <v>604</v>
      </c>
    </row>
    <row r="1590" spans="1:8" x14ac:dyDescent="0.2">
      <c r="A1590" t="s">
        <v>2840</v>
      </c>
      <c r="B1590" t="s">
        <v>2837</v>
      </c>
      <c r="C1590" t="s">
        <v>18</v>
      </c>
      <c r="D1590">
        <v>2</v>
      </c>
      <c r="E1590" t="s">
        <v>17</v>
      </c>
      <c r="F1590" t="s">
        <v>380</v>
      </c>
      <c r="G1590" t="s">
        <v>608</v>
      </c>
      <c r="H1590" t="s">
        <v>604</v>
      </c>
    </row>
    <row r="1591" spans="1:8" x14ac:dyDescent="0.2">
      <c r="A1591" t="s">
        <v>2841</v>
      </c>
      <c r="B1591" t="s">
        <v>2837</v>
      </c>
      <c r="C1591" t="s">
        <v>18</v>
      </c>
      <c r="D1591">
        <v>2</v>
      </c>
      <c r="E1591" t="s">
        <v>17</v>
      </c>
      <c r="F1591" t="s">
        <v>380</v>
      </c>
      <c r="G1591" t="s">
        <v>608</v>
      </c>
      <c r="H1591" t="s">
        <v>604</v>
      </c>
    </row>
    <row r="1592" spans="1:8" x14ac:dyDescent="0.2">
      <c r="A1592" t="s">
        <v>2842</v>
      </c>
      <c r="B1592" t="s">
        <v>2843</v>
      </c>
      <c r="C1592" t="s">
        <v>18</v>
      </c>
      <c r="D1592">
        <v>2</v>
      </c>
      <c r="E1592" t="s">
        <v>17</v>
      </c>
      <c r="F1592" t="s">
        <v>380</v>
      </c>
      <c r="G1592" t="s">
        <v>608</v>
      </c>
      <c r="H1592" t="s">
        <v>604</v>
      </c>
    </row>
    <row r="1593" spans="1:8" x14ac:dyDescent="0.2">
      <c r="A1593" t="s">
        <v>2844</v>
      </c>
      <c r="B1593" t="s">
        <v>2843</v>
      </c>
      <c r="C1593" t="s">
        <v>18</v>
      </c>
      <c r="D1593">
        <v>2</v>
      </c>
      <c r="E1593" t="s">
        <v>17</v>
      </c>
      <c r="F1593" t="s">
        <v>380</v>
      </c>
      <c r="G1593" t="s">
        <v>608</v>
      </c>
      <c r="H1593" t="s">
        <v>604</v>
      </c>
    </row>
    <row r="1594" spans="1:8" x14ac:dyDescent="0.2">
      <c r="A1594" t="s">
        <v>2845</v>
      </c>
      <c r="B1594" t="s">
        <v>2843</v>
      </c>
      <c r="C1594" t="s">
        <v>18</v>
      </c>
      <c r="D1594">
        <v>2</v>
      </c>
      <c r="E1594" t="s">
        <v>17</v>
      </c>
      <c r="F1594" t="s">
        <v>380</v>
      </c>
      <c r="G1594" t="s">
        <v>608</v>
      </c>
      <c r="H1594" t="s">
        <v>604</v>
      </c>
    </row>
    <row r="1595" spans="1:8" x14ac:dyDescent="0.2">
      <c r="A1595" t="s">
        <v>2846</v>
      </c>
      <c r="B1595" t="s">
        <v>2843</v>
      </c>
      <c r="C1595" t="s">
        <v>18</v>
      </c>
      <c r="D1595">
        <v>2</v>
      </c>
      <c r="E1595" t="s">
        <v>17</v>
      </c>
      <c r="F1595" t="s">
        <v>380</v>
      </c>
      <c r="G1595" t="s">
        <v>608</v>
      </c>
      <c r="H1595" t="s">
        <v>604</v>
      </c>
    </row>
    <row r="1596" spans="1:8" x14ac:dyDescent="0.2">
      <c r="A1596" t="s">
        <v>2847</v>
      </c>
      <c r="B1596" t="s">
        <v>2843</v>
      </c>
      <c r="C1596" t="s">
        <v>18</v>
      </c>
      <c r="D1596">
        <v>2</v>
      </c>
      <c r="E1596" t="s">
        <v>17</v>
      </c>
      <c r="F1596" t="s">
        <v>380</v>
      </c>
      <c r="G1596" t="s">
        <v>608</v>
      </c>
      <c r="H1596" t="s">
        <v>604</v>
      </c>
    </row>
    <row r="1597" spans="1:8" x14ac:dyDescent="0.2">
      <c r="A1597" t="s">
        <v>2848</v>
      </c>
      <c r="B1597" t="s">
        <v>2849</v>
      </c>
      <c r="C1597" t="s">
        <v>18</v>
      </c>
      <c r="D1597">
        <v>2</v>
      </c>
      <c r="E1597" t="s">
        <v>17</v>
      </c>
      <c r="F1597" t="s">
        <v>380</v>
      </c>
      <c r="G1597" t="s">
        <v>608</v>
      </c>
      <c r="H1597" t="s">
        <v>604</v>
      </c>
    </row>
    <row r="1598" spans="1:8" x14ac:dyDescent="0.2">
      <c r="A1598" t="s">
        <v>2850</v>
      </c>
      <c r="B1598" t="s">
        <v>2849</v>
      </c>
      <c r="C1598" t="s">
        <v>18</v>
      </c>
      <c r="D1598">
        <v>2</v>
      </c>
      <c r="E1598" t="s">
        <v>17</v>
      </c>
      <c r="F1598" t="s">
        <v>380</v>
      </c>
      <c r="G1598" t="s">
        <v>608</v>
      </c>
      <c r="H1598" t="s">
        <v>604</v>
      </c>
    </row>
    <row r="1599" spans="1:8" x14ac:dyDescent="0.2">
      <c r="A1599" t="s">
        <v>2851</v>
      </c>
      <c r="B1599" t="s">
        <v>2849</v>
      </c>
      <c r="C1599" t="s">
        <v>18</v>
      </c>
      <c r="D1599">
        <v>2</v>
      </c>
      <c r="E1599" t="s">
        <v>17</v>
      </c>
      <c r="F1599" t="s">
        <v>380</v>
      </c>
      <c r="G1599" t="s">
        <v>608</v>
      </c>
      <c r="H1599" t="s">
        <v>604</v>
      </c>
    </row>
    <row r="1600" spans="1:8" x14ac:dyDescent="0.2">
      <c r="A1600" t="s">
        <v>2852</v>
      </c>
      <c r="B1600" t="s">
        <v>2849</v>
      </c>
      <c r="C1600" t="s">
        <v>18</v>
      </c>
      <c r="D1600">
        <v>2</v>
      </c>
      <c r="E1600" t="s">
        <v>17</v>
      </c>
      <c r="F1600" t="s">
        <v>380</v>
      </c>
      <c r="G1600" t="s">
        <v>608</v>
      </c>
      <c r="H1600" t="s">
        <v>604</v>
      </c>
    </row>
    <row r="1601" spans="1:8" x14ac:dyDescent="0.2">
      <c r="A1601" t="s">
        <v>2853</v>
      </c>
      <c r="B1601" t="s">
        <v>2849</v>
      </c>
      <c r="C1601" t="s">
        <v>18</v>
      </c>
      <c r="D1601">
        <v>2</v>
      </c>
      <c r="E1601" t="s">
        <v>17</v>
      </c>
      <c r="F1601" t="s">
        <v>380</v>
      </c>
      <c r="G1601" t="s">
        <v>608</v>
      </c>
      <c r="H1601" t="s">
        <v>604</v>
      </c>
    </row>
    <row r="1602" spans="1:8" x14ac:dyDescent="0.2">
      <c r="A1602" t="s">
        <v>2854</v>
      </c>
      <c r="B1602" t="s">
        <v>2855</v>
      </c>
      <c r="C1602" t="s">
        <v>18</v>
      </c>
      <c r="D1602">
        <v>2</v>
      </c>
      <c r="E1602" t="s">
        <v>17</v>
      </c>
      <c r="F1602" t="s">
        <v>380</v>
      </c>
      <c r="G1602" t="s">
        <v>608</v>
      </c>
      <c r="H1602" t="s">
        <v>604</v>
      </c>
    </row>
    <row r="1603" spans="1:8" x14ac:dyDescent="0.2">
      <c r="A1603" t="s">
        <v>2856</v>
      </c>
      <c r="B1603" t="s">
        <v>2855</v>
      </c>
      <c r="C1603" t="s">
        <v>16</v>
      </c>
      <c r="D1603">
        <v>4</v>
      </c>
      <c r="E1603" t="s">
        <v>17</v>
      </c>
      <c r="F1603" t="s">
        <v>380</v>
      </c>
      <c r="G1603" t="s">
        <v>608</v>
      </c>
      <c r="H1603" t="s">
        <v>604</v>
      </c>
    </row>
    <row r="1604" spans="1:8" x14ac:dyDescent="0.2">
      <c r="A1604" t="s">
        <v>2857</v>
      </c>
      <c r="B1604" t="s">
        <v>2855</v>
      </c>
      <c r="C1604" t="s">
        <v>18</v>
      </c>
      <c r="D1604">
        <v>3</v>
      </c>
      <c r="E1604" t="s">
        <v>17</v>
      </c>
      <c r="F1604" t="s">
        <v>380</v>
      </c>
      <c r="G1604" t="s">
        <v>608</v>
      </c>
      <c r="H1604" t="s">
        <v>604</v>
      </c>
    </row>
    <row r="1605" spans="1:8" x14ac:dyDescent="0.2">
      <c r="A1605" t="s">
        <v>2858</v>
      </c>
      <c r="B1605" t="s">
        <v>2855</v>
      </c>
      <c r="C1605" t="s">
        <v>16</v>
      </c>
      <c r="D1605">
        <v>4</v>
      </c>
      <c r="E1605" t="s">
        <v>17</v>
      </c>
      <c r="F1605" t="s">
        <v>381</v>
      </c>
      <c r="G1605" t="s">
        <v>608</v>
      </c>
      <c r="H1605" t="s">
        <v>604</v>
      </c>
    </row>
    <row r="1606" spans="1:8" x14ac:dyDescent="0.2">
      <c r="A1606" t="s">
        <v>2859</v>
      </c>
      <c r="B1606" t="s">
        <v>2855</v>
      </c>
      <c r="C1606" t="s">
        <v>19</v>
      </c>
      <c r="D1606">
        <v>3</v>
      </c>
      <c r="E1606" t="s">
        <v>17</v>
      </c>
      <c r="F1606" t="s">
        <v>380</v>
      </c>
      <c r="G1606" t="s">
        <v>608</v>
      </c>
      <c r="H1606" t="s">
        <v>604</v>
      </c>
    </row>
    <row r="1607" spans="1:8" x14ac:dyDescent="0.2">
      <c r="A1607" t="s">
        <v>2860</v>
      </c>
      <c r="B1607" t="s">
        <v>2861</v>
      </c>
      <c r="C1607" t="s">
        <v>16</v>
      </c>
      <c r="D1607" t="s">
        <v>608</v>
      </c>
      <c r="E1607" t="s">
        <v>17</v>
      </c>
      <c r="F1607" t="s">
        <v>380</v>
      </c>
      <c r="G1607" t="s">
        <v>608</v>
      </c>
      <c r="H1607" t="s">
        <v>604</v>
      </c>
    </row>
    <row r="1608" spans="1:8" x14ac:dyDescent="0.2">
      <c r="A1608" t="s">
        <v>2862</v>
      </c>
      <c r="B1608" t="s">
        <v>2861</v>
      </c>
      <c r="C1608" t="s">
        <v>18</v>
      </c>
      <c r="D1608">
        <v>2</v>
      </c>
      <c r="E1608" t="s">
        <v>17</v>
      </c>
      <c r="F1608" t="s">
        <v>380</v>
      </c>
      <c r="G1608" t="s">
        <v>608</v>
      </c>
      <c r="H1608" t="s">
        <v>604</v>
      </c>
    </row>
    <row r="1609" spans="1:8" x14ac:dyDescent="0.2">
      <c r="A1609" t="s">
        <v>2863</v>
      </c>
      <c r="B1609" t="s">
        <v>2861</v>
      </c>
      <c r="C1609" t="s">
        <v>16</v>
      </c>
      <c r="D1609" t="s">
        <v>16</v>
      </c>
      <c r="E1609" t="s">
        <v>20</v>
      </c>
      <c r="F1609" t="s">
        <v>380</v>
      </c>
      <c r="G1609" t="s">
        <v>608</v>
      </c>
      <c r="H1609" t="s">
        <v>604</v>
      </c>
    </row>
    <row r="1610" spans="1:8" x14ac:dyDescent="0.2">
      <c r="A1610" t="s">
        <v>2864</v>
      </c>
      <c r="B1610" t="s">
        <v>2861</v>
      </c>
      <c r="C1610" t="s">
        <v>18</v>
      </c>
      <c r="D1610">
        <v>2</v>
      </c>
      <c r="E1610" t="s">
        <v>17</v>
      </c>
      <c r="F1610" t="s">
        <v>380</v>
      </c>
      <c r="G1610" t="s">
        <v>608</v>
      </c>
      <c r="H1610" t="s">
        <v>604</v>
      </c>
    </row>
    <row r="1611" spans="1:8" x14ac:dyDescent="0.2">
      <c r="A1611" t="s">
        <v>2865</v>
      </c>
      <c r="B1611" t="s">
        <v>2861</v>
      </c>
      <c r="C1611" t="s">
        <v>16</v>
      </c>
      <c r="D1611">
        <v>4</v>
      </c>
      <c r="E1611" t="s">
        <v>17</v>
      </c>
      <c r="F1611" t="s">
        <v>380</v>
      </c>
      <c r="G1611" t="s">
        <v>608</v>
      </c>
      <c r="H1611" t="s">
        <v>604</v>
      </c>
    </row>
    <row r="1612" spans="1:8" x14ac:dyDescent="0.2">
      <c r="A1612" t="s">
        <v>2866</v>
      </c>
      <c r="B1612" t="s">
        <v>2867</v>
      </c>
      <c r="C1612" t="s">
        <v>18</v>
      </c>
      <c r="D1612">
        <v>2</v>
      </c>
      <c r="E1612" t="s">
        <v>17</v>
      </c>
      <c r="F1612" t="s">
        <v>380</v>
      </c>
      <c r="G1612" t="s">
        <v>608</v>
      </c>
      <c r="H1612" t="s">
        <v>604</v>
      </c>
    </row>
    <row r="1613" spans="1:8" x14ac:dyDescent="0.2">
      <c r="A1613" t="s">
        <v>2868</v>
      </c>
      <c r="B1613" t="s">
        <v>2867</v>
      </c>
      <c r="C1613" t="s">
        <v>18</v>
      </c>
      <c r="D1613">
        <v>2</v>
      </c>
      <c r="E1613" t="s">
        <v>17</v>
      </c>
      <c r="F1613" t="s">
        <v>380</v>
      </c>
      <c r="G1613" t="s">
        <v>608</v>
      </c>
      <c r="H1613" t="s">
        <v>604</v>
      </c>
    </row>
    <row r="1614" spans="1:8" x14ac:dyDescent="0.2">
      <c r="A1614" t="s">
        <v>2869</v>
      </c>
      <c r="B1614" t="s">
        <v>2867</v>
      </c>
      <c r="C1614" t="s">
        <v>19</v>
      </c>
      <c r="D1614">
        <v>2</v>
      </c>
      <c r="E1614" t="s">
        <v>17</v>
      </c>
      <c r="F1614" t="s">
        <v>380</v>
      </c>
      <c r="G1614" t="s">
        <v>608</v>
      </c>
      <c r="H1614" t="s">
        <v>604</v>
      </c>
    </row>
    <row r="1615" spans="1:8" x14ac:dyDescent="0.2">
      <c r="A1615" t="s">
        <v>2870</v>
      </c>
      <c r="B1615" t="s">
        <v>2867</v>
      </c>
      <c r="C1615" t="s">
        <v>18</v>
      </c>
      <c r="D1615">
        <v>2</v>
      </c>
      <c r="E1615" t="s">
        <v>17</v>
      </c>
      <c r="F1615" t="s">
        <v>380</v>
      </c>
      <c r="G1615" t="s">
        <v>608</v>
      </c>
      <c r="H1615" t="s">
        <v>604</v>
      </c>
    </row>
    <row r="1616" spans="1:8" x14ac:dyDescent="0.2">
      <c r="A1616" t="s">
        <v>2871</v>
      </c>
      <c r="B1616" t="s">
        <v>2867</v>
      </c>
      <c r="C1616" t="s">
        <v>19</v>
      </c>
      <c r="D1616">
        <v>2</v>
      </c>
      <c r="E1616" t="s">
        <v>17</v>
      </c>
      <c r="F1616" t="s">
        <v>380</v>
      </c>
      <c r="G1616" t="s">
        <v>608</v>
      </c>
      <c r="H1616" t="s">
        <v>604</v>
      </c>
    </row>
    <row r="1617" spans="1:8" x14ac:dyDescent="0.2">
      <c r="A1617" t="s">
        <v>2872</v>
      </c>
      <c r="B1617" t="s">
        <v>1325</v>
      </c>
      <c r="C1617" t="s">
        <v>18</v>
      </c>
      <c r="D1617">
        <v>3</v>
      </c>
      <c r="E1617" t="s">
        <v>17</v>
      </c>
      <c r="F1617" t="s">
        <v>380</v>
      </c>
      <c r="G1617" t="s">
        <v>608</v>
      </c>
      <c r="H1617" t="s">
        <v>52</v>
      </c>
    </row>
    <row r="1618" spans="1:8" x14ac:dyDescent="0.2">
      <c r="A1618" t="s">
        <v>2873</v>
      </c>
      <c r="B1618" t="s">
        <v>1325</v>
      </c>
      <c r="C1618" t="s">
        <v>16</v>
      </c>
      <c r="D1618">
        <v>4</v>
      </c>
      <c r="E1618" t="s">
        <v>17</v>
      </c>
      <c r="F1618" t="s">
        <v>380</v>
      </c>
      <c r="G1618" t="s">
        <v>608</v>
      </c>
      <c r="H1618" t="s">
        <v>52</v>
      </c>
    </row>
    <row r="1619" spans="1:8" x14ac:dyDescent="0.2">
      <c r="A1619" t="s">
        <v>2874</v>
      </c>
      <c r="B1619" t="s">
        <v>1325</v>
      </c>
      <c r="C1619" t="s">
        <v>16</v>
      </c>
      <c r="D1619">
        <v>4</v>
      </c>
      <c r="E1619" t="s">
        <v>17</v>
      </c>
      <c r="F1619" t="s">
        <v>380</v>
      </c>
      <c r="G1619" t="s">
        <v>608</v>
      </c>
      <c r="H1619" t="s">
        <v>52</v>
      </c>
    </row>
    <row r="1620" spans="1:8" x14ac:dyDescent="0.2">
      <c r="A1620" t="s">
        <v>2875</v>
      </c>
      <c r="B1620" t="s">
        <v>1325</v>
      </c>
      <c r="C1620" t="s">
        <v>18</v>
      </c>
      <c r="D1620">
        <v>3</v>
      </c>
      <c r="E1620" t="s">
        <v>17</v>
      </c>
      <c r="F1620" t="s">
        <v>380</v>
      </c>
      <c r="G1620" t="s">
        <v>608</v>
      </c>
      <c r="H1620" t="s">
        <v>52</v>
      </c>
    </row>
    <row r="1621" spans="1:8" x14ac:dyDescent="0.2">
      <c r="A1621" t="s">
        <v>2876</v>
      </c>
      <c r="B1621" t="s">
        <v>1325</v>
      </c>
      <c r="C1621" t="s">
        <v>16</v>
      </c>
      <c r="D1621">
        <v>4</v>
      </c>
      <c r="E1621" t="s">
        <v>21</v>
      </c>
      <c r="F1621" t="s">
        <v>380</v>
      </c>
      <c r="G1621" t="s">
        <v>608</v>
      </c>
      <c r="H1621" t="s">
        <v>52</v>
      </c>
    </row>
    <row r="1622" spans="1:8" x14ac:dyDescent="0.2">
      <c r="A1622" t="s">
        <v>2877</v>
      </c>
      <c r="B1622" t="s">
        <v>1327</v>
      </c>
      <c r="C1622" t="s">
        <v>18</v>
      </c>
      <c r="D1622">
        <v>3</v>
      </c>
      <c r="E1622" t="s">
        <v>17</v>
      </c>
      <c r="F1622" t="s">
        <v>380</v>
      </c>
      <c r="G1622" t="s">
        <v>608</v>
      </c>
      <c r="H1622" t="s">
        <v>52</v>
      </c>
    </row>
    <row r="1623" spans="1:8" x14ac:dyDescent="0.2">
      <c r="A1623" t="s">
        <v>2878</v>
      </c>
      <c r="B1623" t="s">
        <v>1327</v>
      </c>
      <c r="C1623" t="s">
        <v>18</v>
      </c>
      <c r="D1623">
        <v>1</v>
      </c>
      <c r="E1623" t="s">
        <v>17</v>
      </c>
      <c r="F1623" t="s">
        <v>380</v>
      </c>
      <c r="G1623" t="s">
        <v>608</v>
      </c>
      <c r="H1623" t="s">
        <v>52</v>
      </c>
    </row>
    <row r="1624" spans="1:8" x14ac:dyDescent="0.2">
      <c r="A1624" t="s">
        <v>2879</v>
      </c>
      <c r="B1624" t="s">
        <v>1327</v>
      </c>
      <c r="C1624" t="s">
        <v>18</v>
      </c>
      <c r="D1624">
        <v>1</v>
      </c>
      <c r="E1624" t="s">
        <v>21</v>
      </c>
      <c r="F1624" t="s">
        <v>380</v>
      </c>
      <c r="G1624" t="s">
        <v>608</v>
      </c>
      <c r="H1624" t="s">
        <v>52</v>
      </c>
    </row>
    <row r="1625" spans="1:8" x14ac:dyDescent="0.2">
      <c r="A1625" t="s">
        <v>2880</v>
      </c>
      <c r="B1625" t="s">
        <v>1327</v>
      </c>
      <c r="C1625" t="s">
        <v>16</v>
      </c>
      <c r="D1625">
        <v>4</v>
      </c>
      <c r="E1625" t="s">
        <v>17</v>
      </c>
      <c r="F1625" t="s">
        <v>380</v>
      </c>
      <c r="G1625" t="s">
        <v>608</v>
      </c>
      <c r="H1625" t="s">
        <v>52</v>
      </c>
    </row>
    <row r="1626" spans="1:8" x14ac:dyDescent="0.2">
      <c r="A1626" t="s">
        <v>2881</v>
      </c>
      <c r="B1626" t="s">
        <v>1327</v>
      </c>
      <c r="C1626" t="s">
        <v>16</v>
      </c>
      <c r="D1626" t="s">
        <v>16</v>
      </c>
      <c r="E1626" t="s">
        <v>17</v>
      </c>
      <c r="F1626" t="s">
        <v>380</v>
      </c>
      <c r="G1626" t="s">
        <v>3208</v>
      </c>
      <c r="H1626" t="s">
        <v>52</v>
      </c>
    </row>
    <row r="1627" spans="1:8" x14ac:dyDescent="0.2">
      <c r="A1627" t="s">
        <v>2882</v>
      </c>
      <c r="B1627" t="s">
        <v>1329</v>
      </c>
      <c r="C1627" t="s">
        <v>16</v>
      </c>
      <c r="D1627" t="s">
        <v>16</v>
      </c>
      <c r="E1627" t="s">
        <v>17</v>
      </c>
      <c r="F1627" t="s">
        <v>380</v>
      </c>
      <c r="G1627" t="s">
        <v>3208</v>
      </c>
      <c r="H1627" t="s">
        <v>52</v>
      </c>
    </row>
    <row r="1628" spans="1:8" x14ac:dyDescent="0.2">
      <c r="A1628" t="s">
        <v>2883</v>
      </c>
      <c r="B1628" t="s">
        <v>1329</v>
      </c>
      <c r="C1628" t="s">
        <v>16</v>
      </c>
      <c r="D1628">
        <v>4</v>
      </c>
      <c r="E1628" t="s">
        <v>17</v>
      </c>
      <c r="F1628" t="s">
        <v>380</v>
      </c>
      <c r="G1628" t="s">
        <v>608</v>
      </c>
      <c r="H1628" t="s">
        <v>52</v>
      </c>
    </row>
    <row r="1629" spans="1:8" x14ac:dyDescent="0.2">
      <c r="A1629" t="s">
        <v>2884</v>
      </c>
      <c r="B1629" t="s">
        <v>1329</v>
      </c>
      <c r="C1629" t="s">
        <v>18</v>
      </c>
      <c r="D1629">
        <v>2</v>
      </c>
      <c r="E1629" t="s">
        <v>17</v>
      </c>
      <c r="F1629" t="s">
        <v>380</v>
      </c>
      <c r="G1629" t="s">
        <v>608</v>
      </c>
      <c r="H1629" t="s">
        <v>52</v>
      </c>
    </row>
    <row r="1630" spans="1:8" x14ac:dyDescent="0.2">
      <c r="A1630" t="s">
        <v>2885</v>
      </c>
      <c r="B1630" t="s">
        <v>1329</v>
      </c>
      <c r="C1630" t="s">
        <v>19</v>
      </c>
      <c r="D1630">
        <v>2</v>
      </c>
      <c r="E1630" t="s">
        <v>17</v>
      </c>
      <c r="F1630" t="s">
        <v>380</v>
      </c>
      <c r="G1630" t="s">
        <v>608</v>
      </c>
      <c r="H1630" t="s">
        <v>52</v>
      </c>
    </row>
    <row r="1631" spans="1:8" x14ac:dyDescent="0.2">
      <c r="A1631" t="s">
        <v>2886</v>
      </c>
      <c r="B1631" t="s">
        <v>1329</v>
      </c>
      <c r="C1631" t="s">
        <v>18</v>
      </c>
      <c r="D1631">
        <v>1</v>
      </c>
      <c r="E1631" t="s">
        <v>17</v>
      </c>
      <c r="F1631" t="s">
        <v>380</v>
      </c>
      <c r="G1631" t="s">
        <v>608</v>
      </c>
      <c r="H1631" t="s">
        <v>52</v>
      </c>
    </row>
    <row r="1632" spans="1:8" x14ac:dyDescent="0.2">
      <c r="A1632" t="s">
        <v>2887</v>
      </c>
      <c r="B1632" t="s">
        <v>1337</v>
      </c>
      <c r="C1632" t="s">
        <v>16</v>
      </c>
      <c r="D1632">
        <v>4</v>
      </c>
      <c r="E1632" t="s">
        <v>17</v>
      </c>
      <c r="F1632" t="s">
        <v>380</v>
      </c>
      <c r="G1632" t="s">
        <v>608</v>
      </c>
      <c r="H1632" t="s">
        <v>52</v>
      </c>
    </row>
    <row r="1633" spans="1:8" x14ac:dyDescent="0.2">
      <c r="A1633" t="s">
        <v>2888</v>
      </c>
      <c r="B1633" t="s">
        <v>1337</v>
      </c>
      <c r="C1633" t="s">
        <v>16</v>
      </c>
      <c r="D1633">
        <v>4</v>
      </c>
      <c r="E1633" t="s">
        <v>17</v>
      </c>
      <c r="F1633" t="s">
        <v>380</v>
      </c>
      <c r="G1633" t="s">
        <v>608</v>
      </c>
      <c r="H1633" t="s">
        <v>52</v>
      </c>
    </row>
    <row r="1634" spans="1:8" x14ac:dyDescent="0.2">
      <c r="A1634" t="s">
        <v>2889</v>
      </c>
      <c r="B1634" t="s">
        <v>1337</v>
      </c>
      <c r="C1634" t="s">
        <v>18</v>
      </c>
      <c r="D1634">
        <v>1</v>
      </c>
      <c r="E1634" t="s">
        <v>21</v>
      </c>
      <c r="F1634" t="s">
        <v>380</v>
      </c>
      <c r="G1634" t="s">
        <v>608</v>
      </c>
      <c r="H1634" t="s">
        <v>52</v>
      </c>
    </row>
    <row r="1635" spans="1:8" x14ac:dyDescent="0.2">
      <c r="A1635" t="s">
        <v>2890</v>
      </c>
      <c r="B1635" t="s">
        <v>1337</v>
      </c>
      <c r="C1635" t="s">
        <v>18</v>
      </c>
      <c r="D1635">
        <v>1</v>
      </c>
      <c r="E1635" t="s">
        <v>17</v>
      </c>
      <c r="F1635" t="s">
        <v>380</v>
      </c>
      <c r="G1635" t="s">
        <v>608</v>
      </c>
      <c r="H1635" t="s">
        <v>52</v>
      </c>
    </row>
    <row r="1636" spans="1:8" x14ac:dyDescent="0.2">
      <c r="A1636" t="s">
        <v>2891</v>
      </c>
      <c r="B1636" t="s">
        <v>1337</v>
      </c>
      <c r="C1636" t="s">
        <v>16</v>
      </c>
      <c r="D1636" t="s">
        <v>16</v>
      </c>
      <c r="E1636" t="s">
        <v>20</v>
      </c>
      <c r="F1636" t="s">
        <v>380</v>
      </c>
      <c r="G1636" t="s">
        <v>608</v>
      </c>
      <c r="H1636" t="s">
        <v>52</v>
      </c>
    </row>
    <row r="1637" spans="1:8" x14ac:dyDescent="0.2">
      <c r="A1637" t="s">
        <v>2892</v>
      </c>
      <c r="B1637" t="s">
        <v>1339</v>
      </c>
      <c r="C1637" t="s">
        <v>16</v>
      </c>
      <c r="D1637" t="s">
        <v>16</v>
      </c>
      <c r="E1637" t="s">
        <v>17</v>
      </c>
      <c r="F1637" t="s">
        <v>381</v>
      </c>
      <c r="G1637" t="s">
        <v>608</v>
      </c>
      <c r="H1637" t="s">
        <v>52</v>
      </c>
    </row>
    <row r="1638" spans="1:8" x14ac:dyDescent="0.2">
      <c r="A1638" t="s">
        <v>2893</v>
      </c>
      <c r="B1638" t="s">
        <v>1339</v>
      </c>
      <c r="C1638" t="s">
        <v>16</v>
      </c>
      <c r="D1638" t="s">
        <v>16</v>
      </c>
      <c r="E1638" t="s">
        <v>17</v>
      </c>
      <c r="F1638" t="s">
        <v>381</v>
      </c>
      <c r="G1638" t="s">
        <v>608</v>
      </c>
      <c r="H1638" t="s">
        <v>52</v>
      </c>
    </row>
    <row r="1639" spans="1:8" x14ac:dyDescent="0.2">
      <c r="A1639" t="s">
        <v>2894</v>
      </c>
      <c r="B1639" t="s">
        <v>1339</v>
      </c>
      <c r="C1639" t="s">
        <v>16</v>
      </c>
      <c r="D1639" t="s">
        <v>16</v>
      </c>
      <c r="E1639" t="s">
        <v>17</v>
      </c>
      <c r="F1639" t="s">
        <v>381</v>
      </c>
      <c r="G1639" t="s">
        <v>608</v>
      </c>
      <c r="H1639" t="s">
        <v>52</v>
      </c>
    </row>
    <row r="1640" spans="1:8" x14ac:dyDescent="0.2">
      <c r="A1640" t="s">
        <v>2895</v>
      </c>
      <c r="B1640" t="s">
        <v>1339</v>
      </c>
      <c r="C1640" t="s">
        <v>18</v>
      </c>
      <c r="D1640">
        <v>2</v>
      </c>
      <c r="E1640" t="s">
        <v>21</v>
      </c>
      <c r="F1640" t="s">
        <v>381</v>
      </c>
      <c r="G1640" t="s">
        <v>608</v>
      </c>
      <c r="H1640" t="s">
        <v>52</v>
      </c>
    </row>
    <row r="1641" spans="1:8" x14ac:dyDescent="0.2">
      <c r="A1641" t="s">
        <v>2896</v>
      </c>
      <c r="B1641" t="s">
        <v>1339</v>
      </c>
      <c r="C1641" t="s">
        <v>16</v>
      </c>
      <c r="D1641" t="s">
        <v>16</v>
      </c>
      <c r="E1641" t="s">
        <v>17</v>
      </c>
      <c r="F1641" t="s">
        <v>381</v>
      </c>
      <c r="G1641" t="s">
        <v>608</v>
      </c>
      <c r="H1641" t="s">
        <v>52</v>
      </c>
    </row>
    <row r="1642" spans="1:8" x14ac:dyDescent="0.2">
      <c r="A1642" t="s">
        <v>2897</v>
      </c>
      <c r="B1642" t="s">
        <v>1341</v>
      </c>
      <c r="C1642" t="s">
        <v>18</v>
      </c>
      <c r="D1642">
        <v>1</v>
      </c>
      <c r="E1642" t="s">
        <v>17</v>
      </c>
      <c r="F1642" t="s">
        <v>380</v>
      </c>
      <c r="G1642" t="s">
        <v>608</v>
      </c>
      <c r="H1642" t="s">
        <v>52</v>
      </c>
    </row>
    <row r="1643" spans="1:8" x14ac:dyDescent="0.2">
      <c r="A1643" t="s">
        <v>2898</v>
      </c>
      <c r="B1643" t="s">
        <v>1341</v>
      </c>
      <c r="C1643" t="s">
        <v>19</v>
      </c>
      <c r="D1643">
        <v>2</v>
      </c>
      <c r="E1643" t="s">
        <v>17</v>
      </c>
      <c r="F1643" t="s">
        <v>380</v>
      </c>
      <c r="G1643" t="s">
        <v>608</v>
      </c>
      <c r="H1643" t="s">
        <v>52</v>
      </c>
    </row>
    <row r="1644" spans="1:8" x14ac:dyDescent="0.2">
      <c r="A1644" t="s">
        <v>2899</v>
      </c>
      <c r="B1644" t="s">
        <v>1341</v>
      </c>
      <c r="C1644" t="s">
        <v>18</v>
      </c>
      <c r="D1644">
        <v>1</v>
      </c>
      <c r="E1644" t="s">
        <v>17</v>
      </c>
      <c r="F1644" t="s">
        <v>381</v>
      </c>
      <c r="G1644" t="s">
        <v>608</v>
      </c>
      <c r="H1644" t="s">
        <v>52</v>
      </c>
    </row>
    <row r="1645" spans="1:8" x14ac:dyDescent="0.2">
      <c r="A1645" t="s">
        <v>2900</v>
      </c>
      <c r="B1645" t="s">
        <v>1341</v>
      </c>
      <c r="C1645" t="s">
        <v>18</v>
      </c>
      <c r="D1645">
        <v>2</v>
      </c>
      <c r="E1645" t="s">
        <v>17</v>
      </c>
      <c r="F1645" t="s">
        <v>380</v>
      </c>
      <c r="G1645" t="s">
        <v>608</v>
      </c>
      <c r="H1645" t="s">
        <v>52</v>
      </c>
    </row>
    <row r="1646" spans="1:8" x14ac:dyDescent="0.2">
      <c r="A1646" t="s">
        <v>2901</v>
      </c>
      <c r="B1646" t="s">
        <v>1341</v>
      </c>
      <c r="C1646" t="s">
        <v>18</v>
      </c>
      <c r="D1646">
        <v>2</v>
      </c>
      <c r="E1646" t="s">
        <v>17</v>
      </c>
      <c r="F1646" t="s">
        <v>380</v>
      </c>
      <c r="G1646" t="s">
        <v>608</v>
      </c>
      <c r="H1646" t="s">
        <v>52</v>
      </c>
    </row>
    <row r="1647" spans="1:8" x14ac:dyDescent="0.2">
      <c r="A1647" t="s">
        <v>2902</v>
      </c>
      <c r="B1647" t="s">
        <v>1349</v>
      </c>
      <c r="C1647" t="s">
        <v>18</v>
      </c>
      <c r="D1647">
        <v>1</v>
      </c>
      <c r="E1647" t="s">
        <v>17</v>
      </c>
      <c r="F1647" t="s">
        <v>380</v>
      </c>
      <c r="G1647" t="s">
        <v>608</v>
      </c>
      <c r="H1647" t="s">
        <v>52</v>
      </c>
    </row>
    <row r="1648" spans="1:8" x14ac:dyDescent="0.2">
      <c r="A1648" t="s">
        <v>2903</v>
      </c>
      <c r="B1648" t="s">
        <v>1349</v>
      </c>
      <c r="C1648" t="s">
        <v>18</v>
      </c>
      <c r="D1648">
        <v>2</v>
      </c>
      <c r="E1648" t="s">
        <v>17</v>
      </c>
      <c r="F1648" t="s">
        <v>380</v>
      </c>
      <c r="G1648" t="s">
        <v>608</v>
      </c>
      <c r="H1648" t="s">
        <v>52</v>
      </c>
    </row>
    <row r="1649" spans="1:8" x14ac:dyDescent="0.2">
      <c r="A1649" t="s">
        <v>2904</v>
      </c>
      <c r="B1649" t="s">
        <v>1349</v>
      </c>
      <c r="C1649" t="s">
        <v>18</v>
      </c>
      <c r="D1649">
        <v>1</v>
      </c>
      <c r="E1649" t="s">
        <v>17</v>
      </c>
      <c r="F1649" t="s">
        <v>380</v>
      </c>
      <c r="G1649" t="s">
        <v>608</v>
      </c>
      <c r="H1649" t="s">
        <v>52</v>
      </c>
    </row>
    <row r="1650" spans="1:8" x14ac:dyDescent="0.2">
      <c r="A1650" t="s">
        <v>2905</v>
      </c>
      <c r="B1650" t="s">
        <v>1349</v>
      </c>
      <c r="C1650" t="s">
        <v>18</v>
      </c>
      <c r="D1650">
        <v>2</v>
      </c>
      <c r="E1650" t="s">
        <v>17</v>
      </c>
      <c r="F1650" t="s">
        <v>380</v>
      </c>
      <c r="G1650" t="s">
        <v>608</v>
      </c>
      <c r="H1650" t="s">
        <v>52</v>
      </c>
    </row>
    <row r="1651" spans="1:8" x14ac:dyDescent="0.2">
      <c r="A1651" t="s">
        <v>2906</v>
      </c>
      <c r="B1651" t="s">
        <v>1349</v>
      </c>
      <c r="C1651" t="s">
        <v>19</v>
      </c>
      <c r="D1651">
        <v>2</v>
      </c>
      <c r="E1651" t="s">
        <v>17</v>
      </c>
      <c r="F1651" t="s">
        <v>380</v>
      </c>
      <c r="G1651" t="s">
        <v>608</v>
      </c>
      <c r="H1651" t="s">
        <v>52</v>
      </c>
    </row>
    <row r="1652" spans="1:8" x14ac:dyDescent="0.2">
      <c r="A1652" t="s">
        <v>2907</v>
      </c>
      <c r="B1652" t="s">
        <v>1351</v>
      </c>
      <c r="C1652" t="s">
        <v>19</v>
      </c>
      <c r="D1652">
        <v>2</v>
      </c>
      <c r="E1652" t="s">
        <v>17</v>
      </c>
      <c r="F1652" t="s">
        <v>380</v>
      </c>
      <c r="G1652" t="s">
        <v>608</v>
      </c>
      <c r="H1652" t="s">
        <v>52</v>
      </c>
    </row>
    <row r="1653" spans="1:8" x14ac:dyDescent="0.2">
      <c r="A1653" t="s">
        <v>2908</v>
      </c>
      <c r="B1653" t="s">
        <v>1351</v>
      </c>
      <c r="C1653" t="s">
        <v>19</v>
      </c>
      <c r="D1653">
        <v>2</v>
      </c>
      <c r="E1653" t="s">
        <v>17</v>
      </c>
      <c r="F1653" t="s">
        <v>380</v>
      </c>
      <c r="G1653" t="s">
        <v>608</v>
      </c>
      <c r="H1653" t="s">
        <v>52</v>
      </c>
    </row>
    <row r="1654" spans="1:8" x14ac:dyDescent="0.2">
      <c r="A1654" t="s">
        <v>2909</v>
      </c>
      <c r="B1654" t="s">
        <v>1351</v>
      </c>
      <c r="C1654" t="s">
        <v>18</v>
      </c>
      <c r="D1654">
        <v>2</v>
      </c>
      <c r="E1654" t="s">
        <v>17</v>
      </c>
      <c r="F1654" t="s">
        <v>380</v>
      </c>
      <c r="G1654" t="s">
        <v>608</v>
      </c>
      <c r="H1654" t="s">
        <v>52</v>
      </c>
    </row>
    <row r="1655" spans="1:8" x14ac:dyDescent="0.2">
      <c r="A1655" t="s">
        <v>2910</v>
      </c>
      <c r="B1655" t="s">
        <v>1351</v>
      </c>
      <c r="C1655" t="s">
        <v>19</v>
      </c>
      <c r="D1655">
        <v>2</v>
      </c>
      <c r="E1655" t="s">
        <v>17</v>
      </c>
      <c r="F1655" t="s">
        <v>380</v>
      </c>
      <c r="G1655" t="s">
        <v>608</v>
      </c>
      <c r="H1655" t="s">
        <v>52</v>
      </c>
    </row>
    <row r="1656" spans="1:8" x14ac:dyDescent="0.2">
      <c r="A1656" t="s">
        <v>2911</v>
      </c>
      <c r="B1656" t="s">
        <v>1351</v>
      </c>
      <c r="C1656" t="s">
        <v>19</v>
      </c>
      <c r="D1656">
        <v>2</v>
      </c>
      <c r="E1656" t="s">
        <v>17</v>
      </c>
      <c r="F1656" t="s">
        <v>380</v>
      </c>
      <c r="G1656" t="s">
        <v>608</v>
      </c>
      <c r="H1656" t="s">
        <v>52</v>
      </c>
    </row>
    <row r="1657" spans="1:8" x14ac:dyDescent="0.2">
      <c r="A1657" t="s">
        <v>2912</v>
      </c>
      <c r="B1657" t="s">
        <v>1353</v>
      </c>
      <c r="C1657" t="s">
        <v>18</v>
      </c>
      <c r="D1657">
        <v>2</v>
      </c>
      <c r="E1657" t="s">
        <v>17</v>
      </c>
      <c r="F1657" t="s">
        <v>380</v>
      </c>
      <c r="G1657" t="s">
        <v>608</v>
      </c>
      <c r="H1657" t="s">
        <v>52</v>
      </c>
    </row>
    <row r="1658" spans="1:8" x14ac:dyDescent="0.2">
      <c r="A1658" t="s">
        <v>2913</v>
      </c>
      <c r="B1658" t="s">
        <v>1353</v>
      </c>
      <c r="C1658" t="s">
        <v>18</v>
      </c>
      <c r="D1658">
        <v>2</v>
      </c>
      <c r="E1658" t="s">
        <v>17</v>
      </c>
      <c r="F1658" t="s">
        <v>380</v>
      </c>
      <c r="G1658" t="s">
        <v>608</v>
      </c>
      <c r="H1658" t="s">
        <v>52</v>
      </c>
    </row>
    <row r="1659" spans="1:8" x14ac:dyDescent="0.2">
      <c r="A1659" t="s">
        <v>2914</v>
      </c>
      <c r="B1659" t="s">
        <v>1353</v>
      </c>
      <c r="C1659" t="s">
        <v>19</v>
      </c>
      <c r="D1659">
        <v>2</v>
      </c>
      <c r="E1659" t="s">
        <v>17</v>
      </c>
      <c r="F1659" t="s">
        <v>380</v>
      </c>
      <c r="G1659" t="s">
        <v>608</v>
      </c>
      <c r="H1659" t="s">
        <v>52</v>
      </c>
    </row>
    <row r="1660" spans="1:8" x14ac:dyDescent="0.2">
      <c r="A1660" t="s">
        <v>2915</v>
      </c>
      <c r="B1660" t="s">
        <v>1353</v>
      </c>
      <c r="C1660" t="s">
        <v>18</v>
      </c>
      <c r="D1660">
        <v>2</v>
      </c>
      <c r="E1660" t="s">
        <v>17</v>
      </c>
      <c r="F1660" t="s">
        <v>380</v>
      </c>
      <c r="G1660" t="s">
        <v>608</v>
      </c>
      <c r="H1660" t="s">
        <v>52</v>
      </c>
    </row>
    <row r="1661" spans="1:8" x14ac:dyDescent="0.2">
      <c r="A1661" t="s">
        <v>2916</v>
      </c>
      <c r="B1661" t="s">
        <v>1353</v>
      </c>
      <c r="C1661" t="s">
        <v>19</v>
      </c>
      <c r="D1661">
        <v>2</v>
      </c>
      <c r="E1661" t="s">
        <v>17</v>
      </c>
      <c r="F1661" t="s">
        <v>380</v>
      </c>
      <c r="G1661" t="s">
        <v>608</v>
      </c>
      <c r="H1661" t="s">
        <v>52</v>
      </c>
    </row>
    <row r="1662" spans="1:8" x14ac:dyDescent="0.2">
      <c r="A1662" t="s">
        <v>2917</v>
      </c>
      <c r="B1662" t="s">
        <v>1361</v>
      </c>
      <c r="C1662" t="s">
        <v>16</v>
      </c>
      <c r="D1662">
        <v>4</v>
      </c>
      <c r="E1662" t="s">
        <v>17</v>
      </c>
      <c r="F1662" t="s">
        <v>380</v>
      </c>
      <c r="G1662" t="s">
        <v>608</v>
      </c>
      <c r="H1662" t="s">
        <v>52</v>
      </c>
    </row>
    <row r="1663" spans="1:8" x14ac:dyDescent="0.2">
      <c r="A1663" t="s">
        <v>2918</v>
      </c>
      <c r="B1663" t="s">
        <v>1361</v>
      </c>
      <c r="C1663" t="s">
        <v>18</v>
      </c>
      <c r="D1663">
        <v>2</v>
      </c>
      <c r="E1663" t="s">
        <v>21</v>
      </c>
      <c r="F1663" t="s">
        <v>380</v>
      </c>
      <c r="G1663" t="s">
        <v>608</v>
      </c>
      <c r="H1663" t="s">
        <v>52</v>
      </c>
    </row>
    <row r="1664" spans="1:8" x14ac:dyDescent="0.2">
      <c r="A1664" t="s">
        <v>2919</v>
      </c>
      <c r="B1664" t="s">
        <v>1361</v>
      </c>
      <c r="C1664" t="s">
        <v>18</v>
      </c>
      <c r="D1664">
        <v>2</v>
      </c>
      <c r="E1664" t="s">
        <v>17</v>
      </c>
      <c r="F1664" t="s">
        <v>380</v>
      </c>
      <c r="G1664" t="s">
        <v>608</v>
      </c>
      <c r="H1664" t="s">
        <v>52</v>
      </c>
    </row>
    <row r="1665" spans="1:8" x14ac:dyDescent="0.2">
      <c r="A1665" t="s">
        <v>2920</v>
      </c>
      <c r="B1665" t="s">
        <v>1361</v>
      </c>
      <c r="C1665" t="s">
        <v>18</v>
      </c>
      <c r="D1665">
        <v>2</v>
      </c>
      <c r="E1665" t="s">
        <v>17</v>
      </c>
      <c r="F1665" t="s">
        <v>380</v>
      </c>
      <c r="G1665" t="s">
        <v>608</v>
      </c>
      <c r="H1665" t="s">
        <v>52</v>
      </c>
    </row>
    <row r="1666" spans="1:8" x14ac:dyDescent="0.2">
      <c r="A1666" t="s">
        <v>2921</v>
      </c>
      <c r="B1666" t="s">
        <v>1361</v>
      </c>
      <c r="C1666" t="s">
        <v>18</v>
      </c>
      <c r="D1666">
        <v>2</v>
      </c>
      <c r="E1666" t="s">
        <v>17</v>
      </c>
      <c r="F1666" t="s">
        <v>380</v>
      </c>
      <c r="G1666" t="s">
        <v>608</v>
      </c>
      <c r="H1666" t="s">
        <v>52</v>
      </c>
    </row>
    <row r="1667" spans="1:8" x14ac:dyDescent="0.2">
      <c r="A1667" t="s">
        <v>2922</v>
      </c>
      <c r="B1667" t="s">
        <v>1363</v>
      </c>
      <c r="C1667" t="s">
        <v>18</v>
      </c>
      <c r="D1667">
        <v>2</v>
      </c>
      <c r="E1667" t="s">
        <v>17</v>
      </c>
      <c r="F1667" t="s">
        <v>380</v>
      </c>
      <c r="G1667" t="s">
        <v>608</v>
      </c>
      <c r="H1667" t="s">
        <v>52</v>
      </c>
    </row>
    <row r="1668" spans="1:8" x14ac:dyDescent="0.2">
      <c r="A1668" t="s">
        <v>2923</v>
      </c>
      <c r="B1668" t="s">
        <v>1363</v>
      </c>
      <c r="C1668" t="s">
        <v>19</v>
      </c>
      <c r="D1668">
        <v>2</v>
      </c>
      <c r="E1668" t="s">
        <v>21</v>
      </c>
      <c r="F1668" t="s">
        <v>380</v>
      </c>
      <c r="G1668" t="s">
        <v>608</v>
      </c>
      <c r="H1668" t="s">
        <v>52</v>
      </c>
    </row>
    <row r="1669" spans="1:8" x14ac:dyDescent="0.2">
      <c r="A1669" t="s">
        <v>2924</v>
      </c>
      <c r="B1669" t="s">
        <v>1363</v>
      </c>
      <c r="C1669" t="s">
        <v>19</v>
      </c>
      <c r="D1669">
        <v>2</v>
      </c>
      <c r="E1669" t="s">
        <v>17</v>
      </c>
      <c r="F1669" t="s">
        <v>380</v>
      </c>
      <c r="G1669" t="s">
        <v>608</v>
      </c>
      <c r="H1669" t="s">
        <v>52</v>
      </c>
    </row>
    <row r="1670" spans="1:8" x14ac:dyDescent="0.2">
      <c r="A1670" t="s">
        <v>2925</v>
      </c>
      <c r="B1670" t="s">
        <v>1363</v>
      </c>
      <c r="C1670" t="s">
        <v>18</v>
      </c>
      <c r="D1670">
        <v>2</v>
      </c>
      <c r="E1670" t="s">
        <v>17</v>
      </c>
      <c r="F1670" t="s">
        <v>380</v>
      </c>
      <c r="G1670" t="s">
        <v>608</v>
      </c>
      <c r="H1670" t="s">
        <v>52</v>
      </c>
    </row>
    <row r="1671" spans="1:8" x14ac:dyDescent="0.2">
      <c r="A1671" t="s">
        <v>2926</v>
      </c>
      <c r="B1671" t="s">
        <v>1363</v>
      </c>
      <c r="C1671" t="s">
        <v>18</v>
      </c>
      <c r="D1671">
        <v>2</v>
      </c>
      <c r="E1671" t="s">
        <v>17</v>
      </c>
      <c r="F1671" t="s">
        <v>380</v>
      </c>
      <c r="G1671" t="s">
        <v>608</v>
      </c>
      <c r="H1671" t="s">
        <v>52</v>
      </c>
    </row>
    <row r="1672" spans="1:8" x14ac:dyDescent="0.2">
      <c r="A1672" t="s">
        <v>2927</v>
      </c>
      <c r="B1672" t="s">
        <v>1365</v>
      </c>
      <c r="C1672" t="s">
        <v>18</v>
      </c>
      <c r="D1672">
        <v>2</v>
      </c>
      <c r="E1672" t="s">
        <v>17</v>
      </c>
      <c r="F1672" t="s">
        <v>380</v>
      </c>
      <c r="G1672" t="s">
        <v>608</v>
      </c>
      <c r="H1672" t="s">
        <v>52</v>
      </c>
    </row>
    <row r="1673" spans="1:8" x14ac:dyDescent="0.2">
      <c r="A1673" t="s">
        <v>2928</v>
      </c>
      <c r="B1673" t="s">
        <v>1365</v>
      </c>
      <c r="C1673" t="s">
        <v>18</v>
      </c>
      <c r="D1673">
        <v>2</v>
      </c>
      <c r="E1673" t="s">
        <v>17</v>
      </c>
      <c r="F1673" t="s">
        <v>380</v>
      </c>
      <c r="G1673" t="s">
        <v>608</v>
      </c>
      <c r="H1673" t="s">
        <v>52</v>
      </c>
    </row>
    <row r="1674" spans="1:8" x14ac:dyDescent="0.2">
      <c r="A1674" t="s">
        <v>2929</v>
      </c>
      <c r="B1674" t="s">
        <v>1365</v>
      </c>
      <c r="C1674" t="s">
        <v>16</v>
      </c>
      <c r="D1674">
        <v>4</v>
      </c>
      <c r="E1674" t="s">
        <v>17</v>
      </c>
      <c r="F1674" t="s">
        <v>380</v>
      </c>
      <c r="G1674" t="s">
        <v>608</v>
      </c>
      <c r="H1674" t="s">
        <v>52</v>
      </c>
    </row>
    <row r="1675" spans="1:8" x14ac:dyDescent="0.2">
      <c r="A1675" t="s">
        <v>2930</v>
      </c>
      <c r="B1675" t="s">
        <v>1365</v>
      </c>
      <c r="C1675" t="s">
        <v>19</v>
      </c>
      <c r="D1675">
        <v>2</v>
      </c>
      <c r="E1675" t="s">
        <v>17</v>
      </c>
      <c r="F1675" t="s">
        <v>380</v>
      </c>
      <c r="G1675" t="s">
        <v>608</v>
      </c>
      <c r="H1675" t="s">
        <v>52</v>
      </c>
    </row>
    <row r="1676" spans="1:8" x14ac:dyDescent="0.2">
      <c r="A1676" t="s">
        <v>2931</v>
      </c>
      <c r="B1676" t="s">
        <v>1365</v>
      </c>
      <c r="C1676" t="s">
        <v>19</v>
      </c>
      <c r="D1676">
        <v>2</v>
      </c>
      <c r="E1676" t="s">
        <v>17</v>
      </c>
      <c r="F1676" t="s">
        <v>381</v>
      </c>
      <c r="G1676" t="s">
        <v>608</v>
      </c>
      <c r="H1676" t="s">
        <v>52</v>
      </c>
    </row>
    <row r="1677" spans="1:8" x14ac:dyDescent="0.2">
      <c r="A1677" t="s">
        <v>2932</v>
      </c>
      <c r="B1677" t="s">
        <v>1373</v>
      </c>
      <c r="C1677" t="s">
        <v>19</v>
      </c>
      <c r="D1677">
        <v>2</v>
      </c>
      <c r="E1677" t="s">
        <v>21</v>
      </c>
      <c r="F1677" t="s">
        <v>380</v>
      </c>
      <c r="G1677" t="s">
        <v>608</v>
      </c>
      <c r="H1677" t="s">
        <v>52</v>
      </c>
    </row>
    <row r="1678" spans="1:8" x14ac:dyDescent="0.2">
      <c r="A1678" t="s">
        <v>2933</v>
      </c>
      <c r="B1678" t="s">
        <v>1373</v>
      </c>
      <c r="C1678" t="s">
        <v>18</v>
      </c>
      <c r="D1678">
        <v>2</v>
      </c>
      <c r="E1678" t="s">
        <v>17</v>
      </c>
      <c r="F1678" t="s">
        <v>380</v>
      </c>
      <c r="G1678" t="s">
        <v>608</v>
      </c>
      <c r="H1678" t="s">
        <v>52</v>
      </c>
    </row>
    <row r="1679" spans="1:8" x14ac:dyDescent="0.2">
      <c r="A1679" t="s">
        <v>2934</v>
      </c>
      <c r="B1679" t="s">
        <v>1373</v>
      </c>
      <c r="C1679" t="s">
        <v>19</v>
      </c>
      <c r="D1679">
        <v>2</v>
      </c>
      <c r="E1679" t="s">
        <v>17</v>
      </c>
      <c r="F1679" t="s">
        <v>380</v>
      </c>
      <c r="G1679" t="s">
        <v>608</v>
      </c>
      <c r="H1679" t="s">
        <v>52</v>
      </c>
    </row>
    <row r="1680" spans="1:8" x14ac:dyDescent="0.2">
      <c r="A1680" t="s">
        <v>2935</v>
      </c>
      <c r="B1680" t="s">
        <v>1373</v>
      </c>
      <c r="C1680" t="s">
        <v>18</v>
      </c>
      <c r="D1680">
        <v>2</v>
      </c>
      <c r="E1680" t="s">
        <v>17</v>
      </c>
      <c r="F1680" t="s">
        <v>380</v>
      </c>
      <c r="G1680" t="s">
        <v>608</v>
      </c>
      <c r="H1680" t="s">
        <v>52</v>
      </c>
    </row>
    <row r="1681" spans="1:8" x14ac:dyDescent="0.2">
      <c r="A1681" t="s">
        <v>2936</v>
      </c>
      <c r="B1681" t="s">
        <v>1373</v>
      </c>
      <c r="C1681" t="s">
        <v>19</v>
      </c>
      <c r="D1681">
        <v>2</v>
      </c>
      <c r="E1681" t="s">
        <v>17</v>
      </c>
      <c r="F1681" t="s">
        <v>380</v>
      </c>
      <c r="G1681" t="s">
        <v>608</v>
      </c>
      <c r="H1681" t="s">
        <v>52</v>
      </c>
    </row>
    <row r="1682" spans="1:8" x14ac:dyDescent="0.2">
      <c r="A1682" t="s">
        <v>2937</v>
      </c>
      <c r="B1682" t="s">
        <v>1375</v>
      </c>
      <c r="C1682" t="s">
        <v>18</v>
      </c>
      <c r="D1682">
        <v>2</v>
      </c>
      <c r="E1682" t="s">
        <v>17</v>
      </c>
      <c r="F1682" t="s">
        <v>380</v>
      </c>
      <c r="G1682" t="s">
        <v>608</v>
      </c>
      <c r="H1682" t="s">
        <v>52</v>
      </c>
    </row>
    <row r="1683" spans="1:8" x14ac:dyDescent="0.2">
      <c r="A1683" t="s">
        <v>2938</v>
      </c>
      <c r="B1683" t="s">
        <v>1375</v>
      </c>
      <c r="C1683" t="s">
        <v>19</v>
      </c>
      <c r="D1683">
        <v>2</v>
      </c>
      <c r="E1683" t="s">
        <v>17</v>
      </c>
      <c r="F1683" t="s">
        <v>380</v>
      </c>
      <c r="G1683" t="s">
        <v>608</v>
      </c>
      <c r="H1683" t="s">
        <v>52</v>
      </c>
    </row>
    <row r="1684" spans="1:8" x14ac:dyDescent="0.2">
      <c r="A1684" t="s">
        <v>2939</v>
      </c>
      <c r="B1684" t="s">
        <v>1375</v>
      </c>
      <c r="C1684" t="s">
        <v>18</v>
      </c>
      <c r="D1684">
        <v>2</v>
      </c>
      <c r="E1684" t="s">
        <v>17</v>
      </c>
      <c r="F1684" t="s">
        <v>380</v>
      </c>
      <c r="G1684" t="s">
        <v>608</v>
      </c>
      <c r="H1684" t="s">
        <v>52</v>
      </c>
    </row>
    <row r="1685" spans="1:8" x14ac:dyDescent="0.2">
      <c r="A1685" t="s">
        <v>2940</v>
      </c>
      <c r="B1685" t="s">
        <v>1375</v>
      </c>
      <c r="C1685" t="s">
        <v>19</v>
      </c>
      <c r="D1685">
        <v>2</v>
      </c>
      <c r="E1685" t="s">
        <v>17</v>
      </c>
      <c r="F1685" t="s">
        <v>380</v>
      </c>
      <c r="G1685" t="s">
        <v>608</v>
      </c>
      <c r="H1685" t="s">
        <v>52</v>
      </c>
    </row>
    <row r="1686" spans="1:8" x14ac:dyDescent="0.2">
      <c r="A1686" t="s">
        <v>2941</v>
      </c>
      <c r="B1686" t="s">
        <v>1375</v>
      </c>
      <c r="C1686" t="s">
        <v>18</v>
      </c>
      <c r="D1686">
        <v>2</v>
      </c>
      <c r="E1686" t="s">
        <v>17</v>
      </c>
      <c r="F1686" t="s">
        <v>380</v>
      </c>
      <c r="G1686" t="s">
        <v>608</v>
      </c>
      <c r="H1686" t="s">
        <v>52</v>
      </c>
    </row>
    <row r="1687" spans="1:8" x14ac:dyDescent="0.2">
      <c r="A1687" t="s">
        <v>2942</v>
      </c>
      <c r="B1687" t="s">
        <v>1377</v>
      </c>
      <c r="C1687" t="s">
        <v>18</v>
      </c>
      <c r="D1687">
        <v>2</v>
      </c>
      <c r="E1687" t="s">
        <v>17</v>
      </c>
      <c r="F1687" t="s">
        <v>380</v>
      </c>
      <c r="G1687" t="s">
        <v>608</v>
      </c>
      <c r="H1687" t="s">
        <v>52</v>
      </c>
    </row>
    <row r="1688" spans="1:8" x14ac:dyDescent="0.2">
      <c r="A1688" t="s">
        <v>2943</v>
      </c>
      <c r="B1688" t="s">
        <v>1377</v>
      </c>
      <c r="C1688" t="s">
        <v>19</v>
      </c>
      <c r="D1688">
        <v>2</v>
      </c>
      <c r="E1688" t="s">
        <v>17</v>
      </c>
      <c r="F1688" t="s">
        <v>380</v>
      </c>
      <c r="G1688" t="s">
        <v>608</v>
      </c>
      <c r="H1688" t="s">
        <v>52</v>
      </c>
    </row>
    <row r="1689" spans="1:8" x14ac:dyDescent="0.2">
      <c r="A1689" t="s">
        <v>2944</v>
      </c>
      <c r="B1689" t="s">
        <v>1377</v>
      </c>
      <c r="C1689" t="s">
        <v>19</v>
      </c>
      <c r="D1689">
        <v>2</v>
      </c>
      <c r="E1689" t="s">
        <v>17</v>
      </c>
      <c r="F1689" t="s">
        <v>380</v>
      </c>
      <c r="G1689" t="s">
        <v>608</v>
      </c>
      <c r="H1689" t="s">
        <v>52</v>
      </c>
    </row>
    <row r="1690" spans="1:8" x14ac:dyDescent="0.2">
      <c r="A1690" t="s">
        <v>2945</v>
      </c>
      <c r="B1690" t="s">
        <v>1377</v>
      </c>
      <c r="C1690" t="s">
        <v>18</v>
      </c>
      <c r="D1690">
        <v>1</v>
      </c>
      <c r="E1690" t="s">
        <v>17</v>
      </c>
      <c r="F1690" t="s">
        <v>380</v>
      </c>
      <c r="G1690" t="s">
        <v>608</v>
      </c>
      <c r="H1690" t="s">
        <v>52</v>
      </c>
    </row>
    <row r="1691" spans="1:8" x14ac:dyDescent="0.2">
      <c r="A1691" t="s">
        <v>2946</v>
      </c>
      <c r="B1691" t="s">
        <v>1377</v>
      </c>
      <c r="C1691" t="s">
        <v>18</v>
      </c>
      <c r="D1691">
        <v>2</v>
      </c>
      <c r="E1691" t="s">
        <v>17</v>
      </c>
      <c r="F1691" t="s">
        <v>380</v>
      </c>
      <c r="G1691" t="s">
        <v>608</v>
      </c>
      <c r="H1691" t="s">
        <v>52</v>
      </c>
    </row>
    <row r="1692" spans="1:8" x14ac:dyDescent="0.2">
      <c r="A1692" t="s">
        <v>2947</v>
      </c>
      <c r="B1692" t="s">
        <v>1385</v>
      </c>
      <c r="C1692" t="s">
        <v>19</v>
      </c>
      <c r="D1692">
        <v>2</v>
      </c>
      <c r="E1692" t="s">
        <v>17</v>
      </c>
      <c r="F1692" t="s">
        <v>380</v>
      </c>
      <c r="G1692" t="s">
        <v>608</v>
      </c>
      <c r="H1692" t="s">
        <v>52</v>
      </c>
    </row>
    <row r="1693" spans="1:8" x14ac:dyDescent="0.2">
      <c r="A1693" t="s">
        <v>2948</v>
      </c>
      <c r="B1693" t="s">
        <v>1385</v>
      </c>
      <c r="C1693" t="s">
        <v>18</v>
      </c>
      <c r="D1693">
        <v>2</v>
      </c>
      <c r="E1693" t="s">
        <v>17</v>
      </c>
      <c r="F1693" t="s">
        <v>380</v>
      </c>
      <c r="G1693" t="s">
        <v>608</v>
      </c>
      <c r="H1693" t="s">
        <v>52</v>
      </c>
    </row>
    <row r="1694" spans="1:8" x14ac:dyDescent="0.2">
      <c r="A1694" t="s">
        <v>2949</v>
      </c>
      <c r="B1694" t="s">
        <v>1385</v>
      </c>
      <c r="C1694" t="s">
        <v>19</v>
      </c>
      <c r="D1694">
        <v>2</v>
      </c>
      <c r="E1694" t="s">
        <v>17</v>
      </c>
      <c r="F1694" t="s">
        <v>380</v>
      </c>
      <c r="G1694" t="s">
        <v>608</v>
      </c>
      <c r="H1694" t="s">
        <v>52</v>
      </c>
    </row>
    <row r="1695" spans="1:8" x14ac:dyDescent="0.2">
      <c r="A1695" t="s">
        <v>2950</v>
      </c>
      <c r="B1695" t="s">
        <v>1385</v>
      </c>
      <c r="C1695" t="s">
        <v>18</v>
      </c>
      <c r="D1695">
        <v>2</v>
      </c>
      <c r="E1695" t="s">
        <v>21</v>
      </c>
      <c r="F1695" t="s">
        <v>380</v>
      </c>
      <c r="G1695" t="s">
        <v>608</v>
      </c>
      <c r="H1695" t="s">
        <v>52</v>
      </c>
    </row>
    <row r="1696" spans="1:8" x14ac:dyDescent="0.2">
      <c r="A1696" t="s">
        <v>2951</v>
      </c>
      <c r="B1696" t="s">
        <v>1385</v>
      </c>
      <c r="C1696" t="s">
        <v>18</v>
      </c>
      <c r="D1696">
        <v>2</v>
      </c>
      <c r="E1696" t="s">
        <v>17</v>
      </c>
      <c r="F1696" t="s">
        <v>380</v>
      </c>
      <c r="G1696" t="s">
        <v>608</v>
      </c>
      <c r="H1696" t="s">
        <v>52</v>
      </c>
    </row>
    <row r="1697" spans="1:8" x14ac:dyDescent="0.2">
      <c r="A1697" t="s">
        <v>2952</v>
      </c>
      <c r="B1697" t="s">
        <v>1387</v>
      </c>
      <c r="C1697" t="s">
        <v>18</v>
      </c>
      <c r="D1697">
        <v>2</v>
      </c>
      <c r="E1697" t="s">
        <v>17</v>
      </c>
      <c r="F1697" t="s">
        <v>380</v>
      </c>
      <c r="G1697" t="s">
        <v>608</v>
      </c>
      <c r="H1697" t="s">
        <v>52</v>
      </c>
    </row>
    <row r="1698" spans="1:8" x14ac:dyDescent="0.2">
      <c r="A1698" t="s">
        <v>2953</v>
      </c>
      <c r="B1698" t="s">
        <v>1387</v>
      </c>
      <c r="C1698" t="s">
        <v>19</v>
      </c>
      <c r="D1698">
        <v>2</v>
      </c>
      <c r="E1698" t="s">
        <v>21</v>
      </c>
      <c r="F1698" t="s">
        <v>380</v>
      </c>
      <c r="G1698" t="s">
        <v>608</v>
      </c>
      <c r="H1698" t="s">
        <v>52</v>
      </c>
    </row>
    <row r="1699" spans="1:8" x14ac:dyDescent="0.2">
      <c r="A1699" t="s">
        <v>2954</v>
      </c>
      <c r="B1699" t="s">
        <v>1387</v>
      </c>
      <c r="C1699" t="s">
        <v>18</v>
      </c>
      <c r="D1699">
        <v>2</v>
      </c>
      <c r="E1699" t="s">
        <v>21</v>
      </c>
      <c r="F1699" t="s">
        <v>380</v>
      </c>
      <c r="G1699" t="s">
        <v>608</v>
      </c>
      <c r="H1699" t="s">
        <v>52</v>
      </c>
    </row>
    <row r="1700" spans="1:8" x14ac:dyDescent="0.2">
      <c r="A1700" t="s">
        <v>2955</v>
      </c>
      <c r="B1700" t="s">
        <v>1387</v>
      </c>
      <c r="C1700" t="s">
        <v>18</v>
      </c>
      <c r="D1700">
        <v>2</v>
      </c>
      <c r="E1700" t="s">
        <v>17</v>
      </c>
      <c r="F1700" t="s">
        <v>380</v>
      </c>
      <c r="G1700" t="s">
        <v>608</v>
      </c>
      <c r="H1700" t="s">
        <v>52</v>
      </c>
    </row>
    <row r="1701" spans="1:8" x14ac:dyDescent="0.2">
      <c r="A1701" t="s">
        <v>2956</v>
      </c>
      <c r="B1701" t="s">
        <v>1387</v>
      </c>
      <c r="C1701" t="s">
        <v>18</v>
      </c>
      <c r="D1701">
        <v>2</v>
      </c>
      <c r="E1701" t="s">
        <v>17</v>
      </c>
      <c r="F1701" t="s">
        <v>380</v>
      </c>
      <c r="G1701" t="s">
        <v>608</v>
      </c>
      <c r="H1701" t="s">
        <v>52</v>
      </c>
    </row>
    <row r="1702" spans="1:8" x14ac:dyDescent="0.2">
      <c r="A1702" t="s">
        <v>2957</v>
      </c>
      <c r="B1702" t="s">
        <v>1389</v>
      </c>
      <c r="C1702" t="s">
        <v>19</v>
      </c>
      <c r="D1702">
        <v>2</v>
      </c>
      <c r="E1702" t="s">
        <v>17</v>
      </c>
      <c r="F1702" t="s">
        <v>380</v>
      </c>
      <c r="G1702" t="s">
        <v>608</v>
      </c>
      <c r="H1702" t="s">
        <v>52</v>
      </c>
    </row>
    <row r="1703" spans="1:8" x14ac:dyDescent="0.2">
      <c r="A1703" t="s">
        <v>2958</v>
      </c>
      <c r="B1703" t="s">
        <v>1389</v>
      </c>
      <c r="C1703" t="s">
        <v>18</v>
      </c>
      <c r="D1703">
        <v>2</v>
      </c>
      <c r="E1703" t="s">
        <v>17</v>
      </c>
      <c r="F1703" t="s">
        <v>380</v>
      </c>
      <c r="G1703" t="s">
        <v>608</v>
      </c>
      <c r="H1703" t="s">
        <v>52</v>
      </c>
    </row>
    <row r="1704" spans="1:8" x14ac:dyDescent="0.2">
      <c r="A1704" t="s">
        <v>2959</v>
      </c>
      <c r="B1704" t="s">
        <v>1389</v>
      </c>
      <c r="C1704" t="s">
        <v>18</v>
      </c>
      <c r="D1704">
        <v>2</v>
      </c>
      <c r="E1704" t="s">
        <v>17</v>
      </c>
      <c r="F1704" t="s">
        <v>380</v>
      </c>
      <c r="G1704" t="s">
        <v>608</v>
      </c>
      <c r="H1704" t="s">
        <v>52</v>
      </c>
    </row>
    <row r="1705" spans="1:8" x14ac:dyDescent="0.2">
      <c r="A1705" t="s">
        <v>2960</v>
      </c>
      <c r="B1705" t="s">
        <v>1389</v>
      </c>
      <c r="C1705" t="s">
        <v>18</v>
      </c>
      <c r="D1705">
        <v>2</v>
      </c>
      <c r="E1705" t="s">
        <v>17</v>
      </c>
      <c r="F1705" t="s">
        <v>380</v>
      </c>
      <c r="G1705" t="s">
        <v>608</v>
      </c>
      <c r="H1705" t="s">
        <v>52</v>
      </c>
    </row>
    <row r="1706" spans="1:8" x14ac:dyDescent="0.2">
      <c r="A1706" t="s">
        <v>2961</v>
      </c>
      <c r="B1706" t="s">
        <v>1389</v>
      </c>
      <c r="C1706" t="s">
        <v>19</v>
      </c>
      <c r="D1706">
        <v>2</v>
      </c>
      <c r="E1706" t="s">
        <v>17</v>
      </c>
      <c r="F1706" t="s">
        <v>380</v>
      </c>
      <c r="G1706" t="s">
        <v>608</v>
      </c>
      <c r="H1706" t="s">
        <v>52</v>
      </c>
    </row>
    <row r="1707" spans="1:8" x14ac:dyDescent="0.2">
      <c r="A1707" t="s">
        <v>2962</v>
      </c>
      <c r="B1707" t="s">
        <v>1397</v>
      </c>
      <c r="C1707" t="s">
        <v>18</v>
      </c>
      <c r="D1707">
        <v>2</v>
      </c>
      <c r="E1707" t="s">
        <v>17</v>
      </c>
      <c r="F1707" t="s">
        <v>380</v>
      </c>
      <c r="G1707" t="s">
        <v>608</v>
      </c>
      <c r="H1707" t="s">
        <v>52</v>
      </c>
    </row>
    <row r="1708" spans="1:8" x14ac:dyDescent="0.2">
      <c r="A1708" t="s">
        <v>2963</v>
      </c>
      <c r="B1708" t="s">
        <v>1397</v>
      </c>
      <c r="C1708" t="s">
        <v>19</v>
      </c>
      <c r="D1708">
        <v>2</v>
      </c>
      <c r="E1708" t="s">
        <v>17</v>
      </c>
      <c r="F1708" t="s">
        <v>380</v>
      </c>
      <c r="G1708" t="s">
        <v>608</v>
      </c>
      <c r="H1708" t="s">
        <v>52</v>
      </c>
    </row>
    <row r="1709" spans="1:8" x14ac:dyDescent="0.2">
      <c r="A1709" t="s">
        <v>2964</v>
      </c>
      <c r="B1709" t="s">
        <v>1397</v>
      </c>
      <c r="C1709" t="s">
        <v>19</v>
      </c>
      <c r="D1709">
        <v>2</v>
      </c>
      <c r="E1709" t="s">
        <v>17</v>
      </c>
      <c r="F1709" t="s">
        <v>380</v>
      </c>
      <c r="G1709" t="s">
        <v>608</v>
      </c>
      <c r="H1709" t="s">
        <v>52</v>
      </c>
    </row>
    <row r="1710" spans="1:8" x14ac:dyDescent="0.2">
      <c r="A1710" t="s">
        <v>2965</v>
      </c>
      <c r="B1710" t="s">
        <v>1397</v>
      </c>
      <c r="C1710" t="s">
        <v>18</v>
      </c>
      <c r="D1710">
        <v>2</v>
      </c>
      <c r="E1710" t="s">
        <v>17</v>
      </c>
      <c r="F1710" t="s">
        <v>380</v>
      </c>
      <c r="G1710" t="s">
        <v>608</v>
      </c>
      <c r="H1710" t="s">
        <v>52</v>
      </c>
    </row>
    <row r="1711" spans="1:8" x14ac:dyDescent="0.2">
      <c r="A1711" t="s">
        <v>2966</v>
      </c>
      <c r="B1711" t="s">
        <v>1397</v>
      </c>
      <c r="C1711" t="s">
        <v>18</v>
      </c>
      <c r="D1711">
        <v>2</v>
      </c>
      <c r="E1711" t="s">
        <v>17</v>
      </c>
      <c r="F1711" t="s">
        <v>380</v>
      </c>
      <c r="G1711" t="s">
        <v>608</v>
      </c>
      <c r="H1711" t="s">
        <v>52</v>
      </c>
    </row>
    <row r="1712" spans="1:8" x14ac:dyDescent="0.2">
      <c r="A1712" t="s">
        <v>2967</v>
      </c>
      <c r="B1712" t="s">
        <v>1399</v>
      </c>
      <c r="C1712" t="s">
        <v>19</v>
      </c>
      <c r="D1712">
        <v>2</v>
      </c>
      <c r="E1712" t="s">
        <v>17</v>
      </c>
      <c r="F1712" t="s">
        <v>380</v>
      </c>
      <c r="G1712" t="s">
        <v>608</v>
      </c>
      <c r="H1712" t="s">
        <v>52</v>
      </c>
    </row>
    <row r="1713" spans="1:8" x14ac:dyDescent="0.2">
      <c r="A1713" t="s">
        <v>2968</v>
      </c>
      <c r="B1713" t="s">
        <v>1399</v>
      </c>
      <c r="C1713" t="s">
        <v>18</v>
      </c>
      <c r="D1713">
        <v>2</v>
      </c>
      <c r="E1713" t="s">
        <v>17</v>
      </c>
      <c r="F1713" t="s">
        <v>380</v>
      </c>
      <c r="G1713" t="s">
        <v>608</v>
      </c>
      <c r="H1713" t="s">
        <v>52</v>
      </c>
    </row>
    <row r="1714" spans="1:8" x14ac:dyDescent="0.2">
      <c r="A1714" t="s">
        <v>2969</v>
      </c>
      <c r="B1714" t="s">
        <v>1399</v>
      </c>
      <c r="C1714" t="s">
        <v>19</v>
      </c>
      <c r="D1714">
        <v>2</v>
      </c>
      <c r="E1714" t="s">
        <v>17</v>
      </c>
      <c r="F1714" t="s">
        <v>380</v>
      </c>
      <c r="G1714" t="s">
        <v>608</v>
      </c>
      <c r="H1714" t="s">
        <v>52</v>
      </c>
    </row>
    <row r="1715" spans="1:8" x14ac:dyDescent="0.2">
      <c r="A1715" t="s">
        <v>2970</v>
      </c>
      <c r="B1715" t="s">
        <v>1399</v>
      </c>
      <c r="C1715" t="s">
        <v>19</v>
      </c>
      <c r="D1715">
        <v>2</v>
      </c>
      <c r="E1715" t="s">
        <v>17</v>
      </c>
      <c r="F1715" t="s">
        <v>380</v>
      </c>
      <c r="G1715" t="s">
        <v>608</v>
      </c>
      <c r="H1715" t="s">
        <v>52</v>
      </c>
    </row>
    <row r="1716" spans="1:8" x14ac:dyDescent="0.2">
      <c r="A1716" t="s">
        <v>2971</v>
      </c>
      <c r="B1716" t="s">
        <v>1399</v>
      </c>
      <c r="C1716" t="s">
        <v>18</v>
      </c>
      <c r="D1716">
        <v>2</v>
      </c>
      <c r="E1716" t="s">
        <v>17</v>
      </c>
      <c r="F1716" t="s">
        <v>380</v>
      </c>
      <c r="G1716" t="s">
        <v>608</v>
      </c>
      <c r="H1716" t="s">
        <v>52</v>
      </c>
    </row>
    <row r="1717" spans="1:8" x14ac:dyDescent="0.2">
      <c r="A1717" t="s">
        <v>2972</v>
      </c>
      <c r="B1717" t="s">
        <v>1401</v>
      </c>
      <c r="C1717" t="s">
        <v>19</v>
      </c>
      <c r="D1717">
        <v>2</v>
      </c>
      <c r="E1717" t="s">
        <v>17</v>
      </c>
      <c r="F1717" t="s">
        <v>380</v>
      </c>
      <c r="G1717" t="s">
        <v>608</v>
      </c>
      <c r="H1717" t="s">
        <v>52</v>
      </c>
    </row>
    <row r="1718" spans="1:8" x14ac:dyDescent="0.2">
      <c r="A1718" t="s">
        <v>2973</v>
      </c>
      <c r="B1718" t="s">
        <v>1401</v>
      </c>
      <c r="C1718" t="s">
        <v>19</v>
      </c>
      <c r="D1718">
        <v>2</v>
      </c>
      <c r="E1718" t="s">
        <v>17</v>
      </c>
      <c r="F1718" t="s">
        <v>380</v>
      </c>
      <c r="G1718" t="s">
        <v>608</v>
      </c>
      <c r="H1718" t="s">
        <v>52</v>
      </c>
    </row>
    <row r="1719" spans="1:8" x14ac:dyDescent="0.2">
      <c r="A1719" t="s">
        <v>2974</v>
      </c>
      <c r="B1719" t="s">
        <v>1401</v>
      </c>
      <c r="C1719" t="s">
        <v>18</v>
      </c>
      <c r="D1719">
        <v>2</v>
      </c>
      <c r="E1719" t="s">
        <v>17</v>
      </c>
      <c r="F1719" t="s">
        <v>380</v>
      </c>
      <c r="G1719" t="s">
        <v>608</v>
      </c>
      <c r="H1719" t="s">
        <v>52</v>
      </c>
    </row>
    <row r="1720" spans="1:8" x14ac:dyDescent="0.2">
      <c r="A1720" t="s">
        <v>2975</v>
      </c>
      <c r="B1720" t="s">
        <v>1401</v>
      </c>
      <c r="C1720" t="s">
        <v>19</v>
      </c>
      <c r="D1720">
        <v>2</v>
      </c>
      <c r="E1720" t="s">
        <v>17</v>
      </c>
      <c r="F1720" t="s">
        <v>380</v>
      </c>
      <c r="G1720" t="s">
        <v>608</v>
      </c>
      <c r="H1720" t="s">
        <v>52</v>
      </c>
    </row>
    <row r="1721" spans="1:8" x14ac:dyDescent="0.2">
      <c r="A1721" t="s">
        <v>2976</v>
      </c>
      <c r="B1721" t="s">
        <v>1401</v>
      </c>
      <c r="C1721" t="s">
        <v>3202</v>
      </c>
      <c r="D1721" t="s">
        <v>16</v>
      </c>
      <c r="E1721" t="s">
        <v>17</v>
      </c>
      <c r="F1721" t="s">
        <v>380</v>
      </c>
      <c r="G1721" t="s">
        <v>382</v>
      </c>
      <c r="H1721" t="s">
        <v>52</v>
      </c>
    </row>
    <row r="1722" spans="1:8" x14ac:dyDescent="0.2">
      <c r="A1722" t="s">
        <v>2977</v>
      </c>
      <c r="B1722" t="s">
        <v>1409</v>
      </c>
      <c r="C1722" t="s">
        <v>18</v>
      </c>
      <c r="D1722">
        <v>2</v>
      </c>
      <c r="E1722" t="s">
        <v>21</v>
      </c>
      <c r="F1722" t="s">
        <v>380</v>
      </c>
      <c r="G1722" t="s">
        <v>608</v>
      </c>
      <c r="H1722" t="s">
        <v>52</v>
      </c>
    </row>
    <row r="1723" spans="1:8" x14ac:dyDescent="0.2">
      <c r="A1723" t="s">
        <v>2978</v>
      </c>
      <c r="B1723" t="s">
        <v>1409</v>
      </c>
      <c r="C1723" t="s">
        <v>16</v>
      </c>
      <c r="D1723">
        <v>4</v>
      </c>
      <c r="E1723" t="s">
        <v>17</v>
      </c>
      <c r="F1723" t="s">
        <v>380</v>
      </c>
      <c r="G1723" t="s">
        <v>608</v>
      </c>
      <c r="H1723" t="s">
        <v>52</v>
      </c>
    </row>
    <row r="1724" spans="1:8" x14ac:dyDescent="0.2">
      <c r="A1724" t="s">
        <v>2979</v>
      </c>
      <c r="B1724" t="s">
        <v>1409</v>
      </c>
      <c r="C1724" t="s">
        <v>18</v>
      </c>
      <c r="D1724">
        <v>2</v>
      </c>
      <c r="E1724" t="s">
        <v>17</v>
      </c>
      <c r="F1724" t="s">
        <v>380</v>
      </c>
      <c r="G1724" t="s">
        <v>608</v>
      </c>
      <c r="H1724" t="s">
        <v>52</v>
      </c>
    </row>
    <row r="1725" spans="1:8" x14ac:dyDescent="0.2">
      <c r="A1725" t="s">
        <v>2980</v>
      </c>
      <c r="B1725" t="s">
        <v>1409</v>
      </c>
      <c r="C1725" t="s">
        <v>18</v>
      </c>
      <c r="D1725">
        <v>2</v>
      </c>
      <c r="E1725" t="s">
        <v>17</v>
      </c>
      <c r="F1725" t="s">
        <v>380</v>
      </c>
      <c r="G1725" t="s">
        <v>608</v>
      </c>
      <c r="H1725" t="s">
        <v>52</v>
      </c>
    </row>
    <row r="1726" spans="1:8" x14ac:dyDescent="0.2">
      <c r="A1726" t="s">
        <v>2981</v>
      </c>
      <c r="B1726" t="s">
        <v>1409</v>
      </c>
      <c r="C1726" t="s">
        <v>19</v>
      </c>
      <c r="D1726">
        <v>2</v>
      </c>
      <c r="E1726" t="s">
        <v>17</v>
      </c>
      <c r="F1726" t="s">
        <v>380</v>
      </c>
      <c r="G1726" t="s">
        <v>608</v>
      </c>
      <c r="H1726" t="s">
        <v>52</v>
      </c>
    </row>
    <row r="1727" spans="1:8" x14ac:dyDescent="0.2">
      <c r="A1727" t="s">
        <v>2982</v>
      </c>
      <c r="B1727" t="s">
        <v>1411</v>
      </c>
      <c r="C1727" t="s">
        <v>18</v>
      </c>
      <c r="D1727">
        <v>2</v>
      </c>
      <c r="E1727" t="s">
        <v>17</v>
      </c>
      <c r="F1727" t="s">
        <v>380</v>
      </c>
      <c r="G1727" t="s">
        <v>608</v>
      </c>
      <c r="H1727" t="s">
        <v>52</v>
      </c>
    </row>
    <row r="1728" spans="1:8" x14ac:dyDescent="0.2">
      <c r="A1728" t="s">
        <v>2983</v>
      </c>
      <c r="B1728" t="s">
        <v>1411</v>
      </c>
      <c r="C1728" t="s">
        <v>19</v>
      </c>
      <c r="D1728">
        <v>2</v>
      </c>
      <c r="E1728" t="s">
        <v>17</v>
      </c>
      <c r="F1728" t="s">
        <v>380</v>
      </c>
      <c r="G1728" t="s">
        <v>608</v>
      </c>
      <c r="H1728" t="s">
        <v>52</v>
      </c>
    </row>
    <row r="1729" spans="1:8" x14ac:dyDescent="0.2">
      <c r="A1729" t="s">
        <v>2984</v>
      </c>
      <c r="B1729" t="s">
        <v>1411</v>
      </c>
      <c r="C1729" t="s">
        <v>18</v>
      </c>
      <c r="D1729">
        <v>2</v>
      </c>
      <c r="E1729" t="s">
        <v>17</v>
      </c>
      <c r="F1729" t="s">
        <v>380</v>
      </c>
      <c r="G1729" t="s">
        <v>608</v>
      </c>
      <c r="H1729" t="s">
        <v>52</v>
      </c>
    </row>
    <row r="1730" spans="1:8" x14ac:dyDescent="0.2">
      <c r="A1730" t="s">
        <v>2985</v>
      </c>
      <c r="B1730" t="s">
        <v>1411</v>
      </c>
      <c r="C1730" t="s">
        <v>18</v>
      </c>
      <c r="D1730">
        <v>2</v>
      </c>
      <c r="E1730" t="s">
        <v>17</v>
      </c>
      <c r="F1730" t="s">
        <v>380</v>
      </c>
      <c r="G1730" t="s">
        <v>608</v>
      </c>
      <c r="H1730" t="s">
        <v>52</v>
      </c>
    </row>
    <row r="1731" spans="1:8" x14ac:dyDescent="0.2">
      <c r="A1731" t="s">
        <v>2986</v>
      </c>
      <c r="B1731" t="s">
        <v>1411</v>
      </c>
      <c r="C1731" t="s">
        <v>19</v>
      </c>
      <c r="D1731">
        <v>2</v>
      </c>
      <c r="E1731" t="s">
        <v>17</v>
      </c>
      <c r="F1731" t="s">
        <v>380</v>
      </c>
      <c r="G1731" t="s">
        <v>608</v>
      </c>
      <c r="H1731" t="s">
        <v>52</v>
      </c>
    </row>
    <row r="1732" spans="1:8" x14ac:dyDescent="0.2">
      <c r="A1732" t="s">
        <v>2987</v>
      </c>
      <c r="B1732" t="s">
        <v>1413</v>
      </c>
      <c r="C1732" t="s">
        <v>19</v>
      </c>
      <c r="D1732">
        <v>2</v>
      </c>
      <c r="E1732" t="s">
        <v>17</v>
      </c>
      <c r="F1732" t="s">
        <v>380</v>
      </c>
      <c r="G1732" t="s">
        <v>608</v>
      </c>
      <c r="H1732" t="s">
        <v>52</v>
      </c>
    </row>
    <row r="1733" spans="1:8" x14ac:dyDescent="0.2">
      <c r="A1733" t="s">
        <v>2988</v>
      </c>
      <c r="B1733" t="s">
        <v>1413</v>
      </c>
      <c r="C1733" t="s">
        <v>3202</v>
      </c>
      <c r="D1733" t="s">
        <v>16</v>
      </c>
      <c r="E1733" t="s">
        <v>17</v>
      </c>
      <c r="F1733" t="s">
        <v>380</v>
      </c>
      <c r="G1733" t="s">
        <v>608</v>
      </c>
      <c r="H1733" t="s">
        <v>52</v>
      </c>
    </row>
    <row r="1734" spans="1:8" x14ac:dyDescent="0.2">
      <c r="A1734" t="s">
        <v>2989</v>
      </c>
      <c r="B1734" t="s">
        <v>1413</v>
      </c>
      <c r="C1734" t="s">
        <v>19</v>
      </c>
      <c r="D1734">
        <v>2</v>
      </c>
      <c r="E1734" t="s">
        <v>17</v>
      </c>
      <c r="F1734" t="s">
        <v>380</v>
      </c>
      <c r="G1734" t="s">
        <v>608</v>
      </c>
      <c r="H1734" t="s">
        <v>52</v>
      </c>
    </row>
    <row r="1735" spans="1:8" x14ac:dyDescent="0.2">
      <c r="A1735" t="s">
        <v>2990</v>
      </c>
      <c r="B1735" t="s">
        <v>1413</v>
      </c>
      <c r="C1735" t="s">
        <v>18</v>
      </c>
      <c r="D1735">
        <v>2</v>
      </c>
      <c r="E1735" t="s">
        <v>17</v>
      </c>
      <c r="F1735" t="s">
        <v>380</v>
      </c>
      <c r="G1735" t="s">
        <v>608</v>
      </c>
      <c r="H1735" t="s">
        <v>52</v>
      </c>
    </row>
    <row r="1736" spans="1:8" x14ac:dyDescent="0.2">
      <c r="A1736" t="s">
        <v>2991</v>
      </c>
      <c r="B1736" t="s">
        <v>1413</v>
      </c>
      <c r="C1736" t="s">
        <v>18</v>
      </c>
      <c r="D1736">
        <v>2</v>
      </c>
      <c r="E1736" t="s">
        <v>17</v>
      </c>
      <c r="F1736" t="s">
        <v>380</v>
      </c>
      <c r="G1736" t="s">
        <v>608</v>
      </c>
      <c r="H1736" t="s">
        <v>52</v>
      </c>
    </row>
    <row r="1737" spans="1:8" x14ac:dyDescent="0.2">
      <c r="A1737" t="s">
        <v>2992</v>
      </c>
      <c r="B1737" t="s">
        <v>1421</v>
      </c>
      <c r="C1737" t="s">
        <v>16</v>
      </c>
      <c r="D1737">
        <v>4</v>
      </c>
      <c r="E1737" t="s">
        <v>21</v>
      </c>
      <c r="F1737" t="s">
        <v>380</v>
      </c>
      <c r="G1737" t="s">
        <v>608</v>
      </c>
      <c r="H1737" t="s">
        <v>52</v>
      </c>
    </row>
    <row r="1738" spans="1:8" x14ac:dyDescent="0.2">
      <c r="A1738" t="s">
        <v>2993</v>
      </c>
      <c r="B1738" t="s">
        <v>1421</v>
      </c>
      <c r="C1738" t="s">
        <v>16</v>
      </c>
      <c r="D1738">
        <v>4</v>
      </c>
      <c r="E1738" t="s">
        <v>17</v>
      </c>
      <c r="F1738" t="s">
        <v>380</v>
      </c>
      <c r="G1738" t="s">
        <v>608</v>
      </c>
      <c r="H1738" t="s">
        <v>52</v>
      </c>
    </row>
    <row r="1739" spans="1:8" x14ac:dyDescent="0.2">
      <c r="A1739" t="s">
        <v>2994</v>
      </c>
      <c r="B1739" t="s">
        <v>1421</v>
      </c>
      <c r="C1739" t="s">
        <v>16</v>
      </c>
      <c r="D1739">
        <v>4</v>
      </c>
      <c r="E1739" t="s">
        <v>17</v>
      </c>
      <c r="F1739" t="s">
        <v>380</v>
      </c>
      <c r="G1739" t="s">
        <v>608</v>
      </c>
      <c r="H1739" t="s">
        <v>52</v>
      </c>
    </row>
    <row r="1740" spans="1:8" x14ac:dyDescent="0.2">
      <c r="A1740" t="s">
        <v>2995</v>
      </c>
      <c r="B1740" t="s">
        <v>1421</v>
      </c>
      <c r="C1740" t="s">
        <v>16</v>
      </c>
      <c r="D1740">
        <v>4</v>
      </c>
      <c r="E1740" t="s">
        <v>17</v>
      </c>
      <c r="F1740" t="s">
        <v>380</v>
      </c>
      <c r="G1740" t="s">
        <v>608</v>
      </c>
      <c r="H1740" t="s">
        <v>52</v>
      </c>
    </row>
    <row r="1741" spans="1:8" x14ac:dyDescent="0.2">
      <c r="A1741" t="s">
        <v>2996</v>
      </c>
      <c r="B1741" t="s">
        <v>1421</v>
      </c>
      <c r="C1741" t="s">
        <v>16</v>
      </c>
      <c r="D1741">
        <v>4</v>
      </c>
      <c r="E1741" t="s">
        <v>17</v>
      </c>
      <c r="F1741" t="s">
        <v>380</v>
      </c>
      <c r="G1741" t="s">
        <v>608</v>
      </c>
      <c r="H1741" t="s">
        <v>52</v>
      </c>
    </row>
    <row r="1742" spans="1:8" x14ac:dyDescent="0.2">
      <c r="A1742" t="s">
        <v>2997</v>
      </c>
      <c r="B1742" t="s">
        <v>1423</v>
      </c>
      <c r="C1742" t="s">
        <v>18</v>
      </c>
      <c r="D1742">
        <v>2</v>
      </c>
      <c r="E1742" t="s">
        <v>21</v>
      </c>
      <c r="F1742" t="s">
        <v>380</v>
      </c>
      <c r="G1742" t="s">
        <v>608</v>
      </c>
      <c r="H1742" t="s">
        <v>52</v>
      </c>
    </row>
    <row r="1743" spans="1:8" x14ac:dyDescent="0.2">
      <c r="A1743" t="s">
        <v>2998</v>
      </c>
      <c r="B1743" t="s">
        <v>1423</v>
      </c>
      <c r="C1743" t="s">
        <v>16</v>
      </c>
      <c r="D1743">
        <v>4</v>
      </c>
      <c r="E1743" t="s">
        <v>17</v>
      </c>
      <c r="F1743" t="s">
        <v>380</v>
      </c>
      <c r="G1743" t="s">
        <v>608</v>
      </c>
      <c r="H1743" t="s">
        <v>52</v>
      </c>
    </row>
    <row r="1744" spans="1:8" x14ac:dyDescent="0.2">
      <c r="A1744" t="s">
        <v>2999</v>
      </c>
      <c r="B1744" t="s">
        <v>1423</v>
      </c>
      <c r="C1744" t="s">
        <v>18</v>
      </c>
      <c r="D1744">
        <v>2</v>
      </c>
      <c r="E1744" t="s">
        <v>17</v>
      </c>
      <c r="F1744" t="s">
        <v>380</v>
      </c>
      <c r="G1744" t="s">
        <v>608</v>
      </c>
      <c r="H1744" t="s">
        <v>52</v>
      </c>
    </row>
    <row r="1745" spans="1:8" x14ac:dyDescent="0.2">
      <c r="A1745" t="s">
        <v>3000</v>
      </c>
      <c r="B1745" t="s">
        <v>1423</v>
      </c>
      <c r="C1745" t="s">
        <v>19</v>
      </c>
      <c r="D1745">
        <v>2</v>
      </c>
      <c r="E1745" t="s">
        <v>17</v>
      </c>
      <c r="F1745" t="s">
        <v>380</v>
      </c>
      <c r="G1745" t="s">
        <v>608</v>
      </c>
      <c r="H1745" t="s">
        <v>52</v>
      </c>
    </row>
    <row r="1746" spans="1:8" x14ac:dyDescent="0.2">
      <c r="A1746" t="s">
        <v>3001</v>
      </c>
      <c r="B1746" t="s">
        <v>1423</v>
      </c>
      <c r="C1746" t="s">
        <v>3202</v>
      </c>
      <c r="D1746" t="s">
        <v>16</v>
      </c>
      <c r="E1746" t="s">
        <v>17</v>
      </c>
      <c r="F1746" t="s">
        <v>380</v>
      </c>
      <c r="G1746" t="s">
        <v>608</v>
      </c>
      <c r="H1746" t="s">
        <v>52</v>
      </c>
    </row>
    <row r="1747" spans="1:8" x14ac:dyDescent="0.2">
      <c r="A1747" t="s">
        <v>3002</v>
      </c>
      <c r="B1747" t="s">
        <v>1425</v>
      </c>
      <c r="C1747" t="s">
        <v>19</v>
      </c>
      <c r="D1747">
        <v>2</v>
      </c>
      <c r="E1747" t="s">
        <v>17</v>
      </c>
      <c r="F1747" t="s">
        <v>380</v>
      </c>
      <c r="G1747" t="s">
        <v>608</v>
      </c>
      <c r="H1747" t="s">
        <v>52</v>
      </c>
    </row>
    <row r="1748" spans="1:8" x14ac:dyDescent="0.2">
      <c r="A1748" t="s">
        <v>3003</v>
      </c>
      <c r="B1748" t="s">
        <v>1425</v>
      </c>
      <c r="C1748" t="s">
        <v>19</v>
      </c>
      <c r="D1748">
        <v>2</v>
      </c>
      <c r="E1748" t="s">
        <v>17</v>
      </c>
      <c r="F1748" t="s">
        <v>380</v>
      </c>
      <c r="G1748" t="s">
        <v>608</v>
      </c>
      <c r="H1748" t="s">
        <v>52</v>
      </c>
    </row>
    <row r="1749" spans="1:8" x14ac:dyDescent="0.2">
      <c r="A1749" t="s">
        <v>3004</v>
      </c>
      <c r="B1749" t="s">
        <v>1425</v>
      </c>
      <c r="C1749" t="s">
        <v>16</v>
      </c>
      <c r="D1749">
        <v>4</v>
      </c>
      <c r="E1749" t="s">
        <v>21</v>
      </c>
      <c r="F1749" t="s">
        <v>380</v>
      </c>
      <c r="G1749" t="s">
        <v>608</v>
      </c>
      <c r="H1749" t="s">
        <v>52</v>
      </c>
    </row>
    <row r="1750" spans="1:8" x14ac:dyDescent="0.2">
      <c r="A1750" t="s">
        <v>3005</v>
      </c>
      <c r="B1750" t="s">
        <v>1425</v>
      </c>
      <c r="C1750" t="s">
        <v>16</v>
      </c>
      <c r="D1750">
        <v>4</v>
      </c>
      <c r="E1750" t="s">
        <v>21</v>
      </c>
      <c r="F1750" t="s">
        <v>380</v>
      </c>
      <c r="G1750" t="s">
        <v>608</v>
      </c>
      <c r="H1750" t="s">
        <v>52</v>
      </c>
    </row>
    <row r="1751" spans="1:8" x14ac:dyDescent="0.2">
      <c r="A1751" t="s">
        <v>3006</v>
      </c>
      <c r="B1751" t="s">
        <v>1425</v>
      </c>
      <c r="C1751" t="s">
        <v>16</v>
      </c>
      <c r="D1751">
        <v>4</v>
      </c>
      <c r="E1751" t="s">
        <v>17</v>
      </c>
      <c r="F1751" t="s">
        <v>380</v>
      </c>
      <c r="G1751" t="s">
        <v>608</v>
      </c>
      <c r="H1751" t="s">
        <v>52</v>
      </c>
    </row>
    <row r="1752" spans="1:8" x14ac:dyDescent="0.2">
      <c r="A1752" t="s">
        <v>3007</v>
      </c>
      <c r="B1752" t="s">
        <v>1433</v>
      </c>
      <c r="C1752" t="s">
        <v>16</v>
      </c>
      <c r="D1752">
        <v>4</v>
      </c>
      <c r="E1752" t="s">
        <v>17</v>
      </c>
      <c r="F1752" t="s">
        <v>380</v>
      </c>
      <c r="G1752" t="s">
        <v>608</v>
      </c>
      <c r="H1752" t="s">
        <v>52</v>
      </c>
    </row>
    <row r="1753" spans="1:8" x14ac:dyDescent="0.2">
      <c r="A1753" t="s">
        <v>3008</v>
      </c>
      <c r="B1753" t="s">
        <v>1433</v>
      </c>
      <c r="C1753" t="s">
        <v>16</v>
      </c>
      <c r="D1753">
        <v>4</v>
      </c>
      <c r="E1753" t="s">
        <v>17</v>
      </c>
      <c r="F1753" t="s">
        <v>381</v>
      </c>
      <c r="G1753" t="s">
        <v>608</v>
      </c>
      <c r="H1753" t="s">
        <v>52</v>
      </c>
    </row>
    <row r="1754" spans="1:8" x14ac:dyDescent="0.2">
      <c r="A1754" t="s">
        <v>3009</v>
      </c>
      <c r="B1754" t="s">
        <v>1433</v>
      </c>
      <c r="C1754" t="s">
        <v>16</v>
      </c>
      <c r="D1754" t="s">
        <v>16</v>
      </c>
      <c r="E1754" t="s">
        <v>17</v>
      </c>
      <c r="F1754" t="s">
        <v>381</v>
      </c>
      <c r="G1754" t="s">
        <v>608</v>
      </c>
      <c r="H1754" t="s">
        <v>52</v>
      </c>
    </row>
    <row r="1755" spans="1:8" x14ac:dyDescent="0.2">
      <c r="A1755" t="s">
        <v>3010</v>
      </c>
      <c r="B1755" t="s">
        <v>1433</v>
      </c>
      <c r="C1755" t="s">
        <v>16</v>
      </c>
      <c r="D1755" t="s">
        <v>16</v>
      </c>
      <c r="E1755" t="s">
        <v>17</v>
      </c>
      <c r="F1755" t="s">
        <v>381</v>
      </c>
      <c r="G1755" t="s">
        <v>608</v>
      </c>
      <c r="H1755" t="s">
        <v>52</v>
      </c>
    </row>
    <row r="1756" spans="1:8" x14ac:dyDescent="0.2">
      <c r="A1756" t="s">
        <v>3011</v>
      </c>
      <c r="B1756" t="s">
        <v>1433</v>
      </c>
      <c r="C1756" t="s">
        <v>18</v>
      </c>
      <c r="D1756">
        <v>3</v>
      </c>
      <c r="E1756" t="s">
        <v>17</v>
      </c>
      <c r="F1756" t="s">
        <v>380</v>
      </c>
      <c r="G1756" t="s">
        <v>608</v>
      </c>
      <c r="H1756" t="s">
        <v>52</v>
      </c>
    </row>
    <row r="1757" spans="1:8" x14ac:dyDescent="0.2">
      <c r="A1757" t="s">
        <v>3012</v>
      </c>
      <c r="B1757" t="s">
        <v>1435</v>
      </c>
      <c r="C1757" t="s">
        <v>18</v>
      </c>
      <c r="D1757">
        <v>2</v>
      </c>
      <c r="E1757" t="s">
        <v>17</v>
      </c>
      <c r="F1757" t="s">
        <v>380</v>
      </c>
      <c r="G1757" t="s">
        <v>608</v>
      </c>
      <c r="H1757" t="s">
        <v>52</v>
      </c>
    </row>
    <row r="1758" spans="1:8" x14ac:dyDescent="0.2">
      <c r="A1758" t="s">
        <v>3013</v>
      </c>
      <c r="B1758" t="s">
        <v>1435</v>
      </c>
      <c r="C1758" t="s">
        <v>19</v>
      </c>
      <c r="D1758">
        <v>2</v>
      </c>
      <c r="E1758" t="s">
        <v>17</v>
      </c>
      <c r="F1758" t="s">
        <v>380</v>
      </c>
      <c r="G1758" t="s">
        <v>608</v>
      </c>
      <c r="H1758" t="s">
        <v>52</v>
      </c>
    </row>
    <row r="1759" spans="1:8" x14ac:dyDescent="0.2">
      <c r="A1759" t="s">
        <v>3014</v>
      </c>
      <c r="B1759" t="s">
        <v>1435</v>
      </c>
      <c r="C1759" t="s">
        <v>18</v>
      </c>
      <c r="D1759">
        <v>1</v>
      </c>
      <c r="E1759" t="s">
        <v>17</v>
      </c>
      <c r="F1759" t="s">
        <v>380</v>
      </c>
      <c r="G1759" t="s">
        <v>608</v>
      </c>
      <c r="H1759" t="s">
        <v>52</v>
      </c>
    </row>
    <row r="1760" spans="1:8" x14ac:dyDescent="0.2">
      <c r="A1760" t="s">
        <v>3015</v>
      </c>
      <c r="B1760" t="s">
        <v>1435</v>
      </c>
      <c r="C1760" t="s">
        <v>16</v>
      </c>
      <c r="D1760" t="s">
        <v>16</v>
      </c>
      <c r="E1760" t="s">
        <v>17</v>
      </c>
      <c r="F1760" t="s">
        <v>381</v>
      </c>
      <c r="G1760" t="s">
        <v>608</v>
      </c>
      <c r="H1760" t="s">
        <v>52</v>
      </c>
    </row>
    <row r="1761" spans="1:8" x14ac:dyDescent="0.2">
      <c r="A1761" t="s">
        <v>3016</v>
      </c>
      <c r="B1761" t="s">
        <v>1435</v>
      </c>
      <c r="C1761" t="s">
        <v>19</v>
      </c>
      <c r="D1761">
        <v>2</v>
      </c>
      <c r="E1761" t="s">
        <v>17</v>
      </c>
      <c r="F1761" t="s">
        <v>380</v>
      </c>
      <c r="G1761" t="s">
        <v>608</v>
      </c>
      <c r="H1761" t="s">
        <v>52</v>
      </c>
    </row>
    <row r="1762" spans="1:8" x14ac:dyDescent="0.2">
      <c r="A1762" t="s">
        <v>3017</v>
      </c>
      <c r="B1762" t="s">
        <v>1437</v>
      </c>
      <c r="C1762" t="s">
        <v>19</v>
      </c>
      <c r="D1762">
        <v>2</v>
      </c>
      <c r="E1762" t="s">
        <v>17</v>
      </c>
      <c r="F1762" t="s">
        <v>380</v>
      </c>
      <c r="G1762" t="s">
        <v>608</v>
      </c>
      <c r="H1762" t="s">
        <v>52</v>
      </c>
    </row>
    <row r="1763" spans="1:8" x14ac:dyDescent="0.2">
      <c r="A1763" t="s">
        <v>3018</v>
      </c>
      <c r="B1763" t="s">
        <v>1437</v>
      </c>
      <c r="C1763" t="s">
        <v>19</v>
      </c>
      <c r="D1763">
        <v>2</v>
      </c>
      <c r="E1763" t="s">
        <v>17</v>
      </c>
      <c r="F1763" t="s">
        <v>380</v>
      </c>
      <c r="G1763" t="s">
        <v>608</v>
      </c>
      <c r="H1763" t="s">
        <v>52</v>
      </c>
    </row>
    <row r="1764" spans="1:8" x14ac:dyDescent="0.2">
      <c r="A1764" t="s">
        <v>3019</v>
      </c>
      <c r="B1764" t="s">
        <v>1437</v>
      </c>
      <c r="C1764" t="s">
        <v>16</v>
      </c>
      <c r="D1764">
        <v>4</v>
      </c>
      <c r="E1764" t="s">
        <v>17</v>
      </c>
      <c r="F1764" t="s">
        <v>380</v>
      </c>
      <c r="G1764" t="s">
        <v>608</v>
      </c>
      <c r="H1764" t="s">
        <v>52</v>
      </c>
    </row>
    <row r="1765" spans="1:8" x14ac:dyDescent="0.2">
      <c r="A1765" t="s">
        <v>3020</v>
      </c>
      <c r="B1765" t="s">
        <v>1437</v>
      </c>
      <c r="C1765" t="s">
        <v>16</v>
      </c>
      <c r="D1765">
        <v>4</v>
      </c>
      <c r="E1765" t="s">
        <v>17</v>
      </c>
      <c r="F1765" t="s">
        <v>380</v>
      </c>
      <c r="G1765" t="s">
        <v>608</v>
      </c>
      <c r="H1765" t="s">
        <v>52</v>
      </c>
    </row>
    <row r="1766" spans="1:8" x14ac:dyDescent="0.2">
      <c r="A1766" t="s">
        <v>3021</v>
      </c>
      <c r="B1766" t="s">
        <v>1437</v>
      </c>
      <c r="C1766" t="s">
        <v>18</v>
      </c>
      <c r="D1766">
        <v>2</v>
      </c>
      <c r="E1766" t="s">
        <v>17</v>
      </c>
      <c r="F1766" t="s">
        <v>380</v>
      </c>
      <c r="G1766" t="s">
        <v>608</v>
      </c>
      <c r="H1766" t="s">
        <v>52</v>
      </c>
    </row>
    <row r="1767" spans="1:8" x14ac:dyDescent="0.2">
      <c r="A1767" t="s">
        <v>3022</v>
      </c>
      <c r="B1767" t="s">
        <v>1445</v>
      </c>
      <c r="C1767" t="s">
        <v>18</v>
      </c>
      <c r="D1767">
        <v>3</v>
      </c>
      <c r="E1767" t="s">
        <v>17</v>
      </c>
      <c r="F1767" t="s">
        <v>380</v>
      </c>
      <c r="G1767" t="s">
        <v>608</v>
      </c>
      <c r="H1767" t="s">
        <v>52</v>
      </c>
    </row>
    <row r="1768" spans="1:8" x14ac:dyDescent="0.2">
      <c r="A1768" t="s">
        <v>3023</v>
      </c>
      <c r="B1768" t="s">
        <v>1445</v>
      </c>
      <c r="C1768" t="s">
        <v>19</v>
      </c>
      <c r="D1768">
        <v>1</v>
      </c>
      <c r="E1768" t="s">
        <v>17</v>
      </c>
      <c r="F1768" t="s">
        <v>380</v>
      </c>
      <c r="G1768" t="s">
        <v>608</v>
      </c>
      <c r="H1768" t="s">
        <v>52</v>
      </c>
    </row>
    <row r="1769" spans="1:8" x14ac:dyDescent="0.2">
      <c r="A1769" t="s">
        <v>3024</v>
      </c>
      <c r="B1769" t="s">
        <v>1445</v>
      </c>
      <c r="C1769" t="s">
        <v>18</v>
      </c>
      <c r="D1769">
        <v>2</v>
      </c>
      <c r="E1769" t="s">
        <v>17</v>
      </c>
      <c r="F1769" t="s">
        <v>380</v>
      </c>
      <c r="G1769" t="s">
        <v>608</v>
      </c>
      <c r="H1769" t="s">
        <v>52</v>
      </c>
    </row>
    <row r="1770" spans="1:8" x14ac:dyDescent="0.2">
      <c r="A1770" t="s">
        <v>3025</v>
      </c>
      <c r="B1770" t="s">
        <v>1445</v>
      </c>
      <c r="C1770" t="s">
        <v>18</v>
      </c>
      <c r="D1770">
        <v>1</v>
      </c>
      <c r="E1770" t="s">
        <v>17</v>
      </c>
      <c r="F1770" t="s">
        <v>380</v>
      </c>
      <c r="G1770" t="s">
        <v>608</v>
      </c>
      <c r="H1770" t="s">
        <v>52</v>
      </c>
    </row>
    <row r="1771" spans="1:8" x14ac:dyDescent="0.2">
      <c r="A1771" t="s">
        <v>3026</v>
      </c>
      <c r="B1771" t="s">
        <v>1445</v>
      </c>
      <c r="C1771" t="s">
        <v>18</v>
      </c>
      <c r="D1771">
        <v>3</v>
      </c>
      <c r="E1771" t="s">
        <v>17</v>
      </c>
      <c r="F1771" t="s">
        <v>380</v>
      </c>
      <c r="G1771" t="s">
        <v>608</v>
      </c>
      <c r="H1771" t="s">
        <v>52</v>
      </c>
    </row>
    <row r="1772" spans="1:8" x14ac:dyDescent="0.2">
      <c r="A1772" t="s">
        <v>3027</v>
      </c>
      <c r="B1772" t="s">
        <v>1447</v>
      </c>
      <c r="C1772" t="s">
        <v>16</v>
      </c>
      <c r="D1772">
        <v>4</v>
      </c>
      <c r="E1772" t="s">
        <v>17</v>
      </c>
      <c r="F1772" t="s">
        <v>380</v>
      </c>
      <c r="G1772" t="s">
        <v>608</v>
      </c>
      <c r="H1772" t="s">
        <v>52</v>
      </c>
    </row>
    <row r="1773" spans="1:8" x14ac:dyDescent="0.2">
      <c r="A1773" t="s">
        <v>3028</v>
      </c>
      <c r="B1773" t="s">
        <v>1447</v>
      </c>
      <c r="C1773" t="s">
        <v>19</v>
      </c>
      <c r="D1773">
        <v>2</v>
      </c>
      <c r="E1773" t="s">
        <v>17</v>
      </c>
      <c r="F1773" t="s">
        <v>380</v>
      </c>
      <c r="G1773" t="s">
        <v>608</v>
      </c>
      <c r="H1773" t="s">
        <v>52</v>
      </c>
    </row>
    <row r="1774" spans="1:8" x14ac:dyDescent="0.2">
      <c r="A1774" t="s">
        <v>3029</v>
      </c>
      <c r="B1774" t="s">
        <v>1447</v>
      </c>
      <c r="C1774" t="s">
        <v>18</v>
      </c>
      <c r="D1774">
        <v>2</v>
      </c>
      <c r="E1774" t="s">
        <v>17</v>
      </c>
      <c r="F1774" t="s">
        <v>380</v>
      </c>
      <c r="G1774" t="s">
        <v>608</v>
      </c>
      <c r="H1774" t="s">
        <v>52</v>
      </c>
    </row>
    <row r="1775" spans="1:8" x14ac:dyDescent="0.2">
      <c r="A1775" t="s">
        <v>3030</v>
      </c>
      <c r="B1775" t="s">
        <v>1447</v>
      </c>
      <c r="C1775" t="s">
        <v>18</v>
      </c>
      <c r="D1775">
        <v>2</v>
      </c>
      <c r="E1775" t="s">
        <v>17</v>
      </c>
      <c r="F1775" t="s">
        <v>380</v>
      </c>
      <c r="G1775" t="s">
        <v>608</v>
      </c>
      <c r="H1775" t="s">
        <v>52</v>
      </c>
    </row>
    <row r="1776" spans="1:8" x14ac:dyDescent="0.2">
      <c r="A1776" t="s">
        <v>3031</v>
      </c>
      <c r="B1776" t="s">
        <v>1447</v>
      </c>
      <c r="C1776" t="s">
        <v>16</v>
      </c>
      <c r="D1776">
        <v>4</v>
      </c>
      <c r="E1776" t="s">
        <v>17</v>
      </c>
      <c r="F1776" t="s">
        <v>380</v>
      </c>
      <c r="G1776" t="s">
        <v>608</v>
      </c>
      <c r="H1776" t="s">
        <v>52</v>
      </c>
    </row>
    <row r="1777" spans="1:8" x14ac:dyDescent="0.2">
      <c r="A1777" t="s">
        <v>3032</v>
      </c>
      <c r="B1777" t="s">
        <v>1449</v>
      </c>
      <c r="C1777" t="s">
        <v>18</v>
      </c>
      <c r="D1777">
        <v>2</v>
      </c>
      <c r="E1777" t="s">
        <v>17</v>
      </c>
      <c r="F1777" t="s">
        <v>380</v>
      </c>
      <c r="G1777" t="s">
        <v>608</v>
      </c>
      <c r="H1777" t="s">
        <v>52</v>
      </c>
    </row>
    <row r="1778" spans="1:8" x14ac:dyDescent="0.2">
      <c r="A1778" t="s">
        <v>3033</v>
      </c>
      <c r="B1778" t="s">
        <v>1449</v>
      </c>
      <c r="C1778" t="s">
        <v>18</v>
      </c>
      <c r="D1778">
        <v>2</v>
      </c>
      <c r="E1778" t="s">
        <v>17</v>
      </c>
      <c r="F1778" t="s">
        <v>380</v>
      </c>
      <c r="G1778" t="s">
        <v>608</v>
      </c>
      <c r="H1778" t="s">
        <v>52</v>
      </c>
    </row>
    <row r="1779" spans="1:8" x14ac:dyDescent="0.2">
      <c r="A1779" t="s">
        <v>3034</v>
      </c>
      <c r="B1779" t="s">
        <v>1449</v>
      </c>
      <c r="C1779" t="s">
        <v>18</v>
      </c>
      <c r="D1779">
        <v>2</v>
      </c>
      <c r="E1779" t="s">
        <v>17</v>
      </c>
      <c r="F1779" t="s">
        <v>380</v>
      </c>
      <c r="G1779" t="s">
        <v>608</v>
      </c>
      <c r="H1779" t="s">
        <v>52</v>
      </c>
    </row>
    <row r="1780" spans="1:8" x14ac:dyDescent="0.2">
      <c r="A1780" t="s">
        <v>3035</v>
      </c>
      <c r="B1780" t="s">
        <v>1449</v>
      </c>
      <c r="C1780" t="s">
        <v>18</v>
      </c>
      <c r="D1780">
        <v>1</v>
      </c>
      <c r="E1780" t="s">
        <v>17</v>
      </c>
      <c r="F1780" t="s">
        <v>380</v>
      </c>
      <c r="G1780" t="s">
        <v>608</v>
      </c>
      <c r="H1780" t="s">
        <v>52</v>
      </c>
    </row>
    <row r="1781" spans="1:8" x14ac:dyDescent="0.2">
      <c r="A1781" t="s">
        <v>3036</v>
      </c>
      <c r="B1781" t="s">
        <v>1449</v>
      </c>
      <c r="C1781" t="s">
        <v>18</v>
      </c>
      <c r="D1781">
        <v>2</v>
      </c>
      <c r="E1781" t="s">
        <v>17</v>
      </c>
      <c r="F1781" t="s">
        <v>380</v>
      </c>
      <c r="G1781" t="s">
        <v>608</v>
      </c>
      <c r="H1781" t="s">
        <v>52</v>
      </c>
    </row>
    <row r="1782" spans="1:8" x14ac:dyDescent="0.2">
      <c r="A1782" t="s">
        <v>3037</v>
      </c>
      <c r="B1782" t="s">
        <v>1457</v>
      </c>
      <c r="C1782" t="s">
        <v>19</v>
      </c>
      <c r="D1782">
        <v>2</v>
      </c>
      <c r="E1782" t="s">
        <v>17</v>
      </c>
      <c r="F1782" t="s">
        <v>380</v>
      </c>
      <c r="G1782" t="s">
        <v>608</v>
      </c>
      <c r="H1782" t="s">
        <v>52</v>
      </c>
    </row>
    <row r="1783" spans="1:8" x14ac:dyDescent="0.2">
      <c r="A1783" t="s">
        <v>3038</v>
      </c>
      <c r="B1783" t="s">
        <v>1457</v>
      </c>
      <c r="C1783" t="s">
        <v>16</v>
      </c>
      <c r="D1783" t="s">
        <v>16</v>
      </c>
      <c r="E1783" t="s">
        <v>20</v>
      </c>
      <c r="F1783" t="s">
        <v>380</v>
      </c>
      <c r="G1783" t="s">
        <v>608</v>
      </c>
      <c r="H1783" t="s">
        <v>52</v>
      </c>
    </row>
    <row r="1784" spans="1:8" x14ac:dyDescent="0.2">
      <c r="A1784" t="s">
        <v>3039</v>
      </c>
      <c r="B1784" t="s">
        <v>1457</v>
      </c>
      <c r="C1784" t="s">
        <v>19</v>
      </c>
      <c r="D1784">
        <v>2</v>
      </c>
      <c r="E1784" t="s">
        <v>17</v>
      </c>
      <c r="F1784" t="s">
        <v>380</v>
      </c>
      <c r="G1784" t="s">
        <v>608</v>
      </c>
      <c r="H1784" t="s">
        <v>52</v>
      </c>
    </row>
    <row r="1785" spans="1:8" x14ac:dyDescent="0.2">
      <c r="A1785" t="s">
        <v>3040</v>
      </c>
      <c r="B1785" t="s">
        <v>1457</v>
      </c>
      <c r="C1785" t="s">
        <v>16</v>
      </c>
      <c r="D1785">
        <v>4</v>
      </c>
      <c r="E1785" t="s">
        <v>17</v>
      </c>
      <c r="F1785" t="s">
        <v>380</v>
      </c>
      <c r="G1785" t="s">
        <v>608</v>
      </c>
      <c r="H1785" t="s">
        <v>52</v>
      </c>
    </row>
    <row r="1786" spans="1:8" x14ac:dyDescent="0.2">
      <c r="A1786" t="s">
        <v>3041</v>
      </c>
      <c r="B1786" t="s">
        <v>1457</v>
      </c>
      <c r="C1786" t="s">
        <v>18</v>
      </c>
      <c r="D1786">
        <v>2</v>
      </c>
      <c r="E1786" t="s">
        <v>17</v>
      </c>
      <c r="F1786" t="s">
        <v>380</v>
      </c>
      <c r="G1786" t="s">
        <v>608</v>
      </c>
      <c r="H1786" t="s">
        <v>52</v>
      </c>
    </row>
    <row r="1787" spans="1:8" x14ac:dyDescent="0.2">
      <c r="A1787" t="s">
        <v>3042</v>
      </c>
      <c r="B1787" t="s">
        <v>1459</v>
      </c>
      <c r="C1787" t="s">
        <v>18</v>
      </c>
      <c r="D1787">
        <v>2</v>
      </c>
      <c r="E1787" t="s">
        <v>17</v>
      </c>
      <c r="F1787" t="s">
        <v>380</v>
      </c>
      <c r="G1787" t="s">
        <v>608</v>
      </c>
      <c r="H1787" t="s">
        <v>52</v>
      </c>
    </row>
    <row r="1788" spans="1:8" x14ac:dyDescent="0.2">
      <c r="A1788" t="s">
        <v>3043</v>
      </c>
      <c r="B1788" t="s">
        <v>1459</v>
      </c>
      <c r="C1788" t="s">
        <v>18</v>
      </c>
      <c r="D1788">
        <v>2</v>
      </c>
      <c r="E1788" t="s">
        <v>17</v>
      </c>
      <c r="F1788" t="s">
        <v>380</v>
      </c>
      <c r="G1788" t="s">
        <v>608</v>
      </c>
      <c r="H1788" t="s">
        <v>52</v>
      </c>
    </row>
    <row r="1789" spans="1:8" x14ac:dyDescent="0.2">
      <c r="A1789" t="s">
        <v>3044</v>
      </c>
      <c r="B1789" t="s">
        <v>1459</v>
      </c>
      <c r="C1789" t="s">
        <v>18</v>
      </c>
      <c r="D1789">
        <v>2</v>
      </c>
      <c r="E1789" t="s">
        <v>17</v>
      </c>
      <c r="F1789" t="s">
        <v>380</v>
      </c>
      <c r="G1789" t="s">
        <v>608</v>
      </c>
      <c r="H1789" t="s">
        <v>52</v>
      </c>
    </row>
    <row r="1790" spans="1:8" x14ac:dyDescent="0.2">
      <c r="A1790" t="s">
        <v>3045</v>
      </c>
      <c r="B1790" t="s">
        <v>1459</v>
      </c>
      <c r="C1790" t="s">
        <v>19</v>
      </c>
      <c r="D1790">
        <v>2</v>
      </c>
      <c r="E1790" t="s">
        <v>17</v>
      </c>
      <c r="F1790" t="s">
        <v>380</v>
      </c>
      <c r="G1790" t="s">
        <v>608</v>
      </c>
      <c r="H1790" t="s">
        <v>52</v>
      </c>
    </row>
    <row r="1791" spans="1:8" x14ac:dyDescent="0.2">
      <c r="A1791" t="s">
        <v>3046</v>
      </c>
      <c r="B1791" t="s">
        <v>1459</v>
      </c>
      <c r="C1791" t="s">
        <v>19</v>
      </c>
      <c r="D1791">
        <v>2</v>
      </c>
      <c r="E1791" t="s">
        <v>17</v>
      </c>
      <c r="F1791" t="s">
        <v>380</v>
      </c>
      <c r="G1791" t="s">
        <v>608</v>
      </c>
      <c r="H1791" t="s">
        <v>52</v>
      </c>
    </row>
    <row r="1792" spans="1:8" x14ac:dyDescent="0.2">
      <c r="A1792" t="s">
        <v>3047</v>
      </c>
      <c r="B1792" t="s">
        <v>1461</v>
      </c>
      <c r="C1792" t="s">
        <v>19</v>
      </c>
      <c r="D1792">
        <v>2</v>
      </c>
      <c r="E1792" t="s">
        <v>17</v>
      </c>
      <c r="F1792" t="s">
        <v>380</v>
      </c>
      <c r="G1792" t="s">
        <v>608</v>
      </c>
      <c r="H1792" t="s">
        <v>52</v>
      </c>
    </row>
    <row r="1793" spans="1:8" x14ac:dyDescent="0.2">
      <c r="A1793" t="s">
        <v>3048</v>
      </c>
      <c r="B1793" t="s">
        <v>1461</v>
      </c>
      <c r="C1793" t="s">
        <v>18</v>
      </c>
      <c r="D1793">
        <v>2</v>
      </c>
      <c r="E1793" t="s">
        <v>17</v>
      </c>
      <c r="F1793" t="s">
        <v>380</v>
      </c>
      <c r="G1793" t="s">
        <v>608</v>
      </c>
      <c r="H1793" t="s">
        <v>52</v>
      </c>
    </row>
    <row r="1794" spans="1:8" x14ac:dyDescent="0.2">
      <c r="A1794" t="s">
        <v>3049</v>
      </c>
      <c r="B1794" t="s">
        <v>1461</v>
      </c>
      <c r="C1794" t="s">
        <v>18</v>
      </c>
      <c r="D1794">
        <v>1</v>
      </c>
      <c r="E1794" t="s">
        <v>17</v>
      </c>
      <c r="F1794" t="s">
        <v>380</v>
      </c>
      <c r="G1794" t="s">
        <v>608</v>
      </c>
      <c r="H1794" t="s">
        <v>52</v>
      </c>
    </row>
    <row r="1795" spans="1:8" x14ac:dyDescent="0.2">
      <c r="A1795" t="s">
        <v>3050</v>
      </c>
      <c r="B1795" t="s">
        <v>1461</v>
      </c>
      <c r="C1795" t="s">
        <v>18</v>
      </c>
      <c r="D1795">
        <v>2</v>
      </c>
      <c r="E1795" t="s">
        <v>17</v>
      </c>
      <c r="F1795" t="s">
        <v>380</v>
      </c>
      <c r="G1795" t="s">
        <v>608</v>
      </c>
      <c r="H1795" t="s">
        <v>52</v>
      </c>
    </row>
    <row r="1796" spans="1:8" x14ac:dyDescent="0.2">
      <c r="A1796" t="s">
        <v>3051</v>
      </c>
      <c r="B1796" t="s">
        <v>1461</v>
      </c>
      <c r="C1796" t="s">
        <v>18</v>
      </c>
      <c r="D1796">
        <v>2</v>
      </c>
      <c r="E1796" t="s">
        <v>17</v>
      </c>
      <c r="F1796" t="s">
        <v>380</v>
      </c>
      <c r="G1796" t="s">
        <v>608</v>
      </c>
      <c r="H1796" t="s">
        <v>52</v>
      </c>
    </row>
    <row r="1797" spans="1:8" x14ac:dyDescent="0.2">
      <c r="A1797" t="s">
        <v>3052</v>
      </c>
      <c r="B1797" t="s">
        <v>1469</v>
      </c>
      <c r="C1797" t="s">
        <v>18</v>
      </c>
      <c r="D1797">
        <v>2</v>
      </c>
      <c r="E1797" t="s">
        <v>21</v>
      </c>
      <c r="F1797" t="s">
        <v>380</v>
      </c>
      <c r="G1797" t="s">
        <v>608</v>
      </c>
      <c r="H1797" t="s">
        <v>52</v>
      </c>
    </row>
    <row r="1798" spans="1:8" x14ac:dyDescent="0.2">
      <c r="A1798" t="s">
        <v>3053</v>
      </c>
      <c r="B1798" t="s">
        <v>1469</v>
      </c>
      <c r="C1798" t="s">
        <v>19</v>
      </c>
      <c r="D1798">
        <v>2</v>
      </c>
      <c r="E1798" t="s">
        <v>17</v>
      </c>
      <c r="F1798" t="s">
        <v>380</v>
      </c>
      <c r="G1798" t="s">
        <v>608</v>
      </c>
      <c r="H1798" t="s">
        <v>52</v>
      </c>
    </row>
    <row r="1799" spans="1:8" x14ac:dyDescent="0.2">
      <c r="A1799" t="s">
        <v>3054</v>
      </c>
      <c r="B1799" t="s">
        <v>1469</v>
      </c>
      <c r="C1799" t="s">
        <v>18</v>
      </c>
      <c r="D1799">
        <v>2</v>
      </c>
      <c r="E1799" t="s">
        <v>17</v>
      </c>
      <c r="F1799" t="s">
        <v>380</v>
      </c>
      <c r="G1799" t="s">
        <v>608</v>
      </c>
      <c r="H1799" t="s">
        <v>52</v>
      </c>
    </row>
    <row r="1800" spans="1:8" x14ac:dyDescent="0.2">
      <c r="A1800" t="s">
        <v>3055</v>
      </c>
      <c r="B1800" t="s">
        <v>1469</v>
      </c>
      <c r="C1800" t="s">
        <v>16</v>
      </c>
      <c r="D1800">
        <v>4</v>
      </c>
      <c r="E1800" t="s">
        <v>17</v>
      </c>
      <c r="F1800" t="s">
        <v>380</v>
      </c>
      <c r="G1800" t="s">
        <v>608</v>
      </c>
      <c r="H1800" t="s">
        <v>52</v>
      </c>
    </row>
    <row r="1801" spans="1:8" x14ac:dyDescent="0.2">
      <c r="A1801" t="s">
        <v>3056</v>
      </c>
      <c r="B1801" t="s">
        <v>1469</v>
      </c>
      <c r="C1801" t="s">
        <v>16</v>
      </c>
      <c r="D1801">
        <v>4</v>
      </c>
      <c r="E1801" t="s">
        <v>17</v>
      </c>
      <c r="F1801" t="s">
        <v>380</v>
      </c>
      <c r="G1801" t="s">
        <v>608</v>
      </c>
      <c r="H1801" t="s">
        <v>52</v>
      </c>
    </row>
    <row r="1802" spans="1:8" x14ac:dyDescent="0.2">
      <c r="A1802" t="s">
        <v>3057</v>
      </c>
      <c r="B1802" t="s">
        <v>1471</v>
      </c>
      <c r="C1802" t="s">
        <v>18</v>
      </c>
      <c r="D1802">
        <v>2</v>
      </c>
      <c r="E1802" t="s">
        <v>17</v>
      </c>
      <c r="F1802" t="s">
        <v>380</v>
      </c>
      <c r="G1802" t="s">
        <v>608</v>
      </c>
      <c r="H1802" t="s">
        <v>52</v>
      </c>
    </row>
    <row r="1803" spans="1:8" x14ac:dyDescent="0.2">
      <c r="A1803" t="s">
        <v>3058</v>
      </c>
      <c r="B1803" t="s">
        <v>1471</v>
      </c>
      <c r="C1803" t="s">
        <v>19</v>
      </c>
      <c r="D1803">
        <v>2</v>
      </c>
      <c r="E1803" t="s">
        <v>17</v>
      </c>
      <c r="F1803" t="s">
        <v>380</v>
      </c>
      <c r="G1803" t="s">
        <v>608</v>
      </c>
      <c r="H1803" t="s">
        <v>52</v>
      </c>
    </row>
    <row r="1804" spans="1:8" x14ac:dyDescent="0.2">
      <c r="A1804" t="s">
        <v>3059</v>
      </c>
      <c r="B1804" t="s">
        <v>1471</v>
      </c>
      <c r="C1804" t="s">
        <v>18</v>
      </c>
      <c r="D1804">
        <v>2</v>
      </c>
      <c r="E1804" t="s">
        <v>17</v>
      </c>
      <c r="F1804" t="s">
        <v>380</v>
      </c>
      <c r="G1804" t="s">
        <v>608</v>
      </c>
      <c r="H1804" t="s">
        <v>52</v>
      </c>
    </row>
    <row r="1805" spans="1:8" x14ac:dyDescent="0.2">
      <c r="A1805" t="s">
        <v>3060</v>
      </c>
      <c r="B1805" t="s">
        <v>1471</v>
      </c>
      <c r="C1805" t="s">
        <v>19</v>
      </c>
      <c r="D1805">
        <v>2</v>
      </c>
      <c r="E1805" t="s">
        <v>17</v>
      </c>
      <c r="F1805" t="s">
        <v>380</v>
      </c>
      <c r="G1805" t="s">
        <v>608</v>
      </c>
      <c r="H1805" t="s">
        <v>52</v>
      </c>
    </row>
    <row r="1806" spans="1:8" x14ac:dyDescent="0.2">
      <c r="A1806" t="s">
        <v>3061</v>
      </c>
      <c r="B1806" t="s">
        <v>1471</v>
      </c>
      <c r="C1806" t="s">
        <v>19</v>
      </c>
      <c r="D1806">
        <v>2</v>
      </c>
      <c r="E1806" t="s">
        <v>21</v>
      </c>
      <c r="F1806" t="s">
        <v>380</v>
      </c>
      <c r="G1806" t="s">
        <v>608</v>
      </c>
      <c r="H1806" t="s">
        <v>52</v>
      </c>
    </row>
    <row r="1807" spans="1:8" x14ac:dyDescent="0.2">
      <c r="A1807" t="s">
        <v>3062</v>
      </c>
      <c r="B1807" t="s">
        <v>1473</v>
      </c>
      <c r="C1807" t="s">
        <v>18</v>
      </c>
      <c r="D1807">
        <v>2</v>
      </c>
      <c r="E1807" t="s">
        <v>17</v>
      </c>
      <c r="F1807" t="s">
        <v>380</v>
      </c>
      <c r="G1807" t="s">
        <v>608</v>
      </c>
      <c r="H1807" t="s">
        <v>52</v>
      </c>
    </row>
    <row r="1808" spans="1:8" x14ac:dyDescent="0.2">
      <c r="A1808" t="s">
        <v>3063</v>
      </c>
      <c r="B1808" t="s">
        <v>1473</v>
      </c>
      <c r="C1808" t="s">
        <v>18</v>
      </c>
      <c r="D1808">
        <v>2</v>
      </c>
      <c r="E1808" t="s">
        <v>17</v>
      </c>
      <c r="F1808" t="s">
        <v>380</v>
      </c>
      <c r="G1808" t="s">
        <v>608</v>
      </c>
      <c r="H1808" t="s">
        <v>52</v>
      </c>
    </row>
    <row r="1809" spans="1:8" x14ac:dyDescent="0.2">
      <c r="A1809" t="s">
        <v>3064</v>
      </c>
      <c r="B1809" t="s">
        <v>1473</v>
      </c>
      <c r="C1809" t="s">
        <v>18</v>
      </c>
      <c r="D1809">
        <v>2</v>
      </c>
      <c r="E1809" t="s">
        <v>21</v>
      </c>
      <c r="F1809" t="s">
        <v>380</v>
      </c>
      <c r="G1809" t="s">
        <v>608</v>
      </c>
      <c r="H1809" t="s">
        <v>52</v>
      </c>
    </row>
    <row r="1810" spans="1:8" x14ac:dyDescent="0.2">
      <c r="A1810" t="s">
        <v>3065</v>
      </c>
      <c r="B1810" t="s">
        <v>1473</v>
      </c>
      <c r="C1810" t="s">
        <v>18</v>
      </c>
      <c r="D1810">
        <v>2</v>
      </c>
      <c r="E1810" t="s">
        <v>17</v>
      </c>
      <c r="F1810" t="s">
        <v>380</v>
      </c>
      <c r="G1810" t="s">
        <v>608</v>
      </c>
      <c r="H1810" t="s">
        <v>52</v>
      </c>
    </row>
    <row r="1811" spans="1:8" x14ac:dyDescent="0.2">
      <c r="A1811" t="s">
        <v>3066</v>
      </c>
      <c r="B1811" t="s">
        <v>1473</v>
      </c>
      <c r="C1811" t="s">
        <v>19</v>
      </c>
      <c r="D1811">
        <v>2</v>
      </c>
      <c r="E1811" t="s">
        <v>17</v>
      </c>
      <c r="F1811" t="s">
        <v>380</v>
      </c>
      <c r="G1811" t="s">
        <v>608</v>
      </c>
      <c r="H1811" t="s">
        <v>52</v>
      </c>
    </row>
    <row r="1812" spans="1:8" x14ac:dyDescent="0.2">
      <c r="A1812" t="s">
        <v>215</v>
      </c>
      <c r="B1812" t="s">
        <v>216</v>
      </c>
      <c r="C1812" t="s">
        <v>16</v>
      </c>
      <c r="D1812">
        <v>4</v>
      </c>
      <c r="E1812" t="s">
        <v>17</v>
      </c>
      <c r="F1812" t="s">
        <v>380</v>
      </c>
      <c r="G1812" t="s">
        <v>608</v>
      </c>
      <c r="H1812" t="s">
        <v>52</v>
      </c>
    </row>
    <row r="1813" spans="1:8" x14ac:dyDescent="0.2">
      <c r="A1813" t="s">
        <v>217</v>
      </c>
      <c r="B1813" t="s">
        <v>216</v>
      </c>
      <c r="C1813" t="s">
        <v>18</v>
      </c>
      <c r="D1813">
        <v>1</v>
      </c>
      <c r="E1813" t="s">
        <v>21</v>
      </c>
      <c r="F1813" t="s">
        <v>380</v>
      </c>
      <c r="G1813" t="s">
        <v>608</v>
      </c>
      <c r="H1813" t="s">
        <v>52</v>
      </c>
    </row>
    <row r="1814" spans="1:8" x14ac:dyDescent="0.2">
      <c r="A1814" t="s">
        <v>218</v>
      </c>
      <c r="B1814" t="s">
        <v>216</v>
      </c>
      <c r="C1814" t="s">
        <v>18</v>
      </c>
      <c r="D1814">
        <v>2</v>
      </c>
      <c r="E1814" t="s">
        <v>17</v>
      </c>
      <c r="F1814" t="s">
        <v>380</v>
      </c>
      <c r="G1814" t="s">
        <v>608</v>
      </c>
      <c r="H1814" t="s">
        <v>52</v>
      </c>
    </row>
    <row r="1815" spans="1:8" x14ac:dyDescent="0.2">
      <c r="A1815" t="s">
        <v>219</v>
      </c>
      <c r="B1815" t="s">
        <v>216</v>
      </c>
      <c r="C1815" t="s">
        <v>18</v>
      </c>
      <c r="D1815">
        <v>1</v>
      </c>
      <c r="E1815" t="s">
        <v>17</v>
      </c>
      <c r="F1815" t="s">
        <v>380</v>
      </c>
      <c r="G1815" t="s">
        <v>608</v>
      </c>
      <c r="H1815" t="s">
        <v>52</v>
      </c>
    </row>
    <row r="1816" spans="1:8" x14ac:dyDescent="0.2">
      <c r="A1816" t="s">
        <v>220</v>
      </c>
      <c r="B1816" t="s">
        <v>216</v>
      </c>
      <c r="C1816" t="s">
        <v>19</v>
      </c>
      <c r="D1816">
        <v>2</v>
      </c>
      <c r="E1816" t="s">
        <v>17</v>
      </c>
      <c r="F1816" t="s">
        <v>380</v>
      </c>
      <c r="G1816" t="s">
        <v>608</v>
      </c>
      <c r="H1816" t="s">
        <v>52</v>
      </c>
    </row>
    <row r="1817" spans="1:8" x14ac:dyDescent="0.2">
      <c r="A1817" t="s">
        <v>221</v>
      </c>
      <c r="B1817" t="s">
        <v>222</v>
      </c>
      <c r="C1817" t="s">
        <v>19</v>
      </c>
      <c r="D1817">
        <v>2</v>
      </c>
      <c r="E1817" t="s">
        <v>17</v>
      </c>
      <c r="F1817" t="s">
        <v>380</v>
      </c>
      <c r="G1817" t="s">
        <v>608</v>
      </c>
      <c r="H1817" t="s">
        <v>52</v>
      </c>
    </row>
    <row r="1818" spans="1:8" x14ac:dyDescent="0.2">
      <c r="A1818" t="s">
        <v>223</v>
      </c>
      <c r="B1818" t="s">
        <v>222</v>
      </c>
      <c r="C1818" t="s">
        <v>19</v>
      </c>
      <c r="D1818">
        <v>2</v>
      </c>
      <c r="E1818" t="s">
        <v>17</v>
      </c>
      <c r="F1818" t="s">
        <v>380</v>
      </c>
      <c r="G1818" t="s">
        <v>608</v>
      </c>
      <c r="H1818" t="s">
        <v>52</v>
      </c>
    </row>
    <row r="1819" spans="1:8" x14ac:dyDescent="0.2">
      <c r="A1819" t="s">
        <v>225</v>
      </c>
      <c r="B1819" t="s">
        <v>222</v>
      </c>
      <c r="C1819" t="s">
        <v>18</v>
      </c>
      <c r="D1819">
        <v>2</v>
      </c>
      <c r="E1819" t="s">
        <v>17</v>
      </c>
      <c r="F1819" t="s">
        <v>380</v>
      </c>
      <c r="G1819" t="s">
        <v>608</v>
      </c>
      <c r="H1819" t="s">
        <v>52</v>
      </c>
    </row>
    <row r="1820" spans="1:8" x14ac:dyDescent="0.2">
      <c r="A1820" t="s">
        <v>226</v>
      </c>
      <c r="B1820" t="s">
        <v>222</v>
      </c>
      <c r="C1820" t="s">
        <v>16</v>
      </c>
      <c r="D1820">
        <v>4</v>
      </c>
      <c r="E1820" t="s">
        <v>17</v>
      </c>
      <c r="F1820" t="s">
        <v>380</v>
      </c>
      <c r="G1820" t="s">
        <v>608</v>
      </c>
      <c r="H1820" t="s">
        <v>52</v>
      </c>
    </row>
    <row r="1821" spans="1:8" x14ac:dyDescent="0.2">
      <c r="A1821" t="s">
        <v>228</v>
      </c>
      <c r="B1821" t="s">
        <v>222</v>
      </c>
      <c r="C1821" t="s">
        <v>16</v>
      </c>
      <c r="D1821" t="s">
        <v>16</v>
      </c>
      <c r="E1821" t="s">
        <v>20</v>
      </c>
      <c r="F1821" t="s">
        <v>380</v>
      </c>
      <c r="G1821" t="s">
        <v>608</v>
      </c>
      <c r="H1821" t="s">
        <v>52</v>
      </c>
    </row>
    <row r="1822" spans="1:8" x14ac:dyDescent="0.2">
      <c r="A1822" t="s">
        <v>229</v>
      </c>
      <c r="B1822" t="s">
        <v>230</v>
      </c>
      <c r="C1822" t="s">
        <v>19</v>
      </c>
      <c r="D1822">
        <v>2</v>
      </c>
      <c r="E1822" t="s">
        <v>17</v>
      </c>
      <c r="F1822" t="s">
        <v>380</v>
      </c>
      <c r="G1822" t="s">
        <v>608</v>
      </c>
      <c r="H1822" t="s">
        <v>52</v>
      </c>
    </row>
    <row r="1823" spans="1:8" x14ac:dyDescent="0.2">
      <c r="A1823" t="s">
        <v>232</v>
      </c>
      <c r="B1823" t="s">
        <v>230</v>
      </c>
      <c r="C1823" t="s">
        <v>18</v>
      </c>
      <c r="D1823">
        <v>2</v>
      </c>
      <c r="E1823" t="s">
        <v>17</v>
      </c>
      <c r="F1823" t="s">
        <v>380</v>
      </c>
      <c r="G1823" t="s">
        <v>608</v>
      </c>
      <c r="H1823" t="s">
        <v>52</v>
      </c>
    </row>
    <row r="1824" spans="1:8" x14ac:dyDescent="0.2">
      <c r="A1824" t="s">
        <v>233</v>
      </c>
      <c r="B1824" t="s">
        <v>230</v>
      </c>
      <c r="C1824" t="s">
        <v>19</v>
      </c>
      <c r="D1824">
        <v>2</v>
      </c>
      <c r="E1824" t="s">
        <v>17</v>
      </c>
      <c r="F1824" t="s">
        <v>380</v>
      </c>
      <c r="G1824" t="s">
        <v>608</v>
      </c>
      <c r="H1824" t="s">
        <v>52</v>
      </c>
    </row>
    <row r="1825" spans="1:8" x14ac:dyDescent="0.2">
      <c r="A1825" t="s">
        <v>234</v>
      </c>
      <c r="B1825" t="s">
        <v>230</v>
      </c>
      <c r="C1825" t="s">
        <v>19</v>
      </c>
      <c r="D1825">
        <v>2</v>
      </c>
      <c r="E1825" t="s">
        <v>17</v>
      </c>
      <c r="F1825" t="s">
        <v>380</v>
      </c>
      <c r="G1825" t="s">
        <v>608</v>
      </c>
      <c r="H1825" t="s">
        <v>52</v>
      </c>
    </row>
    <row r="1826" spans="1:8" x14ac:dyDescent="0.2">
      <c r="A1826" t="s">
        <v>235</v>
      </c>
      <c r="B1826" t="s">
        <v>230</v>
      </c>
      <c r="C1826" t="s">
        <v>18</v>
      </c>
      <c r="D1826">
        <v>2</v>
      </c>
      <c r="E1826" t="s">
        <v>17</v>
      </c>
      <c r="F1826" t="s">
        <v>380</v>
      </c>
      <c r="G1826" t="s">
        <v>608</v>
      </c>
      <c r="H1826" t="s">
        <v>52</v>
      </c>
    </row>
    <row r="1827" spans="1:8" x14ac:dyDescent="0.2">
      <c r="A1827" t="s">
        <v>236</v>
      </c>
      <c r="B1827" t="s">
        <v>237</v>
      </c>
      <c r="C1827" t="s">
        <v>19</v>
      </c>
      <c r="D1827">
        <v>2</v>
      </c>
      <c r="E1827" t="s">
        <v>17</v>
      </c>
      <c r="F1827" t="s">
        <v>380</v>
      </c>
      <c r="G1827" t="s">
        <v>608</v>
      </c>
      <c r="H1827" t="s">
        <v>52</v>
      </c>
    </row>
    <row r="1828" spans="1:8" x14ac:dyDescent="0.2">
      <c r="A1828" t="s">
        <v>238</v>
      </c>
      <c r="B1828" t="s">
        <v>237</v>
      </c>
      <c r="C1828" t="s">
        <v>19</v>
      </c>
      <c r="D1828">
        <v>2</v>
      </c>
      <c r="E1828" t="s">
        <v>17</v>
      </c>
      <c r="F1828" t="s">
        <v>380</v>
      </c>
      <c r="G1828" t="s">
        <v>608</v>
      </c>
      <c r="H1828" t="s">
        <v>52</v>
      </c>
    </row>
    <row r="1829" spans="1:8" x14ac:dyDescent="0.2">
      <c r="A1829" t="s">
        <v>239</v>
      </c>
      <c r="B1829" t="s">
        <v>237</v>
      </c>
      <c r="C1829" t="s">
        <v>16</v>
      </c>
      <c r="D1829">
        <v>4</v>
      </c>
      <c r="E1829" t="s">
        <v>17</v>
      </c>
      <c r="F1829" t="s">
        <v>380</v>
      </c>
      <c r="G1829" t="s">
        <v>608</v>
      </c>
      <c r="H1829" t="s">
        <v>52</v>
      </c>
    </row>
    <row r="1830" spans="1:8" x14ac:dyDescent="0.2">
      <c r="A1830" t="s">
        <v>241</v>
      </c>
      <c r="B1830" t="s">
        <v>237</v>
      </c>
      <c r="C1830" t="s">
        <v>18</v>
      </c>
      <c r="D1830">
        <v>2</v>
      </c>
      <c r="E1830" t="s">
        <v>21</v>
      </c>
      <c r="F1830" t="s">
        <v>380</v>
      </c>
      <c r="G1830" t="s">
        <v>608</v>
      </c>
      <c r="H1830" t="s">
        <v>52</v>
      </c>
    </row>
    <row r="1831" spans="1:8" x14ac:dyDescent="0.2">
      <c r="A1831" t="s">
        <v>242</v>
      </c>
      <c r="B1831" t="s">
        <v>237</v>
      </c>
      <c r="C1831" t="s">
        <v>16</v>
      </c>
      <c r="D1831">
        <v>4</v>
      </c>
      <c r="E1831" t="s">
        <v>17</v>
      </c>
      <c r="F1831" t="s">
        <v>380</v>
      </c>
      <c r="G1831" t="s">
        <v>608</v>
      </c>
      <c r="H1831" t="s">
        <v>52</v>
      </c>
    </row>
    <row r="1832" spans="1:8" x14ac:dyDescent="0.2">
      <c r="A1832" t="s">
        <v>244</v>
      </c>
      <c r="B1832" t="s">
        <v>245</v>
      </c>
      <c r="C1832" t="s">
        <v>18</v>
      </c>
      <c r="D1832">
        <v>2</v>
      </c>
      <c r="E1832" t="s">
        <v>17</v>
      </c>
      <c r="F1832" t="s">
        <v>380</v>
      </c>
      <c r="G1832" t="s">
        <v>608</v>
      </c>
      <c r="H1832" t="s">
        <v>52</v>
      </c>
    </row>
    <row r="1833" spans="1:8" x14ac:dyDescent="0.2">
      <c r="A1833" t="s">
        <v>246</v>
      </c>
      <c r="B1833" t="s">
        <v>245</v>
      </c>
      <c r="C1833" t="s">
        <v>19</v>
      </c>
      <c r="D1833">
        <v>2</v>
      </c>
      <c r="E1833" t="s">
        <v>17</v>
      </c>
      <c r="F1833" t="s">
        <v>380</v>
      </c>
      <c r="G1833" t="s">
        <v>608</v>
      </c>
      <c r="H1833" t="s">
        <v>52</v>
      </c>
    </row>
    <row r="1834" spans="1:8" x14ac:dyDescent="0.2">
      <c r="A1834" t="s">
        <v>247</v>
      </c>
      <c r="B1834" t="s">
        <v>245</v>
      </c>
      <c r="C1834" t="s">
        <v>19</v>
      </c>
      <c r="D1834">
        <v>2</v>
      </c>
      <c r="E1834" t="s">
        <v>17</v>
      </c>
      <c r="F1834" t="s">
        <v>380</v>
      </c>
      <c r="G1834" t="s">
        <v>608</v>
      </c>
      <c r="H1834" t="s">
        <v>52</v>
      </c>
    </row>
    <row r="1835" spans="1:8" x14ac:dyDescent="0.2">
      <c r="A1835" t="s">
        <v>248</v>
      </c>
      <c r="B1835" t="s">
        <v>245</v>
      </c>
      <c r="C1835" t="s">
        <v>18</v>
      </c>
      <c r="D1835">
        <v>2</v>
      </c>
      <c r="E1835" t="s">
        <v>17</v>
      </c>
      <c r="F1835" t="s">
        <v>380</v>
      </c>
      <c r="G1835" t="s">
        <v>608</v>
      </c>
      <c r="H1835" t="s">
        <v>52</v>
      </c>
    </row>
    <row r="1836" spans="1:8" x14ac:dyDescent="0.2">
      <c r="A1836" t="s">
        <v>249</v>
      </c>
      <c r="B1836" t="s">
        <v>245</v>
      </c>
      <c r="C1836" t="s">
        <v>19</v>
      </c>
      <c r="D1836">
        <v>2</v>
      </c>
      <c r="E1836" t="s">
        <v>17</v>
      </c>
      <c r="F1836" t="s">
        <v>380</v>
      </c>
      <c r="G1836" t="s">
        <v>608</v>
      </c>
      <c r="H1836" t="s">
        <v>52</v>
      </c>
    </row>
    <row r="1837" spans="1:8" x14ac:dyDescent="0.2">
      <c r="A1837" t="s">
        <v>250</v>
      </c>
      <c r="B1837" t="s">
        <v>251</v>
      </c>
      <c r="C1837" t="s">
        <v>19</v>
      </c>
      <c r="D1837">
        <v>2</v>
      </c>
      <c r="E1837" t="s">
        <v>17</v>
      </c>
      <c r="F1837" t="s">
        <v>380</v>
      </c>
      <c r="G1837" t="s">
        <v>608</v>
      </c>
      <c r="H1837" t="s">
        <v>52</v>
      </c>
    </row>
    <row r="1838" spans="1:8" x14ac:dyDescent="0.2">
      <c r="A1838" t="s">
        <v>252</v>
      </c>
      <c r="B1838" t="s">
        <v>251</v>
      </c>
      <c r="C1838" t="s">
        <v>19</v>
      </c>
      <c r="D1838">
        <v>2</v>
      </c>
      <c r="E1838" t="s">
        <v>17</v>
      </c>
      <c r="F1838" t="s">
        <v>380</v>
      </c>
      <c r="G1838" t="s">
        <v>608</v>
      </c>
      <c r="H1838" t="s">
        <v>52</v>
      </c>
    </row>
    <row r="1839" spans="1:8" x14ac:dyDescent="0.2">
      <c r="A1839" t="s">
        <v>253</v>
      </c>
      <c r="B1839" t="s">
        <v>251</v>
      </c>
      <c r="C1839" t="s">
        <v>19</v>
      </c>
      <c r="D1839">
        <v>2</v>
      </c>
      <c r="E1839" t="s">
        <v>17</v>
      </c>
      <c r="F1839" t="s">
        <v>380</v>
      </c>
      <c r="G1839" t="s">
        <v>608</v>
      </c>
      <c r="H1839" t="s">
        <v>52</v>
      </c>
    </row>
    <row r="1840" spans="1:8" x14ac:dyDescent="0.2">
      <c r="A1840" t="s">
        <v>254</v>
      </c>
      <c r="B1840" t="s">
        <v>251</v>
      </c>
      <c r="C1840" t="s">
        <v>19</v>
      </c>
      <c r="D1840">
        <v>2</v>
      </c>
      <c r="E1840" t="s">
        <v>17</v>
      </c>
      <c r="F1840" t="s">
        <v>380</v>
      </c>
      <c r="G1840" t="s">
        <v>608</v>
      </c>
      <c r="H1840" t="s">
        <v>52</v>
      </c>
    </row>
    <row r="1841" spans="1:8" x14ac:dyDescent="0.2">
      <c r="A1841" t="s">
        <v>255</v>
      </c>
      <c r="B1841" t="s">
        <v>251</v>
      </c>
      <c r="C1841" t="s">
        <v>18</v>
      </c>
      <c r="D1841">
        <v>2</v>
      </c>
      <c r="E1841" t="s">
        <v>17</v>
      </c>
      <c r="F1841" t="s">
        <v>380</v>
      </c>
      <c r="G1841" t="s">
        <v>608</v>
      </c>
      <c r="H1841" t="s">
        <v>52</v>
      </c>
    </row>
    <row r="1842" spans="1:8" x14ac:dyDescent="0.2">
      <c r="A1842" t="s">
        <v>257</v>
      </c>
      <c r="B1842" t="s">
        <v>258</v>
      </c>
      <c r="C1842" t="s">
        <v>18</v>
      </c>
      <c r="D1842">
        <v>1</v>
      </c>
      <c r="E1842" t="s">
        <v>17</v>
      </c>
      <c r="F1842" t="s">
        <v>380</v>
      </c>
      <c r="G1842" t="s">
        <v>608</v>
      </c>
      <c r="H1842" t="s">
        <v>52</v>
      </c>
    </row>
    <row r="1843" spans="1:8" x14ac:dyDescent="0.2">
      <c r="A1843" t="s">
        <v>259</v>
      </c>
      <c r="B1843" t="s">
        <v>258</v>
      </c>
      <c r="C1843" t="s">
        <v>18</v>
      </c>
      <c r="D1843">
        <v>1</v>
      </c>
      <c r="E1843" t="s">
        <v>17</v>
      </c>
      <c r="F1843" t="s">
        <v>380</v>
      </c>
      <c r="G1843" t="s">
        <v>608</v>
      </c>
      <c r="H1843" t="s">
        <v>52</v>
      </c>
    </row>
    <row r="1844" spans="1:8" x14ac:dyDescent="0.2">
      <c r="A1844" t="s">
        <v>260</v>
      </c>
      <c r="B1844" t="s">
        <v>258</v>
      </c>
      <c r="C1844" t="s">
        <v>19</v>
      </c>
      <c r="D1844">
        <v>2</v>
      </c>
      <c r="E1844" t="s">
        <v>17</v>
      </c>
      <c r="F1844" t="s">
        <v>380</v>
      </c>
      <c r="G1844" t="s">
        <v>608</v>
      </c>
      <c r="H1844" t="s">
        <v>52</v>
      </c>
    </row>
    <row r="1845" spans="1:8" x14ac:dyDescent="0.2">
      <c r="A1845" t="s">
        <v>261</v>
      </c>
      <c r="B1845" t="s">
        <v>258</v>
      </c>
      <c r="C1845" t="s">
        <v>18</v>
      </c>
      <c r="D1845">
        <v>2</v>
      </c>
      <c r="E1845" t="s">
        <v>17</v>
      </c>
      <c r="F1845" t="s">
        <v>380</v>
      </c>
      <c r="G1845" t="s">
        <v>608</v>
      </c>
      <c r="H1845" t="s">
        <v>52</v>
      </c>
    </row>
    <row r="1846" spans="1:8" x14ac:dyDescent="0.2">
      <c r="A1846" t="s">
        <v>262</v>
      </c>
      <c r="B1846" t="s">
        <v>258</v>
      </c>
      <c r="C1846" t="s">
        <v>18</v>
      </c>
      <c r="D1846">
        <v>2</v>
      </c>
      <c r="E1846" t="s">
        <v>17</v>
      </c>
      <c r="F1846" t="s">
        <v>380</v>
      </c>
      <c r="G1846" t="s">
        <v>608</v>
      </c>
      <c r="H1846" t="s">
        <v>52</v>
      </c>
    </row>
    <row r="1847" spans="1:8" x14ac:dyDescent="0.2">
      <c r="A1847" t="s">
        <v>263</v>
      </c>
      <c r="B1847" t="s">
        <v>264</v>
      </c>
      <c r="C1847" t="s">
        <v>19</v>
      </c>
      <c r="D1847">
        <v>2</v>
      </c>
      <c r="E1847" t="s">
        <v>17</v>
      </c>
      <c r="F1847" t="s">
        <v>380</v>
      </c>
      <c r="G1847" t="s">
        <v>608</v>
      </c>
      <c r="H1847" t="s">
        <v>52</v>
      </c>
    </row>
    <row r="1848" spans="1:8" x14ac:dyDescent="0.2">
      <c r="A1848" t="s">
        <v>265</v>
      </c>
      <c r="B1848" t="s">
        <v>264</v>
      </c>
      <c r="C1848" t="s">
        <v>18</v>
      </c>
      <c r="D1848">
        <v>2</v>
      </c>
      <c r="E1848" t="s">
        <v>17</v>
      </c>
      <c r="F1848" t="s">
        <v>380</v>
      </c>
      <c r="G1848" t="s">
        <v>608</v>
      </c>
      <c r="H1848" t="s">
        <v>52</v>
      </c>
    </row>
    <row r="1849" spans="1:8" x14ac:dyDescent="0.2">
      <c r="A1849" t="s">
        <v>266</v>
      </c>
      <c r="B1849" t="s">
        <v>264</v>
      </c>
      <c r="C1849" t="s">
        <v>19</v>
      </c>
      <c r="D1849">
        <v>2</v>
      </c>
      <c r="E1849" t="s">
        <v>17</v>
      </c>
      <c r="F1849" t="s">
        <v>380</v>
      </c>
      <c r="G1849" t="s">
        <v>608</v>
      </c>
      <c r="H1849" t="s">
        <v>52</v>
      </c>
    </row>
    <row r="1850" spans="1:8" x14ac:dyDescent="0.2">
      <c r="A1850" t="s">
        <v>267</v>
      </c>
      <c r="B1850" t="s">
        <v>264</v>
      </c>
      <c r="C1850" t="s">
        <v>18</v>
      </c>
      <c r="D1850">
        <v>2</v>
      </c>
      <c r="E1850" t="s">
        <v>17</v>
      </c>
      <c r="F1850" t="s">
        <v>380</v>
      </c>
      <c r="G1850" t="s">
        <v>608</v>
      </c>
      <c r="H1850" t="s">
        <v>52</v>
      </c>
    </row>
    <row r="1851" spans="1:8" x14ac:dyDescent="0.2">
      <c r="A1851" t="s">
        <v>268</v>
      </c>
      <c r="B1851" t="s">
        <v>264</v>
      </c>
      <c r="C1851" t="s">
        <v>18</v>
      </c>
      <c r="D1851">
        <v>2</v>
      </c>
      <c r="E1851" t="s">
        <v>17</v>
      </c>
      <c r="F1851" t="s">
        <v>380</v>
      </c>
      <c r="G1851" t="s">
        <v>608</v>
      </c>
      <c r="H1851" t="s">
        <v>52</v>
      </c>
    </row>
    <row r="1852" spans="1:8" x14ac:dyDescent="0.2">
      <c r="A1852" t="s">
        <v>269</v>
      </c>
      <c r="B1852" t="s">
        <v>270</v>
      </c>
      <c r="C1852" t="s">
        <v>19</v>
      </c>
      <c r="D1852">
        <v>2</v>
      </c>
      <c r="E1852" t="s">
        <v>17</v>
      </c>
      <c r="F1852" t="s">
        <v>380</v>
      </c>
      <c r="G1852" t="s">
        <v>608</v>
      </c>
      <c r="H1852" t="s">
        <v>52</v>
      </c>
    </row>
    <row r="1853" spans="1:8" x14ac:dyDescent="0.2">
      <c r="A1853" t="s">
        <v>271</v>
      </c>
      <c r="B1853" t="s">
        <v>270</v>
      </c>
      <c r="C1853" t="s">
        <v>18</v>
      </c>
      <c r="D1853">
        <v>3</v>
      </c>
      <c r="E1853" t="s">
        <v>17</v>
      </c>
      <c r="F1853" t="s">
        <v>380</v>
      </c>
      <c r="G1853" t="s">
        <v>608</v>
      </c>
      <c r="H1853" t="s">
        <v>52</v>
      </c>
    </row>
    <row r="1854" spans="1:8" x14ac:dyDescent="0.2">
      <c r="A1854" t="s">
        <v>272</v>
      </c>
      <c r="B1854" t="s">
        <v>270</v>
      </c>
      <c r="C1854" t="s">
        <v>18</v>
      </c>
      <c r="D1854">
        <v>2</v>
      </c>
      <c r="E1854" t="s">
        <v>17</v>
      </c>
      <c r="F1854" t="s">
        <v>380</v>
      </c>
      <c r="G1854" t="s">
        <v>608</v>
      </c>
      <c r="H1854" t="s">
        <v>52</v>
      </c>
    </row>
    <row r="1855" spans="1:8" x14ac:dyDescent="0.2">
      <c r="A1855" t="s">
        <v>273</v>
      </c>
      <c r="B1855" t="s">
        <v>270</v>
      </c>
      <c r="C1855" t="s">
        <v>18</v>
      </c>
      <c r="D1855">
        <v>2</v>
      </c>
      <c r="E1855" t="s">
        <v>17</v>
      </c>
      <c r="F1855" t="s">
        <v>380</v>
      </c>
      <c r="G1855" t="s">
        <v>608</v>
      </c>
      <c r="H1855" t="s">
        <v>52</v>
      </c>
    </row>
    <row r="1856" spans="1:8" x14ac:dyDescent="0.2">
      <c r="A1856" t="s">
        <v>274</v>
      </c>
      <c r="B1856" t="s">
        <v>270</v>
      </c>
      <c r="C1856" t="s">
        <v>18</v>
      </c>
      <c r="D1856">
        <v>2</v>
      </c>
      <c r="E1856" t="s">
        <v>17</v>
      </c>
      <c r="F1856" t="s">
        <v>380</v>
      </c>
      <c r="G1856" t="s">
        <v>608</v>
      </c>
      <c r="H1856" t="s">
        <v>52</v>
      </c>
    </row>
    <row r="1857" spans="1:8" x14ac:dyDescent="0.2">
      <c r="A1857" t="s">
        <v>275</v>
      </c>
      <c r="B1857" t="s">
        <v>276</v>
      </c>
      <c r="C1857" t="s">
        <v>19</v>
      </c>
      <c r="D1857">
        <v>2</v>
      </c>
      <c r="E1857" t="s">
        <v>17</v>
      </c>
      <c r="F1857" t="s">
        <v>380</v>
      </c>
      <c r="G1857" t="s">
        <v>608</v>
      </c>
      <c r="H1857" t="s">
        <v>52</v>
      </c>
    </row>
    <row r="1858" spans="1:8" x14ac:dyDescent="0.2">
      <c r="A1858" t="s">
        <v>278</v>
      </c>
      <c r="B1858" t="s">
        <v>276</v>
      </c>
      <c r="C1858" t="s">
        <v>18</v>
      </c>
      <c r="D1858">
        <v>2</v>
      </c>
      <c r="E1858" t="s">
        <v>17</v>
      </c>
      <c r="F1858" t="s">
        <v>380</v>
      </c>
      <c r="G1858" t="s">
        <v>608</v>
      </c>
      <c r="H1858" t="s">
        <v>52</v>
      </c>
    </row>
    <row r="1859" spans="1:8" x14ac:dyDescent="0.2">
      <c r="A1859" t="s">
        <v>280</v>
      </c>
      <c r="B1859" t="s">
        <v>276</v>
      </c>
      <c r="C1859" t="s">
        <v>18</v>
      </c>
      <c r="D1859">
        <v>2</v>
      </c>
      <c r="E1859" t="s">
        <v>17</v>
      </c>
      <c r="F1859" t="s">
        <v>380</v>
      </c>
      <c r="G1859" t="s">
        <v>608</v>
      </c>
      <c r="H1859" t="s">
        <v>52</v>
      </c>
    </row>
    <row r="1860" spans="1:8" x14ac:dyDescent="0.2">
      <c r="A1860" t="s">
        <v>281</v>
      </c>
      <c r="B1860" t="s">
        <v>276</v>
      </c>
      <c r="C1860" t="s">
        <v>19</v>
      </c>
      <c r="D1860">
        <v>2</v>
      </c>
      <c r="E1860" t="s">
        <v>17</v>
      </c>
      <c r="F1860" t="s">
        <v>380</v>
      </c>
      <c r="G1860" t="s">
        <v>608</v>
      </c>
      <c r="H1860" t="s">
        <v>52</v>
      </c>
    </row>
    <row r="1861" spans="1:8" x14ac:dyDescent="0.2">
      <c r="A1861" t="s">
        <v>282</v>
      </c>
      <c r="B1861" t="s">
        <v>276</v>
      </c>
      <c r="C1861" t="s">
        <v>18</v>
      </c>
      <c r="D1861">
        <v>2</v>
      </c>
      <c r="E1861" t="s">
        <v>17</v>
      </c>
      <c r="F1861" t="s">
        <v>380</v>
      </c>
      <c r="G1861" t="s">
        <v>608</v>
      </c>
      <c r="H1861" t="s">
        <v>52</v>
      </c>
    </row>
    <row r="1862" spans="1:8" x14ac:dyDescent="0.2">
      <c r="A1862" t="s">
        <v>283</v>
      </c>
      <c r="B1862" t="s">
        <v>284</v>
      </c>
      <c r="C1862" t="s">
        <v>19</v>
      </c>
      <c r="D1862">
        <v>2</v>
      </c>
      <c r="E1862" t="s">
        <v>17</v>
      </c>
      <c r="F1862" t="s">
        <v>380</v>
      </c>
      <c r="G1862" t="s">
        <v>608</v>
      </c>
      <c r="H1862" t="s">
        <v>52</v>
      </c>
    </row>
    <row r="1863" spans="1:8" x14ac:dyDescent="0.2">
      <c r="A1863" t="s">
        <v>286</v>
      </c>
      <c r="B1863" t="s">
        <v>284</v>
      </c>
      <c r="C1863" t="s">
        <v>18</v>
      </c>
      <c r="D1863">
        <v>2</v>
      </c>
      <c r="E1863" t="s">
        <v>17</v>
      </c>
      <c r="F1863" t="s">
        <v>380</v>
      </c>
      <c r="G1863" t="s">
        <v>608</v>
      </c>
      <c r="H1863" t="s">
        <v>52</v>
      </c>
    </row>
    <row r="1864" spans="1:8" x14ac:dyDescent="0.2">
      <c r="A1864" t="s">
        <v>287</v>
      </c>
      <c r="B1864" t="s">
        <v>284</v>
      </c>
      <c r="C1864" t="s">
        <v>18</v>
      </c>
      <c r="D1864">
        <v>2</v>
      </c>
      <c r="E1864" t="s">
        <v>21</v>
      </c>
      <c r="F1864" t="s">
        <v>380</v>
      </c>
      <c r="G1864" t="s">
        <v>608</v>
      </c>
      <c r="H1864" t="s">
        <v>52</v>
      </c>
    </row>
    <row r="1865" spans="1:8" x14ac:dyDescent="0.2">
      <c r="A1865" t="s">
        <v>288</v>
      </c>
      <c r="B1865" t="s">
        <v>284</v>
      </c>
      <c r="C1865" t="s">
        <v>18</v>
      </c>
      <c r="D1865">
        <v>2</v>
      </c>
      <c r="E1865" t="s">
        <v>17</v>
      </c>
      <c r="F1865" t="s">
        <v>380</v>
      </c>
      <c r="G1865" t="s">
        <v>608</v>
      </c>
      <c r="H1865" t="s">
        <v>52</v>
      </c>
    </row>
    <row r="1866" spans="1:8" x14ac:dyDescent="0.2">
      <c r="A1866" t="s">
        <v>289</v>
      </c>
      <c r="B1866" t="s">
        <v>284</v>
      </c>
      <c r="C1866" t="s">
        <v>18</v>
      </c>
      <c r="D1866">
        <v>2</v>
      </c>
      <c r="E1866" t="s">
        <v>17</v>
      </c>
      <c r="F1866" t="s">
        <v>380</v>
      </c>
      <c r="G1866" t="s">
        <v>608</v>
      </c>
      <c r="H1866" t="s">
        <v>52</v>
      </c>
    </row>
    <row r="1867" spans="1:8" x14ac:dyDescent="0.2">
      <c r="A1867" t="s">
        <v>290</v>
      </c>
      <c r="B1867" t="s">
        <v>291</v>
      </c>
      <c r="C1867" t="s">
        <v>19</v>
      </c>
      <c r="D1867">
        <v>2</v>
      </c>
      <c r="E1867" t="s">
        <v>17</v>
      </c>
      <c r="F1867" t="s">
        <v>380</v>
      </c>
      <c r="G1867" t="s">
        <v>608</v>
      </c>
      <c r="H1867" t="s">
        <v>52</v>
      </c>
    </row>
    <row r="1868" spans="1:8" x14ac:dyDescent="0.2">
      <c r="A1868" t="s">
        <v>292</v>
      </c>
      <c r="B1868" t="s">
        <v>291</v>
      </c>
      <c r="C1868" t="s">
        <v>18</v>
      </c>
      <c r="D1868">
        <v>2</v>
      </c>
      <c r="E1868" t="s">
        <v>21</v>
      </c>
      <c r="F1868" t="s">
        <v>380</v>
      </c>
      <c r="G1868" t="s">
        <v>608</v>
      </c>
      <c r="H1868" t="s">
        <v>52</v>
      </c>
    </row>
    <row r="1869" spans="1:8" x14ac:dyDescent="0.2">
      <c r="A1869" t="s">
        <v>293</v>
      </c>
      <c r="B1869" t="s">
        <v>291</v>
      </c>
      <c r="C1869" t="s">
        <v>18</v>
      </c>
      <c r="D1869">
        <v>2</v>
      </c>
      <c r="E1869" t="s">
        <v>17</v>
      </c>
      <c r="F1869" t="s">
        <v>380</v>
      </c>
      <c r="G1869" t="s">
        <v>608</v>
      </c>
      <c r="H1869" t="s">
        <v>52</v>
      </c>
    </row>
    <row r="1870" spans="1:8" x14ac:dyDescent="0.2">
      <c r="A1870" t="s">
        <v>294</v>
      </c>
      <c r="B1870" t="s">
        <v>291</v>
      </c>
      <c r="C1870" t="s">
        <v>18</v>
      </c>
      <c r="D1870">
        <v>2</v>
      </c>
      <c r="E1870" t="s">
        <v>17</v>
      </c>
      <c r="F1870" t="s">
        <v>380</v>
      </c>
      <c r="G1870" t="s">
        <v>608</v>
      </c>
      <c r="H1870" t="s">
        <v>52</v>
      </c>
    </row>
    <row r="1871" spans="1:8" x14ac:dyDescent="0.2">
      <c r="A1871" t="s">
        <v>295</v>
      </c>
      <c r="B1871" t="s">
        <v>291</v>
      </c>
      <c r="C1871" t="s">
        <v>18</v>
      </c>
      <c r="D1871">
        <v>2</v>
      </c>
      <c r="E1871" t="s">
        <v>17</v>
      </c>
      <c r="F1871" t="s">
        <v>380</v>
      </c>
      <c r="G1871" t="s">
        <v>608</v>
      </c>
      <c r="H1871" t="s">
        <v>52</v>
      </c>
    </row>
    <row r="1872" spans="1:8" x14ac:dyDescent="0.2">
      <c r="A1872" t="s">
        <v>296</v>
      </c>
      <c r="B1872" t="s">
        <v>297</v>
      </c>
      <c r="C1872" t="s">
        <v>18</v>
      </c>
      <c r="D1872">
        <v>2</v>
      </c>
      <c r="E1872" t="s">
        <v>21</v>
      </c>
      <c r="F1872" t="s">
        <v>380</v>
      </c>
      <c r="G1872" t="s">
        <v>608</v>
      </c>
      <c r="H1872" t="s">
        <v>52</v>
      </c>
    </row>
    <row r="1873" spans="1:8" x14ac:dyDescent="0.2">
      <c r="A1873" t="s">
        <v>299</v>
      </c>
      <c r="B1873" t="s">
        <v>297</v>
      </c>
      <c r="C1873" t="s">
        <v>18</v>
      </c>
      <c r="D1873">
        <v>2</v>
      </c>
      <c r="E1873" t="s">
        <v>17</v>
      </c>
      <c r="F1873" t="s">
        <v>380</v>
      </c>
      <c r="G1873" t="s">
        <v>608</v>
      </c>
      <c r="H1873" t="s">
        <v>52</v>
      </c>
    </row>
    <row r="1874" spans="1:8" x14ac:dyDescent="0.2">
      <c r="A1874" t="s">
        <v>300</v>
      </c>
      <c r="B1874" t="s">
        <v>297</v>
      </c>
      <c r="C1874" t="s">
        <v>18</v>
      </c>
      <c r="D1874">
        <v>2</v>
      </c>
      <c r="E1874" t="s">
        <v>17</v>
      </c>
      <c r="F1874" t="s">
        <v>380</v>
      </c>
      <c r="G1874" t="s">
        <v>608</v>
      </c>
      <c r="H1874" t="s">
        <v>52</v>
      </c>
    </row>
    <row r="1875" spans="1:8" x14ac:dyDescent="0.2">
      <c r="A1875" t="s">
        <v>301</v>
      </c>
      <c r="B1875" t="s">
        <v>297</v>
      </c>
      <c r="C1875" t="s">
        <v>18</v>
      </c>
      <c r="D1875">
        <v>2</v>
      </c>
      <c r="E1875" t="s">
        <v>17</v>
      </c>
      <c r="F1875" t="s">
        <v>380</v>
      </c>
      <c r="G1875" t="s">
        <v>608</v>
      </c>
      <c r="H1875" t="s">
        <v>52</v>
      </c>
    </row>
    <row r="1876" spans="1:8" x14ac:dyDescent="0.2">
      <c r="A1876" t="s">
        <v>302</v>
      </c>
      <c r="B1876" t="s">
        <v>297</v>
      </c>
      <c r="C1876" t="s">
        <v>18</v>
      </c>
      <c r="D1876">
        <v>2</v>
      </c>
      <c r="E1876" t="s">
        <v>21</v>
      </c>
      <c r="F1876" t="s">
        <v>380</v>
      </c>
      <c r="G1876" t="s">
        <v>608</v>
      </c>
      <c r="H1876" t="s">
        <v>52</v>
      </c>
    </row>
    <row r="1877" spans="1:8" x14ac:dyDescent="0.2">
      <c r="A1877" t="s">
        <v>303</v>
      </c>
      <c r="B1877" t="s">
        <v>304</v>
      </c>
      <c r="C1877" t="s">
        <v>18</v>
      </c>
      <c r="D1877">
        <v>2</v>
      </c>
      <c r="E1877" t="s">
        <v>17</v>
      </c>
      <c r="F1877" t="s">
        <v>380</v>
      </c>
      <c r="G1877" t="s">
        <v>608</v>
      </c>
      <c r="H1877" t="s">
        <v>52</v>
      </c>
    </row>
    <row r="1878" spans="1:8" x14ac:dyDescent="0.2">
      <c r="A1878" t="s">
        <v>306</v>
      </c>
      <c r="B1878" t="s">
        <v>304</v>
      </c>
      <c r="C1878" t="s">
        <v>19</v>
      </c>
      <c r="D1878">
        <v>2</v>
      </c>
      <c r="E1878" t="s">
        <v>17</v>
      </c>
      <c r="F1878" t="s">
        <v>380</v>
      </c>
      <c r="G1878" t="s">
        <v>608</v>
      </c>
      <c r="H1878" t="s">
        <v>52</v>
      </c>
    </row>
    <row r="1879" spans="1:8" x14ac:dyDescent="0.2">
      <c r="A1879" t="s">
        <v>308</v>
      </c>
      <c r="B1879" t="s">
        <v>304</v>
      </c>
      <c r="C1879" t="s">
        <v>18</v>
      </c>
      <c r="D1879">
        <v>2</v>
      </c>
      <c r="E1879" t="s">
        <v>17</v>
      </c>
      <c r="F1879" t="s">
        <v>380</v>
      </c>
      <c r="G1879" t="s">
        <v>608</v>
      </c>
      <c r="H1879" t="s">
        <v>52</v>
      </c>
    </row>
    <row r="1880" spans="1:8" x14ac:dyDescent="0.2">
      <c r="A1880" t="s">
        <v>309</v>
      </c>
      <c r="B1880" t="s">
        <v>304</v>
      </c>
      <c r="C1880" t="s">
        <v>19</v>
      </c>
      <c r="D1880">
        <v>2</v>
      </c>
      <c r="E1880" t="s">
        <v>17</v>
      </c>
      <c r="F1880" t="s">
        <v>380</v>
      </c>
      <c r="G1880" t="s">
        <v>608</v>
      </c>
      <c r="H1880" t="s">
        <v>52</v>
      </c>
    </row>
    <row r="1881" spans="1:8" x14ac:dyDescent="0.2">
      <c r="A1881" t="s">
        <v>310</v>
      </c>
      <c r="B1881" t="s">
        <v>304</v>
      </c>
      <c r="C1881" t="s">
        <v>18</v>
      </c>
      <c r="D1881">
        <v>2</v>
      </c>
      <c r="E1881" t="s">
        <v>17</v>
      </c>
      <c r="F1881" t="s">
        <v>380</v>
      </c>
      <c r="G1881" t="s">
        <v>608</v>
      </c>
      <c r="H1881" t="s">
        <v>52</v>
      </c>
    </row>
    <row r="1882" spans="1:8" x14ac:dyDescent="0.2">
      <c r="A1882" t="s">
        <v>312</v>
      </c>
      <c r="B1882" t="s">
        <v>313</v>
      </c>
      <c r="C1882" t="s">
        <v>18</v>
      </c>
      <c r="D1882">
        <v>2</v>
      </c>
      <c r="E1882" t="s">
        <v>17</v>
      </c>
      <c r="F1882" t="s">
        <v>380</v>
      </c>
      <c r="G1882" t="s">
        <v>608</v>
      </c>
      <c r="H1882" t="s">
        <v>52</v>
      </c>
    </row>
    <row r="1883" spans="1:8" x14ac:dyDescent="0.2">
      <c r="A1883" t="s">
        <v>315</v>
      </c>
      <c r="B1883" t="s">
        <v>313</v>
      </c>
      <c r="C1883" t="s">
        <v>19</v>
      </c>
      <c r="D1883">
        <v>2</v>
      </c>
      <c r="E1883" t="s">
        <v>17</v>
      </c>
      <c r="F1883" t="s">
        <v>380</v>
      </c>
      <c r="G1883" t="s">
        <v>608</v>
      </c>
      <c r="H1883" t="s">
        <v>52</v>
      </c>
    </row>
    <row r="1884" spans="1:8" x14ac:dyDescent="0.2">
      <c r="A1884" t="s">
        <v>316</v>
      </c>
      <c r="B1884" t="s">
        <v>313</v>
      </c>
      <c r="C1884" t="s">
        <v>18</v>
      </c>
      <c r="D1884">
        <v>2</v>
      </c>
      <c r="E1884" t="s">
        <v>17</v>
      </c>
      <c r="F1884" t="s">
        <v>380</v>
      </c>
      <c r="G1884" t="s">
        <v>608</v>
      </c>
      <c r="H1884" t="s">
        <v>52</v>
      </c>
    </row>
    <row r="1885" spans="1:8" x14ac:dyDescent="0.2">
      <c r="A1885" t="s">
        <v>317</v>
      </c>
      <c r="B1885" t="s">
        <v>313</v>
      </c>
      <c r="C1885" t="s">
        <v>18</v>
      </c>
      <c r="D1885">
        <v>2</v>
      </c>
      <c r="E1885" t="s">
        <v>17</v>
      </c>
      <c r="F1885" t="s">
        <v>380</v>
      </c>
      <c r="G1885" t="s">
        <v>608</v>
      </c>
      <c r="H1885" t="s">
        <v>52</v>
      </c>
    </row>
    <row r="1886" spans="1:8" x14ac:dyDescent="0.2">
      <c r="A1886" t="s">
        <v>318</v>
      </c>
      <c r="B1886" t="s">
        <v>313</v>
      </c>
      <c r="C1886" t="s">
        <v>18</v>
      </c>
      <c r="D1886">
        <v>2</v>
      </c>
      <c r="E1886" t="s">
        <v>17</v>
      </c>
      <c r="F1886" t="s">
        <v>380</v>
      </c>
      <c r="G1886" t="s">
        <v>608</v>
      </c>
      <c r="H1886" t="s">
        <v>52</v>
      </c>
    </row>
    <row r="1887" spans="1:8" x14ac:dyDescent="0.2">
      <c r="A1887" t="s">
        <v>319</v>
      </c>
      <c r="B1887" t="s">
        <v>320</v>
      </c>
      <c r="C1887" t="s">
        <v>18</v>
      </c>
      <c r="D1887">
        <v>2</v>
      </c>
      <c r="E1887" t="s">
        <v>17</v>
      </c>
      <c r="F1887" t="s">
        <v>380</v>
      </c>
      <c r="G1887" t="s">
        <v>608</v>
      </c>
      <c r="H1887" t="s">
        <v>52</v>
      </c>
    </row>
    <row r="1888" spans="1:8" x14ac:dyDescent="0.2">
      <c r="A1888" t="s">
        <v>321</v>
      </c>
      <c r="B1888" t="s">
        <v>320</v>
      </c>
      <c r="C1888" t="s">
        <v>18</v>
      </c>
      <c r="D1888">
        <v>2</v>
      </c>
      <c r="E1888" t="s">
        <v>21</v>
      </c>
      <c r="F1888" t="s">
        <v>380</v>
      </c>
      <c r="G1888" t="s">
        <v>608</v>
      </c>
      <c r="H1888" t="s">
        <v>52</v>
      </c>
    </row>
    <row r="1889" spans="1:8" x14ac:dyDescent="0.2">
      <c r="A1889" t="s">
        <v>322</v>
      </c>
      <c r="B1889" t="s">
        <v>320</v>
      </c>
      <c r="C1889" t="s">
        <v>18</v>
      </c>
      <c r="D1889">
        <v>2</v>
      </c>
      <c r="E1889" t="s">
        <v>17</v>
      </c>
      <c r="F1889" t="s">
        <v>380</v>
      </c>
      <c r="G1889" t="s">
        <v>608</v>
      </c>
      <c r="H1889" t="s">
        <v>52</v>
      </c>
    </row>
    <row r="1890" spans="1:8" x14ac:dyDescent="0.2">
      <c r="A1890" t="s">
        <v>323</v>
      </c>
      <c r="B1890" t="s">
        <v>320</v>
      </c>
      <c r="C1890" t="s">
        <v>18</v>
      </c>
      <c r="D1890">
        <v>2</v>
      </c>
      <c r="E1890" t="s">
        <v>17</v>
      </c>
      <c r="F1890" t="s">
        <v>380</v>
      </c>
      <c r="G1890" t="s">
        <v>608</v>
      </c>
      <c r="H1890" t="s">
        <v>52</v>
      </c>
    </row>
    <row r="1891" spans="1:8" x14ac:dyDescent="0.2">
      <c r="A1891" t="s">
        <v>324</v>
      </c>
      <c r="B1891" t="s">
        <v>320</v>
      </c>
      <c r="C1891" t="s">
        <v>18</v>
      </c>
      <c r="D1891">
        <v>2</v>
      </c>
      <c r="E1891" t="s">
        <v>17</v>
      </c>
      <c r="F1891" t="s">
        <v>380</v>
      </c>
      <c r="G1891" t="s">
        <v>608</v>
      </c>
      <c r="H1891" t="s">
        <v>52</v>
      </c>
    </row>
    <row r="1892" spans="1:8" x14ac:dyDescent="0.2">
      <c r="A1892" t="s">
        <v>325</v>
      </c>
      <c r="B1892" t="s">
        <v>326</v>
      </c>
      <c r="C1892" t="s">
        <v>19</v>
      </c>
      <c r="D1892">
        <v>2</v>
      </c>
      <c r="E1892" t="s">
        <v>17</v>
      </c>
      <c r="F1892" t="s">
        <v>380</v>
      </c>
      <c r="G1892" t="s">
        <v>608</v>
      </c>
      <c r="H1892" t="s">
        <v>52</v>
      </c>
    </row>
    <row r="1893" spans="1:8" x14ac:dyDescent="0.2">
      <c r="A1893" t="s">
        <v>327</v>
      </c>
      <c r="B1893" t="s">
        <v>326</v>
      </c>
      <c r="C1893" t="s">
        <v>19</v>
      </c>
      <c r="D1893">
        <v>2</v>
      </c>
      <c r="E1893" t="s">
        <v>17</v>
      </c>
      <c r="F1893" t="s">
        <v>380</v>
      </c>
      <c r="G1893" t="s">
        <v>608</v>
      </c>
      <c r="H1893" t="s">
        <v>52</v>
      </c>
    </row>
    <row r="1894" spans="1:8" x14ac:dyDescent="0.2">
      <c r="A1894" t="s">
        <v>328</v>
      </c>
      <c r="B1894" t="s">
        <v>326</v>
      </c>
      <c r="C1894" t="s">
        <v>18</v>
      </c>
      <c r="D1894">
        <v>2</v>
      </c>
      <c r="E1894" t="s">
        <v>17</v>
      </c>
      <c r="F1894" t="s">
        <v>380</v>
      </c>
      <c r="G1894" t="s">
        <v>608</v>
      </c>
      <c r="H1894" t="s">
        <v>52</v>
      </c>
    </row>
    <row r="1895" spans="1:8" x14ac:dyDescent="0.2">
      <c r="A1895" t="s">
        <v>329</v>
      </c>
      <c r="B1895" t="s">
        <v>326</v>
      </c>
      <c r="C1895" t="s">
        <v>19</v>
      </c>
      <c r="D1895">
        <v>2</v>
      </c>
      <c r="E1895" t="s">
        <v>17</v>
      </c>
      <c r="F1895" t="s">
        <v>380</v>
      </c>
      <c r="G1895" t="s">
        <v>608</v>
      </c>
      <c r="H1895" t="s">
        <v>52</v>
      </c>
    </row>
    <row r="1896" spans="1:8" x14ac:dyDescent="0.2">
      <c r="A1896" t="s">
        <v>330</v>
      </c>
      <c r="B1896" t="s">
        <v>326</v>
      </c>
      <c r="C1896" t="s">
        <v>18</v>
      </c>
      <c r="D1896">
        <v>2</v>
      </c>
      <c r="E1896" t="s">
        <v>17</v>
      </c>
      <c r="F1896" t="s">
        <v>380</v>
      </c>
      <c r="G1896" t="s">
        <v>608</v>
      </c>
      <c r="H1896" t="s">
        <v>52</v>
      </c>
    </row>
    <row r="1897" spans="1:8" x14ac:dyDescent="0.2">
      <c r="A1897" t="s">
        <v>331</v>
      </c>
      <c r="B1897" t="s">
        <v>332</v>
      </c>
      <c r="C1897" t="s">
        <v>19</v>
      </c>
      <c r="D1897">
        <v>2</v>
      </c>
      <c r="E1897" t="s">
        <v>17</v>
      </c>
      <c r="F1897" t="s">
        <v>380</v>
      </c>
      <c r="G1897" t="s">
        <v>608</v>
      </c>
      <c r="H1897" t="s">
        <v>52</v>
      </c>
    </row>
    <row r="1898" spans="1:8" x14ac:dyDescent="0.2">
      <c r="A1898" t="s">
        <v>333</v>
      </c>
      <c r="B1898" t="s">
        <v>332</v>
      </c>
      <c r="C1898" t="s">
        <v>19</v>
      </c>
      <c r="D1898">
        <v>2</v>
      </c>
      <c r="E1898" t="s">
        <v>17</v>
      </c>
      <c r="F1898" t="s">
        <v>380</v>
      </c>
      <c r="G1898" t="s">
        <v>608</v>
      </c>
      <c r="H1898" t="s">
        <v>52</v>
      </c>
    </row>
    <row r="1899" spans="1:8" x14ac:dyDescent="0.2">
      <c r="A1899" t="s">
        <v>334</v>
      </c>
      <c r="B1899" t="s">
        <v>332</v>
      </c>
      <c r="C1899" t="s">
        <v>18</v>
      </c>
      <c r="D1899">
        <v>2</v>
      </c>
      <c r="E1899" t="s">
        <v>17</v>
      </c>
      <c r="F1899" t="s">
        <v>380</v>
      </c>
      <c r="G1899" t="s">
        <v>608</v>
      </c>
      <c r="H1899" t="s">
        <v>52</v>
      </c>
    </row>
    <row r="1900" spans="1:8" x14ac:dyDescent="0.2">
      <c r="A1900" t="s">
        <v>335</v>
      </c>
      <c r="B1900" t="s">
        <v>332</v>
      </c>
      <c r="C1900" t="s">
        <v>18</v>
      </c>
      <c r="D1900">
        <v>2</v>
      </c>
      <c r="E1900" t="s">
        <v>17</v>
      </c>
      <c r="F1900" t="s">
        <v>380</v>
      </c>
      <c r="G1900" t="s">
        <v>608</v>
      </c>
      <c r="H1900" t="s">
        <v>52</v>
      </c>
    </row>
    <row r="1901" spans="1:8" x14ac:dyDescent="0.2">
      <c r="A1901" t="s">
        <v>336</v>
      </c>
      <c r="B1901" t="s">
        <v>332</v>
      </c>
      <c r="C1901" t="s">
        <v>19</v>
      </c>
      <c r="D1901">
        <v>2</v>
      </c>
      <c r="E1901" t="s">
        <v>17</v>
      </c>
      <c r="F1901" t="s">
        <v>380</v>
      </c>
      <c r="G1901" t="s">
        <v>608</v>
      </c>
      <c r="H1901" t="s">
        <v>52</v>
      </c>
    </row>
    <row r="1902" spans="1:8" x14ac:dyDescent="0.2">
      <c r="A1902" t="s">
        <v>337</v>
      </c>
      <c r="B1902" t="s">
        <v>338</v>
      </c>
      <c r="C1902" t="s">
        <v>18</v>
      </c>
      <c r="D1902">
        <v>3</v>
      </c>
      <c r="E1902" t="s">
        <v>17</v>
      </c>
      <c r="F1902" t="s">
        <v>380</v>
      </c>
      <c r="G1902" t="s">
        <v>608</v>
      </c>
      <c r="H1902" t="s">
        <v>52</v>
      </c>
    </row>
    <row r="1903" spans="1:8" x14ac:dyDescent="0.2">
      <c r="A1903" t="s">
        <v>339</v>
      </c>
      <c r="B1903" t="s">
        <v>338</v>
      </c>
      <c r="C1903" t="s">
        <v>18</v>
      </c>
      <c r="D1903">
        <v>1</v>
      </c>
      <c r="E1903" t="s">
        <v>17</v>
      </c>
      <c r="F1903" t="s">
        <v>380</v>
      </c>
      <c r="G1903" t="s">
        <v>608</v>
      </c>
      <c r="H1903" t="s">
        <v>52</v>
      </c>
    </row>
    <row r="1904" spans="1:8" x14ac:dyDescent="0.2">
      <c r="A1904" t="s">
        <v>340</v>
      </c>
      <c r="B1904" t="s">
        <v>338</v>
      </c>
      <c r="C1904" t="s">
        <v>19</v>
      </c>
      <c r="D1904">
        <v>2</v>
      </c>
      <c r="E1904" t="s">
        <v>17</v>
      </c>
      <c r="F1904" t="s">
        <v>380</v>
      </c>
      <c r="G1904" t="s">
        <v>608</v>
      </c>
      <c r="H1904" t="s">
        <v>52</v>
      </c>
    </row>
    <row r="1905" spans="1:8" x14ac:dyDescent="0.2">
      <c r="A1905" t="s">
        <v>341</v>
      </c>
      <c r="B1905" t="s">
        <v>338</v>
      </c>
      <c r="C1905" t="s">
        <v>16</v>
      </c>
      <c r="D1905">
        <v>4</v>
      </c>
      <c r="E1905" t="s">
        <v>21</v>
      </c>
      <c r="F1905" t="s">
        <v>380</v>
      </c>
      <c r="G1905" t="s">
        <v>608</v>
      </c>
      <c r="H1905" t="s">
        <v>52</v>
      </c>
    </row>
    <row r="1906" spans="1:8" x14ac:dyDescent="0.2">
      <c r="A1906" t="s">
        <v>343</v>
      </c>
      <c r="B1906" t="s">
        <v>338</v>
      </c>
      <c r="C1906" t="s">
        <v>18</v>
      </c>
      <c r="D1906">
        <v>3</v>
      </c>
      <c r="E1906" t="s">
        <v>17</v>
      </c>
      <c r="F1906" t="s">
        <v>380</v>
      </c>
      <c r="G1906" t="s">
        <v>608</v>
      </c>
      <c r="H1906" t="s">
        <v>52</v>
      </c>
    </row>
    <row r="1907" spans="1:8" x14ac:dyDescent="0.2">
      <c r="A1907" t="s">
        <v>344</v>
      </c>
      <c r="B1907" t="s">
        <v>345</v>
      </c>
      <c r="C1907" t="s">
        <v>18</v>
      </c>
      <c r="D1907">
        <v>2</v>
      </c>
      <c r="E1907" t="s">
        <v>17</v>
      </c>
      <c r="F1907" t="s">
        <v>380</v>
      </c>
      <c r="G1907" t="s">
        <v>608</v>
      </c>
      <c r="H1907" t="s">
        <v>52</v>
      </c>
    </row>
    <row r="1908" spans="1:8" x14ac:dyDescent="0.2">
      <c r="A1908" t="s">
        <v>346</v>
      </c>
      <c r="B1908" t="s">
        <v>345</v>
      </c>
      <c r="C1908" t="s">
        <v>19</v>
      </c>
      <c r="D1908">
        <v>2</v>
      </c>
      <c r="E1908" t="s">
        <v>17</v>
      </c>
      <c r="F1908" t="s">
        <v>380</v>
      </c>
      <c r="G1908" t="s">
        <v>608</v>
      </c>
      <c r="H1908" t="s">
        <v>52</v>
      </c>
    </row>
    <row r="1909" spans="1:8" x14ac:dyDescent="0.2">
      <c r="A1909" t="s">
        <v>347</v>
      </c>
      <c r="B1909" t="s">
        <v>345</v>
      </c>
      <c r="C1909" t="s">
        <v>18</v>
      </c>
      <c r="D1909">
        <v>2</v>
      </c>
      <c r="E1909" t="s">
        <v>17</v>
      </c>
      <c r="F1909" t="s">
        <v>380</v>
      </c>
      <c r="G1909" t="s">
        <v>608</v>
      </c>
      <c r="H1909" t="s">
        <v>52</v>
      </c>
    </row>
    <row r="1910" spans="1:8" x14ac:dyDescent="0.2">
      <c r="A1910" t="s">
        <v>348</v>
      </c>
      <c r="B1910" t="s">
        <v>345</v>
      </c>
      <c r="C1910" t="s">
        <v>18</v>
      </c>
      <c r="D1910">
        <v>2</v>
      </c>
      <c r="E1910" t="s">
        <v>17</v>
      </c>
      <c r="F1910" t="s">
        <v>380</v>
      </c>
      <c r="G1910" t="s">
        <v>608</v>
      </c>
      <c r="H1910" t="s">
        <v>52</v>
      </c>
    </row>
    <row r="1911" spans="1:8" x14ac:dyDescent="0.2">
      <c r="A1911" t="s">
        <v>349</v>
      </c>
      <c r="B1911" t="s">
        <v>345</v>
      </c>
      <c r="C1911" t="s">
        <v>18</v>
      </c>
      <c r="D1911">
        <v>2</v>
      </c>
      <c r="E1911" t="s">
        <v>17</v>
      </c>
      <c r="F1911" t="s">
        <v>380</v>
      </c>
      <c r="G1911" t="s">
        <v>608</v>
      </c>
      <c r="H1911" t="s">
        <v>52</v>
      </c>
    </row>
    <row r="1912" spans="1:8" x14ac:dyDescent="0.2">
      <c r="A1912" t="s">
        <v>350</v>
      </c>
      <c r="B1912" t="s">
        <v>351</v>
      </c>
      <c r="C1912" t="s">
        <v>18</v>
      </c>
      <c r="D1912">
        <v>2</v>
      </c>
      <c r="E1912" t="s">
        <v>17</v>
      </c>
      <c r="F1912" t="s">
        <v>380</v>
      </c>
      <c r="G1912" t="s">
        <v>382</v>
      </c>
      <c r="H1912" t="s">
        <v>52</v>
      </c>
    </row>
    <row r="1913" spans="1:8" x14ac:dyDescent="0.2">
      <c r="A1913" t="s">
        <v>352</v>
      </c>
      <c r="B1913" t="s">
        <v>351</v>
      </c>
      <c r="C1913" t="s">
        <v>19</v>
      </c>
      <c r="D1913">
        <v>2</v>
      </c>
      <c r="E1913" t="s">
        <v>17</v>
      </c>
      <c r="F1913" t="s">
        <v>380</v>
      </c>
      <c r="G1913" t="s">
        <v>608</v>
      </c>
      <c r="H1913" t="s">
        <v>52</v>
      </c>
    </row>
    <row r="1914" spans="1:8" x14ac:dyDescent="0.2">
      <c r="A1914" t="s">
        <v>353</v>
      </c>
      <c r="B1914" t="s">
        <v>351</v>
      </c>
      <c r="C1914" t="s">
        <v>18</v>
      </c>
      <c r="D1914">
        <v>2</v>
      </c>
      <c r="E1914" t="s">
        <v>17</v>
      </c>
      <c r="F1914" t="s">
        <v>380</v>
      </c>
      <c r="G1914" t="s">
        <v>608</v>
      </c>
      <c r="H1914" t="s">
        <v>52</v>
      </c>
    </row>
    <row r="1915" spans="1:8" x14ac:dyDescent="0.2">
      <c r="A1915" t="s">
        <v>354</v>
      </c>
      <c r="B1915" t="s">
        <v>351</v>
      </c>
      <c r="C1915" t="s">
        <v>18</v>
      </c>
      <c r="D1915">
        <v>2</v>
      </c>
      <c r="E1915" t="s">
        <v>17</v>
      </c>
      <c r="F1915" t="s">
        <v>380</v>
      </c>
      <c r="G1915" t="s">
        <v>608</v>
      </c>
      <c r="H1915" t="s">
        <v>52</v>
      </c>
    </row>
    <row r="1916" spans="1:8" x14ac:dyDescent="0.2">
      <c r="A1916" t="s">
        <v>355</v>
      </c>
      <c r="B1916" t="s">
        <v>351</v>
      </c>
      <c r="C1916" t="s">
        <v>18</v>
      </c>
      <c r="D1916">
        <v>2</v>
      </c>
      <c r="E1916" t="s">
        <v>17</v>
      </c>
      <c r="F1916" t="s">
        <v>380</v>
      </c>
      <c r="G1916" t="s">
        <v>608</v>
      </c>
      <c r="H1916" t="s">
        <v>52</v>
      </c>
    </row>
    <row r="1917" spans="1:8" x14ac:dyDescent="0.2">
      <c r="A1917" t="s">
        <v>356</v>
      </c>
      <c r="B1917" t="s">
        <v>357</v>
      </c>
      <c r="C1917" t="s">
        <v>19</v>
      </c>
      <c r="D1917">
        <v>2</v>
      </c>
      <c r="E1917" t="s">
        <v>17</v>
      </c>
      <c r="F1917" t="s">
        <v>380</v>
      </c>
      <c r="G1917" t="s">
        <v>608</v>
      </c>
      <c r="H1917" t="s">
        <v>52</v>
      </c>
    </row>
    <row r="1918" spans="1:8" x14ac:dyDescent="0.2">
      <c r="A1918" t="s">
        <v>358</v>
      </c>
      <c r="B1918" t="s">
        <v>357</v>
      </c>
      <c r="C1918" t="s">
        <v>18</v>
      </c>
      <c r="D1918">
        <v>1</v>
      </c>
      <c r="E1918" t="s">
        <v>17</v>
      </c>
      <c r="F1918" t="s">
        <v>380</v>
      </c>
      <c r="G1918" t="s">
        <v>608</v>
      </c>
      <c r="H1918" t="s">
        <v>52</v>
      </c>
    </row>
    <row r="1919" spans="1:8" x14ac:dyDescent="0.2">
      <c r="A1919" t="s">
        <v>359</v>
      </c>
      <c r="B1919" t="s">
        <v>357</v>
      </c>
      <c r="C1919" t="s">
        <v>19</v>
      </c>
      <c r="D1919">
        <v>3</v>
      </c>
      <c r="E1919" t="s">
        <v>17</v>
      </c>
      <c r="F1919" t="s">
        <v>380</v>
      </c>
      <c r="G1919" t="s">
        <v>608</v>
      </c>
      <c r="H1919" t="s">
        <v>52</v>
      </c>
    </row>
    <row r="1920" spans="1:8" x14ac:dyDescent="0.2">
      <c r="A1920" t="s">
        <v>360</v>
      </c>
      <c r="B1920" t="s">
        <v>357</v>
      </c>
      <c r="C1920" t="s">
        <v>18</v>
      </c>
      <c r="D1920">
        <v>2</v>
      </c>
      <c r="E1920" t="s">
        <v>17</v>
      </c>
      <c r="F1920" t="s">
        <v>380</v>
      </c>
      <c r="G1920" t="s">
        <v>608</v>
      </c>
      <c r="H1920" t="s">
        <v>52</v>
      </c>
    </row>
    <row r="1921" spans="1:8" x14ac:dyDescent="0.2">
      <c r="A1921" t="s">
        <v>361</v>
      </c>
      <c r="B1921" t="s">
        <v>357</v>
      </c>
      <c r="C1921" t="s">
        <v>16</v>
      </c>
      <c r="D1921">
        <v>4</v>
      </c>
      <c r="E1921" t="s">
        <v>17</v>
      </c>
      <c r="F1921" t="s">
        <v>380</v>
      </c>
      <c r="G1921" t="s">
        <v>608</v>
      </c>
      <c r="H1921" t="s">
        <v>52</v>
      </c>
    </row>
    <row r="1922" spans="1:8" x14ac:dyDescent="0.2">
      <c r="A1922" t="s">
        <v>362</v>
      </c>
      <c r="B1922" t="s">
        <v>363</v>
      </c>
      <c r="C1922" t="s">
        <v>16</v>
      </c>
      <c r="D1922">
        <v>4</v>
      </c>
      <c r="E1922" t="s">
        <v>17</v>
      </c>
      <c r="F1922" t="s">
        <v>380</v>
      </c>
      <c r="G1922" t="s">
        <v>608</v>
      </c>
      <c r="H1922" t="s">
        <v>52</v>
      </c>
    </row>
    <row r="1923" spans="1:8" x14ac:dyDescent="0.2">
      <c r="A1923" t="s">
        <v>364</v>
      </c>
      <c r="B1923" t="s">
        <v>363</v>
      </c>
      <c r="C1923" t="s">
        <v>16</v>
      </c>
      <c r="D1923">
        <v>4</v>
      </c>
      <c r="E1923" t="s">
        <v>21</v>
      </c>
      <c r="F1923" t="s">
        <v>380</v>
      </c>
      <c r="G1923" t="s">
        <v>608</v>
      </c>
      <c r="H1923" t="s">
        <v>52</v>
      </c>
    </row>
    <row r="1924" spans="1:8" x14ac:dyDescent="0.2">
      <c r="A1924" t="s">
        <v>366</v>
      </c>
      <c r="B1924" t="s">
        <v>363</v>
      </c>
      <c r="C1924" t="s">
        <v>16</v>
      </c>
      <c r="D1924">
        <v>4</v>
      </c>
      <c r="E1924" t="s">
        <v>17</v>
      </c>
      <c r="F1924" t="s">
        <v>380</v>
      </c>
      <c r="G1924" t="s">
        <v>608</v>
      </c>
      <c r="H1924" t="s">
        <v>52</v>
      </c>
    </row>
    <row r="1925" spans="1:8" x14ac:dyDescent="0.2">
      <c r="A1925" t="s">
        <v>368</v>
      </c>
      <c r="B1925" t="s">
        <v>363</v>
      </c>
      <c r="C1925" t="s">
        <v>19</v>
      </c>
      <c r="D1925">
        <v>2</v>
      </c>
      <c r="E1925" t="s">
        <v>17</v>
      </c>
      <c r="F1925" t="s">
        <v>380</v>
      </c>
      <c r="G1925" t="s">
        <v>608</v>
      </c>
      <c r="H1925" t="s">
        <v>52</v>
      </c>
    </row>
    <row r="1926" spans="1:8" x14ac:dyDescent="0.2">
      <c r="A1926" t="s">
        <v>369</v>
      </c>
      <c r="B1926" t="s">
        <v>363</v>
      </c>
      <c r="C1926" t="s">
        <v>16</v>
      </c>
      <c r="D1926" t="s">
        <v>16</v>
      </c>
      <c r="E1926" t="s">
        <v>17</v>
      </c>
      <c r="F1926" t="s">
        <v>381</v>
      </c>
      <c r="G1926" t="s">
        <v>608</v>
      </c>
      <c r="H1926" t="s">
        <v>52</v>
      </c>
    </row>
    <row r="1927" spans="1:8" x14ac:dyDescent="0.2">
      <c r="A1927" t="s">
        <v>371</v>
      </c>
      <c r="B1927" t="s">
        <v>372</v>
      </c>
      <c r="C1927" t="s">
        <v>18</v>
      </c>
      <c r="D1927">
        <v>2</v>
      </c>
      <c r="E1927" t="s">
        <v>17</v>
      </c>
      <c r="F1927" t="s">
        <v>380</v>
      </c>
      <c r="G1927" t="s">
        <v>608</v>
      </c>
      <c r="H1927" t="s">
        <v>52</v>
      </c>
    </row>
    <row r="1928" spans="1:8" x14ac:dyDescent="0.2">
      <c r="A1928" t="s">
        <v>373</v>
      </c>
      <c r="B1928" t="s">
        <v>372</v>
      </c>
      <c r="C1928" t="s">
        <v>18</v>
      </c>
      <c r="D1928">
        <v>2</v>
      </c>
      <c r="E1928" t="s">
        <v>17</v>
      </c>
      <c r="F1928" t="s">
        <v>380</v>
      </c>
      <c r="G1928" t="s">
        <v>608</v>
      </c>
      <c r="H1928" t="s">
        <v>52</v>
      </c>
    </row>
    <row r="1929" spans="1:8" x14ac:dyDescent="0.2">
      <c r="A1929" t="s">
        <v>374</v>
      </c>
      <c r="B1929" t="s">
        <v>372</v>
      </c>
      <c r="C1929" t="s">
        <v>18</v>
      </c>
      <c r="D1929">
        <v>2</v>
      </c>
      <c r="E1929" t="s">
        <v>21</v>
      </c>
      <c r="F1929" t="s">
        <v>380</v>
      </c>
      <c r="G1929" t="s">
        <v>608</v>
      </c>
      <c r="H1929" t="s">
        <v>52</v>
      </c>
    </row>
    <row r="1930" spans="1:8" x14ac:dyDescent="0.2">
      <c r="A1930" t="s">
        <v>375</v>
      </c>
      <c r="B1930" t="s">
        <v>372</v>
      </c>
      <c r="C1930" t="s">
        <v>18</v>
      </c>
      <c r="D1930">
        <v>1</v>
      </c>
      <c r="E1930" t="s">
        <v>17</v>
      </c>
      <c r="F1930" t="s">
        <v>380</v>
      </c>
      <c r="G1930" t="s">
        <v>608</v>
      </c>
      <c r="H1930" t="s">
        <v>52</v>
      </c>
    </row>
    <row r="1931" spans="1:8" x14ac:dyDescent="0.2">
      <c r="A1931" t="s">
        <v>376</v>
      </c>
      <c r="B1931" t="s">
        <v>372</v>
      </c>
      <c r="C1931" t="s">
        <v>18</v>
      </c>
      <c r="D1931">
        <v>2</v>
      </c>
      <c r="E1931" t="s">
        <v>17</v>
      </c>
      <c r="F1931" t="s">
        <v>380</v>
      </c>
      <c r="G1931" t="s">
        <v>608</v>
      </c>
      <c r="H1931" t="s">
        <v>52</v>
      </c>
    </row>
    <row r="1932" spans="1:8" x14ac:dyDescent="0.2">
      <c r="A1932" t="s">
        <v>3067</v>
      </c>
      <c r="B1932" t="s">
        <v>1481</v>
      </c>
      <c r="C1932" t="s">
        <v>16</v>
      </c>
      <c r="D1932">
        <v>4</v>
      </c>
      <c r="E1932" t="s">
        <v>17</v>
      </c>
      <c r="F1932" t="s">
        <v>380</v>
      </c>
      <c r="G1932" t="s">
        <v>608</v>
      </c>
      <c r="H1932" t="s">
        <v>52</v>
      </c>
    </row>
    <row r="1933" spans="1:8" x14ac:dyDescent="0.2">
      <c r="A1933" t="s">
        <v>3068</v>
      </c>
      <c r="B1933" t="s">
        <v>1481</v>
      </c>
      <c r="C1933" t="s">
        <v>19</v>
      </c>
      <c r="D1933">
        <v>3</v>
      </c>
      <c r="E1933" t="s">
        <v>17</v>
      </c>
      <c r="F1933" t="s">
        <v>380</v>
      </c>
      <c r="G1933" t="s">
        <v>608</v>
      </c>
      <c r="H1933" t="s">
        <v>52</v>
      </c>
    </row>
    <row r="1934" spans="1:8" x14ac:dyDescent="0.2">
      <c r="A1934" t="s">
        <v>3069</v>
      </c>
      <c r="B1934" t="s">
        <v>1481</v>
      </c>
      <c r="C1934" t="s">
        <v>16</v>
      </c>
      <c r="D1934">
        <v>4</v>
      </c>
      <c r="E1934" t="s">
        <v>21</v>
      </c>
      <c r="F1934" t="s">
        <v>380</v>
      </c>
      <c r="G1934" t="s">
        <v>608</v>
      </c>
      <c r="H1934" t="s">
        <v>52</v>
      </c>
    </row>
    <row r="1935" spans="1:8" x14ac:dyDescent="0.2">
      <c r="A1935" t="s">
        <v>3070</v>
      </c>
      <c r="B1935" t="s">
        <v>1481</v>
      </c>
      <c r="C1935" t="s">
        <v>16</v>
      </c>
      <c r="D1935">
        <v>4</v>
      </c>
      <c r="E1935" t="s">
        <v>17</v>
      </c>
      <c r="F1935" t="s">
        <v>380</v>
      </c>
      <c r="G1935" t="s">
        <v>608</v>
      </c>
      <c r="H1935" t="s">
        <v>52</v>
      </c>
    </row>
    <row r="1936" spans="1:8" x14ac:dyDescent="0.2">
      <c r="A1936" t="s">
        <v>3071</v>
      </c>
      <c r="B1936" t="s">
        <v>1481</v>
      </c>
      <c r="C1936" t="s">
        <v>18</v>
      </c>
      <c r="D1936">
        <v>1</v>
      </c>
      <c r="E1936" t="s">
        <v>17</v>
      </c>
      <c r="F1936" t="s">
        <v>380</v>
      </c>
      <c r="G1936" t="s">
        <v>608</v>
      </c>
      <c r="H1936" t="s">
        <v>52</v>
      </c>
    </row>
    <row r="1937" spans="1:8" x14ac:dyDescent="0.2">
      <c r="A1937" t="s">
        <v>3072</v>
      </c>
      <c r="B1937" t="s">
        <v>1483</v>
      </c>
      <c r="C1937" t="s">
        <v>16</v>
      </c>
      <c r="D1937">
        <v>4</v>
      </c>
      <c r="E1937" t="s">
        <v>17</v>
      </c>
      <c r="F1937" t="s">
        <v>380</v>
      </c>
      <c r="G1937" t="s">
        <v>608</v>
      </c>
      <c r="H1937" t="s">
        <v>52</v>
      </c>
    </row>
    <row r="1938" spans="1:8" x14ac:dyDescent="0.2">
      <c r="A1938" t="s">
        <v>3073</v>
      </c>
      <c r="B1938" t="s">
        <v>1483</v>
      </c>
      <c r="C1938" t="s">
        <v>18</v>
      </c>
      <c r="D1938">
        <v>1</v>
      </c>
      <c r="E1938" t="s">
        <v>21</v>
      </c>
      <c r="F1938" t="s">
        <v>380</v>
      </c>
      <c r="G1938" t="s">
        <v>608</v>
      </c>
      <c r="H1938" t="s">
        <v>52</v>
      </c>
    </row>
    <row r="1939" spans="1:8" x14ac:dyDescent="0.2">
      <c r="A1939" t="s">
        <v>3074</v>
      </c>
      <c r="B1939" t="s">
        <v>1483</v>
      </c>
      <c r="C1939" t="s">
        <v>18</v>
      </c>
      <c r="D1939" t="s">
        <v>16</v>
      </c>
      <c r="E1939" t="s">
        <v>17</v>
      </c>
      <c r="F1939" t="s">
        <v>380</v>
      </c>
      <c r="G1939" t="s">
        <v>608</v>
      </c>
      <c r="H1939" t="s">
        <v>52</v>
      </c>
    </row>
    <row r="1940" spans="1:8" x14ac:dyDescent="0.2">
      <c r="A1940" t="s">
        <v>3075</v>
      </c>
      <c r="B1940" t="s">
        <v>1483</v>
      </c>
      <c r="C1940" t="s">
        <v>18</v>
      </c>
      <c r="D1940">
        <v>3</v>
      </c>
      <c r="E1940" t="s">
        <v>17</v>
      </c>
      <c r="F1940" t="s">
        <v>380</v>
      </c>
      <c r="G1940" t="s">
        <v>608</v>
      </c>
      <c r="H1940" t="s">
        <v>52</v>
      </c>
    </row>
    <row r="1941" spans="1:8" x14ac:dyDescent="0.2">
      <c r="A1941" t="s">
        <v>3076</v>
      </c>
      <c r="B1941" t="s">
        <v>1483</v>
      </c>
      <c r="C1941" t="s">
        <v>18</v>
      </c>
      <c r="D1941">
        <v>2</v>
      </c>
      <c r="E1941" t="s">
        <v>17</v>
      </c>
      <c r="F1941" t="s">
        <v>380</v>
      </c>
      <c r="G1941" t="s">
        <v>608</v>
      </c>
      <c r="H1941" t="s">
        <v>52</v>
      </c>
    </row>
    <row r="1942" spans="1:8" x14ac:dyDescent="0.2">
      <c r="A1942" t="s">
        <v>3077</v>
      </c>
      <c r="B1942" t="s">
        <v>1485</v>
      </c>
      <c r="C1942" t="s">
        <v>18</v>
      </c>
      <c r="D1942">
        <v>2</v>
      </c>
      <c r="E1942" t="s">
        <v>17</v>
      </c>
      <c r="F1942" t="s">
        <v>380</v>
      </c>
      <c r="G1942" t="s">
        <v>608</v>
      </c>
      <c r="H1942" t="s">
        <v>52</v>
      </c>
    </row>
    <row r="1943" spans="1:8" x14ac:dyDescent="0.2">
      <c r="A1943" t="s">
        <v>3078</v>
      </c>
      <c r="B1943" t="s">
        <v>1485</v>
      </c>
      <c r="C1943" t="s">
        <v>18</v>
      </c>
      <c r="D1943">
        <v>2</v>
      </c>
      <c r="E1943" t="s">
        <v>17</v>
      </c>
      <c r="F1943" t="s">
        <v>381</v>
      </c>
      <c r="G1943" t="s">
        <v>3209</v>
      </c>
      <c r="H1943" t="s">
        <v>52</v>
      </c>
    </row>
    <row r="1944" spans="1:8" x14ac:dyDescent="0.2">
      <c r="A1944" t="s">
        <v>3079</v>
      </c>
      <c r="B1944" t="s">
        <v>1485</v>
      </c>
      <c r="C1944" t="s">
        <v>18</v>
      </c>
      <c r="D1944">
        <v>2</v>
      </c>
      <c r="E1944" t="s">
        <v>17</v>
      </c>
      <c r="F1944" t="s">
        <v>381</v>
      </c>
      <c r="G1944" t="s">
        <v>3210</v>
      </c>
      <c r="H1944" t="s">
        <v>52</v>
      </c>
    </row>
    <row r="1945" spans="1:8" x14ac:dyDescent="0.2">
      <c r="A1945" t="s">
        <v>3080</v>
      </c>
      <c r="B1945" t="s">
        <v>1485</v>
      </c>
      <c r="C1945" t="s">
        <v>18</v>
      </c>
      <c r="D1945">
        <v>2</v>
      </c>
      <c r="E1945" t="s">
        <v>17</v>
      </c>
      <c r="F1945" t="s">
        <v>380</v>
      </c>
      <c r="G1945" t="s">
        <v>608</v>
      </c>
      <c r="H1945" t="s">
        <v>52</v>
      </c>
    </row>
    <row r="1946" spans="1:8" x14ac:dyDescent="0.2">
      <c r="A1946" t="s">
        <v>3081</v>
      </c>
      <c r="B1946" t="s">
        <v>1485</v>
      </c>
      <c r="C1946" t="s">
        <v>19</v>
      </c>
      <c r="D1946">
        <v>2</v>
      </c>
      <c r="E1946" t="s">
        <v>17</v>
      </c>
      <c r="F1946" t="s">
        <v>380</v>
      </c>
      <c r="G1946" t="s">
        <v>608</v>
      </c>
      <c r="H1946" t="s">
        <v>52</v>
      </c>
    </row>
    <row r="1947" spans="1:8" x14ac:dyDescent="0.2">
      <c r="A1947" t="s">
        <v>754</v>
      </c>
      <c r="B1947" t="s">
        <v>755</v>
      </c>
      <c r="C1947" t="s">
        <v>18</v>
      </c>
      <c r="D1947">
        <v>2</v>
      </c>
      <c r="E1947" t="s">
        <v>17</v>
      </c>
      <c r="F1947" t="s">
        <v>380</v>
      </c>
      <c r="G1947" t="s">
        <v>608</v>
      </c>
      <c r="H1947" t="s">
        <v>52</v>
      </c>
    </row>
    <row r="1948" spans="1:8" x14ac:dyDescent="0.2">
      <c r="A1948" t="s">
        <v>757</v>
      </c>
      <c r="B1948" t="s">
        <v>755</v>
      </c>
      <c r="C1948" t="s">
        <v>18</v>
      </c>
      <c r="D1948">
        <v>1</v>
      </c>
      <c r="E1948" t="s">
        <v>17</v>
      </c>
      <c r="F1948" t="s">
        <v>380</v>
      </c>
      <c r="G1948" t="s">
        <v>608</v>
      </c>
      <c r="H1948" t="s">
        <v>52</v>
      </c>
    </row>
    <row r="1949" spans="1:8" x14ac:dyDescent="0.2">
      <c r="A1949" t="s">
        <v>758</v>
      </c>
      <c r="B1949" t="s">
        <v>755</v>
      </c>
      <c r="C1949" t="s">
        <v>18</v>
      </c>
      <c r="D1949">
        <v>1</v>
      </c>
      <c r="E1949" t="s">
        <v>17</v>
      </c>
      <c r="F1949" t="s">
        <v>380</v>
      </c>
      <c r="G1949" t="s">
        <v>608</v>
      </c>
      <c r="H1949" t="s">
        <v>52</v>
      </c>
    </row>
    <row r="1950" spans="1:8" x14ac:dyDescent="0.2">
      <c r="A1950" t="s">
        <v>759</v>
      </c>
      <c r="B1950" t="s">
        <v>755</v>
      </c>
      <c r="C1950" t="s">
        <v>18</v>
      </c>
      <c r="D1950">
        <v>2</v>
      </c>
      <c r="E1950" t="s">
        <v>17</v>
      </c>
      <c r="F1950" t="s">
        <v>380</v>
      </c>
      <c r="G1950" t="s">
        <v>608</v>
      </c>
      <c r="H1950" t="s">
        <v>52</v>
      </c>
    </row>
    <row r="1951" spans="1:8" x14ac:dyDescent="0.2">
      <c r="A1951" t="s">
        <v>760</v>
      </c>
      <c r="B1951" t="s">
        <v>755</v>
      </c>
      <c r="C1951" t="s">
        <v>18</v>
      </c>
      <c r="D1951">
        <v>2</v>
      </c>
      <c r="E1951" t="s">
        <v>17</v>
      </c>
      <c r="F1951" t="s">
        <v>380</v>
      </c>
      <c r="G1951" t="s">
        <v>608</v>
      </c>
      <c r="H1951" t="s">
        <v>52</v>
      </c>
    </row>
    <row r="1952" spans="1:8" x14ac:dyDescent="0.2">
      <c r="A1952" t="s">
        <v>761</v>
      </c>
      <c r="B1952" t="s">
        <v>762</v>
      </c>
      <c r="C1952" t="s">
        <v>18</v>
      </c>
      <c r="D1952">
        <v>2</v>
      </c>
      <c r="E1952" t="s">
        <v>17</v>
      </c>
      <c r="F1952" t="s">
        <v>380</v>
      </c>
      <c r="G1952" t="s">
        <v>608</v>
      </c>
      <c r="H1952" t="s">
        <v>52</v>
      </c>
    </row>
    <row r="1953" spans="1:8" x14ac:dyDescent="0.2">
      <c r="A1953" t="s">
        <v>763</v>
      </c>
      <c r="B1953" t="s">
        <v>762</v>
      </c>
      <c r="C1953" t="s">
        <v>18</v>
      </c>
      <c r="D1953">
        <v>3</v>
      </c>
      <c r="E1953" t="s">
        <v>17</v>
      </c>
      <c r="F1953" t="s">
        <v>380</v>
      </c>
      <c r="G1953" t="s">
        <v>608</v>
      </c>
      <c r="H1953" t="s">
        <v>52</v>
      </c>
    </row>
    <row r="1954" spans="1:8" x14ac:dyDescent="0.2">
      <c r="A1954" t="s">
        <v>764</v>
      </c>
      <c r="B1954" t="s">
        <v>762</v>
      </c>
      <c r="C1954" t="s">
        <v>19</v>
      </c>
      <c r="D1954">
        <v>2</v>
      </c>
      <c r="E1954" t="s">
        <v>17</v>
      </c>
      <c r="F1954" t="s">
        <v>380</v>
      </c>
      <c r="G1954" t="s">
        <v>608</v>
      </c>
      <c r="H1954" t="s">
        <v>52</v>
      </c>
    </row>
    <row r="1955" spans="1:8" x14ac:dyDescent="0.2">
      <c r="A1955" t="s">
        <v>765</v>
      </c>
      <c r="B1955" t="s">
        <v>762</v>
      </c>
      <c r="C1955" t="s">
        <v>18</v>
      </c>
      <c r="D1955">
        <v>2</v>
      </c>
      <c r="E1955" t="s">
        <v>17</v>
      </c>
      <c r="F1955" t="s">
        <v>380</v>
      </c>
      <c r="G1955" t="s">
        <v>608</v>
      </c>
      <c r="H1955" t="s">
        <v>52</v>
      </c>
    </row>
    <row r="1956" spans="1:8" x14ac:dyDescent="0.2">
      <c r="A1956" t="s">
        <v>766</v>
      </c>
      <c r="B1956" t="s">
        <v>762</v>
      </c>
      <c r="C1956" t="s">
        <v>18</v>
      </c>
      <c r="D1956" t="s">
        <v>16</v>
      </c>
      <c r="E1956" t="s">
        <v>17</v>
      </c>
      <c r="F1956" t="s">
        <v>380</v>
      </c>
      <c r="G1956" t="s">
        <v>608</v>
      </c>
      <c r="H1956" t="s">
        <v>52</v>
      </c>
    </row>
    <row r="1957" spans="1:8" x14ac:dyDescent="0.2">
      <c r="A1957" t="s">
        <v>767</v>
      </c>
      <c r="B1957" t="s">
        <v>768</v>
      </c>
      <c r="C1957" t="s">
        <v>16</v>
      </c>
      <c r="D1957">
        <v>4</v>
      </c>
      <c r="E1957" t="s">
        <v>17</v>
      </c>
      <c r="F1957" t="s">
        <v>380</v>
      </c>
      <c r="G1957" t="s">
        <v>608</v>
      </c>
      <c r="H1957" t="s">
        <v>52</v>
      </c>
    </row>
    <row r="1958" spans="1:8" x14ac:dyDescent="0.2">
      <c r="A1958" t="s">
        <v>769</v>
      </c>
      <c r="B1958" t="s">
        <v>768</v>
      </c>
      <c r="C1958" t="s">
        <v>16</v>
      </c>
      <c r="D1958">
        <v>4</v>
      </c>
      <c r="E1958" t="s">
        <v>17</v>
      </c>
      <c r="F1958" t="s">
        <v>380</v>
      </c>
      <c r="G1958" t="s">
        <v>608</v>
      </c>
      <c r="H1958" t="s">
        <v>52</v>
      </c>
    </row>
    <row r="1959" spans="1:8" x14ac:dyDescent="0.2">
      <c r="A1959" t="s">
        <v>770</v>
      </c>
      <c r="B1959" t="s">
        <v>768</v>
      </c>
      <c r="C1959" t="s">
        <v>18</v>
      </c>
      <c r="D1959">
        <v>1</v>
      </c>
      <c r="E1959" t="s">
        <v>17</v>
      </c>
      <c r="F1959" t="s">
        <v>380</v>
      </c>
      <c r="G1959" t="s">
        <v>608</v>
      </c>
      <c r="H1959" t="s">
        <v>52</v>
      </c>
    </row>
    <row r="1960" spans="1:8" x14ac:dyDescent="0.2">
      <c r="A1960" t="s">
        <v>771</v>
      </c>
      <c r="B1960" t="s">
        <v>768</v>
      </c>
      <c r="C1960" t="s">
        <v>16</v>
      </c>
      <c r="D1960">
        <v>4</v>
      </c>
      <c r="E1960" t="s">
        <v>17</v>
      </c>
      <c r="F1960" t="s">
        <v>380</v>
      </c>
      <c r="G1960" t="s">
        <v>608</v>
      </c>
      <c r="H1960" t="s">
        <v>52</v>
      </c>
    </row>
    <row r="1961" spans="1:8" x14ac:dyDescent="0.2">
      <c r="A1961" t="s">
        <v>772</v>
      </c>
      <c r="B1961" t="s">
        <v>768</v>
      </c>
      <c r="C1961" t="s">
        <v>19</v>
      </c>
      <c r="D1961">
        <v>1</v>
      </c>
      <c r="E1961" t="s">
        <v>21</v>
      </c>
      <c r="F1961" t="s">
        <v>380</v>
      </c>
      <c r="G1961" t="s">
        <v>608</v>
      </c>
      <c r="H1961" t="s">
        <v>52</v>
      </c>
    </row>
    <row r="1962" spans="1:8" x14ac:dyDescent="0.2">
      <c r="A1962" t="s">
        <v>773</v>
      </c>
      <c r="B1962" t="s">
        <v>774</v>
      </c>
      <c r="C1962" t="s">
        <v>18</v>
      </c>
      <c r="D1962">
        <v>2</v>
      </c>
      <c r="E1962" t="s">
        <v>17</v>
      </c>
      <c r="F1962" t="s">
        <v>380</v>
      </c>
      <c r="G1962" t="s">
        <v>608</v>
      </c>
      <c r="H1962" t="s">
        <v>52</v>
      </c>
    </row>
    <row r="1963" spans="1:8" x14ac:dyDescent="0.2">
      <c r="A1963" t="s">
        <v>775</v>
      </c>
      <c r="B1963" t="s">
        <v>774</v>
      </c>
      <c r="C1963" t="s">
        <v>18</v>
      </c>
      <c r="D1963">
        <v>2</v>
      </c>
      <c r="E1963" t="s">
        <v>21</v>
      </c>
      <c r="F1963" t="s">
        <v>380</v>
      </c>
      <c r="G1963" t="s">
        <v>608</v>
      </c>
      <c r="H1963" t="s">
        <v>52</v>
      </c>
    </row>
    <row r="1964" spans="1:8" x14ac:dyDescent="0.2">
      <c r="A1964" t="s">
        <v>776</v>
      </c>
      <c r="B1964" t="s">
        <v>774</v>
      </c>
      <c r="C1964" t="s">
        <v>18</v>
      </c>
      <c r="D1964">
        <v>2</v>
      </c>
      <c r="E1964" t="s">
        <v>17</v>
      </c>
      <c r="F1964" t="s">
        <v>380</v>
      </c>
      <c r="G1964" t="s">
        <v>608</v>
      </c>
      <c r="H1964" t="s">
        <v>52</v>
      </c>
    </row>
    <row r="1965" spans="1:8" x14ac:dyDescent="0.2">
      <c r="A1965" t="s">
        <v>777</v>
      </c>
      <c r="B1965" t="s">
        <v>774</v>
      </c>
      <c r="C1965" t="s">
        <v>19</v>
      </c>
      <c r="D1965">
        <v>2</v>
      </c>
      <c r="E1965" t="s">
        <v>17</v>
      </c>
      <c r="F1965" t="s">
        <v>380</v>
      </c>
      <c r="G1965" t="s">
        <v>608</v>
      </c>
      <c r="H1965" t="s">
        <v>52</v>
      </c>
    </row>
    <row r="1966" spans="1:8" x14ac:dyDescent="0.2">
      <c r="A1966" t="s">
        <v>778</v>
      </c>
      <c r="B1966" t="s">
        <v>774</v>
      </c>
      <c r="C1966" t="s">
        <v>18</v>
      </c>
      <c r="D1966">
        <v>2</v>
      </c>
      <c r="E1966" t="s">
        <v>17</v>
      </c>
      <c r="F1966" t="s">
        <v>380</v>
      </c>
      <c r="G1966" t="s">
        <v>608</v>
      </c>
      <c r="H1966" t="s">
        <v>52</v>
      </c>
    </row>
    <row r="1967" spans="1:8" x14ac:dyDescent="0.2">
      <c r="A1967" t="s">
        <v>779</v>
      </c>
      <c r="B1967" t="s">
        <v>780</v>
      </c>
      <c r="C1967" t="s">
        <v>19</v>
      </c>
      <c r="D1967">
        <v>2</v>
      </c>
      <c r="E1967" t="s">
        <v>21</v>
      </c>
      <c r="F1967" t="s">
        <v>380</v>
      </c>
      <c r="G1967" t="s">
        <v>608</v>
      </c>
      <c r="H1967" t="s">
        <v>52</v>
      </c>
    </row>
    <row r="1968" spans="1:8" x14ac:dyDescent="0.2">
      <c r="A1968" t="s">
        <v>782</v>
      </c>
      <c r="B1968" t="s">
        <v>780</v>
      </c>
      <c r="C1968" t="s">
        <v>16</v>
      </c>
      <c r="D1968">
        <v>4</v>
      </c>
      <c r="E1968" t="s">
        <v>21</v>
      </c>
      <c r="F1968" t="s">
        <v>380</v>
      </c>
      <c r="G1968" t="s">
        <v>608</v>
      </c>
      <c r="H1968" t="s">
        <v>52</v>
      </c>
    </row>
    <row r="1969" spans="1:8" x14ac:dyDescent="0.2">
      <c r="A1969" t="s">
        <v>784</v>
      </c>
      <c r="B1969" t="s">
        <v>780</v>
      </c>
      <c r="C1969" t="s">
        <v>18</v>
      </c>
      <c r="D1969">
        <v>2</v>
      </c>
      <c r="E1969" t="s">
        <v>17</v>
      </c>
      <c r="F1969" t="s">
        <v>380</v>
      </c>
      <c r="G1969" t="s">
        <v>608</v>
      </c>
      <c r="H1969" t="s">
        <v>52</v>
      </c>
    </row>
    <row r="1970" spans="1:8" x14ac:dyDescent="0.2">
      <c r="A1970" t="s">
        <v>785</v>
      </c>
      <c r="B1970" t="s">
        <v>780</v>
      </c>
      <c r="C1970" t="s">
        <v>18</v>
      </c>
      <c r="D1970">
        <v>2</v>
      </c>
      <c r="E1970" t="s">
        <v>17</v>
      </c>
      <c r="F1970" t="s">
        <v>380</v>
      </c>
      <c r="G1970" t="s">
        <v>608</v>
      </c>
      <c r="H1970" t="s">
        <v>52</v>
      </c>
    </row>
    <row r="1971" spans="1:8" x14ac:dyDescent="0.2">
      <c r="A1971" t="s">
        <v>786</v>
      </c>
      <c r="B1971" t="s">
        <v>780</v>
      </c>
      <c r="C1971" t="s">
        <v>19</v>
      </c>
      <c r="D1971">
        <v>2</v>
      </c>
      <c r="E1971" t="s">
        <v>21</v>
      </c>
      <c r="F1971" t="s">
        <v>380</v>
      </c>
      <c r="G1971" t="s">
        <v>608</v>
      </c>
      <c r="H1971" t="s">
        <v>52</v>
      </c>
    </row>
    <row r="1972" spans="1:8" x14ac:dyDescent="0.2">
      <c r="A1972" t="s">
        <v>787</v>
      </c>
      <c r="B1972" t="s">
        <v>788</v>
      </c>
      <c r="C1972" t="s">
        <v>18</v>
      </c>
      <c r="D1972">
        <v>2</v>
      </c>
      <c r="E1972" t="s">
        <v>21</v>
      </c>
      <c r="F1972" t="s">
        <v>380</v>
      </c>
      <c r="G1972" t="s">
        <v>608</v>
      </c>
      <c r="H1972" t="s">
        <v>52</v>
      </c>
    </row>
    <row r="1973" spans="1:8" x14ac:dyDescent="0.2">
      <c r="A1973" t="s">
        <v>789</v>
      </c>
      <c r="B1973" t="s">
        <v>788</v>
      </c>
      <c r="C1973" t="s">
        <v>19</v>
      </c>
      <c r="D1973">
        <v>2</v>
      </c>
      <c r="E1973" t="s">
        <v>17</v>
      </c>
      <c r="F1973" t="s">
        <v>380</v>
      </c>
      <c r="G1973" t="s">
        <v>608</v>
      </c>
      <c r="H1973" t="s">
        <v>52</v>
      </c>
    </row>
    <row r="1974" spans="1:8" x14ac:dyDescent="0.2">
      <c r="A1974" t="s">
        <v>790</v>
      </c>
      <c r="B1974" t="s">
        <v>788</v>
      </c>
      <c r="C1974" t="s">
        <v>19</v>
      </c>
      <c r="D1974">
        <v>2</v>
      </c>
      <c r="E1974" t="s">
        <v>17</v>
      </c>
      <c r="F1974" t="s">
        <v>380</v>
      </c>
      <c r="G1974" t="s">
        <v>608</v>
      </c>
      <c r="H1974" t="s">
        <v>52</v>
      </c>
    </row>
    <row r="1975" spans="1:8" x14ac:dyDescent="0.2">
      <c r="A1975" t="s">
        <v>791</v>
      </c>
      <c r="B1975" t="s">
        <v>788</v>
      </c>
      <c r="C1975" t="s">
        <v>18</v>
      </c>
      <c r="D1975">
        <v>2</v>
      </c>
      <c r="E1975" t="s">
        <v>17</v>
      </c>
      <c r="F1975" t="s">
        <v>380</v>
      </c>
      <c r="G1975" t="s">
        <v>608</v>
      </c>
      <c r="H1975" t="s">
        <v>52</v>
      </c>
    </row>
    <row r="1976" spans="1:8" x14ac:dyDescent="0.2">
      <c r="A1976" t="s">
        <v>792</v>
      </c>
      <c r="B1976" t="s">
        <v>788</v>
      </c>
      <c r="C1976" t="s">
        <v>18</v>
      </c>
      <c r="D1976">
        <v>2</v>
      </c>
      <c r="E1976" t="s">
        <v>21</v>
      </c>
      <c r="F1976" t="s">
        <v>380</v>
      </c>
      <c r="G1976" t="s">
        <v>608</v>
      </c>
      <c r="H1976" t="s">
        <v>52</v>
      </c>
    </row>
    <row r="1977" spans="1:8" x14ac:dyDescent="0.2">
      <c r="A1977" t="s">
        <v>793</v>
      </c>
      <c r="B1977" t="s">
        <v>794</v>
      </c>
      <c r="C1977" t="s">
        <v>19</v>
      </c>
      <c r="D1977">
        <v>2</v>
      </c>
      <c r="E1977" t="s">
        <v>17</v>
      </c>
      <c r="F1977" t="s">
        <v>380</v>
      </c>
      <c r="G1977" t="s">
        <v>608</v>
      </c>
      <c r="H1977" t="s">
        <v>52</v>
      </c>
    </row>
    <row r="1978" spans="1:8" x14ac:dyDescent="0.2">
      <c r="A1978" t="s">
        <v>795</v>
      </c>
      <c r="B1978" t="s">
        <v>794</v>
      </c>
      <c r="C1978" t="s">
        <v>19</v>
      </c>
      <c r="D1978">
        <v>2</v>
      </c>
      <c r="E1978" t="s">
        <v>17</v>
      </c>
      <c r="F1978" t="s">
        <v>380</v>
      </c>
      <c r="G1978" t="s">
        <v>608</v>
      </c>
      <c r="H1978" t="s">
        <v>52</v>
      </c>
    </row>
    <row r="1979" spans="1:8" x14ac:dyDescent="0.2">
      <c r="A1979" t="s">
        <v>796</v>
      </c>
      <c r="B1979" t="s">
        <v>794</v>
      </c>
      <c r="C1979" t="s">
        <v>18</v>
      </c>
      <c r="D1979">
        <v>2</v>
      </c>
      <c r="E1979" t="s">
        <v>17</v>
      </c>
      <c r="F1979" t="s">
        <v>380</v>
      </c>
      <c r="G1979" t="s">
        <v>608</v>
      </c>
      <c r="H1979" t="s">
        <v>52</v>
      </c>
    </row>
    <row r="1980" spans="1:8" x14ac:dyDescent="0.2">
      <c r="A1980" t="s">
        <v>797</v>
      </c>
      <c r="B1980" t="s">
        <v>794</v>
      </c>
      <c r="C1980" t="s">
        <v>19</v>
      </c>
      <c r="D1980">
        <v>2</v>
      </c>
      <c r="E1980" t="s">
        <v>21</v>
      </c>
      <c r="F1980" t="s">
        <v>380</v>
      </c>
      <c r="G1980" t="s">
        <v>608</v>
      </c>
      <c r="H1980" t="s">
        <v>52</v>
      </c>
    </row>
    <row r="1981" spans="1:8" x14ac:dyDescent="0.2">
      <c r="A1981" t="s">
        <v>798</v>
      </c>
      <c r="B1981" t="s">
        <v>794</v>
      </c>
      <c r="C1981" t="s">
        <v>18</v>
      </c>
      <c r="D1981">
        <v>1</v>
      </c>
      <c r="E1981" t="s">
        <v>17</v>
      </c>
      <c r="F1981" t="s">
        <v>380</v>
      </c>
      <c r="G1981" t="s">
        <v>608</v>
      </c>
      <c r="H1981" t="s">
        <v>52</v>
      </c>
    </row>
    <row r="1982" spans="1:8" x14ac:dyDescent="0.2">
      <c r="A1982" t="s">
        <v>799</v>
      </c>
      <c r="B1982" t="s">
        <v>800</v>
      </c>
      <c r="C1982" t="s">
        <v>19</v>
      </c>
      <c r="D1982">
        <v>2</v>
      </c>
      <c r="E1982" t="s">
        <v>17</v>
      </c>
      <c r="F1982" t="s">
        <v>380</v>
      </c>
      <c r="G1982" t="s">
        <v>608</v>
      </c>
      <c r="H1982" t="s">
        <v>52</v>
      </c>
    </row>
    <row r="1983" spans="1:8" x14ac:dyDescent="0.2">
      <c r="A1983" t="s">
        <v>801</v>
      </c>
      <c r="B1983" t="s">
        <v>800</v>
      </c>
      <c r="C1983" t="s">
        <v>18</v>
      </c>
      <c r="D1983">
        <v>2</v>
      </c>
      <c r="E1983" t="s">
        <v>17</v>
      </c>
      <c r="F1983" t="s">
        <v>380</v>
      </c>
      <c r="G1983" t="s">
        <v>608</v>
      </c>
      <c r="H1983" t="s">
        <v>52</v>
      </c>
    </row>
    <row r="1984" spans="1:8" x14ac:dyDescent="0.2">
      <c r="A1984" t="s">
        <v>802</v>
      </c>
      <c r="B1984" t="s">
        <v>800</v>
      </c>
      <c r="C1984" t="s">
        <v>18</v>
      </c>
      <c r="D1984">
        <v>2</v>
      </c>
      <c r="E1984" t="s">
        <v>17</v>
      </c>
      <c r="F1984" t="s">
        <v>380</v>
      </c>
      <c r="G1984" t="s">
        <v>608</v>
      </c>
      <c r="H1984" t="s">
        <v>52</v>
      </c>
    </row>
    <row r="1985" spans="1:8" x14ac:dyDescent="0.2">
      <c r="A1985" t="s">
        <v>803</v>
      </c>
      <c r="B1985" t="s">
        <v>800</v>
      </c>
      <c r="C1985" t="s">
        <v>19</v>
      </c>
      <c r="D1985">
        <v>2</v>
      </c>
      <c r="E1985" t="s">
        <v>21</v>
      </c>
      <c r="F1985" t="s">
        <v>380</v>
      </c>
      <c r="G1985" t="s">
        <v>608</v>
      </c>
      <c r="H1985" t="s">
        <v>52</v>
      </c>
    </row>
    <row r="1986" spans="1:8" x14ac:dyDescent="0.2">
      <c r="A1986" t="s">
        <v>804</v>
      </c>
      <c r="B1986" t="s">
        <v>800</v>
      </c>
      <c r="C1986" t="s">
        <v>18</v>
      </c>
      <c r="D1986">
        <v>2</v>
      </c>
      <c r="E1986" t="s">
        <v>21</v>
      </c>
      <c r="F1986" t="s">
        <v>380</v>
      </c>
      <c r="G1986" t="s">
        <v>608</v>
      </c>
      <c r="H1986" t="s">
        <v>52</v>
      </c>
    </row>
    <row r="1987" spans="1:8" x14ac:dyDescent="0.2">
      <c r="A1987" t="s">
        <v>806</v>
      </c>
      <c r="B1987" t="s">
        <v>807</v>
      </c>
      <c r="C1987" t="s">
        <v>18</v>
      </c>
      <c r="D1987">
        <v>2</v>
      </c>
      <c r="E1987" t="s">
        <v>17</v>
      </c>
      <c r="F1987" t="s">
        <v>380</v>
      </c>
      <c r="G1987" t="s">
        <v>608</v>
      </c>
      <c r="H1987" t="s">
        <v>52</v>
      </c>
    </row>
    <row r="1988" spans="1:8" x14ac:dyDescent="0.2">
      <c r="A1988" t="s">
        <v>809</v>
      </c>
      <c r="B1988" t="s">
        <v>807</v>
      </c>
      <c r="C1988" t="s">
        <v>19</v>
      </c>
      <c r="D1988">
        <v>2</v>
      </c>
      <c r="E1988" t="s">
        <v>17</v>
      </c>
      <c r="F1988" t="s">
        <v>380</v>
      </c>
      <c r="G1988" t="s">
        <v>608</v>
      </c>
      <c r="H1988" t="s">
        <v>52</v>
      </c>
    </row>
    <row r="1989" spans="1:8" x14ac:dyDescent="0.2">
      <c r="A1989" t="s">
        <v>810</v>
      </c>
      <c r="B1989" t="s">
        <v>807</v>
      </c>
      <c r="C1989" t="s">
        <v>19</v>
      </c>
      <c r="D1989">
        <v>2</v>
      </c>
      <c r="E1989" t="s">
        <v>17</v>
      </c>
      <c r="F1989" t="s">
        <v>380</v>
      </c>
      <c r="G1989" t="s">
        <v>608</v>
      </c>
      <c r="H1989" t="s">
        <v>52</v>
      </c>
    </row>
    <row r="1990" spans="1:8" x14ac:dyDescent="0.2">
      <c r="A1990" t="s">
        <v>811</v>
      </c>
      <c r="B1990" t="s">
        <v>807</v>
      </c>
      <c r="C1990" t="s">
        <v>18</v>
      </c>
      <c r="D1990">
        <v>2</v>
      </c>
      <c r="E1990" t="s">
        <v>21</v>
      </c>
      <c r="F1990" t="s">
        <v>380</v>
      </c>
      <c r="G1990" t="s">
        <v>608</v>
      </c>
      <c r="H1990" t="s">
        <v>52</v>
      </c>
    </row>
    <row r="1991" spans="1:8" x14ac:dyDescent="0.2">
      <c r="A1991" t="s">
        <v>812</v>
      </c>
      <c r="B1991" t="s">
        <v>807</v>
      </c>
      <c r="C1991" t="s">
        <v>18</v>
      </c>
      <c r="D1991">
        <v>2</v>
      </c>
      <c r="E1991" t="s">
        <v>21</v>
      </c>
      <c r="F1991" t="s">
        <v>380</v>
      </c>
      <c r="G1991" t="s">
        <v>608</v>
      </c>
      <c r="H1991" t="s">
        <v>52</v>
      </c>
    </row>
    <row r="1992" spans="1:8" x14ac:dyDescent="0.2">
      <c r="A1992" t="s">
        <v>813</v>
      </c>
      <c r="B1992" t="s">
        <v>814</v>
      </c>
      <c r="C1992" t="s">
        <v>3202</v>
      </c>
      <c r="D1992" t="s">
        <v>16</v>
      </c>
      <c r="E1992" t="s">
        <v>17</v>
      </c>
      <c r="F1992" t="s">
        <v>380</v>
      </c>
      <c r="G1992" t="s">
        <v>608</v>
      </c>
      <c r="H1992" t="s">
        <v>52</v>
      </c>
    </row>
    <row r="1993" spans="1:8" x14ac:dyDescent="0.2">
      <c r="A1993" t="s">
        <v>815</v>
      </c>
      <c r="B1993" t="s">
        <v>814</v>
      </c>
      <c r="C1993" t="s">
        <v>18</v>
      </c>
      <c r="D1993">
        <v>2</v>
      </c>
      <c r="E1993" t="s">
        <v>17</v>
      </c>
      <c r="F1993" t="s">
        <v>380</v>
      </c>
      <c r="G1993" t="s">
        <v>608</v>
      </c>
      <c r="H1993" t="s">
        <v>52</v>
      </c>
    </row>
    <row r="1994" spans="1:8" x14ac:dyDescent="0.2">
      <c r="A1994" t="s">
        <v>816</v>
      </c>
      <c r="B1994" t="s">
        <v>814</v>
      </c>
      <c r="C1994" t="s">
        <v>19</v>
      </c>
      <c r="D1994">
        <v>2</v>
      </c>
      <c r="E1994" t="s">
        <v>17</v>
      </c>
      <c r="F1994" t="s">
        <v>380</v>
      </c>
      <c r="G1994" t="s">
        <v>608</v>
      </c>
      <c r="H1994" t="s">
        <v>52</v>
      </c>
    </row>
    <row r="1995" spans="1:8" x14ac:dyDescent="0.2">
      <c r="A1995" t="s">
        <v>817</v>
      </c>
      <c r="B1995" t="s">
        <v>814</v>
      </c>
      <c r="C1995" t="s">
        <v>19</v>
      </c>
      <c r="D1995">
        <v>2</v>
      </c>
      <c r="E1995" t="s">
        <v>17</v>
      </c>
      <c r="F1995" t="s">
        <v>380</v>
      </c>
      <c r="G1995" t="s">
        <v>608</v>
      </c>
      <c r="H1995" t="s">
        <v>52</v>
      </c>
    </row>
    <row r="1996" spans="1:8" x14ac:dyDescent="0.2">
      <c r="A1996" t="s">
        <v>818</v>
      </c>
      <c r="B1996" t="s">
        <v>814</v>
      </c>
      <c r="C1996" t="s">
        <v>3202</v>
      </c>
      <c r="D1996" t="s">
        <v>16</v>
      </c>
      <c r="E1996" t="s">
        <v>17</v>
      </c>
      <c r="F1996" t="s">
        <v>380</v>
      </c>
      <c r="G1996" t="s">
        <v>608</v>
      </c>
      <c r="H1996" t="s">
        <v>52</v>
      </c>
    </row>
    <row r="1997" spans="1:8" x14ac:dyDescent="0.2">
      <c r="A1997" t="s">
        <v>819</v>
      </c>
      <c r="B1997" t="s">
        <v>820</v>
      </c>
      <c r="C1997" t="s">
        <v>18</v>
      </c>
      <c r="D1997">
        <v>2</v>
      </c>
      <c r="E1997" t="s">
        <v>17</v>
      </c>
      <c r="F1997" t="s">
        <v>380</v>
      </c>
      <c r="G1997" t="s">
        <v>608</v>
      </c>
      <c r="H1997" t="s">
        <v>52</v>
      </c>
    </row>
    <row r="1998" spans="1:8" x14ac:dyDescent="0.2">
      <c r="A1998" t="s">
        <v>821</v>
      </c>
      <c r="B1998" t="s">
        <v>820</v>
      </c>
      <c r="C1998" t="s">
        <v>18</v>
      </c>
      <c r="D1998">
        <v>2</v>
      </c>
      <c r="E1998" t="s">
        <v>17</v>
      </c>
      <c r="F1998" t="s">
        <v>380</v>
      </c>
      <c r="G1998" t="s">
        <v>608</v>
      </c>
      <c r="H1998" t="s">
        <v>52</v>
      </c>
    </row>
    <row r="1999" spans="1:8" x14ac:dyDescent="0.2">
      <c r="A1999" t="s">
        <v>822</v>
      </c>
      <c r="B1999" t="s">
        <v>820</v>
      </c>
      <c r="C1999" t="s">
        <v>19</v>
      </c>
      <c r="D1999">
        <v>2</v>
      </c>
      <c r="E1999" t="s">
        <v>21</v>
      </c>
      <c r="F1999" t="s">
        <v>380</v>
      </c>
      <c r="G1999" t="s">
        <v>608</v>
      </c>
      <c r="H1999" t="s">
        <v>52</v>
      </c>
    </row>
    <row r="2000" spans="1:8" x14ac:dyDescent="0.2">
      <c r="A2000" t="s">
        <v>823</v>
      </c>
      <c r="B2000" t="s">
        <v>820</v>
      </c>
      <c r="C2000" t="s">
        <v>18</v>
      </c>
      <c r="D2000">
        <v>2</v>
      </c>
      <c r="E2000" t="s">
        <v>17</v>
      </c>
      <c r="F2000" t="s">
        <v>380</v>
      </c>
      <c r="G2000" t="s">
        <v>608</v>
      </c>
      <c r="H2000" t="s">
        <v>52</v>
      </c>
    </row>
    <row r="2001" spans="1:8" x14ac:dyDescent="0.2">
      <c r="A2001" t="s">
        <v>824</v>
      </c>
      <c r="B2001" t="s">
        <v>820</v>
      </c>
      <c r="C2001" t="s">
        <v>18</v>
      </c>
      <c r="D2001">
        <v>2</v>
      </c>
      <c r="E2001" t="s">
        <v>21</v>
      </c>
      <c r="F2001" t="s">
        <v>380</v>
      </c>
      <c r="G2001" t="s">
        <v>608</v>
      </c>
      <c r="H2001" t="s">
        <v>52</v>
      </c>
    </row>
    <row r="2002" spans="1:8" x14ac:dyDescent="0.2">
      <c r="A2002" t="s">
        <v>825</v>
      </c>
      <c r="B2002" t="s">
        <v>826</v>
      </c>
      <c r="C2002" t="s">
        <v>18</v>
      </c>
      <c r="D2002">
        <v>2</v>
      </c>
      <c r="E2002" t="s">
        <v>17</v>
      </c>
      <c r="F2002" t="s">
        <v>380</v>
      </c>
      <c r="G2002" t="s">
        <v>608</v>
      </c>
      <c r="H2002" t="s">
        <v>52</v>
      </c>
    </row>
    <row r="2003" spans="1:8" x14ac:dyDescent="0.2">
      <c r="A2003" t="s">
        <v>827</v>
      </c>
      <c r="B2003" t="s">
        <v>826</v>
      </c>
      <c r="C2003" t="s">
        <v>19</v>
      </c>
      <c r="D2003">
        <v>2</v>
      </c>
      <c r="E2003" t="s">
        <v>17</v>
      </c>
      <c r="F2003" t="s">
        <v>380</v>
      </c>
      <c r="G2003" t="s">
        <v>608</v>
      </c>
      <c r="H2003" t="s">
        <v>52</v>
      </c>
    </row>
    <row r="2004" spans="1:8" x14ac:dyDescent="0.2">
      <c r="A2004" t="s">
        <v>828</v>
      </c>
      <c r="B2004" t="s">
        <v>826</v>
      </c>
      <c r="C2004" t="s">
        <v>19</v>
      </c>
      <c r="D2004">
        <v>2</v>
      </c>
      <c r="E2004" t="s">
        <v>17</v>
      </c>
      <c r="F2004" t="s">
        <v>380</v>
      </c>
      <c r="G2004" t="s">
        <v>608</v>
      </c>
      <c r="H2004" t="s">
        <v>52</v>
      </c>
    </row>
    <row r="2005" spans="1:8" x14ac:dyDescent="0.2">
      <c r="A2005" t="s">
        <v>829</v>
      </c>
      <c r="B2005" t="s">
        <v>826</v>
      </c>
      <c r="C2005" t="s">
        <v>18</v>
      </c>
      <c r="D2005">
        <v>2</v>
      </c>
      <c r="E2005" t="s">
        <v>17</v>
      </c>
      <c r="F2005" t="s">
        <v>380</v>
      </c>
      <c r="G2005" t="s">
        <v>608</v>
      </c>
      <c r="H2005" t="s">
        <v>52</v>
      </c>
    </row>
    <row r="2006" spans="1:8" x14ac:dyDescent="0.2">
      <c r="A2006" t="s">
        <v>830</v>
      </c>
      <c r="B2006" t="s">
        <v>826</v>
      </c>
      <c r="C2006" t="s">
        <v>18</v>
      </c>
      <c r="D2006">
        <v>2</v>
      </c>
      <c r="E2006" t="s">
        <v>17</v>
      </c>
      <c r="F2006" t="s">
        <v>381</v>
      </c>
      <c r="G2006" t="s">
        <v>608</v>
      </c>
      <c r="H2006" t="s">
        <v>52</v>
      </c>
    </row>
    <row r="2007" spans="1:8" x14ac:dyDescent="0.2">
      <c r="A2007" t="s">
        <v>662</v>
      </c>
      <c r="B2007" t="s">
        <v>663</v>
      </c>
      <c r="C2007" t="s">
        <v>16</v>
      </c>
      <c r="D2007">
        <v>4</v>
      </c>
      <c r="E2007" t="s">
        <v>21</v>
      </c>
      <c r="F2007" t="s">
        <v>380</v>
      </c>
      <c r="G2007" t="s">
        <v>608</v>
      </c>
      <c r="H2007" t="s">
        <v>52</v>
      </c>
    </row>
    <row r="2008" spans="1:8" x14ac:dyDescent="0.2">
      <c r="A2008" t="s">
        <v>665</v>
      </c>
      <c r="B2008" t="s">
        <v>663</v>
      </c>
      <c r="C2008" t="s">
        <v>16</v>
      </c>
      <c r="D2008">
        <v>4</v>
      </c>
      <c r="E2008" t="s">
        <v>21</v>
      </c>
      <c r="F2008" t="s">
        <v>380</v>
      </c>
      <c r="G2008" t="s">
        <v>608</v>
      </c>
      <c r="H2008" t="s">
        <v>52</v>
      </c>
    </row>
    <row r="2009" spans="1:8" x14ac:dyDescent="0.2">
      <c r="A2009" t="s">
        <v>667</v>
      </c>
      <c r="B2009" t="s">
        <v>663</v>
      </c>
      <c r="C2009" t="s">
        <v>18</v>
      </c>
      <c r="D2009">
        <v>2</v>
      </c>
      <c r="E2009" t="s">
        <v>17</v>
      </c>
      <c r="F2009" t="s">
        <v>380</v>
      </c>
      <c r="G2009" t="s">
        <v>608</v>
      </c>
      <c r="H2009" t="s">
        <v>52</v>
      </c>
    </row>
    <row r="2010" spans="1:8" x14ac:dyDescent="0.2">
      <c r="A2010" t="s">
        <v>668</v>
      </c>
      <c r="B2010" t="s">
        <v>663</v>
      </c>
      <c r="C2010" t="s">
        <v>18</v>
      </c>
      <c r="D2010">
        <v>1</v>
      </c>
      <c r="E2010" t="s">
        <v>17</v>
      </c>
      <c r="F2010" t="s">
        <v>380</v>
      </c>
      <c r="G2010" t="s">
        <v>608</v>
      </c>
      <c r="H2010" t="s">
        <v>52</v>
      </c>
    </row>
    <row r="2011" spans="1:8" x14ac:dyDescent="0.2">
      <c r="A2011" t="s">
        <v>670</v>
      </c>
      <c r="B2011" t="s">
        <v>663</v>
      </c>
      <c r="C2011" t="s">
        <v>19</v>
      </c>
      <c r="D2011">
        <v>2</v>
      </c>
      <c r="E2011" t="s">
        <v>17</v>
      </c>
      <c r="F2011" t="s">
        <v>380</v>
      </c>
      <c r="G2011" t="s">
        <v>608</v>
      </c>
      <c r="H2011" t="s">
        <v>52</v>
      </c>
    </row>
    <row r="2012" spans="1:8" x14ac:dyDescent="0.2">
      <c r="A2012" t="s">
        <v>671</v>
      </c>
      <c r="B2012" t="s">
        <v>672</v>
      </c>
      <c r="C2012" t="s">
        <v>18</v>
      </c>
      <c r="D2012">
        <v>2</v>
      </c>
      <c r="E2012" t="s">
        <v>21</v>
      </c>
      <c r="F2012" t="s">
        <v>380</v>
      </c>
      <c r="G2012" t="s">
        <v>608</v>
      </c>
      <c r="H2012" t="s">
        <v>52</v>
      </c>
    </row>
    <row r="2013" spans="1:8" x14ac:dyDescent="0.2">
      <c r="A2013" t="s">
        <v>673</v>
      </c>
      <c r="B2013" t="s">
        <v>672</v>
      </c>
      <c r="C2013" t="s">
        <v>18</v>
      </c>
      <c r="D2013">
        <v>3</v>
      </c>
      <c r="E2013" t="s">
        <v>17</v>
      </c>
      <c r="F2013" t="s">
        <v>380</v>
      </c>
      <c r="G2013" t="s">
        <v>608</v>
      </c>
      <c r="H2013" t="s">
        <v>52</v>
      </c>
    </row>
    <row r="2014" spans="1:8" x14ac:dyDescent="0.2">
      <c r="A2014" t="s">
        <v>674</v>
      </c>
      <c r="B2014" t="s">
        <v>672</v>
      </c>
      <c r="C2014" t="s">
        <v>19</v>
      </c>
      <c r="D2014">
        <v>2</v>
      </c>
      <c r="E2014" t="s">
        <v>21</v>
      </c>
      <c r="F2014" t="s">
        <v>380</v>
      </c>
      <c r="G2014" t="s">
        <v>608</v>
      </c>
      <c r="H2014" t="s">
        <v>52</v>
      </c>
    </row>
    <row r="2015" spans="1:8" x14ac:dyDescent="0.2">
      <c r="A2015" t="s">
        <v>675</v>
      </c>
      <c r="B2015" t="s">
        <v>672</v>
      </c>
      <c r="C2015" t="s">
        <v>18</v>
      </c>
      <c r="D2015">
        <v>2</v>
      </c>
      <c r="E2015" t="s">
        <v>21</v>
      </c>
      <c r="F2015" t="s">
        <v>380</v>
      </c>
      <c r="G2015" t="s">
        <v>608</v>
      </c>
      <c r="H2015" t="s">
        <v>52</v>
      </c>
    </row>
    <row r="2016" spans="1:8" x14ac:dyDescent="0.2">
      <c r="A2016" t="s">
        <v>676</v>
      </c>
      <c r="B2016" t="s">
        <v>672</v>
      </c>
      <c r="C2016" t="s">
        <v>18</v>
      </c>
      <c r="D2016">
        <v>2</v>
      </c>
      <c r="E2016" t="s">
        <v>17</v>
      </c>
      <c r="F2016" t="s">
        <v>380</v>
      </c>
      <c r="G2016" t="s">
        <v>608</v>
      </c>
      <c r="H2016" t="s">
        <v>52</v>
      </c>
    </row>
    <row r="2017" spans="1:8" x14ac:dyDescent="0.2">
      <c r="A2017" t="s">
        <v>677</v>
      </c>
      <c r="B2017" t="s">
        <v>678</v>
      </c>
      <c r="C2017" t="s">
        <v>18</v>
      </c>
      <c r="D2017">
        <v>2</v>
      </c>
      <c r="E2017" t="s">
        <v>17</v>
      </c>
      <c r="F2017" t="s">
        <v>380</v>
      </c>
      <c r="G2017" t="s">
        <v>608</v>
      </c>
      <c r="H2017" t="s">
        <v>52</v>
      </c>
    </row>
    <row r="2018" spans="1:8" x14ac:dyDescent="0.2">
      <c r="A2018" t="s">
        <v>679</v>
      </c>
      <c r="B2018" t="s">
        <v>678</v>
      </c>
      <c r="C2018" t="s">
        <v>18</v>
      </c>
      <c r="D2018">
        <v>2</v>
      </c>
      <c r="E2018" t="s">
        <v>17</v>
      </c>
      <c r="F2018" t="s">
        <v>380</v>
      </c>
      <c r="G2018" t="s">
        <v>608</v>
      </c>
      <c r="H2018" t="s">
        <v>52</v>
      </c>
    </row>
    <row r="2019" spans="1:8" x14ac:dyDescent="0.2">
      <c r="A2019" t="s">
        <v>680</v>
      </c>
      <c r="B2019" t="s">
        <v>678</v>
      </c>
      <c r="C2019" t="s">
        <v>18</v>
      </c>
      <c r="D2019">
        <v>2</v>
      </c>
      <c r="E2019" t="s">
        <v>21</v>
      </c>
      <c r="F2019" t="s">
        <v>380</v>
      </c>
      <c r="G2019" t="s">
        <v>608</v>
      </c>
      <c r="H2019" t="s">
        <v>52</v>
      </c>
    </row>
    <row r="2020" spans="1:8" x14ac:dyDescent="0.2">
      <c r="A2020" t="s">
        <v>682</v>
      </c>
      <c r="B2020" t="s">
        <v>678</v>
      </c>
      <c r="C2020" t="s">
        <v>19</v>
      </c>
      <c r="D2020">
        <v>2</v>
      </c>
      <c r="E2020" t="s">
        <v>17</v>
      </c>
      <c r="F2020" t="s">
        <v>380</v>
      </c>
      <c r="G2020" t="s">
        <v>608</v>
      </c>
      <c r="H2020" t="s">
        <v>52</v>
      </c>
    </row>
    <row r="2021" spans="1:8" x14ac:dyDescent="0.2">
      <c r="A2021" t="s">
        <v>683</v>
      </c>
      <c r="B2021" t="s">
        <v>678</v>
      </c>
      <c r="C2021" t="s">
        <v>19</v>
      </c>
      <c r="D2021">
        <v>2</v>
      </c>
      <c r="E2021" t="s">
        <v>21</v>
      </c>
      <c r="F2021" t="s">
        <v>380</v>
      </c>
      <c r="G2021" t="s">
        <v>608</v>
      </c>
      <c r="H2021" t="s">
        <v>52</v>
      </c>
    </row>
    <row r="2022" spans="1:8" x14ac:dyDescent="0.2">
      <c r="A2022" t="s">
        <v>996</v>
      </c>
      <c r="B2022" t="s">
        <v>997</v>
      </c>
      <c r="C2022" t="s">
        <v>18</v>
      </c>
      <c r="D2022">
        <v>2</v>
      </c>
      <c r="E2022" t="s">
        <v>17</v>
      </c>
      <c r="F2022" t="s">
        <v>380</v>
      </c>
      <c r="G2022" t="s">
        <v>608</v>
      </c>
      <c r="H2022" t="s">
        <v>52</v>
      </c>
    </row>
    <row r="2023" spans="1:8" x14ac:dyDescent="0.2">
      <c r="A2023" t="s">
        <v>998</v>
      </c>
      <c r="B2023" t="s">
        <v>997</v>
      </c>
      <c r="C2023" t="s">
        <v>18</v>
      </c>
      <c r="D2023">
        <v>1</v>
      </c>
      <c r="E2023" t="s">
        <v>17</v>
      </c>
      <c r="F2023" t="s">
        <v>380</v>
      </c>
      <c r="G2023" t="s">
        <v>608</v>
      </c>
      <c r="H2023" t="s">
        <v>52</v>
      </c>
    </row>
    <row r="2024" spans="1:8" x14ac:dyDescent="0.2">
      <c r="A2024" t="s">
        <v>999</v>
      </c>
      <c r="B2024" t="s">
        <v>997</v>
      </c>
      <c r="C2024" t="s">
        <v>18</v>
      </c>
      <c r="D2024">
        <v>2</v>
      </c>
      <c r="E2024" t="s">
        <v>17</v>
      </c>
      <c r="F2024" t="s">
        <v>380</v>
      </c>
      <c r="G2024" t="s">
        <v>608</v>
      </c>
      <c r="H2024" t="s">
        <v>52</v>
      </c>
    </row>
    <row r="2025" spans="1:8" x14ac:dyDescent="0.2">
      <c r="A2025" t="s">
        <v>1000</v>
      </c>
      <c r="B2025" t="s">
        <v>997</v>
      </c>
      <c r="C2025" t="s">
        <v>19</v>
      </c>
      <c r="D2025">
        <v>2</v>
      </c>
      <c r="E2025" t="s">
        <v>17</v>
      </c>
      <c r="F2025" t="s">
        <v>380</v>
      </c>
      <c r="G2025" t="s">
        <v>608</v>
      </c>
      <c r="H2025" t="s">
        <v>52</v>
      </c>
    </row>
    <row r="2026" spans="1:8" x14ac:dyDescent="0.2">
      <c r="A2026" t="s">
        <v>1001</v>
      </c>
      <c r="B2026" t="s">
        <v>997</v>
      </c>
      <c r="C2026" t="s">
        <v>18</v>
      </c>
      <c r="D2026">
        <v>2</v>
      </c>
      <c r="E2026" t="s">
        <v>17</v>
      </c>
      <c r="F2026" t="s">
        <v>380</v>
      </c>
      <c r="G2026" t="s">
        <v>608</v>
      </c>
      <c r="H2026" t="s">
        <v>52</v>
      </c>
    </row>
    <row r="2027" spans="1:8" x14ac:dyDescent="0.2">
      <c r="A2027" t="s">
        <v>1002</v>
      </c>
      <c r="B2027" t="s">
        <v>1003</v>
      </c>
      <c r="C2027" t="s">
        <v>18</v>
      </c>
      <c r="D2027">
        <v>2</v>
      </c>
      <c r="E2027" t="s">
        <v>17</v>
      </c>
      <c r="F2027" t="s">
        <v>380</v>
      </c>
      <c r="G2027" t="s">
        <v>608</v>
      </c>
      <c r="H2027" t="s">
        <v>52</v>
      </c>
    </row>
    <row r="2028" spans="1:8" x14ac:dyDescent="0.2">
      <c r="A2028" t="s">
        <v>1004</v>
      </c>
      <c r="B2028" t="s">
        <v>1003</v>
      </c>
      <c r="C2028" t="s">
        <v>16</v>
      </c>
      <c r="D2028">
        <v>4</v>
      </c>
      <c r="E2028" t="s">
        <v>17</v>
      </c>
      <c r="F2028" t="s">
        <v>380</v>
      </c>
      <c r="G2028" t="s">
        <v>608</v>
      </c>
      <c r="H2028" t="s">
        <v>52</v>
      </c>
    </row>
    <row r="2029" spans="1:8" x14ac:dyDescent="0.2">
      <c r="A2029" t="s">
        <v>1006</v>
      </c>
      <c r="B2029" t="s">
        <v>1003</v>
      </c>
      <c r="C2029" t="s">
        <v>18</v>
      </c>
      <c r="D2029">
        <v>2</v>
      </c>
      <c r="E2029" t="s">
        <v>17</v>
      </c>
      <c r="F2029" t="s">
        <v>380</v>
      </c>
      <c r="G2029" t="s">
        <v>608</v>
      </c>
      <c r="H2029" t="s">
        <v>52</v>
      </c>
    </row>
    <row r="2030" spans="1:8" x14ac:dyDescent="0.2">
      <c r="A2030" t="s">
        <v>1007</v>
      </c>
      <c r="B2030" t="s">
        <v>1003</v>
      </c>
      <c r="C2030" t="s">
        <v>18</v>
      </c>
      <c r="D2030">
        <v>2</v>
      </c>
      <c r="E2030" t="s">
        <v>21</v>
      </c>
      <c r="F2030" t="s">
        <v>380</v>
      </c>
      <c r="G2030" t="s">
        <v>608</v>
      </c>
      <c r="H2030" t="s">
        <v>52</v>
      </c>
    </row>
    <row r="2031" spans="1:8" x14ac:dyDescent="0.2">
      <c r="A2031" t="s">
        <v>1008</v>
      </c>
      <c r="B2031" t="s">
        <v>1003</v>
      </c>
      <c r="C2031" t="s">
        <v>19</v>
      </c>
      <c r="D2031">
        <v>2</v>
      </c>
      <c r="E2031" t="s">
        <v>17</v>
      </c>
      <c r="F2031" t="s">
        <v>380</v>
      </c>
      <c r="G2031" t="s">
        <v>608</v>
      </c>
      <c r="H2031" t="s">
        <v>52</v>
      </c>
    </row>
    <row r="2032" spans="1:8" x14ac:dyDescent="0.2">
      <c r="A2032" t="s">
        <v>1009</v>
      </c>
      <c r="B2032" t="s">
        <v>1010</v>
      </c>
      <c r="C2032" t="s">
        <v>18</v>
      </c>
      <c r="D2032">
        <v>2</v>
      </c>
      <c r="E2032" t="s">
        <v>17</v>
      </c>
      <c r="F2032" t="s">
        <v>380</v>
      </c>
      <c r="G2032" t="s">
        <v>608</v>
      </c>
      <c r="H2032" t="s">
        <v>52</v>
      </c>
    </row>
    <row r="2033" spans="1:8" x14ac:dyDescent="0.2">
      <c r="A2033" t="s">
        <v>1011</v>
      </c>
      <c r="B2033" t="s">
        <v>1010</v>
      </c>
      <c r="C2033" t="s">
        <v>18</v>
      </c>
      <c r="D2033">
        <v>2</v>
      </c>
      <c r="E2033" t="s">
        <v>17</v>
      </c>
      <c r="F2033" t="s">
        <v>380</v>
      </c>
      <c r="G2033" t="s">
        <v>608</v>
      </c>
      <c r="H2033" t="s">
        <v>52</v>
      </c>
    </row>
    <row r="2034" spans="1:8" x14ac:dyDescent="0.2">
      <c r="A2034" t="s">
        <v>1012</v>
      </c>
      <c r="B2034" t="s">
        <v>1010</v>
      </c>
      <c r="C2034" t="s">
        <v>18</v>
      </c>
      <c r="D2034">
        <v>2</v>
      </c>
      <c r="E2034" t="s">
        <v>17</v>
      </c>
      <c r="F2034" t="s">
        <v>380</v>
      </c>
      <c r="G2034" t="s">
        <v>608</v>
      </c>
      <c r="H2034" t="s">
        <v>52</v>
      </c>
    </row>
    <row r="2035" spans="1:8" x14ac:dyDescent="0.2">
      <c r="A2035" t="s">
        <v>1013</v>
      </c>
      <c r="B2035" t="s">
        <v>1010</v>
      </c>
      <c r="C2035" t="s">
        <v>18</v>
      </c>
      <c r="D2035">
        <v>2</v>
      </c>
      <c r="E2035" t="s">
        <v>17</v>
      </c>
      <c r="F2035" t="s">
        <v>380</v>
      </c>
      <c r="G2035" t="s">
        <v>608</v>
      </c>
      <c r="H2035" t="s">
        <v>52</v>
      </c>
    </row>
    <row r="2036" spans="1:8" x14ac:dyDescent="0.2">
      <c r="A2036" t="s">
        <v>1014</v>
      </c>
      <c r="B2036" t="s">
        <v>1010</v>
      </c>
      <c r="C2036" t="s">
        <v>19</v>
      </c>
      <c r="D2036">
        <v>2</v>
      </c>
      <c r="E2036" t="s">
        <v>17</v>
      </c>
      <c r="F2036" t="s">
        <v>380</v>
      </c>
      <c r="G2036" t="s">
        <v>608</v>
      </c>
      <c r="H2036" t="s">
        <v>52</v>
      </c>
    </row>
    <row r="2037" spans="1:8" x14ac:dyDescent="0.2">
      <c r="A2037" t="s">
        <v>3107</v>
      </c>
      <c r="B2037" t="s">
        <v>1523</v>
      </c>
      <c r="C2037" t="s">
        <v>18</v>
      </c>
      <c r="D2037">
        <v>2</v>
      </c>
      <c r="E2037" t="s">
        <v>17</v>
      </c>
      <c r="F2037" t="s">
        <v>380</v>
      </c>
      <c r="G2037" t="s">
        <v>608</v>
      </c>
      <c r="H2037" t="s">
        <v>910</v>
      </c>
    </row>
    <row r="2038" spans="1:8" x14ac:dyDescent="0.2">
      <c r="A2038" t="s">
        <v>3108</v>
      </c>
      <c r="B2038" t="s">
        <v>1523</v>
      </c>
      <c r="C2038" t="s">
        <v>18</v>
      </c>
      <c r="D2038">
        <v>2</v>
      </c>
      <c r="E2038" t="s">
        <v>17</v>
      </c>
      <c r="F2038" t="s">
        <v>380</v>
      </c>
      <c r="G2038" t="s">
        <v>608</v>
      </c>
      <c r="H2038" t="s">
        <v>910</v>
      </c>
    </row>
    <row r="2039" spans="1:8" x14ac:dyDescent="0.2">
      <c r="A2039" t="s">
        <v>3109</v>
      </c>
      <c r="B2039" t="s">
        <v>1523</v>
      </c>
      <c r="C2039" t="s">
        <v>19</v>
      </c>
      <c r="D2039">
        <v>2</v>
      </c>
      <c r="E2039" t="s">
        <v>21</v>
      </c>
      <c r="F2039" t="s">
        <v>380</v>
      </c>
      <c r="G2039" t="s">
        <v>608</v>
      </c>
      <c r="H2039" t="s">
        <v>910</v>
      </c>
    </row>
    <row r="2040" spans="1:8" x14ac:dyDescent="0.2">
      <c r="A2040" t="s">
        <v>3110</v>
      </c>
      <c r="B2040" t="s">
        <v>1523</v>
      </c>
      <c r="C2040" t="s">
        <v>18</v>
      </c>
      <c r="D2040">
        <v>2</v>
      </c>
      <c r="E2040" t="s">
        <v>21</v>
      </c>
      <c r="F2040" t="s">
        <v>380</v>
      </c>
      <c r="G2040" t="s">
        <v>608</v>
      </c>
      <c r="H2040" t="s">
        <v>910</v>
      </c>
    </row>
    <row r="2041" spans="1:8" x14ac:dyDescent="0.2">
      <c r="A2041" t="s">
        <v>3111</v>
      </c>
      <c r="B2041" t="s">
        <v>1523</v>
      </c>
      <c r="C2041" t="s">
        <v>18</v>
      </c>
      <c r="D2041">
        <v>2</v>
      </c>
      <c r="E2041" t="s">
        <v>17</v>
      </c>
      <c r="F2041" t="s">
        <v>380</v>
      </c>
      <c r="G2041" t="s">
        <v>608</v>
      </c>
      <c r="H2041" t="s">
        <v>910</v>
      </c>
    </row>
    <row r="2042" spans="1:8" x14ac:dyDescent="0.2">
      <c r="A2042" t="s">
        <v>3112</v>
      </c>
      <c r="B2042" t="s">
        <v>1525</v>
      </c>
      <c r="C2042" t="s">
        <v>18</v>
      </c>
      <c r="D2042">
        <v>2</v>
      </c>
      <c r="E2042" t="s">
        <v>17</v>
      </c>
      <c r="F2042" t="s">
        <v>380</v>
      </c>
      <c r="G2042" t="s">
        <v>608</v>
      </c>
      <c r="H2042" t="s">
        <v>910</v>
      </c>
    </row>
    <row r="2043" spans="1:8" x14ac:dyDescent="0.2">
      <c r="A2043" t="s">
        <v>3113</v>
      </c>
      <c r="B2043" t="s">
        <v>1525</v>
      </c>
      <c r="C2043" t="s">
        <v>19</v>
      </c>
      <c r="D2043">
        <v>2</v>
      </c>
      <c r="E2043" t="s">
        <v>17</v>
      </c>
      <c r="F2043" t="s">
        <v>380</v>
      </c>
      <c r="G2043" t="s">
        <v>608</v>
      </c>
      <c r="H2043" t="s">
        <v>910</v>
      </c>
    </row>
    <row r="2044" spans="1:8" x14ac:dyDescent="0.2">
      <c r="A2044" t="s">
        <v>3114</v>
      </c>
      <c r="B2044" t="s">
        <v>1525</v>
      </c>
      <c r="C2044" t="s">
        <v>18</v>
      </c>
      <c r="D2044">
        <v>2</v>
      </c>
      <c r="E2044" t="s">
        <v>21</v>
      </c>
      <c r="F2044" t="s">
        <v>380</v>
      </c>
      <c r="G2044" t="s">
        <v>608</v>
      </c>
      <c r="H2044" t="s">
        <v>910</v>
      </c>
    </row>
    <row r="2045" spans="1:8" x14ac:dyDescent="0.2">
      <c r="A2045" t="s">
        <v>3115</v>
      </c>
      <c r="B2045" t="s">
        <v>1525</v>
      </c>
      <c r="C2045" t="s">
        <v>18</v>
      </c>
      <c r="D2045">
        <v>2</v>
      </c>
      <c r="E2045" t="s">
        <v>21</v>
      </c>
      <c r="F2045" t="s">
        <v>380</v>
      </c>
      <c r="G2045" t="s">
        <v>608</v>
      </c>
      <c r="H2045" t="s">
        <v>910</v>
      </c>
    </row>
    <row r="2046" spans="1:8" x14ac:dyDescent="0.2">
      <c r="A2046" t="s">
        <v>3116</v>
      </c>
      <c r="B2046" t="s">
        <v>1525</v>
      </c>
      <c r="C2046" t="s">
        <v>18</v>
      </c>
      <c r="D2046">
        <v>2</v>
      </c>
      <c r="E2046" t="s">
        <v>17</v>
      </c>
      <c r="F2046" t="s">
        <v>380</v>
      </c>
      <c r="G2046" t="s">
        <v>608</v>
      </c>
      <c r="H2046" t="s">
        <v>910</v>
      </c>
    </row>
    <row r="2047" spans="1:8" x14ac:dyDescent="0.2">
      <c r="A2047" t="s">
        <v>3117</v>
      </c>
      <c r="B2047" t="s">
        <v>1527</v>
      </c>
      <c r="C2047" t="s">
        <v>19</v>
      </c>
      <c r="D2047">
        <v>2</v>
      </c>
      <c r="E2047" t="s">
        <v>17</v>
      </c>
      <c r="F2047" t="s">
        <v>380</v>
      </c>
      <c r="G2047" t="s">
        <v>608</v>
      </c>
      <c r="H2047" t="s">
        <v>910</v>
      </c>
    </row>
    <row r="2048" spans="1:8" x14ac:dyDescent="0.2">
      <c r="A2048" t="s">
        <v>3118</v>
      </c>
      <c r="B2048" t="s">
        <v>1527</v>
      </c>
      <c r="C2048" t="s">
        <v>19</v>
      </c>
      <c r="D2048">
        <v>2</v>
      </c>
      <c r="E2048" t="s">
        <v>17</v>
      </c>
      <c r="F2048" t="s">
        <v>380</v>
      </c>
      <c r="G2048" t="s">
        <v>608</v>
      </c>
      <c r="H2048" t="s">
        <v>910</v>
      </c>
    </row>
    <row r="2049" spans="1:8" x14ac:dyDescent="0.2">
      <c r="A2049" t="s">
        <v>3119</v>
      </c>
      <c r="B2049" t="s">
        <v>1527</v>
      </c>
      <c r="C2049" t="s">
        <v>19</v>
      </c>
      <c r="D2049">
        <v>2</v>
      </c>
      <c r="E2049" t="s">
        <v>17</v>
      </c>
      <c r="F2049" t="s">
        <v>380</v>
      </c>
      <c r="G2049" t="s">
        <v>608</v>
      </c>
      <c r="H2049" t="s">
        <v>910</v>
      </c>
    </row>
    <row r="2050" spans="1:8" x14ac:dyDescent="0.2">
      <c r="A2050" t="s">
        <v>3120</v>
      </c>
      <c r="B2050" t="s">
        <v>1527</v>
      </c>
      <c r="C2050" t="s">
        <v>18</v>
      </c>
      <c r="D2050">
        <v>2</v>
      </c>
      <c r="E2050" t="s">
        <v>17</v>
      </c>
      <c r="F2050" t="s">
        <v>380</v>
      </c>
      <c r="G2050" t="s">
        <v>608</v>
      </c>
      <c r="H2050" t="s">
        <v>910</v>
      </c>
    </row>
    <row r="2051" spans="1:8" x14ac:dyDescent="0.2">
      <c r="A2051" t="s">
        <v>3121</v>
      </c>
      <c r="B2051" t="s">
        <v>1527</v>
      </c>
      <c r="C2051" t="s">
        <v>18</v>
      </c>
      <c r="D2051">
        <v>2</v>
      </c>
      <c r="E2051" t="s">
        <v>21</v>
      </c>
      <c r="F2051" t="s">
        <v>380</v>
      </c>
      <c r="G2051" t="s">
        <v>608</v>
      </c>
      <c r="H2051" t="s">
        <v>910</v>
      </c>
    </row>
    <row r="2052" spans="1:8" x14ac:dyDescent="0.2">
      <c r="A2052" t="s">
        <v>3122</v>
      </c>
      <c r="B2052" t="s">
        <v>1535</v>
      </c>
      <c r="C2052" t="s">
        <v>18</v>
      </c>
      <c r="D2052">
        <v>2</v>
      </c>
      <c r="E2052" t="s">
        <v>17</v>
      </c>
      <c r="F2052" t="s">
        <v>380</v>
      </c>
      <c r="G2052" t="s">
        <v>608</v>
      </c>
      <c r="H2052" t="s">
        <v>910</v>
      </c>
    </row>
    <row r="2053" spans="1:8" x14ac:dyDescent="0.2">
      <c r="A2053" t="s">
        <v>3123</v>
      </c>
      <c r="B2053" t="s">
        <v>1535</v>
      </c>
      <c r="C2053" t="s">
        <v>18</v>
      </c>
      <c r="D2053">
        <v>2</v>
      </c>
      <c r="E2053" t="s">
        <v>17</v>
      </c>
      <c r="F2053" t="s">
        <v>380</v>
      </c>
      <c r="G2053" t="s">
        <v>608</v>
      </c>
      <c r="H2053" t="s">
        <v>910</v>
      </c>
    </row>
    <row r="2054" spans="1:8" x14ac:dyDescent="0.2">
      <c r="A2054" t="s">
        <v>3124</v>
      </c>
      <c r="B2054" t="s">
        <v>1535</v>
      </c>
      <c r="C2054" t="s">
        <v>16</v>
      </c>
      <c r="D2054">
        <v>4</v>
      </c>
      <c r="E2054" t="s">
        <v>17</v>
      </c>
      <c r="F2054" t="s">
        <v>380</v>
      </c>
      <c r="G2054" t="s">
        <v>608</v>
      </c>
      <c r="H2054" t="s">
        <v>910</v>
      </c>
    </row>
    <row r="2055" spans="1:8" x14ac:dyDescent="0.2">
      <c r="A2055" t="s">
        <v>3125</v>
      </c>
      <c r="B2055" t="s">
        <v>1535</v>
      </c>
      <c r="C2055" t="s">
        <v>19</v>
      </c>
      <c r="D2055">
        <v>2</v>
      </c>
      <c r="E2055" t="s">
        <v>17</v>
      </c>
      <c r="F2055" t="s">
        <v>380</v>
      </c>
      <c r="G2055" t="s">
        <v>608</v>
      </c>
      <c r="H2055" t="s">
        <v>910</v>
      </c>
    </row>
    <row r="2056" spans="1:8" x14ac:dyDescent="0.2">
      <c r="A2056" t="s">
        <v>3126</v>
      </c>
      <c r="B2056" t="s">
        <v>1535</v>
      </c>
      <c r="C2056" t="s">
        <v>18</v>
      </c>
      <c r="D2056">
        <v>2</v>
      </c>
      <c r="E2056" t="s">
        <v>17</v>
      </c>
      <c r="F2056" t="s">
        <v>381</v>
      </c>
      <c r="G2056" t="s">
        <v>608</v>
      </c>
      <c r="H2056" t="s">
        <v>910</v>
      </c>
    </row>
    <row r="2057" spans="1:8" x14ac:dyDescent="0.2">
      <c r="A2057" t="s">
        <v>3127</v>
      </c>
      <c r="B2057" t="s">
        <v>1537</v>
      </c>
      <c r="C2057" t="s">
        <v>16</v>
      </c>
      <c r="D2057" t="s">
        <v>16</v>
      </c>
      <c r="E2057" t="s">
        <v>17</v>
      </c>
      <c r="F2057" t="s">
        <v>381</v>
      </c>
      <c r="G2057" t="s">
        <v>608</v>
      </c>
      <c r="H2057" t="s">
        <v>910</v>
      </c>
    </row>
    <row r="2058" spans="1:8" x14ac:dyDescent="0.2">
      <c r="A2058" t="s">
        <v>3128</v>
      </c>
      <c r="B2058" t="s">
        <v>1537</v>
      </c>
      <c r="C2058" t="s">
        <v>18</v>
      </c>
      <c r="D2058">
        <v>2</v>
      </c>
      <c r="E2058" t="s">
        <v>17</v>
      </c>
      <c r="F2058" t="s">
        <v>380</v>
      </c>
      <c r="G2058" t="s">
        <v>608</v>
      </c>
      <c r="H2058" t="s">
        <v>910</v>
      </c>
    </row>
    <row r="2059" spans="1:8" x14ac:dyDescent="0.2">
      <c r="A2059" t="s">
        <v>3129</v>
      </c>
      <c r="B2059" t="s">
        <v>1537</v>
      </c>
      <c r="C2059" t="s">
        <v>16</v>
      </c>
      <c r="D2059" t="s">
        <v>16</v>
      </c>
      <c r="E2059" t="s">
        <v>17</v>
      </c>
      <c r="F2059" t="s">
        <v>381</v>
      </c>
      <c r="G2059" t="s">
        <v>608</v>
      </c>
      <c r="H2059" t="s">
        <v>910</v>
      </c>
    </row>
    <row r="2060" spans="1:8" x14ac:dyDescent="0.2">
      <c r="A2060" t="s">
        <v>3130</v>
      </c>
      <c r="B2060" t="s">
        <v>1537</v>
      </c>
      <c r="C2060" t="s">
        <v>16</v>
      </c>
      <c r="D2060" t="s">
        <v>16</v>
      </c>
      <c r="E2060" t="s">
        <v>17</v>
      </c>
      <c r="F2060" t="s">
        <v>381</v>
      </c>
      <c r="G2060" t="s">
        <v>608</v>
      </c>
      <c r="H2060" t="s">
        <v>910</v>
      </c>
    </row>
    <row r="2061" spans="1:8" x14ac:dyDescent="0.2">
      <c r="A2061" t="s">
        <v>3131</v>
      </c>
      <c r="B2061" t="s">
        <v>1537</v>
      </c>
      <c r="C2061" t="s">
        <v>18</v>
      </c>
      <c r="D2061">
        <v>2</v>
      </c>
      <c r="E2061" t="s">
        <v>17</v>
      </c>
      <c r="F2061" t="s">
        <v>380</v>
      </c>
      <c r="G2061" t="s">
        <v>608</v>
      </c>
      <c r="H2061" t="s">
        <v>910</v>
      </c>
    </row>
    <row r="2062" spans="1:8" x14ac:dyDescent="0.2">
      <c r="A2062" t="s">
        <v>3132</v>
      </c>
      <c r="B2062" t="s">
        <v>1539</v>
      </c>
      <c r="C2062" t="s">
        <v>18</v>
      </c>
      <c r="D2062">
        <v>2</v>
      </c>
      <c r="E2062" t="s">
        <v>17</v>
      </c>
      <c r="F2062" t="s">
        <v>380</v>
      </c>
      <c r="G2062" t="s">
        <v>608</v>
      </c>
      <c r="H2062" t="s">
        <v>910</v>
      </c>
    </row>
    <row r="2063" spans="1:8" x14ac:dyDescent="0.2">
      <c r="A2063" t="s">
        <v>3133</v>
      </c>
      <c r="B2063" t="s">
        <v>1539</v>
      </c>
      <c r="C2063" t="s">
        <v>18</v>
      </c>
      <c r="D2063">
        <v>2</v>
      </c>
      <c r="E2063" t="s">
        <v>17</v>
      </c>
      <c r="F2063" t="s">
        <v>380</v>
      </c>
      <c r="G2063" t="s">
        <v>608</v>
      </c>
      <c r="H2063" t="s">
        <v>910</v>
      </c>
    </row>
    <row r="2064" spans="1:8" x14ac:dyDescent="0.2">
      <c r="A2064" t="s">
        <v>3134</v>
      </c>
      <c r="B2064" t="s">
        <v>1539</v>
      </c>
      <c r="C2064" t="s">
        <v>18</v>
      </c>
      <c r="D2064">
        <v>2</v>
      </c>
      <c r="E2064" t="s">
        <v>17</v>
      </c>
      <c r="F2064" t="s">
        <v>380</v>
      </c>
      <c r="G2064" t="s">
        <v>608</v>
      </c>
      <c r="H2064" t="s">
        <v>910</v>
      </c>
    </row>
    <row r="2065" spans="1:8" x14ac:dyDescent="0.2">
      <c r="A2065" t="s">
        <v>3135</v>
      </c>
      <c r="B2065" t="s">
        <v>1539</v>
      </c>
      <c r="C2065" t="s">
        <v>19</v>
      </c>
      <c r="D2065">
        <v>2</v>
      </c>
      <c r="E2065" t="s">
        <v>17</v>
      </c>
      <c r="F2065" t="s">
        <v>380</v>
      </c>
      <c r="G2065" t="s">
        <v>608</v>
      </c>
      <c r="H2065" t="s">
        <v>910</v>
      </c>
    </row>
    <row r="2066" spans="1:8" x14ac:dyDescent="0.2">
      <c r="A2066" t="s">
        <v>3136</v>
      </c>
      <c r="B2066" t="s">
        <v>1539</v>
      </c>
      <c r="C2066" t="s">
        <v>19</v>
      </c>
      <c r="D2066">
        <v>2</v>
      </c>
      <c r="E2066" t="s">
        <v>17</v>
      </c>
      <c r="F2066" t="s">
        <v>380</v>
      </c>
      <c r="G2066" t="s">
        <v>608</v>
      </c>
      <c r="H2066" t="s">
        <v>910</v>
      </c>
    </row>
    <row r="2067" spans="1:8" x14ac:dyDescent="0.2">
      <c r="A2067" t="s">
        <v>3137</v>
      </c>
      <c r="B2067" t="s">
        <v>1547</v>
      </c>
      <c r="C2067" t="s">
        <v>18</v>
      </c>
      <c r="D2067">
        <v>2</v>
      </c>
      <c r="E2067" t="s">
        <v>17</v>
      </c>
      <c r="F2067" t="s">
        <v>380</v>
      </c>
      <c r="G2067" t="s">
        <v>608</v>
      </c>
      <c r="H2067" t="s">
        <v>910</v>
      </c>
    </row>
    <row r="2068" spans="1:8" x14ac:dyDescent="0.2">
      <c r="A2068" t="s">
        <v>3138</v>
      </c>
      <c r="B2068" t="s">
        <v>1547</v>
      </c>
      <c r="C2068" t="s">
        <v>18</v>
      </c>
      <c r="D2068">
        <v>2</v>
      </c>
      <c r="E2068" t="s">
        <v>17</v>
      </c>
      <c r="F2068" t="s">
        <v>380</v>
      </c>
      <c r="G2068" t="s">
        <v>608</v>
      </c>
      <c r="H2068" t="s">
        <v>910</v>
      </c>
    </row>
    <row r="2069" spans="1:8" x14ac:dyDescent="0.2">
      <c r="A2069" t="s">
        <v>3139</v>
      </c>
      <c r="B2069" t="s">
        <v>1547</v>
      </c>
      <c r="C2069" t="s">
        <v>18</v>
      </c>
      <c r="D2069">
        <v>2</v>
      </c>
      <c r="E2069" t="s">
        <v>17</v>
      </c>
      <c r="F2069" t="s">
        <v>380</v>
      </c>
      <c r="G2069" t="s">
        <v>608</v>
      </c>
      <c r="H2069" t="s">
        <v>910</v>
      </c>
    </row>
    <row r="2070" spans="1:8" x14ac:dyDescent="0.2">
      <c r="A2070" t="s">
        <v>3140</v>
      </c>
      <c r="B2070" t="s">
        <v>1547</v>
      </c>
      <c r="C2070" t="s">
        <v>18</v>
      </c>
      <c r="D2070">
        <v>2</v>
      </c>
      <c r="E2070" t="s">
        <v>17</v>
      </c>
      <c r="F2070" t="s">
        <v>380</v>
      </c>
      <c r="G2070" t="s">
        <v>608</v>
      </c>
      <c r="H2070" t="s">
        <v>910</v>
      </c>
    </row>
    <row r="2071" spans="1:8" x14ac:dyDescent="0.2">
      <c r="A2071" t="s">
        <v>3141</v>
      </c>
      <c r="B2071" t="s">
        <v>1547</v>
      </c>
      <c r="C2071" t="s">
        <v>18</v>
      </c>
      <c r="D2071">
        <v>2</v>
      </c>
      <c r="E2071" t="s">
        <v>17</v>
      </c>
      <c r="F2071" t="s">
        <v>380</v>
      </c>
      <c r="G2071" t="s">
        <v>608</v>
      </c>
      <c r="H2071" t="s">
        <v>910</v>
      </c>
    </row>
    <row r="2072" spans="1:8" x14ac:dyDescent="0.2">
      <c r="A2072" t="s">
        <v>3142</v>
      </c>
      <c r="B2072" t="s">
        <v>1549</v>
      </c>
      <c r="C2072" t="s">
        <v>19</v>
      </c>
      <c r="D2072">
        <v>2</v>
      </c>
      <c r="E2072" t="s">
        <v>17</v>
      </c>
      <c r="F2072" t="s">
        <v>380</v>
      </c>
      <c r="G2072" t="s">
        <v>608</v>
      </c>
      <c r="H2072" t="s">
        <v>910</v>
      </c>
    </row>
    <row r="2073" spans="1:8" x14ac:dyDescent="0.2">
      <c r="A2073" t="s">
        <v>3143</v>
      </c>
      <c r="B2073" t="s">
        <v>1549</v>
      </c>
      <c r="C2073" t="s">
        <v>18</v>
      </c>
      <c r="D2073">
        <v>2</v>
      </c>
      <c r="E2073" t="s">
        <v>21</v>
      </c>
      <c r="F2073" t="s">
        <v>380</v>
      </c>
      <c r="G2073" t="s">
        <v>608</v>
      </c>
      <c r="H2073" t="s">
        <v>910</v>
      </c>
    </row>
    <row r="2074" spans="1:8" x14ac:dyDescent="0.2">
      <c r="A2074" t="s">
        <v>3144</v>
      </c>
      <c r="B2074" t="s">
        <v>1549</v>
      </c>
      <c r="C2074" t="s">
        <v>19</v>
      </c>
      <c r="D2074">
        <v>2</v>
      </c>
      <c r="E2074" t="s">
        <v>17</v>
      </c>
      <c r="F2074" t="s">
        <v>380</v>
      </c>
      <c r="G2074" t="s">
        <v>608</v>
      </c>
      <c r="H2074" t="s">
        <v>910</v>
      </c>
    </row>
    <row r="2075" spans="1:8" x14ac:dyDescent="0.2">
      <c r="A2075" t="s">
        <v>3145</v>
      </c>
      <c r="B2075" t="s">
        <v>1549</v>
      </c>
      <c r="C2075" t="s">
        <v>19</v>
      </c>
      <c r="D2075">
        <v>2</v>
      </c>
      <c r="E2075" t="s">
        <v>17</v>
      </c>
      <c r="F2075" t="s">
        <v>380</v>
      </c>
      <c r="G2075" t="s">
        <v>608</v>
      </c>
      <c r="H2075" t="s">
        <v>910</v>
      </c>
    </row>
    <row r="2076" spans="1:8" x14ac:dyDescent="0.2">
      <c r="A2076" t="s">
        <v>3146</v>
      </c>
      <c r="B2076" t="s">
        <v>1549</v>
      </c>
      <c r="C2076" t="s">
        <v>18</v>
      </c>
      <c r="D2076">
        <v>2</v>
      </c>
      <c r="E2076" t="s">
        <v>17</v>
      </c>
      <c r="F2076" t="s">
        <v>380</v>
      </c>
      <c r="G2076" t="s">
        <v>608</v>
      </c>
      <c r="H2076" t="s">
        <v>910</v>
      </c>
    </row>
    <row r="2077" spans="1:8" x14ac:dyDescent="0.2">
      <c r="A2077" t="s">
        <v>3147</v>
      </c>
      <c r="B2077" t="s">
        <v>1551</v>
      </c>
      <c r="C2077" t="s">
        <v>18</v>
      </c>
      <c r="D2077">
        <v>2</v>
      </c>
      <c r="E2077" t="s">
        <v>17</v>
      </c>
      <c r="F2077" t="s">
        <v>380</v>
      </c>
      <c r="G2077" t="s">
        <v>608</v>
      </c>
      <c r="H2077" t="s">
        <v>910</v>
      </c>
    </row>
    <row r="2078" spans="1:8" x14ac:dyDescent="0.2">
      <c r="A2078" t="s">
        <v>3148</v>
      </c>
      <c r="B2078" t="s">
        <v>1551</v>
      </c>
      <c r="C2078" t="s">
        <v>19</v>
      </c>
      <c r="D2078">
        <v>3</v>
      </c>
      <c r="E2078" t="s">
        <v>17</v>
      </c>
      <c r="F2078" t="s">
        <v>380</v>
      </c>
      <c r="G2078" t="s">
        <v>608</v>
      </c>
      <c r="H2078" t="s">
        <v>910</v>
      </c>
    </row>
    <row r="2079" spans="1:8" x14ac:dyDescent="0.2">
      <c r="A2079" t="s">
        <v>3150</v>
      </c>
      <c r="B2079" t="s">
        <v>1551</v>
      </c>
      <c r="C2079" t="s">
        <v>18</v>
      </c>
      <c r="D2079">
        <v>2</v>
      </c>
      <c r="E2079" t="s">
        <v>17</v>
      </c>
      <c r="F2079" t="s">
        <v>380</v>
      </c>
      <c r="G2079" t="s">
        <v>608</v>
      </c>
      <c r="H2079" t="s">
        <v>910</v>
      </c>
    </row>
    <row r="2080" spans="1:8" x14ac:dyDescent="0.2">
      <c r="A2080" t="s">
        <v>3151</v>
      </c>
      <c r="B2080" t="s">
        <v>1551</v>
      </c>
      <c r="C2080" t="s">
        <v>18</v>
      </c>
      <c r="D2080">
        <v>2</v>
      </c>
      <c r="E2080" t="s">
        <v>17</v>
      </c>
      <c r="F2080" t="s">
        <v>380</v>
      </c>
      <c r="G2080" t="s">
        <v>608</v>
      </c>
      <c r="H2080" t="s">
        <v>910</v>
      </c>
    </row>
    <row r="2081" spans="1:8" x14ac:dyDescent="0.2">
      <c r="A2081" t="s">
        <v>3152</v>
      </c>
      <c r="B2081" t="s">
        <v>1551</v>
      </c>
      <c r="C2081" t="s">
        <v>18</v>
      </c>
      <c r="D2081">
        <v>2</v>
      </c>
      <c r="E2081" t="s">
        <v>17</v>
      </c>
      <c r="F2081" t="s">
        <v>380</v>
      </c>
      <c r="G2081" t="s">
        <v>608</v>
      </c>
      <c r="H2081" t="s">
        <v>910</v>
      </c>
    </row>
    <row r="2082" spans="1:8" x14ac:dyDescent="0.2">
      <c r="A2082" t="s">
        <v>890</v>
      </c>
      <c r="B2082" t="s">
        <v>891</v>
      </c>
      <c r="C2082" t="s">
        <v>18</v>
      </c>
      <c r="D2082">
        <v>2</v>
      </c>
      <c r="E2082" t="s">
        <v>17</v>
      </c>
      <c r="F2082" t="s">
        <v>380</v>
      </c>
      <c r="G2082" t="s">
        <v>608</v>
      </c>
      <c r="H2082" t="s">
        <v>604</v>
      </c>
    </row>
    <row r="2083" spans="1:8" x14ac:dyDescent="0.2">
      <c r="A2083" t="s">
        <v>893</v>
      </c>
      <c r="B2083" t="s">
        <v>891</v>
      </c>
      <c r="C2083" t="s">
        <v>18</v>
      </c>
      <c r="D2083">
        <v>2</v>
      </c>
      <c r="E2083" t="s">
        <v>17</v>
      </c>
      <c r="F2083" t="s">
        <v>380</v>
      </c>
      <c r="G2083" t="s">
        <v>608</v>
      </c>
      <c r="H2083" t="s">
        <v>604</v>
      </c>
    </row>
    <row r="2084" spans="1:8" x14ac:dyDescent="0.2">
      <c r="A2084" t="s">
        <v>894</v>
      </c>
      <c r="B2084" t="s">
        <v>891</v>
      </c>
      <c r="C2084" t="s">
        <v>19</v>
      </c>
      <c r="D2084">
        <v>2</v>
      </c>
      <c r="E2084" t="s">
        <v>17</v>
      </c>
      <c r="F2084" t="s">
        <v>380</v>
      </c>
      <c r="G2084" t="s">
        <v>608</v>
      </c>
      <c r="H2084" t="s">
        <v>604</v>
      </c>
    </row>
    <row r="2085" spans="1:8" x14ac:dyDescent="0.2">
      <c r="A2085" t="s">
        <v>895</v>
      </c>
      <c r="B2085" t="s">
        <v>891</v>
      </c>
      <c r="C2085" t="s">
        <v>19</v>
      </c>
      <c r="D2085">
        <v>2</v>
      </c>
      <c r="E2085" t="s">
        <v>21</v>
      </c>
      <c r="F2085" t="s">
        <v>380</v>
      </c>
      <c r="G2085" t="s">
        <v>608</v>
      </c>
      <c r="H2085" t="s">
        <v>604</v>
      </c>
    </row>
    <row r="2086" spans="1:8" x14ac:dyDescent="0.2">
      <c r="A2086" t="s">
        <v>896</v>
      </c>
      <c r="B2086" t="s">
        <v>891</v>
      </c>
      <c r="C2086" t="s">
        <v>18</v>
      </c>
      <c r="D2086">
        <v>2</v>
      </c>
      <c r="E2086" t="s">
        <v>17</v>
      </c>
      <c r="F2086" t="s">
        <v>380</v>
      </c>
      <c r="G2086" t="s">
        <v>608</v>
      </c>
      <c r="H2086" t="s">
        <v>604</v>
      </c>
    </row>
    <row r="2087" spans="1:8" x14ac:dyDescent="0.2">
      <c r="A2087" t="s">
        <v>897</v>
      </c>
      <c r="B2087" t="s">
        <v>898</v>
      </c>
      <c r="C2087" t="s">
        <v>18</v>
      </c>
      <c r="D2087">
        <v>2</v>
      </c>
      <c r="E2087" t="s">
        <v>21</v>
      </c>
      <c r="F2087" t="s">
        <v>380</v>
      </c>
      <c r="G2087" t="s">
        <v>608</v>
      </c>
      <c r="H2087" t="s">
        <v>910</v>
      </c>
    </row>
    <row r="2088" spans="1:8" x14ac:dyDescent="0.2">
      <c r="A2088" t="s">
        <v>899</v>
      </c>
      <c r="B2088" t="s">
        <v>898</v>
      </c>
      <c r="C2088" t="s">
        <v>18</v>
      </c>
      <c r="D2088">
        <v>2</v>
      </c>
      <c r="E2088" t="s">
        <v>17</v>
      </c>
      <c r="F2088" t="s">
        <v>380</v>
      </c>
      <c r="G2088" t="s">
        <v>608</v>
      </c>
      <c r="H2088" t="s">
        <v>910</v>
      </c>
    </row>
    <row r="2089" spans="1:8" x14ac:dyDescent="0.2">
      <c r="A2089" t="s">
        <v>900</v>
      </c>
      <c r="B2089" t="s">
        <v>898</v>
      </c>
      <c r="C2089" t="s">
        <v>18</v>
      </c>
      <c r="D2089">
        <v>2</v>
      </c>
      <c r="E2089" t="s">
        <v>21</v>
      </c>
      <c r="F2089" t="s">
        <v>380</v>
      </c>
      <c r="G2089" t="s">
        <v>608</v>
      </c>
      <c r="H2089" t="s">
        <v>910</v>
      </c>
    </row>
    <row r="2090" spans="1:8" x14ac:dyDescent="0.2">
      <c r="A2090" t="s">
        <v>901</v>
      </c>
      <c r="B2090" t="s">
        <v>898</v>
      </c>
      <c r="C2090" t="s">
        <v>19</v>
      </c>
      <c r="D2090">
        <v>2</v>
      </c>
      <c r="E2090" t="s">
        <v>17</v>
      </c>
      <c r="F2090" t="s">
        <v>380</v>
      </c>
      <c r="G2090" t="s">
        <v>608</v>
      </c>
      <c r="H2090" t="s">
        <v>910</v>
      </c>
    </row>
    <row r="2091" spans="1:8" x14ac:dyDescent="0.2">
      <c r="A2091" t="s">
        <v>902</v>
      </c>
      <c r="B2091" t="s">
        <v>898</v>
      </c>
      <c r="C2091" t="s">
        <v>19</v>
      </c>
      <c r="D2091">
        <v>2</v>
      </c>
      <c r="E2091" t="s">
        <v>21</v>
      </c>
      <c r="F2091" t="s">
        <v>380</v>
      </c>
      <c r="G2091" t="s">
        <v>608</v>
      </c>
      <c r="H2091" t="s">
        <v>910</v>
      </c>
    </row>
    <row r="2092" spans="1:8" x14ac:dyDescent="0.2">
      <c r="A2092" t="s">
        <v>903</v>
      </c>
      <c r="B2092" t="s">
        <v>904</v>
      </c>
      <c r="C2092" t="s">
        <v>19</v>
      </c>
      <c r="D2092">
        <v>2</v>
      </c>
      <c r="E2092" t="s">
        <v>17</v>
      </c>
      <c r="F2092" t="s">
        <v>380</v>
      </c>
      <c r="G2092" t="s">
        <v>608</v>
      </c>
      <c r="H2092" t="s">
        <v>604</v>
      </c>
    </row>
    <row r="2093" spans="1:8" x14ac:dyDescent="0.2">
      <c r="A2093" t="s">
        <v>905</v>
      </c>
      <c r="B2093" t="s">
        <v>904</v>
      </c>
      <c r="C2093" t="s">
        <v>18</v>
      </c>
      <c r="D2093">
        <v>2</v>
      </c>
      <c r="E2093" t="s">
        <v>21</v>
      </c>
      <c r="F2093" t="s">
        <v>380</v>
      </c>
      <c r="G2093" t="s">
        <v>608</v>
      </c>
      <c r="H2093" t="s">
        <v>604</v>
      </c>
    </row>
    <row r="2094" spans="1:8" x14ac:dyDescent="0.2">
      <c r="A2094" t="s">
        <v>906</v>
      </c>
      <c r="B2094" t="s">
        <v>904</v>
      </c>
      <c r="C2094" t="s">
        <v>18</v>
      </c>
      <c r="D2094">
        <v>2</v>
      </c>
      <c r="E2094" t="s">
        <v>21</v>
      </c>
      <c r="F2094" t="s">
        <v>380</v>
      </c>
      <c r="G2094" t="s">
        <v>608</v>
      </c>
      <c r="H2094" t="s">
        <v>604</v>
      </c>
    </row>
    <row r="2095" spans="1:8" x14ac:dyDescent="0.2">
      <c r="A2095" t="s">
        <v>907</v>
      </c>
      <c r="B2095" t="s">
        <v>904</v>
      </c>
      <c r="C2095" t="s">
        <v>18</v>
      </c>
      <c r="D2095">
        <v>2</v>
      </c>
      <c r="E2095" t="s">
        <v>17</v>
      </c>
      <c r="F2095" t="s">
        <v>380</v>
      </c>
      <c r="G2095" t="s">
        <v>608</v>
      </c>
      <c r="H2095" t="s">
        <v>604</v>
      </c>
    </row>
    <row r="2096" spans="1:8" x14ac:dyDescent="0.2">
      <c r="A2096" t="s">
        <v>908</v>
      </c>
      <c r="B2096" t="s">
        <v>904</v>
      </c>
      <c r="C2096" t="s">
        <v>19</v>
      </c>
      <c r="D2096">
        <v>2</v>
      </c>
      <c r="E2096" t="s">
        <v>17</v>
      </c>
      <c r="F2096" t="s">
        <v>380</v>
      </c>
      <c r="G2096" t="s">
        <v>608</v>
      </c>
      <c r="H2096" t="s">
        <v>604</v>
      </c>
    </row>
    <row r="2097" spans="1:8" x14ac:dyDescent="0.2">
      <c r="A2097" t="s">
        <v>909</v>
      </c>
      <c r="B2097" t="s">
        <v>891</v>
      </c>
      <c r="C2097" t="s">
        <v>18</v>
      </c>
      <c r="D2097">
        <v>2</v>
      </c>
      <c r="E2097" t="s">
        <v>17</v>
      </c>
      <c r="F2097" t="s">
        <v>380</v>
      </c>
      <c r="G2097" t="s">
        <v>608</v>
      </c>
      <c r="H2097" t="s">
        <v>604</v>
      </c>
    </row>
    <row r="2098" spans="1:8" x14ac:dyDescent="0.2">
      <c r="A2098" t="s">
        <v>911</v>
      </c>
      <c r="B2098" t="s">
        <v>891</v>
      </c>
      <c r="C2098" t="s">
        <v>18</v>
      </c>
      <c r="D2098">
        <v>2</v>
      </c>
      <c r="E2098" t="s">
        <v>17</v>
      </c>
      <c r="F2098" t="s">
        <v>380</v>
      </c>
      <c r="G2098" t="s">
        <v>608</v>
      </c>
      <c r="H2098" t="s">
        <v>604</v>
      </c>
    </row>
    <row r="2099" spans="1:8" x14ac:dyDescent="0.2">
      <c r="A2099" t="s">
        <v>912</v>
      </c>
      <c r="B2099" t="s">
        <v>891</v>
      </c>
      <c r="C2099" t="s">
        <v>19</v>
      </c>
      <c r="D2099">
        <v>3</v>
      </c>
      <c r="E2099" t="s">
        <v>17</v>
      </c>
      <c r="F2099" t="s">
        <v>380</v>
      </c>
      <c r="G2099" t="s">
        <v>608</v>
      </c>
      <c r="H2099" t="s">
        <v>604</v>
      </c>
    </row>
    <row r="2100" spans="1:8" x14ac:dyDescent="0.2">
      <c r="A2100" t="s">
        <v>913</v>
      </c>
      <c r="B2100" t="s">
        <v>891</v>
      </c>
      <c r="C2100" t="s">
        <v>18</v>
      </c>
      <c r="D2100">
        <v>2</v>
      </c>
      <c r="E2100" t="s">
        <v>21</v>
      </c>
      <c r="F2100" t="s">
        <v>380</v>
      </c>
      <c r="G2100" t="s">
        <v>608</v>
      </c>
      <c r="H2100" t="s">
        <v>604</v>
      </c>
    </row>
    <row r="2101" spans="1:8" x14ac:dyDescent="0.2">
      <c r="A2101" t="s">
        <v>914</v>
      </c>
      <c r="B2101" t="s">
        <v>891</v>
      </c>
      <c r="C2101" t="s">
        <v>19</v>
      </c>
      <c r="D2101">
        <v>2</v>
      </c>
      <c r="E2101" t="s">
        <v>17</v>
      </c>
      <c r="F2101" t="s">
        <v>380</v>
      </c>
      <c r="G2101" t="s">
        <v>608</v>
      </c>
      <c r="H2101" t="s">
        <v>604</v>
      </c>
    </row>
    <row r="2102" spans="1:8" x14ac:dyDescent="0.2">
      <c r="A2102" t="s">
        <v>915</v>
      </c>
      <c r="B2102" t="s">
        <v>891</v>
      </c>
      <c r="C2102" t="s">
        <v>16</v>
      </c>
      <c r="D2102">
        <v>4</v>
      </c>
      <c r="E2102" t="s">
        <v>17</v>
      </c>
      <c r="F2102" t="s">
        <v>380</v>
      </c>
      <c r="G2102" t="s">
        <v>3211</v>
      </c>
      <c r="H2102" t="s">
        <v>604</v>
      </c>
    </row>
    <row r="2103" spans="1:8" x14ac:dyDescent="0.2">
      <c r="A2103" t="s">
        <v>916</v>
      </c>
      <c r="B2103" t="s">
        <v>891</v>
      </c>
      <c r="C2103" t="s">
        <v>19</v>
      </c>
      <c r="D2103">
        <v>2</v>
      </c>
      <c r="E2103" t="s">
        <v>17</v>
      </c>
      <c r="F2103" t="s">
        <v>380</v>
      </c>
      <c r="G2103" t="s">
        <v>608</v>
      </c>
      <c r="H2103" t="s">
        <v>604</v>
      </c>
    </row>
    <row r="2104" spans="1:8" x14ac:dyDescent="0.2">
      <c r="A2104" t="s">
        <v>917</v>
      </c>
      <c r="B2104" t="s">
        <v>891</v>
      </c>
      <c r="C2104" t="s">
        <v>19</v>
      </c>
      <c r="D2104">
        <v>2</v>
      </c>
      <c r="E2104" t="s">
        <v>17</v>
      </c>
      <c r="F2104" t="s">
        <v>380</v>
      </c>
      <c r="G2104" t="s">
        <v>608</v>
      </c>
      <c r="H2104" t="s">
        <v>604</v>
      </c>
    </row>
    <row r="2105" spans="1:8" x14ac:dyDescent="0.2">
      <c r="A2105" t="s">
        <v>918</v>
      </c>
      <c r="B2105" t="s">
        <v>891</v>
      </c>
      <c r="C2105" t="s">
        <v>16</v>
      </c>
      <c r="D2105">
        <v>4</v>
      </c>
      <c r="E2105" t="s">
        <v>17</v>
      </c>
      <c r="F2105" t="s">
        <v>380</v>
      </c>
      <c r="G2105" t="s">
        <v>3211</v>
      </c>
      <c r="H2105" t="s">
        <v>604</v>
      </c>
    </row>
    <row r="2106" spans="1:8" x14ac:dyDescent="0.2">
      <c r="A2106" t="s">
        <v>919</v>
      </c>
      <c r="B2106" t="s">
        <v>891</v>
      </c>
      <c r="C2106" t="s">
        <v>19</v>
      </c>
      <c r="D2106">
        <v>2</v>
      </c>
      <c r="E2106" t="s">
        <v>17</v>
      </c>
      <c r="F2106" t="s">
        <v>380</v>
      </c>
      <c r="G2106" t="s">
        <v>608</v>
      </c>
      <c r="H2106" t="s">
        <v>604</v>
      </c>
    </row>
    <row r="2107" spans="1:8" x14ac:dyDescent="0.2">
      <c r="A2107" t="s">
        <v>920</v>
      </c>
      <c r="B2107" t="s">
        <v>891</v>
      </c>
      <c r="C2107" t="s">
        <v>19</v>
      </c>
      <c r="D2107">
        <v>2</v>
      </c>
      <c r="E2107" t="s">
        <v>17</v>
      </c>
      <c r="F2107" t="s">
        <v>380</v>
      </c>
      <c r="G2107" t="s">
        <v>608</v>
      </c>
      <c r="H2107" t="s">
        <v>604</v>
      </c>
    </row>
    <row r="2108" spans="1:8" x14ac:dyDescent="0.2">
      <c r="A2108" t="s">
        <v>921</v>
      </c>
      <c r="B2108" t="s">
        <v>891</v>
      </c>
      <c r="C2108" t="s">
        <v>19</v>
      </c>
      <c r="D2108">
        <v>2</v>
      </c>
      <c r="E2108" t="s">
        <v>17</v>
      </c>
      <c r="F2108" t="s">
        <v>380</v>
      </c>
      <c r="G2108" t="s">
        <v>608</v>
      </c>
      <c r="H2108" t="s">
        <v>604</v>
      </c>
    </row>
    <row r="2109" spans="1:8" x14ac:dyDescent="0.2">
      <c r="A2109" t="s">
        <v>922</v>
      </c>
      <c r="B2109" t="s">
        <v>898</v>
      </c>
      <c r="C2109" t="s">
        <v>16</v>
      </c>
      <c r="D2109" t="s">
        <v>16</v>
      </c>
      <c r="E2109" t="s">
        <v>20</v>
      </c>
      <c r="F2109" t="s">
        <v>380</v>
      </c>
      <c r="G2109" t="s">
        <v>3212</v>
      </c>
      <c r="H2109" t="s">
        <v>910</v>
      </c>
    </row>
    <row r="2110" spans="1:8" x14ac:dyDescent="0.2">
      <c r="A2110" t="s">
        <v>923</v>
      </c>
      <c r="B2110" t="s">
        <v>898</v>
      </c>
      <c r="C2110" t="s">
        <v>18</v>
      </c>
      <c r="D2110">
        <v>2</v>
      </c>
      <c r="E2110" t="s">
        <v>17</v>
      </c>
      <c r="F2110" t="s">
        <v>380</v>
      </c>
      <c r="G2110" t="s">
        <v>608</v>
      </c>
      <c r="H2110" t="s">
        <v>910</v>
      </c>
    </row>
    <row r="2111" spans="1:8" x14ac:dyDescent="0.2">
      <c r="A2111" t="s">
        <v>924</v>
      </c>
      <c r="B2111" t="s">
        <v>898</v>
      </c>
      <c r="C2111" t="s">
        <v>18</v>
      </c>
      <c r="D2111">
        <v>2</v>
      </c>
      <c r="E2111" t="s">
        <v>17</v>
      </c>
      <c r="F2111" t="s">
        <v>380</v>
      </c>
      <c r="G2111" t="s">
        <v>608</v>
      </c>
      <c r="H2111" t="s">
        <v>910</v>
      </c>
    </row>
    <row r="2112" spans="1:8" x14ac:dyDescent="0.2">
      <c r="A2112" t="s">
        <v>925</v>
      </c>
      <c r="B2112" t="s">
        <v>898</v>
      </c>
      <c r="C2112" t="s">
        <v>18</v>
      </c>
      <c r="D2112">
        <v>2</v>
      </c>
      <c r="E2112" t="s">
        <v>17</v>
      </c>
      <c r="F2112" t="s">
        <v>380</v>
      </c>
      <c r="G2112" t="s">
        <v>608</v>
      </c>
      <c r="H2112" t="s">
        <v>910</v>
      </c>
    </row>
    <row r="2113" spans="1:8" x14ac:dyDescent="0.2">
      <c r="A2113" t="s">
        <v>926</v>
      </c>
      <c r="B2113" t="s">
        <v>898</v>
      </c>
      <c r="C2113" t="s">
        <v>19</v>
      </c>
      <c r="D2113">
        <v>2</v>
      </c>
      <c r="E2113" t="s">
        <v>17</v>
      </c>
      <c r="F2113" t="s">
        <v>380</v>
      </c>
      <c r="G2113" t="s">
        <v>608</v>
      </c>
      <c r="H2113" t="s">
        <v>910</v>
      </c>
    </row>
    <row r="2114" spans="1:8" x14ac:dyDescent="0.2">
      <c r="A2114" t="s">
        <v>927</v>
      </c>
      <c r="B2114" t="s">
        <v>898</v>
      </c>
      <c r="C2114" t="s">
        <v>19</v>
      </c>
      <c r="D2114">
        <v>2</v>
      </c>
      <c r="E2114" t="s">
        <v>17</v>
      </c>
      <c r="F2114" t="s">
        <v>380</v>
      </c>
      <c r="G2114" t="s">
        <v>608</v>
      </c>
      <c r="H2114" t="s">
        <v>910</v>
      </c>
    </row>
    <row r="2115" spans="1:8" x14ac:dyDescent="0.2">
      <c r="A2115" t="s">
        <v>928</v>
      </c>
      <c r="B2115" t="s">
        <v>898</v>
      </c>
      <c r="C2115" t="s">
        <v>19</v>
      </c>
      <c r="D2115">
        <v>2</v>
      </c>
      <c r="E2115" t="s">
        <v>17</v>
      </c>
      <c r="F2115" t="s">
        <v>380</v>
      </c>
      <c r="G2115" t="s">
        <v>608</v>
      </c>
      <c r="H2115" t="s">
        <v>910</v>
      </c>
    </row>
    <row r="2116" spans="1:8" x14ac:dyDescent="0.2">
      <c r="A2116" t="s">
        <v>929</v>
      </c>
      <c r="B2116" t="s">
        <v>898</v>
      </c>
      <c r="C2116" t="s">
        <v>19</v>
      </c>
      <c r="D2116">
        <v>2</v>
      </c>
      <c r="E2116" t="s">
        <v>17</v>
      </c>
      <c r="F2116" t="s">
        <v>380</v>
      </c>
      <c r="G2116" t="s">
        <v>608</v>
      </c>
      <c r="H2116" t="s">
        <v>910</v>
      </c>
    </row>
    <row r="2117" spans="1:8" x14ac:dyDescent="0.2">
      <c r="A2117" t="s">
        <v>930</v>
      </c>
      <c r="B2117" t="s">
        <v>898</v>
      </c>
      <c r="C2117" t="s">
        <v>16</v>
      </c>
      <c r="D2117" t="s">
        <v>16</v>
      </c>
      <c r="E2117" t="s">
        <v>17</v>
      </c>
      <c r="F2117" t="s">
        <v>381</v>
      </c>
      <c r="G2117" t="s">
        <v>608</v>
      </c>
      <c r="H2117" t="s">
        <v>910</v>
      </c>
    </row>
    <row r="2118" spans="1:8" x14ac:dyDescent="0.2">
      <c r="A2118" t="s">
        <v>931</v>
      </c>
      <c r="B2118" t="s">
        <v>898</v>
      </c>
      <c r="C2118" t="s">
        <v>19</v>
      </c>
      <c r="D2118">
        <v>2</v>
      </c>
      <c r="E2118" t="s">
        <v>17</v>
      </c>
      <c r="F2118" t="s">
        <v>380</v>
      </c>
      <c r="G2118" t="s">
        <v>608</v>
      </c>
      <c r="H2118" t="s">
        <v>910</v>
      </c>
    </row>
    <row r="2119" spans="1:8" x14ac:dyDescent="0.2">
      <c r="A2119" t="s">
        <v>932</v>
      </c>
      <c r="B2119" t="s">
        <v>898</v>
      </c>
      <c r="C2119" t="s">
        <v>16</v>
      </c>
      <c r="D2119">
        <v>4</v>
      </c>
      <c r="E2119" t="s">
        <v>17</v>
      </c>
      <c r="F2119" t="s">
        <v>380</v>
      </c>
      <c r="G2119" t="s">
        <v>3212</v>
      </c>
      <c r="H2119" t="s">
        <v>910</v>
      </c>
    </row>
    <row r="2120" spans="1:8" x14ac:dyDescent="0.2">
      <c r="A2120" t="s">
        <v>933</v>
      </c>
      <c r="B2120" t="s">
        <v>898</v>
      </c>
      <c r="C2120" t="s">
        <v>19</v>
      </c>
      <c r="D2120">
        <v>2</v>
      </c>
      <c r="E2120" t="s">
        <v>17</v>
      </c>
      <c r="F2120" t="s">
        <v>380</v>
      </c>
      <c r="G2120" t="s">
        <v>608</v>
      </c>
      <c r="H2120" t="s">
        <v>910</v>
      </c>
    </row>
    <row r="2121" spans="1:8" x14ac:dyDescent="0.2">
      <c r="A2121" t="s">
        <v>934</v>
      </c>
      <c r="B2121" t="s">
        <v>898</v>
      </c>
      <c r="C2121" t="s">
        <v>16</v>
      </c>
      <c r="D2121">
        <v>4</v>
      </c>
      <c r="E2121" t="s">
        <v>17</v>
      </c>
      <c r="F2121" t="s">
        <v>380</v>
      </c>
      <c r="G2121" t="s">
        <v>3213</v>
      </c>
      <c r="H2121" t="s">
        <v>910</v>
      </c>
    </row>
    <row r="2122" spans="1:8" x14ac:dyDescent="0.2">
      <c r="A2122" t="s">
        <v>935</v>
      </c>
      <c r="B2122" t="s">
        <v>904</v>
      </c>
      <c r="C2122" t="s">
        <v>18</v>
      </c>
      <c r="D2122">
        <v>2</v>
      </c>
      <c r="E2122" t="s">
        <v>21</v>
      </c>
      <c r="F2122" t="s">
        <v>380</v>
      </c>
      <c r="G2122" t="s">
        <v>608</v>
      </c>
      <c r="H2122" t="s">
        <v>604</v>
      </c>
    </row>
    <row r="2123" spans="1:8" x14ac:dyDescent="0.2">
      <c r="A2123" t="s">
        <v>936</v>
      </c>
      <c r="B2123" t="s">
        <v>904</v>
      </c>
      <c r="C2123" t="s">
        <v>19</v>
      </c>
      <c r="D2123">
        <v>2</v>
      </c>
      <c r="E2123" t="s">
        <v>17</v>
      </c>
      <c r="F2123" t="s">
        <v>380</v>
      </c>
      <c r="G2123" t="s">
        <v>608</v>
      </c>
      <c r="H2123" t="s">
        <v>604</v>
      </c>
    </row>
    <row r="2124" spans="1:8" x14ac:dyDescent="0.2">
      <c r="A2124" t="s">
        <v>937</v>
      </c>
      <c r="B2124" t="s">
        <v>904</v>
      </c>
      <c r="C2124" t="s">
        <v>19</v>
      </c>
      <c r="D2124">
        <v>2</v>
      </c>
      <c r="E2124" t="s">
        <v>17</v>
      </c>
      <c r="F2124" t="s">
        <v>380</v>
      </c>
      <c r="G2124" t="s">
        <v>608</v>
      </c>
      <c r="H2124" t="s">
        <v>604</v>
      </c>
    </row>
    <row r="2125" spans="1:8" x14ac:dyDescent="0.2">
      <c r="A2125" t="s">
        <v>938</v>
      </c>
      <c r="B2125" t="s">
        <v>904</v>
      </c>
      <c r="C2125" t="s">
        <v>18</v>
      </c>
      <c r="D2125">
        <v>2</v>
      </c>
      <c r="E2125" t="s">
        <v>21</v>
      </c>
      <c r="F2125" t="s">
        <v>380</v>
      </c>
      <c r="G2125" t="s">
        <v>608</v>
      </c>
      <c r="H2125" t="s">
        <v>604</v>
      </c>
    </row>
    <row r="2126" spans="1:8" x14ac:dyDescent="0.2">
      <c r="A2126" t="s">
        <v>939</v>
      </c>
      <c r="B2126" t="s">
        <v>904</v>
      </c>
      <c r="C2126" t="s">
        <v>19</v>
      </c>
      <c r="D2126">
        <v>2</v>
      </c>
      <c r="E2126" t="s">
        <v>21</v>
      </c>
      <c r="F2126" t="s">
        <v>380</v>
      </c>
      <c r="G2126" t="s">
        <v>608</v>
      </c>
      <c r="H2126" t="s">
        <v>604</v>
      </c>
    </row>
    <row r="2127" spans="1:8" x14ac:dyDescent="0.2">
      <c r="A2127" t="s">
        <v>940</v>
      </c>
      <c r="B2127" t="s">
        <v>904</v>
      </c>
      <c r="C2127" t="s">
        <v>19</v>
      </c>
      <c r="D2127">
        <v>2</v>
      </c>
      <c r="E2127" t="s">
        <v>21</v>
      </c>
      <c r="F2127" t="s">
        <v>380</v>
      </c>
      <c r="G2127" t="s">
        <v>608</v>
      </c>
      <c r="H2127" t="s">
        <v>604</v>
      </c>
    </row>
    <row r="2128" spans="1:8" x14ac:dyDescent="0.2">
      <c r="A2128" t="s">
        <v>941</v>
      </c>
      <c r="B2128" t="s">
        <v>904</v>
      </c>
      <c r="C2128" t="s">
        <v>19</v>
      </c>
      <c r="D2128">
        <v>2</v>
      </c>
      <c r="E2128" t="s">
        <v>21</v>
      </c>
      <c r="F2128" t="s">
        <v>380</v>
      </c>
      <c r="G2128" t="s">
        <v>608</v>
      </c>
      <c r="H2128" t="s">
        <v>604</v>
      </c>
    </row>
    <row r="2129" spans="1:8" x14ac:dyDescent="0.2">
      <c r="A2129" t="s">
        <v>942</v>
      </c>
      <c r="B2129" t="s">
        <v>904</v>
      </c>
      <c r="C2129" t="s">
        <v>19</v>
      </c>
      <c r="D2129">
        <v>2</v>
      </c>
      <c r="E2129" t="s">
        <v>17</v>
      </c>
      <c r="F2129" t="s">
        <v>380</v>
      </c>
      <c r="G2129" t="s">
        <v>608</v>
      </c>
      <c r="H2129" t="s">
        <v>604</v>
      </c>
    </row>
    <row r="2130" spans="1:8" x14ac:dyDescent="0.2">
      <c r="A2130" t="s">
        <v>943</v>
      </c>
      <c r="B2130" t="s">
        <v>904</v>
      </c>
      <c r="C2130" t="s">
        <v>16</v>
      </c>
      <c r="D2130">
        <v>4</v>
      </c>
      <c r="E2130" t="s">
        <v>17</v>
      </c>
      <c r="F2130" t="s">
        <v>380</v>
      </c>
      <c r="G2130" t="s">
        <v>3214</v>
      </c>
      <c r="H2130" t="s">
        <v>604</v>
      </c>
    </row>
    <row r="2131" spans="1:8" x14ac:dyDescent="0.2">
      <c r="A2131" t="s">
        <v>944</v>
      </c>
      <c r="B2131" t="s">
        <v>904</v>
      </c>
      <c r="C2131" t="s">
        <v>19</v>
      </c>
      <c r="D2131">
        <v>2</v>
      </c>
      <c r="E2131" t="s">
        <v>17</v>
      </c>
      <c r="F2131" t="s">
        <v>380</v>
      </c>
      <c r="G2131" t="s">
        <v>608</v>
      </c>
      <c r="H2131" t="s">
        <v>604</v>
      </c>
    </row>
    <row r="2132" spans="1:8" x14ac:dyDescent="0.2">
      <c r="A2132" t="s">
        <v>945</v>
      </c>
      <c r="B2132" t="s">
        <v>904</v>
      </c>
      <c r="C2132" t="s">
        <v>19</v>
      </c>
      <c r="D2132">
        <v>2</v>
      </c>
      <c r="E2132" t="s">
        <v>17</v>
      </c>
      <c r="F2132" t="s">
        <v>380</v>
      </c>
      <c r="G2132" t="s">
        <v>608</v>
      </c>
      <c r="H2132" t="s">
        <v>604</v>
      </c>
    </row>
    <row r="2133" spans="1:8" x14ac:dyDescent="0.2">
      <c r="A2133" t="s">
        <v>946</v>
      </c>
      <c r="B2133" t="s">
        <v>904</v>
      </c>
      <c r="C2133" t="s">
        <v>16</v>
      </c>
      <c r="D2133">
        <v>4</v>
      </c>
      <c r="E2133" t="s">
        <v>17</v>
      </c>
      <c r="F2133" t="s">
        <v>380</v>
      </c>
      <c r="G2133" t="s">
        <v>3214</v>
      </c>
      <c r="H2133" t="s">
        <v>604</v>
      </c>
    </row>
    <row r="2134" spans="1:8" x14ac:dyDescent="0.2">
      <c r="A2134" t="s">
        <v>3154</v>
      </c>
      <c r="B2134" t="s">
        <v>1529</v>
      </c>
      <c r="C2134" t="s">
        <v>18</v>
      </c>
      <c r="D2134">
        <v>2</v>
      </c>
      <c r="E2134" t="s">
        <v>17</v>
      </c>
      <c r="F2134" t="s">
        <v>380</v>
      </c>
      <c r="G2134" t="s">
        <v>608</v>
      </c>
      <c r="H2134" t="s">
        <v>910</v>
      </c>
    </row>
    <row r="2135" spans="1:8" x14ac:dyDescent="0.2">
      <c r="A2135" t="s">
        <v>3155</v>
      </c>
      <c r="B2135" t="s">
        <v>1529</v>
      </c>
      <c r="C2135" t="s">
        <v>18</v>
      </c>
      <c r="D2135">
        <v>2</v>
      </c>
      <c r="E2135" t="s">
        <v>17</v>
      </c>
      <c r="F2135" t="s">
        <v>380</v>
      </c>
      <c r="G2135" t="s">
        <v>608</v>
      </c>
      <c r="H2135" t="s">
        <v>910</v>
      </c>
    </row>
    <row r="2136" spans="1:8" x14ac:dyDescent="0.2">
      <c r="A2136" t="s">
        <v>3156</v>
      </c>
      <c r="B2136" t="s">
        <v>1529</v>
      </c>
      <c r="C2136" t="s">
        <v>19</v>
      </c>
      <c r="D2136">
        <v>2</v>
      </c>
      <c r="E2136" t="s">
        <v>17</v>
      </c>
      <c r="F2136" t="s">
        <v>380</v>
      </c>
      <c r="G2136" t="s">
        <v>608</v>
      </c>
      <c r="H2136" t="s">
        <v>910</v>
      </c>
    </row>
    <row r="2137" spans="1:8" x14ac:dyDescent="0.2">
      <c r="A2137" t="s">
        <v>3157</v>
      </c>
      <c r="B2137" t="s">
        <v>1529</v>
      </c>
      <c r="C2137" t="s">
        <v>3202</v>
      </c>
      <c r="D2137" t="s">
        <v>16</v>
      </c>
      <c r="E2137" t="s">
        <v>17</v>
      </c>
      <c r="F2137" t="s">
        <v>380</v>
      </c>
      <c r="G2137" t="s">
        <v>608</v>
      </c>
      <c r="H2137" t="s">
        <v>910</v>
      </c>
    </row>
    <row r="2138" spans="1:8" x14ac:dyDescent="0.2">
      <c r="A2138" t="s">
        <v>3158</v>
      </c>
      <c r="B2138" t="s">
        <v>1529</v>
      </c>
      <c r="C2138" t="s">
        <v>19</v>
      </c>
      <c r="D2138">
        <v>2</v>
      </c>
      <c r="E2138" t="s">
        <v>17</v>
      </c>
      <c r="F2138" t="s">
        <v>380</v>
      </c>
      <c r="G2138" t="s">
        <v>608</v>
      </c>
      <c r="H2138" t="s">
        <v>910</v>
      </c>
    </row>
    <row r="2139" spans="1:8" x14ac:dyDescent="0.2">
      <c r="A2139" t="s">
        <v>3159</v>
      </c>
      <c r="B2139" t="s">
        <v>1531</v>
      </c>
      <c r="C2139" t="s">
        <v>18</v>
      </c>
      <c r="D2139">
        <v>2</v>
      </c>
      <c r="E2139" t="s">
        <v>17</v>
      </c>
      <c r="F2139" t="s">
        <v>380</v>
      </c>
      <c r="G2139" t="s">
        <v>608</v>
      </c>
      <c r="H2139" t="s">
        <v>910</v>
      </c>
    </row>
    <row r="2140" spans="1:8" x14ac:dyDescent="0.2">
      <c r="A2140" t="s">
        <v>3160</v>
      </c>
      <c r="B2140" t="s">
        <v>1531</v>
      </c>
      <c r="C2140" t="s">
        <v>18</v>
      </c>
      <c r="D2140">
        <v>2</v>
      </c>
      <c r="E2140" t="s">
        <v>17</v>
      </c>
      <c r="F2140" t="s">
        <v>380</v>
      </c>
      <c r="G2140" t="s">
        <v>608</v>
      </c>
      <c r="H2140" t="s">
        <v>910</v>
      </c>
    </row>
    <row r="2141" spans="1:8" x14ac:dyDescent="0.2">
      <c r="A2141" t="s">
        <v>3161</v>
      </c>
      <c r="B2141" t="s">
        <v>1531</v>
      </c>
      <c r="C2141" t="s">
        <v>19</v>
      </c>
      <c r="D2141">
        <v>2</v>
      </c>
      <c r="E2141" t="s">
        <v>17</v>
      </c>
      <c r="F2141" t="s">
        <v>380</v>
      </c>
      <c r="G2141" t="s">
        <v>608</v>
      </c>
      <c r="H2141" t="s">
        <v>910</v>
      </c>
    </row>
    <row r="2142" spans="1:8" x14ac:dyDescent="0.2">
      <c r="A2142" t="s">
        <v>3162</v>
      </c>
      <c r="B2142" t="s">
        <v>1531</v>
      </c>
      <c r="C2142" t="s">
        <v>18</v>
      </c>
      <c r="D2142">
        <v>2</v>
      </c>
      <c r="E2142" t="s">
        <v>17</v>
      </c>
      <c r="F2142" t="s">
        <v>380</v>
      </c>
      <c r="G2142" t="s">
        <v>608</v>
      </c>
      <c r="H2142" t="s">
        <v>910</v>
      </c>
    </row>
    <row r="2143" spans="1:8" x14ac:dyDescent="0.2">
      <c r="A2143" t="s">
        <v>3163</v>
      </c>
      <c r="B2143" t="s">
        <v>1531</v>
      </c>
      <c r="C2143" t="s">
        <v>16</v>
      </c>
      <c r="D2143">
        <v>4</v>
      </c>
      <c r="E2143" t="s">
        <v>17</v>
      </c>
      <c r="F2143" t="s">
        <v>380</v>
      </c>
      <c r="G2143" t="s">
        <v>608</v>
      </c>
      <c r="H2143" t="s">
        <v>910</v>
      </c>
    </row>
    <row r="2144" spans="1:8" x14ac:dyDescent="0.2">
      <c r="A2144" t="s">
        <v>3164</v>
      </c>
      <c r="B2144" t="s">
        <v>1533</v>
      </c>
      <c r="C2144" t="s">
        <v>18</v>
      </c>
      <c r="D2144">
        <v>2</v>
      </c>
      <c r="E2144" t="s">
        <v>17</v>
      </c>
      <c r="F2144" t="s">
        <v>380</v>
      </c>
      <c r="G2144" t="s">
        <v>608</v>
      </c>
      <c r="H2144" t="s">
        <v>910</v>
      </c>
    </row>
    <row r="2145" spans="1:8" x14ac:dyDescent="0.2">
      <c r="A2145" t="s">
        <v>3165</v>
      </c>
      <c r="B2145" t="s">
        <v>1533</v>
      </c>
      <c r="C2145" t="s">
        <v>19</v>
      </c>
      <c r="D2145">
        <v>2</v>
      </c>
      <c r="E2145" t="s">
        <v>17</v>
      </c>
      <c r="F2145" t="s">
        <v>380</v>
      </c>
      <c r="G2145" t="s">
        <v>608</v>
      </c>
      <c r="H2145" t="s">
        <v>910</v>
      </c>
    </row>
    <row r="2146" spans="1:8" x14ac:dyDescent="0.2">
      <c r="A2146" t="s">
        <v>3166</v>
      </c>
      <c r="B2146" t="s">
        <v>1533</v>
      </c>
      <c r="C2146" t="s">
        <v>19</v>
      </c>
      <c r="D2146">
        <v>2</v>
      </c>
      <c r="E2146" t="s">
        <v>17</v>
      </c>
      <c r="F2146" t="s">
        <v>380</v>
      </c>
      <c r="G2146" t="s">
        <v>608</v>
      </c>
      <c r="H2146" t="s">
        <v>910</v>
      </c>
    </row>
    <row r="2147" spans="1:8" x14ac:dyDescent="0.2">
      <c r="A2147" t="s">
        <v>3167</v>
      </c>
      <c r="B2147" t="s">
        <v>1533</v>
      </c>
      <c r="C2147" t="s">
        <v>18</v>
      </c>
      <c r="D2147">
        <v>2</v>
      </c>
      <c r="E2147" t="s">
        <v>17</v>
      </c>
      <c r="F2147" t="s">
        <v>380</v>
      </c>
      <c r="G2147" t="s">
        <v>608</v>
      </c>
      <c r="H2147" t="s">
        <v>910</v>
      </c>
    </row>
    <row r="2148" spans="1:8" x14ac:dyDescent="0.2">
      <c r="A2148" t="s">
        <v>3168</v>
      </c>
      <c r="B2148" t="s">
        <v>1533</v>
      </c>
      <c r="C2148" t="s">
        <v>18</v>
      </c>
      <c r="D2148">
        <v>2</v>
      </c>
      <c r="E2148" t="s">
        <v>17</v>
      </c>
      <c r="F2148" t="s">
        <v>380</v>
      </c>
      <c r="G2148" t="s">
        <v>608</v>
      </c>
      <c r="H2148" t="s">
        <v>910</v>
      </c>
    </row>
    <row r="2149" spans="1:8" x14ac:dyDescent="0.2">
      <c r="A2149" t="s">
        <v>3169</v>
      </c>
      <c r="B2149" t="s">
        <v>1541</v>
      </c>
      <c r="C2149" t="s">
        <v>16</v>
      </c>
      <c r="D2149" t="s">
        <v>16</v>
      </c>
      <c r="E2149" t="s">
        <v>17</v>
      </c>
      <c r="F2149" t="s">
        <v>380</v>
      </c>
      <c r="G2149" t="s">
        <v>3215</v>
      </c>
      <c r="H2149" t="s">
        <v>910</v>
      </c>
    </row>
    <row r="2150" spans="1:8" x14ac:dyDescent="0.2">
      <c r="A2150" t="s">
        <v>3170</v>
      </c>
      <c r="B2150" t="s">
        <v>1541</v>
      </c>
      <c r="C2150" t="s">
        <v>18</v>
      </c>
      <c r="D2150">
        <v>2</v>
      </c>
      <c r="E2150" t="s">
        <v>17</v>
      </c>
      <c r="F2150" t="s">
        <v>380</v>
      </c>
      <c r="G2150" t="s">
        <v>608</v>
      </c>
      <c r="H2150" t="s">
        <v>910</v>
      </c>
    </row>
    <row r="2151" spans="1:8" x14ac:dyDescent="0.2">
      <c r="A2151" t="s">
        <v>3171</v>
      </c>
      <c r="B2151" t="s">
        <v>1541</v>
      </c>
      <c r="C2151" t="s">
        <v>18</v>
      </c>
      <c r="D2151">
        <v>2</v>
      </c>
      <c r="E2151" t="s">
        <v>17</v>
      </c>
      <c r="F2151" t="s">
        <v>380</v>
      </c>
      <c r="G2151" t="s">
        <v>608</v>
      </c>
      <c r="H2151" t="s">
        <v>910</v>
      </c>
    </row>
    <row r="2152" spans="1:8" x14ac:dyDescent="0.2">
      <c r="A2152" t="s">
        <v>3172</v>
      </c>
      <c r="B2152" t="s">
        <v>1541</v>
      </c>
      <c r="C2152" t="s">
        <v>18</v>
      </c>
      <c r="D2152">
        <v>2</v>
      </c>
      <c r="E2152" t="s">
        <v>17</v>
      </c>
      <c r="F2152" t="s">
        <v>380</v>
      </c>
      <c r="G2152" t="s">
        <v>608</v>
      </c>
      <c r="H2152" t="s">
        <v>910</v>
      </c>
    </row>
    <row r="2153" spans="1:8" x14ac:dyDescent="0.2">
      <c r="A2153" t="s">
        <v>3173</v>
      </c>
      <c r="B2153" t="s">
        <v>1541</v>
      </c>
      <c r="C2153" t="s">
        <v>18</v>
      </c>
      <c r="D2153">
        <v>2</v>
      </c>
      <c r="E2153" t="s">
        <v>17</v>
      </c>
      <c r="F2153" t="s">
        <v>380</v>
      </c>
      <c r="G2153" t="s">
        <v>608</v>
      </c>
      <c r="H2153" t="s">
        <v>910</v>
      </c>
    </row>
    <row r="2154" spans="1:8" x14ac:dyDescent="0.2">
      <c r="A2154" t="s">
        <v>3174</v>
      </c>
      <c r="B2154" t="s">
        <v>1543</v>
      </c>
      <c r="C2154" t="s">
        <v>18</v>
      </c>
      <c r="D2154">
        <v>2</v>
      </c>
      <c r="E2154" t="s">
        <v>17</v>
      </c>
      <c r="F2154" t="s">
        <v>380</v>
      </c>
      <c r="G2154" t="s">
        <v>608</v>
      </c>
      <c r="H2154" t="s">
        <v>910</v>
      </c>
    </row>
    <row r="2155" spans="1:8" x14ac:dyDescent="0.2">
      <c r="A2155" t="s">
        <v>3175</v>
      </c>
      <c r="B2155" t="s">
        <v>1543</v>
      </c>
      <c r="C2155" t="s">
        <v>19</v>
      </c>
      <c r="D2155">
        <v>2</v>
      </c>
      <c r="E2155" t="s">
        <v>21</v>
      </c>
      <c r="F2155" t="s">
        <v>380</v>
      </c>
      <c r="G2155" t="s">
        <v>608</v>
      </c>
      <c r="H2155" t="s">
        <v>910</v>
      </c>
    </row>
    <row r="2156" spans="1:8" x14ac:dyDescent="0.2">
      <c r="A2156" t="s">
        <v>3176</v>
      </c>
      <c r="B2156" t="s">
        <v>1543</v>
      </c>
      <c r="C2156" t="s">
        <v>18</v>
      </c>
      <c r="D2156">
        <v>2</v>
      </c>
      <c r="E2156" t="s">
        <v>17</v>
      </c>
      <c r="F2156" t="s">
        <v>380</v>
      </c>
      <c r="G2156" t="s">
        <v>608</v>
      </c>
      <c r="H2156" t="s">
        <v>910</v>
      </c>
    </row>
    <row r="2157" spans="1:8" x14ac:dyDescent="0.2">
      <c r="A2157" t="s">
        <v>3177</v>
      </c>
      <c r="B2157" t="s">
        <v>1543</v>
      </c>
      <c r="C2157" t="s">
        <v>19</v>
      </c>
      <c r="D2157">
        <v>2</v>
      </c>
      <c r="E2157" t="s">
        <v>17</v>
      </c>
      <c r="F2157" t="s">
        <v>380</v>
      </c>
      <c r="G2157" t="s">
        <v>608</v>
      </c>
      <c r="H2157" t="s">
        <v>910</v>
      </c>
    </row>
    <row r="2158" spans="1:8" x14ac:dyDescent="0.2">
      <c r="A2158" t="s">
        <v>3178</v>
      </c>
      <c r="B2158" t="s">
        <v>1543</v>
      </c>
      <c r="C2158" t="s">
        <v>16</v>
      </c>
      <c r="D2158" t="s">
        <v>16</v>
      </c>
      <c r="E2158" t="s">
        <v>17</v>
      </c>
      <c r="F2158" t="s">
        <v>380</v>
      </c>
      <c r="G2158" t="s">
        <v>608</v>
      </c>
      <c r="H2158" t="s">
        <v>910</v>
      </c>
    </row>
    <row r="2159" spans="1:8" x14ac:dyDescent="0.2">
      <c r="A2159" t="s">
        <v>3179</v>
      </c>
      <c r="B2159" t="s">
        <v>1545</v>
      </c>
      <c r="C2159" t="s">
        <v>18</v>
      </c>
      <c r="D2159">
        <v>2</v>
      </c>
      <c r="E2159" t="s">
        <v>17</v>
      </c>
      <c r="F2159" t="s">
        <v>380</v>
      </c>
      <c r="G2159" t="s">
        <v>608</v>
      </c>
      <c r="H2159" t="s">
        <v>910</v>
      </c>
    </row>
    <row r="2160" spans="1:8" x14ac:dyDescent="0.2">
      <c r="A2160" t="s">
        <v>3180</v>
      </c>
      <c r="B2160" t="s">
        <v>1545</v>
      </c>
      <c r="C2160" t="s">
        <v>18</v>
      </c>
      <c r="D2160">
        <v>2</v>
      </c>
      <c r="E2160" t="s">
        <v>17</v>
      </c>
      <c r="F2160" t="s">
        <v>380</v>
      </c>
      <c r="G2160" t="s">
        <v>608</v>
      </c>
      <c r="H2160" t="s">
        <v>910</v>
      </c>
    </row>
    <row r="2161" spans="1:8" x14ac:dyDescent="0.2">
      <c r="A2161" t="s">
        <v>3181</v>
      </c>
      <c r="B2161" t="s">
        <v>1545</v>
      </c>
      <c r="C2161" t="s">
        <v>18</v>
      </c>
      <c r="D2161">
        <v>2</v>
      </c>
      <c r="E2161" t="s">
        <v>17</v>
      </c>
      <c r="F2161" t="s">
        <v>380</v>
      </c>
      <c r="G2161" t="s">
        <v>608</v>
      </c>
      <c r="H2161" t="s">
        <v>910</v>
      </c>
    </row>
    <row r="2162" spans="1:8" x14ac:dyDescent="0.2">
      <c r="A2162" t="s">
        <v>3182</v>
      </c>
      <c r="B2162" t="s">
        <v>1545</v>
      </c>
      <c r="C2162" t="s">
        <v>19</v>
      </c>
      <c r="D2162">
        <v>2</v>
      </c>
      <c r="E2162" t="s">
        <v>17</v>
      </c>
      <c r="F2162" t="s">
        <v>380</v>
      </c>
      <c r="G2162" t="s">
        <v>608</v>
      </c>
      <c r="H2162" t="s">
        <v>910</v>
      </c>
    </row>
    <row r="2163" spans="1:8" x14ac:dyDescent="0.2">
      <c r="A2163" t="s">
        <v>3183</v>
      </c>
      <c r="B2163" t="s">
        <v>1545</v>
      </c>
      <c r="C2163" t="s">
        <v>19</v>
      </c>
      <c r="D2163">
        <v>2</v>
      </c>
      <c r="E2163" t="s">
        <v>17</v>
      </c>
      <c r="F2163" t="s">
        <v>380</v>
      </c>
      <c r="G2163" t="s">
        <v>608</v>
      </c>
      <c r="H2163" t="s">
        <v>910</v>
      </c>
    </row>
    <row r="2164" spans="1:8" x14ac:dyDescent="0.2">
      <c r="A2164" t="s">
        <v>3184</v>
      </c>
      <c r="B2164" t="s">
        <v>1553</v>
      </c>
      <c r="C2164" t="s">
        <v>19</v>
      </c>
      <c r="D2164">
        <v>2</v>
      </c>
      <c r="E2164" t="s">
        <v>17</v>
      </c>
      <c r="F2164" t="s">
        <v>380</v>
      </c>
      <c r="G2164" t="s">
        <v>608</v>
      </c>
      <c r="H2164" t="s">
        <v>910</v>
      </c>
    </row>
    <row r="2165" spans="1:8" x14ac:dyDescent="0.2">
      <c r="A2165" t="s">
        <v>3185</v>
      </c>
      <c r="B2165" t="s">
        <v>1553</v>
      </c>
      <c r="C2165" t="s">
        <v>18</v>
      </c>
      <c r="D2165">
        <v>2</v>
      </c>
      <c r="E2165" t="s">
        <v>17</v>
      </c>
      <c r="F2165" t="s">
        <v>380</v>
      </c>
      <c r="G2165" t="s">
        <v>608</v>
      </c>
      <c r="H2165" t="s">
        <v>910</v>
      </c>
    </row>
    <row r="2166" spans="1:8" x14ac:dyDescent="0.2">
      <c r="A2166" t="s">
        <v>3186</v>
      </c>
      <c r="B2166" t="s">
        <v>1553</v>
      </c>
      <c r="C2166" t="s">
        <v>18</v>
      </c>
      <c r="D2166">
        <v>2</v>
      </c>
      <c r="E2166" t="s">
        <v>17</v>
      </c>
      <c r="F2166" t="s">
        <v>380</v>
      </c>
      <c r="G2166" t="s">
        <v>608</v>
      </c>
      <c r="H2166" t="s">
        <v>910</v>
      </c>
    </row>
    <row r="2167" spans="1:8" x14ac:dyDescent="0.2">
      <c r="A2167" t="s">
        <v>3187</v>
      </c>
      <c r="B2167" t="s">
        <v>1553</v>
      </c>
      <c r="C2167" t="s">
        <v>18</v>
      </c>
      <c r="D2167">
        <v>2</v>
      </c>
      <c r="E2167" t="s">
        <v>17</v>
      </c>
      <c r="F2167" t="s">
        <v>380</v>
      </c>
      <c r="G2167" t="s">
        <v>608</v>
      </c>
      <c r="H2167" t="s">
        <v>910</v>
      </c>
    </row>
    <row r="2168" spans="1:8" x14ac:dyDescent="0.2">
      <c r="A2168" t="s">
        <v>3188</v>
      </c>
      <c r="B2168" t="s">
        <v>1553</v>
      </c>
      <c r="C2168" t="s">
        <v>18</v>
      </c>
      <c r="D2168">
        <v>2</v>
      </c>
      <c r="E2168" t="s">
        <v>17</v>
      </c>
      <c r="F2168" t="s">
        <v>380</v>
      </c>
      <c r="G2168" t="s">
        <v>608</v>
      </c>
      <c r="H2168" t="s">
        <v>910</v>
      </c>
    </row>
    <row r="2169" spans="1:8" x14ac:dyDescent="0.2">
      <c r="A2169" t="s">
        <v>3189</v>
      </c>
      <c r="B2169" t="s">
        <v>1555</v>
      </c>
      <c r="C2169" t="s">
        <v>18</v>
      </c>
      <c r="D2169">
        <v>2</v>
      </c>
      <c r="E2169" t="s">
        <v>21</v>
      </c>
      <c r="F2169" t="s">
        <v>380</v>
      </c>
      <c r="G2169" t="s">
        <v>608</v>
      </c>
      <c r="H2169" t="s">
        <v>910</v>
      </c>
    </row>
    <row r="2170" spans="1:8" x14ac:dyDescent="0.2">
      <c r="A2170" t="s">
        <v>3190</v>
      </c>
      <c r="B2170" t="s">
        <v>1555</v>
      </c>
      <c r="C2170" t="s">
        <v>18</v>
      </c>
      <c r="D2170">
        <v>2</v>
      </c>
      <c r="E2170" t="s">
        <v>17</v>
      </c>
      <c r="F2170" t="s">
        <v>380</v>
      </c>
      <c r="G2170" t="s">
        <v>608</v>
      </c>
      <c r="H2170" t="s">
        <v>910</v>
      </c>
    </row>
    <row r="2171" spans="1:8" x14ac:dyDescent="0.2">
      <c r="A2171" t="s">
        <v>3191</v>
      </c>
      <c r="B2171" t="s">
        <v>1555</v>
      </c>
      <c r="C2171" t="s">
        <v>18</v>
      </c>
      <c r="D2171">
        <v>2</v>
      </c>
      <c r="E2171" t="s">
        <v>17</v>
      </c>
      <c r="F2171" t="s">
        <v>380</v>
      </c>
      <c r="G2171" t="s">
        <v>608</v>
      </c>
      <c r="H2171" t="s">
        <v>910</v>
      </c>
    </row>
    <row r="2172" spans="1:8" x14ac:dyDescent="0.2">
      <c r="A2172" t="s">
        <v>3192</v>
      </c>
      <c r="B2172" t="s">
        <v>1555</v>
      </c>
      <c r="C2172" t="s">
        <v>18</v>
      </c>
      <c r="D2172">
        <v>2</v>
      </c>
      <c r="E2172" t="s">
        <v>21</v>
      </c>
      <c r="F2172" t="s">
        <v>380</v>
      </c>
      <c r="G2172" t="s">
        <v>608</v>
      </c>
      <c r="H2172" t="s">
        <v>910</v>
      </c>
    </row>
    <row r="2173" spans="1:8" x14ac:dyDescent="0.2">
      <c r="A2173" t="s">
        <v>3193</v>
      </c>
      <c r="B2173" t="s">
        <v>1555</v>
      </c>
      <c r="C2173" t="s">
        <v>18</v>
      </c>
      <c r="D2173">
        <v>2</v>
      </c>
      <c r="E2173" t="s">
        <v>17</v>
      </c>
      <c r="F2173" t="s">
        <v>380</v>
      </c>
      <c r="G2173" t="s">
        <v>608</v>
      </c>
      <c r="H2173" t="s">
        <v>910</v>
      </c>
    </row>
    <row r="2174" spans="1:8" x14ac:dyDescent="0.2">
      <c r="A2174" t="s">
        <v>3194</v>
      </c>
      <c r="B2174" t="s">
        <v>1557</v>
      </c>
      <c r="C2174" t="s">
        <v>18</v>
      </c>
      <c r="D2174">
        <v>2</v>
      </c>
      <c r="E2174" t="s">
        <v>17</v>
      </c>
      <c r="F2174" t="s">
        <v>380</v>
      </c>
      <c r="G2174" t="s">
        <v>608</v>
      </c>
      <c r="H2174" t="s">
        <v>910</v>
      </c>
    </row>
    <row r="2175" spans="1:8" x14ac:dyDescent="0.2">
      <c r="A2175" t="s">
        <v>3195</v>
      </c>
      <c r="B2175" t="s">
        <v>1557</v>
      </c>
      <c r="C2175" t="s">
        <v>19</v>
      </c>
      <c r="D2175">
        <v>2</v>
      </c>
      <c r="E2175" t="s">
        <v>17</v>
      </c>
      <c r="F2175" t="s">
        <v>380</v>
      </c>
      <c r="G2175" t="s">
        <v>608</v>
      </c>
      <c r="H2175" t="s">
        <v>910</v>
      </c>
    </row>
    <row r="2176" spans="1:8" x14ac:dyDescent="0.2">
      <c r="A2176" t="s">
        <v>3197</v>
      </c>
      <c r="B2176" t="s">
        <v>1557</v>
      </c>
      <c r="C2176" t="s">
        <v>19</v>
      </c>
      <c r="D2176">
        <v>2</v>
      </c>
      <c r="E2176" t="s">
        <v>17</v>
      </c>
      <c r="F2176" t="s">
        <v>380</v>
      </c>
      <c r="G2176" t="s">
        <v>608</v>
      </c>
      <c r="H2176" t="s">
        <v>910</v>
      </c>
    </row>
    <row r="2177" spans="1:8" x14ac:dyDescent="0.2">
      <c r="A2177" t="s">
        <v>3199</v>
      </c>
      <c r="B2177" t="s">
        <v>1557</v>
      </c>
      <c r="C2177" t="s">
        <v>18</v>
      </c>
      <c r="D2177">
        <v>2</v>
      </c>
      <c r="E2177" t="s">
        <v>17</v>
      </c>
      <c r="F2177" t="s">
        <v>380</v>
      </c>
      <c r="G2177" t="s">
        <v>608</v>
      </c>
      <c r="H2177" t="s">
        <v>910</v>
      </c>
    </row>
    <row r="2178" spans="1:8" x14ac:dyDescent="0.2">
      <c r="A2178" t="s">
        <v>3200</v>
      </c>
      <c r="B2178" t="s">
        <v>1557</v>
      </c>
      <c r="C2178" t="s">
        <v>18</v>
      </c>
      <c r="D2178">
        <v>2</v>
      </c>
      <c r="E2178" t="s">
        <v>21</v>
      </c>
      <c r="F2178" t="s">
        <v>380</v>
      </c>
      <c r="G2178" t="s">
        <v>608</v>
      </c>
      <c r="H2178" t="s">
        <v>910</v>
      </c>
    </row>
    <row r="2179" spans="1:8" x14ac:dyDescent="0.2">
      <c r="A2179" t="s">
        <v>1015</v>
      </c>
      <c r="B2179" t="s">
        <v>1016</v>
      </c>
      <c r="C2179" t="s">
        <v>18</v>
      </c>
      <c r="D2179">
        <v>2</v>
      </c>
      <c r="E2179" t="s">
        <v>17</v>
      </c>
      <c r="F2179" t="s">
        <v>380</v>
      </c>
      <c r="G2179" t="s">
        <v>608</v>
      </c>
      <c r="H2179" t="s">
        <v>604</v>
      </c>
    </row>
    <row r="2180" spans="1:8" x14ac:dyDescent="0.2">
      <c r="A2180" t="s">
        <v>1017</v>
      </c>
      <c r="B2180" t="s">
        <v>1016</v>
      </c>
      <c r="C2180" t="s">
        <v>18</v>
      </c>
      <c r="D2180">
        <v>2</v>
      </c>
      <c r="E2180" t="s">
        <v>17</v>
      </c>
      <c r="F2180" t="s">
        <v>380</v>
      </c>
      <c r="G2180" t="s">
        <v>608</v>
      </c>
      <c r="H2180" t="s">
        <v>604</v>
      </c>
    </row>
    <row r="2181" spans="1:8" x14ac:dyDescent="0.2">
      <c r="A2181" t="s">
        <v>1018</v>
      </c>
      <c r="B2181" t="s">
        <v>1016</v>
      </c>
      <c r="C2181" t="s">
        <v>18</v>
      </c>
      <c r="D2181">
        <v>2</v>
      </c>
      <c r="E2181" t="s">
        <v>21</v>
      </c>
      <c r="F2181" t="s">
        <v>380</v>
      </c>
      <c r="G2181" t="s">
        <v>608</v>
      </c>
      <c r="H2181" t="s">
        <v>604</v>
      </c>
    </row>
    <row r="2182" spans="1:8" x14ac:dyDescent="0.2">
      <c r="A2182" t="s">
        <v>1019</v>
      </c>
      <c r="B2182" t="s">
        <v>1016</v>
      </c>
      <c r="C2182" t="s">
        <v>18</v>
      </c>
      <c r="D2182">
        <v>2</v>
      </c>
      <c r="E2182" t="s">
        <v>17</v>
      </c>
      <c r="F2182" t="s">
        <v>380</v>
      </c>
      <c r="G2182" t="s">
        <v>608</v>
      </c>
      <c r="H2182" t="s">
        <v>604</v>
      </c>
    </row>
    <row r="2183" spans="1:8" x14ac:dyDescent="0.2">
      <c r="A2183" t="s">
        <v>1020</v>
      </c>
      <c r="B2183" t="s">
        <v>1016</v>
      </c>
      <c r="C2183" t="s">
        <v>18</v>
      </c>
      <c r="D2183">
        <v>2</v>
      </c>
      <c r="E2183" t="s">
        <v>17</v>
      </c>
      <c r="F2183" t="s">
        <v>380</v>
      </c>
      <c r="G2183" t="s">
        <v>608</v>
      </c>
      <c r="H2183" t="s">
        <v>604</v>
      </c>
    </row>
    <row r="2184" spans="1:8" x14ac:dyDescent="0.2">
      <c r="A2184" t="s">
        <v>1021</v>
      </c>
      <c r="B2184" t="s">
        <v>1022</v>
      </c>
      <c r="C2184" t="s">
        <v>18</v>
      </c>
      <c r="D2184">
        <v>2</v>
      </c>
      <c r="E2184" t="s">
        <v>17</v>
      </c>
      <c r="F2184" t="s">
        <v>380</v>
      </c>
      <c r="G2184" t="s">
        <v>608</v>
      </c>
      <c r="H2184" t="s">
        <v>604</v>
      </c>
    </row>
    <row r="2185" spans="1:8" x14ac:dyDescent="0.2">
      <c r="A2185" t="s">
        <v>1023</v>
      </c>
      <c r="B2185" t="s">
        <v>1022</v>
      </c>
      <c r="C2185" t="s">
        <v>19</v>
      </c>
      <c r="D2185">
        <v>2</v>
      </c>
      <c r="E2185" t="s">
        <v>21</v>
      </c>
      <c r="F2185" t="s">
        <v>380</v>
      </c>
      <c r="G2185" t="s">
        <v>608</v>
      </c>
      <c r="H2185" t="s">
        <v>604</v>
      </c>
    </row>
    <row r="2186" spans="1:8" x14ac:dyDescent="0.2">
      <c r="A2186" t="s">
        <v>1024</v>
      </c>
      <c r="B2186" t="s">
        <v>1022</v>
      </c>
      <c r="C2186" t="s">
        <v>18</v>
      </c>
      <c r="D2186">
        <v>2</v>
      </c>
      <c r="E2186" t="s">
        <v>17</v>
      </c>
      <c r="F2186" t="s">
        <v>380</v>
      </c>
      <c r="G2186" t="s">
        <v>608</v>
      </c>
      <c r="H2186" t="s">
        <v>604</v>
      </c>
    </row>
    <row r="2187" spans="1:8" x14ac:dyDescent="0.2">
      <c r="A2187" t="s">
        <v>1025</v>
      </c>
      <c r="B2187" t="s">
        <v>1022</v>
      </c>
      <c r="C2187" t="s">
        <v>19</v>
      </c>
      <c r="D2187">
        <v>2</v>
      </c>
      <c r="E2187" t="s">
        <v>17</v>
      </c>
      <c r="F2187" t="s">
        <v>380</v>
      </c>
      <c r="G2187" t="s">
        <v>608</v>
      </c>
      <c r="H2187" t="s">
        <v>604</v>
      </c>
    </row>
    <row r="2188" spans="1:8" x14ac:dyDescent="0.2">
      <c r="A2188" t="s">
        <v>1026</v>
      </c>
      <c r="B2188" t="s">
        <v>1022</v>
      </c>
      <c r="C2188" t="s">
        <v>18</v>
      </c>
      <c r="D2188">
        <v>2</v>
      </c>
      <c r="E2188" t="s">
        <v>17</v>
      </c>
      <c r="F2188" t="s">
        <v>380</v>
      </c>
      <c r="G2188" t="s">
        <v>608</v>
      </c>
      <c r="H2188" t="s">
        <v>604</v>
      </c>
    </row>
    <row r="2189" spans="1:8" x14ac:dyDescent="0.2">
      <c r="A2189" t="s">
        <v>1027</v>
      </c>
      <c r="B2189" t="s">
        <v>1028</v>
      </c>
      <c r="C2189" t="s">
        <v>18</v>
      </c>
      <c r="D2189">
        <v>2</v>
      </c>
      <c r="E2189" t="s">
        <v>21</v>
      </c>
      <c r="F2189" t="s">
        <v>380</v>
      </c>
      <c r="G2189" t="s">
        <v>608</v>
      </c>
      <c r="H2189" t="s">
        <v>604</v>
      </c>
    </row>
    <row r="2190" spans="1:8" x14ac:dyDescent="0.2">
      <c r="A2190" t="s">
        <v>1029</v>
      </c>
      <c r="B2190" t="s">
        <v>1028</v>
      </c>
      <c r="C2190" t="s">
        <v>19</v>
      </c>
      <c r="D2190">
        <v>2</v>
      </c>
      <c r="E2190" t="s">
        <v>17</v>
      </c>
      <c r="F2190" t="s">
        <v>380</v>
      </c>
      <c r="G2190" t="s">
        <v>608</v>
      </c>
      <c r="H2190" t="s">
        <v>604</v>
      </c>
    </row>
    <row r="2191" spans="1:8" x14ac:dyDescent="0.2">
      <c r="A2191" t="s">
        <v>1030</v>
      </c>
      <c r="B2191" t="s">
        <v>1028</v>
      </c>
      <c r="C2191" t="s">
        <v>19</v>
      </c>
      <c r="D2191">
        <v>2</v>
      </c>
      <c r="E2191" t="s">
        <v>17</v>
      </c>
      <c r="F2191" t="s">
        <v>380</v>
      </c>
      <c r="G2191" t="s">
        <v>608</v>
      </c>
      <c r="H2191" t="s">
        <v>604</v>
      </c>
    </row>
    <row r="2192" spans="1:8" x14ac:dyDescent="0.2">
      <c r="A2192" t="s">
        <v>1031</v>
      </c>
      <c r="B2192" t="s">
        <v>1028</v>
      </c>
      <c r="C2192" t="s">
        <v>18</v>
      </c>
      <c r="D2192">
        <v>2</v>
      </c>
      <c r="E2192" t="s">
        <v>17</v>
      </c>
      <c r="F2192" t="s">
        <v>380</v>
      </c>
      <c r="G2192" t="s">
        <v>608</v>
      </c>
      <c r="H2192" t="s">
        <v>604</v>
      </c>
    </row>
    <row r="2193" spans="1:8" x14ac:dyDescent="0.2">
      <c r="A2193" t="s">
        <v>1032</v>
      </c>
      <c r="B2193" t="s">
        <v>1028</v>
      </c>
      <c r="C2193" t="s">
        <v>18</v>
      </c>
      <c r="D2193">
        <v>2</v>
      </c>
      <c r="E2193" t="s">
        <v>17</v>
      </c>
      <c r="F2193" t="s">
        <v>380</v>
      </c>
      <c r="G2193" t="s">
        <v>608</v>
      </c>
      <c r="H2193" t="s">
        <v>604</v>
      </c>
    </row>
    <row r="2194" spans="1:8" x14ac:dyDescent="0.2">
      <c r="A2194" t="s">
        <v>3264</v>
      </c>
      <c r="B2194" t="s">
        <v>3217</v>
      </c>
      <c r="C2194" t="s">
        <v>18</v>
      </c>
      <c r="D2194">
        <v>2</v>
      </c>
      <c r="E2194" t="s">
        <v>17</v>
      </c>
      <c r="F2194" t="s">
        <v>380</v>
      </c>
      <c r="G2194" t="s">
        <v>608</v>
      </c>
      <c r="H2194" t="s">
        <v>604</v>
      </c>
    </row>
    <row r="2195" spans="1:8" x14ac:dyDescent="0.2">
      <c r="A2195" t="s">
        <v>3265</v>
      </c>
      <c r="B2195" t="s">
        <v>3217</v>
      </c>
      <c r="C2195" t="s">
        <v>18</v>
      </c>
      <c r="D2195">
        <v>2</v>
      </c>
      <c r="E2195" t="s">
        <v>21</v>
      </c>
      <c r="F2195" t="s">
        <v>380</v>
      </c>
      <c r="G2195" t="s">
        <v>608</v>
      </c>
      <c r="H2195" t="s">
        <v>604</v>
      </c>
    </row>
    <row r="2196" spans="1:8" x14ac:dyDescent="0.2">
      <c r="A2196" t="s">
        <v>3266</v>
      </c>
      <c r="B2196" t="s">
        <v>3217</v>
      </c>
      <c r="C2196" t="s">
        <v>18</v>
      </c>
      <c r="D2196">
        <v>3</v>
      </c>
      <c r="E2196" t="s">
        <v>21</v>
      </c>
      <c r="F2196" t="s">
        <v>380</v>
      </c>
      <c r="G2196" t="s">
        <v>608</v>
      </c>
      <c r="H2196" t="s">
        <v>604</v>
      </c>
    </row>
    <row r="2197" spans="1:8" x14ac:dyDescent="0.2">
      <c r="A2197" t="s">
        <v>3267</v>
      </c>
      <c r="B2197" t="s">
        <v>3217</v>
      </c>
      <c r="C2197" t="s">
        <v>18</v>
      </c>
      <c r="D2197">
        <v>2</v>
      </c>
      <c r="E2197" t="s">
        <v>21</v>
      </c>
      <c r="F2197" t="s">
        <v>380</v>
      </c>
      <c r="G2197" t="s">
        <v>608</v>
      </c>
      <c r="H2197" t="s">
        <v>604</v>
      </c>
    </row>
    <row r="2198" spans="1:8" x14ac:dyDescent="0.2">
      <c r="A2198" t="s">
        <v>3268</v>
      </c>
      <c r="B2198" t="s">
        <v>3217</v>
      </c>
      <c r="C2198" t="s">
        <v>3202</v>
      </c>
      <c r="D2198" t="s">
        <v>16</v>
      </c>
      <c r="E2198" t="s">
        <v>21</v>
      </c>
      <c r="F2198" t="s">
        <v>380</v>
      </c>
      <c r="G2198" t="s">
        <v>608</v>
      </c>
      <c r="H2198" t="s">
        <v>604</v>
      </c>
    </row>
    <row r="2199" spans="1:8" x14ac:dyDescent="0.2">
      <c r="A2199" t="s">
        <v>3269</v>
      </c>
      <c r="B2199" t="s">
        <v>3219</v>
      </c>
      <c r="C2199" t="s">
        <v>18</v>
      </c>
      <c r="D2199">
        <v>2</v>
      </c>
      <c r="E2199" t="s">
        <v>17</v>
      </c>
      <c r="F2199" t="s">
        <v>380</v>
      </c>
      <c r="G2199" t="s">
        <v>608</v>
      </c>
      <c r="H2199" t="s">
        <v>604</v>
      </c>
    </row>
    <row r="2200" spans="1:8" x14ac:dyDescent="0.2">
      <c r="A2200" t="s">
        <v>3270</v>
      </c>
      <c r="B2200" t="s">
        <v>3219</v>
      </c>
      <c r="C2200" t="s">
        <v>18</v>
      </c>
      <c r="D2200">
        <v>2</v>
      </c>
      <c r="E2200" t="s">
        <v>17</v>
      </c>
      <c r="F2200" t="s">
        <v>380</v>
      </c>
      <c r="G2200" t="s">
        <v>608</v>
      </c>
      <c r="H2200" t="s">
        <v>604</v>
      </c>
    </row>
    <row r="2201" spans="1:8" x14ac:dyDescent="0.2">
      <c r="A2201" t="s">
        <v>3271</v>
      </c>
      <c r="B2201" t="s">
        <v>3219</v>
      </c>
      <c r="C2201" t="s">
        <v>19</v>
      </c>
      <c r="D2201">
        <v>2</v>
      </c>
      <c r="E2201" t="s">
        <v>21</v>
      </c>
      <c r="F2201" t="s">
        <v>380</v>
      </c>
      <c r="G2201" t="s">
        <v>608</v>
      </c>
      <c r="H2201" t="s">
        <v>604</v>
      </c>
    </row>
    <row r="2202" spans="1:8" x14ac:dyDescent="0.2">
      <c r="A2202" t="s">
        <v>3272</v>
      </c>
      <c r="B2202" t="s">
        <v>3219</v>
      </c>
      <c r="C2202" t="s">
        <v>18</v>
      </c>
      <c r="D2202">
        <v>2</v>
      </c>
      <c r="E2202" t="s">
        <v>17</v>
      </c>
      <c r="F2202" t="s">
        <v>380</v>
      </c>
      <c r="G2202" t="s">
        <v>608</v>
      </c>
      <c r="H2202" t="s">
        <v>604</v>
      </c>
    </row>
    <row r="2203" spans="1:8" x14ac:dyDescent="0.2">
      <c r="A2203" t="s">
        <v>3273</v>
      </c>
      <c r="B2203" t="s">
        <v>3219</v>
      </c>
      <c r="C2203" t="s">
        <v>18</v>
      </c>
      <c r="D2203">
        <v>2</v>
      </c>
      <c r="E2203" t="s">
        <v>17</v>
      </c>
      <c r="F2203" t="s">
        <v>380</v>
      </c>
      <c r="G2203" t="s">
        <v>608</v>
      </c>
      <c r="H2203" t="s">
        <v>604</v>
      </c>
    </row>
    <row r="2204" spans="1:8" x14ac:dyDescent="0.2">
      <c r="A2204" t="s">
        <v>3274</v>
      </c>
      <c r="B2204" t="s">
        <v>3221</v>
      </c>
      <c r="C2204" t="s">
        <v>18</v>
      </c>
      <c r="D2204">
        <v>2</v>
      </c>
      <c r="E2204" t="s">
        <v>17</v>
      </c>
      <c r="F2204" t="s">
        <v>380</v>
      </c>
      <c r="G2204" t="s">
        <v>608</v>
      </c>
      <c r="H2204" t="s">
        <v>604</v>
      </c>
    </row>
    <row r="2205" spans="1:8" x14ac:dyDescent="0.2">
      <c r="A2205" t="s">
        <v>3275</v>
      </c>
      <c r="B2205" t="s">
        <v>3221</v>
      </c>
      <c r="C2205" t="s">
        <v>18</v>
      </c>
      <c r="D2205">
        <v>2</v>
      </c>
      <c r="E2205" t="s">
        <v>21</v>
      </c>
      <c r="F2205" t="s">
        <v>380</v>
      </c>
      <c r="G2205" t="s">
        <v>608</v>
      </c>
      <c r="H2205" t="s">
        <v>604</v>
      </c>
    </row>
    <row r="2206" spans="1:8" x14ac:dyDescent="0.2">
      <c r="A2206" t="s">
        <v>3276</v>
      </c>
      <c r="B2206" t="s">
        <v>3221</v>
      </c>
      <c r="C2206" t="s">
        <v>18</v>
      </c>
      <c r="D2206">
        <v>2</v>
      </c>
      <c r="E2206" t="s">
        <v>17</v>
      </c>
      <c r="F2206" t="s">
        <v>380</v>
      </c>
      <c r="G2206" t="s">
        <v>608</v>
      </c>
      <c r="H2206" t="s">
        <v>604</v>
      </c>
    </row>
    <row r="2207" spans="1:8" x14ac:dyDescent="0.2">
      <c r="A2207" t="s">
        <v>3277</v>
      </c>
      <c r="B2207" t="s">
        <v>3221</v>
      </c>
      <c r="C2207" t="s">
        <v>18</v>
      </c>
      <c r="D2207">
        <v>2</v>
      </c>
      <c r="E2207" t="s">
        <v>17</v>
      </c>
      <c r="F2207" t="s">
        <v>380</v>
      </c>
      <c r="G2207" t="s">
        <v>608</v>
      </c>
      <c r="H2207" t="s">
        <v>604</v>
      </c>
    </row>
    <row r="2208" spans="1:8" x14ac:dyDescent="0.2">
      <c r="A2208" t="s">
        <v>3278</v>
      </c>
      <c r="B2208" t="s">
        <v>3221</v>
      </c>
      <c r="C2208" t="s">
        <v>18</v>
      </c>
      <c r="D2208">
        <v>2</v>
      </c>
      <c r="E2208" t="s">
        <v>17</v>
      </c>
      <c r="F2208" t="s">
        <v>380</v>
      </c>
      <c r="G2208" t="s">
        <v>608</v>
      </c>
      <c r="H2208" t="s">
        <v>604</v>
      </c>
    </row>
    <row r="2209" spans="1:8" x14ac:dyDescent="0.2">
      <c r="A2209" t="s">
        <v>3279</v>
      </c>
      <c r="B2209" t="s">
        <v>3217</v>
      </c>
      <c r="C2209" t="s">
        <v>18</v>
      </c>
      <c r="D2209">
        <v>2</v>
      </c>
      <c r="E2209" t="s">
        <v>17</v>
      </c>
      <c r="F2209" t="s">
        <v>380</v>
      </c>
      <c r="G2209" t="s">
        <v>608</v>
      </c>
      <c r="H2209" t="s">
        <v>604</v>
      </c>
    </row>
    <row r="2210" spans="1:8" x14ac:dyDescent="0.2">
      <c r="A2210" t="s">
        <v>3280</v>
      </c>
      <c r="B2210" t="s">
        <v>3217</v>
      </c>
      <c r="C2210" t="s">
        <v>18</v>
      </c>
      <c r="D2210">
        <v>2</v>
      </c>
      <c r="E2210" t="s">
        <v>17</v>
      </c>
      <c r="F2210" t="s">
        <v>380</v>
      </c>
      <c r="G2210" t="s">
        <v>608</v>
      </c>
      <c r="H2210" t="s">
        <v>604</v>
      </c>
    </row>
    <row r="2211" spans="1:8" x14ac:dyDescent="0.2">
      <c r="A2211" t="s">
        <v>3281</v>
      </c>
      <c r="B2211" t="s">
        <v>3217</v>
      </c>
      <c r="C2211" t="s">
        <v>19</v>
      </c>
      <c r="D2211">
        <v>2</v>
      </c>
      <c r="E2211" t="s">
        <v>17</v>
      </c>
      <c r="F2211" t="s">
        <v>380</v>
      </c>
      <c r="G2211" t="s">
        <v>608</v>
      </c>
      <c r="H2211" t="s">
        <v>604</v>
      </c>
    </row>
    <row r="2212" spans="1:8" x14ac:dyDescent="0.2">
      <c r="A2212" t="s">
        <v>3282</v>
      </c>
      <c r="B2212" t="s">
        <v>3217</v>
      </c>
      <c r="C2212" t="s">
        <v>19</v>
      </c>
      <c r="D2212">
        <v>2</v>
      </c>
      <c r="E2212" t="s">
        <v>17</v>
      </c>
      <c r="F2212" t="s">
        <v>380</v>
      </c>
      <c r="G2212" t="s">
        <v>608</v>
      </c>
      <c r="H2212" t="s">
        <v>604</v>
      </c>
    </row>
    <row r="2213" spans="1:8" x14ac:dyDescent="0.2">
      <c r="A2213" t="s">
        <v>3283</v>
      </c>
      <c r="B2213" t="s">
        <v>3217</v>
      </c>
      <c r="C2213" t="s">
        <v>19</v>
      </c>
      <c r="D2213">
        <v>2</v>
      </c>
      <c r="E2213" t="s">
        <v>17</v>
      </c>
      <c r="F2213" t="s">
        <v>380</v>
      </c>
      <c r="G2213" t="s">
        <v>608</v>
      </c>
      <c r="H2213" t="s">
        <v>604</v>
      </c>
    </row>
    <row r="2214" spans="1:8" x14ac:dyDescent="0.2">
      <c r="A2214" t="s">
        <v>3284</v>
      </c>
      <c r="B2214" t="s">
        <v>3217</v>
      </c>
      <c r="C2214" t="s">
        <v>18</v>
      </c>
      <c r="D2214">
        <v>2</v>
      </c>
      <c r="E2214" t="s">
        <v>17</v>
      </c>
      <c r="F2214" t="s">
        <v>380</v>
      </c>
      <c r="G2214" t="s">
        <v>608</v>
      </c>
      <c r="H2214" t="s">
        <v>604</v>
      </c>
    </row>
    <row r="2215" spans="1:8" x14ac:dyDescent="0.2">
      <c r="A2215" t="s">
        <v>3285</v>
      </c>
      <c r="B2215" t="s">
        <v>3217</v>
      </c>
      <c r="C2215" t="s">
        <v>18</v>
      </c>
      <c r="D2215">
        <v>2</v>
      </c>
      <c r="E2215" t="s">
        <v>17</v>
      </c>
      <c r="F2215" t="s">
        <v>380</v>
      </c>
      <c r="G2215" t="s">
        <v>608</v>
      </c>
      <c r="H2215" t="s">
        <v>604</v>
      </c>
    </row>
    <row r="2216" spans="1:8" x14ac:dyDescent="0.2">
      <c r="A2216" t="s">
        <v>3286</v>
      </c>
      <c r="B2216" t="s">
        <v>3217</v>
      </c>
      <c r="C2216" t="s">
        <v>19</v>
      </c>
      <c r="D2216">
        <v>2</v>
      </c>
      <c r="E2216" t="s">
        <v>17</v>
      </c>
      <c r="F2216" t="s">
        <v>380</v>
      </c>
      <c r="G2216" t="s">
        <v>608</v>
      </c>
      <c r="H2216" t="s">
        <v>604</v>
      </c>
    </row>
    <row r="2217" spans="1:8" x14ac:dyDescent="0.2">
      <c r="A2217" t="s">
        <v>3287</v>
      </c>
      <c r="B2217" t="s">
        <v>3217</v>
      </c>
      <c r="C2217" t="s">
        <v>16</v>
      </c>
      <c r="D2217">
        <v>4</v>
      </c>
      <c r="E2217" t="s">
        <v>17</v>
      </c>
      <c r="F2217" t="s">
        <v>380</v>
      </c>
      <c r="G2217" t="s">
        <v>3211</v>
      </c>
      <c r="H2217" t="s">
        <v>604</v>
      </c>
    </row>
    <row r="2218" spans="1:8" x14ac:dyDescent="0.2">
      <c r="A2218" t="s">
        <v>3288</v>
      </c>
      <c r="B2218" t="s">
        <v>3217</v>
      </c>
      <c r="C2218" t="s">
        <v>19</v>
      </c>
      <c r="D2218">
        <v>2</v>
      </c>
      <c r="E2218" t="s">
        <v>17</v>
      </c>
      <c r="F2218" t="s">
        <v>380</v>
      </c>
      <c r="G2218" t="s">
        <v>608</v>
      </c>
      <c r="H2218" t="s">
        <v>604</v>
      </c>
    </row>
    <row r="2219" spans="1:8" x14ac:dyDescent="0.2">
      <c r="A2219" t="s">
        <v>3289</v>
      </c>
      <c r="B2219" t="s">
        <v>3217</v>
      </c>
      <c r="C2219" t="s">
        <v>16</v>
      </c>
      <c r="D2219">
        <v>4</v>
      </c>
      <c r="E2219" t="s">
        <v>17</v>
      </c>
      <c r="F2219" t="s">
        <v>380</v>
      </c>
      <c r="G2219" t="s">
        <v>3211</v>
      </c>
      <c r="H2219" t="s">
        <v>604</v>
      </c>
    </row>
    <row r="2220" spans="1:8" x14ac:dyDescent="0.2">
      <c r="A2220" t="s">
        <v>3290</v>
      </c>
      <c r="B2220" t="s">
        <v>3217</v>
      </c>
      <c r="C2220" t="s">
        <v>19</v>
      </c>
      <c r="D2220">
        <v>2</v>
      </c>
      <c r="E2220" t="s">
        <v>21</v>
      </c>
      <c r="F2220" t="s">
        <v>380</v>
      </c>
      <c r="G2220" t="s">
        <v>608</v>
      </c>
      <c r="H2220" t="s">
        <v>604</v>
      </c>
    </row>
    <row r="2221" spans="1:8" x14ac:dyDescent="0.2">
      <c r="A2221" t="s">
        <v>3291</v>
      </c>
      <c r="B2221" t="s">
        <v>3217</v>
      </c>
      <c r="C2221" t="s">
        <v>19</v>
      </c>
      <c r="D2221">
        <v>2</v>
      </c>
      <c r="E2221" t="s">
        <v>17</v>
      </c>
      <c r="F2221" t="s">
        <v>380</v>
      </c>
      <c r="G2221" t="s">
        <v>608</v>
      </c>
      <c r="H2221" t="s">
        <v>604</v>
      </c>
    </row>
    <row r="2222" spans="1:8" x14ac:dyDescent="0.2">
      <c r="A2222" t="s">
        <v>3292</v>
      </c>
      <c r="B2222" t="s">
        <v>3219</v>
      </c>
      <c r="C2222" t="s">
        <v>18</v>
      </c>
      <c r="D2222">
        <v>2</v>
      </c>
      <c r="E2222" t="s">
        <v>17</v>
      </c>
      <c r="F2222" t="s">
        <v>380</v>
      </c>
      <c r="G2222" t="s">
        <v>608</v>
      </c>
      <c r="H2222" t="s">
        <v>604</v>
      </c>
    </row>
    <row r="2223" spans="1:8" x14ac:dyDescent="0.2">
      <c r="A2223" t="s">
        <v>3293</v>
      </c>
      <c r="B2223" t="s">
        <v>3219</v>
      </c>
      <c r="C2223" t="s">
        <v>19</v>
      </c>
      <c r="D2223">
        <v>2</v>
      </c>
      <c r="E2223" t="s">
        <v>17</v>
      </c>
      <c r="F2223" t="s">
        <v>380</v>
      </c>
      <c r="G2223" t="s">
        <v>608</v>
      </c>
      <c r="H2223" t="s">
        <v>604</v>
      </c>
    </row>
    <row r="2224" spans="1:8" x14ac:dyDescent="0.2">
      <c r="A2224" t="s">
        <v>3294</v>
      </c>
      <c r="B2224" t="s">
        <v>3219</v>
      </c>
      <c r="C2224" t="s">
        <v>19</v>
      </c>
      <c r="D2224">
        <v>2</v>
      </c>
      <c r="E2224" t="s">
        <v>17</v>
      </c>
      <c r="F2224" t="s">
        <v>380</v>
      </c>
      <c r="G2224" t="s">
        <v>608</v>
      </c>
      <c r="H2224" t="s">
        <v>604</v>
      </c>
    </row>
    <row r="2225" spans="1:8" x14ac:dyDescent="0.2">
      <c r="A2225" t="s">
        <v>3295</v>
      </c>
      <c r="B2225" t="s">
        <v>3219</v>
      </c>
      <c r="C2225" t="s">
        <v>19</v>
      </c>
      <c r="D2225">
        <v>2</v>
      </c>
      <c r="E2225" t="s">
        <v>17</v>
      </c>
      <c r="F2225" t="s">
        <v>380</v>
      </c>
      <c r="G2225" t="s">
        <v>608</v>
      </c>
      <c r="H2225" t="s">
        <v>604</v>
      </c>
    </row>
    <row r="2226" spans="1:8" x14ac:dyDescent="0.2">
      <c r="A2226" t="s">
        <v>3296</v>
      </c>
      <c r="B2226" t="s">
        <v>3219</v>
      </c>
      <c r="C2226" t="s">
        <v>19</v>
      </c>
      <c r="D2226">
        <v>2</v>
      </c>
      <c r="E2226" t="s">
        <v>17</v>
      </c>
      <c r="F2226" t="s">
        <v>380</v>
      </c>
      <c r="G2226" t="s">
        <v>608</v>
      </c>
      <c r="H2226" t="s">
        <v>604</v>
      </c>
    </row>
    <row r="2227" spans="1:8" x14ac:dyDescent="0.2">
      <c r="A2227" t="s">
        <v>3297</v>
      </c>
      <c r="B2227" t="s">
        <v>3219</v>
      </c>
      <c r="C2227" t="s">
        <v>19</v>
      </c>
      <c r="D2227">
        <v>3</v>
      </c>
      <c r="E2227" t="s">
        <v>17</v>
      </c>
      <c r="F2227" t="s">
        <v>380</v>
      </c>
      <c r="G2227" t="s">
        <v>608</v>
      </c>
      <c r="H2227" t="s">
        <v>604</v>
      </c>
    </row>
    <row r="2228" spans="1:8" x14ac:dyDescent="0.2">
      <c r="A2228" t="s">
        <v>3298</v>
      </c>
      <c r="B2228" t="s">
        <v>3219</v>
      </c>
      <c r="C2228" t="s">
        <v>19</v>
      </c>
      <c r="D2228">
        <v>2</v>
      </c>
      <c r="E2228" t="s">
        <v>17</v>
      </c>
      <c r="F2228" t="s">
        <v>380</v>
      </c>
      <c r="G2228" t="s">
        <v>608</v>
      </c>
      <c r="H2228" t="s">
        <v>604</v>
      </c>
    </row>
    <row r="2229" spans="1:8" x14ac:dyDescent="0.2">
      <c r="A2229" t="s">
        <v>3299</v>
      </c>
      <c r="B2229" t="s">
        <v>3219</v>
      </c>
      <c r="C2229" t="s">
        <v>19</v>
      </c>
      <c r="D2229">
        <v>2</v>
      </c>
      <c r="E2229" t="s">
        <v>17</v>
      </c>
      <c r="F2229" t="s">
        <v>380</v>
      </c>
      <c r="G2229" t="s">
        <v>608</v>
      </c>
      <c r="H2229" t="s">
        <v>604</v>
      </c>
    </row>
    <row r="2230" spans="1:8" x14ac:dyDescent="0.2">
      <c r="A2230" t="s">
        <v>3300</v>
      </c>
      <c r="B2230" t="s">
        <v>3219</v>
      </c>
      <c r="C2230" t="s">
        <v>19</v>
      </c>
      <c r="D2230">
        <v>3</v>
      </c>
      <c r="E2230" t="s">
        <v>17</v>
      </c>
      <c r="F2230" t="s">
        <v>380</v>
      </c>
      <c r="G2230" t="s">
        <v>608</v>
      </c>
      <c r="H2230" t="s">
        <v>604</v>
      </c>
    </row>
    <row r="2231" spans="1:8" x14ac:dyDescent="0.2">
      <c r="A2231" t="s">
        <v>3301</v>
      </c>
      <c r="B2231" t="s">
        <v>3219</v>
      </c>
      <c r="C2231" t="s">
        <v>19</v>
      </c>
      <c r="D2231">
        <v>3</v>
      </c>
      <c r="E2231" t="s">
        <v>17</v>
      </c>
      <c r="F2231" t="s">
        <v>380</v>
      </c>
      <c r="G2231" t="s">
        <v>608</v>
      </c>
      <c r="H2231" t="s">
        <v>604</v>
      </c>
    </row>
    <row r="2232" spans="1:8" x14ac:dyDescent="0.2">
      <c r="A2232" t="s">
        <v>3302</v>
      </c>
      <c r="B2232" t="s">
        <v>3221</v>
      </c>
      <c r="C2232" t="s">
        <v>18</v>
      </c>
      <c r="D2232">
        <v>2</v>
      </c>
      <c r="E2232" t="s">
        <v>17</v>
      </c>
      <c r="F2232" t="s">
        <v>380</v>
      </c>
      <c r="G2232" t="s">
        <v>608</v>
      </c>
      <c r="H2232" t="s">
        <v>604</v>
      </c>
    </row>
    <row r="2233" spans="1:8" x14ac:dyDescent="0.2">
      <c r="A2233" t="s">
        <v>3303</v>
      </c>
      <c r="B2233" t="s">
        <v>3221</v>
      </c>
      <c r="C2233" t="s">
        <v>18</v>
      </c>
      <c r="D2233">
        <v>1</v>
      </c>
      <c r="E2233" t="s">
        <v>17</v>
      </c>
      <c r="F2233" t="s">
        <v>380</v>
      </c>
      <c r="G2233" t="s">
        <v>608</v>
      </c>
      <c r="H2233" t="s">
        <v>604</v>
      </c>
    </row>
    <row r="2234" spans="1:8" x14ac:dyDescent="0.2">
      <c r="A2234" t="s">
        <v>3304</v>
      </c>
      <c r="B2234" t="s">
        <v>3221</v>
      </c>
      <c r="C2234" t="s">
        <v>19</v>
      </c>
      <c r="D2234">
        <v>2</v>
      </c>
      <c r="E2234" t="s">
        <v>17</v>
      </c>
      <c r="F2234" t="s">
        <v>380</v>
      </c>
      <c r="G2234" t="s">
        <v>608</v>
      </c>
      <c r="H2234" t="s">
        <v>604</v>
      </c>
    </row>
    <row r="2235" spans="1:8" x14ac:dyDescent="0.2">
      <c r="A2235" t="s">
        <v>3305</v>
      </c>
      <c r="B2235" t="s">
        <v>3221</v>
      </c>
      <c r="C2235" t="s">
        <v>19</v>
      </c>
      <c r="D2235">
        <v>2</v>
      </c>
      <c r="E2235" t="s">
        <v>17</v>
      </c>
      <c r="F2235" t="s">
        <v>380</v>
      </c>
      <c r="G2235" t="s">
        <v>608</v>
      </c>
      <c r="H2235" t="s">
        <v>604</v>
      </c>
    </row>
    <row r="2236" spans="1:8" x14ac:dyDescent="0.2">
      <c r="A2236" t="s">
        <v>3306</v>
      </c>
      <c r="B2236" t="s">
        <v>3221</v>
      </c>
      <c r="C2236" t="s">
        <v>19</v>
      </c>
      <c r="D2236">
        <v>2</v>
      </c>
      <c r="E2236" t="s">
        <v>17</v>
      </c>
      <c r="F2236" t="s">
        <v>380</v>
      </c>
      <c r="G2236" t="s">
        <v>608</v>
      </c>
      <c r="H2236" t="s">
        <v>604</v>
      </c>
    </row>
    <row r="2237" spans="1:8" x14ac:dyDescent="0.2">
      <c r="A2237" t="s">
        <v>3307</v>
      </c>
      <c r="B2237" t="s">
        <v>3221</v>
      </c>
      <c r="C2237" t="s">
        <v>16</v>
      </c>
      <c r="D2237">
        <v>4</v>
      </c>
      <c r="E2237" t="s">
        <v>17</v>
      </c>
      <c r="F2237" t="s">
        <v>380</v>
      </c>
      <c r="G2237" t="s">
        <v>3211</v>
      </c>
      <c r="H2237" t="s">
        <v>604</v>
      </c>
    </row>
    <row r="2238" spans="1:8" x14ac:dyDescent="0.2">
      <c r="A2238" t="s">
        <v>3308</v>
      </c>
      <c r="B2238" t="s">
        <v>3221</v>
      </c>
      <c r="C2238" t="s">
        <v>19</v>
      </c>
      <c r="D2238">
        <v>2</v>
      </c>
      <c r="E2238" t="s">
        <v>17</v>
      </c>
      <c r="F2238" t="s">
        <v>380</v>
      </c>
      <c r="G2238" t="s">
        <v>608</v>
      </c>
      <c r="H2238" t="s">
        <v>604</v>
      </c>
    </row>
    <row r="2239" spans="1:8" x14ac:dyDescent="0.2">
      <c r="A2239" t="s">
        <v>3309</v>
      </c>
      <c r="B2239" t="s">
        <v>3221</v>
      </c>
      <c r="C2239" t="s">
        <v>19</v>
      </c>
      <c r="D2239">
        <v>2</v>
      </c>
      <c r="E2239" t="s">
        <v>17</v>
      </c>
      <c r="F2239" t="s">
        <v>380</v>
      </c>
      <c r="G2239" t="s">
        <v>608</v>
      </c>
      <c r="H2239" t="s">
        <v>604</v>
      </c>
    </row>
    <row r="2240" spans="1:8" x14ac:dyDescent="0.2">
      <c r="A2240" t="s">
        <v>3310</v>
      </c>
      <c r="B2240" t="s">
        <v>3221</v>
      </c>
      <c r="C2240" t="s">
        <v>18</v>
      </c>
      <c r="D2240">
        <v>2</v>
      </c>
      <c r="E2240" t="s">
        <v>17</v>
      </c>
      <c r="F2240" t="s">
        <v>380</v>
      </c>
      <c r="G2240" t="s">
        <v>608</v>
      </c>
      <c r="H2240" t="s">
        <v>604</v>
      </c>
    </row>
    <row r="2241" spans="1:8" x14ac:dyDescent="0.2">
      <c r="A2241" t="s">
        <v>3311</v>
      </c>
      <c r="B2241" t="s">
        <v>3221</v>
      </c>
      <c r="C2241" t="s">
        <v>19</v>
      </c>
      <c r="D2241">
        <v>2</v>
      </c>
      <c r="E2241" t="s">
        <v>17</v>
      </c>
      <c r="F2241" t="s">
        <v>380</v>
      </c>
      <c r="G2241" t="s">
        <v>608</v>
      </c>
      <c r="H2241" t="s">
        <v>604</v>
      </c>
    </row>
    <row r="2242" spans="1:8" x14ac:dyDescent="0.2">
      <c r="A2242" t="s">
        <v>3312</v>
      </c>
      <c r="B2242" t="s">
        <v>3221</v>
      </c>
      <c r="C2242" t="s">
        <v>19</v>
      </c>
      <c r="D2242">
        <v>2</v>
      </c>
      <c r="E2242" t="s">
        <v>17</v>
      </c>
      <c r="F2242" t="s">
        <v>380</v>
      </c>
      <c r="G2242" t="s">
        <v>608</v>
      </c>
      <c r="H2242" t="s">
        <v>604</v>
      </c>
    </row>
    <row r="2243" spans="1:8" x14ac:dyDescent="0.2">
      <c r="A2243" t="s">
        <v>3313</v>
      </c>
      <c r="B2243" t="s">
        <v>3221</v>
      </c>
      <c r="C2243" t="s">
        <v>19</v>
      </c>
      <c r="D2243">
        <v>2</v>
      </c>
      <c r="E2243" t="s">
        <v>17</v>
      </c>
      <c r="F2243" t="s">
        <v>380</v>
      </c>
      <c r="G2243" t="s">
        <v>608</v>
      </c>
      <c r="H2243" t="s">
        <v>604</v>
      </c>
    </row>
    <row r="2244" spans="1:8" x14ac:dyDescent="0.2">
      <c r="A2244" t="s">
        <v>3314</v>
      </c>
      <c r="B2244" t="s">
        <v>3229</v>
      </c>
      <c r="C2244" t="s">
        <v>16</v>
      </c>
      <c r="D2244">
        <v>4</v>
      </c>
      <c r="E2244" t="s">
        <v>17</v>
      </c>
      <c r="F2244" t="s">
        <v>380</v>
      </c>
      <c r="G2244" t="s">
        <v>608</v>
      </c>
      <c r="H2244" t="s">
        <v>604</v>
      </c>
    </row>
    <row r="2245" spans="1:8" x14ac:dyDescent="0.2">
      <c r="A2245" t="s">
        <v>3316</v>
      </c>
      <c r="B2245" t="s">
        <v>3229</v>
      </c>
      <c r="C2245" t="s">
        <v>19</v>
      </c>
      <c r="D2245">
        <v>3</v>
      </c>
      <c r="E2245" t="s">
        <v>17</v>
      </c>
      <c r="F2245" t="s">
        <v>380</v>
      </c>
      <c r="G2245" t="s">
        <v>608</v>
      </c>
      <c r="H2245" t="s">
        <v>604</v>
      </c>
    </row>
    <row r="2246" spans="1:8" x14ac:dyDescent="0.2">
      <c r="A2246" t="s">
        <v>3317</v>
      </c>
      <c r="B2246" t="s">
        <v>3229</v>
      </c>
      <c r="C2246" t="s">
        <v>18</v>
      </c>
      <c r="D2246">
        <v>2</v>
      </c>
      <c r="E2246" t="s">
        <v>17</v>
      </c>
      <c r="F2246" t="s">
        <v>380</v>
      </c>
      <c r="G2246" t="s">
        <v>608</v>
      </c>
      <c r="H2246" t="s">
        <v>604</v>
      </c>
    </row>
    <row r="2247" spans="1:8" x14ac:dyDescent="0.2">
      <c r="A2247" t="s">
        <v>3318</v>
      </c>
      <c r="B2247" t="s">
        <v>3229</v>
      </c>
      <c r="C2247" t="s">
        <v>18</v>
      </c>
      <c r="D2247">
        <v>2</v>
      </c>
      <c r="E2247" t="s">
        <v>21</v>
      </c>
      <c r="F2247" t="s">
        <v>380</v>
      </c>
      <c r="G2247" t="s">
        <v>608</v>
      </c>
      <c r="H2247" t="s">
        <v>604</v>
      </c>
    </row>
    <row r="2248" spans="1:8" x14ac:dyDescent="0.2">
      <c r="A2248" t="s">
        <v>3319</v>
      </c>
      <c r="B2248" t="s">
        <v>3229</v>
      </c>
      <c r="C2248" t="s">
        <v>18</v>
      </c>
      <c r="D2248">
        <v>3</v>
      </c>
      <c r="E2248" t="s">
        <v>17</v>
      </c>
      <c r="F2248" t="s">
        <v>380</v>
      </c>
      <c r="G2248" t="s">
        <v>608</v>
      </c>
      <c r="H2248" t="s">
        <v>604</v>
      </c>
    </row>
    <row r="2249" spans="1:8" x14ac:dyDescent="0.2">
      <c r="A2249" t="s">
        <v>3320</v>
      </c>
      <c r="B2249" t="s">
        <v>3231</v>
      </c>
      <c r="C2249" t="s">
        <v>18</v>
      </c>
      <c r="D2249">
        <v>1</v>
      </c>
      <c r="E2249" t="s">
        <v>17</v>
      </c>
      <c r="F2249" t="s">
        <v>380</v>
      </c>
      <c r="G2249" t="s">
        <v>608</v>
      </c>
      <c r="H2249" t="s">
        <v>604</v>
      </c>
    </row>
    <row r="2250" spans="1:8" x14ac:dyDescent="0.2">
      <c r="A2250" t="s">
        <v>3321</v>
      </c>
      <c r="B2250" t="s">
        <v>3231</v>
      </c>
      <c r="C2250" t="s">
        <v>18</v>
      </c>
      <c r="D2250">
        <v>3</v>
      </c>
      <c r="E2250" t="s">
        <v>17</v>
      </c>
      <c r="F2250" t="s">
        <v>380</v>
      </c>
      <c r="G2250" t="s">
        <v>608</v>
      </c>
      <c r="H2250" t="s">
        <v>604</v>
      </c>
    </row>
    <row r="2251" spans="1:8" x14ac:dyDescent="0.2">
      <c r="A2251" t="s">
        <v>3322</v>
      </c>
      <c r="B2251" t="s">
        <v>3231</v>
      </c>
      <c r="C2251" t="s">
        <v>16</v>
      </c>
      <c r="D2251">
        <v>4</v>
      </c>
      <c r="E2251" t="s">
        <v>17</v>
      </c>
      <c r="F2251" t="s">
        <v>380</v>
      </c>
      <c r="G2251" t="s">
        <v>608</v>
      </c>
      <c r="H2251" t="s">
        <v>604</v>
      </c>
    </row>
    <row r="2252" spans="1:8" x14ac:dyDescent="0.2">
      <c r="A2252" t="s">
        <v>3323</v>
      </c>
      <c r="B2252" t="s">
        <v>3231</v>
      </c>
      <c r="C2252" t="s">
        <v>16</v>
      </c>
      <c r="D2252">
        <v>4</v>
      </c>
      <c r="E2252" t="s">
        <v>21</v>
      </c>
      <c r="F2252" t="s">
        <v>380</v>
      </c>
      <c r="G2252" t="s">
        <v>608</v>
      </c>
      <c r="H2252" t="s">
        <v>604</v>
      </c>
    </row>
    <row r="2253" spans="1:8" x14ac:dyDescent="0.2">
      <c r="A2253" t="s">
        <v>3324</v>
      </c>
      <c r="B2253" t="s">
        <v>3231</v>
      </c>
      <c r="C2253" t="s">
        <v>18</v>
      </c>
      <c r="D2253">
        <v>3</v>
      </c>
      <c r="E2253" t="s">
        <v>21</v>
      </c>
      <c r="F2253" t="s">
        <v>380</v>
      </c>
      <c r="G2253" t="s">
        <v>608</v>
      </c>
      <c r="H2253" t="s">
        <v>604</v>
      </c>
    </row>
    <row r="2254" spans="1:8" x14ac:dyDescent="0.2">
      <c r="A2254" t="s">
        <v>3325</v>
      </c>
      <c r="B2254" t="s">
        <v>3233</v>
      </c>
      <c r="C2254" t="s">
        <v>18</v>
      </c>
      <c r="D2254">
        <v>1</v>
      </c>
      <c r="E2254" t="s">
        <v>21</v>
      </c>
      <c r="F2254" t="s">
        <v>380</v>
      </c>
      <c r="G2254" t="s">
        <v>608</v>
      </c>
      <c r="H2254" t="s">
        <v>604</v>
      </c>
    </row>
    <row r="2255" spans="1:8" x14ac:dyDescent="0.2">
      <c r="A2255" t="s">
        <v>3326</v>
      </c>
      <c r="B2255" t="s">
        <v>3233</v>
      </c>
      <c r="C2255" t="s">
        <v>18</v>
      </c>
      <c r="D2255">
        <v>3</v>
      </c>
      <c r="E2255" t="s">
        <v>21</v>
      </c>
      <c r="F2255" t="s">
        <v>380</v>
      </c>
      <c r="G2255" t="s">
        <v>608</v>
      </c>
      <c r="H2255" t="s">
        <v>604</v>
      </c>
    </row>
    <row r="2256" spans="1:8" x14ac:dyDescent="0.2">
      <c r="A2256" t="s">
        <v>3328</v>
      </c>
      <c r="B2256" t="s">
        <v>3233</v>
      </c>
      <c r="C2256" t="s">
        <v>18</v>
      </c>
      <c r="D2256">
        <v>2</v>
      </c>
      <c r="E2256" t="s">
        <v>17</v>
      </c>
      <c r="F2256" t="s">
        <v>380</v>
      </c>
      <c r="G2256" t="s">
        <v>608</v>
      </c>
      <c r="H2256" t="s">
        <v>604</v>
      </c>
    </row>
    <row r="2257" spans="1:8" x14ac:dyDescent="0.2">
      <c r="A2257" t="s">
        <v>3329</v>
      </c>
      <c r="B2257" t="s">
        <v>3233</v>
      </c>
      <c r="C2257" t="s">
        <v>18</v>
      </c>
      <c r="D2257">
        <v>3</v>
      </c>
      <c r="E2257" t="s">
        <v>17</v>
      </c>
      <c r="F2257" t="s">
        <v>380</v>
      </c>
      <c r="G2257" t="s">
        <v>608</v>
      </c>
      <c r="H2257" t="s">
        <v>604</v>
      </c>
    </row>
    <row r="2258" spans="1:8" x14ac:dyDescent="0.2">
      <c r="A2258" t="s">
        <v>3330</v>
      </c>
      <c r="B2258" t="s">
        <v>3233</v>
      </c>
      <c r="C2258" t="s">
        <v>18</v>
      </c>
      <c r="D2258">
        <v>2</v>
      </c>
      <c r="E2258" t="s">
        <v>21</v>
      </c>
      <c r="F2258" t="s">
        <v>380</v>
      </c>
      <c r="G2258" t="s">
        <v>608</v>
      </c>
      <c r="H2258" t="s">
        <v>604</v>
      </c>
    </row>
    <row r="2259" spans="1:8" x14ac:dyDescent="0.2">
      <c r="A2259" t="s">
        <v>3331</v>
      </c>
      <c r="B2259" t="s">
        <v>3229</v>
      </c>
      <c r="C2259" t="s">
        <v>16</v>
      </c>
      <c r="D2259">
        <v>4</v>
      </c>
      <c r="E2259" t="s">
        <v>21</v>
      </c>
      <c r="F2259" t="s">
        <v>380</v>
      </c>
      <c r="G2259" t="s">
        <v>3212</v>
      </c>
      <c r="H2259" t="s">
        <v>604</v>
      </c>
    </row>
    <row r="2260" spans="1:8" x14ac:dyDescent="0.2">
      <c r="A2260" t="s">
        <v>3333</v>
      </c>
      <c r="B2260" t="s">
        <v>3229</v>
      </c>
      <c r="C2260" t="s">
        <v>16</v>
      </c>
      <c r="D2260">
        <v>4</v>
      </c>
      <c r="E2260" t="s">
        <v>21</v>
      </c>
      <c r="F2260" t="s">
        <v>380</v>
      </c>
      <c r="G2260" t="s">
        <v>3212</v>
      </c>
      <c r="H2260" t="s">
        <v>604</v>
      </c>
    </row>
    <row r="2261" spans="1:8" x14ac:dyDescent="0.2">
      <c r="A2261" t="s">
        <v>3334</v>
      </c>
      <c r="B2261" t="s">
        <v>3229</v>
      </c>
      <c r="C2261" t="s">
        <v>19</v>
      </c>
      <c r="D2261">
        <v>2</v>
      </c>
      <c r="E2261" t="s">
        <v>17</v>
      </c>
      <c r="F2261" t="s">
        <v>380</v>
      </c>
      <c r="G2261" t="s">
        <v>608</v>
      </c>
      <c r="H2261" t="s">
        <v>604</v>
      </c>
    </row>
    <row r="2262" spans="1:8" x14ac:dyDescent="0.2">
      <c r="A2262" t="s">
        <v>3335</v>
      </c>
      <c r="B2262" t="s">
        <v>3229</v>
      </c>
      <c r="C2262" t="s">
        <v>16</v>
      </c>
      <c r="D2262">
        <v>4</v>
      </c>
      <c r="E2262" t="s">
        <v>17</v>
      </c>
      <c r="F2262" t="s">
        <v>380</v>
      </c>
      <c r="G2262" t="s">
        <v>3212</v>
      </c>
      <c r="H2262" t="s">
        <v>604</v>
      </c>
    </row>
    <row r="2263" spans="1:8" x14ac:dyDescent="0.2">
      <c r="A2263" t="s">
        <v>3336</v>
      </c>
      <c r="B2263" t="s">
        <v>3229</v>
      </c>
      <c r="C2263" t="s">
        <v>19</v>
      </c>
      <c r="D2263">
        <v>3</v>
      </c>
      <c r="E2263" t="s">
        <v>21</v>
      </c>
      <c r="F2263" t="s">
        <v>380</v>
      </c>
      <c r="G2263" t="s">
        <v>608</v>
      </c>
      <c r="H2263" t="s">
        <v>604</v>
      </c>
    </row>
    <row r="2264" spans="1:8" x14ac:dyDescent="0.2">
      <c r="A2264" t="s">
        <v>3337</v>
      </c>
      <c r="B2264" t="s">
        <v>3229</v>
      </c>
      <c r="C2264" t="s">
        <v>19</v>
      </c>
      <c r="D2264">
        <v>2</v>
      </c>
      <c r="E2264" t="s">
        <v>17</v>
      </c>
      <c r="F2264" t="s">
        <v>380</v>
      </c>
      <c r="G2264" t="s">
        <v>608</v>
      </c>
      <c r="H2264" t="s">
        <v>604</v>
      </c>
    </row>
    <row r="2265" spans="1:8" x14ac:dyDescent="0.2">
      <c r="A2265" t="s">
        <v>3338</v>
      </c>
      <c r="B2265" t="s">
        <v>3229</v>
      </c>
      <c r="C2265" t="s">
        <v>19</v>
      </c>
      <c r="D2265">
        <v>2</v>
      </c>
      <c r="E2265" t="s">
        <v>17</v>
      </c>
      <c r="F2265" t="s">
        <v>380</v>
      </c>
      <c r="G2265" t="s">
        <v>608</v>
      </c>
      <c r="H2265" t="s">
        <v>604</v>
      </c>
    </row>
    <row r="2266" spans="1:8" x14ac:dyDescent="0.2">
      <c r="A2266" t="s">
        <v>3339</v>
      </c>
      <c r="B2266" t="s">
        <v>3229</v>
      </c>
      <c r="C2266" t="s">
        <v>19</v>
      </c>
      <c r="D2266">
        <v>2</v>
      </c>
      <c r="E2266" t="s">
        <v>17</v>
      </c>
      <c r="F2266" t="s">
        <v>380</v>
      </c>
      <c r="G2266" t="s">
        <v>608</v>
      </c>
      <c r="H2266" t="s">
        <v>604</v>
      </c>
    </row>
    <row r="2267" spans="1:8" x14ac:dyDescent="0.2">
      <c r="A2267" t="s">
        <v>3340</v>
      </c>
      <c r="B2267" t="s">
        <v>3229</v>
      </c>
      <c r="C2267" t="s">
        <v>16</v>
      </c>
      <c r="D2267">
        <v>4</v>
      </c>
      <c r="E2267" t="s">
        <v>17</v>
      </c>
      <c r="F2267" t="s">
        <v>380</v>
      </c>
      <c r="G2267" t="s">
        <v>3212</v>
      </c>
      <c r="H2267" t="s">
        <v>604</v>
      </c>
    </row>
    <row r="2268" spans="1:8" x14ac:dyDescent="0.2">
      <c r="A2268" t="s">
        <v>3342</v>
      </c>
      <c r="B2268" t="s">
        <v>3229</v>
      </c>
      <c r="C2268" t="s">
        <v>16</v>
      </c>
      <c r="D2268">
        <v>4</v>
      </c>
      <c r="E2268" t="s">
        <v>17</v>
      </c>
      <c r="F2268" t="s">
        <v>380</v>
      </c>
      <c r="G2268" t="s">
        <v>3213</v>
      </c>
      <c r="H2268" t="s">
        <v>604</v>
      </c>
    </row>
    <row r="2269" spans="1:8" x14ac:dyDescent="0.2">
      <c r="A2269" t="s">
        <v>3344</v>
      </c>
      <c r="B2269" t="s">
        <v>3231</v>
      </c>
      <c r="C2269" t="s">
        <v>16</v>
      </c>
      <c r="D2269">
        <v>4</v>
      </c>
      <c r="E2269" t="s">
        <v>17</v>
      </c>
      <c r="F2269" t="s">
        <v>380</v>
      </c>
      <c r="G2269" t="s">
        <v>3212</v>
      </c>
      <c r="H2269" t="s">
        <v>604</v>
      </c>
    </row>
    <row r="2270" spans="1:8" x14ac:dyDescent="0.2">
      <c r="A2270" t="s">
        <v>3345</v>
      </c>
      <c r="B2270" t="s">
        <v>3231</v>
      </c>
      <c r="C2270" t="s">
        <v>19</v>
      </c>
      <c r="D2270">
        <v>3</v>
      </c>
      <c r="E2270" t="s">
        <v>17</v>
      </c>
      <c r="F2270" t="s">
        <v>380</v>
      </c>
      <c r="G2270" t="s">
        <v>608</v>
      </c>
      <c r="H2270" t="s">
        <v>604</v>
      </c>
    </row>
    <row r="2271" spans="1:8" x14ac:dyDescent="0.2">
      <c r="A2271" t="s">
        <v>3346</v>
      </c>
      <c r="B2271" t="s">
        <v>3231</v>
      </c>
      <c r="C2271" t="s">
        <v>19</v>
      </c>
      <c r="D2271">
        <v>2</v>
      </c>
      <c r="E2271" t="s">
        <v>17</v>
      </c>
      <c r="F2271" t="s">
        <v>380</v>
      </c>
      <c r="G2271" t="s">
        <v>608</v>
      </c>
      <c r="H2271" t="s">
        <v>604</v>
      </c>
    </row>
    <row r="2272" spans="1:8" x14ac:dyDescent="0.2">
      <c r="A2272" t="s">
        <v>3347</v>
      </c>
      <c r="B2272" t="s">
        <v>3231</v>
      </c>
      <c r="C2272" t="s">
        <v>16</v>
      </c>
      <c r="D2272">
        <v>4</v>
      </c>
      <c r="E2272" t="s">
        <v>17</v>
      </c>
      <c r="F2272" t="s">
        <v>380</v>
      </c>
      <c r="G2272" t="s">
        <v>3212</v>
      </c>
      <c r="H2272" t="s">
        <v>604</v>
      </c>
    </row>
    <row r="2273" spans="1:8" x14ac:dyDescent="0.2">
      <c r="A2273" t="s">
        <v>3348</v>
      </c>
      <c r="B2273" t="s">
        <v>3231</v>
      </c>
      <c r="C2273" t="s">
        <v>16</v>
      </c>
      <c r="D2273">
        <v>4</v>
      </c>
      <c r="E2273" t="s">
        <v>17</v>
      </c>
      <c r="F2273" t="s">
        <v>380</v>
      </c>
      <c r="G2273" t="s">
        <v>3212</v>
      </c>
      <c r="H2273" t="s">
        <v>604</v>
      </c>
    </row>
    <row r="2274" spans="1:8" x14ac:dyDescent="0.2">
      <c r="A2274" t="s">
        <v>3349</v>
      </c>
      <c r="B2274" t="s">
        <v>3231</v>
      </c>
      <c r="C2274" t="s">
        <v>19</v>
      </c>
      <c r="D2274">
        <v>2</v>
      </c>
      <c r="E2274" t="s">
        <v>17</v>
      </c>
      <c r="F2274" t="s">
        <v>380</v>
      </c>
      <c r="G2274" t="s">
        <v>608</v>
      </c>
      <c r="H2274" t="s">
        <v>604</v>
      </c>
    </row>
    <row r="2275" spans="1:8" x14ac:dyDescent="0.2">
      <c r="A2275" t="s">
        <v>3350</v>
      </c>
      <c r="B2275" t="s">
        <v>3231</v>
      </c>
      <c r="C2275" t="s">
        <v>19</v>
      </c>
      <c r="D2275">
        <v>2</v>
      </c>
      <c r="E2275" t="s">
        <v>17</v>
      </c>
      <c r="F2275" t="s">
        <v>380</v>
      </c>
      <c r="G2275" t="s">
        <v>608</v>
      </c>
      <c r="H2275" t="s">
        <v>604</v>
      </c>
    </row>
    <row r="2276" spans="1:8" x14ac:dyDescent="0.2">
      <c r="A2276" t="s">
        <v>3351</v>
      </c>
      <c r="B2276" t="s">
        <v>3231</v>
      </c>
      <c r="C2276" t="s">
        <v>19</v>
      </c>
      <c r="D2276">
        <v>2</v>
      </c>
      <c r="E2276" t="s">
        <v>17</v>
      </c>
      <c r="F2276" t="s">
        <v>380</v>
      </c>
      <c r="G2276" t="s">
        <v>608</v>
      </c>
      <c r="H2276" t="s">
        <v>604</v>
      </c>
    </row>
    <row r="2277" spans="1:8" x14ac:dyDescent="0.2">
      <c r="A2277" t="s">
        <v>3352</v>
      </c>
      <c r="B2277" t="s">
        <v>3231</v>
      </c>
      <c r="C2277" t="s">
        <v>16</v>
      </c>
      <c r="D2277">
        <v>4</v>
      </c>
      <c r="E2277" t="s">
        <v>17</v>
      </c>
      <c r="F2277" t="s">
        <v>380</v>
      </c>
      <c r="G2277" t="s">
        <v>3212</v>
      </c>
      <c r="H2277" t="s">
        <v>604</v>
      </c>
    </row>
    <row r="2278" spans="1:8" x14ac:dyDescent="0.2">
      <c r="A2278" t="s">
        <v>3353</v>
      </c>
      <c r="B2278" t="s">
        <v>3231</v>
      </c>
      <c r="C2278" t="s">
        <v>19</v>
      </c>
      <c r="D2278">
        <v>2</v>
      </c>
      <c r="E2278" t="s">
        <v>21</v>
      </c>
      <c r="F2278" t="s">
        <v>380</v>
      </c>
      <c r="G2278" t="s">
        <v>608</v>
      </c>
      <c r="H2278" t="s">
        <v>604</v>
      </c>
    </row>
    <row r="2279" spans="1:8" x14ac:dyDescent="0.2">
      <c r="A2279" t="s">
        <v>3354</v>
      </c>
      <c r="B2279" t="s">
        <v>3233</v>
      </c>
      <c r="C2279" t="s">
        <v>19</v>
      </c>
      <c r="D2279">
        <v>3</v>
      </c>
      <c r="E2279" t="s">
        <v>21</v>
      </c>
      <c r="F2279" t="s">
        <v>380</v>
      </c>
      <c r="G2279" t="s">
        <v>608</v>
      </c>
      <c r="H2279" t="s">
        <v>604</v>
      </c>
    </row>
    <row r="2280" spans="1:8" x14ac:dyDescent="0.2">
      <c r="A2280" t="s">
        <v>3356</v>
      </c>
      <c r="B2280" t="s">
        <v>3233</v>
      </c>
      <c r="C2280" t="s">
        <v>16</v>
      </c>
      <c r="D2280">
        <v>4</v>
      </c>
      <c r="E2280" t="s">
        <v>17</v>
      </c>
      <c r="F2280" t="s">
        <v>380</v>
      </c>
      <c r="G2280" t="s">
        <v>3212</v>
      </c>
      <c r="H2280" t="s">
        <v>604</v>
      </c>
    </row>
    <row r="2281" spans="1:8" x14ac:dyDescent="0.2">
      <c r="A2281" t="s">
        <v>3357</v>
      </c>
      <c r="B2281" t="s">
        <v>3233</v>
      </c>
      <c r="C2281" t="s">
        <v>18</v>
      </c>
      <c r="D2281">
        <v>2</v>
      </c>
      <c r="E2281" t="s">
        <v>17</v>
      </c>
      <c r="F2281" t="s">
        <v>380</v>
      </c>
      <c r="G2281" t="s">
        <v>608</v>
      </c>
      <c r="H2281" t="s">
        <v>604</v>
      </c>
    </row>
    <row r="2282" spans="1:8" x14ac:dyDescent="0.2">
      <c r="A2282" t="s">
        <v>3358</v>
      </c>
      <c r="B2282" t="s">
        <v>3233</v>
      </c>
      <c r="C2282" t="s">
        <v>16</v>
      </c>
      <c r="D2282">
        <v>4</v>
      </c>
      <c r="E2282" t="s">
        <v>17</v>
      </c>
      <c r="F2282" t="s">
        <v>380</v>
      </c>
      <c r="G2282" t="s">
        <v>3212</v>
      </c>
      <c r="H2282" t="s">
        <v>604</v>
      </c>
    </row>
    <row r="2283" spans="1:8" x14ac:dyDescent="0.2">
      <c r="A2283" t="s">
        <v>3359</v>
      </c>
      <c r="B2283" t="s">
        <v>3233</v>
      </c>
      <c r="C2283" t="s">
        <v>18</v>
      </c>
      <c r="D2283">
        <v>2</v>
      </c>
      <c r="E2283" t="s">
        <v>17</v>
      </c>
      <c r="F2283" t="s">
        <v>380</v>
      </c>
      <c r="G2283" t="s">
        <v>608</v>
      </c>
      <c r="H2283" t="s">
        <v>604</v>
      </c>
    </row>
    <row r="2284" spans="1:8" x14ac:dyDescent="0.2">
      <c r="A2284" t="s">
        <v>3360</v>
      </c>
      <c r="B2284" t="s">
        <v>3233</v>
      </c>
      <c r="C2284" t="s">
        <v>19</v>
      </c>
      <c r="D2284">
        <v>2</v>
      </c>
      <c r="E2284" t="s">
        <v>17</v>
      </c>
      <c r="F2284" t="s">
        <v>380</v>
      </c>
      <c r="G2284" t="s">
        <v>3525</v>
      </c>
      <c r="H2284" t="s">
        <v>604</v>
      </c>
    </row>
    <row r="2285" spans="1:8" x14ac:dyDescent="0.2">
      <c r="A2285" t="s">
        <v>3361</v>
      </c>
      <c r="B2285" t="s">
        <v>3233</v>
      </c>
      <c r="C2285" t="s">
        <v>16</v>
      </c>
      <c r="D2285">
        <v>4</v>
      </c>
      <c r="E2285" t="s">
        <v>17</v>
      </c>
      <c r="F2285" t="s">
        <v>380</v>
      </c>
      <c r="G2285" t="s">
        <v>3212</v>
      </c>
      <c r="H2285" t="s">
        <v>604</v>
      </c>
    </row>
    <row r="2286" spans="1:8" x14ac:dyDescent="0.2">
      <c r="A2286" t="s">
        <v>3362</v>
      </c>
      <c r="B2286" t="s">
        <v>3233</v>
      </c>
      <c r="C2286" t="s">
        <v>16</v>
      </c>
      <c r="D2286">
        <v>4</v>
      </c>
      <c r="E2286" t="s">
        <v>17</v>
      </c>
      <c r="F2286" t="s">
        <v>380</v>
      </c>
      <c r="G2286" t="s">
        <v>3212</v>
      </c>
      <c r="H2286" t="s">
        <v>604</v>
      </c>
    </row>
    <row r="2287" spans="1:8" x14ac:dyDescent="0.2">
      <c r="A2287" t="s">
        <v>3363</v>
      </c>
      <c r="B2287" t="s">
        <v>3233</v>
      </c>
      <c r="C2287" t="s">
        <v>19</v>
      </c>
      <c r="D2287">
        <v>2</v>
      </c>
      <c r="E2287" t="s">
        <v>17</v>
      </c>
      <c r="F2287" t="s">
        <v>380</v>
      </c>
      <c r="G2287" t="s">
        <v>608</v>
      </c>
      <c r="H2287" t="s">
        <v>604</v>
      </c>
    </row>
    <row r="2288" spans="1:8" x14ac:dyDescent="0.2">
      <c r="A2288" t="s">
        <v>3364</v>
      </c>
      <c r="B2288" t="s">
        <v>3233</v>
      </c>
      <c r="C2288" t="s">
        <v>16</v>
      </c>
      <c r="D2288" t="s">
        <v>16</v>
      </c>
      <c r="E2288" t="s">
        <v>17</v>
      </c>
      <c r="F2288" t="s">
        <v>381</v>
      </c>
      <c r="G2288" t="s">
        <v>608</v>
      </c>
      <c r="H2288" t="s">
        <v>604</v>
      </c>
    </row>
    <row r="2289" spans="1:8" x14ac:dyDescent="0.2">
      <c r="A2289" t="s">
        <v>3365</v>
      </c>
      <c r="B2289" t="s">
        <v>3233</v>
      </c>
      <c r="C2289" t="s">
        <v>16</v>
      </c>
      <c r="D2289" t="s">
        <v>16</v>
      </c>
      <c r="E2289" t="s">
        <v>21</v>
      </c>
      <c r="F2289" t="s">
        <v>381</v>
      </c>
      <c r="G2289" t="s">
        <v>608</v>
      </c>
      <c r="H2289" t="s">
        <v>604</v>
      </c>
    </row>
    <row r="2290" spans="1:8" x14ac:dyDescent="0.2">
      <c r="A2290" t="s">
        <v>3366</v>
      </c>
      <c r="B2290" t="s">
        <v>3233</v>
      </c>
      <c r="C2290" t="s">
        <v>16</v>
      </c>
      <c r="D2290" t="s">
        <v>16</v>
      </c>
      <c r="E2290" t="s">
        <v>17</v>
      </c>
      <c r="F2290" t="s">
        <v>381</v>
      </c>
      <c r="G2290" t="s">
        <v>608</v>
      </c>
      <c r="H2290" t="s">
        <v>604</v>
      </c>
    </row>
    <row r="2291" spans="1:8" x14ac:dyDescent="0.2">
      <c r="A2291" t="s">
        <v>3367</v>
      </c>
      <c r="B2291" t="s">
        <v>3241</v>
      </c>
      <c r="C2291" t="s">
        <v>18</v>
      </c>
      <c r="D2291">
        <v>2</v>
      </c>
      <c r="E2291" t="s">
        <v>17</v>
      </c>
      <c r="F2291" t="s">
        <v>380</v>
      </c>
      <c r="G2291" t="s">
        <v>608</v>
      </c>
      <c r="H2291" t="s">
        <v>604</v>
      </c>
    </row>
    <row r="2292" spans="1:8" x14ac:dyDescent="0.2">
      <c r="A2292" t="s">
        <v>3368</v>
      </c>
      <c r="B2292" t="s">
        <v>3241</v>
      </c>
      <c r="C2292" t="s">
        <v>18</v>
      </c>
      <c r="D2292">
        <v>3</v>
      </c>
      <c r="E2292" t="s">
        <v>17</v>
      </c>
      <c r="F2292" t="s">
        <v>380</v>
      </c>
      <c r="G2292" t="s">
        <v>608</v>
      </c>
      <c r="H2292" t="s">
        <v>604</v>
      </c>
    </row>
    <row r="2293" spans="1:8" x14ac:dyDescent="0.2">
      <c r="A2293" t="s">
        <v>3369</v>
      </c>
      <c r="B2293" t="s">
        <v>3241</v>
      </c>
      <c r="C2293" t="s">
        <v>19</v>
      </c>
      <c r="D2293">
        <v>2</v>
      </c>
      <c r="E2293" t="s">
        <v>17</v>
      </c>
      <c r="F2293" t="s">
        <v>380</v>
      </c>
      <c r="G2293" t="s">
        <v>608</v>
      </c>
      <c r="H2293" t="s">
        <v>604</v>
      </c>
    </row>
    <row r="2294" spans="1:8" x14ac:dyDescent="0.2">
      <c r="A2294" t="s">
        <v>3370</v>
      </c>
      <c r="B2294" t="s">
        <v>3241</v>
      </c>
      <c r="C2294" t="s">
        <v>18</v>
      </c>
      <c r="D2294">
        <v>2</v>
      </c>
      <c r="E2294" t="s">
        <v>17</v>
      </c>
      <c r="F2294" t="s">
        <v>380</v>
      </c>
      <c r="G2294" t="s">
        <v>608</v>
      </c>
      <c r="H2294" t="s">
        <v>604</v>
      </c>
    </row>
    <row r="2295" spans="1:8" x14ac:dyDescent="0.2">
      <c r="A2295" t="s">
        <v>3371</v>
      </c>
      <c r="B2295" t="s">
        <v>3241</v>
      </c>
      <c r="C2295" t="s">
        <v>16</v>
      </c>
      <c r="D2295">
        <v>4</v>
      </c>
      <c r="E2295" t="s">
        <v>17</v>
      </c>
      <c r="F2295" t="s">
        <v>380</v>
      </c>
      <c r="G2295" t="s">
        <v>608</v>
      </c>
      <c r="H2295" t="s">
        <v>604</v>
      </c>
    </row>
    <row r="2296" spans="1:8" x14ac:dyDescent="0.2">
      <c r="A2296" t="s">
        <v>3373</v>
      </c>
      <c r="B2296" t="s">
        <v>3243</v>
      </c>
      <c r="C2296" t="s">
        <v>16</v>
      </c>
      <c r="D2296">
        <v>4</v>
      </c>
      <c r="E2296" t="s">
        <v>21</v>
      </c>
      <c r="F2296" t="s">
        <v>380</v>
      </c>
      <c r="G2296" t="s">
        <v>608</v>
      </c>
      <c r="H2296" t="s">
        <v>604</v>
      </c>
    </row>
    <row r="2297" spans="1:8" x14ac:dyDescent="0.2">
      <c r="A2297" t="s">
        <v>3374</v>
      </c>
      <c r="B2297" t="s">
        <v>3243</v>
      </c>
      <c r="C2297" t="s">
        <v>18</v>
      </c>
      <c r="D2297">
        <v>3</v>
      </c>
      <c r="E2297" t="s">
        <v>21</v>
      </c>
      <c r="F2297" t="s">
        <v>380</v>
      </c>
      <c r="G2297" t="s">
        <v>608</v>
      </c>
      <c r="H2297" t="s">
        <v>604</v>
      </c>
    </row>
    <row r="2298" spans="1:8" x14ac:dyDescent="0.2">
      <c r="A2298" t="s">
        <v>3375</v>
      </c>
      <c r="B2298" t="s">
        <v>3243</v>
      </c>
      <c r="C2298" t="s">
        <v>16</v>
      </c>
      <c r="D2298">
        <v>4</v>
      </c>
      <c r="E2298" t="s">
        <v>17</v>
      </c>
      <c r="F2298" t="s">
        <v>380</v>
      </c>
      <c r="G2298" t="s">
        <v>608</v>
      </c>
      <c r="H2298" t="s">
        <v>604</v>
      </c>
    </row>
    <row r="2299" spans="1:8" x14ac:dyDescent="0.2">
      <c r="A2299" t="s">
        <v>3376</v>
      </c>
      <c r="B2299" t="s">
        <v>3243</v>
      </c>
      <c r="C2299" t="s">
        <v>18</v>
      </c>
      <c r="D2299">
        <v>3</v>
      </c>
      <c r="E2299" t="s">
        <v>17</v>
      </c>
      <c r="F2299" t="s">
        <v>380</v>
      </c>
      <c r="G2299" t="s">
        <v>608</v>
      </c>
      <c r="H2299" t="s">
        <v>604</v>
      </c>
    </row>
    <row r="2300" spans="1:8" x14ac:dyDescent="0.2">
      <c r="A2300" t="s">
        <v>3377</v>
      </c>
      <c r="B2300" t="s">
        <v>3243</v>
      </c>
      <c r="C2300" t="s">
        <v>16</v>
      </c>
      <c r="D2300">
        <v>4</v>
      </c>
      <c r="E2300" t="s">
        <v>21</v>
      </c>
      <c r="F2300" t="s">
        <v>380</v>
      </c>
      <c r="G2300" t="s">
        <v>608</v>
      </c>
      <c r="H2300" t="s">
        <v>604</v>
      </c>
    </row>
    <row r="2301" spans="1:8" x14ac:dyDescent="0.2">
      <c r="A2301" t="s">
        <v>3378</v>
      </c>
      <c r="B2301" t="s">
        <v>3245</v>
      </c>
      <c r="C2301" t="s">
        <v>16</v>
      </c>
      <c r="D2301">
        <v>4</v>
      </c>
      <c r="E2301" t="s">
        <v>17</v>
      </c>
      <c r="F2301" t="s">
        <v>380</v>
      </c>
      <c r="G2301" t="s">
        <v>608</v>
      </c>
      <c r="H2301" t="s">
        <v>604</v>
      </c>
    </row>
    <row r="2302" spans="1:8" x14ac:dyDescent="0.2">
      <c r="A2302" t="s">
        <v>3379</v>
      </c>
      <c r="B2302" t="s">
        <v>3245</v>
      </c>
      <c r="C2302" t="s">
        <v>16</v>
      </c>
      <c r="D2302">
        <v>4</v>
      </c>
      <c r="E2302" t="s">
        <v>21</v>
      </c>
      <c r="F2302" t="s">
        <v>380</v>
      </c>
      <c r="G2302" t="s">
        <v>608</v>
      </c>
      <c r="H2302" t="s">
        <v>604</v>
      </c>
    </row>
    <row r="2303" spans="1:8" x14ac:dyDescent="0.2">
      <c r="A2303" t="s">
        <v>3380</v>
      </c>
      <c r="B2303" t="s">
        <v>3245</v>
      </c>
      <c r="C2303" t="s">
        <v>16</v>
      </c>
      <c r="D2303">
        <v>4</v>
      </c>
      <c r="E2303" t="s">
        <v>17</v>
      </c>
      <c r="F2303" t="s">
        <v>380</v>
      </c>
      <c r="G2303" t="s">
        <v>608</v>
      </c>
      <c r="H2303" t="s">
        <v>604</v>
      </c>
    </row>
    <row r="2304" spans="1:8" x14ac:dyDescent="0.2">
      <c r="A2304" t="s">
        <v>3381</v>
      </c>
      <c r="B2304" t="s">
        <v>3245</v>
      </c>
      <c r="C2304" t="s">
        <v>16</v>
      </c>
      <c r="D2304">
        <v>4</v>
      </c>
      <c r="E2304" t="s">
        <v>17</v>
      </c>
      <c r="F2304" t="s">
        <v>380</v>
      </c>
      <c r="G2304" t="s">
        <v>608</v>
      </c>
      <c r="H2304" t="s">
        <v>604</v>
      </c>
    </row>
    <row r="2305" spans="1:8" x14ac:dyDescent="0.2">
      <c r="A2305" t="s">
        <v>3382</v>
      </c>
      <c r="B2305" t="s">
        <v>3245</v>
      </c>
      <c r="C2305" t="s">
        <v>16</v>
      </c>
      <c r="D2305">
        <v>4</v>
      </c>
      <c r="E2305" t="s">
        <v>17</v>
      </c>
      <c r="F2305" t="s">
        <v>380</v>
      </c>
      <c r="G2305" t="s">
        <v>608</v>
      </c>
      <c r="H2305" t="s">
        <v>604</v>
      </c>
    </row>
    <row r="2306" spans="1:8" x14ac:dyDescent="0.2">
      <c r="A2306" t="s">
        <v>3383</v>
      </c>
      <c r="B2306" t="s">
        <v>3241</v>
      </c>
      <c r="C2306" t="s">
        <v>19</v>
      </c>
      <c r="D2306">
        <v>2</v>
      </c>
      <c r="E2306" t="s">
        <v>17</v>
      </c>
      <c r="F2306" t="s">
        <v>380</v>
      </c>
      <c r="G2306" t="s">
        <v>608</v>
      </c>
      <c r="H2306" t="s">
        <v>604</v>
      </c>
    </row>
    <row r="2307" spans="1:8" x14ac:dyDescent="0.2">
      <c r="A2307" t="s">
        <v>3384</v>
      </c>
      <c r="B2307" t="s">
        <v>3241</v>
      </c>
      <c r="C2307" t="s">
        <v>19</v>
      </c>
      <c r="D2307">
        <v>2</v>
      </c>
      <c r="E2307" t="s">
        <v>17</v>
      </c>
      <c r="F2307" t="s">
        <v>380</v>
      </c>
      <c r="G2307" t="s">
        <v>608</v>
      </c>
      <c r="H2307" t="s">
        <v>604</v>
      </c>
    </row>
    <row r="2308" spans="1:8" x14ac:dyDescent="0.2">
      <c r="A2308" t="s">
        <v>3385</v>
      </c>
      <c r="B2308" t="s">
        <v>3241</v>
      </c>
      <c r="C2308" t="s">
        <v>16</v>
      </c>
      <c r="D2308">
        <v>4</v>
      </c>
      <c r="E2308" t="s">
        <v>17</v>
      </c>
      <c r="F2308" t="s">
        <v>380</v>
      </c>
      <c r="G2308" t="s">
        <v>3211</v>
      </c>
      <c r="H2308" t="s">
        <v>604</v>
      </c>
    </row>
    <row r="2309" spans="1:8" x14ac:dyDescent="0.2">
      <c r="A2309" t="s">
        <v>3386</v>
      </c>
      <c r="B2309" t="s">
        <v>3241</v>
      </c>
      <c r="C2309" t="s">
        <v>16</v>
      </c>
      <c r="D2309">
        <v>4</v>
      </c>
      <c r="E2309" t="s">
        <v>17</v>
      </c>
      <c r="F2309" t="s">
        <v>380</v>
      </c>
      <c r="G2309" t="s">
        <v>3211</v>
      </c>
      <c r="H2309" t="s">
        <v>604</v>
      </c>
    </row>
    <row r="2310" spans="1:8" x14ac:dyDescent="0.2">
      <c r="A2310" t="s">
        <v>3387</v>
      </c>
      <c r="B2310" t="s">
        <v>3241</v>
      </c>
      <c r="C2310" t="s">
        <v>19</v>
      </c>
      <c r="D2310">
        <v>2</v>
      </c>
      <c r="E2310" t="s">
        <v>17</v>
      </c>
      <c r="F2310" t="s">
        <v>380</v>
      </c>
      <c r="G2310" t="s">
        <v>608</v>
      </c>
      <c r="H2310" t="s">
        <v>604</v>
      </c>
    </row>
    <row r="2311" spans="1:8" x14ac:dyDescent="0.2">
      <c r="A2311" t="s">
        <v>3388</v>
      </c>
      <c r="B2311" t="s">
        <v>3241</v>
      </c>
      <c r="C2311" t="s">
        <v>16</v>
      </c>
      <c r="D2311">
        <v>4</v>
      </c>
      <c r="E2311" t="s">
        <v>17</v>
      </c>
      <c r="F2311" t="s">
        <v>380</v>
      </c>
      <c r="G2311" t="s">
        <v>3211</v>
      </c>
      <c r="H2311" t="s">
        <v>604</v>
      </c>
    </row>
    <row r="2312" spans="1:8" x14ac:dyDescent="0.2">
      <c r="A2312" t="s">
        <v>3389</v>
      </c>
      <c r="B2312" t="s">
        <v>3241</v>
      </c>
      <c r="C2312" t="s">
        <v>19</v>
      </c>
      <c r="D2312">
        <v>2</v>
      </c>
      <c r="E2312" t="s">
        <v>17</v>
      </c>
      <c r="F2312" t="s">
        <v>380</v>
      </c>
      <c r="G2312" t="s">
        <v>608</v>
      </c>
      <c r="H2312" t="s">
        <v>604</v>
      </c>
    </row>
    <row r="2313" spans="1:8" x14ac:dyDescent="0.2">
      <c r="A2313" t="s">
        <v>3390</v>
      </c>
      <c r="B2313" t="s">
        <v>3241</v>
      </c>
      <c r="C2313" t="s">
        <v>16</v>
      </c>
      <c r="D2313">
        <v>4</v>
      </c>
      <c r="E2313" t="s">
        <v>17</v>
      </c>
      <c r="F2313" t="s">
        <v>380</v>
      </c>
      <c r="G2313" t="s">
        <v>3211</v>
      </c>
      <c r="H2313" t="s">
        <v>604</v>
      </c>
    </row>
    <row r="2314" spans="1:8" x14ac:dyDescent="0.2">
      <c r="A2314" t="s">
        <v>3391</v>
      </c>
      <c r="B2314" t="s">
        <v>3241</v>
      </c>
      <c r="C2314" t="s">
        <v>16</v>
      </c>
      <c r="D2314">
        <v>4</v>
      </c>
      <c r="E2314" t="s">
        <v>17</v>
      </c>
      <c r="F2314" t="s">
        <v>380</v>
      </c>
      <c r="G2314" t="s">
        <v>3211</v>
      </c>
      <c r="H2314" t="s">
        <v>604</v>
      </c>
    </row>
    <row r="2315" spans="1:8" x14ac:dyDescent="0.2">
      <c r="A2315" t="s">
        <v>3392</v>
      </c>
      <c r="B2315" t="s">
        <v>3241</v>
      </c>
      <c r="C2315" t="s">
        <v>16</v>
      </c>
      <c r="D2315">
        <v>4</v>
      </c>
      <c r="E2315" t="s">
        <v>17</v>
      </c>
      <c r="F2315" t="s">
        <v>380</v>
      </c>
      <c r="G2315" t="s">
        <v>3211</v>
      </c>
      <c r="H2315" t="s">
        <v>604</v>
      </c>
    </row>
    <row r="2316" spans="1:8" x14ac:dyDescent="0.2">
      <c r="A2316" t="s">
        <v>3393</v>
      </c>
      <c r="B2316" t="s">
        <v>3243</v>
      </c>
      <c r="C2316" t="s">
        <v>16</v>
      </c>
      <c r="D2316">
        <v>4</v>
      </c>
      <c r="E2316" t="s">
        <v>17</v>
      </c>
      <c r="F2316" t="s">
        <v>380</v>
      </c>
      <c r="G2316" t="s">
        <v>3211</v>
      </c>
      <c r="H2316" t="s">
        <v>604</v>
      </c>
    </row>
    <row r="2317" spans="1:8" x14ac:dyDescent="0.2">
      <c r="A2317" t="s">
        <v>3394</v>
      </c>
      <c r="B2317" t="s">
        <v>3243</v>
      </c>
      <c r="C2317" t="s">
        <v>16</v>
      </c>
      <c r="D2317">
        <v>4</v>
      </c>
      <c r="E2317" t="s">
        <v>17</v>
      </c>
      <c r="F2317" t="s">
        <v>380</v>
      </c>
      <c r="G2317" t="s">
        <v>3211</v>
      </c>
      <c r="H2317" t="s">
        <v>604</v>
      </c>
    </row>
    <row r="2318" spans="1:8" x14ac:dyDescent="0.2">
      <c r="A2318" t="s">
        <v>3395</v>
      </c>
      <c r="B2318" t="s">
        <v>3243</v>
      </c>
      <c r="C2318" t="s">
        <v>16</v>
      </c>
      <c r="D2318">
        <v>4</v>
      </c>
      <c r="E2318" t="s">
        <v>17</v>
      </c>
      <c r="F2318" t="s">
        <v>380</v>
      </c>
      <c r="G2318" t="s">
        <v>3211</v>
      </c>
      <c r="H2318" t="s">
        <v>604</v>
      </c>
    </row>
    <row r="2319" spans="1:8" x14ac:dyDescent="0.2">
      <c r="A2319" t="s">
        <v>3396</v>
      </c>
      <c r="B2319" t="s">
        <v>3243</v>
      </c>
      <c r="C2319" t="s">
        <v>19</v>
      </c>
      <c r="D2319">
        <v>3</v>
      </c>
      <c r="E2319" t="s">
        <v>17</v>
      </c>
      <c r="F2319" t="s">
        <v>380</v>
      </c>
      <c r="G2319" t="s">
        <v>608</v>
      </c>
      <c r="H2319" t="s">
        <v>604</v>
      </c>
    </row>
    <row r="2320" spans="1:8" x14ac:dyDescent="0.2">
      <c r="A2320" t="s">
        <v>3397</v>
      </c>
      <c r="B2320" t="s">
        <v>3243</v>
      </c>
      <c r="C2320" t="s">
        <v>19</v>
      </c>
      <c r="D2320">
        <v>2</v>
      </c>
      <c r="E2320" t="s">
        <v>17</v>
      </c>
      <c r="F2320" t="s">
        <v>380</v>
      </c>
      <c r="G2320" t="s">
        <v>608</v>
      </c>
      <c r="H2320" t="s">
        <v>604</v>
      </c>
    </row>
    <row r="2321" spans="1:8" x14ac:dyDescent="0.2">
      <c r="A2321" t="s">
        <v>3398</v>
      </c>
      <c r="B2321" t="s">
        <v>3243</v>
      </c>
      <c r="C2321" t="s">
        <v>16</v>
      </c>
      <c r="D2321">
        <v>4</v>
      </c>
      <c r="E2321" t="s">
        <v>17</v>
      </c>
      <c r="F2321" t="s">
        <v>380</v>
      </c>
      <c r="G2321" t="s">
        <v>3211</v>
      </c>
      <c r="H2321" t="s">
        <v>604</v>
      </c>
    </row>
    <row r="2322" spans="1:8" x14ac:dyDescent="0.2">
      <c r="A2322" t="s">
        <v>3399</v>
      </c>
      <c r="B2322" t="s">
        <v>3243</v>
      </c>
      <c r="C2322" t="s">
        <v>19</v>
      </c>
      <c r="D2322">
        <v>3</v>
      </c>
      <c r="E2322" t="s">
        <v>17</v>
      </c>
      <c r="F2322" t="s">
        <v>380</v>
      </c>
      <c r="G2322" t="s">
        <v>608</v>
      </c>
      <c r="H2322" t="s">
        <v>604</v>
      </c>
    </row>
    <row r="2323" spans="1:8" x14ac:dyDescent="0.2">
      <c r="A2323" t="s">
        <v>3400</v>
      </c>
      <c r="B2323" t="s">
        <v>3243</v>
      </c>
      <c r="C2323" t="s">
        <v>16</v>
      </c>
      <c r="D2323">
        <v>4</v>
      </c>
      <c r="E2323" t="s">
        <v>17</v>
      </c>
      <c r="F2323" t="s">
        <v>380</v>
      </c>
      <c r="G2323" t="s">
        <v>3211</v>
      </c>
      <c r="H2323" t="s">
        <v>604</v>
      </c>
    </row>
    <row r="2324" spans="1:8" x14ac:dyDescent="0.2">
      <c r="A2324" t="s">
        <v>3401</v>
      </c>
      <c r="B2324" t="s">
        <v>3243</v>
      </c>
      <c r="C2324" t="s">
        <v>16</v>
      </c>
      <c r="D2324">
        <v>4</v>
      </c>
      <c r="E2324" t="s">
        <v>17</v>
      </c>
      <c r="F2324" t="s">
        <v>380</v>
      </c>
      <c r="G2324" t="s">
        <v>3214</v>
      </c>
      <c r="H2324" t="s">
        <v>604</v>
      </c>
    </row>
    <row r="2325" spans="1:8" x14ac:dyDescent="0.2">
      <c r="A2325" t="s">
        <v>3402</v>
      </c>
      <c r="B2325" t="s">
        <v>3243</v>
      </c>
      <c r="C2325" t="s">
        <v>16</v>
      </c>
      <c r="D2325">
        <v>4</v>
      </c>
      <c r="E2325" t="s">
        <v>21</v>
      </c>
      <c r="F2325" t="s">
        <v>380</v>
      </c>
      <c r="G2325" t="s">
        <v>3214</v>
      </c>
      <c r="H2325" t="s">
        <v>604</v>
      </c>
    </row>
    <row r="2326" spans="1:8" x14ac:dyDescent="0.2">
      <c r="A2326" t="s">
        <v>3403</v>
      </c>
      <c r="B2326" t="s">
        <v>3245</v>
      </c>
      <c r="C2326" t="s">
        <v>16</v>
      </c>
      <c r="D2326">
        <v>4</v>
      </c>
      <c r="E2326" t="s">
        <v>17</v>
      </c>
      <c r="F2326" t="s">
        <v>380</v>
      </c>
      <c r="G2326" t="s">
        <v>3211</v>
      </c>
      <c r="H2326" t="s">
        <v>604</v>
      </c>
    </row>
    <row r="2327" spans="1:8" x14ac:dyDescent="0.2">
      <c r="A2327" t="s">
        <v>3404</v>
      </c>
      <c r="B2327" t="s">
        <v>3245</v>
      </c>
      <c r="C2327" t="s">
        <v>16</v>
      </c>
      <c r="D2327">
        <v>4</v>
      </c>
      <c r="E2327" t="s">
        <v>21</v>
      </c>
      <c r="F2327" t="s">
        <v>380</v>
      </c>
      <c r="G2327" t="s">
        <v>3211</v>
      </c>
      <c r="H2327" t="s">
        <v>604</v>
      </c>
    </row>
    <row r="2328" spans="1:8" x14ac:dyDescent="0.2">
      <c r="A2328" t="s">
        <v>3405</v>
      </c>
      <c r="B2328" t="s">
        <v>3245</v>
      </c>
      <c r="C2328" t="s">
        <v>16</v>
      </c>
      <c r="D2328">
        <v>4</v>
      </c>
      <c r="E2328" t="s">
        <v>17</v>
      </c>
      <c r="F2328" t="s">
        <v>380</v>
      </c>
      <c r="G2328" t="s">
        <v>3211</v>
      </c>
      <c r="H2328" t="s">
        <v>604</v>
      </c>
    </row>
    <row r="2329" spans="1:8" x14ac:dyDescent="0.2">
      <c r="A2329" t="s">
        <v>3406</v>
      </c>
      <c r="B2329" t="s">
        <v>3245</v>
      </c>
      <c r="C2329" t="s">
        <v>19</v>
      </c>
      <c r="D2329">
        <v>2</v>
      </c>
      <c r="E2329" t="s">
        <v>17</v>
      </c>
      <c r="F2329" t="s">
        <v>380</v>
      </c>
      <c r="G2329" t="s">
        <v>608</v>
      </c>
      <c r="H2329" t="s">
        <v>604</v>
      </c>
    </row>
    <row r="2330" spans="1:8" x14ac:dyDescent="0.2">
      <c r="A2330" t="s">
        <v>3407</v>
      </c>
      <c r="B2330" t="s">
        <v>3245</v>
      </c>
      <c r="C2330" t="s">
        <v>16</v>
      </c>
      <c r="D2330" t="s">
        <v>16</v>
      </c>
      <c r="E2330" t="s">
        <v>17</v>
      </c>
      <c r="F2330" t="s">
        <v>381</v>
      </c>
      <c r="G2330" t="s">
        <v>608</v>
      </c>
      <c r="H2330" t="s">
        <v>604</v>
      </c>
    </row>
    <row r="2331" spans="1:8" x14ac:dyDescent="0.2">
      <c r="A2331" t="s">
        <v>3408</v>
      </c>
      <c r="B2331" t="s">
        <v>3245</v>
      </c>
      <c r="C2331" t="s">
        <v>19</v>
      </c>
      <c r="D2331">
        <v>3</v>
      </c>
      <c r="E2331" t="s">
        <v>17</v>
      </c>
      <c r="F2331" t="s">
        <v>380</v>
      </c>
      <c r="G2331" t="s">
        <v>608</v>
      </c>
      <c r="H2331" t="s">
        <v>604</v>
      </c>
    </row>
    <row r="2332" spans="1:8" x14ac:dyDescent="0.2">
      <c r="A2332" t="s">
        <v>3409</v>
      </c>
      <c r="B2332" t="s">
        <v>3245</v>
      </c>
      <c r="C2332" t="s">
        <v>16</v>
      </c>
      <c r="D2332">
        <v>4</v>
      </c>
      <c r="E2332" t="s">
        <v>17</v>
      </c>
      <c r="F2332" t="s">
        <v>380</v>
      </c>
      <c r="G2332" t="s">
        <v>3211</v>
      </c>
      <c r="H2332" t="s">
        <v>604</v>
      </c>
    </row>
    <row r="2333" spans="1:8" x14ac:dyDescent="0.2">
      <c r="A2333" t="s">
        <v>3410</v>
      </c>
      <c r="B2333" t="s">
        <v>3245</v>
      </c>
      <c r="C2333" t="s">
        <v>16</v>
      </c>
      <c r="D2333">
        <v>4</v>
      </c>
      <c r="E2333" t="s">
        <v>17</v>
      </c>
      <c r="F2333" t="s">
        <v>380</v>
      </c>
      <c r="G2333" t="s">
        <v>3211</v>
      </c>
      <c r="H2333" t="s">
        <v>604</v>
      </c>
    </row>
    <row r="2334" spans="1:8" x14ac:dyDescent="0.2">
      <c r="A2334" t="s">
        <v>3411</v>
      </c>
      <c r="B2334" t="s">
        <v>3245</v>
      </c>
      <c r="C2334" t="s">
        <v>19</v>
      </c>
      <c r="D2334">
        <v>2</v>
      </c>
      <c r="E2334" t="s">
        <v>17</v>
      </c>
      <c r="F2334" t="s">
        <v>380</v>
      </c>
      <c r="G2334" t="s">
        <v>608</v>
      </c>
      <c r="H2334" t="s">
        <v>604</v>
      </c>
    </row>
    <row r="2335" spans="1:8" x14ac:dyDescent="0.2">
      <c r="A2335" t="s">
        <v>3412</v>
      </c>
      <c r="B2335" t="s">
        <v>3245</v>
      </c>
      <c r="C2335" t="s">
        <v>16</v>
      </c>
      <c r="D2335">
        <v>4</v>
      </c>
      <c r="E2335" t="s">
        <v>17</v>
      </c>
      <c r="F2335" t="s">
        <v>380</v>
      </c>
      <c r="G2335" t="s">
        <v>3214</v>
      </c>
      <c r="H2335" t="s">
        <v>604</v>
      </c>
    </row>
    <row r="2336" spans="1:8" x14ac:dyDescent="0.2">
      <c r="A2336" t="s">
        <v>3461</v>
      </c>
      <c r="B2336" t="s">
        <v>3223</v>
      </c>
      <c r="C2336" t="s">
        <v>18</v>
      </c>
      <c r="D2336">
        <v>2</v>
      </c>
      <c r="E2336" t="s">
        <v>17</v>
      </c>
      <c r="F2336" t="s">
        <v>380</v>
      </c>
      <c r="G2336" t="s">
        <v>608</v>
      </c>
      <c r="H2336" t="s">
        <v>604</v>
      </c>
    </row>
    <row r="2337" spans="1:8" x14ac:dyDescent="0.2">
      <c r="A2337" t="s">
        <v>3462</v>
      </c>
      <c r="B2337" t="s">
        <v>3223</v>
      </c>
      <c r="C2337" t="s">
        <v>18</v>
      </c>
      <c r="D2337">
        <v>2</v>
      </c>
      <c r="E2337" t="s">
        <v>21</v>
      </c>
      <c r="F2337" t="s">
        <v>380</v>
      </c>
      <c r="G2337" t="s">
        <v>608</v>
      </c>
      <c r="H2337" t="s">
        <v>604</v>
      </c>
    </row>
    <row r="2338" spans="1:8" x14ac:dyDescent="0.2">
      <c r="A2338" t="s">
        <v>3463</v>
      </c>
      <c r="B2338" t="s">
        <v>3223</v>
      </c>
      <c r="C2338" t="s">
        <v>18</v>
      </c>
      <c r="D2338">
        <v>2</v>
      </c>
      <c r="E2338" t="s">
        <v>17</v>
      </c>
      <c r="F2338" t="s">
        <v>380</v>
      </c>
      <c r="G2338" t="s">
        <v>608</v>
      </c>
      <c r="H2338" t="s">
        <v>604</v>
      </c>
    </row>
    <row r="2339" spans="1:8" x14ac:dyDescent="0.2">
      <c r="A2339" t="s">
        <v>3464</v>
      </c>
      <c r="B2339" t="s">
        <v>3223</v>
      </c>
      <c r="C2339" t="s">
        <v>18</v>
      </c>
      <c r="D2339">
        <v>2</v>
      </c>
      <c r="E2339" t="s">
        <v>21</v>
      </c>
      <c r="F2339" t="s">
        <v>380</v>
      </c>
      <c r="G2339" t="s">
        <v>608</v>
      </c>
      <c r="H2339" t="s">
        <v>604</v>
      </c>
    </row>
    <row r="2340" spans="1:8" x14ac:dyDescent="0.2">
      <c r="A2340" t="s">
        <v>3465</v>
      </c>
      <c r="B2340" t="s">
        <v>3223</v>
      </c>
      <c r="C2340" t="s">
        <v>18</v>
      </c>
      <c r="D2340">
        <v>2</v>
      </c>
      <c r="E2340" t="s">
        <v>21</v>
      </c>
      <c r="F2340" t="s">
        <v>380</v>
      </c>
      <c r="G2340" t="s">
        <v>608</v>
      </c>
      <c r="H2340" t="s">
        <v>604</v>
      </c>
    </row>
    <row r="2341" spans="1:8" x14ac:dyDescent="0.2">
      <c r="A2341" t="s">
        <v>3466</v>
      </c>
      <c r="B2341" t="s">
        <v>3225</v>
      </c>
      <c r="C2341" t="s">
        <v>18</v>
      </c>
      <c r="D2341">
        <v>2</v>
      </c>
      <c r="E2341" t="s">
        <v>21</v>
      </c>
      <c r="F2341" t="s">
        <v>380</v>
      </c>
      <c r="G2341" t="s">
        <v>608</v>
      </c>
      <c r="H2341" t="s">
        <v>604</v>
      </c>
    </row>
    <row r="2342" spans="1:8" x14ac:dyDescent="0.2">
      <c r="A2342" t="s">
        <v>3467</v>
      </c>
      <c r="B2342" t="s">
        <v>3225</v>
      </c>
      <c r="C2342" t="s">
        <v>18</v>
      </c>
      <c r="D2342">
        <v>2</v>
      </c>
      <c r="E2342" t="s">
        <v>17</v>
      </c>
      <c r="F2342" t="s">
        <v>380</v>
      </c>
      <c r="G2342" t="s">
        <v>608</v>
      </c>
      <c r="H2342" t="s">
        <v>604</v>
      </c>
    </row>
    <row r="2343" spans="1:8" x14ac:dyDescent="0.2">
      <c r="A2343" t="s">
        <v>3468</v>
      </c>
      <c r="B2343" t="s">
        <v>3225</v>
      </c>
      <c r="C2343" t="s">
        <v>19</v>
      </c>
      <c r="D2343">
        <v>2</v>
      </c>
      <c r="E2343" t="s">
        <v>21</v>
      </c>
      <c r="F2343" t="s">
        <v>380</v>
      </c>
      <c r="G2343" t="s">
        <v>608</v>
      </c>
      <c r="H2343" t="s">
        <v>604</v>
      </c>
    </row>
    <row r="2344" spans="1:8" x14ac:dyDescent="0.2">
      <c r="A2344" t="s">
        <v>3469</v>
      </c>
      <c r="B2344" t="s">
        <v>3225</v>
      </c>
      <c r="C2344" t="s">
        <v>18</v>
      </c>
      <c r="D2344">
        <v>2</v>
      </c>
      <c r="E2344" t="s">
        <v>17</v>
      </c>
      <c r="F2344" t="s">
        <v>380</v>
      </c>
      <c r="G2344" t="s">
        <v>608</v>
      </c>
      <c r="H2344" t="s">
        <v>604</v>
      </c>
    </row>
    <row r="2345" spans="1:8" x14ac:dyDescent="0.2">
      <c r="A2345" t="s">
        <v>3470</v>
      </c>
      <c r="B2345" t="s">
        <v>3225</v>
      </c>
      <c r="C2345" t="s">
        <v>18</v>
      </c>
      <c r="D2345">
        <v>2</v>
      </c>
      <c r="E2345" t="s">
        <v>17</v>
      </c>
      <c r="F2345" t="s">
        <v>380</v>
      </c>
      <c r="G2345" t="s">
        <v>608</v>
      </c>
      <c r="H2345" t="s">
        <v>604</v>
      </c>
    </row>
    <row r="2346" spans="1:8" x14ac:dyDescent="0.2">
      <c r="A2346" t="s">
        <v>3471</v>
      </c>
      <c r="B2346" t="s">
        <v>3227</v>
      </c>
      <c r="C2346" t="s">
        <v>18</v>
      </c>
      <c r="D2346">
        <v>2</v>
      </c>
      <c r="E2346" t="s">
        <v>17</v>
      </c>
      <c r="F2346" t="s">
        <v>380</v>
      </c>
      <c r="G2346" t="s">
        <v>608</v>
      </c>
      <c r="H2346" t="s">
        <v>604</v>
      </c>
    </row>
    <row r="2347" spans="1:8" x14ac:dyDescent="0.2">
      <c r="A2347" t="s">
        <v>3473</v>
      </c>
      <c r="B2347" t="s">
        <v>3227</v>
      </c>
      <c r="C2347" t="s">
        <v>18</v>
      </c>
      <c r="D2347">
        <v>2</v>
      </c>
      <c r="E2347" t="s">
        <v>17</v>
      </c>
      <c r="F2347" t="s">
        <v>380</v>
      </c>
      <c r="G2347" t="s">
        <v>608</v>
      </c>
      <c r="H2347" t="s">
        <v>604</v>
      </c>
    </row>
    <row r="2348" spans="1:8" x14ac:dyDescent="0.2">
      <c r="A2348" t="s">
        <v>3474</v>
      </c>
      <c r="B2348" t="s">
        <v>3227</v>
      </c>
      <c r="C2348" t="s">
        <v>18</v>
      </c>
      <c r="D2348">
        <v>2</v>
      </c>
      <c r="E2348" t="s">
        <v>21</v>
      </c>
      <c r="F2348" t="s">
        <v>380</v>
      </c>
      <c r="G2348" t="s">
        <v>608</v>
      </c>
      <c r="H2348" t="s">
        <v>604</v>
      </c>
    </row>
    <row r="2349" spans="1:8" x14ac:dyDescent="0.2">
      <c r="A2349" t="s">
        <v>3475</v>
      </c>
      <c r="B2349" t="s">
        <v>3227</v>
      </c>
      <c r="C2349" t="s">
        <v>18</v>
      </c>
      <c r="D2349">
        <v>2</v>
      </c>
      <c r="E2349" t="s">
        <v>17</v>
      </c>
      <c r="F2349" t="s">
        <v>380</v>
      </c>
      <c r="G2349" t="s">
        <v>608</v>
      </c>
      <c r="H2349" t="s">
        <v>604</v>
      </c>
    </row>
    <row r="2350" spans="1:8" x14ac:dyDescent="0.2">
      <c r="A2350" t="s">
        <v>3476</v>
      </c>
      <c r="B2350" t="s">
        <v>3227</v>
      </c>
      <c r="C2350" t="s">
        <v>19</v>
      </c>
      <c r="D2350">
        <v>2</v>
      </c>
      <c r="E2350" t="s">
        <v>17</v>
      </c>
      <c r="F2350" t="s">
        <v>380</v>
      </c>
      <c r="G2350" t="s">
        <v>608</v>
      </c>
      <c r="H2350" t="s">
        <v>604</v>
      </c>
    </row>
    <row r="2351" spans="1:8" x14ac:dyDescent="0.2">
      <c r="A2351" t="s">
        <v>3477</v>
      </c>
      <c r="B2351" t="s">
        <v>3235</v>
      </c>
      <c r="C2351" t="s">
        <v>18</v>
      </c>
      <c r="D2351">
        <v>3</v>
      </c>
      <c r="E2351" t="s">
        <v>17</v>
      </c>
      <c r="F2351" t="s">
        <v>380</v>
      </c>
      <c r="G2351" t="s">
        <v>608</v>
      </c>
      <c r="H2351" t="s">
        <v>604</v>
      </c>
    </row>
    <row r="2352" spans="1:8" x14ac:dyDescent="0.2">
      <c r="A2352" t="s">
        <v>3478</v>
      </c>
      <c r="B2352" t="s">
        <v>3235</v>
      </c>
      <c r="C2352" t="s">
        <v>19</v>
      </c>
      <c r="D2352">
        <v>2</v>
      </c>
      <c r="E2352" t="s">
        <v>17</v>
      </c>
      <c r="F2352" t="s">
        <v>380</v>
      </c>
      <c r="G2352" t="s">
        <v>608</v>
      </c>
      <c r="H2352" t="s">
        <v>604</v>
      </c>
    </row>
    <row r="2353" spans="1:8" x14ac:dyDescent="0.2">
      <c r="A2353" t="s">
        <v>3479</v>
      </c>
      <c r="B2353" t="s">
        <v>3235</v>
      </c>
      <c r="C2353" t="s">
        <v>18</v>
      </c>
      <c r="D2353">
        <v>2</v>
      </c>
      <c r="E2353" t="s">
        <v>17</v>
      </c>
      <c r="F2353" t="s">
        <v>380</v>
      </c>
      <c r="G2353" t="s">
        <v>608</v>
      </c>
      <c r="H2353" t="s">
        <v>604</v>
      </c>
    </row>
    <row r="2354" spans="1:8" x14ac:dyDescent="0.2">
      <c r="A2354" t="s">
        <v>3480</v>
      </c>
      <c r="B2354" t="s">
        <v>3235</v>
      </c>
      <c r="C2354" t="s">
        <v>18</v>
      </c>
      <c r="D2354">
        <v>1</v>
      </c>
      <c r="E2354" t="s">
        <v>17</v>
      </c>
      <c r="F2354" t="s">
        <v>380</v>
      </c>
      <c r="G2354" t="s">
        <v>608</v>
      </c>
      <c r="H2354" t="s">
        <v>604</v>
      </c>
    </row>
    <row r="2355" spans="1:8" x14ac:dyDescent="0.2">
      <c r="A2355" t="s">
        <v>3481</v>
      </c>
      <c r="B2355" t="s">
        <v>3235</v>
      </c>
      <c r="C2355" t="s">
        <v>16</v>
      </c>
      <c r="D2355">
        <v>4</v>
      </c>
      <c r="E2355" t="s">
        <v>17</v>
      </c>
      <c r="F2355" t="s">
        <v>380</v>
      </c>
      <c r="G2355" t="s">
        <v>608</v>
      </c>
      <c r="H2355" t="s">
        <v>604</v>
      </c>
    </row>
    <row r="2356" spans="1:8" x14ac:dyDescent="0.2">
      <c r="A2356" t="s">
        <v>3482</v>
      </c>
      <c r="B2356" t="s">
        <v>3237</v>
      </c>
      <c r="C2356" t="s">
        <v>18</v>
      </c>
      <c r="D2356">
        <v>2</v>
      </c>
      <c r="E2356" t="s">
        <v>17</v>
      </c>
      <c r="F2356" t="s">
        <v>380</v>
      </c>
      <c r="G2356" t="s">
        <v>608</v>
      </c>
      <c r="H2356" t="s">
        <v>604</v>
      </c>
    </row>
    <row r="2357" spans="1:8" x14ac:dyDescent="0.2">
      <c r="A2357" t="s">
        <v>3483</v>
      </c>
      <c r="B2357" t="s">
        <v>3237</v>
      </c>
      <c r="C2357" t="s">
        <v>19</v>
      </c>
      <c r="D2357">
        <v>2</v>
      </c>
      <c r="E2357" t="s">
        <v>17</v>
      </c>
      <c r="F2357" t="s">
        <v>380</v>
      </c>
      <c r="G2357" t="s">
        <v>608</v>
      </c>
      <c r="H2357" t="s">
        <v>604</v>
      </c>
    </row>
    <row r="2358" spans="1:8" x14ac:dyDescent="0.2">
      <c r="A2358" t="s">
        <v>3484</v>
      </c>
      <c r="B2358" t="s">
        <v>3237</v>
      </c>
      <c r="C2358" t="s">
        <v>18</v>
      </c>
      <c r="D2358">
        <v>1</v>
      </c>
      <c r="E2358" t="s">
        <v>17</v>
      </c>
      <c r="F2358" t="s">
        <v>380</v>
      </c>
      <c r="G2358" t="s">
        <v>608</v>
      </c>
      <c r="H2358" t="s">
        <v>604</v>
      </c>
    </row>
    <row r="2359" spans="1:8" x14ac:dyDescent="0.2">
      <c r="A2359" t="s">
        <v>3485</v>
      </c>
      <c r="B2359" t="s">
        <v>3237</v>
      </c>
      <c r="C2359" t="s">
        <v>18</v>
      </c>
      <c r="D2359">
        <v>2</v>
      </c>
      <c r="E2359" t="s">
        <v>21</v>
      </c>
      <c r="F2359" t="s">
        <v>380</v>
      </c>
      <c r="G2359" t="s">
        <v>608</v>
      </c>
      <c r="H2359" t="s">
        <v>604</v>
      </c>
    </row>
    <row r="2360" spans="1:8" x14ac:dyDescent="0.2">
      <c r="A2360" t="s">
        <v>3486</v>
      </c>
      <c r="B2360" t="s">
        <v>3237</v>
      </c>
      <c r="C2360" t="s">
        <v>18</v>
      </c>
      <c r="D2360">
        <v>2</v>
      </c>
      <c r="E2360" t="s">
        <v>17</v>
      </c>
      <c r="F2360" t="s">
        <v>380</v>
      </c>
      <c r="G2360" t="s">
        <v>608</v>
      </c>
      <c r="H2360" t="s">
        <v>604</v>
      </c>
    </row>
    <row r="2361" spans="1:8" x14ac:dyDescent="0.2">
      <c r="A2361" t="s">
        <v>3488</v>
      </c>
      <c r="B2361" t="s">
        <v>3239</v>
      </c>
      <c r="C2361" t="s">
        <v>18</v>
      </c>
      <c r="D2361">
        <v>2</v>
      </c>
      <c r="E2361" t="s">
        <v>21</v>
      </c>
      <c r="F2361" t="s">
        <v>380</v>
      </c>
      <c r="G2361" t="s">
        <v>608</v>
      </c>
      <c r="H2361" t="s">
        <v>604</v>
      </c>
    </row>
    <row r="2362" spans="1:8" x14ac:dyDescent="0.2">
      <c r="A2362" t="s">
        <v>3489</v>
      </c>
      <c r="B2362" t="s">
        <v>3239</v>
      </c>
      <c r="C2362" t="s">
        <v>18</v>
      </c>
      <c r="D2362">
        <v>2</v>
      </c>
      <c r="E2362" t="s">
        <v>17</v>
      </c>
      <c r="F2362" t="s">
        <v>380</v>
      </c>
      <c r="G2362" t="s">
        <v>608</v>
      </c>
      <c r="H2362" t="s">
        <v>604</v>
      </c>
    </row>
    <row r="2363" spans="1:8" x14ac:dyDescent="0.2">
      <c r="A2363" t="s">
        <v>3490</v>
      </c>
      <c r="B2363" t="s">
        <v>3239</v>
      </c>
      <c r="C2363" t="s">
        <v>18</v>
      </c>
      <c r="D2363">
        <v>2</v>
      </c>
      <c r="E2363" t="s">
        <v>21</v>
      </c>
      <c r="F2363" t="s">
        <v>380</v>
      </c>
      <c r="G2363" t="s">
        <v>608</v>
      </c>
      <c r="H2363" t="s">
        <v>604</v>
      </c>
    </row>
    <row r="2364" spans="1:8" x14ac:dyDescent="0.2">
      <c r="A2364" t="s">
        <v>3491</v>
      </c>
      <c r="B2364" t="s">
        <v>3239</v>
      </c>
      <c r="C2364" t="s">
        <v>18</v>
      </c>
      <c r="D2364">
        <v>2</v>
      </c>
      <c r="E2364" t="s">
        <v>21</v>
      </c>
      <c r="F2364" t="s">
        <v>380</v>
      </c>
      <c r="G2364" t="s">
        <v>608</v>
      </c>
      <c r="H2364" t="s">
        <v>604</v>
      </c>
    </row>
    <row r="2365" spans="1:8" x14ac:dyDescent="0.2">
      <c r="A2365" t="s">
        <v>3492</v>
      </c>
      <c r="B2365" t="s">
        <v>3239</v>
      </c>
      <c r="C2365" t="s">
        <v>18</v>
      </c>
      <c r="D2365">
        <v>2</v>
      </c>
      <c r="E2365" t="s">
        <v>21</v>
      </c>
      <c r="F2365" t="s">
        <v>380</v>
      </c>
      <c r="G2365" t="s">
        <v>608</v>
      </c>
      <c r="H2365" t="s">
        <v>604</v>
      </c>
    </row>
    <row r="2366" spans="1:8" x14ac:dyDescent="0.2">
      <c r="A2366" t="s">
        <v>3493</v>
      </c>
      <c r="B2366" t="s">
        <v>3247</v>
      </c>
      <c r="C2366" t="s">
        <v>16</v>
      </c>
      <c r="D2366">
        <v>4</v>
      </c>
      <c r="E2366" t="s">
        <v>21</v>
      </c>
      <c r="F2366" t="s">
        <v>380</v>
      </c>
      <c r="G2366" t="s">
        <v>608</v>
      </c>
      <c r="H2366" t="s">
        <v>604</v>
      </c>
    </row>
    <row r="2367" spans="1:8" x14ac:dyDescent="0.2">
      <c r="A2367" t="s">
        <v>3494</v>
      </c>
      <c r="B2367" t="s">
        <v>3247</v>
      </c>
      <c r="C2367" t="s">
        <v>19</v>
      </c>
      <c r="D2367">
        <v>2</v>
      </c>
      <c r="E2367" t="s">
        <v>17</v>
      </c>
      <c r="F2367" t="s">
        <v>380</v>
      </c>
      <c r="G2367" t="s">
        <v>608</v>
      </c>
      <c r="H2367" t="s">
        <v>604</v>
      </c>
    </row>
    <row r="2368" spans="1:8" x14ac:dyDescent="0.2">
      <c r="A2368" t="s">
        <v>3495</v>
      </c>
      <c r="B2368" t="s">
        <v>3247</v>
      </c>
      <c r="C2368" t="s">
        <v>18</v>
      </c>
      <c r="D2368">
        <v>3</v>
      </c>
      <c r="E2368" t="s">
        <v>17</v>
      </c>
      <c r="F2368" t="s">
        <v>380</v>
      </c>
      <c r="G2368" t="s">
        <v>608</v>
      </c>
      <c r="H2368" t="s">
        <v>604</v>
      </c>
    </row>
    <row r="2369" spans="1:8" x14ac:dyDescent="0.2">
      <c r="A2369" t="s">
        <v>3496</v>
      </c>
      <c r="B2369" t="s">
        <v>3247</v>
      </c>
      <c r="C2369" t="s">
        <v>18</v>
      </c>
      <c r="D2369">
        <v>1</v>
      </c>
      <c r="E2369" t="s">
        <v>17</v>
      </c>
      <c r="F2369" t="s">
        <v>380</v>
      </c>
      <c r="G2369" t="s">
        <v>608</v>
      </c>
      <c r="H2369" t="s">
        <v>604</v>
      </c>
    </row>
    <row r="2370" spans="1:8" x14ac:dyDescent="0.2">
      <c r="A2370" t="s">
        <v>3497</v>
      </c>
      <c r="B2370" t="s">
        <v>3247</v>
      </c>
      <c r="C2370" t="s">
        <v>16</v>
      </c>
      <c r="D2370">
        <v>4</v>
      </c>
      <c r="E2370" t="s">
        <v>21</v>
      </c>
      <c r="F2370" t="s">
        <v>380</v>
      </c>
      <c r="G2370" t="s">
        <v>608</v>
      </c>
      <c r="H2370" t="s">
        <v>604</v>
      </c>
    </row>
    <row r="2371" spans="1:8" x14ac:dyDescent="0.2">
      <c r="A2371" t="s">
        <v>3498</v>
      </c>
      <c r="B2371" t="s">
        <v>3249</v>
      </c>
      <c r="C2371" t="s">
        <v>19</v>
      </c>
      <c r="D2371">
        <v>3</v>
      </c>
      <c r="E2371" t="s">
        <v>17</v>
      </c>
      <c r="F2371" t="s">
        <v>380</v>
      </c>
      <c r="G2371" t="s">
        <v>608</v>
      </c>
      <c r="H2371" t="s">
        <v>604</v>
      </c>
    </row>
    <row r="2372" spans="1:8" x14ac:dyDescent="0.2">
      <c r="A2372" t="s">
        <v>3500</v>
      </c>
      <c r="B2372" t="s">
        <v>3249</v>
      </c>
      <c r="C2372" t="s">
        <v>18</v>
      </c>
      <c r="D2372">
        <v>1</v>
      </c>
      <c r="E2372" t="s">
        <v>17</v>
      </c>
      <c r="F2372" t="s">
        <v>380</v>
      </c>
      <c r="G2372" t="s">
        <v>608</v>
      </c>
      <c r="H2372" t="s">
        <v>604</v>
      </c>
    </row>
    <row r="2373" spans="1:8" x14ac:dyDescent="0.2">
      <c r="A2373" t="s">
        <v>3501</v>
      </c>
      <c r="B2373" t="s">
        <v>3249</v>
      </c>
      <c r="C2373" t="s">
        <v>19</v>
      </c>
      <c r="D2373">
        <v>2</v>
      </c>
      <c r="E2373" t="s">
        <v>17</v>
      </c>
      <c r="F2373" t="s">
        <v>380</v>
      </c>
      <c r="G2373" t="s">
        <v>608</v>
      </c>
      <c r="H2373" t="s">
        <v>604</v>
      </c>
    </row>
    <row r="2374" spans="1:8" x14ac:dyDescent="0.2">
      <c r="A2374" t="s">
        <v>3502</v>
      </c>
      <c r="B2374" t="s">
        <v>3249</v>
      </c>
      <c r="C2374" t="s">
        <v>19</v>
      </c>
      <c r="D2374">
        <v>1</v>
      </c>
      <c r="E2374" t="s">
        <v>17</v>
      </c>
      <c r="F2374" t="s">
        <v>380</v>
      </c>
      <c r="G2374" t="s">
        <v>608</v>
      </c>
      <c r="H2374" t="s">
        <v>604</v>
      </c>
    </row>
    <row r="2375" spans="1:8" x14ac:dyDescent="0.2">
      <c r="A2375" t="s">
        <v>3503</v>
      </c>
      <c r="B2375" t="s">
        <v>3249</v>
      </c>
      <c r="C2375" t="s">
        <v>16</v>
      </c>
      <c r="D2375">
        <v>4</v>
      </c>
      <c r="E2375" t="s">
        <v>17</v>
      </c>
      <c r="F2375" t="s">
        <v>380</v>
      </c>
      <c r="G2375" t="s">
        <v>608</v>
      </c>
      <c r="H2375" t="s">
        <v>604</v>
      </c>
    </row>
    <row r="2376" spans="1:8" x14ac:dyDescent="0.2">
      <c r="A2376" t="s">
        <v>3504</v>
      </c>
      <c r="B2376" t="s">
        <v>3251</v>
      </c>
      <c r="C2376" t="s">
        <v>18</v>
      </c>
      <c r="D2376">
        <v>2</v>
      </c>
      <c r="E2376" t="s">
        <v>17</v>
      </c>
      <c r="F2376" t="s">
        <v>380</v>
      </c>
      <c r="G2376" t="s">
        <v>608</v>
      </c>
      <c r="H2376" t="s">
        <v>604</v>
      </c>
    </row>
    <row r="2377" spans="1:8" x14ac:dyDescent="0.2">
      <c r="A2377" t="s">
        <v>3505</v>
      </c>
      <c r="B2377" t="s">
        <v>3251</v>
      </c>
      <c r="C2377" t="s">
        <v>18</v>
      </c>
      <c r="D2377">
        <v>3</v>
      </c>
      <c r="E2377" t="s">
        <v>17</v>
      </c>
      <c r="F2377" t="s">
        <v>380</v>
      </c>
      <c r="G2377" t="s">
        <v>608</v>
      </c>
      <c r="H2377" t="s">
        <v>604</v>
      </c>
    </row>
    <row r="2378" spans="1:8" x14ac:dyDescent="0.2">
      <c r="A2378" t="s">
        <v>3506</v>
      </c>
      <c r="B2378" t="s">
        <v>3251</v>
      </c>
      <c r="C2378" t="s">
        <v>18</v>
      </c>
      <c r="D2378">
        <v>2</v>
      </c>
      <c r="E2378" t="s">
        <v>17</v>
      </c>
      <c r="F2378" t="s">
        <v>380</v>
      </c>
      <c r="G2378" t="s">
        <v>608</v>
      </c>
      <c r="H2378" t="s">
        <v>604</v>
      </c>
    </row>
    <row r="2379" spans="1:8" x14ac:dyDescent="0.2">
      <c r="A2379" t="s">
        <v>3507</v>
      </c>
      <c r="B2379" t="s">
        <v>3251</v>
      </c>
      <c r="C2379" t="s">
        <v>18</v>
      </c>
      <c r="D2379">
        <v>2</v>
      </c>
      <c r="E2379" t="s">
        <v>17</v>
      </c>
      <c r="F2379" t="s">
        <v>380</v>
      </c>
      <c r="G2379" t="s">
        <v>608</v>
      </c>
      <c r="H2379" t="s">
        <v>604</v>
      </c>
    </row>
    <row r="2380" spans="1:8" x14ac:dyDescent="0.2">
      <c r="A2380" t="s">
        <v>3508</v>
      </c>
      <c r="B2380" t="s">
        <v>3251</v>
      </c>
      <c r="C2380" t="s">
        <v>18</v>
      </c>
      <c r="D2380">
        <v>2</v>
      </c>
      <c r="E2380" t="s">
        <v>17</v>
      </c>
      <c r="F2380" t="s">
        <v>380</v>
      </c>
      <c r="G2380" t="s">
        <v>608</v>
      </c>
      <c r="H2380" t="s">
        <v>604</v>
      </c>
    </row>
    <row r="2381" spans="1:8" x14ac:dyDescent="0.2">
      <c r="A2381" t="s">
        <v>948</v>
      </c>
      <c r="B2381" t="s">
        <v>949</v>
      </c>
      <c r="C2381" t="s">
        <v>19</v>
      </c>
      <c r="D2381">
        <v>2</v>
      </c>
      <c r="E2381" t="s">
        <v>17</v>
      </c>
      <c r="F2381" t="s">
        <v>380</v>
      </c>
      <c r="G2381" t="s">
        <v>608</v>
      </c>
      <c r="H2381" t="s">
        <v>52</v>
      </c>
    </row>
    <row r="2382" spans="1:8" x14ac:dyDescent="0.2">
      <c r="A2382" t="s">
        <v>950</v>
      </c>
      <c r="B2382" t="s">
        <v>949</v>
      </c>
      <c r="C2382" t="s">
        <v>18</v>
      </c>
      <c r="D2382">
        <v>2</v>
      </c>
      <c r="E2382" t="s">
        <v>17</v>
      </c>
      <c r="F2382" t="s">
        <v>380</v>
      </c>
      <c r="G2382" t="s">
        <v>608</v>
      </c>
      <c r="H2382" t="s">
        <v>52</v>
      </c>
    </row>
    <row r="2383" spans="1:8" x14ac:dyDescent="0.2">
      <c r="A2383" t="s">
        <v>951</v>
      </c>
      <c r="B2383" t="s">
        <v>949</v>
      </c>
      <c r="C2383" t="s">
        <v>19</v>
      </c>
      <c r="D2383">
        <v>2</v>
      </c>
      <c r="E2383" t="s">
        <v>17</v>
      </c>
      <c r="F2383" t="s">
        <v>380</v>
      </c>
      <c r="G2383" t="s">
        <v>608</v>
      </c>
      <c r="H2383" t="s">
        <v>52</v>
      </c>
    </row>
    <row r="2384" spans="1:8" x14ac:dyDescent="0.2">
      <c r="A2384" t="s">
        <v>952</v>
      </c>
      <c r="B2384" t="s">
        <v>949</v>
      </c>
      <c r="C2384" t="s">
        <v>19</v>
      </c>
      <c r="D2384">
        <v>2</v>
      </c>
      <c r="E2384" t="s">
        <v>17</v>
      </c>
      <c r="F2384" t="s">
        <v>380</v>
      </c>
      <c r="G2384" t="s">
        <v>608</v>
      </c>
      <c r="H2384" t="s">
        <v>52</v>
      </c>
    </row>
    <row r="2385" spans="1:8" x14ac:dyDescent="0.2">
      <c r="A2385" t="s">
        <v>953</v>
      </c>
      <c r="B2385" t="s">
        <v>949</v>
      </c>
      <c r="C2385" t="s">
        <v>16</v>
      </c>
      <c r="D2385">
        <v>4</v>
      </c>
      <c r="E2385" t="s">
        <v>21</v>
      </c>
      <c r="F2385" t="s">
        <v>380</v>
      </c>
      <c r="G2385" t="s">
        <v>608</v>
      </c>
      <c r="H2385" t="s">
        <v>52</v>
      </c>
    </row>
    <row r="2386" spans="1:8" x14ac:dyDescent="0.2">
      <c r="A2386" t="s">
        <v>954</v>
      </c>
      <c r="B2386" t="s">
        <v>955</v>
      </c>
      <c r="C2386" t="s">
        <v>18</v>
      </c>
      <c r="D2386">
        <v>2</v>
      </c>
      <c r="E2386" t="s">
        <v>21</v>
      </c>
      <c r="F2386" t="s">
        <v>380</v>
      </c>
      <c r="G2386" t="s">
        <v>608</v>
      </c>
      <c r="H2386" t="s">
        <v>52</v>
      </c>
    </row>
    <row r="2387" spans="1:8" x14ac:dyDescent="0.2">
      <c r="A2387" t="s">
        <v>956</v>
      </c>
      <c r="B2387" t="s">
        <v>955</v>
      </c>
      <c r="C2387" t="s">
        <v>19</v>
      </c>
      <c r="D2387">
        <v>2</v>
      </c>
      <c r="E2387" t="s">
        <v>21</v>
      </c>
      <c r="F2387" t="s">
        <v>380</v>
      </c>
      <c r="G2387" t="s">
        <v>608</v>
      </c>
      <c r="H2387" t="s">
        <v>52</v>
      </c>
    </row>
    <row r="2388" spans="1:8" x14ac:dyDescent="0.2">
      <c r="A2388" t="s">
        <v>957</v>
      </c>
      <c r="B2388" t="s">
        <v>955</v>
      </c>
      <c r="C2388" t="s">
        <v>3202</v>
      </c>
      <c r="D2388" t="s">
        <v>16</v>
      </c>
      <c r="E2388" t="s">
        <v>17</v>
      </c>
      <c r="F2388" t="s">
        <v>380</v>
      </c>
      <c r="G2388" t="s">
        <v>608</v>
      </c>
      <c r="H2388" t="s">
        <v>52</v>
      </c>
    </row>
    <row r="2389" spans="1:8" x14ac:dyDescent="0.2">
      <c r="A2389" t="s">
        <v>958</v>
      </c>
      <c r="B2389" t="s">
        <v>955</v>
      </c>
      <c r="C2389" t="s">
        <v>19</v>
      </c>
      <c r="D2389">
        <v>2</v>
      </c>
      <c r="E2389" t="s">
        <v>17</v>
      </c>
      <c r="F2389" t="s">
        <v>380</v>
      </c>
      <c r="G2389" t="s">
        <v>608</v>
      </c>
      <c r="H2389" t="s">
        <v>52</v>
      </c>
    </row>
    <row r="2390" spans="1:8" x14ac:dyDescent="0.2">
      <c r="A2390" t="s">
        <v>959</v>
      </c>
      <c r="B2390" t="s">
        <v>955</v>
      </c>
      <c r="C2390" t="s">
        <v>18</v>
      </c>
      <c r="D2390">
        <v>2</v>
      </c>
      <c r="E2390" t="s">
        <v>17</v>
      </c>
      <c r="F2390" t="s">
        <v>380</v>
      </c>
      <c r="G2390" t="s">
        <v>608</v>
      </c>
      <c r="H2390" t="s">
        <v>52</v>
      </c>
    </row>
    <row r="2391" spans="1:8" x14ac:dyDescent="0.2">
      <c r="A2391" t="s">
        <v>960</v>
      </c>
      <c r="B2391" t="s">
        <v>961</v>
      </c>
      <c r="C2391" t="s">
        <v>18</v>
      </c>
      <c r="D2391">
        <v>2</v>
      </c>
      <c r="E2391" t="s">
        <v>21</v>
      </c>
      <c r="F2391" t="s">
        <v>380</v>
      </c>
      <c r="G2391" t="s">
        <v>608</v>
      </c>
      <c r="H2391" t="s">
        <v>52</v>
      </c>
    </row>
    <row r="2392" spans="1:8" x14ac:dyDescent="0.2">
      <c r="A2392" t="s">
        <v>962</v>
      </c>
      <c r="B2392" t="s">
        <v>961</v>
      </c>
      <c r="C2392" t="s">
        <v>18</v>
      </c>
      <c r="D2392">
        <v>2</v>
      </c>
      <c r="E2392" t="s">
        <v>17</v>
      </c>
      <c r="F2392" t="s">
        <v>380</v>
      </c>
      <c r="G2392" t="s">
        <v>608</v>
      </c>
      <c r="H2392" t="s">
        <v>52</v>
      </c>
    </row>
    <row r="2393" spans="1:8" x14ac:dyDescent="0.2">
      <c r="A2393" t="s">
        <v>963</v>
      </c>
      <c r="B2393" t="s">
        <v>961</v>
      </c>
      <c r="C2393" t="s">
        <v>18</v>
      </c>
      <c r="D2393">
        <v>2</v>
      </c>
      <c r="E2393" t="s">
        <v>17</v>
      </c>
      <c r="F2393" t="s">
        <v>380</v>
      </c>
      <c r="G2393" t="s">
        <v>608</v>
      </c>
      <c r="H2393" t="s">
        <v>52</v>
      </c>
    </row>
    <row r="2394" spans="1:8" x14ac:dyDescent="0.2">
      <c r="A2394" t="s">
        <v>964</v>
      </c>
      <c r="B2394" t="s">
        <v>961</v>
      </c>
      <c r="C2394" t="s">
        <v>18</v>
      </c>
      <c r="D2394">
        <v>2</v>
      </c>
      <c r="E2394" t="s">
        <v>21</v>
      </c>
      <c r="F2394" t="s">
        <v>380</v>
      </c>
      <c r="G2394" t="s">
        <v>608</v>
      </c>
      <c r="H2394" t="s">
        <v>52</v>
      </c>
    </row>
    <row r="2395" spans="1:8" x14ac:dyDescent="0.2">
      <c r="A2395" t="s">
        <v>965</v>
      </c>
      <c r="B2395" t="s">
        <v>961</v>
      </c>
      <c r="C2395" t="s">
        <v>19</v>
      </c>
      <c r="D2395">
        <v>3</v>
      </c>
      <c r="E2395" t="s">
        <v>17</v>
      </c>
      <c r="F2395" t="s">
        <v>381</v>
      </c>
      <c r="G2395" t="s">
        <v>608</v>
      </c>
      <c r="H2395" t="s">
        <v>52</v>
      </c>
    </row>
    <row r="2396" spans="1:8" x14ac:dyDescent="0.2">
      <c r="A2396" t="s">
        <v>966</v>
      </c>
      <c r="B2396" t="s">
        <v>949</v>
      </c>
      <c r="C2396" t="s">
        <v>18</v>
      </c>
      <c r="D2396">
        <v>2</v>
      </c>
      <c r="E2396" t="s">
        <v>17</v>
      </c>
      <c r="F2396" t="s">
        <v>380</v>
      </c>
      <c r="G2396" t="s">
        <v>608</v>
      </c>
      <c r="H2396" t="s">
        <v>52</v>
      </c>
    </row>
    <row r="2397" spans="1:8" x14ac:dyDescent="0.2">
      <c r="A2397" t="s">
        <v>967</v>
      </c>
      <c r="B2397" t="s">
        <v>949</v>
      </c>
      <c r="C2397" t="s">
        <v>18</v>
      </c>
      <c r="D2397">
        <v>2</v>
      </c>
      <c r="E2397" t="s">
        <v>17</v>
      </c>
      <c r="F2397" t="s">
        <v>380</v>
      </c>
      <c r="G2397" t="s">
        <v>608</v>
      </c>
      <c r="H2397" t="s">
        <v>52</v>
      </c>
    </row>
    <row r="2398" spans="1:8" x14ac:dyDescent="0.2">
      <c r="A2398" t="s">
        <v>968</v>
      </c>
      <c r="B2398" t="s">
        <v>949</v>
      </c>
      <c r="C2398" t="s">
        <v>16</v>
      </c>
      <c r="D2398">
        <v>4</v>
      </c>
      <c r="E2398" t="s">
        <v>17</v>
      </c>
      <c r="F2398" t="s">
        <v>380</v>
      </c>
      <c r="G2398" t="s">
        <v>3212</v>
      </c>
      <c r="H2398" t="s">
        <v>52</v>
      </c>
    </row>
    <row r="2399" spans="1:8" x14ac:dyDescent="0.2">
      <c r="A2399" t="s">
        <v>969</v>
      </c>
      <c r="B2399" t="s">
        <v>949</v>
      </c>
      <c r="C2399" t="s">
        <v>19</v>
      </c>
      <c r="D2399">
        <v>2</v>
      </c>
      <c r="E2399" t="s">
        <v>17</v>
      </c>
      <c r="F2399" t="s">
        <v>380</v>
      </c>
      <c r="G2399" t="s">
        <v>608</v>
      </c>
      <c r="H2399" t="s">
        <v>52</v>
      </c>
    </row>
    <row r="2400" spans="1:8" x14ac:dyDescent="0.2">
      <c r="A2400" t="s">
        <v>970</v>
      </c>
      <c r="B2400" t="s">
        <v>949</v>
      </c>
      <c r="C2400" t="s">
        <v>18</v>
      </c>
      <c r="D2400">
        <v>2</v>
      </c>
      <c r="E2400" t="s">
        <v>17</v>
      </c>
      <c r="F2400" t="s">
        <v>380</v>
      </c>
      <c r="G2400" t="s">
        <v>608</v>
      </c>
      <c r="H2400" t="s">
        <v>52</v>
      </c>
    </row>
    <row r="2401" spans="1:8" x14ac:dyDescent="0.2">
      <c r="A2401" t="s">
        <v>971</v>
      </c>
      <c r="B2401" t="s">
        <v>949</v>
      </c>
      <c r="C2401" t="s">
        <v>18</v>
      </c>
      <c r="D2401">
        <v>2</v>
      </c>
      <c r="E2401" t="s">
        <v>17</v>
      </c>
      <c r="F2401" t="s">
        <v>380</v>
      </c>
      <c r="G2401" t="s">
        <v>608</v>
      </c>
      <c r="H2401" t="s">
        <v>52</v>
      </c>
    </row>
    <row r="2402" spans="1:8" x14ac:dyDescent="0.2">
      <c r="A2402" t="s">
        <v>972</v>
      </c>
      <c r="B2402" t="s">
        <v>949</v>
      </c>
      <c r="C2402" t="s">
        <v>19</v>
      </c>
      <c r="D2402">
        <v>2</v>
      </c>
      <c r="E2402" t="s">
        <v>17</v>
      </c>
      <c r="F2402" t="s">
        <v>380</v>
      </c>
      <c r="G2402" t="s">
        <v>608</v>
      </c>
      <c r="H2402" t="s">
        <v>52</v>
      </c>
    </row>
    <row r="2403" spans="1:8" x14ac:dyDescent="0.2">
      <c r="A2403" t="s">
        <v>973</v>
      </c>
      <c r="B2403" t="s">
        <v>949</v>
      </c>
      <c r="C2403" t="s">
        <v>16</v>
      </c>
      <c r="D2403" t="s">
        <v>16</v>
      </c>
      <c r="E2403" t="s">
        <v>17</v>
      </c>
      <c r="F2403" t="s">
        <v>381</v>
      </c>
      <c r="G2403" t="s">
        <v>608</v>
      </c>
      <c r="H2403" t="s">
        <v>52</v>
      </c>
    </row>
    <row r="2404" spans="1:8" x14ac:dyDescent="0.2">
      <c r="A2404" t="s">
        <v>974</v>
      </c>
      <c r="B2404" t="s">
        <v>949</v>
      </c>
      <c r="C2404" t="s">
        <v>19</v>
      </c>
      <c r="D2404">
        <v>2</v>
      </c>
      <c r="E2404" t="s">
        <v>17</v>
      </c>
      <c r="F2404" t="s">
        <v>380</v>
      </c>
      <c r="G2404" t="s">
        <v>608</v>
      </c>
      <c r="H2404" t="s">
        <v>52</v>
      </c>
    </row>
    <row r="2405" spans="1:8" x14ac:dyDescent="0.2">
      <c r="A2405" t="s">
        <v>975</v>
      </c>
      <c r="B2405" t="s">
        <v>949</v>
      </c>
      <c r="C2405" t="s">
        <v>16</v>
      </c>
      <c r="D2405" t="s">
        <v>16</v>
      </c>
      <c r="E2405" t="s">
        <v>17</v>
      </c>
      <c r="F2405" t="s">
        <v>380</v>
      </c>
      <c r="G2405" t="s">
        <v>3527</v>
      </c>
      <c r="H2405" t="s">
        <v>52</v>
      </c>
    </row>
    <row r="2406" spans="1:8" x14ac:dyDescent="0.2">
      <c r="A2406" t="s">
        <v>976</v>
      </c>
      <c r="B2406" t="s">
        <v>955</v>
      </c>
      <c r="C2406" t="s">
        <v>19</v>
      </c>
      <c r="D2406">
        <v>2</v>
      </c>
      <c r="E2406" t="s">
        <v>17</v>
      </c>
      <c r="F2406" t="s">
        <v>380</v>
      </c>
      <c r="G2406" t="s">
        <v>608</v>
      </c>
      <c r="H2406" t="s">
        <v>52</v>
      </c>
    </row>
    <row r="2407" spans="1:8" x14ac:dyDescent="0.2">
      <c r="A2407" t="s">
        <v>977</v>
      </c>
      <c r="B2407" t="s">
        <v>955</v>
      </c>
      <c r="C2407" t="s">
        <v>19</v>
      </c>
      <c r="D2407">
        <v>2</v>
      </c>
      <c r="E2407" t="s">
        <v>17</v>
      </c>
      <c r="F2407" t="s">
        <v>380</v>
      </c>
      <c r="G2407" t="s">
        <v>608</v>
      </c>
      <c r="H2407" t="s">
        <v>52</v>
      </c>
    </row>
    <row r="2408" spans="1:8" x14ac:dyDescent="0.2">
      <c r="A2408" t="s">
        <v>978</v>
      </c>
      <c r="B2408" t="s">
        <v>955</v>
      </c>
      <c r="C2408" t="s">
        <v>18</v>
      </c>
      <c r="D2408">
        <v>2</v>
      </c>
      <c r="E2408" t="s">
        <v>17</v>
      </c>
      <c r="F2408" t="s">
        <v>380</v>
      </c>
      <c r="G2408" t="s">
        <v>608</v>
      </c>
      <c r="H2408" t="s">
        <v>52</v>
      </c>
    </row>
    <row r="2409" spans="1:8" x14ac:dyDescent="0.2">
      <c r="A2409" t="s">
        <v>979</v>
      </c>
      <c r="B2409" t="s">
        <v>955</v>
      </c>
      <c r="C2409" t="s">
        <v>19</v>
      </c>
      <c r="D2409">
        <v>3</v>
      </c>
      <c r="E2409" t="s">
        <v>17</v>
      </c>
      <c r="F2409" t="s">
        <v>380</v>
      </c>
      <c r="G2409" t="s">
        <v>608</v>
      </c>
      <c r="H2409" t="s">
        <v>52</v>
      </c>
    </row>
    <row r="2410" spans="1:8" x14ac:dyDescent="0.2">
      <c r="A2410" t="s">
        <v>980</v>
      </c>
      <c r="B2410" t="s">
        <v>955</v>
      </c>
      <c r="C2410" t="s">
        <v>19</v>
      </c>
      <c r="D2410">
        <v>2</v>
      </c>
      <c r="E2410" t="s">
        <v>17</v>
      </c>
      <c r="F2410" t="s">
        <v>380</v>
      </c>
      <c r="G2410" t="s">
        <v>608</v>
      </c>
      <c r="H2410" t="s">
        <v>52</v>
      </c>
    </row>
    <row r="2411" spans="1:8" x14ac:dyDescent="0.2">
      <c r="A2411" t="s">
        <v>981</v>
      </c>
      <c r="B2411" t="s">
        <v>955</v>
      </c>
      <c r="C2411" t="s">
        <v>19</v>
      </c>
      <c r="D2411">
        <v>2</v>
      </c>
      <c r="E2411" t="s">
        <v>17</v>
      </c>
      <c r="F2411" t="s">
        <v>380</v>
      </c>
      <c r="G2411" t="s">
        <v>608</v>
      </c>
      <c r="H2411" t="s">
        <v>52</v>
      </c>
    </row>
    <row r="2412" spans="1:8" x14ac:dyDescent="0.2">
      <c r="A2412" t="s">
        <v>982</v>
      </c>
      <c r="B2412" t="s">
        <v>955</v>
      </c>
      <c r="C2412" t="s">
        <v>19</v>
      </c>
      <c r="D2412">
        <v>1</v>
      </c>
      <c r="E2412" t="s">
        <v>17</v>
      </c>
      <c r="F2412" t="s">
        <v>380</v>
      </c>
      <c r="G2412" t="s">
        <v>608</v>
      </c>
      <c r="H2412" t="s">
        <v>52</v>
      </c>
    </row>
    <row r="2413" spans="1:8" x14ac:dyDescent="0.2">
      <c r="A2413" t="s">
        <v>983</v>
      </c>
      <c r="B2413" t="s">
        <v>955</v>
      </c>
      <c r="C2413" t="s">
        <v>18</v>
      </c>
      <c r="D2413">
        <v>2</v>
      </c>
      <c r="E2413" t="s">
        <v>17</v>
      </c>
      <c r="F2413" t="s">
        <v>380</v>
      </c>
      <c r="G2413" t="s">
        <v>608</v>
      </c>
      <c r="H2413" t="s">
        <v>52</v>
      </c>
    </row>
    <row r="2414" spans="1:8" x14ac:dyDescent="0.2">
      <c r="A2414" t="s">
        <v>984</v>
      </c>
      <c r="B2414" t="s">
        <v>955</v>
      </c>
      <c r="C2414" t="s">
        <v>19</v>
      </c>
      <c r="D2414">
        <v>2</v>
      </c>
      <c r="E2414" t="s">
        <v>17</v>
      </c>
      <c r="F2414" t="s">
        <v>380</v>
      </c>
      <c r="G2414" t="s">
        <v>608</v>
      </c>
      <c r="H2414" t="s">
        <v>52</v>
      </c>
    </row>
    <row r="2415" spans="1:8" x14ac:dyDescent="0.2">
      <c r="A2415" t="s">
        <v>985</v>
      </c>
      <c r="B2415" t="s">
        <v>955</v>
      </c>
      <c r="C2415" t="s">
        <v>16</v>
      </c>
      <c r="D2415">
        <v>4</v>
      </c>
      <c r="E2415" t="s">
        <v>17</v>
      </c>
      <c r="F2415" t="s">
        <v>380</v>
      </c>
      <c r="G2415" t="s">
        <v>3212</v>
      </c>
      <c r="H2415" t="s">
        <v>52</v>
      </c>
    </row>
    <row r="2416" spans="1:8" x14ac:dyDescent="0.2">
      <c r="A2416" t="s">
        <v>986</v>
      </c>
      <c r="B2416" t="s">
        <v>961</v>
      </c>
      <c r="C2416" t="s">
        <v>18</v>
      </c>
      <c r="D2416">
        <v>2</v>
      </c>
      <c r="E2416" t="s">
        <v>17</v>
      </c>
      <c r="F2416" t="s">
        <v>380</v>
      </c>
      <c r="G2416" t="s">
        <v>608</v>
      </c>
      <c r="H2416" t="s">
        <v>52</v>
      </c>
    </row>
    <row r="2417" spans="1:8" x14ac:dyDescent="0.2">
      <c r="A2417" t="s">
        <v>987</v>
      </c>
      <c r="B2417" t="s">
        <v>961</v>
      </c>
      <c r="C2417" t="s">
        <v>18</v>
      </c>
      <c r="D2417">
        <v>2</v>
      </c>
      <c r="E2417" t="s">
        <v>17</v>
      </c>
      <c r="F2417" t="s">
        <v>380</v>
      </c>
      <c r="G2417" t="s">
        <v>608</v>
      </c>
      <c r="H2417" t="s">
        <v>52</v>
      </c>
    </row>
    <row r="2418" spans="1:8" x14ac:dyDescent="0.2">
      <c r="A2418" t="s">
        <v>988</v>
      </c>
      <c r="B2418" t="s">
        <v>961</v>
      </c>
      <c r="C2418" t="s">
        <v>19</v>
      </c>
      <c r="D2418">
        <v>2</v>
      </c>
      <c r="E2418" t="s">
        <v>17</v>
      </c>
      <c r="F2418" t="s">
        <v>380</v>
      </c>
      <c r="G2418" t="s">
        <v>608</v>
      </c>
      <c r="H2418" t="s">
        <v>52</v>
      </c>
    </row>
    <row r="2419" spans="1:8" x14ac:dyDescent="0.2">
      <c r="A2419" t="s">
        <v>989</v>
      </c>
      <c r="B2419" t="s">
        <v>961</v>
      </c>
      <c r="C2419" t="s">
        <v>19</v>
      </c>
      <c r="D2419">
        <v>2</v>
      </c>
      <c r="E2419" t="s">
        <v>17</v>
      </c>
      <c r="F2419" t="s">
        <v>380</v>
      </c>
      <c r="G2419" t="s">
        <v>608</v>
      </c>
      <c r="H2419" t="s">
        <v>52</v>
      </c>
    </row>
    <row r="2420" spans="1:8" x14ac:dyDescent="0.2">
      <c r="A2420" t="s">
        <v>990</v>
      </c>
      <c r="B2420" t="s">
        <v>961</v>
      </c>
      <c r="C2420" t="s">
        <v>19</v>
      </c>
      <c r="D2420">
        <v>2</v>
      </c>
      <c r="E2420" t="s">
        <v>21</v>
      </c>
      <c r="F2420" t="s">
        <v>380</v>
      </c>
      <c r="G2420" t="s">
        <v>608</v>
      </c>
      <c r="H2420" t="s">
        <v>52</v>
      </c>
    </row>
    <row r="2421" spans="1:8" x14ac:dyDescent="0.2">
      <c r="A2421" t="s">
        <v>991</v>
      </c>
      <c r="B2421" t="s">
        <v>961</v>
      </c>
      <c r="C2421" t="s">
        <v>19</v>
      </c>
      <c r="D2421">
        <v>2</v>
      </c>
      <c r="E2421" t="s">
        <v>17</v>
      </c>
      <c r="F2421" t="s">
        <v>380</v>
      </c>
      <c r="G2421" t="s">
        <v>608</v>
      </c>
      <c r="H2421" t="s">
        <v>52</v>
      </c>
    </row>
    <row r="2422" spans="1:8" x14ac:dyDescent="0.2">
      <c r="A2422" t="s">
        <v>992</v>
      </c>
      <c r="B2422" t="s">
        <v>961</v>
      </c>
      <c r="C2422" t="s">
        <v>19</v>
      </c>
      <c r="D2422">
        <v>2</v>
      </c>
      <c r="E2422" t="s">
        <v>17</v>
      </c>
      <c r="F2422" t="s">
        <v>380</v>
      </c>
      <c r="G2422" t="s">
        <v>608</v>
      </c>
      <c r="H2422" t="s">
        <v>52</v>
      </c>
    </row>
    <row r="2423" spans="1:8" x14ac:dyDescent="0.2">
      <c r="A2423" t="s">
        <v>993</v>
      </c>
      <c r="B2423" t="s">
        <v>961</v>
      </c>
      <c r="C2423" t="s">
        <v>19</v>
      </c>
      <c r="D2423">
        <v>3</v>
      </c>
      <c r="E2423" t="s">
        <v>17</v>
      </c>
      <c r="F2423" t="s">
        <v>380</v>
      </c>
      <c r="G2423" t="s">
        <v>608</v>
      </c>
      <c r="H2423" t="s">
        <v>52</v>
      </c>
    </row>
    <row r="2424" spans="1:8" x14ac:dyDescent="0.2">
      <c r="A2424" t="s">
        <v>994</v>
      </c>
      <c r="B2424" t="s">
        <v>961</v>
      </c>
      <c r="C2424" t="s">
        <v>16</v>
      </c>
      <c r="D2424">
        <v>4</v>
      </c>
      <c r="E2424" t="s">
        <v>17</v>
      </c>
      <c r="F2424" t="s">
        <v>380</v>
      </c>
      <c r="G2424" t="s">
        <v>3213</v>
      </c>
      <c r="H2424" t="s">
        <v>52</v>
      </c>
    </row>
    <row r="2425" spans="1:8" x14ac:dyDescent="0.2">
      <c r="A2425" t="s">
        <v>995</v>
      </c>
      <c r="B2425" t="s">
        <v>961</v>
      </c>
      <c r="C2425" t="s">
        <v>16</v>
      </c>
      <c r="D2425">
        <v>4</v>
      </c>
      <c r="E2425" t="s">
        <v>17</v>
      </c>
      <c r="F2425" t="s">
        <v>380</v>
      </c>
      <c r="G2425" t="s">
        <v>3213</v>
      </c>
      <c r="H2425" t="s">
        <v>52</v>
      </c>
    </row>
    <row r="2426" spans="1:8" x14ac:dyDescent="0.2">
      <c r="A2426" t="s">
        <v>1033</v>
      </c>
      <c r="B2426" t="s">
        <v>1034</v>
      </c>
      <c r="C2426" t="s">
        <v>18</v>
      </c>
      <c r="D2426">
        <v>2</v>
      </c>
      <c r="E2426" t="s">
        <v>17</v>
      </c>
      <c r="F2426" t="s">
        <v>380</v>
      </c>
      <c r="G2426" t="s">
        <v>608</v>
      </c>
      <c r="H2426" t="s">
        <v>52</v>
      </c>
    </row>
    <row r="2427" spans="1:8" x14ac:dyDescent="0.2">
      <c r="A2427" t="s">
        <v>1035</v>
      </c>
      <c r="B2427" t="s">
        <v>1034</v>
      </c>
      <c r="C2427" t="s">
        <v>18</v>
      </c>
      <c r="D2427">
        <v>2</v>
      </c>
      <c r="E2427" t="s">
        <v>21</v>
      </c>
      <c r="F2427" t="s">
        <v>380</v>
      </c>
      <c r="G2427" t="s">
        <v>608</v>
      </c>
      <c r="H2427" t="s">
        <v>52</v>
      </c>
    </row>
    <row r="2428" spans="1:8" x14ac:dyDescent="0.2">
      <c r="A2428" t="s">
        <v>1036</v>
      </c>
      <c r="B2428" t="s">
        <v>1034</v>
      </c>
      <c r="C2428" t="s">
        <v>19</v>
      </c>
      <c r="D2428">
        <v>2</v>
      </c>
      <c r="E2428" t="s">
        <v>17</v>
      </c>
      <c r="F2428" t="s">
        <v>380</v>
      </c>
      <c r="G2428" t="s">
        <v>608</v>
      </c>
      <c r="H2428" t="s">
        <v>52</v>
      </c>
    </row>
    <row r="2429" spans="1:8" x14ac:dyDescent="0.2">
      <c r="A2429" t="s">
        <v>1037</v>
      </c>
      <c r="B2429" t="s">
        <v>1034</v>
      </c>
      <c r="C2429" t="s">
        <v>18</v>
      </c>
      <c r="D2429">
        <v>2</v>
      </c>
      <c r="E2429" t="s">
        <v>21</v>
      </c>
      <c r="F2429" t="s">
        <v>380</v>
      </c>
      <c r="G2429" t="s">
        <v>608</v>
      </c>
      <c r="H2429" t="s">
        <v>52</v>
      </c>
    </row>
    <row r="2430" spans="1:8" x14ac:dyDescent="0.2">
      <c r="A2430" t="s">
        <v>1038</v>
      </c>
      <c r="B2430" t="s">
        <v>1034</v>
      </c>
      <c r="C2430" t="s">
        <v>18</v>
      </c>
      <c r="D2430">
        <v>2</v>
      </c>
      <c r="E2430" t="s">
        <v>17</v>
      </c>
      <c r="F2430" t="s">
        <v>380</v>
      </c>
      <c r="G2430" t="s">
        <v>608</v>
      </c>
      <c r="H2430" t="s">
        <v>52</v>
      </c>
    </row>
    <row r="2431" spans="1:8" x14ac:dyDescent="0.2">
      <c r="A2431" t="s">
        <v>1039</v>
      </c>
      <c r="B2431" t="s">
        <v>1040</v>
      </c>
      <c r="C2431" t="s">
        <v>18</v>
      </c>
      <c r="D2431">
        <v>2</v>
      </c>
      <c r="E2431" t="s">
        <v>17</v>
      </c>
      <c r="F2431" t="s">
        <v>380</v>
      </c>
      <c r="G2431" t="s">
        <v>608</v>
      </c>
      <c r="H2431" t="s">
        <v>52</v>
      </c>
    </row>
    <row r="2432" spans="1:8" x14ac:dyDescent="0.2">
      <c r="A2432" t="s">
        <v>1041</v>
      </c>
      <c r="B2432" t="s">
        <v>1040</v>
      </c>
      <c r="C2432" t="s">
        <v>18</v>
      </c>
      <c r="D2432">
        <v>2</v>
      </c>
      <c r="E2432" t="s">
        <v>17</v>
      </c>
      <c r="F2432" t="s">
        <v>380</v>
      </c>
      <c r="G2432" t="s">
        <v>608</v>
      </c>
      <c r="H2432" t="s">
        <v>52</v>
      </c>
    </row>
    <row r="2433" spans="1:8" x14ac:dyDescent="0.2">
      <c r="A2433" t="s">
        <v>1042</v>
      </c>
      <c r="B2433" t="s">
        <v>1040</v>
      </c>
      <c r="C2433" t="s">
        <v>19</v>
      </c>
      <c r="D2433">
        <v>2</v>
      </c>
      <c r="E2433" t="s">
        <v>17</v>
      </c>
      <c r="F2433" t="s">
        <v>380</v>
      </c>
      <c r="G2433" t="s">
        <v>608</v>
      </c>
      <c r="H2433" t="s">
        <v>52</v>
      </c>
    </row>
    <row r="2434" spans="1:8" x14ac:dyDescent="0.2">
      <c r="A2434" t="s">
        <v>1044</v>
      </c>
      <c r="B2434" t="s">
        <v>1040</v>
      </c>
      <c r="C2434" t="s">
        <v>18</v>
      </c>
      <c r="D2434">
        <v>2</v>
      </c>
      <c r="E2434" t="s">
        <v>21</v>
      </c>
      <c r="F2434" t="s">
        <v>380</v>
      </c>
      <c r="G2434" t="s">
        <v>608</v>
      </c>
      <c r="H2434" t="s">
        <v>52</v>
      </c>
    </row>
    <row r="2435" spans="1:8" x14ac:dyDescent="0.2">
      <c r="A2435" t="s">
        <v>1045</v>
      </c>
      <c r="B2435" t="s">
        <v>1040</v>
      </c>
      <c r="C2435" t="s">
        <v>18</v>
      </c>
      <c r="D2435">
        <v>2</v>
      </c>
      <c r="E2435" t="s">
        <v>17</v>
      </c>
      <c r="F2435" t="s">
        <v>380</v>
      </c>
      <c r="G2435" t="s">
        <v>608</v>
      </c>
      <c r="H2435" t="s">
        <v>52</v>
      </c>
    </row>
    <row r="2436" spans="1:8" x14ac:dyDescent="0.2">
      <c r="A2436" t="s">
        <v>1046</v>
      </c>
      <c r="B2436" t="s">
        <v>1047</v>
      </c>
      <c r="C2436" t="s">
        <v>18</v>
      </c>
      <c r="D2436">
        <v>2</v>
      </c>
      <c r="E2436" t="s">
        <v>17</v>
      </c>
      <c r="F2436" t="s">
        <v>380</v>
      </c>
      <c r="G2436" t="s">
        <v>608</v>
      </c>
      <c r="H2436" t="s">
        <v>52</v>
      </c>
    </row>
    <row r="2437" spans="1:8" x14ac:dyDescent="0.2">
      <c r="A2437" t="s">
        <v>1048</v>
      </c>
      <c r="B2437" t="s">
        <v>1047</v>
      </c>
      <c r="C2437" t="s">
        <v>19</v>
      </c>
      <c r="D2437">
        <v>2</v>
      </c>
      <c r="E2437" t="s">
        <v>17</v>
      </c>
      <c r="F2437" t="s">
        <v>380</v>
      </c>
      <c r="G2437" t="s">
        <v>608</v>
      </c>
      <c r="H2437" t="s">
        <v>52</v>
      </c>
    </row>
    <row r="2438" spans="1:8" x14ac:dyDescent="0.2">
      <c r="A2438" t="s">
        <v>1049</v>
      </c>
      <c r="B2438" t="s">
        <v>1047</v>
      </c>
      <c r="C2438" t="s">
        <v>18</v>
      </c>
      <c r="D2438">
        <v>2</v>
      </c>
      <c r="E2438" t="s">
        <v>17</v>
      </c>
      <c r="F2438" t="s">
        <v>380</v>
      </c>
      <c r="G2438" t="s">
        <v>608</v>
      </c>
      <c r="H2438" t="s">
        <v>52</v>
      </c>
    </row>
    <row r="2439" spans="1:8" x14ac:dyDescent="0.2">
      <c r="A2439" t="s">
        <v>1050</v>
      </c>
      <c r="B2439" t="s">
        <v>1047</v>
      </c>
      <c r="C2439" t="s">
        <v>19</v>
      </c>
      <c r="D2439">
        <v>2</v>
      </c>
      <c r="E2439" t="s">
        <v>17</v>
      </c>
      <c r="F2439" t="s">
        <v>380</v>
      </c>
      <c r="G2439" t="s">
        <v>608</v>
      </c>
      <c r="H2439" t="s">
        <v>52</v>
      </c>
    </row>
    <row r="2440" spans="1:8" x14ac:dyDescent="0.2">
      <c r="A2440" t="s">
        <v>1051</v>
      </c>
      <c r="B2440" t="s">
        <v>1047</v>
      </c>
      <c r="C2440" t="s">
        <v>19</v>
      </c>
      <c r="D2440">
        <v>2</v>
      </c>
      <c r="E2440" t="s">
        <v>17</v>
      </c>
      <c r="F2440" t="s">
        <v>380</v>
      </c>
      <c r="G2440" t="s">
        <v>608</v>
      </c>
      <c r="H2440" t="s">
        <v>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D4D4D-9261-4DD9-8015-2366E8E71CDC}">
  <dimension ref="A1:S12"/>
  <sheetViews>
    <sheetView workbookViewId="0"/>
  </sheetViews>
  <sheetFormatPr defaultRowHeight="12.75" x14ac:dyDescent="0.2"/>
  <cols>
    <col min="1" max="1" width="16.85546875" customWidth="1"/>
    <col min="2" max="2" width="16" customWidth="1"/>
    <col min="6" max="6" width="10.42578125" bestFit="1" customWidth="1"/>
  </cols>
  <sheetData>
    <row r="1" spans="1:19" x14ac:dyDescent="0.2">
      <c r="A1" t="s">
        <v>444</v>
      </c>
      <c r="B1" t="s">
        <v>443</v>
      </c>
      <c r="C1" t="s">
        <v>2</v>
      </c>
      <c r="F1" s="20" t="s">
        <v>445</v>
      </c>
    </row>
    <row r="2" spans="1:19" x14ac:dyDescent="0.2">
      <c r="A2" t="s">
        <v>448</v>
      </c>
      <c r="B2">
        <v>1</v>
      </c>
      <c r="C2" t="s">
        <v>15</v>
      </c>
      <c r="F2" s="18" t="s">
        <v>446</v>
      </c>
      <c r="G2" s="19" t="s">
        <v>456</v>
      </c>
    </row>
    <row r="3" spans="1:19" x14ac:dyDescent="0.2">
      <c r="A3" s="22" t="s">
        <v>449</v>
      </c>
      <c r="B3">
        <v>2</v>
      </c>
      <c r="C3" t="s">
        <v>15</v>
      </c>
      <c r="F3" s="18" t="s">
        <v>4</v>
      </c>
      <c r="G3" s="18" t="s">
        <v>2</v>
      </c>
      <c r="H3" s="18" t="s">
        <v>0</v>
      </c>
      <c r="I3" s="18" t="s">
        <v>3</v>
      </c>
      <c r="J3" s="18" t="s">
        <v>1</v>
      </c>
      <c r="K3" s="18" t="s">
        <v>6</v>
      </c>
      <c r="L3" s="18" t="s">
        <v>12</v>
      </c>
      <c r="M3" s="18" t="s">
        <v>13</v>
      </c>
      <c r="N3" s="18" t="s">
        <v>7</v>
      </c>
      <c r="O3" s="18" t="s">
        <v>8</v>
      </c>
      <c r="P3" s="18" t="s">
        <v>10</v>
      </c>
      <c r="Q3" s="18" t="s">
        <v>11</v>
      </c>
      <c r="R3" s="18" t="s">
        <v>9</v>
      </c>
    </row>
    <row r="4" spans="1:19" x14ac:dyDescent="0.2">
      <c r="A4" s="22" t="s">
        <v>450</v>
      </c>
      <c r="B4">
        <v>3</v>
      </c>
      <c r="C4" t="s">
        <v>15</v>
      </c>
      <c r="F4" s="22" t="s">
        <v>457</v>
      </c>
      <c r="G4" s="23" t="s">
        <v>458</v>
      </c>
      <c r="H4" s="23" t="s">
        <v>459</v>
      </c>
      <c r="I4" s="23" t="s">
        <v>460</v>
      </c>
      <c r="J4" s="23" t="s">
        <v>461</v>
      </c>
      <c r="K4" s="23" t="s">
        <v>462</v>
      </c>
      <c r="L4" s="23" t="s">
        <v>463</v>
      </c>
      <c r="M4" t="s">
        <v>16</v>
      </c>
      <c r="N4" t="s">
        <v>16</v>
      </c>
      <c r="O4" t="s">
        <v>16</v>
      </c>
      <c r="P4" s="23" t="s">
        <v>464</v>
      </c>
      <c r="Q4" t="s">
        <v>17</v>
      </c>
      <c r="R4" s="23" t="s">
        <v>465</v>
      </c>
    </row>
    <row r="5" spans="1:19" x14ac:dyDescent="0.2">
      <c r="A5" s="22" t="s">
        <v>451</v>
      </c>
      <c r="B5">
        <v>1</v>
      </c>
      <c r="C5" t="s">
        <v>22</v>
      </c>
      <c r="J5" s="23" t="s">
        <v>447</v>
      </c>
    </row>
    <row r="6" spans="1:19" x14ac:dyDescent="0.2">
      <c r="A6" s="22" t="s">
        <v>452</v>
      </c>
      <c r="B6">
        <v>1</v>
      </c>
      <c r="C6" t="s">
        <v>22</v>
      </c>
      <c r="F6" s="18" t="s">
        <v>466</v>
      </c>
      <c r="G6" s="19" t="s">
        <v>470</v>
      </c>
    </row>
    <row r="7" spans="1:19" x14ac:dyDescent="0.2">
      <c r="A7" s="22" t="s">
        <v>453</v>
      </c>
      <c r="B7">
        <v>2</v>
      </c>
      <c r="C7" t="s">
        <v>22</v>
      </c>
      <c r="F7" s="2" t="s">
        <v>4</v>
      </c>
      <c r="G7" s="2" t="s">
        <v>2</v>
      </c>
      <c r="H7" s="2" t="s">
        <v>36</v>
      </c>
      <c r="I7" s="2" t="s">
        <v>37</v>
      </c>
      <c r="J7" s="2" t="s">
        <v>38</v>
      </c>
      <c r="K7" s="2" t="s">
        <v>27</v>
      </c>
      <c r="L7" s="2" t="s">
        <v>28</v>
      </c>
      <c r="M7" s="2" t="s">
        <v>29</v>
      </c>
      <c r="N7" s="2" t="s">
        <v>30</v>
      </c>
      <c r="O7" s="2" t="s">
        <v>31</v>
      </c>
      <c r="P7" s="2" t="s">
        <v>32</v>
      </c>
      <c r="Q7" s="2" t="s">
        <v>33</v>
      </c>
      <c r="R7" s="2" t="s">
        <v>34</v>
      </c>
      <c r="S7" s="2" t="s">
        <v>35</v>
      </c>
    </row>
    <row r="8" spans="1:19" x14ac:dyDescent="0.2">
      <c r="A8" s="22" t="s">
        <v>454</v>
      </c>
      <c r="B8">
        <v>3</v>
      </c>
      <c r="C8" t="s">
        <v>22</v>
      </c>
      <c r="F8" s="22" t="s">
        <v>467</v>
      </c>
      <c r="G8" s="22" t="s">
        <v>468</v>
      </c>
      <c r="H8" s="22" t="s">
        <v>469</v>
      </c>
      <c r="I8" s="22" t="s">
        <v>471</v>
      </c>
      <c r="J8" s="22" t="s">
        <v>472</v>
      </c>
      <c r="K8" s="22" t="s">
        <v>473</v>
      </c>
      <c r="L8" s="22" t="s">
        <v>474</v>
      </c>
      <c r="M8" s="22" t="s">
        <v>475</v>
      </c>
      <c r="N8" s="22" t="s">
        <v>476</v>
      </c>
      <c r="O8" s="22" t="s">
        <v>477</v>
      </c>
      <c r="P8" s="22" t="s">
        <v>478</v>
      </c>
      <c r="Q8" s="19" t="s">
        <v>16</v>
      </c>
      <c r="R8" s="22" t="s">
        <v>479</v>
      </c>
      <c r="S8" s="22" t="s">
        <v>480</v>
      </c>
    </row>
    <row r="9" spans="1:19" x14ac:dyDescent="0.2">
      <c r="A9" s="22" t="s">
        <v>455</v>
      </c>
      <c r="B9">
        <v>3</v>
      </c>
      <c r="C9" t="s">
        <v>22</v>
      </c>
    </row>
    <row r="10" spans="1:19" x14ac:dyDescent="0.2">
      <c r="F10" s="20" t="s">
        <v>4</v>
      </c>
      <c r="G10" s="20" t="s">
        <v>1052</v>
      </c>
    </row>
    <row r="11" spans="1:19" x14ac:dyDescent="0.2">
      <c r="F11" s="16">
        <v>45945</v>
      </c>
      <c r="G11" s="19" t="s">
        <v>1053</v>
      </c>
    </row>
    <row r="12" spans="1:19" x14ac:dyDescent="0.2">
      <c r="F12" s="16">
        <v>46055</v>
      </c>
      <c r="G12" s="19" t="s">
        <v>3526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2020-2024 LX WQ</vt:lpstr>
      <vt:lpstr>ReproMSX</vt:lpstr>
      <vt:lpstr>Database_WQ</vt:lpstr>
      <vt:lpstr>Database_dermo</vt:lpstr>
      <vt:lpstr>Database_repro</vt:lpstr>
      <vt:lpstr>Notes</vt:lpstr>
      <vt:lpstr>ReproMSX!Print_Titles</vt:lpstr>
    </vt:vector>
  </TitlesOfParts>
  <Company>Fla Marine Research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Peters_S</dc:creator>
  <cp:lastModifiedBy>Williams, Erica</cp:lastModifiedBy>
  <cp:lastPrinted>2010-07-22T16:22:25Z</cp:lastPrinted>
  <dcterms:created xsi:type="dcterms:W3CDTF">2005-01-26T18:00:35Z</dcterms:created>
  <dcterms:modified xsi:type="dcterms:W3CDTF">2026-03-03T16:02:11Z</dcterms:modified>
</cp:coreProperties>
</file>