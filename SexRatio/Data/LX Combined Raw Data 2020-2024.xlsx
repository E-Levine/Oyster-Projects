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SexRatio\Data\"/>
    </mc:Choice>
  </mc:AlternateContent>
  <xr:revisionPtr revIDLastSave="0" documentId="13_ncr:1_{50603391-B99B-4CB0-96FF-A6063826E8AD}" xr6:coauthVersionLast="47" xr6:coauthVersionMax="47" xr10:uidLastSave="{00000000-0000-0000-0000-000000000000}"/>
  <bookViews>
    <workbookView xWindow="-108" yWindow="-108" windowWidth="23256" windowHeight="12456" xr2:uid="{8420B65A-F21E-4B43-B576-EB254974B232}"/>
  </bookViews>
  <sheets>
    <sheet name="ReproMSX" sheetId="3" r:id="rId1"/>
    <sheet name="2020-2024 LX WQ" sheetId="4" r:id="rId2"/>
    <sheet name="Database_dermo" sheetId="5" r:id="rId3"/>
    <sheet name="Database_repro" sheetId="6" r:id="rId4"/>
    <sheet name="Database_WQ" sheetId="7" r:id="rId5"/>
    <sheet name="Notes" sheetId="8" r:id="rId6"/>
  </sheets>
  <definedNames>
    <definedName name="_xlnm._FilterDatabase" localSheetId="1" hidden="1">'2020-2024 LX WQ'!$A$1:$O$980</definedName>
    <definedName name="FixedLocations">#REF!</definedName>
    <definedName name="_xlnm.Print_Area" localSheetId="0">ReproMSX!#REF!</definedName>
    <definedName name="_xlnm.Print_Titles" localSheetId="0">ReproMSX!$1:$4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26" i="3" l="1"/>
  <c r="D1628" i="3"/>
  <c r="D1507" i="3"/>
  <c r="N315" i="4"/>
  <c r="N316" i="4"/>
  <c r="M316" i="4"/>
  <c r="K315" i="4"/>
  <c r="J315" i="4"/>
  <c r="I315" i="4"/>
  <c r="H315" i="4"/>
  <c r="G315" i="4"/>
  <c r="F315" i="4"/>
  <c r="E315" i="4"/>
  <c r="D315" i="4"/>
  <c r="C316" i="4"/>
  <c r="B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C315" i="4"/>
  <c r="B315" i="4"/>
  <c r="M1520" i="3"/>
  <c r="K1521" i="3"/>
  <c r="G1520" i="3"/>
  <c r="F1520" i="3"/>
  <c r="E1520" i="3"/>
  <c r="D1520" i="3"/>
  <c r="C1520" i="3"/>
  <c r="B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B1521" i="3"/>
  <c r="C1521" i="3"/>
  <c r="D1521" i="3"/>
  <c r="E1521" i="3"/>
  <c r="F1521" i="3"/>
  <c r="G1521" i="3"/>
  <c r="B1522" i="3"/>
  <c r="C1522" i="3"/>
  <c r="D1522" i="3"/>
  <c r="E1522" i="3"/>
  <c r="F1522" i="3"/>
  <c r="G1522" i="3"/>
  <c r="B1523" i="3"/>
  <c r="C1523" i="3"/>
  <c r="D1523" i="3"/>
  <c r="E1523" i="3"/>
  <c r="F1523" i="3"/>
  <c r="G1523" i="3"/>
  <c r="B1524" i="3"/>
  <c r="C1524" i="3"/>
  <c r="D1524" i="3"/>
  <c r="E1524" i="3"/>
  <c r="F1524" i="3"/>
  <c r="G1524" i="3"/>
  <c r="B1525" i="3"/>
  <c r="C1525" i="3"/>
  <c r="D1525" i="3"/>
  <c r="E1525" i="3"/>
  <c r="F1525" i="3"/>
  <c r="G1525" i="3"/>
  <c r="B1526" i="3"/>
  <c r="C1526" i="3"/>
  <c r="D1526" i="3"/>
  <c r="E1526" i="3"/>
  <c r="F1526" i="3"/>
  <c r="G1526" i="3"/>
  <c r="B1527" i="3"/>
  <c r="C1527" i="3"/>
  <c r="D1527" i="3"/>
  <c r="E1527" i="3"/>
  <c r="F1527" i="3"/>
  <c r="G1527" i="3"/>
  <c r="B1528" i="3"/>
  <c r="C1528" i="3"/>
  <c r="D1528" i="3"/>
  <c r="E1528" i="3"/>
  <c r="F1528" i="3"/>
  <c r="G1528" i="3"/>
  <c r="B1529" i="3"/>
  <c r="C1529" i="3"/>
  <c r="D1529" i="3"/>
  <c r="E1529" i="3"/>
  <c r="F1529" i="3"/>
  <c r="G1529" i="3"/>
  <c r="B1530" i="3"/>
  <c r="C1530" i="3"/>
  <c r="D1530" i="3"/>
  <c r="E1530" i="3"/>
  <c r="F1530" i="3"/>
  <c r="G1530" i="3"/>
  <c r="B1531" i="3"/>
  <c r="C1531" i="3"/>
  <c r="D1531" i="3"/>
  <c r="E1531" i="3"/>
  <c r="F1531" i="3"/>
  <c r="G1531" i="3"/>
  <c r="B1532" i="3"/>
  <c r="C1532" i="3"/>
  <c r="D1532" i="3"/>
  <c r="E1532" i="3"/>
  <c r="F1532" i="3"/>
  <c r="G1532" i="3"/>
  <c r="B1533" i="3"/>
  <c r="C1533" i="3"/>
  <c r="D1533" i="3"/>
  <c r="E1533" i="3"/>
  <c r="F1533" i="3"/>
  <c r="G1533" i="3"/>
  <c r="B1534" i="3"/>
  <c r="C1534" i="3"/>
  <c r="D1534" i="3"/>
  <c r="E1534" i="3"/>
  <c r="F1534" i="3"/>
  <c r="G1534" i="3"/>
  <c r="B1535" i="3"/>
  <c r="C1535" i="3"/>
  <c r="D1535" i="3"/>
  <c r="E1535" i="3"/>
  <c r="F1535" i="3"/>
  <c r="G1535" i="3"/>
  <c r="B1536" i="3"/>
  <c r="C1536" i="3"/>
  <c r="D1536" i="3"/>
  <c r="E1536" i="3"/>
  <c r="F1536" i="3"/>
  <c r="G1536" i="3"/>
  <c r="B1537" i="3"/>
  <c r="C1537" i="3"/>
  <c r="D1537" i="3"/>
  <c r="E1537" i="3"/>
  <c r="F1537" i="3"/>
  <c r="G1537" i="3"/>
  <c r="B1538" i="3"/>
  <c r="C1538" i="3"/>
  <c r="D1538" i="3"/>
  <c r="E1538" i="3"/>
  <c r="F1538" i="3"/>
  <c r="G1538" i="3"/>
  <c r="B1539" i="3"/>
  <c r="C1539" i="3"/>
  <c r="D1539" i="3"/>
  <c r="E1539" i="3"/>
  <c r="F1539" i="3"/>
  <c r="G1539" i="3"/>
  <c r="B1540" i="3"/>
  <c r="C1540" i="3"/>
  <c r="D1540" i="3"/>
  <c r="E1540" i="3"/>
  <c r="F1540" i="3"/>
  <c r="G1540" i="3"/>
  <c r="B1541" i="3"/>
  <c r="C1541" i="3"/>
  <c r="D1541" i="3"/>
  <c r="E1541" i="3"/>
  <c r="F1541" i="3"/>
  <c r="G1541" i="3"/>
  <c r="B1542" i="3"/>
  <c r="C1542" i="3"/>
  <c r="D1542" i="3"/>
  <c r="E1542" i="3"/>
  <c r="F1542" i="3"/>
  <c r="G1542" i="3"/>
  <c r="B1543" i="3"/>
  <c r="C1543" i="3"/>
  <c r="D1543" i="3"/>
  <c r="E1543" i="3"/>
  <c r="F1543" i="3"/>
  <c r="G1543" i="3"/>
  <c r="B1544" i="3"/>
  <c r="C1544" i="3"/>
  <c r="D1544" i="3"/>
  <c r="E1544" i="3"/>
  <c r="F1544" i="3"/>
  <c r="G1544" i="3"/>
  <c r="B1545" i="3"/>
  <c r="C1545" i="3"/>
  <c r="D1545" i="3"/>
  <c r="E1545" i="3"/>
  <c r="F1545" i="3"/>
  <c r="G1545" i="3"/>
  <c r="B1546" i="3"/>
  <c r="C1546" i="3"/>
  <c r="D1546" i="3"/>
  <c r="E1546" i="3"/>
  <c r="F1546" i="3"/>
  <c r="G1546" i="3"/>
  <c r="B1547" i="3"/>
  <c r="C1547" i="3"/>
  <c r="D1547" i="3"/>
  <c r="E1547" i="3"/>
  <c r="F1547" i="3"/>
  <c r="G1547" i="3"/>
  <c r="B1548" i="3"/>
  <c r="C1548" i="3"/>
  <c r="D1548" i="3"/>
  <c r="E1548" i="3"/>
  <c r="F1548" i="3"/>
  <c r="G1548" i="3"/>
  <c r="B1549" i="3"/>
  <c r="C1549" i="3"/>
  <c r="D1549" i="3"/>
  <c r="E1549" i="3"/>
  <c r="F1549" i="3"/>
  <c r="G1549" i="3"/>
  <c r="B1550" i="3"/>
  <c r="C1550" i="3"/>
  <c r="D1550" i="3"/>
  <c r="E1550" i="3"/>
  <c r="F1550" i="3"/>
  <c r="G1550" i="3"/>
  <c r="B1551" i="3"/>
  <c r="C1551" i="3"/>
  <c r="D1551" i="3"/>
  <c r="E1551" i="3"/>
  <c r="F1551" i="3"/>
  <c r="G1551" i="3"/>
  <c r="B1552" i="3"/>
  <c r="C1552" i="3"/>
  <c r="D1552" i="3"/>
  <c r="E1552" i="3"/>
  <c r="F1552" i="3"/>
  <c r="G1552" i="3"/>
  <c r="B1553" i="3"/>
  <c r="C1553" i="3"/>
  <c r="D1553" i="3"/>
  <c r="E1553" i="3"/>
  <c r="F1553" i="3"/>
  <c r="G1553" i="3"/>
  <c r="B1554" i="3"/>
  <c r="C1554" i="3"/>
  <c r="D1554" i="3"/>
  <c r="E1554" i="3"/>
  <c r="F1554" i="3"/>
  <c r="G1554" i="3"/>
  <c r="B1555" i="3"/>
  <c r="C1555" i="3"/>
  <c r="D1555" i="3"/>
  <c r="E1555" i="3"/>
  <c r="F1555" i="3"/>
  <c r="G1555" i="3"/>
  <c r="B1556" i="3"/>
  <c r="C1556" i="3"/>
  <c r="D1556" i="3"/>
  <c r="E1556" i="3"/>
  <c r="F1556" i="3"/>
  <c r="G1556" i="3"/>
  <c r="B1557" i="3"/>
  <c r="C1557" i="3"/>
  <c r="D1557" i="3"/>
  <c r="E1557" i="3"/>
  <c r="F1557" i="3"/>
  <c r="G1557" i="3"/>
  <c r="B1558" i="3"/>
  <c r="C1558" i="3"/>
  <c r="D1558" i="3"/>
  <c r="E1558" i="3"/>
  <c r="F1558" i="3"/>
  <c r="G1558" i="3"/>
  <c r="B1559" i="3"/>
  <c r="C1559" i="3"/>
  <c r="D1559" i="3"/>
  <c r="E1559" i="3"/>
  <c r="F1559" i="3"/>
  <c r="G1559" i="3"/>
  <c r="B1560" i="3"/>
  <c r="C1560" i="3"/>
  <c r="D1560" i="3"/>
  <c r="E1560" i="3"/>
  <c r="F1560" i="3"/>
  <c r="G1560" i="3"/>
  <c r="B1561" i="3"/>
  <c r="C1561" i="3"/>
  <c r="D1561" i="3"/>
  <c r="E1561" i="3"/>
  <c r="F1561" i="3"/>
  <c r="G1561" i="3"/>
  <c r="B1562" i="3"/>
  <c r="C1562" i="3"/>
  <c r="D1562" i="3"/>
  <c r="E1562" i="3"/>
  <c r="F1562" i="3"/>
  <c r="G1562" i="3"/>
  <c r="B1563" i="3"/>
  <c r="C1563" i="3"/>
  <c r="D1563" i="3"/>
  <c r="E1563" i="3"/>
  <c r="F1563" i="3"/>
  <c r="G1563" i="3"/>
  <c r="B1564" i="3"/>
  <c r="C1564" i="3"/>
  <c r="D1564" i="3"/>
  <c r="E1564" i="3"/>
  <c r="F1564" i="3"/>
  <c r="G1564" i="3"/>
  <c r="B1565" i="3"/>
  <c r="C1565" i="3"/>
  <c r="D1565" i="3"/>
  <c r="E1565" i="3"/>
  <c r="F1565" i="3"/>
  <c r="G1565" i="3"/>
  <c r="B1566" i="3"/>
  <c r="C1566" i="3"/>
  <c r="D1566" i="3"/>
  <c r="E1566" i="3"/>
  <c r="F1566" i="3"/>
  <c r="G1566" i="3"/>
  <c r="B1567" i="3"/>
  <c r="C1567" i="3"/>
  <c r="D1567" i="3"/>
  <c r="E1567" i="3"/>
  <c r="F1567" i="3"/>
  <c r="G1567" i="3"/>
  <c r="B1568" i="3"/>
  <c r="C1568" i="3"/>
  <c r="D1568" i="3"/>
  <c r="E1568" i="3"/>
  <c r="F1568" i="3"/>
  <c r="G1568" i="3"/>
  <c r="B1569" i="3"/>
  <c r="C1569" i="3"/>
  <c r="D1569" i="3"/>
  <c r="E1569" i="3"/>
  <c r="F1569" i="3"/>
  <c r="G1569" i="3"/>
  <c r="B1570" i="3"/>
  <c r="C1570" i="3"/>
  <c r="D1570" i="3"/>
  <c r="E1570" i="3"/>
  <c r="F1570" i="3"/>
  <c r="G1570" i="3"/>
  <c r="B1571" i="3"/>
  <c r="C1571" i="3"/>
  <c r="D1571" i="3"/>
  <c r="E1571" i="3"/>
  <c r="F1571" i="3"/>
  <c r="G1571" i="3"/>
  <c r="B1572" i="3"/>
  <c r="C1572" i="3"/>
  <c r="D1572" i="3"/>
  <c r="E1572" i="3"/>
  <c r="F1572" i="3"/>
  <c r="G1572" i="3"/>
  <c r="B1573" i="3"/>
  <c r="C1573" i="3"/>
  <c r="D1573" i="3"/>
  <c r="E1573" i="3"/>
  <c r="F1573" i="3"/>
  <c r="G1573" i="3"/>
  <c r="B1574" i="3"/>
  <c r="C1574" i="3"/>
  <c r="D1574" i="3"/>
  <c r="E1574" i="3"/>
  <c r="F1574" i="3"/>
  <c r="G1574" i="3"/>
  <c r="B1575" i="3"/>
  <c r="C1575" i="3"/>
  <c r="D1575" i="3"/>
  <c r="E1575" i="3"/>
  <c r="F1575" i="3"/>
  <c r="G1575" i="3"/>
  <c r="B1576" i="3"/>
  <c r="C1576" i="3"/>
  <c r="D1576" i="3"/>
  <c r="E1576" i="3"/>
  <c r="F1576" i="3"/>
  <c r="G1576" i="3"/>
  <c r="B1577" i="3"/>
  <c r="C1577" i="3"/>
  <c r="D1577" i="3"/>
  <c r="E1577" i="3"/>
  <c r="F1577" i="3"/>
  <c r="G1577" i="3"/>
  <c r="B1578" i="3"/>
  <c r="C1578" i="3"/>
  <c r="D1578" i="3"/>
  <c r="E1578" i="3"/>
  <c r="F1578" i="3"/>
  <c r="G1578" i="3"/>
  <c r="B1579" i="3"/>
  <c r="C1579" i="3"/>
  <c r="D1579" i="3"/>
  <c r="E1579" i="3"/>
  <c r="F1579" i="3"/>
  <c r="G1579" i="3"/>
  <c r="B1580" i="3"/>
  <c r="C1580" i="3"/>
  <c r="D1580" i="3"/>
  <c r="E1580" i="3"/>
  <c r="F1580" i="3"/>
  <c r="G1580" i="3"/>
  <c r="B1581" i="3"/>
  <c r="C1581" i="3"/>
  <c r="D1581" i="3"/>
  <c r="E1581" i="3"/>
  <c r="F1581" i="3"/>
  <c r="G1581" i="3"/>
  <c r="B1582" i="3"/>
  <c r="C1582" i="3"/>
  <c r="D1582" i="3"/>
  <c r="E1582" i="3"/>
  <c r="F1582" i="3"/>
  <c r="G1582" i="3"/>
  <c r="B1583" i="3"/>
  <c r="C1583" i="3"/>
  <c r="D1583" i="3"/>
  <c r="E1583" i="3"/>
  <c r="F1583" i="3"/>
  <c r="G1583" i="3"/>
  <c r="B1584" i="3"/>
  <c r="C1584" i="3"/>
  <c r="D1584" i="3"/>
  <c r="E1584" i="3"/>
  <c r="F1584" i="3"/>
  <c r="G1584" i="3"/>
  <c r="B1585" i="3"/>
  <c r="C1585" i="3"/>
  <c r="D1585" i="3"/>
  <c r="E1585" i="3"/>
  <c r="F1585" i="3"/>
  <c r="G1585" i="3"/>
  <c r="B1586" i="3"/>
  <c r="C1586" i="3"/>
  <c r="D1586" i="3"/>
  <c r="E1586" i="3"/>
  <c r="F1586" i="3"/>
  <c r="G1586" i="3"/>
  <c r="B1587" i="3"/>
  <c r="C1587" i="3"/>
  <c r="D1587" i="3"/>
  <c r="E1587" i="3"/>
  <c r="F1587" i="3"/>
  <c r="G1587" i="3"/>
  <c r="B1588" i="3"/>
  <c r="C1588" i="3"/>
  <c r="D1588" i="3"/>
  <c r="E1588" i="3"/>
  <c r="F1588" i="3"/>
  <c r="G1588" i="3"/>
  <c r="B1589" i="3"/>
  <c r="C1589" i="3"/>
  <c r="D1589" i="3"/>
  <c r="E1589" i="3"/>
  <c r="F1589" i="3"/>
  <c r="G1589" i="3"/>
  <c r="B1590" i="3"/>
  <c r="C1590" i="3"/>
  <c r="D1590" i="3"/>
  <c r="E1590" i="3"/>
  <c r="F1590" i="3"/>
  <c r="G1590" i="3"/>
  <c r="B1591" i="3"/>
  <c r="C1591" i="3"/>
  <c r="D1591" i="3"/>
  <c r="E1591" i="3"/>
  <c r="F1591" i="3"/>
  <c r="G1591" i="3"/>
  <c r="B1592" i="3"/>
  <c r="C1592" i="3"/>
  <c r="D1592" i="3"/>
  <c r="E1592" i="3"/>
  <c r="F1592" i="3"/>
  <c r="G1592" i="3"/>
  <c r="B1593" i="3"/>
  <c r="C1593" i="3"/>
  <c r="D1593" i="3"/>
  <c r="E1593" i="3"/>
  <c r="F1593" i="3"/>
  <c r="G1593" i="3"/>
  <c r="B1594" i="3"/>
  <c r="C1594" i="3"/>
  <c r="D1594" i="3"/>
  <c r="E1594" i="3"/>
  <c r="F1594" i="3"/>
  <c r="G1594" i="3"/>
  <c r="B1595" i="3"/>
  <c r="C1595" i="3"/>
  <c r="D1595" i="3"/>
  <c r="E1595" i="3"/>
  <c r="F1595" i="3"/>
  <c r="G1595" i="3"/>
  <c r="B1596" i="3"/>
  <c r="C1596" i="3"/>
  <c r="D1596" i="3"/>
  <c r="E1596" i="3"/>
  <c r="F1596" i="3"/>
  <c r="G1596" i="3"/>
  <c r="B1597" i="3"/>
  <c r="C1597" i="3"/>
  <c r="D1597" i="3"/>
  <c r="E1597" i="3"/>
  <c r="F1597" i="3"/>
  <c r="G1597" i="3"/>
  <c r="B1598" i="3"/>
  <c r="C1598" i="3"/>
  <c r="D1598" i="3"/>
  <c r="E1598" i="3"/>
  <c r="F1598" i="3"/>
  <c r="G1598" i="3"/>
  <c r="B1599" i="3"/>
  <c r="C1599" i="3"/>
  <c r="D1599" i="3"/>
  <c r="E1599" i="3"/>
  <c r="F1599" i="3"/>
  <c r="G1599" i="3"/>
  <c r="B1600" i="3"/>
  <c r="C1600" i="3"/>
  <c r="D1600" i="3"/>
  <c r="E1600" i="3"/>
  <c r="F1600" i="3"/>
  <c r="G1600" i="3"/>
  <c r="B1601" i="3"/>
  <c r="C1601" i="3"/>
  <c r="D1601" i="3"/>
  <c r="E1601" i="3"/>
  <c r="F1601" i="3"/>
  <c r="G1601" i="3"/>
  <c r="B1602" i="3"/>
  <c r="C1602" i="3"/>
  <c r="D1602" i="3"/>
  <c r="E1602" i="3"/>
  <c r="F1602" i="3"/>
  <c r="G1602" i="3"/>
  <c r="B1603" i="3"/>
  <c r="C1603" i="3"/>
  <c r="D1603" i="3"/>
  <c r="E1603" i="3"/>
  <c r="F1603" i="3"/>
  <c r="G1603" i="3"/>
  <c r="B1604" i="3"/>
  <c r="C1604" i="3"/>
  <c r="D1604" i="3"/>
  <c r="E1604" i="3"/>
  <c r="F1604" i="3"/>
  <c r="G1604" i="3"/>
  <c r="B1605" i="3"/>
  <c r="C1605" i="3"/>
  <c r="D1605" i="3"/>
  <c r="E1605" i="3"/>
  <c r="F1605" i="3"/>
  <c r="G1605" i="3"/>
  <c r="B1606" i="3"/>
  <c r="C1606" i="3"/>
  <c r="D1606" i="3"/>
  <c r="E1606" i="3"/>
  <c r="F1606" i="3"/>
  <c r="G1606" i="3"/>
  <c r="B1607" i="3"/>
  <c r="C1607" i="3"/>
  <c r="D1607" i="3"/>
  <c r="E1607" i="3"/>
  <c r="F1607" i="3"/>
  <c r="G1607" i="3"/>
  <c r="B1608" i="3"/>
  <c r="C1608" i="3"/>
  <c r="D1608" i="3"/>
  <c r="E1608" i="3"/>
  <c r="F1608" i="3"/>
  <c r="G1608" i="3"/>
  <c r="B1609" i="3"/>
  <c r="C1609" i="3"/>
  <c r="D1609" i="3"/>
  <c r="E1609" i="3"/>
  <c r="F1609" i="3"/>
  <c r="G1609" i="3"/>
  <c r="B1610" i="3"/>
  <c r="C1610" i="3"/>
  <c r="D1610" i="3"/>
  <c r="E1610" i="3"/>
  <c r="F1610" i="3"/>
  <c r="G1610" i="3"/>
  <c r="B1611" i="3"/>
  <c r="C1611" i="3"/>
  <c r="D1611" i="3"/>
  <c r="E1611" i="3"/>
  <c r="F1611" i="3"/>
  <c r="G1611" i="3"/>
  <c r="B1612" i="3"/>
  <c r="C1612" i="3"/>
  <c r="D1612" i="3"/>
  <c r="E1612" i="3"/>
  <c r="F1612" i="3"/>
  <c r="G1612" i="3"/>
  <c r="B1613" i="3"/>
  <c r="C1613" i="3"/>
  <c r="D1613" i="3"/>
  <c r="E1613" i="3"/>
  <c r="F1613" i="3"/>
  <c r="G1613" i="3"/>
  <c r="B1614" i="3"/>
  <c r="C1614" i="3"/>
  <c r="D1614" i="3"/>
  <c r="E1614" i="3"/>
  <c r="F1614" i="3"/>
  <c r="G1614" i="3"/>
  <c r="B1615" i="3"/>
  <c r="C1615" i="3"/>
  <c r="D1615" i="3"/>
  <c r="E1615" i="3"/>
  <c r="F1615" i="3"/>
  <c r="G1615" i="3"/>
  <c r="B1616" i="3"/>
  <c r="C1616" i="3"/>
  <c r="D1616" i="3"/>
  <c r="E1616" i="3"/>
  <c r="F1616" i="3"/>
  <c r="G1616" i="3"/>
  <c r="B1617" i="3"/>
  <c r="C1617" i="3"/>
  <c r="D1617" i="3"/>
  <c r="E1617" i="3"/>
  <c r="F1617" i="3"/>
  <c r="G1617" i="3"/>
  <c r="B1618" i="3"/>
  <c r="C1618" i="3"/>
  <c r="D1618" i="3"/>
  <c r="E1618" i="3"/>
  <c r="F1618" i="3"/>
  <c r="G1618" i="3"/>
  <c r="B1619" i="3"/>
  <c r="C1619" i="3"/>
  <c r="D1619" i="3"/>
  <c r="E1619" i="3"/>
  <c r="F1619" i="3"/>
  <c r="G1619" i="3"/>
  <c r="B1620" i="3"/>
  <c r="C1620" i="3"/>
  <c r="D1620" i="3"/>
  <c r="E1620" i="3"/>
  <c r="F1620" i="3"/>
  <c r="G1620" i="3"/>
  <c r="B1621" i="3"/>
  <c r="C1621" i="3"/>
  <c r="D1621" i="3"/>
  <c r="E1621" i="3"/>
  <c r="F1621" i="3"/>
  <c r="G1621" i="3"/>
  <c r="B1622" i="3"/>
  <c r="C1622" i="3"/>
  <c r="D1622" i="3"/>
  <c r="E1622" i="3"/>
  <c r="F1622" i="3"/>
  <c r="G1622" i="3"/>
  <c r="B1623" i="3"/>
  <c r="C1623" i="3"/>
  <c r="D1623" i="3"/>
  <c r="E1623" i="3"/>
  <c r="F1623" i="3"/>
  <c r="G1623" i="3"/>
  <c r="B1624" i="3"/>
  <c r="C1624" i="3"/>
  <c r="D1624" i="3"/>
  <c r="E1624" i="3"/>
  <c r="F1624" i="3"/>
  <c r="G1624" i="3"/>
  <c r="B1625" i="3"/>
  <c r="C1625" i="3"/>
  <c r="D1625" i="3"/>
  <c r="E1625" i="3"/>
  <c r="F1625" i="3"/>
  <c r="G1625" i="3"/>
  <c r="B1626" i="3"/>
  <c r="C1626" i="3"/>
  <c r="E1626" i="3"/>
  <c r="F1626" i="3"/>
  <c r="G1626" i="3"/>
  <c r="B1627" i="3"/>
  <c r="C1627" i="3"/>
  <c r="D1627" i="3"/>
  <c r="E1627" i="3"/>
  <c r="F1627" i="3"/>
  <c r="G1627" i="3"/>
  <c r="B1628" i="3"/>
  <c r="C1628" i="3"/>
  <c r="E1628" i="3"/>
  <c r="F1628" i="3"/>
  <c r="G1628" i="3"/>
  <c r="B1629" i="3"/>
  <c r="C1629" i="3"/>
  <c r="D1629" i="3"/>
  <c r="E1629" i="3"/>
  <c r="F1629" i="3"/>
  <c r="G1629" i="3"/>
  <c r="B1630" i="3"/>
  <c r="C1630" i="3"/>
  <c r="D1630" i="3"/>
  <c r="E1630" i="3"/>
  <c r="F1630" i="3"/>
  <c r="G1630" i="3"/>
  <c r="B1631" i="3"/>
  <c r="C1631" i="3"/>
  <c r="D1631" i="3"/>
  <c r="E1631" i="3"/>
  <c r="F1631" i="3"/>
  <c r="G1631" i="3"/>
  <c r="B1632" i="3"/>
  <c r="C1632" i="3"/>
  <c r="D1632" i="3"/>
  <c r="E1632" i="3"/>
  <c r="F1632" i="3"/>
  <c r="G1632" i="3"/>
  <c r="B1633" i="3"/>
  <c r="C1633" i="3"/>
  <c r="D1633" i="3"/>
  <c r="E1633" i="3"/>
  <c r="F1633" i="3"/>
  <c r="G1633" i="3"/>
  <c r="B1634" i="3"/>
  <c r="C1634" i="3"/>
  <c r="D1634" i="3"/>
  <c r="E1634" i="3"/>
  <c r="F1634" i="3"/>
  <c r="G1634" i="3"/>
  <c r="B1635" i="3"/>
  <c r="C1635" i="3"/>
  <c r="D1635" i="3"/>
  <c r="E1635" i="3"/>
  <c r="F1635" i="3"/>
  <c r="G1635" i="3"/>
  <c r="B1636" i="3"/>
  <c r="C1636" i="3"/>
  <c r="D1636" i="3"/>
  <c r="E1636" i="3"/>
  <c r="F1636" i="3"/>
  <c r="G1636" i="3"/>
  <c r="B1637" i="3"/>
  <c r="C1637" i="3"/>
  <c r="D1637" i="3"/>
  <c r="E1637" i="3"/>
  <c r="F1637" i="3"/>
  <c r="G1637" i="3"/>
  <c r="B1638" i="3"/>
  <c r="C1638" i="3"/>
  <c r="D1638" i="3"/>
  <c r="E1638" i="3"/>
  <c r="F1638" i="3"/>
  <c r="G1638" i="3"/>
  <c r="B1639" i="3"/>
  <c r="C1639" i="3"/>
  <c r="D1639" i="3"/>
  <c r="E1639" i="3"/>
  <c r="F1639" i="3"/>
  <c r="G1639" i="3"/>
  <c r="B1640" i="3"/>
  <c r="C1640" i="3"/>
  <c r="D1640" i="3"/>
  <c r="E1640" i="3"/>
  <c r="F1640" i="3"/>
  <c r="G1640" i="3"/>
  <c r="B1641" i="3"/>
  <c r="C1641" i="3"/>
  <c r="D1641" i="3"/>
  <c r="E1641" i="3"/>
  <c r="F1641" i="3"/>
  <c r="G1641" i="3"/>
  <c r="B1642" i="3"/>
  <c r="C1642" i="3"/>
  <c r="D1642" i="3"/>
  <c r="E1642" i="3"/>
  <c r="F1642" i="3"/>
  <c r="G1642" i="3"/>
  <c r="B1643" i="3"/>
  <c r="C1643" i="3"/>
  <c r="D1643" i="3"/>
  <c r="E1643" i="3"/>
  <c r="F1643" i="3"/>
  <c r="G1643" i="3"/>
  <c r="B1644" i="3"/>
  <c r="C1644" i="3"/>
  <c r="D1644" i="3"/>
  <c r="E1644" i="3"/>
  <c r="F1644" i="3"/>
  <c r="G1644" i="3"/>
  <c r="B1645" i="3"/>
  <c r="C1645" i="3"/>
  <c r="D1645" i="3"/>
  <c r="E1645" i="3"/>
  <c r="F1645" i="3"/>
  <c r="G1645" i="3"/>
  <c r="B1646" i="3"/>
  <c r="C1646" i="3"/>
  <c r="D1646" i="3"/>
  <c r="E1646" i="3"/>
  <c r="F1646" i="3"/>
  <c r="G1646" i="3"/>
  <c r="B1647" i="3"/>
  <c r="C1647" i="3"/>
  <c r="D1647" i="3"/>
  <c r="E1647" i="3"/>
  <c r="F1647" i="3"/>
  <c r="G1647" i="3"/>
  <c r="B1648" i="3"/>
  <c r="C1648" i="3"/>
  <c r="D1648" i="3"/>
  <c r="E1648" i="3"/>
  <c r="F1648" i="3"/>
  <c r="G1648" i="3"/>
  <c r="B1649" i="3"/>
  <c r="C1649" i="3"/>
  <c r="D1649" i="3"/>
  <c r="E1649" i="3"/>
  <c r="F1649" i="3"/>
  <c r="G1649" i="3"/>
  <c r="B1650" i="3"/>
  <c r="C1650" i="3"/>
  <c r="D1650" i="3"/>
  <c r="E1650" i="3"/>
  <c r="F1650" i="3"/>
  <c r="G1650" i="3"/>
  <c r="B1651" i="3"/>
  <c r="C1651" i="3"/>
  <c r="D1651" i="3"/>
  <c r="E1651" i="3"/>
  <c r="F1651" i="3"/>
  <c r="G1651" i="3"/>
  <c r="B1652" i="3"/>
  <c r="C1652" i="3"/>
  <c r="D1652" i="3"/>
  <c r="E1652" i="3"/>
  <c r="F1652" i="3"/>
  <c r="G1652" i="3"/>
  <c r="B1653" i="3"/>
  <c r="C1653" i="3"/>
  <c r="D1653" i="3"/>
  <c r="E1653" i="3"/>
  <c r="F1653" i="3"/>
  <c r="G1653" i="3"/>
  <c r="B1654" i="3"/>
  <c r="C1654" i="3"/>
  <c r="D1654" i="3"/>
  <c r="E1654" i="3"/>
  <c r="F1654" i="3"/>
  <c r="G1654" i="3"/>
  <c r="B1655" i="3"/>
  <c r="C1655" i="3"/>
  <c r="D1655" i="3"/>
  <c r="E1655" i="3"/>
  <c r="F1655" i="3"/>
  <c r="G1655" i="3"/>
  <c r="B1656" i="3"/>
  <c r="C1656" i="3"/>
  <c r="D1656" i="3"/>
  <c r="E1656" i="3"/>
  <c r="F1656" i="3"/>
  <c r="G1656" i="3"/>
  <c r="B1657" i="3"/>
  <c r="C1657" i="3"/>
  <c r="D1657" i="3"/>
  <c r="E1657" i="3"/>
  <c r="F1657" i="3"/>
  <c r="G1657" i="3"/>
  <c r="B1658" i="3"/>
  <c r="C1658" i="3"/>
  <c r="D1658" i="3"/>
  <c r="E1658" i="3"/>
  <c r="F1658" i="3"/>
  <c r="G1658" i="3"/>
  <c r="B1659" i="3"/>
  <c r="C1659" i="3"/>
  <c r="D1659" i="3"/>
  <c r="E1659" i="3"/>
  <c r="F1659" i="3"/>
  <c r="G1659" i="3"/>
  <c r="B1660" i="3"/>
  <c r="C1660" i="3"/>
  <c r="D1660" i="3"/>
  <c r="E1660" i="3"/>
  <c r="F1660" i="3"/>
  <c r="G1660" i="3"/>
  <c r="B1661" i="3"/>
  <c r="C1661" i="3"/>
  <c r="D1661" i="3"/>
  <c r="E1661" i="3"/>
  <c r="F1661" i="3"/>
  <c r="G1661" i="3"/>
  <c r="B1662" i="3"/>
  <c r="C1662" i="3"/>
  <c r="D1662" i="3"/>
  <c r="E1662" i="3"/>
  <c r="F1662" i="3"/>
  <c r="G1662" i="3"/>
  <c r="B1663" i="3"/>
  <c r="C1663" i="3"/>
  <c r="D1663" i="3"/>
  <c r="E1663" i="3"/>
  <c r="F1663" i="3"/>
  <c r="G1663" i="3"/>
  <c r="B1664" i="3"/>
  <c r="C1664" i="3"/>
  <c r="D1664" i="3"/>
  <c r="E1664" i="3"/>
  <c r="F1664" i="3"/>
  <c r="G1664" i="3"/>
  <c r="B1665" i="3"/>
  <c r="C1665" i="3"/>
  <c r="D1665" i="3"/>
  <c r="E1665" i="3"/>
  <c r="F1665" i="3"/>
  <c r="G1665" i="3"/>
  <c r="B1666" i="3"/>
  <c r="C1666" i="3"/>
  <c r="D1666" i="3"/>
  <c r="E1666" i="3"/>
  <c r="F1666" i="3"/>
  <c r="G1666" i="3"/>
  <c r="B1667" i="3"/>
  <c r="C1667" i="3"/>
  <c r="D1667" i="3"/>
  <c r="E1667" i="3"/>
  <c r="F1667" i="3"/>
  <c r="G1667" i="3"/>
  <c r="B1668" i="3"/>
  <c r="C1668" i="3"/>
  <c r="D1668" i="3"/>
  <c r="E1668" i="3"/>
  <c r="F1668" i="3"/>
  <c r="G1668" i="3"/>
  <c r="B1669" i="3"/>
  <c r="C1669" i="3"/>
  <c r="D1669" i="3"/>
  <c r="E1669" i="3"/>
  <c r="F1669" i="3"/>
  <c r="G1669" i="3"/>
  <c r="B1670" i="3"/>
  <c r="C1670" i="3"/>
  <c r="D1670" i="3"/>
  <c r="E1670" i="3"/>
  <c r="F1670" i="3"/>
  <c r="G1670" i="3"/>
  <c r="B1671" i="3"/>
  <c r="C1671" i="3"/>
  <c r="D1671" i="3"/>
  <c r="E1671" i="3"/>
  <c r="F1671" i="3"/>
  <c r="G1671" i="3"/>
  <c r="B1672" i="3"/>
  <c r="C1672" i="3"/>
  <c r="D1672" i="3"/>
  <c r="E1672" i="3"/>
  <c r="F1672" i="3"/>
  <c r="G1672" i="3"/>
  <c r="B1673" i="3"/>
  <c r="C1673" i="3"/>
  <c r="D1673" i="3"/>
  <c r="E1673" i="3"/>
  <c r="F1673" i="3"/>
  <c r="G1673" i="3"/>
  <c r="B1674" i="3"/>
  <c r="C1674" i="3"/>
  <c r="D1674" i="3"/>
  <c r="E1674" i="3"/>
  <c r="F1674" i="3"/>
  <c r="G1674" i="3"/>
  <c r="B1675" i="3"/>
  <c r="C1675" i="3"/>
  <c r="D1675" i="3"/>
  <c r="E1675" i="3"/>
  <c r="F1675" i="3"/>
  <c r="G1675" i="3"/>
  <c r="B1676" i="3"/>
  <c r="C1676" i="3"/>
  <c r="D1676" i="3"/>
  <c r="E1676" i="3"/>
  <c r="F1676" i="3"/>
  <c r="G1676" i="3"/>
  <c r="B1677" i="3"/>
  <c r="C1677" i="3"/>
  <c r="D1677" i="3"/>
  <c r="E1677" i="3"/>
  <c r="F1677" i="3"/>
  <c r="G1677" i="3"/>
  <c r="B1678" i="3"/>
  <c r="C1678" i="3"/>
  <c r="D1678" i="3"/>
  <c r="E1678" i="3"/>
  <c r="F1678" i="3"/>
  <c r="G1678" i="3"/>
  <c r="B1679" i="3"/>
  <c r="C1679" i="3"/>
  <c r="D1679" i="3"/>
  <c r="E1679" i="3"/>
  <c r="F1679" i="3"/>
  <c r="G1679" i="3"/>
  <c r="B1680" i="3"/>
  <c r="C1680" i="3"/>
  <c r="D1680" i="3"/>
  <c r="E1680" i="3"/>
  <c r="F1680" i="3"/>
  <c r="G1680" i="3"/>
  <c r="B1681" i="3"/>
  <c r="C1681" i="3"/>
  <c r="D1681" i="3"/>
  <c r="E1681" i="3"/>
  <c r="F1681" i="3"/>
  <c r="G1681" i="3"/>
  <c r="B1682" i="3"/>
  <c r="C1682" i="3"/>
  <c r="D1682" i="3"/>
  <c r="E1682" i="3"/>
  <c r="F1682" i="3"/>
  <c r="G1682" i="3"/>
  <c r="B1683" i="3"/>
  <c r="C1683" i="3"/>
  <c r="D1683" i="3"/>
  <c r="E1683" i="3"/>
  <c r="F1683" i="3"/>
  <c r="G1683" i="3"/>
  <c r="B1684" i="3"/>
  <c r="C1684" i="3"/>
  <c r="D1684" i="3"/>
  <c r="E1684" i="3"/>
  <c r="F1684" i="3"/>
  <c r="G1684" i="3"/>
  <c r="B1685" i="3"/>
  <c r="C1685" i="3"/>
  <c r="D1685" i="3"/>
  <c r="E1685" i="3"/>
  <c r="F1685" i="3"/>
  <c r="G1685" i="3"/>
  <c r="B1686" i="3"/>
  <c r="C1686" i="3"/>
  <c r="D1686" i="3"/>
  <c r="E1686" i="3"/>
  <c r="F1686" i="3"/>
  <c r="G1686" i="3"/>
  <c r="B1687" i="3"/>
  <c r="C1687" i="3"/>
  <c r="D1687" i="3"/>
  <c r="E1687" i="3"/>
  <c r="F1687" i="3"/>
  <c r="G1687" i="3"/>
  <c r="B1688" i="3"/>
  <c r="C1688" i="3"/>
  <c r="D1688" i="3"/>
  <c r="E1688" i="3"/>
  <c r="F1688" i="3"/>
  <c r="G1688" i="3"/>
  <c r="B1689" i="3"/>
  <c r="C1689" i="3"/>
  <c r="D1689" i="3"/>
  <c r="E1689" i="3"/>
  <c r="F1689" i="3"/>
  <c r="G1689" i="3"/>
  <c r="B1690" i="3"/>
  <c r="C1690" i="3"/>
  <c r="D1690" i="3"/>
  <c r="E1690" i="3"/>
  <c r="F1690" i="3"/>
  <c r="G1690" i="3"/>
  <c r="B1691" i="3"/>
  <c r="C1691" i="3"/>
  <c r="D1691" i="3"/>
  <c r="E1691" i="3"/>
  <c r="F1691" i="3"/>
  <c r="G1691" i="3"/>
  <c r="B1692" i="3"/>
  <c r="C1692" i="3"/>
  <c r="D1692" i="3"/>
  <c r="E1692" i="3"/>
  <c r="F1692" i="3"/>
  <c r="G1692" i="3"/>
  <c r="B1693" i="3"/>
  <c r="C1693" i="3"/>
  <c r="D1693" i="3"/>
  <c r="E1693" i="3"/>
  <c r="F1693" i="3"/>
  <c r="G1693" i="3"/>
  <c r="B1694" i="3"/>
  <c r="C1694" i="3"/>
  <c r="D1694" i="3"/>
  <c r="E1694" i="3"/>
  <c r="F1694" i="3"/>
  <c r="G1694" i="3"/>
  <c r="B1695" i="3"/>
  <c r="C1695" i="3"/>
  <c r="D1695" i="3"/>
  <c r="E1695" i="3"/>
  <c r="F1695" i="3"/>
  <c r="G1695" i="3"/>
  <c r="B1696" i="3"/>
  <c r="C1696" i="3"/>
  <c r="D1696" i="3"/>
  <c r="E1696" i="3"/>
  <c r="F1696" i="3"/>
  <c r="G1696" i="3"/>
  <c r="B1697" i="3"/>
  <c r="C1697" i="3"/>
  <c r="D1697" i="3"/>
  <c r="E1697" i="3"/>
  <c r="F1697" i="3"/>
  <c r="G1697" i="3"/>
  <c r="B1698" i="3"/>
  <c r="C1698" i="3"/>
  <c r="D1698" i="3"/>
  <c r="E1698" i="3"/>
  <c r="F1698" i="3"/>
  <c r="G1698" i="3"/>
  <c r="B1699" i="3"/>
  <c r="C1699" i="3"/>
  <c r="D1699" i="3"/>
  <c r="E1699" i="3"/>
  <c r="F1699" i="3"/>
  <c r="G1699" i="3"/>
  <c r="B1700" i="3"/>
  <c r="C1700" i="3"/>
  <c r="D1700" i="3"/>
  <c r="E1700" i="3"/>
  <c r="F1700" i="3"/>
  <c r="G1700" i="3"/>
  <c r="B1701" i="3"/>
  <c r="C1701" i="3"/>
  <c r="D1701" i="3"/>
  <c r="E1701" i="3"/>
  <c r="F1701" i="3"/>
  <c r="G1701" i="3"/>
  <c r="B1702" i="3"/>
  <c r="C1702" i="3"/>
  <c r="D1702" i="3"/>
  <c r="E1702" i="3"/>
  <c r="F1702" i="3"/>
  <c r="G1702" i="3"/>
  <c r="B1703" i="3"/>
  <c r="C1703" i="3"/>
  <c r="D1703" i="3"/>
  <c r="E1703" i="3"/>
  <c r="F1703" i="3"/>
  <c r="G1703" i="3"/>
  <c r="B1704" i="3"/>
  <c r="C1704" i="3"/>
  <c r="D1704" i="3"/>
  <c r="E1704" i="3"/>
  <c r="F1704" i="3"/>
  <c r="G1704" i="3"/>
  <c r="B1705" i="3"/>
  <c r="C1705" i="3"/>
  <c r="D1705" i="3"/>
  <c r="E1705" i="3"/>
  <c r="F1705" i="3"/>
  <c r="G1705" i="3"/>
  <c r="B1706" i="3"/>
  <c r="C1706" i="3"/>
  <c r="D1706" i="3"/>
  <c r="E1706" i="3"/>
  <c r="F1706" i="3"/>
  <c r="G1706" i="3"/>
  <c r="B1707" i="3"/>
  <c r="C1707" i="3"/>
  <c r="D1707" i="3"/>
  <c r="E1707" i="3"/>
  <c r="F1707" i="3"/>
  <c r="G1707" i="3"/>
  <c r="B1708" i="3"/>
  <c r="C1708" i="3"/>
  <c r="D1708" i="3"/>
  <c r="E1708" i="3"/>
  <c r="F1708" i="3"/>
  <c r="G1708" i="3"/>
  <c r="B1709" i="3"/>
  <c r="C1709" i="3"/>
  <c r="D1709" i="3"/>
  <c r="E1709" i="3"/>
  <c r="F1709" i="3"/>
  <c r="G1709" i="3"/>
  <c r="B1710" i="3"/>
  <c r="C1710" i="3"/>
  <c r="D1710" i="3"/>
  <c r="E1710" i="3"/>
  <c r="F1710" i="3"/>
  <c r="G1710" i="3"/>
  <c r="B1711" i="3"/>
  <c r="C1711" i="3"/>
  <c r="D1711" i="3"/>
  <c r="E1711" i="3"/>
  <c r="F1711" i="3"/>
  <c r="G1711" i="3"/>
  <c r="B1712" i="3"/>
  <c r="C1712" i="3"/>
  <c r="D1712" i="3"/>
  <c r="E1712" i="3"/>
  <c r="F1712" i="3"/>
  <c r="G1712" i="3"/>
  <c r="B1713" i="3"/>
  <c r="C1713" i="3"/>
  <c r="D1713" i="3"/>
  <c r="E1713" i="3"/>
  <c r="F1713" i="3"/>
  <c r="G1713" i="3"/>
  <c r="B1714" i="3"/>
  <c r="C1714" i="3"/>
  <c r="D1714" i="3"/>
  <c r="E1714" i="3"/>
  <c r="F1714" i="3"/>
  <c r="G1714" i="3"/>
  <c r="B1715" i="3"/>
  <c r="C1715" i="3"/>
  <c r="D1715" i="3"/>
  <c r="E1715" i="3"/>
  <c r="F1715" i="3"/>
  <c r="G1715" i="3"/>
  <c r="B1716" i="3"/>
  <c r="C1716" i="3"/>
  <c r="D1716" i="3"/>
  <c r="E1716" i="3"/>
  <c r="F1716" i="3"/>
  <c r="G1716" i="3"/>
  <c r="B1717" i="3"/>
  <c r="C1717" i="3"/>
  <c r="D1717" i="3"/>
  <c r="E1717" i="3"/>
  <c r="F1717" i="3"/>
  <c r="G1717" i="3"/>
  <c r="B1718" i="3"/>
  <c r="C1718" i="3"/>
  <c r="D1718" i="3"/>
  <c r="E1718" i="3"/>
  <c r="F1718" i="3"/>
  <c r="G1718" i="3"/>
  <c r="B1719" i="3"/>
  <c r="C1719" i="3"/>
  <c r="D1719" i="3"/>
  <c r="E1719" i="3"/>
  <c r="F1719" i="3"/>
  <c r="G1719" i="3"/>
  <c r="B1720" i="3"/>
  <c r="C1720" i="3"/>
  <c r="D1720" i="3"/>
  <c r="E1720" i="3"/>
  <c r="F1720" i="3"/>
  <c r="G1720" i="3"/>
  <c r="B1721" i="3"/>
  <c r="C1721" i="3"/>
  <c r="D1721" i="3"/>
  <c r="E1721" i="3"/>
  <c r="F1721" i="3"/>
  <c r="G1721" i="3"/>
  <c r="B1722" i="3"/>
  <c r="C1722" i="3"/>
  <c r="D1722" i="3"/>
  <c r="E1722" i="3"/>
  <c r="F1722" i="3"/>
  <c r="G1722" i="3"/>
  <c r="B1723" i="3"/>
  <c r="C1723" i="3"/>
  <c r="D1723" i="3"/>
  <c r="E1723" i="3"/>
  <c r="F1723" i="3"/>
  <c r="G1723" i="3"/>
  <c r="B1724" i="3"/>
  <c r="C1724" i="3"/>
  <c r="D1724" i="3"/>
  <c r="E1724" i="3"/>
  <c r="F1724" i="3"/>
  <c r="G1724" i="3"/>
  <c r="B1725" i="3"/>
  <c r="C1725" i="3"/>
  <c r="D1725" i="3"/>
  <c r="E1725" i="3"/>
  <c r="F1725" i="3"/>
  <c r="G1725" i="3"/>
  <c r="B1726" i="3"/>
  <c r="C1726" i="3"/>
  <c r="D1726" i="3"/>
  <c r="E1726" i="3"/>
  <c r="F1726" i="3"/>
  <c r="G1726" i="3"/>
  <c r="B1727" i="3"/>
  <c r="C1727" i="3"/>
  <c r="D1727" i="3"/>
  <c r="E1727" i="3"/>
  <c r="F1727" i="3"/>
  <c r="G1727" i="3"/>
  <c r="B1728" i="3"/>
  <c r="C1728" i="3"/>
  <c r="D1728" i="3"/>
  <c r="E1728" i="3"/>
  <c r="F1728" i="3"/>
  <c r="G1728" i="3"/>
  <c r="B1729" i="3"/>
  <c r="C1729" i="3"/>
  <c r="D1729" i="3"/>
  <c r="E1729" i="3"/>
  <c r="F1729" i="3"/>
  <c r="G1729" i="3"/>
  <c r="B1730" i="3"/>
  <c r="C1730" i="3"/>
  <c r="D1730" i="3"/>
  <c r="E1730" i="3"/>
  <c r="F1730" i="3"/>
  <c r="G1730" i="3"/>
  <c r="B1731" i="3"/>
  <c r="C1731" i="3"/>
  <c r="D1731" i="3"/>
  <c r="E1731" i="3"/>
  <c r="F1731" i="3"/>
  <c r="G1731" i="3"/>
  <c r="B1732" i="3"/>
  <c r="C1732" i="3"/>
  <c r="D1732" i="3"/>
  <c r="E1732" i="3"/>
  <c r="F1732" i="3"/>
  <c r="G1732" i="3"/>
  <c r="B1733" i="3"/>
  <c r="C1733" i="3"/>
  <c r="D1733" i="3"/>
  <c r="E1733" i="3"/>
  <c r="F1733" i="3"/>
  <c r="G1733" i="3"/>
  <c r="B1734" i="3"/>
  <c r="C1734" i="3"/>
  <c r="D1734" i="3"/>
  <c r="E1734" i="3"/>
  <c r="F1734" i="3"/>
  <c r="G1734" i="3"/>
  <c r="B1735" i="3"/>
  <c r="C1735" i="3"/>
  <c r="D1735" i="3"/>
  <c r="E1735" i="3"/>
  <c r="F1735" i="3"/>
  <c r="G1735" i="3"/>
  <c r="B1736" i="3"/>
  <c r="C1736" i="3"/>
  <c r="D1736" i="3"/>
  <c r="E1736" i="3"/>
  <c r="F1736" i="3"/>
  <c r="G1736" i="3"/>
  <c r="B1737" i="3"/>
  <c r="C1737" i="3"/>
  <c r="D1737" i="3"/>
  <c r="E1737" i="3"/>
  <c r="F1737" i="3"/>
  <c r="G1737" i="3"/>
  <c r="B1738" i="3"/>
  <c r="C1738" i="3"/>
  <c r="D1738" i="3"/>
  <c r="E1738" i="3"/>
  <c r="F1738" i="3"/>
  <c r="G1738" i="3"/>
  <c r="B1739" i="3"/>
  <c r="C1739" i="3"/>
  <c r="D1739" i="3"/>
  <c r="E1739" i="3"/>
  <c r="F1739" i="3"/>
  <c r="G1739" i="3"/>
  <c r="B1740" i="3"/>
  <c r="C1740" i="3"/>
  <c r="D1740" i="3"/>
  <c r="E1740" i="3"/>
  <c r="F1740" i="3"/>
  <c r="G1740" i="3"/>
  <c r="B1741" i="3"/>
  <c r="C1741" i="3"/>
  <c r="D1741" i="3"/>
  <c r="E1741" i="3"/>
  <c r="F1741" i="3"/>
  <c r="G1741" i="3"/>
  <c r="B1742" i="3"/>
  <c r="C1742" i="3"/>
  <c r="D1742" i="3"/>
  <c r="E1742" i="3"/>
  <c r="F1742" i="3"/>
  <c r="G1742" i="3"/>
  <c r="B1743" i="3"/>
  <c r="C1743" i="3"/>
  <c r="D1743" i="3"/>
  <c r="E1743" i="3"/>
  <c r="F1743" i="3"/>
  <c r="G1743" i="3"/>
  <c r="B1744" i="3"/>
  <c r="C1744" i="3"/>
  <c r="D1744" i="3"/>
  <c r="E1744" i="3"/>
  <c r="F1744" i="3"/>
  <c r="G1744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05" i="3"/>
  <c r="D1512" i="3"/>
  <c r="D1513" i="3"/>
  <c r="D1514" i="3"/>
  <c r="D1515" i="3"/>
  <c r="D1516" i="3"/>
  <c r="D1517" i="3"/>
  <c r="D1518" i="3"/>
  <c r="D1519" i="3"/>
  <c r="D1506" i="3"/>
  <c r="D1508" i="3"/>
  <c r="D1509" i="3"/>
  <c r="D1510" i="3"/>
  <c r="D1511" i="3"/>
  <c r="D1505" i="3"/>
  <c r="D316" i="4" l="1"/>
  <c r="E316" i="4"/>
  <c r="F316" i="4"/>
  <c r="G316" i="4"/>
  <c r="H316" i="4"/>
  <c r="I316" i="4"/>
  <c r="J316" i="4"/>
  <c r="K316" i="4"/>
  <c r="D317" i="4"/>
  <c r="E317" i="4"/>
  <c r="F317" i="4"/>
  <c r="G317" i="4"/>
  <c r="H317" i="4"/>
  <c r="I317" i="4"/>
  <c r="J317" i="4"/>
  <c r="K317" i="4"/>
  <c r="D318" i="4"/>
  <c r="E318" i="4"/>
  <c r="F318" i="4"/>
  <c r="G318" i="4"/>
  <c r="H318" i="4"/>
  <c r="I318" i="4"/>
  <c r="J318" i="4"/>
  <c r="K318" i="4"/>
  <c r="D319" i="4"/>
  <c r="E319" i="4"/>
  <c r="F319" i="4"/>
  <c r="G319" i="4"/>
  <c r="H319" i="4"/>
  <c r="I319" i="4"/>
  <c r="J319" i="4"/>
  <c r="K319" i="4"/>
  <c r="D320" i="4"/>
  <c r="E320" i="4"/>
  <c r="F320" i="4"/>
  <c r="G320" i="4"/>
  <c r="H320" i="4"/>
  <c r="I320" i="4"/>
  <c r="J320" i="4"/>
  <c r="K320" i="4"/>
  <c r="D321" i="4"/>
  <c r="E321" i="4"/>
  <c r="F321" i="4"/>
  <c r="G321" i="4"/>
  <c r="H321" i="4"/>
  <c r="I321" i="4"/>
  <c r="J321" i="4"/>
  <c r="K321" i="4"/>
  <c r="D322" i="4"/>
  <c r="E322" i="4"/>
  <c r="F322" i="4"/>
  <c r="G322" i="4"/>
  <c r="H322" i="4"/>
  <c r="I322" i="4"/>
  <c r="J322" i="4"/>
  <c r="K322" i="4"/>
  <c r="D323" i="4"/>
  <c r="E323" i="4"/>
  <c r="F323" i="4"/>
  <c r="G323" i="4"/>
  <c r="H323" i="4"/>
  <c r="I323" i="4"/>
  <c r="J323" i="4"/>
  <c r="K323" i="4"/>
  <c r="D324" i="4"/>
  <c r="E324" i="4"/>
  <c r="F324" i="4"/>
  <c r="G324" i="4"/>
  <c r="H324" i="4"/>
  <c r="I324" i="4"/>
  <c r="J324" i="4"/>
  <c r="K324" i="4"/>
  <c r="D325" i="4"/>
  <c r="E325" i="4"/>
  <c r="F325" i="4"/>
  <c r="G325" i="4"/>
  <c r="H325" i="4"/>
  <c r="I325" i="4"/>
  <c r="J325" i="4"/>
  <c r="K325" i="4"/>
  <c r="D326" i="4"/>
  <c r="E326" i="4"/>
  <c r="F326" i="4"/>
  <c r="G326" i="4"/>
  <c r="H326" i="4"/>
  <c r="I326" i="4"/>
  <c r="J326" i="4"/>
  <c r="K326" i="4"/>
  <c r="D327" i="4"/>
  <c r="E327" i="4"/>
  <c r="F327" i="4"/>
  <c r="G327" i="4"/>
  <c r="H327" i="4"/>
  <c r="I327" i="4"/>
  <c r="J327" i="4"/>
  <c r="K327" i="4"/>
  <c r="D328" i="4"/>
  <c r="E328" i="4"/>
  <c r="F328" i="4"/>
  <c r="G328" i="4"/>
  <c r="H328" i="4"/>
  <c r="I328" i="4"/>
  <c r="J328" i="4"/>
  <c r="K328" i="4"/>
  <c r="D329" i="4"/>
  <c r="E329" i="4"/>
  <c r="F329" i="4"/>
  <c r="G329" i="4"/>
  <c r="H329" i="4"/>
  <c r="I329" i="4"/>
  <c r="J329" i="4"/>
  <c r="K329" i="4"/>
  <c r="D330" i="4"/>
  <c r="E330" i="4"/>
  <c r="F330" i="4"/>
  <c r="G330" i="4"/>
  <c r="H330" i="4"/>
  <c r="I330" i="4"/>
  <c r="J330" i="4"/>
  <c r="K330" i="4"/>
  <c r="D331" i="4"/>
  <c r="E331" i="4"/>
  <c r="F331" i="4"/>
  <c r="G331" i="4"/>
  <c r="H331" i="4"/>
  <c r="I331" i="4"/>
  <c r="J331" i="4"/>
  <c r="K331" i="4"/>
  <c r="D332" i="4"/>
  <c r="E332" i="4"/>
  <c r="F332" i="4"/>
  <c r="G332" i="4"/>
  <c r="H332" i="4"/>
  <c r="I332" i="4"/>
  <c r="J332" i="4"/>
  <c r="K332" i="4"/>
  <c r="D333" i="4"/>
  <c r="E333" i="4"/>
  <c r="F333" i="4"/>
  <c r="G333" i="4"/>
  <c r="H333" i="4"/>
  <c r="I333" i="4"/>
  <c r="J333" i="4"/>
  <c r="K333" i="4"/>
  <c r="D334" i="4"/>
  <c r="E334" i="4"/>
  <c r="F334" i="4"/>
  <c r="G334" i="4"/>
  <c r="H334" i="4"/>
  <c r="I334" i="4"/>
  <c r="J334" i="4"/>
  <c r="K334" i="4"/>
  <c r="D335" i="4"/>
  <c r="E335" i="4"/>
  <c r="F335" i="4"/>
  <c r="G335" i="4"/>
  <c r="H335" i="4"/>
  <c r="I335" i="4"/>
  <c r="J335" i="4"/>
  <c r="K335" i="4"/>
  <c r="D336" i="4"/>
  <c r="E336" i="4"/>
  <c r="F336" i="4"/>
  <c r="G336" i="4"/>
  <c r="H336" i="4"/>
  <c r="I336" i="4"/>
  <c r="J336" i="4"/>
  <c r="K336" i="4"/>
  <c r="D337" i="4"/>
  <c r="E337" i="4"/>
  <c r="F337" i="4"/>
  <c r="G337" i="4"/>
  <c r="H337" i="4"/>
  <c r="I337" i="4"/>
  <c r="J337" i="4"/>
  <c r="K337" i="4"/>
  <c r="D338" i="4"/>
  <c r="E338" i="4"/>
  <c r="F338" i="4"/>
  <c r="G338" i="4"/>
  <c r="H338" i="4"/>
  <c r="I338" i="4"/>
  <c r="J338" i="4"/>
  <c r="K338" i="4"/>
  <c r="D339" i="4"/>
  <c r="E339" i="4"/>
  <c r="F339" i="4"/>
  <c r="G339" i="4"/>
  <c r="H339" i="4"/>
  <c r="I339" i="4"/>
  <c r="J339" i="4"/>
  <c r="K339" i="4"/>
  <c r="D340" i="4"/>
  <c r="E340" i="4"/>
  <c r="F340" i="4"/>
  <c r="G340" i="4"/>
  <c r="H340" i="4"/>
  <c r="I340" i="4"/>
  <c r="J340" i="4"/>
  <c r="K340" i="4"/>
  <c r="D341" i="4"/>
  <c r="E341" i="4"/>
  <c r="F341" i="4"/>
  <c r="G341" i="4"/>
  <c r="H341" i="4"/>
  <c r="I341" i="4"/>
  <c r="J341" i="4"/>
  <c r="K341" i="4"/>
  <c r="D342" i="4"/>
  <c r="E342" i="4"/>
  <c r="F342" i="4"/>
  <c r="G342" i="4"/>
  <c r="H342" i="4"/>
  <c r="I342" i="4"/>
  <c r="J342" i="4"/>
  <c r="K342" i="4"/>
  <c r="D343" i="4"/>
  <c r="E343" i="4"/>
  <c r="F343" i="4"/>
  <c r="G343" i="4"/>
  <c r="H343" i="4"/>
  <c r="I343" i="4"/>
  <c r="J343" i="4"/>
  <c r="K343" i="4"/>
  <c r="D344" i="4"/>
  <c r="E344" i="4"/>
  <c r="F344" i="4"/>
  <c r="G344" i="4"/>
  <c r="H344" i="4"/>
  <c r="I344" i="4"/>
  <c r="J344" i="4"/>
  <c r="K344" i="4"/>
  <c r="D345" i="4"/>
  <c r="E345" i="4"/>
  <c r="F345" i="4"/>
  <c r="G345" i="4"/>
  <c r="H345" i="4"/>
  <c r="I345" i="4"/>
  <c r="J345" i="4"/>
  <c r="K345" i="4"/>
  <c r="D346" i="4"/>
  <c r="E346" i="4"/>
  <c r="F346" i="4"/>
  <c r="G346" i="4"/>
  <c r="H346" i="4"/>
  <c r="I346" i="4"/>
  <c r="J346" i="4"/>
  <c r="K346" i="4"/>
  <c r="D347" i="4"/>
  <c r="E347" i="4"/>
  <c r="F347" i="4"/>
  <c r="G347" i="4"/>
  <c r="H347" i="4"/>
  <c r="I347" i="4"/>
  <c r="J347" i="4"/>
  <c r="K347" i="4"/>
  <c r="D348" i="4"/>
  <c r="E348" i="4"/>
  <c r="F348" i="4"/>
  <c r="G348" i="4"/>
  <c r="H348" i="4"/>
  <c r="I348" i="4"/>
  <c r="J348" i="4"/>
  <c r="K348" i="4"/>
  <c r="D349" i="4"/>
  <c r="E349" i="4"/>
  <c r="F349" i="4"/>
  <c r="G349" i="4"/>
  <c r="H349" i="4"/>
  <c r="I349" i="4"/>
  <c r="J349" i="4"/>
  <c r="K349" i="4"/>
  <c r="D350" i="4"/>
  <c r="E350" i="4"/>
  <c r="F350" i="4"/>
  <c r="G350" i="4"/>
  <c r="H350" i="4"/>
  <c r="I350" i="4"/>
  <c r="J350" i="4"/>
  <c r="K350" i="4"/>
  <c r="D351" i="4"/>
  <c r="E351" i="4"/>
  <c r="F351" i="4"/>
  <c r="G351" i="4"/>
  <c r="H351" i="4"/>
  <c r="I351" i="4"/>
  <c r="J351" i="4"/>
  <c r="K351" i="4"/>
  <c r="D352" i="4"/>
  <c r="E352" i="4"/>
  <c r="F352" i="4"/>
  <c r="G352" i="4"/>
  <c r="H352" i="4"/>
  <c r="I352" i="4"/>
  <c r="J352" i="4"/>
  <c r="K352" i="4"/>
  <c r="D353" i="4"/>
  <c r="E353" i="4"/>
  <c r="F353" i="4"/>
  <c r="G353" i="4"/>
  <c r="H353" i="4"/>
  <c r="I353" i="4"/>
  <c r="J353" i="4"/>
  <c r="K353" i="4"/>
  <c r="D354" i="4"/>
  <c r="E354" i="4"/>
  <c r="F354" i="4"/>
  <c r="G354" i="4"/>
  <c r="H354" i="4"/>
  <c r="I354" i="4"/>
  <c r="J354" i="4"/>
  <c r="K354" i="4"/>
  <c r="D355" i="4"/>
  <c r="E355" i="4"/>
  <c r="F355" i="4"/>
  <c r="G355" i="4"/>
  <c r="H355" i="4"/>
  <c r="I355" i="4"/>
  <c r="J355" i="4"/>
  <c r="K355" i="4"/>
  <c r="D356" i="4"/>
  <c r="E356" i="4"/>
  <c r="F356" i="4"/>
  <c r="G356" i="4"/>
  <c r="H356" i="4"/>
  <c r="I356" i="4"/>
  <c r="J356" i="4"/>
  <c r="K356" i="4"/>
  <c r="D357" i="4"/>
  <c r="E357" i="4"/>
  <c r="F357" i="4"/>
  <c r="G357" i="4"/>
  <c r="H357" i="4"/>
  <c r="I357" i="4"/>
  <c r="J357" i="4"/>
  <c r="K357" i="4"/>
  <c r="D358" i="4"/>
  <c r="E358" i="4"/>
  <c r="F358" i="4"/>
  <c r="G358" i="4"/>
  <c r="H358" i="4"/>
  <c r="I358" i="4"/>
  <c r="J358" i="4"/>
  <c r="K358" i="4"/>
  <c r="D359" i="4"/>
  <c r="E359" i="4"/>
  <c r="F359" i="4"/>
  <c r="G359" i="4"/>
  <c r="H359" i="4"/>
  <c r="I359" i="4"/>
  <c r="J359" i="4"/>
  <c r="K359" i="4"/>
  <c r="D360" i="4"/>
  <c r="E360" i="4"/>
  <c r="F360" i="4"/>
  <c r="G360" i="4"/>
  <c r="H360" i="4"/>
  <c r="I360" i="4"/>
  <c r="J360" i="4"/>
  <c r="K360" i="4"/>
  <c r="D361" i="4"/>
  <c r="E361" i="4"/>
  <c r="F361" i="4"/>
  <c r="G361" i="4"/>
  <c r="H361" i="4"/>
  <c r="I361" i="4"/>
  <c r="J361" i="4"/>
  <c r="K361" i="4"/>
  <c r="D362" i="4"/>
  <c r="E362" i="4"/>
  <c r="F362" i="4"/>
  <c r="G362" i="4"/>
  <c r="H362" i="4"/>
  <c r="I362" i="4"/>
  <c r="J362" i="4"/>
  <c r="K362" i="4"/>
  <c r="M317" i="4"/>
  <c r="N317" i="4"/>
  <c r="M318" i="4"/>
  <c r="N318" i="4"/>
  <c r="M319" i="4"/>
  <c r="N319" i="4"/>
  <c r="M320" i="4"/>
  <c r="N320" i="4"/>
  <c r="M321" i="4"/>
  <c r="N321" i="4"/>
  <c r="M322" i="4"/>
  <c r="N322" i="4"/>
  <c r="M323" i="4"/>
  <c r="N323" i="4"/>
  <c r="M324" i="4"/>
  <c r="N324" i="4"/>
  <c r="M325" i="4"/>
  <c r="N325" i="4"/>
  <c r="M326" i="4"/>
  <c r="N326" i="4"/>
  <c r="M327" i="4"/>
  <c r="N327" i="4"/>
  <c r="M328" i="4"/>
  <c r="N328" i="4"/>
  <c r="M329" i="4"/>
  <c r="N329" i="4"/>
  <c r="M330" i="4"/>
  <c r="N330" i="4"/>
  <c r="M331" i="4"/>
  <c r="N331" i="4"/>
  <c r="M332" i="4"/>
  <c r="N332" i="4"/>
  <c r="M333" i="4"/>
  <c r="N333" i="4"/>
  <c r="M334" i="4"/>
  <c r="N334" i="4"/>
  <c r="M335" i="4"/>
  <c r="N335" i="4"/>
  <c r="M336" i="4"/>
  <c r="N336" i="4"/>
  <c r="M337" i="4"/>
  <c r="N337" i="4"/>
  <c r="M338" i="4"/>
  <c r="N338" i="4"/>
  <c r="M339" i="4"/>
  <c r="N339" i="4"/>
  <c r="M340" i="4"/>
  <c r="N340" i="4"/>
  <c r="M341" i="4"/>
  <c r="N341" i="4"/>
  <c r="M342" i="4"/>
  <c r="N342" i="4"/>
  <c r="M343" i="4"/>
  <c r="N343" i="4"/>
  <c r="M344" i="4"/>
  <c r="N344" i="4"/>
  <c r="M345" i="4"/>
  <c r="N345" i="4"/>
  <c r="M346" i="4"/>
  <c r="N346" i="4"/>
  <c r="M347" i="4"/>
  <c r="N347" i="4"/>
  <c r="M348" i="4"/>
  <c r="N348" i="4"/>
  <c r="M349" i="4"/>
  <c r="N349" i="4"/>
  <c r="M350" i="4"/>
  <c r="N350" i="4"/>
  <c r="M351" i="4"/>
  <c r="N351" i="4"/>
  <c r="M352" i="4"/>
  <c r="N352" i="4"/>
  <c r="M353" i="4"/>
  <c r="N353" i="4"/>
  <c r="M354" i="4"/>
  <c r="N354" i="4"/>
  <c r="M355" i="4"/>
  <c r="N355" i="4"/>
  <c r="M356" i="4"/>
  <c r="N356" i="4"/>
  <c r="M357" i="4"/>
  <c r="N357" i="4"/>
  <c r="M358" i="4"/>
  <c r="N358" i="4"/>
  <c r="M359" i="4"/>
  <c r="N359" i="4"/>
  <c r="M360" i="4"/>
  <c r="N360" i="4"/>
  <c r="M361" i="4"/>
  <c r="N361" i="4"/>
  <c r="M362" i="4"/>
  <c r="N362" i="4"/>
  <c r="M315" i="4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0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tc={85A9750F-72DA-46AD-81D0-79199C6C5253}</author>
  </authors>
  <commentList>
    <comment ref="L4" authorId="0" shapeId="0" xr:uid="{85A9750F-72DA-46AD-81D0-79199C6C5253}">
      <text>
        <t>[Threaded comment]
Your version of Excel allows you to read this threaded comment; however, any edits to it will get removed if the file is opened in a newer version of Excel. Learn more: https://go.microsoft.com/fwlink/?linkid=870924
Comment:
    April 2024 - Dec 2024. May need to check for M/F. Would only show in Comments-none currently noted.</t>
      </text>
    </comment>
  </commentList>
</comments>
</file>

<file path=xl/sharedStrings.xml><?xml version="1.0" encoding="utf-8"?>
<sst xmlns="http://schemas.openxmlformats.org/spreadsheetml/2006/main" count="22614" uniqueCount="626">
  <si>
    <t>Sample Number</t>
  </si>
  <si>
    <t>SH (mm)</t>
  </si>
  <si>
    <t>Site</t>
  </si>
  <si>
    <t xml:space="preserve">Station </t>
  </si>
  <si>
    <t>Date</t>
  </si>
  <si>
    <t>CERP Oyster Monitoring</t>
  </si>
  <si>
    <t>Sex</t>
  </si>
  <si>
    <t>MSX Present</t>
  </si>
  <si>
    <t>MSX Stage</t>
  </si>
  <si>
    <t>Bad Slide</t>
  </si>
  <si>
    <t>Other Parasite</t>
  </si>
  <si>
    <t>Male and Female</t>
  </si>
  <si>
    <t>Repro Stage (2017-current)</t>
  </si>
  <si>
    <t>Repro Stage (2005-2016)</t>
  </si>
  <si>
    <t>Loxahatchee- Repro/MSX</t>
  </si>
  <si>
    <t>LX-N</t>
  </si>
  <si>
    <t>Z</t>
  </si>
  <si>
    <t>No</t>
  </si>
  <si>
    <t>F</t>
  </si>
  <si>
    <t>M</t>
  </si>
  <si>
    <t>Buceph</t>
  </si>
  <si>
    <t>Yes</t>
  </si>
  <si>
    <t>LX-S</t>
  </si>
  <si>
    <t>Bucephalus/Yes</t>
  </si>
  <si>
    <t>Bucephalus</t>
  </si>
  <si>
    <t xml:space="preserve">Buceph </t>
  </si>
  <si>
    <t>CR-W</t>
  </si>
  <si>
    <t>Temp (oC)</t>
  </si>
  <si>
    <t>Salinity (ppt)</t>
  </si>
  <si>
    <t>pH</t>
  </si>
  <si>
    <t>DO (mg/L)</t>
  </si>
  <si>
    <t>DO %</t>
  </si>
  <si>
    <t>Secchi (m)</t>
  </si>
  <si>
    <t>Chl a (ug/L)</t>
  </si>
  <si>
    <t>Tubidity Probe (NTU)</t>
  </si>
  <si>
    <t>Tubidity Handheld (NTU)</t>
  </si>
  <si>
    <t>Station</t>
  </si>
  <si>
    <t>Time</t>
  </si>
  <si>
    <t>Depth (m)</t>
  </si>
  <si>
    <t>OysterID</t>
  </si>
  <si>
    <t>SampleEventID</t>
  </si>
  <si>
    <t>ShellHeight</t>
  </si>
  <si>
    <t>ShellLength</t>
  </si>
  <si>
    <t>ShellWidth</t>
  </si>
  <si>
    <t>TotalWeight</t>
  </si>
  <si>
    <t>ShellWetWeight</t>
  </si>
  <si>
    <t>DermoMantle</t>
  </si>
  <si>
    <t>DermoGill</t>
  </si>
  <si>
    <t>DataStatus</t>
  </si>
  <si>
    <t>DateEntered</t>
  </si>
  <si>
    <t>EnteredBy</t>
  </si>
  <si>
    <t>DateProofed</t>
  </si>
  <si>
    <t>ProofedBy</t>
  </si>
  <si>
    <t>DateCompleted</t>
  </si>
  <si>
    <t>CompletedBy</t>
  </si>
  <si>
    <t>OldSampleNumber</t>
  </si>
  <si>
    <t>Comments</t>
  </si>
  <si>
    <t>AdminNotes</t>
  </si>
  <si>
    <t>LXND2405-01</t>
  </si>
  <si>
    <t>LXCOLL_20240506_1_0242_1</t>
  </si>
  <si>
    <t>NULL</t>
  </si>
  <si>
    <t>Completed</t>
  </si>
  <si>
    <t>Madeline Payne</t>
  </si>
  <si>
    <t>Erica Levine</t>
  </si>
  <si>
    <t>LXND2405-02</t>
  </si>
  <si>
    <t>LXND2405-03</t>
  </si>
  <si>
    <t>LXND2405-04</t>
  </si>
  <si>
    <t>LXND2405-05</t>
  </si>
  <si>
    <t>LXND2405-06</t>
  </si>
  <si>
    <t>LXCOLL_20240506_1_0243_1</t>
  </si>
  <si>
    <t>Pea crab: 0.02g</t>
  </si>
  <si>
    <t>LXND2405-07</t>
  </si>
  <si>
    <t>LXND2405-08</t>
  </si>
  <si>
    <t>LXND2405-09</t>
  </si>
  <si>
    <t>Pea crab: 0.45g</t>
  </si>
  <si>
    <t>LXND2405-10</t>
  </si>
  <si>
    <t>Pea crab:0.32g</t>
  </si>
  <si>
    <t>LXND2405-11</t>
  </si>
  <si>
    <t>LXCOLL_20240506_1_0244_1</t>
  </si>
  <si>
    <t>LXND2405-12</t>
  </si>
  <si>
    <t>LXND2405-13</t>
  </si>
  <si>
    <t>LXND2405-14</t>
  </si>
  <si>
    <t>LXND2405-15</t>
  </si>
  <si>
    <t>LXND2406-01</t>
  </si>
  <si>
    <t>LXCOLL_20240603_1_0242_1</t>
  </si>
  <si>
    <t>Lily Harmon</t>
  </si>
  <si>
    <t>LXND2406-02</t>
  </si>
  <si>
    <t>TW correct</t>
  </si>
  <si>
    <t>LXND2406-03</t>
  </si>
  <si>
    <t>LXND2406-04</t>
  </si>
  <si>
    <t>LXND2406-05</t>
  </si>
  <si>
    <t>LXND2406-06</t>
  </si>
  <si>
    <t>LXCOLL_20240603_1_0243_1</t>
  </si>
  <si>
    <t>LXND2406-07</t>
  </si>
  <si>
    <t>LXND2406-08</t>
  </si>
  <si>
    <t>Pea crab 0.76</t>
  </si>
  <si>
    <t>LXND2406-09</t>
  </si>
  <si>
    <t>LXND2406-10</t>
  </si>
  <si>
    <t>LXND2406-11</t>
  </si>
  <si>
    <t>LXCOLL_20240603_1_0244_1</t>
  </si>
  <si>
    <t>LXND2406-12</t>
  </si>
  <si>
    <t>LXND2406-13</t>
  </si>
  <si>
    <t>LXND2406-14</t>
  </si>
  <si>
    <t>LXND2406-15</t>
  </si>
  <si>
    <t>LXND2407-01</t>
  </si>
  <si>
    <t>LXCOLL_20240709_1_0242_1</t>
  </si>
  <si>
    <t>Mallory Gassen-Kurtz</t>
  </si>
  <si>
    <t>LXND2407-02</t>
  </si>
  <si>
    <t>LXND2407-03</t>
  </si>
  <si>
    <t>LXND2407-04</t>
  </si>
  <si>
    <t>Pea crab 0.53g</t>
  </si>
  <si>
    <t>LXND2407-05</t>
  </si>
  <si>
    <t>LXND2407-06</t>
  </si>
  <si>
    <t>LXCOLL_20240709_1_0243_1</t>
  </si>
  <si>
    <t>LXND2407-07</t>
  </si>
  <si>
    <t>Pea crab 0.32g</t>
  </si>
  <si>
    <t>LXND2407-08</t>
  </si>
  <si>
    <t>LXND2407-09</t>
  </si>
  <si>
    <t>LXND2407-10</t>
  </si>
  <si>
    <t>LXND2407-11</t>
  </si>
  <si>
    <t>LXCOLL_20240709_1_0244_1</t>
  </si>
  <si>
    <t>LXND2407-12</t>
  </si>
  <si>
    <t>LXND2407-13</t>
  </si>
  <si>
    <t>LXND2407-14</t>
  </si>
  <si>
    <t>LXND2407-15</t>
  </si>
  <si>
    <t>LXND2408-01</t>
  </si>
  <si>
    <t>LXCOLL_20240806_1_0242_1</t>
  </si>
  <si>
    <t>LXND2408-02</t>
  </si>
  <si>
    <t>LXND2408-03</t>
  </si>
  <si>
    <t>LXND2408-04</t>
  </si>
  <si>
    <t>LXND2408-05</t>
  </si>
  <si>
    <t>pea crab 0.28g</t>
  </si>
  <si>
    <t>LXND2408-06</t>
  </si>
  <si>
    <t>LXCOLL_20240806_1_0243_1</t>
  </si>
  <si>
    <t>LXND2408-07</t>
  </si>
  <si>
    <t>LXND2408-08</t>
  </si>
  <si>
    <t>LXND2408-09</t>
  </si>
  <si>
    <t>LXND2408-10</t>
  </si>
  <si>
    <t>pea crab 0.64g</t>
  </si>
  <si>
    <t>LXND2408-11</t>
  </si>
  <si>
    <t>LXCOLL_20240806_1_0244_1</t>
  </si>
  <si>
    <t>pea crab 0.26g</t>
  </si>
  <si>
    <t>LXND2408-12</t>
  </si>
  <si>
    <t>LXND2408-13</t>
  </si>
  <si>
    <t>Data confirmed</t>
  </si>
  <si>
    <t>LXND2408-14</t>
  </si>
  <si>
    <t>LXND2408-15</t>
  </si>
  <si>
    <t>LXND2409-01</t>
  </si>
  <si>
    <t>LXCOLL_20240904_1_0242_1</t>
  </si>
  <si>
    <t>Darian Blackiston</t>
  </si>
  <si>
    <t>pea crab 0.56g</t>
  </si>
  <si>
    <t>LXND2409-02</t>
  </si>
  <si>
    <t>pea crab 0.61g</t>
  </si>
  <si>
    <t>LXND2409-03</t>
  </si>
  <si>
    <t>LXND2409-04</t>
  </si>
  <si>
    <t>LXND2409-05</t>
  </si>
  <si>
    <t>LXND2409-06</t>
  </si>
  <si>
    <t>LXCOLL_20240904_1_0243_1</t>
  </si>
  <si>
    <t>pea crab 0.70g</t>
  </si>
  <si>
    <t>LXND2409-07</t>
  </si>
  <si>
    <t>LXND2409-08</t>
  </si>
  <si>
    <t>LXND2409-09</t>
  </si>
  <si>
    <t>LXND2409-10</t>
  </si>
  <si>
    <t>LXND2409-11</t>
  </si>
  <si>
    <t>LXCOLL_20240904_1_0244_1</t>
  </si>
  <si>
    <t>LXND2409-12</t>
  </si>
  <si>
    <t>double oyster present</t>
  </si>
  <si>
    <t>LXND2409-13</t>
  </si>
  <si>
    <t>LXND2409-14</t>
  </si>
  <si>
    <t>LXND2409-15</t>
  </si>
  <si>
    <t>LXND2410-01</t>
  </si>
  <si>
    <t>LXCOLL_20241002_1_0242_1</t>
  </si>
  <si>
    <t>Erica Williams</t>
  </si>
  <si>
    <t>LXND2410-02</t>
  </si>
  <si>
    <t>pea crab 0.29g</t>
  </si>
  <si>
    <t>LXND2410-03</t>
  </si>
  <si>
    <t>pea crab 0.15g</t>
  </si>
  <si>
    <t>LXND2410-04</t>
  </si>
  <si>
    <t>LXND2410-05</t>
  </si>
  <si>
    <t>LXND2410-06</t>
  </si>
  <si>
    <t>LXCOLL_20241002_1_0243_1</t>
  </si>
  <si>
    <t>LXND2410-07</t>
  </si>
  <si>
    <t>LXND2410-08</t>
  </si>
  <si>
    <t>pea crab 0.67g</t>
  </si>
  <si>
    <t>LXND2410-09</t>
  </si>
  <si>
    <t>LXND2410-10</t>
  </si>
  <si>
    <t>LXND2410-11</t>
  </si>
  <si>
    <t>LXCOLL_20241002_1_0244_1</t>
  </si>
  <si>
    <t>LXND2410-12</t>
  </si>
  <si>
    <t>LXND2410-13</t>
  </si>
  <si>
    <t>LXND2410-14</t>
  </si>
  <si>
    <t>LXND2410-15</t>
  </si>
  <si>
    <t>LXND2411-01</t>
  </si>
  <si>
    <t>LXCOLL_20241105_1_0242_1</t>
  </si>
  <si>
    <t>LXND2411-02</t>
  </si>
  <si>
    <t>LXND2411-03</t>
  </si>
  <si>
    <t>LXND2411-04</t>
  </si>
  <si>
    <t>LXND2411-05</t>
  </si>
  <si>
    <t>LXND2411-06</t>
  </si>
  <si>
    <t>LXCOLL_20241105_1_0243_1</t>
  </si>
  <si>
    <t>LXND2411-07</t>
  </si>
  <si>
    <t>LXND2411-08</t>
  </si>
  <si>
    <t>LXND2411-09</t>
  </si>
  <si>
    <t>LXND2411-10</t>
  </si>
  <si>
    <t>LXND2411-11</t>
  </si>
  <si>
    <t>LXCOLL_20241105_1_0244_1</t>
  </si>
  <si>
    <t>LXND2411-12</t>
  </si>
  <si>
    <t>LXND2411-13</t>
  </si>
  <si>
    <t>LXND2411-14</t>
  </si>
  <si>
    <t>LXND2411-15</t>
  </si>
  <si>
    <t>LXND2412-01</t>
  </si>
  <si>
    <t>LXCOLL_20241204_1_0242_1</t>
  </si>
  <si>
    <t>LXND2412-02</t>
  </si>
  <si>
    <t>LXND2412-03</t>
  </si>
  <si>
    <t>LXND2412-04</t>
  </si>
  <si>
    <t>LXND2412-05</t>
  </si>
  <si>
    <t>LXND2412-06</t>
  </si>
  <si>
    <t>LXCOLL_20241204_1_0243_1</t>
  </si>
  <si>
    <t>pea crab 0.36g</t>
  </si>
  <si>
    <t>LXND2412-07</t>
  </si>
  <si>
    <t>LXND2412-08</t>
  </si>
  <si>
    <t>pea crab 0.54g</t>
  </si>
  <si>
    <t>LXND2412-09</t>
  </si>
  <si>
    <t>LXND2412-10</t>
  </si>
  <si>
    <t>LXND2412-11</t>
  </si>
  <si>
    <t>LXCOLL_20241204_1_0244_1</t>
  </si>
  <si>
    <t>LXND2412-12</t>
  </si>
  <si>
    <t>LXND2412-13</t>
  </si>
  <si>
    <t>LXND2412-14</t>
  </si>
  <si>
    <t>LXND2412-15</t>
  </si>
  <si>
    <t>LXSD2405-01</t>
  </si>
  <si>
    <t>LXCOLL_20240506_1_0246_1</t>
  </si>
  <si>
    <t>LXSD2405-02</t>
  </si>
  <si>
    <t>LXSD2405-03</t>
  </si>
  <si>
    <t>LXSD2405-04</t>
  </si>
  <si>
    <t>LXSD2405-05</t>
  </si>
  <si>
    <t>LXSD2405-06</t>
  </si>
  <si>
    <t>LXCOLL_20240506_1_0247_1</t>
  </si>
  <si>
    <t>LXSD2405-07</t>
  </si>
  <si>
    <t>Pea crab: 0.21g</t>
  </si>
  <si>
    <t>LXSD2405-08</t>
  </si>
  <si>
    <t>LXSD2405-09</t>
  </si>
  <si>
    <t>Pea crab: 0.82g</t>
  </si>
  <si>
    <t>LXSD2405-10</t>
  </si>
  <si>
    <t>LXSD2405-11</t>
  </si>
  <si>
    <t>LXCOLL_20240506_1_0249_1</t>
  </si>
  <si>
    <t>Pea crab: 0.41g</t>
  </si>
  <si>
    <t>LXSD2405-12</t>
  </si>
  <si>
    <t>LXSD2405-13</t>
  </si>
  <si>
    <t>LXSD2405-14</t>
  </si>
  <si>
    <t>LXSD2405-15</t>
  </si>
  <si>
    <t>LXSD2406-01</t>
  </si>
  <si>
    <t>LXCOLL_20240603_1_0246_1</t>
  </si>
  <si>
    <t>LXSD2406-02</t>
  </si>
  <si>
    <t>LXSD2406-03</t>
  </si>
  <si>
    <t>Pea crab 0.27</t>
  </si>
  <si>
    <t>LXSD2406-04</t>
  </si>
  <si>
    <t>LXSD2406-05</t>
  </si>
  <si>
    <t>Pea crab 0.05</t>
  </si>
  <si>
    <t>LXSD2406-06</t>
  </si>
  <si>
    <t>LXCOLL_20240603_1_0247_1</t>
  </si>
  <si>
    <t>LXSD2406-07</t>
  </si>
  <si>
    <t>LXSD2406-08</t>
  </si>
  <si>
    <t>LXSD2406-09</t>
  </si>
  <si>
    <t>LXSD2406-10</t>
  </si>
  <si>
    <t>LXSD2406-11</t>
  </si>
  <si>
    <t>LXCOLL_20240603_1_0249_1</t>
  </si>
  <si>
    <t>LXSD2406-12</t>
  </si>
  <si>
    <t>LXSD2406-13</t>
  </si>
  <si>
    <t>LXSD2406-14</t>
  </si>
  <si>
    <t>LXSD2406-15</t>
  </si>
  <si>
    <t>Pea crab 0.57g</t>
  </si>
  <si>
    <t>LXSD2407-01</t>
  </si>
  <si>
    <t>LXCOLL_20240709_1_0246_1</t>
  </si>
  <si>
    <t>LXSD2407-02</t>
  </si>
  <si>
    <t>LXSD2407-03</t>
  </si>
  <si>
    <t>LXSD2407-04</t>
  </si>
  <si>
    <t>LXSD2407-05</t>
  </si>
  <si>
    <t>LXSD2407-06</t>
  </si>
  <si>
    <t>LXCOLL_20240709_1_0247_1</t>
  </si>
  <si>
    <t>LXSD2407-07</t>
  </si>
  <si>
    <t>LXSD2407-08</t>
  </si>
  <si>
    <t>LXSD2407-09</t>
  </si>
  <si>
    <t>LXSD2407-10</t>
  </si>
  <si>
    <t>LXSD2407-11</t>
  </si>
  <si>
    <t>LXCOLL_20240709_1_0249_1</t>
  </si>
  <si>
    <t>LXSD2407-12</t>
  </si>
  <si>
    <t>LXSD2407-13</t>
  </si>
  <si>
    <t>LXSD2407-14</t>
  </si>
  <si>
    <t>LXSD2407-15</t>
  </si>
  <si>
    <t>LXSD2408-01</t>
  </si>
  <si>
    <t>LXCOLL_20240806_1_0246_1</t>
  </si>
  <si>
    <t>pea crab 0.48g</t>
  </si>
  <si>
    <t>LXSD2408-02</t>
  </si>
  <si>
    <t>pea crab 0.01g</t>
  </si>
  <si>
    <t>LXSD2408-03</t>
  </si>
  <si>
    <t>LXSD2408-04</t>
  </si>
  <si>
    <t>LXSD2408-05</t>
  </si>
  <si>
    <t>LXSD2408-06</t>
  </si>
  <si>
    <t>LXCOLL_20240806_1_0247_1</t>
  </si>
  <si>
    <t>pea crab 0.78g</t>
  </si>
  <si>
    <t>LXSD2408-07</t>
  </si>
  <si>
    <t>LXSD2408-08</t>
  </si>
  <si>
    <t>LXSD2408-09</t>
  </si>
  <si>
    <t>LXSD2408-10</t>
  </si>
  <si>
    <t>LXSD2408-11</t>
  </si>
  <si>
    <t>LXCOLL_20240806_1_0249_1</t>
  </si>
  <si>
    <t>LXSD2408-12</t>
  </si>
  <si>
    <t>LXSD2408-13</t>
  </si>
  <si>
    <t>LXSD2408-14</t>
  </si>
  <si>
    <t>LXSD2408-15</t>
  </si>
  <si>
    <t>LXSD2409-01</t>
  </si>
  <si>
    <t>LXCOLL_20240904_1_0246_1</t>
  </si>
  <si>
    <t>pea crab 0.14g</t>
  </si>
  <si>
    <t>LXSD2409-02</t>
  </si>
  <si>
    <t>LXSD2409-03</t>
  </si>
  <si>
    <t>LXSD2409-04</t>
  </si>
  <si>
    <t>LXSD2409-05</t>
  </si>
  <si>
    <t>LXSD2409-06</t>
  </si>
  <si>
    <t>LXCOLL_20240904_1_0247_1</t>
  </si>
  <si>
    <t>pea crab 0.08g</t>
  </si>
  <si>
    <t>LXSD2409-07</t>
  </si>
  <si>
    <t>pea crab 0.17g</t>
  </si>
  <si>
    <t>LXSD2409-08</t>
  </si>
  <si>
    <t>LXSD2409-09</t>
  </si>
  <si>
    <t>LXSD2409-10</t>
  </si>
  <si>
    <t>pea crab 0.03g</t>
  </si>
  <si>
    <t>LXSD2409-11</t>
  </si>
  <si>
    <t>LXCOLL_20240904_1_0249_1</t>
  </si>
  <si>
    <t>pea crab 0.35g</t>
  </si>
  <si>
    <t>LXSD2409-12</t>
  </si>
  <si>
    <t>LXSD2409-13</t>
  </si>
  <si>
    <t>LXSD2409-14</t>
  </si>
  <si>
    <t>LXSD2409-15</t>
  </si>
  <si>
    <t>LXSD2410-01</t>
  </si>
  <si>
    <t>LXCOLL_20241002_1_0246_1</t>
  </si>
  <si>
    <t>LXSD2410-02</t>
  </si>
  <si>
    <t>LXSD2410-03</t>
  </si>
  <si>
    <t>LXSD2410-04</t>
  </si>
  <si>
    <t>LXSD2410-05</t>
  </si>
  <si>
    <t>LXSD2410-06</t>
  </si>
  <si>
    <t>LXCOLL_20241002_1_0247_1</t>
  </si>
  <si>
    <t>LXSD2410-07</t>
  </si>
  <si>
    <t>LXSD2410-08</t>
  </si>
  <si>
    <t>LXSD2410-09</t>
  </si>
  <si>
    <t>LXSD2410-10</t>
  </si>
  <si>
    <t>LXSD2410-11</t>
  </si>
  <si>
    <t>LXCOLL_20241002_1_0249_1</t>
  </si>
  <si>
    <t>LXSD2410-12</t>
  </si>
  <si>
    <t>LXSD2410-13</t>
  </si>
  <si>
    <t>LXSD2410-14</t>
  </si>
  <si>
    <t>LXSD2410-15</t>
  </si>
  <si>
    <t>LXSD2411-01</t>
  </si>
  <si>
    <t>LXCOLL_20241105_1_0246_1</t>
  </si>
  <si>
    <t>LXSD2411-02</t>
  </si>
  <si>
    <t>LXSD2411-03</t>
  </si>
  <si>
    <t>LXSD2411-04</t>
  </si>
  <si>
    <t>pea crab 0.38g</t>
  </si>
  <si>
    <t>LXSD2411-05</t>
  </si>
  <si>
    <t>LXSD2411-06</t>
  </si>
  <si>
    <t>LXCOLL_20241105_1_0247_1</t>
  </si>
  <si>
    <t>LXSD2411-07</t>
  </si>
  <si>
    <t>LXSD2411-08</t>
  </si>
  <si>
    <t>LXSD2411-09</t>
  </si>
  <si>
    <t>LXSD2411-10</t>
  </si>
  <si>
    <t>LXSD2411-11</t>
  </si>
  <si>
    <t>LXCOLL_20241105_1_0249_1</t>
  </si>
  <si>
    <t>LXSD2411-12</t>
  </si>
  <si>
    <t>LXSD2411-13</t>
  </si>
  <si>
    <t>LXSD2411-14</t>
  </si>
  <si>
    <t>LXSD2411-15</t>
  </si>
  <si>
    <t>LXSD2412-01</t>
  </si>
  <si>
    <t>LXCOLL_20241204_1_0246_1</t>
  </si>
  <si>
    <t>LXSD2412-02</t>
  </si>
  <si>
    <t>LXSD2412-03</t>
  </si>
  <si>
    <t>LXSD2412-04</t>
  </si>
  <si>
    <t>LXSD2412-05</t>
  </si>
  <si>
    <t>LXSD2412-06</t>
  </si>
  <si>
    <t>LXCOLL_20241204_1_0247_1</t>
  </si>
  <si>
    <t>LXSD2412-07</t>
  </si>
  <si>
    <t>pea crab 0.51g</t>
  </si>
  <si>
    <t>LXSD2412-08</t>
  </si>
  <si>
    <t>pea crab 0.18g</t>
  </si>
  <si>
    <t>LXSD2412-09</t>
  </si>
  <si>
    <t>LXSD2412-10</t>
  </si>
  <si>
    <t>oyster on another shell- underdeveloped valve</t>
  </si>
  <si>
    <t>LXSD2412-11</t>
  </si>
  <si>
    <t>LXCOLL_20241204_1_0249_1</t>
  </si>
  <si>
    <t>LXSD2412-12</t>
  </si>
  <si>
    <t>LXSD2412-13</t>
  </si>
  <si>
    <t>LXSD2412-14</t>
  </si>
  <si>
    <t>LXSD2412-15</t>
  </si>
  <si>
    <t>ReproStage</t>
  </si>
  <si>
    <t>Parasite</t>
  </si>
  <si>
    <t>BadSlide</t>
  </si>
  <si>
    <t>N</t>
  </si>
  <si>
    <t>Y</t>
  </si>
  <si>
    <t>VGH</t>
  </si>
  <si>
    <t>SampleEventWQID</t>
  </si>
  <si>
    <t>Temperature</t>
  </si>
  <si>
    <t>Salinity</t>
  </si>
  <si>
    <t>DissolvedOxygen</t>
  </si>
  <si>
    <t>Depth</t>
  </si>
  <si>
    <t>SampleDepth</t>
  </si>
  <si>
    <t>Secchi</t>
  </si>
  <si>
    <t>TurbidityYSI</t>
  </si>
  <si>
    <t>TurbidityHach</t>
  </si>
  <si>
    <t>CollectionTime</t>
  </si>
  <si>
    <t>PercentDissolvedOxygen</t>
  </si>
  <si>
    <t>YSICalibration</t>
  </si>
  <si>
    <t>YSINotes</t>
  </si>
  <si>
    <t>LXCOLL_20240506_1_0242_1_01</t>
  </si>
  <si>
    <t>DOPct 107.8</t>
  </si>
  <si>
    <t xml:space="preserve">Y         </t>
  </si>
  <si>
    <t>LXCOLL_20240506_1_0243_1_01</t>
  </si>
  <si>
    <t>DOPct 101.0</t>
  </si>
  <si>
    <t>LXCOLL_20240506_1_0244_1_01</t>
  </si>
  <si>
    <t>LXCOLL_20240506_1_0246_1_01</t>
  </si>
  <si>
    <t>DOPct 124.5</t>
  </si>
  <si>
    <t>LXCOLL_20240506_1_0247_1_01</t>
  </si>
  <si>
    <t>DOPct 127.9</t>
  </si>
  <si>
    <t>LXCOLL_20240506_1_0249_1_01</t>
  </si>
  <si>
    <t>DOPct 125.0</t>
  </si>
  <si>
    <t>LXCOLL_20240603_1_0242_1_01</t>
  </si>
  <si>
    <t>LXCOLL_20240603_1_0243_1_01</t>
  </si>
  <si>
    <t>LXCOLL_20240603_1_0244_1_01</t>
  </si>
  <si>
    <t>LXCOLL_20240603_1_0246_1_01</t>
  </si>
  <si>
    <t>LXCOLL_20240603_1_0247_1_01</t>
  </si>
  <si>
    <t>LXCOLL_20240603_1_0249_1_01</t>
  </si>
  <si>
    <t>LXCOLL_20240709_1_0242_1_01</t>
  </si>
  <si>
    <t>LXCOLL_20240709_1_0243_1_01</t>
  </si>
  <si>
    <t>LXCOLL_20240709_1_0244_1_01</t>
  </si>
  <si>
    <t>LXCOLL_20240709_1_0246_1_01</t>
  </si>
  <si>
    <t>LXCOLL_20240709_1_0247_1_01</t>
  </si>
  <si>
    <t>LXCOLL_20240709_1_0249_1_01</t>
  </si>
  <si>
    <t>LXCOLL_20240806_1_0242_1_01</t>
  </si>
  <si>
    <t>LXCOLL_20240806_1_0243_1_01</t>
  </si>
  <si>
    <t>LXCOLL_20240806_1_0244_1_01</t>
  </si>
  <si>
    <t>LXCOLL_20240806_1_0246_1_01</t>
  </si>
  <si>
    <t>LXCOLL_20240806_1_0247_1_01</t>
  </si>
  <si>
    <t>LXCOLL_20240806_1_0249_1_01</t>
  </si>
  <si>
    <t>LXCOLL_20240904_1_0242_1_01</t>
  </si>
  <si>
    <t>LXCOLL_20240904_1_0243_1_01</t>
  </si>
  <si>
    <t>LXCOLL_20240904_1_0244_1_01</t>
  </si>
  <si>
    <t>LXCOLL_20240904_1_0246_1_01</t>
  </si>
  <si>
    <t>LXCOLL_20240904_1_0247_1_01</t>
  </si>
  <si>
    <t>LXCOLL_20240904_1_0249_1_01</t>
  </si>
  <si>
    <t>LXCOLL_20241002_1_0242_1_01</t>
  </si>
  <si>
    <t>LXCOLL_20241002_1_0243_1_01</t>
  </si>
  <si>
    <t>LXCOLL_20241002_1_0244_1_01</t>
  </si>
  <si>
    <t>LXCOLL_20241002_1_0246_1_01</t>
  </si>
  <si>
    <t>LXCOLL_20241002_1_0247_1_01</t>
  </si>
  <si>
    <t>LXCOLL_20241002_1_0249_1_01</t>
  </si>
  <si>
    <t>LXCOLL_20241105_1_0242_1_01</t>
  </si>
  <si>
    <t>LXCOLL_20241105_1_0243_1_01</t>
  </si>
  <si>
    <t>LXCOLL_20241105_1_0244_1_01</t>
  </si>
  <si>
    <t>LXCOLL_20241105_1_0246_1_01</t>
  </si>
  <si>
    <t>LXCOLL_20241105_1_0247_1_01</t>
  </si>
  <si>
    <t>LXCOLL_20241105_1_0249_1_01</t>
  </si>
  <si>
    <t>LXCOLL_20241204_1_0242_1_01</t>
  </si>
  <si>
    <t>LXCOLL_20241204_1_0243_1_01</t>
  </si>
  <si>
    <t>LXCOLL_20241204_1_0244_1_01</t>
  </si>
  <si>
    <t>LXCOLL_20241204_1_0246_1_01</t>
  </si>
  <si>
    <t>LXCOLL_20241204_1_0247_1_01</t>
  </si>
  <si>
    <t>LXCOLL_20241204_1_0249_1_01</t>
  </si>
  <si>
    <t>Helper</t>
  </si>
  <si>
    <t>StationNumber</t>
  </si>
  <si>
    <t>FixedLocationID</t>
  </si>
  <si>
    <t>Formulas</t>
  </si>
  <si>
    <t>Repro</t>
  </si>
  <si>
    <t/>
  </si>
  <si>
    <t>242</t>
  </si>
  <si>
    <t>243</t>
  </si>
  <si>
    <t>244</t>
  </si>
  <si>
    <t>245</t>
  </si>
  <si>
    <t>246</t>
  </si>
  <si>
    <t>247</t>
  </si>
  <si>
    <t>248</t>
  </si>
  <si>
    <t>249</t>
  </si>
  <si>
    <t>Row1520</t>
  </si>
  <si>
    <t>=IFERROR(TEXT(DATE(MID(INDEX(Database_dermo!$A:$I, MATCH($N1520, Database_dermo!$A:$A, 0), 2),8,4),MID(INDEX(Database_dermo!$A:$I, MATCH($N1520, Database_dermo!$A:$A, 0), 2),12,2),MID(INDEX(Database_dermo!$A:$I, MATCH($N1520, Database_dermo!$A:$A, 0), 2),14,2)), "M/D/YYYY"), "Not Found")</t>
  </si>
  <si>
    <t>=IFERROR(VLOOKUP(MID(INDEX(Database_dermo!$A:$I, MATCH($N1520, Database_dermo!$A:$A, 0), 2),20,3),Notes!A$1:C$9,3,TRUE), "Not Found")</t>
  </si>
  <si>
    <t>=IFERROR(RIGHT(INDEX(Database_dermo!$A:$I, MATCH($N1520, Database_dermo!$A:$A, 0), 1),2), "Not Found")</t>
  </si>
  <si>
    <t>=IFERROR(VLOOKUP(MID(INDEX(Database_dermo!$A:$I, MATCH($N1520, Database_dermo!$A:$A, 0), 2),20,3),Notes!A$1:C$9,2,TRUE), "Not Found")</t>
  </si>
  <si>
    <t>=IFERROR(INDEX(Database_dermo!$A:$I, MATCH($N1520, Database_dermo!$A:$A, 0), 3), "Not Found")</t>
  </si>
  <si>
    <t>=IFERROR(INDEX(Database_repro!$A:$F, MATCH($N1520, Database_repro!$A:$A, 0), 3), "Not Found")</t>
  </si>
  <si>
    <t>=IFERROR(INDEX(Database_repro!$A:$F, MATCH($N1520, Database_repro!$A:$A, 0), 4), "Not Found")</t>
  </si>
  <si>
    <t>=IFERROR(INDEX(Database_repro!$A:$F, MATCH($N1521, Database_repro!$A:$A, 0), 5), "Not Found")</t>
  </si>
  <si>
    <t>=IFERROR(IF(INDEX(Database_repro!$A:$F, MATCH($N1520, Database_repro!$A:$A, 0), 6)="N","No",IF(INDEX(Database_repro!$A:$F, MATCH($N1520, Database_repro!$A:$A, 0), 6)="Y","Yes","Z")), "Not Found")</t>
  </si>
  <si>
    <t>WQ</t>
  </si>
  <si>
    <t>=DATE(MID(O315,8,4), MID(O315,12,2),MID(O315,14,2))</t>
  </si>
  <si>
    <t>=VLOOKUP(MID(O316,20,3),Notes!A$1:C$9, 3)</t>
  </si>
  <si>
    <t>=VLOOKUP(MID(O316,20,3),Notes!A$1:C$9,2)</t>
  </si>
  <si>
    <t>Row315</t>
  </si>
  <si>
    <t>=IFERROR(INDEX(Database_WQ!$A:$V, MATCH($O315, Database_WQ!$A:$A, 0), 21), "Not Found")</t>
  </si>
  <si>
    <t>=IFERROR(INDEX(Database_WQ!$A:$V, MATCH($O315, Database_WQ!$A:$A, 0), 7), "Not Found")</t>
  </si>
  <si>
    <t>=IFERROR(INDEX(Database_WQ!$A:$V, MATCH($O315, Database_WQ!$A:$A, 0), 3), "Not Found")</t>
  </si>
  <si>
    <t>=IFERROR(INDEX(Database_WQ!$A:$V, MATCH($O315, Database_WQ!$A:$A, 0), 4), "Not Found")</t>
  </si>
  <si>
    <t>=IFERROR(INDEX(Database_WQ!$A:$V, MATCH($O315, Database_WQ!$A:$A, 0), 6), "Not Found")</t>
  </si>
  <si>
    <t>=IFERROR(INDEX(Database_WQ!$A:$V, MATCH($O315, Database_WQ!$A:$A, 0), 5), "Not Found")</t>
  </si>
  <si>
    <t>=IFERROR(INDEX(Database_WQ!$A:$V, MATCH($O315, Database_WQ!$A:$A, 0), 22), "Not Found")</t>
  </si>
  <si>
    <t>=IFERROR(INDEX(Database_WQ!$A:$V, MATCH($O315, Database_WQ!$A:$A, 0), 9), "Not Found")</t>
  </si>
  <si>
    <t>=IFERROR(INDEX(Database_WQ!$A:$V, MATCH($O316, Database_WQ!$A:$A, 0), 10), "Not Found")</t>
  </si>
  <si>
    <t>=IFERROR(INDEX(Database_WQ!$A:$V, MATCH($O315, Database_WQ!$A:$A, 0), 11), "Not Found")</t>
  </si>
  <si>
    <t>LXCOLL_20250318_1_0242_1</t>
  </si>
  <si>
    <t>LXCOLL_20250318_1_0243_1</t>
  </si>
  <si>
    <t>LXCOLL_20250318_1_0244_1</t>
  </si>
  <si>
    <t>LXCOLL_20250408_1_0242_1</t>
  </si>
  <si>
    <t>LXCOLL_20250408_1_0243_1</t>
  </si>
  <si>
    <t>LXCOLL_20250408_1_0244_1</t>
  </si>
  <si>
    <t>LXCOLL_20250506_1_0242_1</t>
  </si>
  <si>
    <t>LXCOLL_20250506_1_0243_1</t>
  </si>
  <si>
    <t>LXCOLL_20250506_1_0244_1</t>
  </si>
  <si>
    <t>LXND2503-16</t>
  </si>
  <si>
    <t>LXND2503-17</t>
  </si>
  <si>
    <t>LXND2503-18</t>
  </si>
  <si>
    <t>LXND2503-19</t>
  </si>
  <si>
    <t>LXND2503-20</t>
  </si>
  <si>
    <t>LXND2503-21</t>
  </si>
  <si>
    <t>LXND2503-22</t>
  </si>
  <si>
    <t>LXND2503-23</t>
  </si>
  <si>
    <t>LXND2503-24</t>
  </si>
  <si>
    <t>LXND2503-25</t>
  </si>
  <si>
    <t>LXND2503-26</t>
  </si>
  <si>
    <t>LXND2503-27</t>
  </si>
  <si>
    <t>LXND2503-28</t>
  </si>
  <si>
    <t>LXND2503-29</t>
  </si>
  <si>
    <t>LXND2503-30</t>
  </si>
  <si>
    <t>LXND2503-31</t>
  </si>
  <si>
    <t>LXND2503-32</t>
  </si>
  <si>
    <t>LXND2503-33</t>
  </si>
  <si>
    <t>LXND2503-34</t>
  </si>
  <si>
    <t>LXND2503-35</t>
  </si>
  <si>
    <t>LXND2503-36</t>
  </si>
  <si>
    <t>LXND2503-37</t>
  </si>
  <si>
    <t>LXND2503-38</t>
  </si>
  <si>
    <t>LXND2503-39</t>
  </si>
  <si>
    <t>LXND2503-40</t>
  </si>
  <si>
    <t>LXND2503-41</t>
  </si>
  <si>
    <t>LXND2503-42</t>
  </si>
  <si>
    <t>LXND2503-43</t>
  </si>
  <si>
    <t>LXND2503-44</t>
  </si>
  <si>
    <t>LXND2503-45</t>
  </si>
  <si>
    <t>LXND2503-46</t>
  </si>
  <si>
    <t>LXND2503-47</t>
  </si>
  <si>
    <t>LXND2503-48</t>
  </si>
  <si>
    <t>LXND2503-49</t>
  </si>
  <si>
    <t>LXND2503-50</t>
  </si>
  <si>
    <t>LXND2503-51</t>
  </si>
  <si>
    <t>LXND2503-52</t>
  </si>
  <si>
    <t>LXND2503-53</t>
  </si>
  <si>
    <t>LXND2503-54</t>
  </si>
  <si>
    <t>LXND2503-55</t>
  </si>
  <si>
    <t>LXND2504-16</t>
  </si>
  <si>
    <t>LXND2504-17</t>
  </si>
  <si>
    <t>LXND2504-18</t>
  </si>
  <si>
    <t>LXND2504-19</t>
  </si>
  <si>
    <t>LXND2504-20</t>
  </si>
  <si>
    <t>LXND2504-21</t>
  </si>
  <si>
    <t>LXND2504-22</t>
  </si>
  <si>
    <t>LXND2504-23</t>
  </si>
  <si>
    <t>LXND2504-24</t>
  </si>
  <si>
    <t>LXND2504-25</t>
  </si>
  <si>
    <t>LXND2504-26</t>
  </si>
  <si>
    <t>LXND2504-27</t>
  </si>
  <si>
    <t>LXND2504-28</t>
  </si>
  <si>
    <t>LXND2504-29</t>
  </si>
  <si>
    <t>LXND2504-30</t>
  </si>
  <si>
    <t>LXND2504-31</t>
  </si>
  <si>
    <t>LXND2504-32</t>
  </si>
  <si>
    <t>LXND2504-33</t>
  </si>
  <si>
    <t>LXND2504-34</t>
  </si>
  <si>
    <t>LXND2504-35</t>
  </si>
  <si>
    <t>LXND2504-36</t>
  </si>
  <si>
    <t>LXND2504-37</t>
  </si>
  <si>
    <t>LXND2504-38</t>
  </si>
  <si>
    <t>LXND2504-39</t>
  </si>
  <si>
    <t>LXND2504-40</t>
  </si>
  <si>
    <t>LXND2504-41</t>
  </si>
  <si>
    <t>LXND2504-42</t>
  </si>
  <si>
    <t>LXND2504-43</t>
  </si>
  <si>
    <t>LXND2504-44</t>
  </si>
  <si>
    <t>LXND2504-45</t>
  </si>
  <si>
    <t>LXND2504-46</t>
  </si>
  <si>
    <t>LXND2504-47</t>
  </si>
  <si>
    <t>LXND2504-48</t>
  </si>
  <si>
    <t>LXND2504-49</t>
  </si>
  <si>
    <t>LXND2504-50</t>
  </si>
  <si>
    <t>LXND2505-16</t>
  </si>
  <si>
    <t>LXND2505-17</t>
  </si>
  <si>
    <t>LXND2505-18</t>
  </si>
  <si>
    <t>LXND2505-19</t>
  </si>
  <si>
    <t>LXND2505-20</t>
  </si>
  <si>
    <t>LXND2505-21</t>
  </si>
  <si>
    <t>LXND2505-22</t>
  </si>
  <si>
    <t>LXND2505-23</t>
  </si>
  <si>
    <t>LXND2505-24</t>
  </si>
  <si>
    <t>LXND2505-25</t>
  </si>
  <si>
    <t>LXND2505-26</t>
  </si>
  <si>
    <t>LXND2505-27</t>
  </si>
  <si>
    <t>LXND2505-28</t>
  </si>
  <si>
    <t>LXND2505-29</t>
  </si>
  <si>
    <t>LXND2505-30</t>
  </si>
  <si>
    <t>LXND2505-31</t>
  </si>
  <si>
    <t>LXND2505-32</t>
  </si>
  <si>
    <t>LXND2505-33</t>
  </si>
  <si>
    <t>LXND2505-34</t>
  </si>
  <si>
    <t>LXND2505-35</t>
  </si>
  <si>
    <t>LXND2505-36</t>
  </si>
  <si>
    <t>LXND2505-37</t>
  </si>
  <si>
    <t>LXND2505-38</t>
  </si>
  <si>
    <t>LXND2505-39</t>
  </si>
  <si>
    <t>LXND2505-40</t>
  </si>
  <si>
    <t>LXND2505-41</t>
  </si>
  <si>
    <t>LXND2505-42</t>
  </si>
  <si>
    <t>LXND2505-43</t>
  </si>
  <si>
    <t>LXND2505-44</t>
  </si>
  <si>
    <t>LXND2505-45</t>
  </si>
  <si>
    <t>LXND2505-46</t>
  </si>
  <si>
    <t>LXND2505-47</t>
  </si>
  <si>
    <t>LXND2505-48</t>
  </si>
  <si>
    <t>LXND2505-49</t>
  </si>
  <si>
    <t>LXND2505-50</t>
  </si>
  <si>
    <t>LXND2505-51</t>
  </si>
  <si>
    <t>LXND2505-52</t>
  </si>
  <si>
    <t>LXND2505-53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</si>
</sst>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/d/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/>
    <xf numFmtId="22" fontId="0" fillId="0" borderId="0" xfId="0" applyNumberForma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quotePrefix="1" applyFont="1"/>
    <xf numFmtId="0" fontId="0" fillId="0" borderId="0" xfId="0" quotePrefix="1"/>
  </cellXfs>
  <cellStyles count="2">
    <cellStyle name="Normal" xfId="0" builtinId="0"/>
    <cellStyle name="Normal 2" xfId="1" xr:uid="{E8A24F96-723C-4B7C-8C62-33EC052D1EB4}"/>
  </cellStyles>
  <dxfs count="4">
    <dxf>
      <font>
        <b/>
        <i val="0"/>
      </font>
      <numFmt numFmtId="30" formatCode="@"/>
    </dxf>
    <dxf>
      <font>
        <b val="0"/>
        <i val="0"/>
      </font>
      <numFmt numFmtId="19" formatCode="m/d/yyyy"/>
    </dxf>
    <dxf>
      <font>
        <b/>
        <i val="0"/>
      </font>
      <numFmt numFmtId="30" formatCode="@"/>
    </dxf>
    <dxf>
      <font>
        <b val="0"/>
        <i val="0"/>
      </font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s, Erica" id="{72D8D3A3-A739-4242-BAA2-8BFEE8151ADE}" userId="S::Erica.Williams@MyFWC.com::921c2878-c904-4fb0-b24e-7ecaaeec0a2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3-06T19:42:14.03" personId="{72D8D3A3-A739-4242-BAA2-8BFEE8151ADE}" id="{85A9750F-72DA-46AD-81D0-79199C6C5253}">
    <text>April 2024 - Dec 2024. May need to check for M/F. Would only show in Comments-none currently noted.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EBE3-635E-4AD0-A6A8-D80F1AF2A4AB}">
  <sheetPr codeName="Sheet3">
    <pageSetUpPr fitToPage="1"/>
  </sheetPr>
  <dimension ref="A1:V2509"/>
  <sheetViews>
    <sheetView tabSelected="1" zoomScaleNormal="100" workbookViewId="0">
      <pane ySplit="4" topLeftCell="A1730" activePane="bottomLeft" state="frozen"/>
      <selection activeCell="E1011" activeCellId="1" sqref="A1011:C1025 E1011:E1025"/>
      <selection pane="bottomLeft" activeCell="A1744" sqref="A1744"/>
    </sheetView>
  </sheetViews>
  <sheetFormatPr defaultRowHeight="13.2" x14ac:dyDescent="0.25"/>
  <cols>
    <col min="1" max="1" width="10.6640625" style="12" bestFit="1" customWidth="1"/>
    <col min="2" max="3" width="12.44140625" style="1" bestFit="1" customWidth="1"/>
    <col min="4" max="4" width="26.33203125" style="1" bestFit="1" customWidth="1"/>
    <col min="5" max="5" width="9.5546875" style="5" bestFit="1" customWidth="1"/>
    <col min="6" max="10" width="9.5546875" style="1" customWidth="1"/>
    <col min="11" max="11" width="15.5546875" style="1" bestFit="1" customWidth="1"/>
    <col min="12" max="12" width="10.44140625" style="1" customWidth="1"/>
    <col min="13" max="13" width="9.33203125" style="1" customWidth="1"/>
    <col min="14" max="14" width="12.44140625" bestFit="1" customWidth="1"/>
  </cols>
  <sheetData>
    <row r="1" spans="1:14" x14ac:dyDescent="0.25">
      <c r="A1" s="11" t="s">
        <v>5</v>
      </c>
      <c r="F1" s="10"/>
      <c r="G1" s="10"/>
      <c r="H1" s="3"/>
    </row>
    <row r="2" spans="1:14" x14ac:dyDescent="0.25">
      <c r="A2" s="11" t="s">
        <v>14</v>
      </c>
      <c r="C2" s="2"/>
      <c r="E2" s="13"/>
      <c r="F2" s="10"/>
      <c r="G2" s="10"/>
      <c r="H2" s="3"/>
    </row>
    <row r="3" spans="1:14" x14ac:dyDescent="0.25">
      <c r="C3" s="2"/>
      <c r="F3" s="3"/>
      <c r="G3" s="3"/>
      <c r="H3" s="3"/>
    </row>
    <row r="4" spans="1:14" s="1" customFormat="1" ht="52.8" x14ac:dyDescent="0.25">
      <c r="A4" s="12" t="s">
        <v>4</v>
      </c>
      <c r="B4" s="7" t="s">
        <v>2</v>
      </c>
      <c r="C4" s="6" t="s">
        <v>0</v>
      </c>
      <c r="D4" s="6" t="s">
        <v>3</v>
      </c>
      <c r="E4" s="8" t="s">
        <v>1</v>
      </c>
      <c r="F4" s="6" t="s">
        <v>6</v>
      </c>
      <c r="G4" s="6" t="s">
        <v>12</v>
      </c>
      <c r="H4" s="6" t="s">
        <v>13</v>
      </c>
      <c r="I4" s="6" t="s">
        <v>7</v>
      </c>
      <c r="J4" s="6" t="s">
        <v>8</v>
      </c>
      <c r="K4" s="6" t="s">
        <v>10</v>
      </c>
      <c r="L4" s="6" t="s">
        <v>11</v>
      </c>
      <c r="M4" s="6" t="s">
        <v>9</v>
      </c>
      <c r="N4" s="2" t="s">
        <v>465</v>
      </c>
    </row>
    <row r="5" spans="1:14" x14ac:dyDescent="0.25">
      <c r="A5" s="9">
        <v>43837</v>
      </c>
      <c r="B5" s="1" t="s">
        <v>15</v>
      </c>
      <c r="C5" s="1">
        <v>1</v>
      </c>
      <c r="D5" s="1">
        <v>1</v>
      </c>
      <c r="E5" s="14">
        <v>67.02</v>
      </c>
      <c r="F5" s="1" t="s">
        <v>16</v>
      </c>
      <c r="G5" s="1">
        <v>4</v>
      </c>
      <c r="H5" s="1" t="s">
        <v>16</v>
      </c>
      <c r="I5" s="1" t="s">
        <v>16</v>
      </c>
      <c r="J5" s="1" t="s">
        <v>16</v>
      </c>
      <c r="K5" s="1" t="s">
        <v>17</v>
      </c>
      <c r="L5" s="1" t="s">
        <v>17</v>
      </c>
      <c r="M5" s="1" t="s">
        <v>17</v>
      </c>
      <c r="N5" s="1" t="s">
        <v>16</v>
      </c>
    </row>
    <row r="6" spans="1:14" x14ac:dyDescent="0.25">
      <c r="A6" s="9">
        <v>43837</v>
      </c>
      <c r="B6" s="1" t="s">
        <v>15</v>
      </c>
      <c r="C6" s="1">
        <v>2</v>
      </c>
      <c r="D6" s="1">
        <v>1</v>
      </c>
      <c r="E6" s="14">
        <v>55.19</v>
      </c>
      <c r="F6" s="1" t="s">
        <v>16</v>
      </c>
      <c r="G6" s="1">
        <v>4</v>
      </c>
      <c r="H6" s="1" t="s">
        <v>16</v>
      </c>
      <c r="I6" s="1" t="s">
        <v>16</v>
      </c>
      <c r="J6" s="1" t="s">
        <v>16</v>
      </c>
      <c r="K6" s="1" t="s">
        <v>17</v>
      </c>
      <c r="L6" s="1" t="s">
        <v>17</v>
      </c>
      <c r="M6" s="1" t="s">
        <v>17</v>
      </c>
      <c r="N6" s="1" t="s">
        <v>16</v>
      </c>
    </row>
    <row r="7" spans="1:14" x14ac:dyDescent="0.25">
      <c r="A7" s="9">
        <v>43837</v>
      </c>
      <c r="B7" s="1" t="s">
        <v>15</v>
      </c>
      <c r="C7" s="1">
        <v>3</v>
      </c>
      <c r="D7" s="1">
        <v>1</v>
      </c>
      <c r="E7" s="14">
        <v>47.73</v>
      </c>
      <c r="F7" s="1" t="s">
        <v>16</v>
      </c>
      <c r="G7" s="1">
        <v>4</v>
      </c>
      <c r="H7" s="1" t="s">
        <v>16</v>
      </c>
      <c r="I7" s="1" t="s">
        <v>16</v>
      </c>
      <c r="J7" s="1" t="s">
        <v>16</v>
      </c>
      <c r="K7" s="1" t="s">
        <v>17</v>
      </c>
      <c r="L7" s="1" t="s">
        <v>17</v>
      </c>
      <c r="M7" s="1" t="s">
        <v>17</v>
      </c>
      <c r="N7" s="1" t="s">
        <v>16</v>
      </c>
    </row>
    <row r="8" spans="1:14" x14ac:dyDescent="0.25">
      <c r="A8" s="9">
        <v>43837</v>
      </c>
      <c r="B8" s="1" t="s">
        <v>15</v>
      </c>
      <c r="C8" s="1">
        <v>4</v>
      </c>
      <c r="D8" s="1">
        <v>1</v>
      </c>
      <c r="E8" s="14">
        <v>55.5</v>
      </c>
      <c r="F8" s="1" t="s">
        <v>18</v>
      </c>
      <c r="G8" s="1">
        <v>1</v>
      </c>
      <c r="H8" s="1" t="s">
        <v>16</v>
      </c>
      <c r="I8" s="1" t="s">
        <v>16</v>
      </c>
      <c r="J8" s="1" t="s">
        <v>16</v>
      </c>
      <c r="K8" s="1" t="s">
        <v>17</v>
      </c>
      <c r="L8" s="1" t="s">
        <v>17</v>
      </c>
      <c r="M8" s="1" t="s">
        <v>17</v>
      </c>
      <c r="N8" s="1" t="s">
        <v>16</v>
      </c>
    </row>
    <row r="9" spans="1:14" x14ac:dyDescent="0.25">
      <c r="A9" s="9">
        <v>43837</v>
      </c>
      <c r="B9" s="1" t="s">
        <v>15</v>
      </c>
      <c r="C9" s="1">
        <v>5</v>
      </c>
      <c r="D9" s="1">
        <v>1</v>
      </c>
      <c r="E9" s="14">
        <v>50.82</v>
      </c>
      <c r="F9" s="1" t="s">
        <v>16</v>
      </c>
      <c r="G9" s="1">
        <v>4</v>
      </c>
      <c r="H9" s="1" t="s">
        <v>16</v>
      </c>
      <c r="I9" s="1" t="s">
        <v>16</v>
      </c>
      <c r="J9" s="1" t="s">
        <v>16</v>
      </c>
      <c r="K9" s="1" t="s">
        <v>17</v>
      </c>
      <c r="L9" s="1" t="s">
        <v>17</v>
      </c>
      <c r="M9" s="1" t="s">
        <v>17</v>
      </c>
      <c r="N9" s="1" t="s">
        <v>16</v>
      </c>
    </row>
    <row r="10" spans="1:14" x14ac:dyDescent="0.25">
      <c r="A10" s="9">
        <v>43837</v>
      </c>
      <c r="B10" s="1" t="s">
        <v>15</v>
      </c>
      <c r="C10" s="1">
        <v>6</v>
      </c>
      <c r="D10" s="1">
        <v>2</v>
      </c>
      <c r="E10" s="14">
        <v>56.67</v>
      </c>
      <c r="F10" s="1" t="s">
        <v>19</v>
      </c>
      <c r="G10" s="1">
        <v>3</v>
      </c>
      <c r="H10" s="1" t="s">
        <v>16</v>
      </c>
      <c r="I10" s="1" t="s">
        <v>16</v>
      </c>
      <c r="J10" s="1" t="s">
        <v>16</v>
      </c>
      <c r="K10" s="1" t="s">
        <v>17</v>
      </c>
      <c r="L10" s="1" t="s">
        <v>17</v>
      </c>
      <c r="M10" s="1" t="s">
        <v>17</v>
      </c>
      <c r="N10" s="1" t="s">
        <v>16</v>
      </c>
    </row>
    <row r="11" spans="1:14" x14ac:dyDescent="0.25">
      <c r="A11" s="9">
        <v>43837</v>
      </c>
      <c r="B11" s="1" t="s">
        <v>15</v>
      </c>
      <c r="C11" s="1">
        <v>7</v>
      </c>
      <c r="D11" s="1">
        <v>2</v>
      </c>
      <c r="E11" s="14">
        <v>47.87</v>
      </c>
      <c r="F11" s="1" t="s">
        <v>16</v>
      </c>
      <c r="G11" s="1">
        <v>4</v>
      </c>
      <c r="H11" s="1" t="s">
        <v>16</v>
      </c>
      <c r="I11" s="1" t="s">
        <v>16</v>
      </c>
      <c r="J11" s="1" t="s">
        <v>16</v>
      </c>
      <c r="K11" s="1" t="s">
        <v>17</v>
      </c>
      <c r="L11" s="1" t="s">
        <v>17</v>
      </c>
      <c r="M11" s="1" t="s">
        <v>17</v>
      </c>
      <c r="N11" s="1" t="s">
        <v>16</v>
      </c>
    </row>
    <row r="12" spans="1:14" x14ac:dyDescent="0.25">
      <c r="A12" s="9">
        <v>43837</v>
      </c>
      <c r="B12" s="1" t="s">
        <v>15</v>
      </c>
      <c r="C12" s="1">
        <v>8</v>
      </c>
      <c r="D12" s="1">
        <v>2</v>
      </c>
      <c r="E12" s="14">
        <v>45.61</v>
      </c>
      <c r="F12" s="1" t="s">
        <v>18</v>
      </c>
      <c r="G12" s="1">
        <v>2</v>
      </c>
      <c r="H12" s="1" t="s">
        <v>16</v>
      </c>
      <c r="I12" s="1" t="s">
        <v>16</v>
      </c>
      <c r="J12" s="1" t="s">
        <v>16</v>
      </c>
      <c r="K12" s="1" t="s">
        <v>17</v>
      </c>
      <c r="L12" s="1" t="s">
        <v>17</v>
      </c>
      <c r="M12" s="1" t="s">
        <v>17</v>
      </c>
      <c r="N12" s="1" t="s">
        <v>16</v>
      </c>
    </row>
    <row r="13" spans="1:14" x14ac:dyDescent="0.25">
      <c r="A13" s="9">
        <v>43837</v>
      </c>
      <c r="B13" s="1" t="s">
        <v>15</v>
      </c>
      <c r="C13" s="1">
        <v>9</v>
      </c>
      <c r="D13" s="1">
        <v>2</v>
      </c>
      <c r="E13" s="14">
        <v>55.84</v>
      </c>
      <c r="F13" s="1" t="s">
        <v>18</v>
      </c>
      <c r="G13" s="1">
        <v>1</v>
      </c>
      <c r="H13" s="1" t="s">
        <v>16</v>
      </c>
      <c r="I13" s="1" t="s">
        <v>16</v>
      </c>
      <c r="J13" s="1" t="s">
        <v>16</v>
      </c>
      <c r="K13" s="1" t="s">
        <v>17</v>
      </c>
      <c r="L13" s="1" t="s">
        <v>17</v>
      </c>
      <c r="M13" s="1" t="s">
        <v>17</v>
      </c>
      <c r="N13" s="1" t="s">
        <v>16</v>
      </c>
    </row>
    <row r="14" spans="1:14" x14ac:dyDescent="0.25">
      <c r="A14" s="9">
        <v>43837</v>
      </c>
      <c r="B14" s="1" t="s">
        <v>15</v>
      </c>
      <c r="C14" s="1">
        <v>10</v>
      </c>
      <c r="D14" s="1">
        <v>2</v>
      </c>
      <c r="E14" s="14">
        <v>54.87</v>
      </c>
      <c r="F14" s="1" t="s">
        <v>16</v>
      </c>
      <c r="G14" s="1">
        <v>4</v>
      </c>
      <c r="H14" s="1" t="s">
        <v>16</v>
      </c>
      <c r="I14" s="1" t="s">
        <v>16</v>
      </c>
      <c r="J14" s="1" t="s">
        <v>16</v>
      </c>
      <c r="K14" s="1" t="s">
        <v>17</v>
      </c>
      <c r="L14" s="1" t="s">
        <v>17</v>
      </c>
      <c r="M14" s="1" t="s">
        <v>17</v>
      </c>
      <c r="N14" s="1" t="s">
        <v>16</v>
      </c>
    </row>
    <row r="15" spans="1:14" x14ac:dyDescent="0.25">
      <c r="A15" s="9">
        <v>43837</v>
      </c>
      <c r="B15" s="1" t="s">
        <v>15</v>
      </c>
      <c r="C15" s="1">
        <v>11</v>
      </c>
      <c r="D15" s="1">
        <v>3</v>
      </c>
      <c r="E15" s="14">
        <v>54.74</v>
      </c>
      <c r="F15" s="1" t="s">
        <v>18</v>
      </c>
      <c r="G15" s="1">
        <v>3</v>
      </c>
      <c r="H15" s="1" t="s">
        <v>16</v>
      </c>
      <c r="I15" s="1" t="s">
        <v>16</v>
      </c>
      <c r="J15" s="1" t="s">
        <v>16</v>
      </c>
      <c r="K15" s="1" t="s">
        <v>17</v>
      </c>
      <c r="L15" s="1" t="s">
        <v>17</v>
      </c>
      <c r="M15" s="1" t="s">
        <v>17</v>
      </c>
      <c r="N15" s="1" t="s">
        <v>16</v>
      </c>
    </row>
    <row r="16" spans="1:14" x14ac:dyDescent="0.25">
      <c r="A16" s="9">
        <v>43837</v>
      </c>
      <c r="B16" s="1" t="s">
        <v>15</v>
      </c>
      <c r="C16" s="1">
        <v>12</v>
      </c>
      <c r="D16" s="1">
        <v>3</v>
      </c>
      <c r="E16" s="14">
        <v>52.98</v>
      </c>
      <c r="F16" s="1" t="s">
        <v>16</v>
      </c>
      <c r="G16" s="1">
        <v>4</v>
      </c>
      <c r="H16" s="1" t="s">
        <v>16</v>
      </c>
      <c r="I16" s="1" t="s">
        <v>16</v>
      </c>
      <c r="J16" s="1" t="s">
        <v>16</v>
      </c>
      <c r="K16" s="1" t="s">
        <v>17</v>
      </c>
      <c r="L16" s="1" t="s">
        <v>17</v>
      </c>
      <c r="M16" s="1" t="s">
        <v>17</v>
      </c>
      <c r="N16" s="1" t="s">
        <v>16</v>
      </c>
    </row>
    <row r="17" spans="1:14" x14ac:dyDescent="0.25">
      <c r="A17" s="9">
        <v>43837</v>
      </c>
      <c r="B17" s="1" t="s">
        <v>15</v>
      </c>
      <c r="C17" s="1">
        <v>13</v>
      </c>
      <c r="D17" s="1">
        <v>3</v>
      </c>
      <c r="E17" s="14">
        <v>55.89</v>
      </c>
      <c r="F17" s="1" t="s">
        <v>16</v>
      </c>
      <c r="G17" s="1">
        <v>4</v>
      </c>
      <c r="H17" s="1" t="s">
        <v>16</v>
      </c>
      <c r="I17" s="1" t="s">
        <v>16</v>
      </c>
      <c r="J17" s="1" t="s">
        <v>16</v>
      </c>
      <c r="K17" s="1" t="s">
        <v>17</v>
      </c>
      <c r="L17" s="1" t="s">
        <v>17</v>
      </c>
      <c r="M17" s="1" t="s">
        <v>17</v>
      </c>
      <c r="N17" s="1" t="s">
        <v>16</v>
      </c>
    </row>
    <row r="18" spans="1:14" x14ac:dyDescent="0.25">
      <c r="A18" s="9">
        <v>43837</v>
      </c>
      <c r="B18" s="1" t="s">
        <v>15</v>
      </c>
      <c r="C18" s="1">
        <v>14</v>
      </c>
      <c r="D18" s="1">
        <v>3</v>
      </c>
      <c r="E18" s="14">
        <v>47.27</v>
      </c>
      <c r="F18" s="1" t="s">
        <v>16</v>
      </c>
      <c r="G18" s="1">
        <v>4</v>
      </c>
      <c r="H18" s="1" t="s">
        <v>16</v>
      </c>
      <c r="I18" s="1" t="s">
        <v>16</v>
      </c>
      <c r="J18" s="1" t="s">
        <v>16</v>
      </c>
      <c r="K18" s="1" t="s">
        <v>17</v>
      </c>
      <c r="L18" s="1" t="s">
        <v>17</v>
      </c>
      <c r="M18" s="1" t="s">
        <v>17</v>
      </c>
      <c r="N18" s="1" t="s">
        <v>16</v>
      </c>
    </row>
    <row r="19" spans="1:14" x14ac:dyDescent="0.25">
      <c r="A19" s="9">
        <v>43837</v>
      </c>
      <c r="B19" s="1" t="s">
        <v>15</v>
      </c>
      <c r="C19" s="1">
        <v>15</v>
      </c>
      <c r="D19" s="1">
        <v>3</v>
      </c>
      <c r="E19" s="14">
        <v>66.540000000000006</v>
      </c>
      <c r="F19" s="1" t="s">
        <v>16</v>
      </c>
      <c r="G19" s="1">
        <v>4</v>
      </c>
      <c r="H19" s="1" t="s">
        <v>16</v>
      </c>
      <c r="I19" s="1" t="s">
        <v>16</v>
      </c>
      <c r="J19" s="1" t="s">
        <v>16</v>
      </c>
      <c r="K19" s="1" t="s">
        <v>17</v>
      </c>
      <c r="L19" s="1" t="s">
        <v>17</v>
      </c>
      <c r="M19" s="1" t="s">
        <v>17</v>
      </c>
      <c r="N19" s="1" t="s">
        <v>16</v>
      </c>
    </row>
    <row r="20" spans="1:14" x14ac:dyDescent="0.25">
      <c r="A20" s="9">
        <v>43865</v>
      </c>
      <c r="B20" s="1" t="s">
        <v>15</v>
      </c>
      <c r="C20" s="1">
        <v>1</v>
      </c>
      <c r="D20" s="1">
        <v>1</v>
      </c>
      <c r="E20" s="14">
        <v>53.86</v>
      </c>
      <c r="F20" s="1" t="s">
        <v>18</v>
      </c>
      <c r="G20" s="1">
        <v>1</v>
      </c>
      <c r="H20" s="1" t="s">
        <v>16</v>
      </c>
      <c r="I20" s="1" t="s">
        <v>16</v>
      </c>
      <c r="J20" s="1" t="s">
        <v>16</v>
      </c>
      <c r="K20" s="1" t="s">
        <v>17</v>
      </c>
      <c r="L20" s="1" t="s">
        <v>17</v>
      </c>
      <c r="M20" s="1" t="s">
        <v>17</v>
      </c>
      <c r="N20" s="1" t="s">
        <v>16</v>
      </c>
    </row>
    <row r="21" spans="1:14" x14ac:dyDescent="0.25">
      <c r="A21" s="9">
        <v>43865</v>
      </c>
      <c r="B21" s="1" t="s">
        <v>15</v>
      </c>
      <c r="C21" s="1">
        <v>2</v>
      </c>
      <c r="D21" s="1">
        <v>1</v>
      </c>
      <c r="E21" s="14">
        <v>43.39</v>
      </c>
      <c r="F21" s="1" t="s">
        <v>16</v>
      </c>
      <c r="G21" s="1">
        <v>4</v>
      </c>
      <c r="H21" s="1" t="s">
        <v>16</v>
      </c>
      <c r="I21" s="1" t="s">
        <v>16</v>
      </c>
      <c r="J21" s="1" t="s">
        <v>16</v>
      </c>
      <c r="K21" s="1" t="s">
        <v>17</v>
      </c>
      <c r="L21" s="1" t="s">
        <v>17</v>
      </c>
      <c r="M21" s="1" t="s">
        <v>17</v>
      </c>
      <c r="N21" s="1" t="s">
        <v>16</v>
      </c>
    </row>
    <row r="22" spans="1:14" x14ac:dyDescent="0.25">
      <c r="A22" s="9">
        <v>43865</v>
      </c>
      <c r="B22" s="1" t="s">
        <v>15</v>
      </c>
      <c r="C22" s="1">
        <v>3</v>
      </c>
      <c r="D22" s="1">
        <v>1</v>
      </c>
      <c r="E22" s="14">
        <v>46.68</v>
      </c>
      <c r="F22" s="1" t="s">
        <v>16</v>
      </c>
      <c r="G22" s="1">
        <v>4</v>
      </c>
      <c r="H22" s="1" t="s">
        <v>16</v>
      </c>
      <c r="I22" s="1" t="s">
        <v>16</v>
      </c>
      <c r="J22" s="1" t="s">
        <v>16</v>
      </c>
      <c r="K22" s="1" t="s">
        <v>17</v>
      </c>
      <c r="L22" s="1" t="s">
        <v>17</v>
      </c>
      <c r="M22" s="1" t="s">
        <v>17</v>
      </c>
      <c r="N22" s="1" t="s">
        <v>16</v>
      </c>
    </row>
    <row r="23" spans="1:14" x14ac:dyDescent="0.25">
      <c r="A23" s="9">
        <v>43865</v>
      </c>
      <c r="B23" s="1" t="s">
        <v>15</v>
      </c>
      <c r="C23" s="1">
        <v>4</v>
      </c>
      <c r="D23" s="1">
        <v>1</v>
      </c>
      <c r="E23" s="14">
        <v>46.34</v>
      </c>
      <c r="F23" s="1" t="s">
        <v>16</v>
      </c>
      <c r="G23" s="1">
        <v>4</v>
      </c>
      <c r="H23" s="1" t="s">
        <v>16</v>
      </c>
      <c r="I23" s="1" t="s">
        <v>16</v>
      </c>
      <c r="J23" s="1" t="s">
        <v>16</v>
      </c>
      <c r="K23" s="1" t="s">
        <v>17</v>
      </c>
      <c r="L23" s="1" t="s">
        <v>17</v>
      </c>
      <c r="M23" s="1" t="s">
        <v>17</v>
      </c>
      <c r="N23" s="1" t="s">
        <v>16</v>
      </c>
    </row>
    <row r="24" spans="1:14" x14ac:dyDescent="0.25">
      <c r="A24" s="9">
        <v>43865</v>
      </c>
      <c r="B24" s="1" t="s">
        <v>15</v>
      </c>
      <c r="C24" s="1">
        <v>5</v>
      </c>
      <c r="D24" s="1">
        <v>1</v>
      </c>
      <c r="E24" s="14">
        <v>54.37</v>
      </c>
      <c r="F24" s="1" t="s">
        <v>18</v>
      </c>
      <c r="G24" s="1">
        <v>2</v>
      </c>
      <c r="H24" s="1" t="s">
        <v>16</v>
      </c>
      <c r="I24" s="1" t="s">
        <v>16</v>
      </c>
      <c r="J24" s="1" t="s">
        <v>16</v>
      </c>
      <c r="K24" s="1" t="s">
        <v>17</v>
      </c>
      <c r="L24" s="1" t="s">
        <v>17</v>
      </c>
      <c r="M24" s="1" t="s">
        <v>17</v>
      </c>
      <c r="N24" s="1" t="s">
        <v>16</v>
      </c>
    </row>
    <row r="25" spans="1:14" x14ac:dyDescent="0.25">
      <c r="A25" s="9">
        <v>43865</v>
      </c>
      <c r="B25" s="1" t="s">
        <v>15</v>
      </c>
      <c r="C25" s="1">
        <v>6</v>
      </c>
      <c r="D25" s="1">
        <v>2</v>
      </c>
      <c r="E25" s="14">
        <v>45.46</v>
      </c>
      <c r="F25" s="1" t="s">
        <v>18</v>
      </c>
      <c r="G25" s="1">
        <v>1</v>
      </c>
      <c r="H25" s="1" t="s">
        <v>16</v>
      </c>
      <c r="I25" s="1" t="s">
        <v>16</v>
      </c>
      <c r="J25" s="1" t="s">
        <v>16</v>
      </c>
      <c r="K25" s="1" t="s">
        <v>17</v>
      </c>
      <c r="L25" s="1" t="s">
        <v>17</v>
      </c>
      <c r="M25" s="1" t="s">
        <v>17</v>
      </c>
      <c r="N25" s="1" t="s">
        <v>16</v>
      </c>
    </row>
    <row r="26" spans="1:14" x14ac:dyDescent="0.25">
      <c r="A26" s="9">
        <v>43865</v>
      </c>
      <c r="B26" s="1" t="s">
        <v>15</v>
      </c>
      <c r="C26" s="1">
        <v>7</v>
      </c>
      <c r="D26" s="1">
        <v>2</v>
      </c>
      <c r="E26" s="14">
        <v>53.23</v>
      </c>
      <c r="F26" s="1" t="s">
        <v>16</v>
      </c>
      <c r="G26" s="1">
        <v>4</v>
      </c>
      <c r="H26" s="1" t="s">
        <v>16</v>
      </c>
      <c r="I26" s="1" t="s">
        <v>16</v>
      </c>
      <c r="J26" s="1" t="s">
        <v>16</v>
      </c>
      <c r="K26" s="1" t="s">
        <v>17</v>
      </c>
      <c r="L26" s="1" t="s">
        <v>17</v>
      </c>
      <c r="M26" s="1" t="s">
        <v>17</v>
      </c>
      <c r="N26" s="1" t="s">
        <v>16</v>
      </c>
    </row>
    <row r="27" spans="1:14" x14ac:dyDescent="0.25">
      <c r="A27" s="9">
        <v>43865</v>
      </c>
      <c r="B27" s="1" t="s">
        <v>15</v>
      </c>
      <c r="C27" s="1">
        <v>8</v>
      </c>
      <c r="D27" s="1">
        <v>2</v>
      </c>
      <c r="E27" s="14">
        <v>54.03</v>
      </c>
      <c r="F27" s="1" t="s">
        <v>16</v>
      </c>
      <c r="G27" s="1" t="s">
        <v>16</v>
      </c>
      <c r="H27" s="1" t="s">
        <v>16</v>
      </c>
      <c r="I27" s="1" t="s">
        <v>16</v>
      </c>
      <c r="J27" s="1" t="s">
        <v>16</v>
      </c>
      <c r="K27" s="1" t="s">
        <v>20</v>
      </c>
      <c r="L27" s="1" t="s">
        <v>17</v>
      </c>
      <c r="M27" s="1" t="s">
        <v>17</v>
      </c>
      <c r="N27" s="1" t="s">
        <v>16</v>
      </c>
    </row>
    <row r="28" spans="1:14" x14ac:dyDescent="0.25">
      <c r="A28" s="9">
        <v>43865</v>
      </c>
      <c r="B28" s="1" t="s">
        <v>15</v>
      </c>
      <c r="C28" s="1">
        <v>9</v>
      </c>
      <c r="D28" s="1">
        <v>2</v>
      </c>
      <c r="E28" s="14">
        <v>54.99</v>
      </c>
      <c r="F28" s="1" t="s">
        <v>18</v>
      </c>
      <c r="G28" s="1">
        <v>1</v>
      </c>
      <c r="H28" s="1" t="s">
        <v>16</v>
      </c>
      <c r="I28" s="1" t="s">
        <v>16</v>
      </c>
      <c r="J28" s="1" t="s">
        <v>16</v>
      </c>
      <c r="K28" s="1" t="s">
        <v>17</v>
      </c>
      <c r="L28" s="1" t="s">
        <v>17</v>
      </c>
      <c r="M28" s="1" t="s">
        <v>17</v>
      </c>
      <c r="N28" s="1" t="s">
        <v>16</v>
      </c>
    </row>
    <row r="29" spans="1:14" x14ac:dyDescent="0.25">
      <c r="A29" s="9">
        <v>43865</v>
      </c>
      <c r="B29" s="1" t="s">
        <v>15</v>
      </c>
      <c r="C29" s="1">
        <v>10</v>
      </c>
      <c r="D29" s="1">
        <v>2</v>
      </c>
      <c r="E29" s="14">
        <v>53.04</v>
      </c>
      <c r="F29" s="1" t="s">
        <v>18</v>
      </c>
      <c r="G29" s="1">
        <v>1</v>
      </c>
      <c r="H29" s="1" t="s">
        <v>16</v>
      </c>
      <c r="I29" s="1" t="s">
        <v>16</v>
      </c>
      <c r="J29" s="1" t="s">
        <v>16</v>
      </c>
      <c r="K29" s="1" t="s">
        <v>17</v>
      </c>
      <c r="L29" s="1" t="s">
        <v>17</v>
      </c>
      <c r="M29" s="1" t="s">
        <v>17</v>
      </c>
      <c r="N29" s="1" t="s">
        <v>16</v>
      </c>
    </row>
    <row r="30" spans="1:14" x14ac:dyDescent="0.25">
      <c r="A30" s="9">
        <v>43865</v>
      </c>
      <c r="B30" s="1" t="s">
        <v>15</v>
      </c>
      <c r="C30" s="1">
        <v>11</v>
      </c>
      <c r="D30" s="1">
        <v>3</v>
      </c>
      <c r="E30" s="14">
        <v>70</v>
      </c>
      <c r="F30" s="1" t="s">
        <v>16</v>
      </c>
      <c r="G30" s="1">
        <v>4</v>
      </c>
      <c r="H30" s="1" t="s">
        <v>16</v>
      </c>
      <c r="I30" s="1" t="s">
        <v>16</v>
      </c>
      <c r="J30" s="1" t="s">
        <v>16</v>
      </c>
      <c r="K30" s="1" t="s">
        <v>17</v>
      </c>
      <c r="L30" s="1" t="s">
        <v>17</v>
      </c>
      <c r="M30" s="1" t="s">
        <v>17</v>
      </c>
      <c r="N30" s="1" t="s">
        <v>16</v>
      </c>
    </row>
    <row r="31" spans="1:14" x14ac:dyDescent="0.25">
      <c r="A31" s="9">
        <v>43865</v>
      </c>
      <c r="B31" s="1" t="s">
        <v>15</v>
      </c>
      <c r="C31" s="1">
        <v>12</v>
      </c>
      <c r="D31" s="1">
        <v>3</v>
      </c>
      <c r="E31" s="14">
        <v>47.97</v>
      </c>
      <c r="F31" s="1" t="s">
        <v>18</v>
      </c>
      <c r="G31" s="1">
        <v>1</v>
      </c>
      <c r="H31" s="1" t="s">
        <v>16</v>
      </c>
      <c r="I31" s="1" t="s">
        <v>16</v>
      </c>
      <c r="J31" s="1" t="s">
        <v>16</v>
      </c>
      <c r="K31" s="1" t="s">
        <v>17</v>
      </c>
      <c r="L31" s="1" t="s">
        <v>17</v>
      </c>
      <c r="M31" s="1" t="s">
        <v>17</v>
      </c>
      <c r="N31" s="1" t="s">
        <v>16</v>
      </c>
    </row>
    <row r="32" spans="1:14" x14ac:dyDescent="0.25">
      <c r="A32" s="9">
        <v>43865</v>
      </c>
      <c r="B32" s="1" t="s">
        <v>15</v>
      </c>
      <c r="C32" s="1">
        <v>13</v>
      </c>
      <c r="D32" s="1">
        <v>3</v>
      </c>
      <c r="E32" s="14">
        <v>53.69</v>
      </c>
      <c r="F32" s="1" t="s">
        <v>18</v>
      </c>
      <c r="G32" s="1">
        <v>1</v>
      </c>
      <c r="H32" s="1" t="s">
        <v>16</v>
      </c>
      <c r="I32" s="1" t="s">
        <v>16</v>
      </c>
      <c r="J32" s="1" t="s">
        <v>16</v>
      </c>
      <c r="K32" s="1" t="s">
        <v>17</v>
      </c>
      <c r="L32" s="1" t="s">
        <v>17</v>
      </c>
      <c r="M32" s="1" t="s">
        <v>17</v>
      </c>
      <c r="N32" s="1" t="s">
        <v>16</v>
      </c>
    </row>
    <row r="33" spans="1:14" x14ac:dyDescent="0.25">
      <c r="A33" s="9">
        <v>43865</v>
      </c>
      <c r="B33" s="1" t="s">
        <v>15</v>
      </c>
      <c r="C33" s="1">
        <v>14</v>
      </c>
      <c r="D33" s="1">
        <v>3</v>
      </c>
      <c r="E33" s="14">
        <v>56.09</v>
      </c>
      <c r="F33" s="1" t="s">
        <v>16</v>
      </c>
      <c r="G33" s="1">
        <v>4</v>
      </c>
      <c r="H33" s="1" t="s">
        <v>16</v>
      </c>
      <c r="I33" s="1" t="s">
        <v>16</v>
      </c>
      <c r="J33" s="1" t="s">
        <v>16</v>
      </c>
      <c r="K33" s="1" t="s">
        <v>17</v>
      </c>
      <c r="L33" s="1" t="s">
        <v>17</v>
      </c>
      <c r="M33" s="1" t="s">
        <v>17</v>
      </c>
      <c r="N33" s="1" t="s">
        <v>16</v>
      </c>
    </row>
    <row r="34" spans="1:14" x14ac:dyDescent="0.25">
      <c r="A34" s="9">
        <v>43865</v>
      </c>
      <c r="B34" s="1" t="s">
        <v>15</v>
      </c>
      <c r="C34" s="1">
        <v>15</v>
      </c>
      <c r="D34" s="1">
        <v>3</v>
      </c>
      <c r="E34" s="14">
        <v>47.6</v>
      </c>
      <c r="F34" s="1" t="s">
        <v>16</v>
      </c>
      <c r="G34" s="1">
        <v>4</v>
      </c>
      <c r="H34" s="1" t="s">
        <v>16</v>
      </c>
      <c r="I34" s="1" t="s">
        <v>16</v>
      </c>
      <c r="J34" s="1" t="s">
        <v>16</v>
      </c>
      <c r="K34" s="1" t="s">
        <v>17</v>
      </c>
      <c r="L34" s="1" t="s">
        <v>17</v>
      </c>
      <c r="M34" s="1" t="s">
        <v>17</v>
      </c>
      <c r="N34" s="1" t="s">
        <v>16</v>
      </c>
    </row>
    <row r="35" spans="1:14" x14ac:dyDescent="0.25">
      <c r="A35" s="9">
        <v>43894</v>
      </c>
      <c r="B35" s="1" t="s">
        <v>15</v>
      </c>
      <c r="C35" s="1">
        <v>1</v>
      </c>
      <c r="D35" s="1">
        <v>1</v>
      </c>
      <c r="E35" s="14">
        <v>42.53</v>
      </c>
      <c r="F35" s="1" t="s">
        <v>19</v>
      </c>
      <c r="G35" s="1">
        <v>2</v>
      </c>
      <c r="H35" s="1" t="s">
        <v>16</v>
      </c>
      <c r="I35" s="1" t="s">
        <v>16</v>
      </c>
      <c r="J35" s="1" t="s">
        <v>16</v>
      </c>
      <c r="K35" s="1" t="s">
        <v>17</v>
      </c>
      <c r="L35" s="1" t="s">
        <v>17</v>
      </c>
      <c r="M35" s="1" t="s">
        <v>17</v>
      </c>
      <c r="N35" s="1" t="s">
        <v>16</v>
      </c>
    </row>
    <row r="36" spans="1:14" x14ac:dyDescent="0.25">
      <c r="A36" s="9">
        <v>43894</v>
      </c>
      <c r="B36" s="1" t="s">
        <v>15</v>
      </c>
      <c r="C36" s="1">
        <v>2</v>
      </c>
      <c r="D36" s="1">
        <v>1</v>
      </c>
      <c r="E36" s="14">
        <v>55.33</v>
      </c>
      <c r="F36" s="1" t="s">
        <v>16</v>
      </c>
      <c r="G36" s="1">
        <v>4</v>
      </c>
      <c r="H36" s="1" t="s">
        <v>16</v>
      </c>
      <c r="I36" s="1" t="s">
        <v>16</v>
      </c>
      <c r="J36" s="1" t="s">
        <v>16</v>
      </c>
      <c r="K36" s="1" t="s">
        <v>17</v>
      </c>
      <c r="L36" s="1" t="s">
        <v>17</v>
      </c>
      <c r="M36" s="1" t="s">
        <v>17</v>
      </c>
      <c r="N36" s="1" t="s">
        <v>16</v>
      </c>
    </row>
    <row r="37" spans="1:14" x14ac:dyDescent="0.25">
      <c r="A37" s="9">
        <v>43894</v>
      </c>
      <c r="B37" s="1" t="s">
        <v>15</v>
      </c>
      <c r="C37" s="1">
        <v>3</v>
      </c>
      <c r="D37" s="1">
        <v>1</v>
      </c>
      <c r="E37" s="14">
        <v>52.87</v>
      </c>
      <c r="F37" s="1" t="s">
        <v>19</v>
      </c>
      <c r="G37" s="1">
        <v>2</v>
      </c>
      <c r="H37" s="1" t="s">
        <v>16</v>
      </c>
      <c r="I37" s="1" t="s">
        <v>16</v>
      </c>
      <c r="J37" s="1" t="s">
        <v>16</v>
      </c>
      <c r="K37" s="1" t="s">
        <v>17</v>
      </c>
      <c r="L37" s="1" t="s">
        <v>17</v>
      </c>
      <c r="M37" s="1" t="s">
        <v>17</v>
      </c>
      <c r="N37" s="1" t="s">
        <v>16</v>
      </c>
    </row>
    <row r="38" spans="1:14" x14ac:dyDescent="0.25">
      <c r="A38" s="9">
        <v>43894</v>
      </c>
      <c r="B38" s="1" t="s">
        <v>15</v>
      </c>
      <c r="C38" s="1">
        <v>4</v>
      </c>
      <c r="D38" s="1">
        <v>1</v>
      </c>
      <c r="E38" s="14">
        <v>50.17</v>
      </c>
      <c r="F38" s="1" t="s">
        <v>19</v>
      </c>
      <c r="G38" s="1">
        <v>2</v>
      </c>
      <c r="H38" s="1" t="s">
        <v>16</v>
      </c>
      <c r="I38" s="1" t="s">
        <v>16</v>
      </c>
      <c r="J38" s="1" t="s">
        <v>16</v>
      </c>
      <c r="K38" s="1" t="s">
        <v>17</v>
      </c>
      <c r="L38" s="1" t="s">
        <v>17</v>
      </c>
      <c r="M38" s="1" t="s">
        <v>17</v>
      </c>
      <c r="N38" s="1" t="s">
        <v>16</v>
      </c>
    </row>
    <row r="39" spans="1:14" x14ac:dyDescent="0.25">
      <c r="A39" s="9">
        <v>43894</v>
      </c>
      <c r="B39" s="1" t="s">
        <v>15</v>
      </c>
      <c r="C39" s="1">
        <v>5</v>
      </c>
      <c r="D39" s="1">
        <v>1</v>
      </c>
      <c r="E39" s="14">
        <v>61.96</v>
      </c>
      <c r="F39" s="1" t="s">
        <v>16</v>
      </c>
      <c r="G39" s="1">
        <v>4</v>
      </c>
      <c r="H39" s="1" t="s">
        <v>16</v>
      </c>
      <c r="I39" s="1" t="s">
        <v>16</v>
      </c>
      <c r="J39" s="1" t="s">
        <v>16</v>
      </c>
      <c r="K39" s="1" t="s">
        <v>17</v>
      </c>
      <c r="L39" s="1" t="s">
        <v>17</v>
      </c>
      <c r="M39" s="1" t="s">
        <v>17</v>
      </c>
      <c r="N39" s="1" t="s">
        <v>16</v>
      </c>
    </row>
    <row r="40" spans="1:14" x14ac:dyDescent="0.25">
      <c r="A40" s="9">
        <v>43894</v>
      </c>
      <c r="B40" s="1" t="s">
        <v>15</v>
      </c>
      <c r="C40" s="1">
        <v>6</v>
      </c>
      <c r="D40" s="1">
        <v>2</v>
      </c>
      <c r="E40" s="14">
        <v>51.95</v>
      </c>
      <c r="F40" s="1" t="s">
        <v>18</v>
      </c>
      <c r="G40" s="1">
        <v>3</v>
      </c>
      <c r="H40" s="1" t="s">
        <v>16</v>
      </c>
      <c r="I40" s="1" t="s">
        <v>16</v>
      </c>
      <c r="J40" s="1" t="s">
        <v>16</v>
      </c>
      <c r="K40" s="1" t="s">
        <v>21</v>
      </c>
      <c r="L40" s="1" t="s">
        <v>17</v>
      </c>
      <c r="M40" s="1" t="s">
        <v>17</v>
      </c>
      <c r="N40" s="1" t="s">
        <v>16</v>
      </c>
    </row>
    <row r="41" spans="1:14" x14ac:dyDescent="0.25">
      <c r="A41" s="9">
        <v>43894</v>
      </c>
      <c r="B41" s="1" t="s">
        <v>15</v>
      </c>
      <c r="C41" s="1">
        <v>7</v>
      </c>
      <c r="D41" s="1">
        <v>2</v>
      </c>
      <c r="E41" s="14">
        <v>80</v>
      </c>
      <c r="F41" s="1" t="s">
        <v>18</v>
      </c>
      <c r="G41" s="1">
        <v>1</v>
      </c>
      <c r="H41" s="1" t="s">
        <v>16</v>
      </c>
      <c r="I41" s="1" t="s">
        <v>16</v>
      </c>
      <c r="J41" s="1" t="s">
        <v>16</v>
      </c>
      <c r="K41" s="1" t="s">
        <v>21</v>
      </c>
      <c r="L41" s="1" t="s">
        <v>17</v>
      </c>
      <c r="M41" s="1" t="s">
        <v>17</v>
      </c>
      <c r="N41" s="1" t="s">
        <v>16</v>
      </c>
    </row>
    <row r="42" spans="1:14" x14ac:dyDescent="0.25">
      <c r="A42" s="9">
        <v>43894</v>
      </c>
      <c r="B42" s="1" t="s">
        <v>15</v>
      </c>
      <c r="C42" s="1">
        <v>8</v>
      </c>
      <c r="D42" s="1">
        <v>2</v>
      </c>
      <c r="E42" s="14">
        <v>43.49</v>
      </c>
      <c r="F42" s="1" t="s">
        <v>19</v>
      </c>
      <c r="G42" s="1">
        <v>3</v>
      </c>
      <c r="H42" s="1" t="s">
        <v>16</v>
      </c>
      <c r="I42" s="1" t="s">
        <v>16</v>
      </c>
      <c r="J42" s="1" t="s">
        <v>16</v>
      </c>
      <c r="K42" s="1" t="s">
        <v>17</v>
      </c>
      <c r="L42" s="1" t="s">
        <v>17</v>
      </c>
      <c r="M42" s="1" t="s">
        <v>17</v>
      </c>
      <c r="N42" s="1" t="s">
        <v>16</v>
      </c>
    </row>
    <row r="43" spans="1:14" x14ac:dyDescent="0.25">
      <c r="A43" s="9">
        <v>43894</v>
      </c>
      <c r="B43" s="1" t="s">
        <v>15</v>
      </c>
      <c r="C43" s="1">
        <v>9</v>
      </c>
      <c r="D43" s="1">
        <v>2</v>
      </c>
      <c r="E43" s="14">
        <v>54.78</v>
      </c>
      <c r="F43" s="1" t="s">
        <v>18</v>
      </c>
      <c r="G43" s="1">
        <v>3</v>
      </c>
      <c r="H43" s="1" t="s">
        <v>16</v>
      </c>
      <c r="I43" s="1" t="s">
        <v>16</v>
      </c>
      <c r="J43" s="1" t="s">
        <v>16</v>
      </c>
      <c r="K43" s="1" t="s">
        <v>17</v>
      </c>
      <c r="L43" s="1" t="s">
        <v>17</v>
      </c>
      <c r="M43" s="1" t="s">
        <v>17</v>
      </c>
      <c r="N43" s="1" t="s">
        <v>16</v>
      </c>
    </row>
    <row r="44" spans="1:14" x14ac:dyDescent="0.25">
      <c r="A44" s="9">
        <v>43894</v>
      </c>
      <c r="B44" s="1" t="s">
        <v>15</v>
      </c>
      <c r="C44" s="1">
        <v>10</v>
      </c>
      <c r="D44" s="1">
        <v>2</v>
      </c>
      <c r="E44" s="14">
        <v>47.04</v>
      </c>
      <c r="F44" s="1" t="s">
        <v>18</v>
      </c>
      <c r="G44" s="1">
        <v>2</v>
      </c>
      <c r="H44" s="1" t="s">
        <v>16</v>
      </c>
      <c r="I44" s="1" t="s">
        <v>16</v>
      </c>
      <c r="J44" s="1" t="s">
        <v>16</v>
      </c>
      <c r="K44" s="1" t="s">
        <v>21</v>
      </c>
      <c r="L44" s="1" t="s">
        <v>17</v>
      </c>
      <c r="M44" s="1" t="s">
        <v>17</v>
      </c>
      <c r="N44" s="1" t="s">
        <v>16</v>
      </c>
    </row>
    <row r="45" spans="1:14" x14ac:dyDescent="0.25">
      <c r="A45" s="9">
        <v>43894</v>
      </c>
      <c r="B45" s="1" t="s">
        <v>15</v>
      </c>
      <c r="C45" s="1">
        <v>11</v>
      </c>
      <c r="D45" s="1">
        <v>3</v>
      </c>
      <c r="E45" s="14">
        <v>54.35</v>
      </c>
      <c r="F45" s="1" t="s">
        <v>18</v>
      </c>
      <c r="G45" s="1">
        <v>1</v>
      </c>
      <c r="H45" s="1" t="s">
        <v>16</v>
      </c>
      <c r="I45" s="1" t="s">
        <v>16</v>
      </c>
      <c r="J45" s="1" t="s">
        <v>16</v>
      </c>
      <c r="K45" s="1" t="s">
        <v>17</v>
      </c>
      <c r="L45" s="1" t="s">
        <v>17</v>
      </c>
      <c r="M45" s="1" t="s">
        <v>17</v>
      </c>
      <c r="N45" s="1" t="s">
        <v>16</v>
      </c>
    </row>
    <row r="46" spans="1:14" x14ac:dyDescent="0.25">
      <c r="A46" s="9">
        <v>43894</v>
      </c>
      <c r="B46" s="1" t="s">
        <v>15</v>
      </c>
      <c r="C46" s="1">
        <v>12</v>
      </c>
      <c r="D46" s="1">
        <v>3</v>
      </c>
      <c r="E46" s="14">
        <v>50.75</v>
      </c>
      <c r="F46" s="1" t="s">
        <v>16</v>
      </c>
      <c r="G46" s="1">
        <v>4</v>
      </c>
      <c r="H46" s="1" t="s">
        <v>16</v>
      </c>
      <c r="I46" s="1" t="s">
        <v>16</v>
      </c>
      <c r="J46" s="1" t="s">
        <v>16</v>
      </c>
      <c r="K46" s="1" t="s">
        <v>17</v>
      </c>
      <c r="L46" s="1" t="s">
        <v>17</v>
      </c>
      <c r="M46" s="1" t="s">
        <v>17</v>
      </c>
      <c r="N46" s="1" t="s">
        <v>16</v>
      </c>
    </row>
    <row r="47" spans="1:14" x14ac:dyDescent="0.25">
      <c r="A47" s="9">
        <v>43894</v>
      </c>
      <c r="B47" s="1" t="s">
        <v>15</v>
      </c>
      <c r="C47" s="1">
        <v>13</v>
      </c>
      <c r="D47" s="1">
        <v>3</v>
      </c>
      <c r="E47" s="14">
        <v>55.12</v>
      </c>
      <c r="F47" s="1" t="s">
        <v>16</v>
      </c>
      <c r="G47" s="1">
        <v>4</v>
      </c>
      <c r="H47" s="1" t="s">
        <v>16</v>
      </c>
      <c r="I47" s="1" t="s">
        <v>16</v>
      </c>
      <c r="J47" s="1" t="s">
        <v>16</v>
      </c>
      <c r="K47" s="1" t="s">
        <v>17</v>
      </c>
      <c r="L47" s="1" t="s">
        <v>17</v>
      </c>
      <c r="M47" s="1" t="s">
        <v>17</v>
      </c>
      <c r="N47" s="1" t="s">
        <v>16</v>
      </c>
    </row>
    <row r="48" spans="1:14" x14ac:dyDescent="0.25">
      <c r="A48" s="9">
        <v>43894</v>
      </c>
      <c r="B48" s="1" t="s">
        <v>15</v>
      </c>
      <c r="C48" s="1">
        <v>14</v>
      </c>
      <c r="D48" s="1">
        <v>3</v>
      </c>
      <c r="E48" s="14">
        <v>47.03</v>
      </c>
      <c r="F48" s="1" t="s">
        <v>16</v>
      </c>
      <c r="G48" s="1">
        <v>4</v>
      </c>
      <c r="H48" s="1" t="s">
        <v>16</v>
      </c>
      <c r="I48" s="1" t="s">
        <v>16</v>
      </c>
      <c r="J48" s="1" t="s">
        <v>16</v>
      </c>
      <c r="K48" s="1" t="s">
        <v>17</v>
      </c>
      <c r="L48" s="1" t="s">
        <v>17</v>
      </c>
      <c r="M48" s="1" t="s">
        <v>17</v>
      </c>
      <c r="N48" s="1" t="s">
        <v>16</v>
      </c>
    </row>
    <row r="49" spans="1:14" x14ac:dyDescent="0.25">
      <c r="A49" s="9">
        <v>43894</v>
      </c>
      <c r="B49" s="1" t="s">
        <v>15</v>
      </c>
      <c r="C49" s="1">
        <v>15</v>
      </c>
      <c r="D49" s="1">
        <v>3</v>
      </c>
      <c r="E49" s="14">
        <v>48</v>
      </c>
      <c r="F49" s="1" t="s">
        <v>19</v>
      </c>
      <c r="G49" s="1">
        <v>2</v>
      </c>
      <c r="H49" s="1" t="s">
        <v>16</v>
      </c>
      <c r="I49" s="1" t="s">
        <v>16</v>
      </c>
      <c r="J49" s="1" t="s">
        <v>16</v>
      </c>
      <c r="K49" s="1" t="s">
        <v>17</v>
      </c>
      <c r="L49" s="1" t="s">
        <v>17</v>
      </c>
      <c r="M49" s="1" t="s">
        <v>17</v>
      </c>
      <c r="N49" s="1" t="s">
        <v>16</v>
      </c>
    </row>
    <row r="50" spans="1:14" x14ac:dyDescent="0.25">
      <c r="A50" s="9">
        <v>43994</v>
      </c>
      <c r="B50" s="1" t="s">
        <v>15</v>
      </c>
      <c r="C50" s="1">
        <v>1</v>
      </c>
      <c r="D50" s="1">
        <v>1</v>
      </c>
      <c r="E50" s="14">
        <v>52.39</v>
      </c>
      <c r="F50" s="1" t="s">
        <v>18</v>
      </c>
      <c r="G50" s="1">
        <v>2</v>
      </c>
      <c r="H50" s="1" t="s">
        <v>16</v>
      </c>
      <c r="I50" s="1" t="s">
        <v>16</v>
      </c>
      <c r="J50" s="1" t="s">
        <v>16</v>
      </c>
      <c r="K50" s="1" t="s">
        <v>17</v>
      </c>
      <c r="L50" s="1" t="s">
        <v>17</v>
      </c>
      <c r="M50" s="1" t="s">
        <v>17</v>
      </c>
      <c r="N50" s="1" t="s">
        <v>16</v>
      </c>
    </row>
    <row r="51" spans="1:14" x14ac:dyDescent="0.25">
      <c r="A51" s="9">
        <v>43994</v>
      </c>
      <c r="B51" s="1" t="s">
        <v>15</v>
      </c>
      <c r="C51" s="1">
        <v>2</v>
      </c>
      <c r="D51" s="1">
        <v>1</v>
      </c>
      <c r="E51" s="14">
        <v>49.07</v>
      </c>
      <c r="F51" s="1" t="s">
        <v>18</v>
      </c>
      <c r="G51" s="1">
        <v>2</v>
      </c>
      <c r="H51" s="1" t="s">
        <v>16</v>
      </c>
      <c r="I51" s="1" t="s">
        <v>16</v>
      </c>
      <c r="J51" s="1" t="s">
        <v>16</v>
      </c>
      <c r="K51" s="1" t="s">
        <v>17</v>
      </c>
      <c r="L51" s="1" t="s">
        <v>17</v>
      </c>
      <c r="M51" s="1" t="s">
        <v>17</v>
      </c>
      <c r="N51" s="1" t="s">
        <v>16</v>
      </c>
    </row>
    <row r="52" spans="1:14" x14ac:dyDescent="0.25">
      <c r="A52" s="9">
        <v>43994</v>
      </c>
      <c r="B52" s="1" t="s">
        <v>15</v>
      </c>
      <c r="C52" s="1">
        <v>3</v>
      </c>
      <c r="D52" s="1">
        <v>1</v>
      </c>
      <c r="E52" s="14">
        <v>43.89</v>
      </c>
      <c r="F52" s="1" t="s">
        <v>18</v>
      </c>
      <c r="G52" s="1">
        <v>2</v>
      </c>
      <c r="H52" s="1" t="s">
        <v>16</v>
      </c>
      <c r="I52" s="1" t="s">
        <v>16</v>
      </c>
      <c r="J52" s="1" t="s">
        <v>16</v>
      </c>
      <c r="K52" s="1" t="s">
        <v>17</v>
      </c>
      <c r="L52" s="1" t="s">
        <v>17</v>
      </c>
      <c r="M52" s="1" t="s">
        <v>17</v>
      </c>
      <c r="N52" s="1" t="s">
        <v>16</v>
      </c>
    </row>
    <row r="53" spans="1:14" x14ac:dyDescent="0.25">
      <c r="A53" s="9">
        <v>43994</v>
      </c>
      <c r="B53" s="1" t="s">
        <v>15</v>
      </c>
      <c r="C53" s="1">
        <v>4</v>
      </c>
      <c r="D53" s="1">
        <v>1</v>
      </c>
      <c r="E53" s="14">
        <v>50.86</v>
      </c>
      <c r="F53" s="1" t="s">
        <v>18</v>
      </c>
      <c r="G53" s="1">
        <v>2</v>
      </c>
      <c r="H53" s="1" t="s">
        <v>16</v>
      </c>
      <c r="I53" s="1" t="s">
        <v>16</v>
      </c>
      <c r="J53" s="1" t="s">
        <v>16</v>
      </c>
      <c r="K53" s="1" t="s">
        <v>17</v>
      </c>
      <c r="L53" s="1" t="s">
        <v>17</v>
      </c>
      <c r="M53" s="1" t="s">
        <v>17</v>
      </c>
      <c r="N53" s="1" t="s">
        <v>16</v>
      </c>
    </row>
    <row r="54" spans="1:14" x14ac:dyDescent="0.25">
      <c r="A54" s="9">
        <v>43994</v>
      </c>
      <c r="B54" s="1" t="s">
        <v>15</v>
      </c>
      <c r="C54" s="1">
        <v>5</v>
      </c>
      <c r="D54" s="1">
        <v>1</v>
      </c>
      <c r="E54" s="14">
        <v>44.1</v>
      </c>
      <c r="F54" s="1" t="s">
        <v>16</v>
      </c>
      <c r="G54" s="1" t="s">
        <v>16</v>
      </c>
      <c r="H54" s="1" t="s">
        <v>16</v>
      </c>
      <c r="I54" s="1" t="s">
        <v>16</v>
      </c>
      <c r="J54" s="1" t="s">
        <v>16</v>
      </c>
      <c r="K54" s="1" t="s">
        <v>20</v>
      </c>
      <c r="L54" s="1" t="s">
        <v>17</v>
      </c>
      <c r="M54" s="1" t="s">
        <v>17</v>
      </c>
      <c r="N54" s="1" t="s">
        <v>16</v>
      </c>
    </row>
    <row r="55" spans="1:14" x14ac:dyDescent="0.25">
      <c r="A55" s="9">
        <v>43994</v>
      </c>
      <c r="B55" s="1" t="s">
        <v>15</v>
      </c>
      <c r="C55" s="1">
        <v>6</v>
      </c>
      <c r="D55" s="1">
        <v>2</v>
      </c>
      <c r="E55" s="14">
        <v>70.66</v>
      </c>
      <c r="F55" s="1" t="s">
        <v>18</v>
      </c>
      <c r="G55" s="1">
        <v>2</v>
      </c>
      <c r="H55" s="1" t="s">
        <v>16</v>
      </c>
      <c r="I55" s="1" t="s">
        <v>16</v>
      </c>
      <c r="J55" s="1" t="s">
        <v>16</v>
      </c>
      <c r="K55" s="1" t="s">
        <v>17</v>
      </c>
      <c r="L55" s="1" t="s">
        <v>17</v>
      </c>
      <c r="M55" s="1" t="s">
        <v>17</v>
      </c>
      <c r="N55" s="1" t="s">
        <v>16</v>
      </c>
    </row>
    <row r="56" spans="1:14" x14ac:dyDescent="0.25">
      <c r="A56" s="9">
        <v>43994</v>
      </c>
      <c r="B56" s="1" t="s">
        <v>15</v>
      </c>
      <c r="C56" s="1">
        <v>7</v>
      </c>
      <c r="D56" s="1">
        <v>2</v>
      </c>
      <c r="E56" s="14">
        <v>69.97</v>
      </c>
      <c r="F56" s="1" t="s">
        <v>16</v>
      </c>
      <c r="G56" s="1">
        <v>4</v>
      </c>
      <c r="H56" s="1" t="s">
        <v>16</v>
      </c>
      <c r="I56" s="1" t="s">
        <v>16</v>
      </c>
      <c r="J56" s="1" t="s">
        <v>16</v>
      </c>
      <c r="K56" s="1" t="s">
        <v>21</v>
      </c>
      <c r="L56" s="1" t="s">
        <v>17</v>
      </c>
      <c r="M56" s="1" t="s">
        <v>17</v>
      </c>
      <c r="N56" s="1" t="s">
        <v>16</v>
      </c>
    </row>
    <row r="57" spans="1:14" x14ac:dyDescent="0.25">
      <c r="A57" s="9">
        <v>43994</v>
      </c>
      <c r="B57" s="1" t="s">
        <v>15</v>
      </c>
      <c r="C57" s="1">
        <v>8</v>
      </c>
      <c r="D57" s="1">
        <v>2</v>
      </c>
      <c r="E57" s="14">
        <v>55.4</v>
      </c>
      <c r="F57" s="1" t="s">
        <v>18</v>
      </c>
      <c r="G57" s="1">
        <v>2</v>
      </c>
      <c r="H57" s="1" t="s">
        <v>16</v>
      </c>
      <c r="I57" s="1" t="s">
        <v>16</v>
      </c>
      <c r="J57" s="1" t="s">
        <v>16</v>
      </c>
      <c r="K57" s="1" t="s">
        <v>21</v>
      </c>
      <c r="L57" s="1" t="s">
        <v>17</v>
      </c>
      <c r="M57" s="1" t="s">
        <v>17</v>
      </c>
      <c r="N57" s="1" t="s">
        <v>16</v>
      </c>
    </row>
    <row r="58" spans="1:14" x14ac:dyDescent="0.25">
      <c r="A58" s="9">
        <v>43994</v>
      </c>
      <c r="B58" s="1" t="s">
        <v>15</v>
      </c>
      <c r="C58" s="1">
        <v>9</v>
      </c>
      <c r="D58" s="1">
        <v>2</v>
      </c>
      <c r="E58" s="14">
        <v>50.26</v>
      </c>
      <c r="F58" s="1" t="s">
        <v>19</v>
      </c>
      <c r="G58" s="1">
        <v>2</v>
      </c>
      <c r="H58" s="1" t="s">
        <v>16</v>
      </c>
      <c r="I58" s="1" t="s">
        <v>16</v>
      </c>
      <c r="J58" s="1" t="s">
        <v>16</v>
      </c>
      <c r="K58" s="1" t="s">
        <v>17</v>
      </c>
      <c r="L58" s="1" t="s">
        <v>17</v>
      </c>
      <c r="M58" s="1" t="s">
        <v>17</v>
      </c>
      <c r="N58" s="1" t="s">
        <v>16</v>
      </c>
    </row>
    <row r="59" spans="1:14" x14ac:dyDescent="0.25">
      <c r="A59" s="9">
        <v>43994</v>
      </c>
      <c r="B59" s="1" t="s">
        <v>15</v>
      </c>
      <c r="C59" s="1">
        <v>10</v>
      </c>
      <c r="D59" s="1">
        <v>2</v>
      </c>
      <c r="E59" s="14">
        <v>54.5</v>
      </c>
      <c r="F59" s="1" t="s">
        <v>19</v>
      </c>
      <c r="G59" s="1">
        <v>2</v>
      </c>
      <c r="H59" s="1" t="s">
        <v>16</v>
      </c>
      <c r="I59" s="1" t="s">
        <v>16</v>
      </c>
      <c r="J59" s="1" t="s">
        <v>16</v>
      </c>
      <c r="K59" s="1" t="s">
        <v>21</v>
      </c>
      <c r="L59" s="1" t="s">
        <v>17</v>
      </c>
      <c r="M59" s="1" t="s">
        <v>17</v>
      </c>
      <c r="N59" s="1" t="s">
        <v>16</v>
      </c>
    </row>
    <row r="60" spans="1:14" x14ac:dyDescent="0.25">
      <c r="A60" s="9">
        <v>43994</v>
      </c>
      <c r="B60" s="1" t="s">
        <v>15</v>
      </c>
      <c r="C60" s="1">
        <v>11</v>
      </c>
      <c r="D60" s="1">
        <v>3</v>
      </c>
      <c r="E60" s="14">
        <v>58.47</v>
      </c>
      <c r="F60" s="1" t="s">
        <v>18</v>
      </c>
      <c r="G60" s="1">
        <v>2</v>
      </c>
      <c r="H60" s="1" t="s">
        <v>16</v>
      </c>
      <c r="I60" s="1" t="s">
        <v>16</v>
      </c>
      <c r="J60" s="1" t="s">
        <v>16</v>
      </c>
      <c r="K60" s="1" t="s">
        <v>21</v>
      </c>
      <c r="L60" s="1" t="s">
        <v>17</v>
      </c>
      <c r="M60" s="1" t="s">
        <v>17</v>
      </c>
      <c r="N60" s="1" t="s">
        <v>16</v>
      </c>
    </row>
    <row r="61" spans="1:14" x14ac:dyDescent="0.25">
      <c r="A61" s="9">
        <v>43994</v>
      </c>
      <c r="B61" s="1" t="s">
        <v>15</v>
      </c>
      <c r="C61" s="1">
        <v>12</v>
      </c>
      <c r="D61" s="1">
        <v>3</v>
      </c>
      <c r="E61" s="14">
        <v>54.88</v>
      </c>
      <c r="F61" s="1" t="s">
        <v>18</v>
      </c>
      <c r="G61" s="1">
        <v>2</v>
      </c>
      <c r="H61" s="1" t="s">
        <v>16</v>
      </c>
      <c r="I61" s="1" t="s">
        <v>16</v>
      </c>
      <c r="J61" s="1" t="s">
        <v>16</v>
      </c>
      <c r="K61" s="1" t="s">
        <v>17</v>
      </c>
      <c r="L61" s="1" t="s">
        <v>17</v>
      </c>
      <c r="M61" s="1" t="s">
        <v>17</v>
      </c>
      <c r="N61" s="1" t="s">
        <v>16</v>
      </c>
    </row>
    <row r="62" spans="1:14" x14ac:dyDescent="0.25">
      <c r="A62" s="9">
        <v>43994</v>
      </c>
      <c r="B62" s="1" t="s">
        <v>15</v>
      </c>
      <c r="C62" s="1">
        <v>13</v>
      </c>
      <c r="D62" s="1">
        <v>3</v>
      </c>
      <c r="E62" s="14">
        <v>52.2</v>
      </c>
      <c r="F62" s="1" t="s">
        <v>18</v>
      </c>
      <c r="G62" s="1" t="s">
        <v>16</v>
      </c>
      <c r="H62" s="1" t="s">
        <v>16</v>
      </c>
      <c r="I62" s="1" t="s">
        <v>16</v>
      </c>
      <c r="J62" s="1" t="s">
        <v>16</v>
      </c>
      <c r="K62" s="1" t="s">
        <v>20</v>
      </c>
      <c r="L62" s="1" t="s">
        <v>17</v>
      </c>
      <c r="M62" s="1" t="s">
        <v>17</v>
      </c>
      <c r="N62" s="1" t="s">
        <v>16</v>
      </c>
    </row>
    <row r="63" spans="1:14" x14ac:dyDescent="0.25">
      <c r="A63" s="9">
        <v>43994</v>
      </c>
      <c r="B63" s="1" t="s">
        <v>15</v>
      </c>
      <c r="C63" s="1">
        <v>14</v>
      </c>
      <c r="D63" s="1">
        <v>3</v>
      </c>
      <c r="E63" s="14">
        <v>40.03</v>
      </c>
      <c r="F63" s="1" t="s">
        <v>19</v>
      </c>
      <c r="G63" s="1">
        <v>2</v>
      </c>
      <c r="H63" s="1" t="s">
        <v>16</v>
      </c>
      <c r="I63" s="1" t="s">
        <v>16</v>
      </c>
      <c r="J63" s="1" t="s">
        <v>16</v>
      </c>
      <c r="K63" s="1" t="s">
        <v>17</v>
      </c>
      <c r="L63" s="1" t="s">
        <v>17</v>
      </c>
      <c r="M63" s="1" t="s">
        <v>17</v>
      </c>
      <c r="N63" s="1" t="s">
        <v>16</v>
      </c>
    </row>
    <row r="64" spans="1:14" x14ac:dyDescent="0.25">
      <c r="A64" s="9">
        <v>43994</v>
      </c>
      <c r="B64" s="1" t="s">
        <v>15</v>
      </c>
      <c r="C64" s="1">
        <v>15</v>
      </c>
      <c r="D64" s="1">
        <v>3</v>
      </c>
      <c r="E64" s="14">
        <v>41.29</v>
      </c>
      <c r="F64" s="1" t="s">
        <v>19</v>
      </c>
      <c r="G64" s="1">
        <v>3</v>
      </c>
      <c r="H64" s="1" t="s">
        <v>16</v>
      </c>
      <c r="I64" s="1" t="s">
        <v>16</v>
      </c>
      <c r="J64" s="1" t="s">
        <v>16</v>
      </c>
      <c r="K64" s="1" t="s">
        <v>17</v>
      </c>
      <c r="L64" s="1" t="s">
        <v>17</v>
      </c>
      <c r="M64" s="1" t="s">
        <v>17</v>
      </c>
      <c r="N64" s="1" t="s">
        <v>16</v>
      </c>
    </row>
    <row r="65" spans="1:14" x14ac:dyDescent="0.25">
      <c r="A65" s="9">
        <v>44036</v>
      </c>
      <c r="B65" s="1" t="s">
        <v>15</v>
      </c>
      <c r="C65" s="1">
        <v>1</v>
      </c>
      <c r="D65" s="1">
        <v>1</v>
      </c>
      <c r="E65" s="14">
        <v>55.62</v>
      </c>
      <c r="F65" s="1" t="s">
        <v>19</v>
      </c>
      <c r="G65" s="1">
        <v>2</v>
      </c>
      <c r="H65" s="1" t="s">
        <v>16</v>
      </c>
      <c r="I65" s="1" t="s">
        <v>16</v>
      </c>
      <c r="J65" s="1" t="s">
        <v>16</v>
      </c>
      <c r="K65" s="1" t="s">
        <v>17</v>
      </c>
      <c r="L65" s="1" t="s">
        <v>17</v>
      </c>
      <c r="M65" s="1" t="s">
        <v>17</v>
      </c>
      <c r="N65" s="1" t="s">
        <v>16</v>
      </c>
    </row>
    <row r="66" spans="1:14" x14ac:dyDescent="0.25">
      <c r="A66" s="9">
        <v>44036</v>
      </c>
      <c r="B66" s="1" t="s">
        <v>15</v>
      </c>
      <c r="C66" s="1">
        <v>2</v>
      </c>
      <c r="D66" s="1">
        <v>1</v>
      </c>
      <c r="E66" s="14">
        <v>42.09</v>
      </c>
      <c r="F66" s="1" t="s">
        <v>19</v>
      </c>
      <c r="G66" s="1">
        <v>2</v>
      </c>
      <c r="H66" s="1" t="s">
        <v>16</v>
      </c>
      <c r="I66" s="1" t="s">
        <v>16</v>
      </c>
      <c r="J66" s="1" t="s">
        <v>16</v>
      </c>
      <c r="K66" s="1" t="s">
        <v>17</v>
      </c>
      <c r="L66" s="1" t="s">
        <v>17</v>
      </c>
      <c r="M66" s="1" t="s">
        <v>17</v>
      </c>
      <c r="N66" s="1" t="s">
        <v>16</v>
      </c>
    </row>
    <row r="67" spans="1:14" x14ac:dyDescent="0.25">
      <c r="A67" s="9">
        <v>44036</v>
      </c>
      <c r="B67" s="1" t="s">
        <v>15</v>
      </c>
      <c r="C67" s="1">
        <v>3</v>
      </c>
      <c r="D67" s="1">
        <v>1</v>
      </c>
      <c r="E67" s="14">
        <v>52.68</v>
      </c>
      <c r="F67" s="1" t="s">
        <v>18</v>
      </c>
      <c r="G67" s="1">
        <v>2</v>
      </c>
      <c r="H67" s="1" t="s">
        <v>16</v>
      </c>
      <c r="I67" s="1" t="s">
        <v>16</v>
      </c>
      <c r="J67" s="1" t="s">
        <v>16</v>
      </c>
      <c r="K67" s="1" t="s">
        <v>17</v>
      </c>
      <c r="L67" s="1" t="s">
        <v>17</v>
      </c>
      <c r="M67" s="1" t="s">
        <v>17</v>
      </c>
      <c r="N67" s="1" t="s">
        <v>16</v>
      </c>
    </row>
    <row r="68" spans="1:14" x14ac:dyDescent="0.25">
      <c r="A68" s="9">
        <v>44036</v>
      </c>
      <c r="B68" s="1" t="s">
        <v>15</v>
      </c>
      <c r="C68" s="1">
        <v>4</v>
      </c>
      <c r="D68" s="1">
        <v>1</v>
      </c>
      <c r="E68" s="14">
        <v>58.27</v>
      </c>
      <c r="F68" s="1" t="s">
        <v>19</v>
      </c>
      <c r="G68" s="1">
        <v>2</v>
      </c>
      <c r="H68" s="1" t="s">
        <v>16</v>
      </c>
      <c r="I68" s="1" t="s">
        <v>16</v>
      </c>
      <c r="J68" s="1" t="s">
        <v>16</v>
      </c>
      <c r="K68" s="1" t="s">
        <v>17</v>
      </c>
      <c r="L68" s="1" t="s">
        <v>17</v>
      </c>
      <c r="M68" s="1" t="s">
        <v>17</v>
      </c>
      <c r="N68" s="1" t="s">
        <v>16</v>
      </c>
    </row>
    <row r="69" spans="1:14" x14ac:dyDescent="0.25">
      <c r="A69" s="9">
        <v>44036</v>
      </c>
      <c r="B69" s="1" t="s">
        <v>15</v>
      </c>
      <c r="C69" s="1">
        <v>5</v>
      </c>
      <c r="D69" s="1">
        <v>1</v>
      </c>
      <c r="E69" s="14">
        <v>59.39</v>
      </c>
      <c r="F69" s="1" t="s">
        <v>18</v>
      </c>
      <c r="G69" s="1">
        <v>2</v>
      </c>
      <c r="H69" s="1" t="s">
        <v>16</v>
      </c>
      <c r="I69" s="1" t="s">
        <v>16</v>
      </c>
      <c r="J69" s="1" t="s">
        <v>16</v>
      </c>
      <c r="K69" s="1" t="s">
        <v>17</v>
      </c>
      <c r="L69" s="1" t="s">
        <v>17</v>
      </c>
      <c r="M69" s="1" t="s">
        <v>17</v>
      </c>
      <c r="N69" s="1" t="s">
        <v>16</v>
      </c>
    </row>
    <row r="70" spans="1:14" x14ac:dyDescent="0.25">
      <c r="A70" s="9">
        <v>44036</v>
      </c>
      <c r="B70" s="1" t="s">
        <v>15</v>
      </c>
      <c r="C70" s="1">
        <v>6</v>
      </c>
      <c r="D70" s="1">
        <v>2</v>
      </c>
      <c r="E70" s="14">
        <v>51.04</v>
      </c>
      <c r="F70" s="1" t="s">
        <v>18</v>
      </c>
      <c r="G70" s="1">
        <v>2</v>
      </c>
      <c r="H70" s="1" t="s">
        <v>16</v>
      </c>
      <c r="I70" s="1" t="s">
        <v>16</v>
      </c>
      <c r="J70" s="1" t="s">
        <v>16</v>
      </c>
      <c r="K70" s="1" t="s">
        <v>17</v>
      </c>
      <c r="L70" s="1" t="s">
        <v>17</v>
      </c>
      <c r="M70" s="1" t="s">
        <v>17</v>
      </c>
      <c r="N70" s="1" t="s">
        <v>16</v>
      </c>
    </row>
    <row r="71" spans="1:14" x14ac:dyDescent="0.25">
      <c r="A71" s="9">
        <v>44036</v>
      </c>
      <c r="B71" s="1" t="s">
        <v>15</v>
      </c>
      <c r="C71" s="1">
        <v>7</v>
      </c>
      <c r="D71" s="1">
        <v>2</v>
      </c>
      <c r="E71" s="14">
        <v>48.8</v>
      </c>
      <c r="F71" s="1" t="s">
        <v>18</v>
      </c>
      <c r="G71" s="1">
        <v>2</v>
      </c>
      <c r="H71" s="1" t="s">
        <v>16</v>
      </c>
      <c r="I71" s="1" t="s">
        <v>16</v>
      </c>
      <c r="J71" s="1" t="s">
        <v>16</v>
      </c>
      <c r="K71" s="1" t="s">
        <v>17</v>
      </c>
      <c r="L71" s="1" t="s">
        <v>17</v>
      </c>
      <c r="M71" s="1" t="s">
        <v>17</v>
      </c>
      <c r="N71" s="1" t="s">
        <v>16</v>
      </c>
    </row>
    <row r="72" spans="1:14" x14ac:dyDescent="0.25">
      <c r="A72" s="9">
        <v>44036</v>
      </c>
      <c r="B72" s="1" t="s">
        <v>15</v>
      </c>
      <c r="C72" s="1">
        <v>8</v>
      </c>
      <c r="D72" s="1">
        <v>2</v>
      </c>
      <c r="E72" s="14">
        <v>51.23</v>
      </c>
      <c r="F72" s="1" t="s">
        <v>18</v>
      </c>
      <c r="G72" s="1">
        <v>2</v>
      </c>
      <c r="H72" s="1" t="s">
        <v>16</v>
      </c>
      <c r="I72" s="1" t="s">
        <v>16</v>
      </c>
      <c r="J72" s="1" t="s">
        <v>16</v>
      </c>
      <c r="K72" s="1" t="s">
        <v>17</v>
      </c>
      <c r="L72" s="1" t="s">
        <v>17</v>
      </c>
      <c r="M72" s="1" t="s">
        <v>17</v>
      </c>
      <c r="N72" s="1" t="s">
        <v>16</v>
      </c>
    </row>
    <row r="73" spans="1:14" x14ac:dyDescent="0.25">
      <c r="A73" s="9">
        <v>44036</v>
      </c>
      <c r="B73" s="1" t="s">
        <v>15</v>
      </c>
      <c r="C73" s="1">
        <v>9</v>
      </c>
      <c r="D73" s="1">
        <v>2</v>
      </c>
      <c r="E73" s="14">
        <v>58.33</v>
      </c>
      <c r="F73" s="1" t="s">
        <v>19</v>
      </c>
      <c r="G73" s="1">
        <v>2</v>
      </c>
      <c r="H73" s="1" t="s">
        <v>16</v>
      </c>
      <c r="I73" s="1" t="s">
        <v>16</v>
      </c>
      <c r="J73" s="1" t="s">
        <v>16</v>
      </c>
      <c r="K73" s="1" t="s">
        <v>17</v>
      </c>
      <c r="L73" s="1" t="s">
        <v>17</v>
      </c>
      <c r="M73" s="1" t="s">
        <v>17</v>
      </c>
      <c r="N73" s="1" t="s">
        <v>16</v>
      </c>
    </row>
    <row r="74" spans="1:14" x14ac:dyDescent="0.25">
      <c r="A74" s="9">
        <v>44036</v>
      </c>
      <c r="B74" s="1" t="s">
        <v>15</v>
      </c>
      <c r="C74" s="1">
        <v>10</v>
      </c>
      <c r="D74" s="1">
        <v>2</v>
      </c>
      <c r="E74" s="14">
        <v>68.27</v>
      </c>
      <c r="F74" s="1" t="s">
        <v>18</v>
      </c>
      <c r="G74" s="1">
        <v>2</v>
      </c>
      <c r="H74" s="1" t="s">
        <v>16</v>
      </c>
      <c r="I74" s="1" t="s">
        <v>16</v>
      </c>
      <c r="J74" s="1" t="s">
        <v>16</v>
      </c>
      <c r="K74" s="1" t="s">
        <v>17</v>
      </c>
      <c r="L74" s="1" t="s">
        <v>17</v>
      </c>
      <c r="M74" s="1" t="s">
        <v>17</v>
      </c>
      <c r="N74" s="1" t="s">
        <v>16</v>
      </c>
    </row>
    <row r="75" spans="1:14" x14ac:dyDescent="0.25">
      <c r="A75" s="9">
        <v>44036</v>
      </c>
      <c r="B75" s="1" t="s">
        <v>15</v>
      </c>
      <c r="C75" s="1">
        <v>11</v>
      </c>
      <c r="D75" s="1">
        <v>3</v>
      </c>
      <c r="E75" s="14">
        <v>48.31</v>
      </c>
      <c r="F75" s="1" t="s">
        <v>18</v>
      </c>
      <c r="G75" s="1">
        <v>2</v>
      </c>
      <c r="H75" s="1" t="s">
        <v>16</v>
      </c>
      <c r="I75" s="1" t="s">
        <v>16</v>
      </c>
      <c r="J75" s="1" t="s">
        <v>16</v>
      </c>
      <c r="K75" s="1" t="s">
        <v>17</v>
      </c>
      <c r="L75" s="1" t="s">
        <v>17</v>
      </c>
      <c r="M75" s="1" t="s">
        <v>17</v>
      </c>
      <c r="N75" s="1" t="s">
        <v>16</v>
      </c>
    </row>
    <row r="76" spans="1:14" x14ac:dyDescent="0.25">
      <c r="A76" s="9">
        <v>44036</v>
      </c>
      <c r="B76" s="1" t="s">
        <v>15</v>
      </c>
      <c r="C76" s="1">
        <v>12</v>
      </c>
      <c r="D76" s="1">
        <v>3</v>
      </c>
      <c r="E76" s="14">
        <v>50.64</v>
      </c>
      <c r="F76" s="1" t="s">
        <v>18</v>
      </c>
      <c r="G76" s="1">
        <v>2</v>
      </c>
      <c r="H76" s="1" t="s">
        <v>16</v>
      </c>
      <c r="I76" s="1" t="s">
        <v>16</v>
      </c>
      <c r="J76" s="1" t="s">
        <v>16</v>
      </c>
      <c r="K76" s="1" t="s">
        <v>17</v>
      </c>
      <c r="L76" s="1" t="s">
        <v>17</v>
      </c>
      <c r="M76" s="1" t="s">
        <v>17</v>
      </c>
      <c r="N76" s="1" t="s">
        <v>16</v>
      </c>
    </row>
    <row r="77" spans="1:14" x14ac:dyDescent="0.25">
      <c r="A77" s="9">
        <v>44036</v>
      </c>
      <c r="B77" s="1" t="s">
        <v>15</v>
      </c>
      <c r="C77" s="1">
        <v>13</v>
      </c>
      <c r="D77" s="1">
        <v>3</v>
      </c>
      <c r="E77" s="14">
        <v>46.74</v>
      </c>
      <c r="F77" s="1" t="s">
        <v>18</v>
      </c>
      <c r="G77" s="1">
        <v>2</v>
      </c>
      <c r="H77" s="1" t="s">
        <v>16</v>
      </c>
      <c r="I77" s="1" t="s">
        <v>16</v>
      </c>
      <c r="J77" s="1" t="s">
        <v>16</v>
      </c>
      <c r="K77" s="1" t="s">
        <v>17</v>
      </c>
      <c r="L77" s="1" t="s">
        <v>17</v>
      </c>
      <c r="M77" s="1" t="s">
        <v>17</v>
      </c>
      <c r="N77" s="1" t="s">
        <v>16</v>
      </c>
    </row>
    <row r="78" spans="1:14" x14ac:dyDescent="0.25">
      <c r="A78" s="9">
        <v>44036</v>
      </c>
      <c r="B78" s="1" t="s">
        <v>15</v>
      </c>
      <c r="C78" s="1">
        <v>14</v>
      </c>
      <c r="D78" s="1">
        <v>3</v>
      </c>
      <c r="E78" s="14">
        <v>35.36</v>
      </c>
      <c r="F78" s="1" t="s">
        <v>18</v>
      </c>
      <c r="G78" s="1">
        <v>2</v>
      </c>
      <c r="H78" s="1" t="s">
        <v>16</v>
      </c>
      <c r="I78" s="1" t="s">
        <v>16</v>
      </c>
      <c r="J78" s="1" t="s">
        <v>16</v>
      </c>
      <c r="K78" s="1" t="s">
        <v>17</v>
      </c>
      <c r="L78" s="1" t="s">
        <v>17</v>
      </c>
      <c r="M78" s="1" t="s">
        <v>17</v>
      </c>
      <c r="N78" s="1" t="s">
        <v>16</v>
      </c>
    </row>
    <row r="79" spans="1:14" x14ac:dyDescent="0.25">
      <c r="A79" s="9">
        <v>44036</v>
      </c>
      <c r="B79" s="1" t="s">
        <v>15</v>
      </c>
      <c r="C79" s="1">
        <v>15</v>
      </c>
      <c r="D79" s="1">
        <v>3</v>
      </c>
      <c r="E79" s="14">
        <v>40.57</v>
      </c>
      <c r="F79" s="1" t="s">
        <v>19</v>
      </c>
      <c r="G79" s="1">
        <v>2</v>
      </c>
      <c r="H79" s="1" t="s">
        <v>16</v>
      </c>
      <c r="I79" s="1" t="s">
        <v>16</v>
      </c>
      <c r="J79" s="1" t="s">
        <v>16</v>
      </c>
      <c r="K79" s="1" t="s">
        <v>17</v>
      </c>
      <c r="L79" s="1" t="s">
        <v>17</v>
      </c>
      <c r="M79" s="1" t="s">
        <v>17</v>
      </c>
      <c r="N79" s="1" t="s">
        <v>16</v>
      </c>
    </row>
    <row r="80" spans="1:14" x14ac:dyDescent="0.25">
      <c r="A80" s="9">
        <v>44064</v>
      </c>
      <c r="B80" s="1" t="s">
        <v>15</v>
      </c>
      <c r="C80" s="1">
        <v>1</v>
      </c>
      <c r="D80" s="1">
        <v>1</v>
      </c>
      <c r="E80" s="14">
        <v>50.89</v>
      </c>
      <c r="F80" s="1" t="s">
        <v>18</v>
      </c>
      <c r="G80" s="1">
        <v>2</v>
      </c>
      <c r="H80" s="1" t="s">
        <v>16</v>
      </c>
      <c r="I80" s="1" t="s">
        <v>16</v>
      </c>
      <c r="J80" s="1" t="s">
        <v>16</v>
      </c>
      <c r="K80" s="1" t="s">
        <v>17</v>
      </c>
      <c r="L80" s="1" t="s">
        <v>17</v>
      </c>
      <c r="M80" s="1" t="s">
        <v>17</v>
      </c>
      <c r="N80" s="1" t="s">
        <v>16</v>
      </c>
    </row>
    <row r="81" spans="1:14" x14ac:dyDescent="0.25">
      <c r="A81" s="9">
        <v>44064</v>
      </c>
      <c r="B81" s="1" t="s">
        <v>15</v>
      </c>
      <c r="C81" s="1">
        <v>2</v>
      </c>
      <c r="D81" s="1">
        <v>1</v>
      </c>
      <c r="E81" s="14">
        <v>42.74</v>
      </c>
      <c r="F81" s="1" t="s">
        <v>18</v>
      </c>
      <c r="G81" s="1">
        <v>2</v>
      </c>
      <c r="H81" s="1" t="s">
        <v>16</v>
      </c>
      <c r="I81" s="1" t="s">
        <v>16</v>
      </c>
      <c r="J81" s="1" t="s">
        <v>16</v>
      </c>
      <c r="K81" s="1" t="s">
        <v>17</v>
      </c>
      <c r="L81" s="1" t="s">
        <v>17</v>
      </c>
      <c r="M81" s="1" t="s">
        <v>17</v>
      </c>
      <c r="N81" s="1" t="s">
        <v>16</v>
      </c>
    </row>
    <row r="82" spans="1:14" x14ac:dyDescent="0.25">
      <c r="A82" s="9">
        <v>44064</v>
      </c>
      <c r="B82" s="1" t="s">
        <v>15</v>
      </c>
      <c r="C82" s="1">
        <v>3</v>
      </c>
      <c r="D82" s="1">
        <v>1</v>
      </c>
      <c r="E82" s="14">
        <v>49.12</v>
      </c>
      <c r="F82" s="1" t="s">
        <v>18</v>
      </c>
      <c r="G82" s="1">
        <v>2</v>
      </c>
      <c r="H82" s="1" t="s">
        <v>16</v>
      </c>
      <c r="I82" s="1" t="s">
        <v>16</v>
      </c>
      <c r="J82" s="1" t="s">
        <v>16</v>
      </c>
      <c r="K82" s="1" t="s">
        <v>17</v>
      </c>
      <c r="L82" s="1" t="s">
        <v>17</v>
      </c>
      <c r="M82" s="1" t="s">
        <v>17</v>
      </c>
      <c r="N82" s="1" t="s">
        <v>16</v>
      </c>
    </row>
    <row r="83" spans="1:14" x14ac:dyDescent="0.25">
      <c r="A83" s="9">
        <v>44064</v>
      </c>
      <c r="B83" s="1" t="s">
        <v>15</v>
      </c>
      <c r="C83" s="1">
        <v>4</v>
      </c>
      <c r="D83" s="1">
        <v>1</v>
      </c>
      <c r="E83" s="14">
        <v>50.57</v>
      </c>
      <c r="F83" s="1" t="s">
        <v>18</v>
      </c>
      <c r="G83" s="1">
        <v>2</v>
      </c>
      <c r="H83" s="1" t="s">
        <v>16</v>
      </c>
      <c r="I83" s="1" t="s">
        <v>16</v>
      </c>
      <c r="J83" s="1" t="s">
        <v>16</v>
      </c>
      <c r="K83" s="1" t="s">
        <v>17</v>
      </c>
      <c r="L83" s="1" t="s">
        <v>17</v>
      </c>
      <c r="M83" s="1" t="s">
        <v>17</v>
      </c>
      <c r="N83" s="1" t="s">
        <v>16</v>
      </c>
    </row>
    <row r="84" spans="1:14" x14ac:dyDescent="0.25">
      <c r="A84" s="9">
        <v>44064</v>
      </c>
      <c r="B84" s="1" t="s">
        <v>15</v>
      </c>
      <c r="C84" s="1">
        <v>5</v>
      </c>
      <c r="D84" s="1">
        <v>1</v>
      </c>
      <c r="E84" s="14">
        <v>41.1</v>
      </c>
      <c r="F84" s="1" t="s">
        <v>18</v>
      </c>
      <c r="G84" s="1">
        <v>2</v>
      </c>
      <c r="H84" s="1" t="s">
        <v>16</v>
      </c>
      <c r="I84" s="1" t="s">
        <v>16</v>
      </c>
      <c r="J84" s="1" t="s">
        <v>16</v>
      </c>
      <c r="K84" s="1" t="s">
        <v>17</v>
      </c>
      <c r="L84" s="1" t="s">
        <v>17</v>
      </c>
      <c r="M84" s="1" t="s">
        <v>17</v>
      </c>
      <c r="N84" s="1" t="s">
        <v>16</v>
      </c>
    </row>
    <row r="85" spans="1:14" x14ac:dyDescent="0.25">
      <c r="A85" s="9">
        <v>44064</v>
      </c>
      <c r="B85" s="1" t="s">
        <v>15</v>
      </c>
      <c r="C85" s="1">
        <v>6</v>
      </c>
      <c r="D85" s="1">
        <v>2</v>
      </c>
      <c r="E85" s="14">
        <v>59.8</v>
      </c>
      <c r="F85" s="1" t="s">
        <v>18</v>
      </c>
      <c r="G85" s="1">
        <v>2</v>
      </c>
      <c r="H85" s="1" t="s">
        <v>16</v>
      </c>
      <c r="I85" s="1" t="s">
        <v>16</v>
      </c>
      <c r="J85" s="1" t="s">
        <v>16</v>
      </c>
      <c r="K85" s="1" t="s">
        <v>17</v>
      </c>
      <c r="L85" s="1" t="s">
        <v>17</v>
      </c>
      <c r="M85" s="1" t="s">
        <v>17</v>
      </c>
      <c r="N85" s="1" t="s">
        <v>16</v>
      </c>
    </row>
    <row r="86" spans="1:14" x14ac:dyDescent="0.25">
      <c r="A86" s="9">
        <v>44064</v>
      </c>
      <c r="B86" s="1" t="s">
        <v>15</v>
      </c>
      <c r="C86" s="1">
        <v>7</v>
      </c>
      <c r="D86" s="1">
        <v>2</v>
      </c>
      <c r="E86" s="14">
        <v>55.53</v>
      </c>
      <c r="F86" s="1" t="s">
        <v>18</v>
      </c>
      <c r="G86" s="1">
        <v>2</v>
      </c>
      <c r="H86" s="1" t="s">
        <v>16</v>
      </c>
      <c r="I86" s="1" t="s">
        <v>16</v>
      </c>
      <c r="J86" s="1" t="s">
        <v>16</v>
      </c>
      <c r="K86" s="1" t="s">
        <v>17</v>
      </c>
      <c r="L86" s="1" t="s">
        <v>17</v>
      </c>
      <c r="M86" s="1" t="s">
        <v>17</v>
      </c>
      <c r="N86" s="1" t="s">
        <v>16</v>
      </c>
    </row>
    <row r="87" spans="1:14" x14ac:dyDescent="0.25">
      <c r="A87" s="9">
        <v>44064</v>
      </c>
      <c r="B87" s="1" t="s">
        <v>15</v>
      </c>
      <c r="C87" s="1">
        <v>8</v>
      </c>
      <c r="D87" s="1">
        <v>2</v>
      </c>
      <c r="E87" s="14">
        <v>44.1</v>
      </c>
      <c r="F87" s="1" t="s">
        <v>18</v>
      </c>
      <c r="G87" s="1">
        <v>2</v>
      </c>
      <c r="H87" s="1" t="s">
        <v>16</v>
      </c>
      <c r="I87" s="1" t="s">
        <v>16</v>
      </c>
      <c r="J87" s="1" t="s">
        <v>16</v>
      </c>
      <c r="K87" s="1" t="s">
        <v>17</v>
      </c>
      <c r="L87" s="1" t="s">
        <v>17</v>
      </c>
      <c r="M87" s="1" t="s">
        <v>17</v>
      </c>
      <c r="N87" s="1" t="s">
        <v>16</v>
      </c>
    </row>
    <row r="88" spans="1:14" x14ac:dyDescent="0.25">
      <c r="A88" s="9">
        <v>44064</v>
      </c>
      <c r="B88" s="1" t="s">
        <v>15</v>
      </c>
      <c r="C88" s="1">
        <v>9</v>
      </c>
      <c r="D88" s="1">
        <v>2</v>
      </c>
      <c r="E88" s="14">
        <v>43.19</v>
      </c>
      <c r="F88" s="1" t="s">
        <v>18</v>
      </c>
      <c r="G88" s="1">
        <v>2</v>
      </c>
      <c r="H88" s="1" t="s">
        <v>16</v>
      </c>
      <c r="I88" s="1" t="s">
        <v>16</v>
      </c>
      <c r="J88" s="1" t="s">
        <v>16</v>
      </c>
      <c r="K88" s="1" t="s">
        <v>17</v>
      </c>
      <c r="L88" s="1" t="s">
        <v>17</v>
      </c>
      <c r="M88" s="1" t="s">
        <v>17</v>
      </c>
      <c r="N88" s="1" t="s">
        <v>16</v>
      </c>
    </row>
    <row r="89" spans="1:14" x14ac:dyDescent="0.25">
      <c r="A89" s="9">
        <v>44064</v>
      </c>
      <c r="B89" s="1" t="s">
        <v>15</v>
      </c>
      <c r="C89" s="1">
        <v>10</v>
      </c>
      <c r="D89" s="1">
        <v>2</v>
      </c>
      <c r="E89" s="14">
        <v>49.89</v>
      </c>
      <c r="F89" s="1" t="s">
        <v>18</v>
      </c>
      <c r="G89" s="1">
        <v>3</v>
      </c>
      <c r="H89" s="1" t="s">
        <v>16</v>
      </c>
      <c r="I89" s="1" t="s">
        <v>16</v>
      </c>
      <c r="J89" s="1" t="s">
        <v>16</v>
      </c>
      <c r="K89" s="1" t="s">
        <v>17</v>
      </c>
      <c r="L89" s="1" t="s">
        <v>17</v>
      </c>
      <c r="M89" s="1" t="s">
        <v>17</v>
      </c>
      <c r="N89" s="1" t="s">
        <v>16</v>
      </c>
    </row>
    <row r="90" spans="1:14" x14ac:dyDescent="0.25">
      <c r="A90" s="9">
        <v>44064</v>
      </c>
      <c r="B90" s="1" t="s">
        <v>15</v>
      </c>
      <c r="C90" s="1">
        <v>11</v>
      </c>
      <c r="D90" s="1">
        <v>3</v>
      </c>
      <c r="E90" s="14">
        <v>39.9</v>
      </c>
      <c r="F90" s="1" t="s">
        <v>19</v>
      </c>
      <c r="G90" s="1">
        <v>2</v>
      </c>
      <c r="H90" s="1" t="s">
        <v>16</v>
      </c>
      <c r="I90" s="1" t="s">
        <v>16</v>
      </c>
      <c r="J90" s="1" t="s">
        <v>16</v>
      </c>
      <c r="K90" s="1" t="s">
        <v>17</v>
      </c>
      <c r="L90" s="1" t="s">
        <v>17</v>
      </c>
      <c r="M90" s="1" t="s">
        <v>17</v>
      </c>
      <c r="N90" s="1" t="s">
        <v>16</v>
      </c>
    </row>
    <row r="91" spans="1:14" x14ac:dyDescent="0.25">
      <c r="A91" s="9">
        <v>44064</v>
      </c>
      <c r="B91" s="1" t="s">
        <v>15</v>
      </c>
      <c r="C91" s="1">
        <v>12</v>
      </c>
      <c r="D91" s="1">
        <v>3</v>
      </c>
      <c r="E91" s="14">
        <v>49.25</v>
      </c>
      <c r="F91" s="1" t="s">
        <v>18</v>
      </c>
      <c r="G91" s="1">
        <v>2</v>
      </c>
      <c r="H91" s="1" t="s">
        <v>16</v>
      </c>
      <c r="I91" s="1" t="s">
        <v>16</v>
      </c>
      <c r="J91" s="1" t="s">
        <v>16</v>
      </c>
      <c r="K91" s="1" t="s">
        <v>17</v>
      </c>
      <c r="L91" s="1" t="s">
        <v>17</v>
      </c>
      <c r="M91" s="1" t="s">
        <v>17</v>
      </c>
      <c r="N91" s="1" t="s">
        <v>16</v>
      </c>
    </row>
    <row r="92" spans="1:14" x14ac:dyDescent="0.25">
      <c r="A92" s="9">
        <v>44064</v>
      </c>
      <c r="B92" s="1" t="s">
        <v>15</v>
      </c>
      <c r="C92" s="1">
        <v>13</v>
      </c>
      <c r="D92" s="1">
        <v>3</v>
      </c>
      <c r="E92" s="14">
        <v>49.74</v>
      </c>
      <c r="F92" s="1" t="s">
        <v>19</v>
      </c>
      <c r="G92" s="1">
        <v>2</v>
      </c>
      <c r="H92" s="1" t="s">
        <v>16</v>
      </c>
      <c r="I92" s="1" t="s">
        <v>16</v>
      </c>
      <c r="J92" s="1" t="s">
        <v>16</v>
      </c>
      <c r="K92" s="1" t="s">
        <v>17</v>
      </c>
      <c r="L92" s="1" t="s">
        <v>17</v>
      </c>
      <c r="M92" s="1" t="s">
        <v>17</v>
      </c>
      <c r="N92" s="1" t="s">
        <v>16</v>
      </c>
    </row>
    <row r="93" spans="1:14" x14ac:dyDescent="0.25">
      <c r="A93" s="9">
        <v>44064</v>
      </c>
      <c r="B93" s="1" t="s">
        <v>15</v>
      </c>
      <c r="C93" s="1">
        <v>14</v>
      </c>
      <c r="D93" s="1">
        <v>3</v>
      </c>
      <c r="E93" s="14">
        <v>48.12</v>
      </c>
      <c r="F93" s="1" t="s">
        <v>18</v>
      </c>
      <c r="G93" s="1">
        <v>2</v>
      </c>
      <c r="H93" s="1" t="s">
        <v>16</v>
      </c>
      <c r="I93" s="1" t="s">
        <v>16</v>
      </c>
      <c r="J93" s="1" t="s">
        <v>16</v>
      </c>
      <c r="K93" s="1" t="s">
        <v>17</v>
      </c>
      <c r="L93" s="1" t="s">
        <v>17</v>
      </c>
      <c r="M93" s="1" t="s">
        <v>17</v>
      </c>
      <c r="N93" s="1" t="s">
        <v>16</v>
      </c>
    </row>
    <row r="94" spans="1:14" x14ac:dyDescent="0.25">
      <c r="A94" s="9">
        <v>44064</v>
      </c>
      <c r="B94" s="1" t="s">
        <v>15</v>
      </c>
      <c r="C94" s="1">
        <v>15</v>
      </c>
      <c r="D94" s="1">
        <v>3</v>
      </c>
      <c r="E94" s="14">
        <v>52.59</v>
      </c>
      <c r="F94" s="1" t="s">
        <v>19</v>
      </c>
      <c r="G94" s="1">
        <v>2</v>
      </c>
      <c r="H94" s="1" t="s">
        <v>16</v>
      </c>
      <c r="I94" s="1" t="s">
        <v>16</v>
      </c>
      <c r="J94" s="1" t="s">
        <v>16</v>
      </c>
      <c r="K94" s="1" t="s">
        <v>17</v>
      </c>
      <c r="L94" s="1" t="s">
        <v>17</v>
      </c>
      <c r="M94" s="1" t="s">
        <v>17</v>
      </c>
      <c r="N94" s="1" t="s">
        <v>16</v>
      </c>
    </row>
    <row r="95" spans="1:14" x14ac:dyDescent="0.25">
      <c r="A95" s="9">
        <v>44091</v>
      </c>
      <c r="B95" s="1" t="s">
        <v>15</v>
      </c>
      <c r="C95" s="1">
        <v>1</v>
      </c>
      <c r="D95" s="1">
        <v>1</v>
      </c>
      <c r="E95" s="14">
        <v>51.66</v>
      </c>
      <c r="F95" s="1" t="s">
        <v>18</v>
      </c>
      <c r="G95" s="1">
        <v>2</v>
      </c>
      <c r="H95" s="1" t="s">
        <v>16</v>
      </c>
      <c r="I95" s="1" t="s">
        <v>16</v>
      </c>
      <c r="J95" s="1" t="s">
        <v>16</v>
      </c>
      <c r="K95" s="1" t="s">
        <v>17</v>
      </c>
      <c r="L95" s="1" t="s">
        <v>17</v>
      </c>
      <c r="M95" s="1" t="s">
        <v>17</v>
      </c>
      <c r="N95" s="1" t="s">
        <v>16</v>
      </c>
    </row>
    <row r="96" spans="1:14" x14ac:dyDescent="0.25">
      <c r="A96" s="9">
        <v>44091</v>
      </c>
      <c r="B96" s="1" t="s">
        <v>15</v>
      </c>
      <c r="C96" s="1">
        <v>2</v>
      </c>
      <c r="D96" s="1">
        <v>1</v>
      </c>
      <c r="E96" s="14">
        <v>44.82</v>
      </c>
      <c r="F96" s="1" t="s">
        <v>19</v>
      </c>
      <c r="G96" s="1">
        <v>2</v>
      </c>
      <c r="H96" s="1" t="s">
        <v>16</v>
      </c>
      <c r="I96" s="1" t="s">
        <v>16</v>
      </c>
      <c r="J96" s="1" t="s">
        <v>16</v>
      </c>
      <c r="K96" s="1" t="s">
        <v>17</v>
      </c>
      <c r="L96" s="1" t="s">
        <v>17</v>
      </c>
      <c r="M96" s="1" t="s">
        <v>17</v>
      </c>
      <c r="N96" s="1" t="s">
        <v>16</v>
      </c>
    </row>
    <row r="97" spans="1:14" x14ac:dyDescent="0.25">
      <c r="A97" s="9">
        <v>44091</v>
      </c>
      <c r="B97" s="1" t="s">
        <v>15</v>
      </c>
      <c r="C97" s="1">
        <v>3</v>
      </c>
      <c r="D97" s="1">
        <v>1</v>
      </c>
      <c r="E97" s="14">
        <v>47.28</v>
      </c>
      <c r="F97" s="1" t="s">
        <v>18</v>
      </c>
      <c r="G97" s="1">
        <v>2</v>
      </c>
      <c r="H97" s="1" t="s">
        <v>16</v>
      </c>
      <c r="I97" s="1" t="s">
        <v>16</v>
      </c>
      <c r="J97" s="1" t="s">
        <v>16</v>
      </c>
      <c r="K97" s="1" t="s">
        <v>17</v>
      </c>
      <c r="L97" s="1" t="s">
        <v>17</v>
      </c>
      <c r="M97" s="1" t="s">
        <v>17</v>
      </c>
      <c r="N97" s="1" t="s">
        <v>16</v>
      </c>
    </row>
    <row r="98" spans="1:14" x14ac:dyDescent="0.25">
      <c r="A98" s="9">
        <v>44091</v>
      </c>
      <c r="B98" s="1" t="s">
        <v>15</v>
      </c>
      <c r="C98" s="1">
        <v>4</v>
      </c>
      <c r="D98" s="1">
        <v>1</v>
      </c>
      <c r="E98" s="14">
        <v>44.69</v>
      </c>
      <c r="F98" s="1" t="s">
        <v>18</v>
      </c>
      <c r="G98" s="1">
        <v>2</v>
      </c>
      <c r="H98" s="1" t="s">
        <v>16</v>
      </c>
      <c r="I98" s="1" t="s">
        <v>16</v>
      </c>
      <c r="J98" s="1" t="s">
        <v>16</v>
      </c>
      <c r="K98" s="1" t="s">
        <v>17</v>
      </c>
      <c r="L98" s="1" t="s">
        <v>17</v>
      </c>
      <c r="M98" s="1" t="s">
        <v>17</v>
      </c>
      <c r="N98" s="1" t="s">
        <v>16</v>
      </c>
    </row>
    <row r="99" spans="1:14" x14ac:dyDescent="0.25">
      <c r="A99" s="9">
        <v>44091</v>
      </c>
      <c r="B99" s="1" t="s">
        <v>15</v>
      </c>
      <c r="C99" s="1">
        <v>5</v>
      </c>
      <c r="D99" s="1">
        <v>1</v>
      </c>
      <c r="E99" s="14">
        <v>37.24</v>
      </c>
      <c r="F99" s="1" t="s">
        <v>18</v>
      </c>
      <c r="G99" s="1">
        <v>2</v>
      </c>
      <c r="H99" s="1" t="s">
        <v>16</v>
      </c>
      <c r="I99" s="1" t="s">
        <v>16</v>
      </c>
      <c r="J99" s="1" t="s">
        <v>16</v>
      </c>
      <c r="K99" s="1" t="s">
        <v>17</v>
      </c>
      <c r="L99" s="1" t="s">
        <v>17</v>
      </c>
      <c r="M99" s="1" t="s">
        <v>17</v>
      </c>
      <c r="N99" s="1" t="s">
        <v>16</v>
      </c>
    </row>
    <row r="100" spans="1:14" x14ac:dyDescent="0.25">
      <c r="A100" s="9">
        <v>44091</v>
      </c>
      <c r="B100" s="1" t="s">
        <v>15</v>
      </c>
      <c r="C100" s="1">
        <v>6</v>
      </c>
      <c r="D100" s="1">
        <v>2</v>
      </c>
      <c r="E100" s="14">
        <v>57.53</v>
      </c>
      <c r="F100" s="1" t="s">
        <v>19</v>
      </c>
      <c r="G100" s="1">
        <v>2</v>
      </c>
      <c r="H100" s="1" t="s">
        <v>16</v>
      </c>
      <c r="I100" s="1" t="s">
        <v>16</v>
      </c>
      <c r="J100" s="1" t="s">
        <v>16</v>
      </c>
      <c r="K100" s="1" t="s">
        <v>17</v>
      </c>
      <c r="L100" s="1" t="s">
        <v>17</v>
      </c>
      <c r="M100" s="1" t="s">
        <v>17</v>
      </c>
      <c r="N100" s="1" t="s">
        <v>16</v>
      </c>
    </row>
    <row r="101" spans="1:14" x14ac:dyDescent="0.25">
      <c r="A101" s="9">
        <v>44091</v>
      </c>
      <c r="B101" s="1" t="s">
        <v>15</v>
      </c>
      <c r="C101" s="1">
        <v>7</v>
      </c>
      <c r="D101" s="1">
        <v>2</v>
      </c>
      <c r="E101" s="14">
        <v>45.54</v>
      </c>
      <c r="F101" s="1" t="s">
        <v>18</v>
      </c>
      <c r="G101" s="1">
        <v>2</v>
      </c>
      <c r="H101" s="1" t="s">
        <v>16</v>
      </c>
      <c r="I101" s="1" t="s">
        <v>16</v>
      </c>
      <c r="J101" s="1" t="s">
        <v>16</v>
      </c>
      <c r="K101" s="1" t="s">
        <v>21</v>
      </c>
      <c r="L101" s="1" t="s">
        <v>17</v>
      </c>
      <c r="M101" s="1" t="s">
        <v>17</v>
      </c>
      <c r="N101" s="1" t="s">
        <v>16</v>
      </c>
    </row>
    <row r="102" spans="1:14" x14ac:dyDescent="0.25">
      <c r="A102" s="9">
        <v>44091</v>
      </c>
      <c r="B102" s="1" t="s">
        <v>15</v>
      </c>
      <c r="C102" s="1">
        <v>8</v>
      </c>
      <c r="D102" s="1">
        <v>2</v>
      </c>
      <c r="E102" s="14">
        <v>34.61</v>
      </c>
      <c r="F102" s="1" t="s">
        <v>19</v>
      </c>
      <c r="G102" s="1">
        <v>2</v>
      </c>
      <c r="H102" s="1" t="s">
        <v>16</v>
      </c>
      <c r="I102" s="1" t="s">
        <v>16</v>
      </c>
      <c r="J102" s="1" t="s">
        <v>16</v>
      </c>
      <c r="K102" s="1" t="s">
        <v>21</v>
      </c>
      <c r="L102" s="1" t="s">
        <v>17</v>
      </c>
      <c r="M102" s="1" t="s">
        <v>17</v>
      </c>
      <c r="N102" s="1" t="s">
        <v>16</v>
      </c>
    </row>
    <row r="103" spans="1:14" x14ac:dyDescent="0.25">
      <c r="A103" s="9">
        <v>44091</v>
      </c>
      <c r="B103" s="1" t="s">
        <v>15</v>
      </c>
      <c r="C103" s="1">
        <v>9</v>
      </c>
      <c r="D103" s="1">
        <v>2</v>
      </c>
      <c r="E103" s="14">
        <v>37.22</v>
      </c>
      <c r="F103" s="1" t="s">
        <v>19</v>
      </c>
      <c r="G103" s="1">
        <v>2</v>
      </c>
      <c r="H103" s="1" t="s">
        <v>16</v>
      </c>
      <c r="I103" s="1" t="s">
        <v>16</v>
      </c>
      <c r="J103" s="1" t="s">
        <v>16</v>
      </c>
      <c r="K103" s="1" t="s">
        <v>17</v>
      </c>
      <c r="L103" s="1" t="s">
        <v>17</v>
      </c>
      <c r="M103" s="1" t="s">
        <v>17</v>
      </c>
      <c r="N103" s="1" t="s">
        <v>16</v>
      </c>
    </row>
    <row r="104" spans="1:14" x14ac:dyDescent="0.25">
      <c r="A104" s="9">
        <v>44091</v>
      </c>
      <c r="B104" s="1" t="s">
        <v>15</v>
      </c>
      <c r="C104" s="1">
        <v>10</v>
      </c>
      <c r="D104" s="1">
        <v>2</v>
      </c>
      <c r="E104" s="14">
        <v>42.19</v>
      </c>
      <c r="F104" s="1" t="s">
        <v>18</v>
      </c>
      <c r="G104" s="1">
        <v>2</v>
      </c>
      <c r="H104" s="1" t="s">
        <v>16</v>
      </c>
      <c r="I104" s="1" t="s">
        <v>16</v>
      </c>
      <c r="J104" s="1" t="s">
        <v>16</v>
      </c>
      <c r="K104" s="1" t="s">
        <v>17</v>
      </c>
      <c r="L104" s="1" t="s">
        <v>17</v>
      </c>
      <c r="M104" s="1" t="s">
        <v>17</v>
      </c>
      <c r="N104" s="1" t="s">
        <v>16</v>
      </c>
    </row>
    <row r="105" spans="1:14" x14ac:dyDescent="0.25">
      <c r="A105" s="9">
        <v>44091</v>
      </c>
      <c r="B105" s="1" t="s">
        <v>15</v>
      </c>
      <c r="C105" s="1">
        <v>11</v>
      </c>
      <c r="D105" s="1">
        <v>3</v>
      </c>
      <c r="E105" s="14">
        <v>40.39</v>
      </c>
      <c r="F105" s="1" t="s">
        <v>18</v>
      </c>
      <c r="G105" s="1">
        <v>2</v>
      </c>
      <c r="H105" s="1" t="s">
        <v>16</v>
      </c>
      <c r="I105" s="1" t="s">
        <v>16</v>
      </c>
      <c r="J105" s="1" t="s">
        <v>16</v>
      </c>
      <c r="K105" s="1" t="s">
        <v>17</v>
      </c>
      <c r="L105" s="1" t="s">
        <v>17</v>
      </c>
      <c r="M105" s="1" t="s">
        <v>17</v>
      </c>
      <c r="N105" s="1" t="s">
        <v>16</v>
      </c>
    </row>
    <row r="106" spans="1:14" x14ac:dyDescent="0.25">
      <c r="A106" s="9">
        <v>44091</v>
      </c>
      <c r="B106" s="1" t="s">
        <v>15</v>
      </c>
      <c r="C106" s="1">
        <v>12</v>
      </c>
      <c r="D106" s="1">
        <v>3</v>
      </c>
      <c r="E106" s="14">
        <v>42.3</v>
      </c>
      <c r="F106" s="1" t="s">
        <v>19</v>
      </c>
      <c r="G106" s="1">
        <v>2</v>
      </c>
      <c r="H106" s="1" t="s">
        <v>16</v>
      </c>
      <c r="I106" s="1" t="s">
        <v>16</v>
      </c>
      <c r="J106" s="1" t="s">
        <v>16</v>
      </c>
      <c r="K106" s="1" t="s">
        <v>17</v>
      </c>
      <c r="L106" s="1" t="s">
        <v>17</v>
      </c>
      <c r="M106" s="1" t="s">
        <v>17</v>
      </c>
      <c r="N106" s="1" t="s">
        <v>16</v>
      </c>
    </row>
    <row r="107" spans="1:14" x14ac:dyDescent="0.25">
      <c r="A107" s="9">
        <v>44091</v>
      </c>
      <c r="B107" s="1" t="s">
        <v>15</v>
      </c>
      <c r="C107" s="1">
        <v>13</v>
      </c>
      <c r="D107" s="1">
        <v>3</v>
      </c>
      <c r="E107" s="14">
        <v>59.4</v>
      </c>
      <c r="F107" s="1" t="s">
        <v>19</v>
      </c>
      <c r="G107" s="1">
        <v>2</v>
      </c>
      <c r="H107" s="1" t="s">
        <v>16</v>
      </c>
      <c r="I107" s="1" t="s">
        <v>16</v>
      </c>
      <c r="J107" s="1" t="s">
        <v>16</v>
      </c>
      <c r="K107" s="1" t="s">
        <v>17</v>
      </c>
      <c r="L107" s="1" t="s">
        <v>17</v>
      </c>
      <c r="M107" s="1" t="s">
        <v>17</v>
      </c>
      <c r="N107" s="1" t="s">
        <v>16</v>
      </c>
    </row>
    <row r="108" spans="1:14" x14ac:dyDescent="0.25">
      <c r="A108" s="9">
        <v>44091</v>
      </c>
      <c r="B108" s="1" t="s">
        <v>15</v>
      </c>
      <c r="C108" s="1">
        <v>14</v>
      </c>
      <c r="D108" s="1">
        <v>3</v>
      </c>
      <c r="E108" s="14">
        <v>74.87</v>
      </c>
      <c r="F108" s="1" t="s">
        <v>18</v>
      </c>
      <c r="G108" s="1">
        <v>2</v>
      </c>
      <c r="H108" s="1" t="s">
        <v>16</v>
      </c>
      <c r="I108" s="1" t="s">
        <v>16</v>
      </c>
      <c r="J108" s="1" t="s">
        <v>16</v>
      </c>
      <c r="K108" s="1" t="s">
        <v>17</v>
      </c>
      <c r="L108" s="1" t="s">
        <v>17</v>
      </c>
      <c r="M108" s="1" t="s">
        <v>17</v>
      </c>
      <c r="N108" s="1" t="s">
        <v>16</v>
      </c>
    </row>
    <row r="109" spans="1:14" x14ac:dyDescent="0.25">
      <c r="A109" s="9">
        <v>44091</v>
      </c>
      <c r="B109" s="1" t="s">
        <v>15</v>
      </c>
      <c r="C109" s="1">
        <v>15</v>
      </c>
      <c r="D109" s="1">
        <v>3</v>
      </c>
      <c r="E109" s="14">
        <v>58.5</v>
      </c>
      <c r="F109" s="1" t="s">
        <v>18</v>
      </c>
      <c r="G109" s="1">
        <v>2</v>
      </c>
      <c r="H109" s="1" t="s">
        <v>16</v>
      </c>
      <c r="I109" s="1" t="s">
        <v>16</v>
      </c>
      <c r="J109" s="1" t="s">
        <v>16</v>
      </c>
      <c r="K109" s="1" t="s">
        <v>17</v>
      </c>
      <c r="L109" s="1" t="s">
        <v>17</v>
      </c>
      <c r="M109" s="1" t="s">
        <v>17</v>
      </c>
      <c r="N109" s="1" t="s">
        <v>16</v>
      </c>
    </row>
    <row r="110" spans="1:14" x14ac:dyDescent="0.25">
      <c r="A110" s="9">
        <v>44110</v>
      </c>
      <c r="B110" s="1" t="s">
        <v>15</v>
      </c>
      <c r="C110" s="1">
        <v>1</v>
      </c>
      <c r="D110" s="1">
        <v>1</v>
      </c>
      <c r="E110" s="14">
        <v>64.53</v>
      </c>
      <c r="F110" s="1" t="s">
        <v>18</v>
      </c>
      <c r="G110" s="1">
        <v>2</v>
      </c>
      <c r="H110" s="1" t="s">
        <v>16</v>
      </c>
      <c r="I110" s="1" t="s">
        <v>16</v>
      </c>
      <c r="J110" s="1" t="s">
        <v>16</v>
      </c>
      <c r="K110" s="1" t="s">
        <v>17</v>
      </c>
      <c r="L110" s="1" t="s">
        <v>17</v>
      </c>
      <c r="M110" s="1" t="s">
        <v>17</v>
      </c>
      <c r="N110" s="1" t="s">
        <v>16</v>
      </c>
    </row>
    <row r="111" spans="1:14" x14ac:dyDescent="0.25">
      <c r="A111" s="9">
        <v>44110</v>
      </c>
      <c r="B111" s="1" t="s">
        <v>15</v>
      </c>
      <c r="C111" s="1">
        <v>2</v>
      </c>
      <c r="D111" s="1">
        <v>1</v>
      </c>
      <c r="E111" s="14">
        <v>73.17</v>
      </c>
      <c r="F111" s="1" t="s">
        <v>18</v>
      </c>
      <c r="G111" s="1">
        <v>2</v>
      </c>
      <c r="H111" s="1" t="s">
        <v>16</v>
      </c>
      <c r="I111" s="1" t="s">
        <v>16</v>
      </c>
      <c r="J111" s="1" t="s">
        <v>16</v>
      </c>
      <c r="K111" s="1" t="s">
        <v>17</v>
      </c>
      <c r="L111" s="1" t="s">
        <v>17</v>
      </c>
      <c r="M111" s="1" t="s">
        <v>17</v>
      </c>
      <c r="N111" s="1" t="s">
        <v>16</v>
      </c>
    </row>
    <row r="112" spans="1:14" x14ac:dyDescent="0.25">
      <c r="A112" s="9">
        <v>44110</v>
      </c>
      <c r="B112" s="1" t="s">
        <v>15</v>
      </c>
      <c r="C112" s="1">
        <v>3</v>
      </c>
      <c r="D112" s="1">
        <v>1</v>
      </c>
      <c r="E112" s="14">
        <v>57.08</v>
      </c>
      <c r="F112" s="1" t="s">
        <v>18</v>
      </c>
      <c r="G112" s="1">
        <v>2</v>
      </c>
      <c r="H112" s="1" t="s">
        <v>16</v>
      </c>
      <c r="I112" s="1" t="s">
        <v>16</v>
      </c>
      <c r="J112" s="1" t="s">
        <v>16</v>
      </c>
      <c r="K112" s="1" t="s">
        <v>17</v>
      </c>
      <c r="L112" s="1" t="s">
        <v>17</v>
      </c>
      <c r="M112" s="1" t="s">
        <v>17</v>
      </c>
      <c r="N112" s="1" t="s">
        <v>16</v>
      </c>
    </row>
    <row r="113" spans="1:14" x14ac:dyDescent="0.25">
      <c r="A113" s="9">
        <v>44110</v>
      </c>
      <c r="B113" s="1" t="s">
        <v>15</v>
      </c>
      <c r="C113" s="1">
        <v>4</v>
      </c>
      <c r="D113" s="1">
        <v>1</v>
      </c>
      <c r="E113" s="14">
        <v>44.35</v>
      </c>
      <c r="F113" s="1" t="s">
        <v>18</v>
      </c>
      <c r="G113" s="1">
        <v>2</v>
      </c>
      <c r="H113" s="1" t="s">
        <v>16</v>
      </c>
      <c r="I113" s="1" t="s">
        <v>16</v>
      </c>
      <c r="J113" s="1" t="s">
        <v>16</v>
      </c>
      <c r="K113" s="1" t="s">
        <v>17</v>
      </c>
      <c r="L113" s="1" t="s">
        <v>17</v>
      </c>
      <c r="M113" s="1" t="s">
        <v>17</v>
      </c>
      <c r="N113" s="1" t="s">
        <v>16</v>
      </c>
    </row>
    <row r="114" spans="1:14" x14ac:dyDescent="0.25">
      <c r="A114" s="9">
        <v>44110</v>
      </c>
      <c r="B114" s="1" t="s">
        <v>15</v>
      </c>
      <c r="C114" s="1">
        <v>5</v>
      </c>
      <c r="D114" s="1">
        <v>1</v>
      </c>
      <c r="E114" s="14">
        <v>49.45</v>
      </c>
      <c r="F114" s="1" t="s">
        <v>19</v>
      </c>
      <c r="G114" s="1">
        <v>2</v>
      </c>
      <c r="H114" s="1" t="s">
        <v>16</v>
      </c>
      <c r="I114" s="1" t="s">
        <v>16</v>
      </c>
      <c r="J114" s="1" t="s">
        <v>16</v>
      </c>
      <c r="K114" s="1" t="s">
        <v>17</v>
      </c>
      <c r="L114" s="1" t="s">
        <v>17</v>
      </c>
      <c r="M114" s="1" t="s">
        <v>17</v>
      </c>
      <c r="N114" s="1" t="s">
        <v>16</v>
      </c>
    </row>
    <row r="115" spans="1:14" x14ac:dyDescent="0.25">
      <c r="A115" s="9">
        <v>44110</v>
      </c>
      <c r="B115" s="1" t="s">
        <v>15</v>
      </c>
      <c r="C115" s="1">
        <v>6</v>
      </c>
      <c r="D115" s="1">
        <v>2</v>
      </c>
      <c r="E115" s="14">
        <v>65.41</v>
      </c>
      <c r="F115" s="1" t="s">
        <v>18</v>
      </c>
      <c r="G115" s="1">
        <v>2</v>
      </c>
      <c r="H115" s="1" t="s">
        <v>16</v>
      </c>
      <c r="I115" s="1" t="s">
        <v>16</v>
      </c>
      <c r="J115" s="1" t="s">
        <v>16</v>
      </c>
      <c r="K115" s="1" t="s">
        <v>21</v>
      </c>
      <c r="L115" s="1" t="s">
        <v>17</v>
      </c>
      <c r="M115" s="1" t="s">
        <v>17</v>
      </c>
      <c r="N115" s="1" t="s">
        <v>16</v>
      </c>
    </row>
    <row r="116" spans="1:14" x14ac:dyDescent="0.25">
      <c r="A116" s="9">
        <v>44110</v>
      </c>
      <c r="B116" s="1" t="s">
        <v>15</v>
      </c>
      <c r="C116" s="1">
        <v>7</v>
      </c>
      <c r="D116" s="1">
        <v>2</v>
      </c>
      <c r="E116" s="14">
        <v>53.37</v>
      </c>
      <c r="F116" s="1" t="s">
        <v>19</v>
      </c>
      <c r="G116" s="1">
        <v>2</v>
      </c>
      <c r="H116" s="1" t="s">
        <v>16</v>
      </c>
      <c r="I116" s="1" t="s">
        <v>16</v>
      </c>
      <c r="J116" s="1" t="s">
        <v>16</v>
      </c>
      <c r="K116" s="1" t="s">
        <v>17</v>
      </c>
      <c r="L116" s="1" t="s">
        <v>17</v>
      </c>
      <c r="M116" s="1" t="s">
        <v>17</v>
      </c>
      <c r="N116" s="1" t="s">
        <v>16</v>
      </c>
    </row>
    <row r="117" spans="1:14" x14ac:dyDescent="0.25">
      <c r="A117" s="9">
        <v>44110</v>
      </c>
      <c r="B117" s="1" t="s">
        <v>15</v>
      </c>
      <c r="C117" s="1">
        <v>8</v>
      </c>
      <c r="D117" s="1">
        <v>2</v>
      </c>
      <c r="E117" s="14">
        <v>64.55</v>
      </c>
      <c r="F117" s="1" t="s">
        <v>18</v>
      </c>
      <c r="G117" s="1">
        <v>2</v>
      </c>
      <c r="H117" s="1" t="s">
        <v>16</v>
      </c>
      <c r="I117" s="1" t="s">
        <v>16</v>
      </c>
      <c r="J117" s="1" t="s">
        <v>16</v>
      </c>
      <c r="K117" s="1" t="s">
        <v>17</v>
      </c>
      <c r="L117" s="1" t="s">
        <v>17</v>
      </c>
      <c r="M117" s="1" t="s">
        <v>17</v>
      </c>
      <c r="N117" s="1" t="s">
        <v>16</v>
      </c>
    </row>
    <row r="118" spans="1:14" x14ac:dyDescent="0.25">
      <c r="A118" s="9">
        <v>44110</v>
      </c>
      <c r="B118" s="1" t="s">
        <v>15</v>
      </c>
      <c r="C118" s="1">
        <v>9</v>
      </c>
      <c r="D118" s="1">
        <v>2</v>
      </c>
      <c r="E118" s="14">
        <v>53.28</v>
      </c>
      <c r="F118" s="1" t="s">
        <v>18</v>
      </c>
      <c r="G118" s="1">
        <v>2</v>
      </c>
      <c r="H118" s="1" t="s">
        <v>16</v>
      </c>
      <c r="I118" s="1" t="s">
        <v>16</v>
      </c>
      <c r="J118" s="1" t="s">
        <v>16</v>
      </c>
      <c r="K118" s="1" t="s">
        <v>17</v>
      </c>
      <c r="L118" s="1" t="s">
        <v>17</v>
      </c>
      <c r="M118" s="1" t="s">
        <v>17</v>
      </c>
      <c r="N118" s="1" t="s">
        <v>16</v>
      </c>
    </row>
    <row r="119" spans="1:14" x14ac:dyDescent="0.25">
      <c r="A119" s="9">
        <v>44110</v>
      </c>
      <c r="B119" s="1" t="s">
        <v>15</v>
      </c>
      <c r="C119" s="1">
        <v>10</v>
      </c>
      <c r="D119" s="1">
        <v>2</v>
      </c>
      <c r="E119" s="14">
        <v>47.46</v>
      </c>
      <c r="F119" s="1" t="s">
        <v>18</v>
      </c>
      <c r="G119" s="1">
        <v>2</v>
      </c>
      <c r="H119" s="1" t="s">
        <v>16</v>
      </c>
      <c r="I119" s="1" t="s">
        <v>16</v>
      </c>
      <c r="J119" s="1" t="s">
        <v>16</v>
      </c>
      <c r="K119" s="1" t="s">
        <v>17</v>
      </c>
      <c r="L119" s="1" t="s">
        <v>17</v>
      </c>
      <c r="M119" s="1" t="s">
        <v>17</v>
      </c>
      <c r="N119" s="1" t="s">
        <v>16</v>
      </c>
    </row>
    <row r="120" spans="1:14" x14ac:dyDescent="0.25">
      <c r="A120" s="9">
        <v>44110</v>
      </c>
      <c r="B120" s="1" t="s">
        <v>15</v>
      </c>
      <c r="C120" s="1">
        <v>11</v>
      </c>
      <c r="D120" s="1">
        <v>3</v>
      </c>
      <c r="E120" s="14">
        <v>51.75</v>
      </c>
      <c r="F120" s="1" t="s">
        <v>18</v>
      </c>
      <c r="G120" s="1">
        <v>2</v>
      </c>
      <c r="H120" s="1" t="s">
        <v>16</v>
      </c>
      <c r="I120" s="1" t="s">
        <v>16</v>
      </c>
      <c r="J120" s="1" t="s">
        <v>16</v>
      </c>
      <c r="K120" s="1" t="s">
        <v>17</v>
      </c>
      <c r="L120" s="1" t="s">
        <v>17</v>
      </c>
      <c r="M120" s="1" t="s">
        <v>17</v>
      </c>
      <c r="N120" s="1" t="s">
        <v>16</v>
      </c>
    </row>
    <row r="121" spans="1:14" x14ac:dyDescent="0.25">
      <c r="A121" s="9">
        <v>44110</v>
      </c>
      <c r="B121" s="1" t="s">
        <v>15</v>
      </c>
      <c r="C121" s="1">
        <v>12</v>
      </c>
      <c r="D121" s="1">
        <v>3</v>
      </c>
      <c r="E121" s="14">
        <v>45.41</v>
      </c>
      <c r="F121" s="1" t="s">
        <v>18</v>
      </c>
      <c r="G121" s="1">
        <v>2</v>
      </c>
      <c r="H121" s="1" t="s">
        <v>16</v>
      </c>
      <c r="I121" s="1" t="s">
        <v>16</v>
      </c>
      <c r="J121" s="1" t="s">
        <v>16</v>
      </c>
      <c r="K121" s="1" t="s">
        <v>17</v>
      </c>
      <c r="L121" s="1" t="s">
        <v>17</v>
      </c>
      <c r="M121" s="1" t="s">
        <v>17</v>
      </c>
      <c r="N121" s="1" t="s">
        <v>16</v>
      </c>
    </row>
    <row r="122" spans="1:14" x14ac:dyDescent="0.25">
      <c r="A122" s="9">
        <v>44110</v>
      </c>
      <c r="B122" s="1" t="s">
        <v>15</v>
      </c>
      <c r="C122" s="1">
        <v>13</v>
      </c>
      <c r="D122" s="1">
        <v>3</v>
      </c>
      <c r="E122" s="14">
        <v>49.5</v>
      </c>
      <c r="F122" s="1" t="s">
        <v>18</v>
      </c>
      <c r="G122" s="1">
        <v>2</v>
      </c>
      <c r="H122" s="1" t="s">
        <v>16</v>
      </c>
      <c r="I122" s="1" t="s">
        <v>16</v>
      </c>
      <c r="J122" s="1" t="s">
        <v>16</v>
      </c>
      <c r="K122" s="1" t="s">
        <v>17</v>
      </c>
      <c r="L122" s="1" t="s">
        <v>17</v>
      </c>
      <c r="M122" s="1" t="s">
        <v>17</v>
      </c>
      <c r="N122" s="1" t="s">
        <v>16</v>
      </c>
    </row>
    <row r="123" spans="1:14" x14ac:dyDescent="0.25">
      <c r="A123" s="9">
        <v>44110</v>
      </c>
      <c r="B123" s="1" t="s">
        <v>15</v>
      </c>
      <c r="C123" s="1">
        <v>14</v>
      </c>
      <c r="D123" s="1">
        <v>3</v>
      </c>
      <c r="E123" s="14">
        <v>46.07</v>
      </c>
      <c r="F123" s="1" t="s">
        <v>18</v>
      </c>
      <c r="G123" s="1">
        <v>2</v>
      </c>
      <c r="H123" s="1" t="s">
        <v>16</v>
      </c>
      <c r="I123" s="1" t="s">
        <v>16</v>
      </c>
      <c r="J123" s="1" t="s">
        <v>16</v>
      </c>
      <c r="K123" s="1" t="s">
        <v>17</v>
      </c>
      <c r="L123" s="1" t="s">
        <v>17</v>
      </c>
      <c r="M123" s="1" t="s">
        <v>17</v>
      </c>
      <c r="N123" s="1" t="s">
        <v>16</v>
      </c>
    </row>
    <row r="124" spans="1:14" x14ac:dyDescent="0.25">
      <c r="A124" s="9">
        <v>44110</v>
      </c>
      <c r="B124" s="1" t="s">
        <v>15</v>
      </c>
      <c r="C124" s="1">
        <v>15</v>
      </c>
      <c r="D124" s="1">
        <v>3</v>
      </c>
      <c r="E124" s="14">
        <v>34.53</v>
      </c>
      <c r="F124" s="1" t="s">
        <v>19</v>
      </c>
      <c r="G124" s="1">
        <v>3</v>
      </c>
      <c r="H124" s="1" t="s">
        <v>16</v>
      </c>
      <c r="I124" s="1" t="s">
        <v>16</v>
      </c>
      <c r="J124" s="1" t="s">
        <v>16</v>
      </c>
      <c r="K124" s="1" t="s">
        <v>17</v>
      </c>
      <c r="L124" s="1" t="s">
        <v>17</v>
      </c>
      <c r="M124" s="1" t="s">
        <v>17</v>
      </c>
      <c r="N124" s="1" t="s">
        <v>16</v>
      </c>
    </row>
    <row r="125" spans="1:14" x14ac:dyDescent="0.25">
      <c r="A125" s="9">
        <v>44137</v>
      </c>
      <c r="B125" s="1" t="s">
        <v>15</v>
      </c>
      <c r="C125" s="1">
        <v>1</v>
      </c>
      <c r="D125" s="1">
        <v>1</v>
      </c>
      <c r="E125" s="14">
        <v>70.45</v>
      </c>
      <c r="F125" s="1" t="s">
        <v>18</v>
      </c>
      <c r="G125" s="1">
        <v>2</v>
      </c>
      <c r="H125" s="1" t="s">
        <v>16</v>
      </c>
      <c r="I125" s="1" t="s">
        <v>16</v>
      </c>
      <c r="J125" s="1" t="s">
        <v>16</v>
      </c>
      <c r="K125" s="1" t="s">
        <v>17</v>
      </c>
      <c r="L125" s="1" t="s">
        <v>17</v>
      </c>
      <c r="M125" s="1" t="s">
        <v>17</v>
      </c>
      <c r="N125" s="1" t="s">
        <v>16</v>
      </c>
    </row>
    <row r="126" spans="1:14" x14ac:dyDescent="0.25">
      <c r="A126" s="9">
        <v>44137</v>
      </c>
      <c r="B126" s="1" t="s">
        <v>15</v>
      </c>
      <c r="C126" s="1">
        <v>2</v>
      </c>
      <c r="D126" s="1">
        <v>1</v>
      </c>
      <c r="E126" s="14">
        <v>46.36</v>
      </c>
      <c r="F126" s="1" t="s">
        <v>18</v>
      </c>
      <c r="G126" s="1">
        <v>3</v>
      </c>
      <c r="H126" s="1" t="s">
        <v>16</v>
      </c>
      <c r="I126" s="1" t="s">
        <v>16</v>
      </c>
      <c r="J126" s="1" t="s">
        <v>16</v>
      </c>
      <c r="K126" s="1" t="s">
        <v>17</v>
      </c>
      <c r="L126" s="1" t="s">
        <v>17</v>
      </c>
      <c r="M126" s="1" t="s">
        <v>17</v>
      </c>
      <c r="N126" s="1" t="s">
        <v>16</v>
      </c>
    </row>
    <row r="127" spans="1:14" x14ac:dyDescent="0.25">
      <c r="A127" s="9">
        <v>44137</v>
      </c>
      <c r="B127" s="1" t="s">
        <v>15</v>
      </c>
      <c r="C127" s="1">
        <v>3</v>
      </c>
      <c r="D127" s="1">
        <v>1</v>
      </c>
      <c r="E127" s="14">
        <v>46.88</v>
      </c>
      <c r="F127" s="1" t="s">
        <v>18</v>
      </c>
      <c r="G127" s="1">
        <v>3</v>
      </c>
      <c r="H127" s="1" t="s">
        <v>16</v>
      </c>
      <c r="I127" s="1" t="s">
        <v>16</v>
      </c>
      <c r="J127" s="1" t="s">
        <v>16</v>
      </c>
      <c r="K127" s="1" t="s">
        <v>17</v>
      </c>
      <c r="L127" s="1" t="s">
        <v>17</v>
      </c>
      <c r="M127" s="1" t="s">
        <v>17</v>
      </c>
      <c r="N127" s="1" t="s">
        <v>16</v>
      </c>
    </row>
    <row r="128" spans="1:14" x14ac:dyDescent="0.25">
      <c r="A128" s="9">
        <v>44137</v>
      </c>
      <c r="B128" s="1" t="s">
        <v>15</v>
      </c>
      <c r="C128" s="1">
        <v>4</v>
      </c>
      <c r="D128" s="1">
        <v>1</v>
      </c>
      <c r="E128" s="14">
        <v>58.86</v>
      </c>
      <c r="F128" s="1" t="s">
        <v>18</v>
      </c>
      <c r="G128" s="1">
        <v>3</v>
      </c>
      <c r="H128" s="1" t="s">
        <v>16</v>
      </c>
      <c r="I128" s="1" t="s">
        <v>16</v>
      </c>
      <c r="J128" s="1" t="s">
        <v>16</v>
      </c>
      <c r="K128" s="1" t="s">
        <v>17</v>
      </c>
      <c r="L128" s="1" t="s">
        <v>17</v>
      </c>
      <c r="M128" s="1" t="s">
        <v>17</v>
      </c>
      <c r="N128" s="1" t="s">
        <v>16</v>
      </c>
    </row>
    <row r="129" spans="1:14" x14ac:dyDescent="0.25">
      <c r="A129" s="9">
        <v>44137</v>
      </c>
      <c r="B129" s="1" t="s">
        <v>15</v>
      </c>
      <c r="C129" s="1">
        <v>5</v>
      </c>
      <c r="D129" s="1">
        <v>1</v>
      </c>
      <c r="E129" s="14">
        <v>44.08</v>
      </c>
      <c r="F129" s="1" t="s">
        <v>18</v>
      </c>
      <c r="G129" s="1">
        <v>2</v>
      </c>
      <c r="H129" s="1" t="s">
        <v>16</v>
      </c>
      <c r="I129" s="1" t="s">
        <v>16</v>
      </c>
      <c r="J129" s="1" t="s">
        <v>16</v>
      </c>
      <c r="K129" s="1" t="s">
        <v>17</v>
      </c>
      <c r="L129" s="1" t="s">
        <v>17</v>
      </c>
      <c r="M129" s="1" t="s">
        <v>17</v>
      </c>
      <c r="N129" s="1" t="s">
        <v>16</v>
      </c>
    </row>
    <row r="130" spans="1:14" x14ac:dyDescent="0.25">
      <c r="A130" s="9">
        <v>44137</v>
      </c>
      <c r="B130" s="1" t="s">
        <v>15</v>
      </c>
      <c r="C130" s="1">
        <v>6</v>
      </c>
      <c r="D130" s="1">
        <v>2</v>
      </c>
      <c r="E130" s="14">
        <v>57.75</v>
      </c>
      <c r="F130" s="1" t="s">
        <v>18</v>
      </c>
      <c r="G130" s="1">
        <v>2</v>
      </c>
      <c r="H130" s="1" t="s">
        <v>16</v>
      </c>
      <c r="I130" s="1" t="s">
        <v>16</v>
      </c>
      <c r="J130" s="1" t="s">
        <v>16</v>
      </c>
      <c r="K130" s="1" t="s">
        <v>17</v>
      </c>
      <c r="L130" s="1" t="s">
        <v>17</v>
      </c>
      <c r="M130" s="1" t="s">
        <v>17</v>
      </c>
      <c r="N130" s="1" t="s">
        <v>16</v>
      </c>
    </row>
    <row r="131" spans="1:14" x14ac:dyDescent="0.25">
      <c r="A131" s="9">
        <v>44137</v>
      </c>
      <c r="B131" s="1" t="s">
        <v>15</v>
      </c>
      <c r="C131" s="1">
        <v>7</v>
      </c>
      <c r="D131" s="1">
        <v>2</v>
      </c>
      <c r="E131" s="14">
        <v>60.05</v>
      </c>
      <c r="F131" s="1" t="s">
        <v>18</v>
      </c>
      <c r="G131" s="1">
        <v>3</v>
      </c>
      <c r="H131" s="1" t="s">
        <v>16</v>
      </c>
      <c r="I131" s="1" t="s">
        <v>16</v>
      </c>
      <c r="J131" s="1" t="s">
        <v>16</v>
      </c>
      <c r="K131" s="1" t="s">
        <v>17</v>
      </c>
      <c r="L131" s="1" t="s">
        <v>17</v>
      </c>
      <c r="M131" s="1" t="s">
        <v>17</v>
      </c>
      <c r="N131" s="1" t="s">
        <v>16</v>
      </c>
    </row>
    <row r="132" spans="1:14" x14ac:dyDescent="0.25">
      <c r="A132" s="9">
        <v>44137</v>
      </c>
      <c r="B132" s="1" t="s">
        <v>15</v>
      </c>
      <c r="C132" s="1">
        <v>8</v>
      </c>
      <c r="D132" s="1">
        <v>2</v>
      </c>
      <c r="E132" s="14">
        <v>47.04</v>
      </c>
      <c r="F132" s="1" t="s">
        <v>18</v>
      </c>
      <c r="G132" s="1">
        <v>2</v>
      </c>
      <c r="H132" s="1" t="s">
        <v>16</v>
      </c>
      <c r="I132" s="1" t="s">
        <v>16</v>
      </c>
      <c r="J132" s="1" t="s">
        <v>16</v>
      </c>
      <c r="K132" s="1" t="s">
        <v>17</v>
      </c>
      <c r="L132" s="1" t="s">
        <v>17</v>
      </c>
      <c r="M132" s="1" t="s">
        <v>17</v>
      </c>
      <c r="N132" s="1" t="s">
        <v>16</v>
      </c>
    </row>
    <row r="133" spans="1:14" x14ac:dyDescent="0.25">
      <c r="A133" s="9">
        <v>44137</v>
      </c>
      <c r="B133" s="1" t="s">
        <v>15</v>
      </c>
      <c r="C133" s="1">
        <v>9</v>
      </c>
      <c r="D133" s="1">
        <v>2</v>
      </c>
      <c r="E133" s="14">
        <v>54.07</v>
      </c>
      <c r="F133" s="1" t="s">
        <v>18</v>
      </c>
      <c r="G133" s="1">
        <v>2</v>
      </c>
      <c r="H133" s="1" t="s">
        <v>16</v>
      </c>
      <c r="I133" s="1" t="s">
        <v>16</v>
      </c>
      <c r="J133" s="1" t="s">
        <v>16</v>
      </c>
      <c r="K133" s="1" t="s">
        <v>17</v>
      </c>
      <c r="L133" s="1" t="s">
        <v>17</v>
      </c>
      <c r="M133" s="1" t="s">
        <v>17</v>
      </c>
      <c r="N133" s="1" t="s">
        <v>16</v>
      </c>
    </row>
    <row r="134" spans="1:14" x14ac:dyDescent="0.25">
      <c r="A134" s="9">
        <v>44137</v>
      </c>
      <c r="B134" s="1" t="s">
        <v>15</v>
      </c>
      <c r="C134" s="1">
        <v>10</v>
      </c>
      <c r="D134" s="1">
        <v>2</v>
      </c>
      <c r="E134" s="14">
        <v>56.01</v>
      </c>
      <c r="F134" s="1" t="s">
        <v>19</v>
      </c>
      <c r="G134" s="1">
        <v>2</v>
      </c>
      <c r="H134" s="1" t="s">
        <v>16</v>
      </c>
      <c r="I134" s="1" t="s">
        <v>16</v>
      </c>
      <c r="J134" s="1" t="s">
        <v>16</v>
      </c>
      <c r="K134" s="1" t="s">
        <v>17</v>
      </c>
      <c r="L134" s="1" t="s">
        <v>17</v>
      </c>
      <c r="M134" s="1" t="s">
        <v>17</v>
      </c>
      <c r="N134" s="1" t="s">
        <v>16</v>
      </c>
    </row>
    <row r="135" spans="1:14" x14ac:dyDescent="0.25">
      <c r="A135" s="9">
        <v>44137</v>
      </c>
      <c r="B135" s="1" t="s">
        <v>15</v>
      </c>
      <c r="C135" s="1">
        <v>11</v>
      </c>
      <c r="D135" s="1">
        <v>3</v>
      </c>
      <c r="E135" s="14">
        <v>56.32</v>
      </c>
      <c r="F135" s="1" t="s">
        <v>18</v>
      </c>
      <c r="G135" s="1">
        <v>2</v>
      </c>
      <c r="H135" s="1" t="s">
        <v>16</v>
      </c>
      <c r="I135" s="1" t="s">
        <v>16</v>
      </c>
      <c r="J135" s="1" t="s">
        <v>16</v>
      </c>
      <c r="K135" s="1" t="s">
        <v>17</v>
      </c>
      <c r="L135" s="1" t="s">
        <v>17</v>
      </c>
      <c r="M135" s="1" t="s">
        <v>17</v>
      </c>
      <c r="N135" s="1" t="s">
        <v>16</v>
      </c>
    </row>
    <row r="136" spans="1:14" x14ac:dyDescent="0.25">
      <c r="A136" s="9">
        <v>44137</v>
      </c>
      <c r="B136" s="1" t="s">
        <v>15</v>
      </c>
      <c r="C136" s="1">
        <v>12</v>
      </c>
      <c r="D136" s="1">
        <v>3</v>
      </c>
      <c r="E136" s="14">
        <v>56.6</v>
      </c>
      <c r="F136" s="1" t="s">
        <v>18</v>
      </c>
      <c r="G136" s="1">
        <v>2</v>
      </c>
      <c r="H136" s="1" t="s">
        <v>16</v>
      </c>
      <c r="I136" s="1" t="s">
        <v>16</v>
      </c>
      <c r="J136" s="1" t="s">
        <v>16</v>
      </c>
      <c r="K136" s="1" t="s">
        <v>17</v>
      </c>
      <c r="L136" s="1" t="s">
        <v>17</v>
      </c>
      <c r="M136" s="1" t="s">
        <v>17</v>
      </c>
      <c r="N136" s="1" t="s">
        <v>16</v>
      </c>
    </row>
    <row r="137" spans="1:14" x14ac:dyDescent="0.25">
      <c r="A137" s="9">
        <v>44137</v>
      </c>
      <c r="B137" s="1" t="s">
        <v>15</v>
      </c>
      <c r="C137" s="1">
        <v>13</v>
      </c>
      <c r="D137" s="1">
        <v>3</v>
      </c>
      <c r="E137" s="14">
        <v>42.37</v>
      </c>
      <c r="F137" s="1" t="s">
        <v>18</v>
      </c>
      <c r="G137" s="1">
        <v>2</v>
      </c>
      <c r="H137" s="1" t="s">
        <v>16</v>
      </c>
      <c r="I137" s="1" t="s">
        <v>16</v>
      </c>
      <c r="J137" s="1" t="s">
        <v>16</v>
      </c>
      <c r="K137" s="1" t="s">
        <v>17</v>
      </c>
      <c r="L137" s="1" t="s">
        <v>17</v>
      </c>
      <c r="M137" s="1" t="s">
        <v>17</v>
      </c>
      <c r="N137" s="1" t="s">
        <v>16</v>
      </c>
    </row>
    <row r="138" spans="1:14" x14ac:dyDescent="0.25">
      <c r="A138" s="9">
        <v>44137</v>
      </c>
      <c r="B138" s="1" t="s">
        <v>15</v>
      </c>
      <c r="C138" s="1">
        <v>14</v>
      </c>
      <c r="D138" s="1">
        <v>3</v>
      </c>
      <c r="E138" s="14">
        <v>48.04</v>
      </c>
      <c r="F138" s="1" t="s">
        <v>18</v>
      </c>
      <c r="G138" s="1">
        <v>3</v>
      </c>
      <c r="H138" s="1" t="s">
        <v>16</v>
      </c>
      <c r="I138" s="1" t="s">
        <v>16</v>
      </c>
      <c r="J138" s="1" t="s">
        <v>16</v>
      </c>
      <c r="K138" s="1" t="s">
        <v>17</v>
      </c>
      <c r="L138" s="1" t="s">
        <v>17</v>
      </c>
      <c r="M138" s="1" t="s">
        <v>17</v>
      </c>
      <c r="N138" s="1" t="s">
        <v>16</v>
      </c>
    </row>
    <row r="139" spans="1:14" x14ac:dyDescent="0.25">
      <c r="A139" s="9">
        <v>44137</v>
      </c>
      <c r="B139" s="1" t="s">
        <v>15</v>
      </c>
      <c r="C139" s="1">
        <v>15</v>
      </c>
      <c r="D139" s="1">
        <v>3</v>
      </c>
      <c r="E139" s="14">
        <v>54.09</v>
      </c>
      <c r="F139" s="1" t="s">
        <v>19</v>
      </c>
      <c r="G139" s="1">
        <v>2</v>
      </c>
      <c r="H139" s="1" t="s">
        <v>16</v>
      </c>
      <c r="I139" s="1" t="s">
        <v>16</v>
      </c>
      <c r="J139" s="1" t="s">
        <v>16</v>
      </c>
      <c r="K139" s="1" t="s">
        <v>17</v>
      </c>
      <c r="L139" s="1" t="s">
        <v>17</v>
      </c>
      <c r="M139" s="1" t="s">
        <v>17</v>
      </c>
      <c r="N139" s="1" t="s">
        <v>16</v>
      </c>
    </row>
    <row r="140" spans="1:14" x14ac:dyDescent="0.25">
      <c r="A140" s="9">
        <v>44167</v>
      </c>
      <c r="B140" s="1" t="s">
        <v>15</v>
      </c>
      <c r="C140" s="1">
        <v>1</v>
      </c>
      <c r="D140" s="1">
        <v>1</v>
      </c>
      <c r="E140" s="14">
        <v>60.6</v>
      </c>
      <c r="F140" s="1" t="s">
        <v>16</v>
      </c>
      <c r="G140" s="1">
        <v>4</v>
      </c>
      <c r="H140" s="1" t="s">
        <v>16</v>
      </c>
      <c r="I140" s="1" t="s">
        <v>16</v>
      </c>
      <c r="J140" s="1" t="s">
        <v>16</v>
      </c>
      <c r="K140" s="1" t="s">
        <v>17</v>
      </c>
      <c r="L140" s="1" t="s">
        <v>17</v>
      </c>
      <c r="M140" s="1" t="s">
        <v>17</v>
      </c>
      <c r="N140" s="1" t="s">
        <v>16</v>
      </c>
    </row>
    <row r="141" spans="1:14" x14ac:dyDescent="0.25">
      <c r="A141" s="9">
        <v>44167</v>
      </c>
      <c r="B141" s="1" t="s">
        <v>15</v>
      </c>
      <c r="C141" s="1">
        <v>2</v>
      </c>
      <c r="D141" s="1">
        <v>1</v>
      </c>
      <c r="E141" s="14">
        <v>63.14</v>
      </c>
      <c r="F141" s="1" t="s">
        <v>18</v>
      </c>
      <c r="G141" s="1">
        <v>3</v>
      </c>
      <c r="H141" s="1" t="s">
        <v>16</v>
      </c>
      <c r="I141" s="1" t="s">
        <v>16</v>
      </c>
      <c r="J141" s="1" t="s">
        <v>16</v>
      </c>
      <c r="K141" s="1" t="s">
        <v>17</v>
      </c>
      <c r="L141" s="1" t="s">
        <v>17</v>
      </c>
      <c r="M141" s="1" t="s">
        <v>17</v>
      </c>
      <c r="N141" s="1" t="s">
        <v>16</v>
      </c>
    </row>
    <row r="142" spans="1:14" x14ac:dyDescent="0.25">
      <c r="A142" s="9">
        <v>44167</v>
      </c>
      <c r="B142" s="1" t="s">
        <v>15</v>
      </c>
      <c r="C142" s="1">
        <v>3</v>
      </c>
      <c r="D142" s="1">
        <v>1</v>
      </c>
      <c r="E142" s="14">
        <v>45.24</v>
      </c>
      <c r="F142" s="1" t="s">
        <v>18</v>
      </c>
      <c r="G142" s="1">
        <v>3</v>
      </c>
      <c r="H142" s="1" t="s">
        <v>16</v>
      </c>
      <c r="I142" s="1" t="s">
        <v>16</v>
      </c>
      <c r="J142" s="1" t="s">
        <v>16</v>
      </c>
      <c r="K142" s="1" t="s">
        <v>17</v>
      </c>
      <c r="L142" s="1" t="s">
        <v>17</v>
      </c>
      <c r="M142" s="1" t="s">
        <v>17</v>
      </c>
      <c r="N142" s="1" t="s">
        <v>16</v>
      </c>
    </row>
    <row r="143" spans="1:14" x14ac:dyDescent="0.25">
      <c r="A143" s="9">
        <v>44167</v>
      </c>
      <c r="B143" s="1" t="s">
        <v>15</v>
      </c>
      <c r="C143" s="1">
        <v>4</v>
      </c>
      <c r="D143" s="1">
        <v>1</v>
      </c>
      <c r="E143" s="14">
        <v>48</v>
      </c>
      <c r="F143" s="1" t="s">
        <v>19</v>
      </c>
      <c r="G143" s="1">
        <v>3</v>
      </c>
      <c r="H143" s="1" t="s">
        <v>16</v>
      </c>
      <c r="I143" s="1" t="s">
        <v>16</v>
      </c>
      <c r="J143" s="1" t="s">
        <v>16</v>
      </c>
      <c r="K143" s="1" t="s">
        <v>17</v>
      </c>
      <c r="L143" s="1" t="s">
        <v>17</v>
      </c>
      <c r="M143" s="1" t="s">
        <v>17</v>
      </c>
      <c r="N143" s="1" t="s">
        <v>16</v>
      </c>
    </row>
    <row r="144" spans="1:14" x14ac:dyDescent="0.25">
      <c r="A144" s="9">
        <v>44167</v>
      </c>
      <c r="B144" s="1" t="s">
        <v>15</v>
      </c>
      <c r="C144" s="1">
        <v>5</v>
      </c>
      <c r="D144" s="1">
        <v>1</v>
      </c>
      <c r="E144" s="14">
        <v>67.64</v>
      </c>
      <c r="F144" s="1" t="s">
        <v>16</v>
      </c>
      <c r="G144" s="1">
        <v>4</v>
      </c>
      <c r="H144" s="1" t="s">
        <v>16</v>
      </c>
      <c r="I144" s="1" t="s">
        <v>16</v>
      </c>
      <c r="J144" s="1" t="s">
        <v>16</v>
      </c>
      <c r="K144" s="1" t="s">
        <v>17</v>
      </c>
      <c r="L144" s="1" t="s">
        <v>17</v>
      </c>
      <c r="M144" s="1" t="s">
        <v>17</v>
      </c>
      <c r="N144" s="1" t="s">
        <v>16</v>
      </c>
    </row>
    <row r="145" spans="1:14" x14ac:dyDescent="0.25">
      <c r="A145" s="9">
        <v>44167</v>
      </c>
      <c r="B145" s="1" t="s">
        <v>15</v>
      </c>
      <c r="C145" s="1">
        <v>6</v>
      </c>
      <c r="D145" s="1">
        <v>2</v>
      </c>
      <c r="E145" s="14">
        <v>55.93</v>
      </c>
      <c r="F145" s="1" t="s">
        <v>16</v>
      </c>
      <c r="G145" s="1">
        <v>4</v>
      </c>
      <c r="H145" s="1" t="s">
        <v>16</v>
      </c>
      <c r="I145" s="1" t="s">
        <v>16</v>
      </c>
      <c r="J145" s="1" t="s">
        <v>16</v>
      </c>
      <c r="K145" s="1" t="s">
        <v>17</v>
      </c>
      <c r="L145" s="1" t="s">
        <v>17</v>
      </c>
      <c r="M145" s="1" t="s">
        <v>17</v>
      </c>
      <c r="N145" s="1" t="s">
        <v>16</v>
      </c>
    </row>
    <row r="146" spans="1:14" x14ac:dyDescent="0.25">
      <c r="A146" s="9">
        <v>44167</v>
      </c>
      <c r="B146" s="1" t="s">
        <v>15</v>
      </c>
      <c r="C146" s="1">
        <v>7</v>
      </c>
      <c r="D146" s="1">
        <v>2</v>
      </c>
      <c r="E146" s="14">
        <v>65.89</v>
      </c>
      <c r="F146" s="1" t="s">
        <v>16</v>
      </c>
      <c r="G146" s="1">
        <v>4</v>
      </c>
      <c r="H146" s="1" t="s">
        <v>16</v>
      </c>
      <c r="I146" s="1" t="s">
        <v>16</v>
      </c>
      <c r="J146" s="1" t="s">
        <v>16</v>
      </c>
      <c r="K146" s="1" t="s">
        <v>17</v>
      </c>
      <c r="L146" s="1" t="s">
        <v>17</v>
      </c>
      <c r="M146" s="1" t="s">
        <v>17</v>
      </c>
      <c r="N146" s="1" t="s">
        <v>16</v>
      </c>
    </row>
    <row r="147" spans="1:14" x14ac:dyDescent="0.25">
      <c r="A147" s="9">
        <v>44167</v>
      </c>
      <c r="B147" s="1" t="s">
        <v>15</v>
      </c>
      <c r="C147" s="1">
        <v>8</v>
      </c>
      <c r="D147" s="1">
        <v>2</v>
      </c>
      <c r="E147" s="14">
        <v>74.27</v>
      </c>
      <c r="F147" s="1" t="s">
        <v>16</v>
      </c>
      <c r="G147" s="1">
        <v>4</v>
      </c>
      <c r="H147" s="1" t="s">
        <v>16</v>
      </c>
      <c r="I147" s="1" t="s">
        <v>16</v>
      </c>
      <c r="J147" s="1" t="s">
        <v>16</v>
      </c>
      <c r="K147" s="1" t="s">
        <v>17</v>
      </c>
      <c r="L147" s="1" t="s">
        <v>17</v>
      </c>
      <c r="M147" s="1" t="s">
        <v>17</v>
      </c>
      <c r="N147" s="1" t="s">
        <v>16</v>
      </c>
    </row>
    <row r="148" spans="1:14" x14ac:dyDescent="0.25">
      <c r="A148" s="9">
        <v>44167</v>
      </c>
      <c r="B148" s="1" t="s">
        <v>15</v>
      </c>
      <c r="C148" s="1">
        <v>9</v>
      </c>
      <c r="D148" s="1">
        <v>2</v>
      </c>
      <c r="E148" s="14">
        <v>59.7</v>
      </c>
      <c r="F148" s="1" t="s">
        <v>18</v>
      </c>
      <c r="G148" s="1">
        <v>3</v>
      </c>
      <c r="H148" s="1" t="s">
        <v>16</v>
      </c>
      <c r="I148" s="1" t="s">
        <v>16</v>
      </c>
      <c r="J148" s="1" t="s">
        <v>16</v>
      </c>
      <c r="K148" s="1" t="s">
        <v>17</v>
      </c>
      <c r="L148" s="1" t="s">
        <v>17</v>
      </c>
      <c r="M148" s="1" t="s">
        <v>17</v>
      </c>
      <c r="N148" s="1" t="s">
        <v>16</v>
      </c>
    </row>
    <row r="149" spans="1:14" x14ac:dyDescent="0.25">
      <c r="A149" s="9">
        <v>44167</v>
      </c>
      <c r="B149" s="1" t="s">
        <v>15</v>
      </c>
      <c r="C149" s="1">
        <v>10</v>
      </c>
      <c r="D149" s="1">
        <v>2</v>
      </c>
      <c r="E149" s="14">
        <v>46.88</v>
      </c>
      <c r="F149" s="1" t="s">
        <v>18</v>
      </c>
      <c r="G149" s="1">
        <v>3</v>
      </c>
      <c r="H149" s="1" t="s">
        <v>16</v>
      </c>
      <c r="I149" s="1" t="s">
        <v>16</v>
      </c>
      <c r="J149" s="1" t="s">
        <v>16</v>
      </c>
      <c r="K149" s="1" t="s">
        <v>17</v>
      </c>
      <c r="L149" s="1" t="s">
        <v>17</v>
      </c>
      <c r="M149" s="1" t="s">
        <v>17</v>
      </c>
      <c r="N149" s="1" t="s">
        <v>16</v>
      </c>
    </row>
    <row r="150" spans="1:14" x14ac:dyDescent="0.25">
      <c r="A150" s="9">
        <v>44167</v>
      </c>
      <c r="B150" s="1" t="s">
        <v>15</v>
      </c>
      <c r="C150" s="1">
        <v>11</v>
      </c>
      <c r="D150" s="1">
        <v>3</v>
      </c>
      <c r="E150" s="14">
        <v>66.28</v>
      </c>
      <c r="F150" s="1" t="s">
        <v>18</v>
      </c>
      <c r="G150" s="1">
        <v>3</v>
      </c>
      <c r="H150" s="1" t="s">
        <v>16</v>
      </c>
      <c r="I150" s="1" t="s">
        <v>16</v>
      </c>
      <c r="J150" s="1" t="s">
        <v>16</v>
      </c>
      <c r="K150" s="1" t="s">
        <v>17</v>
      </c>
      <c r="L150" s="1" t="s">
        <v>17</v>
      </c>
      <c r="M150" s="1" t="s">
        <v>17</v>
      </c>
      <c r="N150" s="1" t="s">
        <v>16</v>
      </c>
    </row>
    <row r="151" spans="1:14" x14ac:dyDescent="0.25">
      <c r="A151" s="9">
        <v>44167</v>
      </c>
      <c r="B151" s="1" t="s">
        <v>15</v>
      </c>
      <c r="C151" s="1">
        <v>12</v>
      </c>
      <c r="D151" s="1">
        <v>3</v>
      </c>
      <c r="E151" s="14">
        <v>56.53</v>
      </c>
      <c r="F151" s="1" t="s">
        <v>18</v>
      </c>
      <c r="G151" s="1">
        <v>3</v>
      </c>
      <c r="H151" s="1" t="s">
        <v>16</v>
      </c>
      <c r="I151" s="1" t="s">
        <v>16</v>
      </c>
      <c r="J151" s="1" t="s">
        <v>16</v>
      </c>
      <c r="K151" s="1" t="s">
        <v>17</v>
      </c>
      <c r="L151" s="1" t="s">
        <v>17</v>
      </c>
      <c r="M151" s="1" t="s">
        <v>17</v>
      </c>
      <c r="N151" s="1" t="s">
        <v>16</v>
      </c>
    </row>
    <row r="152" spans="1:14" x14ac:dyDescent="0.25">
      <c r="A152" s="9">
        <v>44167</v>
      </c>
      <c r="B152" s="1" t="s">
        <v>15</v>
      </c>
      <c r="C152" s="1">
        <v>13</v>
      </c>
      <c r="D152" s="1">
        <v>3</v>
      </c>
      <c r="E152" s="14">
        <v>47.27</v>
      </c>
      <c r="F152" s="1" t="s">
        <v>16</v>
      </c>
      <c r="G152" s="1">
        <v>4</v>
      </c>
      <c r="H152" s="1" t="s">
        <v>16</v>
      </c>
      <c r="I152" s="1" t="s">
        <v>16</v>
      </c>
      <c r="J152" s="1" t="s">
        <v>16</v>
      </c>
      <c r="K152" s="1" t="s">
        <v>17</v>
      </c>
      <c r="L152" s="1" t="s">
        <v>17</v>
      </c>
      <c r="M152" s="1" t="s">
        <v>17</v>
      </c>
      <c r="N152" s="1" t="s">
        <v>16</v>
      </c>
    </row>
    <row r="153" spans="1:14" x14ac:dyDescent="0.25">
      <c r="A153" s="9">
        <v>44167</v>
      </c>
      <c r="B153" s="1" t="s">
        <v>15</v>
      </c>
      <c r="C153" s="1">
        <v>14</v>
      </c>
      <c r="D153" s="1">
        <v>3</v>
      </c>
      <c r="E153" s="14">
        <v>48</v>
      </c>
      <c r="F153" s="1" t="s">
        <v>19</v>
      </c>
      <c r="G153" s="1">
        <v>3</v>
      </c>
      <c r="H153" s="1" t="s">
        <v>16</v>
      </c>
      <c r="I153" s="1" t="s">
        <v>16</v>
      </c>
      <c r="J153" s="1" t="s">
        <v>16</v>
      </c>
      <c r="K153" s="1" t="s">
        <v>17</v>
      </c>
      <c r="L153" s="1" t="s">
        <v>17</v>
      </c>
      <c r="M153" s="1" t="s">
        <v>17</v>
      </c>
      <c r="N153" s="1" t="s">
        <v>16</v>
      </c>
    </row>
    <row r="154" spans="1:14" x14ac:dyDescent="0.25">
      <c r="A154" s="9">
        <v>44167</v>
      </c>
      <c r="B154" s="1" t="s">
        <v>15</v>
      </c>
      <c r="C154" s="1">
        <v>15</v>
      </c>
      <c r="D154" s="1">
        <v>3</v>
      </c>
      <c r="E154" s="14">
        <v>52.78</v>
      </c>
      <c r="F154" s="1" t="s">
        <v>18</v>
      </c>
      <c r="G154" s="1">
        <v>3</v>
      </c>
      <c r="H154" s="1" t="s">
        <v>16</v>
      </c>
      <c r="I154" s="1" t="s">
        <v>16</v>
      </c>
      <c r="J154" s="1" t="s">
        <v>16</v>
      </c>
      <c r="K154" s="1" t="s">
        <v>17</v>
      </c>
      <c r="L154" s="1" t="s">
        <v>17</v>
      </c>
      <c r="M154" s="1" t="s">
        <v>17</v>
      </c>
      <c r="N154" s="1" t="s">
        <v>16</v>
      </c>
    </row>
    <row r="155" spans="1:14" x14ac:dyDescent="0.25">
      <c r="A155" s="9">
        <v>44201</v>
      </c>
      <c r="B155" s="1" t="s">
        <v>15</v>
      </c>
      <c r="C155" s="1">
        <v>1</v>
      </c>
      <c r="D155" s="1">
        <v>1</v>
      </c>
      <c r="E155" s="14">
        <v>45.66</v>
      </c>
      <c r="F155" s="1" t="s">
        <v>16</v>
      </c>
      <c r="G155" s="1">
        <v>4</v>
      </c>
      <c r="H155" s="1" t="s">
        <v>16</v>
      </c>
      <c r="I155" s="1" t="s">
        <v>16</v>
      </c>
      <c r="J155" s="1" t="s">
        <v>16</v>
      </c>
      <c r="K155" s="1" t="s">
        <v>17</v>
      </c>
      <c r="L155" s="1" t="s">
        <v>17</v>
      </c>
      <c r="M155" s="1" t="s">
        <v>21</v>
      </c>
      <c r="N155" s="1" t="s">
        <v>16</v>
      </c>
    </row>
    <row r="156" spans="1:14" x14ac:dyDescent="0.25">
      <c r="A156" s="9">
        <v>44201</v>
      </c>
      <c r="B156" s="1" t="s">
        <v>15</v>
      </c>
      <c r="C156" s="1">
        <v>2</v>
      </c>
      <c r="D156" s="1">
        <v>1</v>
      </c>
      <c r="E156" s="14">
        <v>59.39</v>
      </c>
      <c r="F156" s="1" t="s">
        <v>16</v>
      </c>
      <c r="G156" s="1">
        <v>4</v>
      </c>
      <c r="H156" s="1" t="s">
        <v>16</v>
      </c>
      <c r="I156" s="1" t="s">
        <v>16</v>
      </c>
      <c r="J156" s="1" t="s">
        <v>16</v>
      </c>
      <c r="K156" s="1" t="s">
        <v>17</v>
      </c>
      <c r="L156" s="1" t="s">
        <v>17</v>
      </c>
      <c r="M156" s="1" t="s">
        <v>17</v>
      </c>
      <c r="N156" s="1" t="s">
        <v>16</v>
      </c>
    </row>
    <row r="157" spans="1:14" x14ac:dyDescent="0.25">
      <c r="A157" s="9">
        <v>44201</v>
      </c>
      <c r="B157" s="1" t="s">
        <v>15</v>
      </c>
      <c r="C157" s="1">
        <v>3</v>
      </c>
      <c r="D157" s="1">
        <v>1</v>
      </c>
      <c r="E157" s="14">
        <v>49.61</v>
      </c>
      <c r="F157" s="1" t="s">
        <v>16</v>
      </c>
      <c r="G157" s="1">
        <v>4</v>
      </c>
      <c r="H157" s="1" t="s">
        <v>16</v>
      </c>
      <c r="I157" s="1" t="s">
        <v>16</v>
      </c>
      <c r="J157" s="1" t="s">
        <v>16</v>
      </c>
      <c r="K157" s="1" t="s">
        <v>17</v>
      </c>
      <c r="L157" s="1" t="s">
        <v>17</v>
      </c>
      <c r="M157" s="1" t="s">
        <v>17</v>
      </c>
      <c r="N157" s="1" t="s">
        <v>16</v>
      </c>
    </row>
    <row r="158" spans="1:14" x14ac:dyDescent="0.25">
      <c r="A158" s="9">
        <v>44201</v>
      </c>
      <c r="B158" s="1" t="s">
        <v>15</v>
      </c>
      <c r="C158" s="1">
        <v>4</v>
      </c>
      <c r="D158" s="1">
        <v>1</v>
      </c>
      <c r="E158" s="14">
        <v>67.83</v>
      </c>
      <c r="F158" s="1" t="s">
        <v>16</v>
      </c>
      <c r="G158" s="1">
        <v>4</v>
      </c>
      <c r="H158" s="1" t="s">
        <v>16</v>
      </c>
      <c r="I158" s="1" t="s">
        <v>16</v>
      </c>
      <c r="J158" s="1" t="s">
        <v>16</v>
      </c>
      <c r="K158" s="1" t="s">
        <v>17</v>
      </c>
      <c r="L158" s="1" t="s">
        <v>17</v>
      </c>
      <c r="M158" s="1" t="s">
        <v>17</v>
      </c>
      <c r="N158" s="1" t="s">
        <v>16</v>
      </c>
    </row>
    <row r="159" spans="1:14" x14ac:dyDescent="0.25">
      <c r="A159" s="9">
        <v>44201</v>
      </c>
      <c r="B159" s="1" t="s">
        <v>15</v>
      </c>
      <c r="C159" s="1">
        <v>5</v>
      </c>
      <c r="D159" s="1">
        <v>1</v>
      </c>
      <c r="E159" s="14">
        <v>43.07</v>
      </c>
      <c r="F159" s="1" t="s">
        <v>16</v>
      </c>
      <c r="G159" s="1">
        <v>4</v>
      </c>
      <c r="H159" s="1" t="s">
        <v>16</v>
      </c>
      <c r="I159" s="1" t="s">
        <v>16</v>
      </c>
      <c r="J159" s="1" t="s">
        <v>16</v>
      </c>
      <c r="K159" s="1" t="s">
        <v>17</v>
      </c>
      <c r="L159" s="1" t="s">
        <v>17</v>
      </c>
      <c r="M159" s="1" t="s">
        <v>17</v>
      </c>
      <c r="N159" s="1" t="s">
        <v>16</v>
      </c>
    </row>
    <row r="160" spans="1:14" x14ac:dyDescent="0.25">
      <c r="A160" s="9">
        <v>44201</v>
      </c>
      <c r="B160" s="1" t="s">
        <v>15</v>
      </c>
      <c r="C160" s="1">
        <v>6</v>
      </c>
      <c r="D160" s="1">
        <v>2</v>
      </c>
      <c r="E160" s="14">
        <v>68.89</v>
      </c>
      <c r="F160" s="1" t="s">
        <v>16</v>
      </c>
      <c r="G160" s="1">
        <v>4</v>
      </c>
      <c r="H160" s="1" t="s">
        <v>16</v>
      </c>
      <c r="I160" s="1" t="s">
        <v>16</v>
      </c>
      <c r="J160" s="1" t="s">
        <v>16</v>
      </c>
      <c r="K160" s="1" t="s">
        <v>17</v>
      </c>
      <c r="L160" s="1" t="s">
        <v>17</v>
      </c>
      <c r="M160" s="1" t="s">
        <v>21</v>
      </c>
      <c r="N160" s="1" t="s">
        <v>16</v>
      </c>
    </row>
    <row r="161" spans="1:14" x14ac:dyDescent="0.25">
      <c r="A161" s="9">
        <v>44201</v>
      </c>
      <c r="B161" s="1" t="s">
        <v>15</v>
      </c>
      <c r="C161" s="1">
        <v>7</v>
      </c>
      <c r="D161" s="1">
        <v>2</v>
      </c>
      <c r="E161" s="14">
        <v>66.08</v>
      </c>
      <c r="F161" s="1" t="s">
        <v>16</v>
      </c>
      <c r="G161" s="1">
        <v>4</v>
      </c>
      <c r="H161" s="1" t="s">
        <v>16</v>
      </c>
      <c r="I161" s="1" t="s">
        <v>16</v>
      </c>
      <c r="J161" s="1" t="s">
        <v>16</v>
      </c>
      <c r="K161" s="1" t="s">
        <v>17</v>
      </c>
      <c r="L161" s="1" t="s">
        <v>17</v>
      </c>
      <c r="M161" s="1" t="s">
        <v>17</v>
      </c>
      <c r="N161" s="1" t="s">
        <v>16</v>
      </c>
    </row>
    <row r="162" spans="1:14" x14ac:dyDescent="0.25">
      <c r="A162" s="9">
        <v>44201</v>
      </c>
      <c r="B162" s="1" t="s">
        <v>15</v>
      </c>
      <c r="C162" s="1">
        <v>8</v>
      </c>
      <c r="D162" s="1">
        <v>2</v>
      </c>
      <c r="E162" s="14">
        <v>53.11</v>
      </c>
      <c r="F162" s="1" t="s">
        <v>16</v>
      </c>
      <c r="G162" s="1">
        <v>4</v>
      </c>
      <c r="H162" s="1" t="s">
        <v>16</v>
      </c>
      <c r="I162" s="1" t="s">
        <v>16</v>
      </c>
      <c r="J162" s="1" t="s">
        <v>16</v>
      </c>
      <c r="K162" s="1" t="s">
        <v>17</v>
      </c>
      <c r="L162" s="1" t="s">
        <v>17</v>
      </c>
      <c r="M162" s="1" t="s">
        <v>21</v>
      </c>
      <c r="N162" s="1" t="s">
        <v>16</v>
      </c>
    </row>
    <row r="163" spans="1:14" x14ac:dyDescent="0.25">
      <c r="A163" s="9">
        <v>44201</v>
      </c>
      <c r="B163" s="1" t="s">
        <v>15</v>
      </c>
      <c r="C163" s="1">
        <v>9</v>
      </c>
      <c r="D163" s="1">
        <v>2</v>
      </c>
      <c r="E163" s="14">
        <v>70.58</v>
      </c>
      <c r="F163" s="1" t="s">
        <v>18</v>
      </c>
      <c r="G163" s="1">
        <v>1</v>
      </c>
      <c r="H163" s="1" t="s">
        <v>16</v>
      </c>
      <c r="I163" s="1" t="s">
        <v>16</v>
      </c>
      <c r="J163" s="1" t="s">
        <v>16</v>
      </c>
      <c r="K163" s="1" t="s">
        <v>17</v>
      </c>
      <c r="L163" s="1" t="s">
        <v>17</v>
      </c>
      <c r="M163" s="1" t="s">
        <v>17</v>
      </c>
      <c r="N163" s="1" t="s">
        <v>16</v>
      </c>
    </row>
    <row r="164" spans="1:14" x14ac:dyDescent="0.25">
      <c r="A164" s="9">
        <v>44201</v>
      </c>
      <c r="B164" s="1" t="s">
        <v>15</v>
      </c>
      <c r="C164" s="1">
        <v>10</v>
      </c>
      <c r="D164" s="1">
        <v>2</v>
      </c>
      <c r="E164" s="14">
        <v>58.43</v>
      </c>
      <c r="F164" s="1" t="s">
        <v>16</v>
      </c>
      <c r="G164" s="1" t="s">
        <v>16</v>
      </c>
      <c r="H164" s="1" t="s">
        <v>16</v>
      </c>
      <c r="I164" s="1" t="s">
        <v>16</v>
      </c>
      <c r="J164" s="1" t="s">
        <v>16</v>
      </c>
      <c r="K164" s="1" t="s">
        <v>17</v>
      </c>
      <c r="L164" s="1" t="s">
        <v>17</v>
      </c>
      <c r="M164" s="1" t="s">
        <v>21</v>
      </c>
      <c r="N164" s="1" t="s">
        <v>16</v>
      </c>
    </row>
    <row r="165" spans="1:14" x14ac:dyDescent="0.25">
      <c r="A165" s="9">
        <v>44201</v>
      </c>
      <c r="B165" s="1" t="s">
        <v>15</v>
      </c>
      <c r="C165" s="1">
        <v>11</v>
      </c>
      <c r="D165" s="1">
        <v>3</v>
      </c>
      <c r="E165" s="14">
        <v>56.22</v>
      </c>
      <c r="F165" s="1" t="s">
        <v>18</v>
      </c>
      <c r="G165" s="1">
        <v>1</v>
      </c>
      <c r="H165" s="1" t="s">
        <v>16</v>
      </c>
      <c r="I165" s="1" t="s">
        <v>16</v>
      </c>
      <c r="J165" s="1" t="s">
        <v>16</v>
      </c>
      <c r="K165" s="1" t="s">
        <v>17</v>
      </c>
      <c r="L165" s="1" t="s">
        <v>17</v>
      </c>
      <c r="M165" s="1" t="s">
        <v>17</v>
      </c>
      <c r="N165" s="1" t="s">
        <v>16</v>
      </c>
    </row>
    <row r="166" spans="1:14" x14ac:dyDescent="0.25">
      <c r="A166" s="9">
        <v>44201</v>
      </c>
      <c r="B166" s="1" t="s">
        <v>15</v>
      </c>
      <c r="C166" s="1">
        <v>12</v>
      </c>
      <c r="D166" s="1">
        <v>3</v>
      </c>
      <c r="E166" s="14">
        <v>72.06</v>
      </c>
      <c r="F166" s="1" t="s">
        <v>16</v>
      </c>
      <c r="G166" s="1" t="s">
        <v>16</v>
      </c>
      <c r="H166" s="1" t="s">
        <v>16</v>
      </c>
      <c r="I166" s="1" t="s">
        <v>16</v>
      </c>
      <c r="J166" s="1" t="s">
        <v>16</v>
      </c>
      <c r="K166" s="1" t="s">
        <v>17</v>
      </c>
      <c r="L166" s="1" t="s">
        <v>17</v>
      </c>
      <c r="M166" s="1" t="s">
        <v>21</v>
      </c>
      <c r="N166" s="1" t="s">
        <v>16</v>
      </c>
    </row>
    <row r="167" spans="1:14" x14ac:dyDescent="0.25">
      <c r="A167" s="9">
        <v>44201</v>
      </c>
      <c r="B167" s="1" t="s">
        <v>15</v>
      </c>
      <c r="C167" s="1">
        <v>13</v>
      </c>
      <c r="D167" s="1">
        <v>3</v>
      </c>
      <c r="E167" s="14">
        <v>61.98</v>
      </c>
      <c r="F167" s="1" t="s">
        <v>16</v>
      </c>
      <c r="G167" s="1" t="s">
        <v>16</v>
      </c>
      <c r="H167" s="1" t="s">
        <v>16</v>
      </c>
      <c r="I167" s="1" t="s">
        <v>16</v>
      </c>
      <c r="J167" s="1" t="s">
        <v>16</v>
      </c>
      <c r="K167" s="1" t="s">
        <v>17</v>
      </c>
      <c r="L167" s="1" t="s">
        <v>17</v>
      </c>
      <c r="M167" s="1" t="s">
        <v>21</v>
      </c>
      <c r="N167" s="1" t="s">
        <v>16</v>
      </c>
    </row>
    <row r="168" spans="1:14" x14ac:dyDescent="0.25">
      <c r="A168" s="9">
        <v>44201</v>
      </c>
      <c r="B168" s="1" t="s">
        <v>15</v>
      </c>
      <c r="C168" s="1">
        <v>14</v>
      </c>
      <c r="D168" s="1">
        <v>3</v>
      </c>
      <c r="E168" s="14">
        <v>49.82</v>
      </c>
      <c r="F168" s="1" t="s">
        <v>16</v>
      </c>
      <c r="G168" s="1">
        <v>4</v>
      </c>
      <c r="H168" s="1" t="s">
        <v>16</v>
      </c>
      <c r="I168" s="1" t="s">
        <v>16</v>
      </c>
      <c r="J168" s="1" t="s">
        <v>16</v>
      </c>
      <c r="K168" s="1" t="s">
        <v>17</v>
      </c>
      <c r="L168" s="1" t="s">
        <v>17</v>
      </c>
      <c r="M168" s="1" t="s">
        <v>17</v>
      </c>
      <c r="N168" s="1" t="s">
        <v>16</v>
      </c>
    </row>
    <row r="169" spans="1:14" x14ac:dyDescent="0.25">
      <c r="A169" s="9">
        <v>44201</v>
      </c>
      <c r="B169" s="1" t="s">
        <v>15</v>
      </c>
      <c r="C169" s="1">
        <v>15</v>
      </c>
      <c r="D169" s="1">
        <v>3</v>
      </c>
      <c r="E169" s="14">
        <v>51.18</v>
      </c>
      <c r="F169" s="1" t="s">
        <v>16</v>
      </c>
      <c r="G169" s="1">
        <v>4</v>
      </c>
      <c r="H169" s="1" t="s">
        <v>16</v>
      </c>
      <c r="I169" s="1" t="s">
        <v>16</v>
      </c>
      <c r="J169" s="1" t="s">
        <v>16</v>
      </c>
      <c r="K169" s="1" t="s">
        <v>17</v>
      </c>
      <c r="L169" s="1" t="s">
        <v>17</v>
      </c>
      <c r="M169" s="1" t="s">
        <v>17</v>
      </c>
      <c r="N169" s="1" t="s">
        <v>16</v>
      </c>
    </row>
    <row r="170" spans="1:14" x14ac:dyDescent="0.25">
      <c r="A170" s="9">
        <v>44230</v>
      </c>
      <c r="B170" s="1" t="s">
        <v>15</v>
      </c>
      <c r="C170" s="1">
        <v>1</v>
      </c>
      <c r="D170" s="1">
        <v>1</v>
      </c>
      <c r="E170" s="14">
        <v>53.13</v>
      </c>
      <c r="F170" s="1" t="s">
        <v>16</v>
      </c>
      <c r="G170" s="1">
        <v>4</v>
      </c>
      <c r="H170" s="1" t="s">
        <v>16</v>
      </c>
      <c r="I170" s="1" t="s">
        <v>16</v>
      </c>
      <c r="J170" s="1" t="s">
        <v>16</v>
      </c>
      <c r="K170" s="1" t="s">
        <v>17</v>
      </c>
      <c r="L170" s="1" t="s">
        <v>17</v>
      </c>
      <c r="M170" s="1" t="s">
        <v>17</v>
      </c>
      <c r="N170" s="1" t="s">
        <v>16</v>
      </c>
    </row>
    <row r="171" spans="1:14" x14ac:dyDescent="0.25">
      <c r="A171" s="9">
        <v>44230</v>
      </c>
      <c r="B171" s="1" t="s">
        <v>15</v>
      </c>
      <c r="C171" s="1">
        <v>2</v>
      </c>
      <c r="D171" s="1">
        <v>1</v>
      </c>
      <c r="E171" s="14">
        <v>58.34</v>
      </c>
      <c r="F171" s="1" t="s">
        <v>18</v>
      </c>
      <c r="G171" s="1">
        <v>1</v>
      </c>
      <c r="H171" s="1" t="s">
        <v>16</v>
      </c>
      <c r="I171" s="1" t="s">
        <v>16</v>
      </c>
      <c r="J171" s="1" t="s">
        <v>16</v>
      </c>
      <c r="K171" s="1" t="s">
        <v>17</v>
      </c>
      <c r="L171" s="1" t="s">
        <v>17</v>
      </c>
      <c r="M171" s="1" t="s">
        <v>17</v>
      </c>
      <c r="N171" s="1" t="s">
        <v>16</v>
      </c>
    </row>
    <row r="172" spans="1:14" x14ac:dyDescent="0.25">
      <c r="A172" s="9">
        <v>44230</v>
      </c>
      <c r="B172" s="1" t="s">
        <v>15</v>
      </c>
      <c r="C172" s="1">
        <v>3</v>
      </c>
      <c r="D172" s="1">
        <v>1</v>
      </c>
      <c r="E172" s="14">
        <v>43.85</v>
      </c>
      <c r="F172" s="1" t="s">
        <v>16</v>
      </c>
      <c r="G172" s="1">
        <v>4</v>
      </c>
      <c r="H172" s="1" t="s">
        <v>16</v>
      </c>
      <c r="I172" s="1" t="s">
        <v>16</v>
      </c>
      <c r="J172" s="1" t="s">
        <v>16</v>
      </c>
      <c r="K172" s="1" t="s">
        <v>17</v>
      </c>
      <c r="L172" s="1" t="s">
        <v>17</v>
      </c>
      <c r="M172" s="1" t="s">
        <v>17</v>
      </c>
      <c r="N172" s="1" t="s">
        <v>16</v>
      </c>
    </row>
    <row r="173" spans="1:14" x14ac:dyDescent="0.25">
      <c r="A173" s="9">
        <v>44230</v>
      </c>
      <c r="B173" s="1" t="s">
        <v>15</v>
      </c>
      <c r="C173" s="1">
        <v>4</v>
      </c>
      <c r="D173" s="1">
        <v>1</v>
      </c>
      <c r="E173" s="14">
        <v>44.34</v>
      </c>
      <c r="F173" s="1" t="s">
        <v>18</v>
      </c>
      <c r="G173" s="1">
        <v>1</v>
      </c>
      <c r="H173" s="1" t="s">
        <v>16</v>
      </c>
      <c r="I173" s="1" t="s">
        <v>16</v>
      </c>
      <c r="J173" s="1" t="s">
        <v>16</v>
      </c>
      <c r="K173" s="1" t="s">
        <v>17</v>
      </c>
      <c r="L173" s="1" t="s">
        <v>17</v>
      </c>
      <c r="M173" s="1" t="s">
        <v>17</v>
      </c>
      <c r="N173" s="1" t="s">
        <v>16</v>
      </c>
    </row>
    <row r="174" spans="1:14" x14ac:dyDescent="0.25">
      <c r="A174" s="9">
        <v>44230</v>
      </c>
      <c r="B174" s="1" t="s">
        <v>15</v>
      </c>
      <c r="C174" s="1">
        <v>5</v>
      </c>
      <c r="D174" s="1">
        <v>1</v>
      </c>
      <c r="E174" s="14">
        <v>52.43</v>
      </c>
      <c r="F174" s="1" t="s">
        <v>18</v>
      </c>
      <c r="G174" s="1">
        <v>1</v>
      </c>
      <c r="H174" s="1" t="s">
        <v>16</v>
      </c>
      <c r="I174" s="1" t="s">
        <v>16</v>
      </c>
      <c r="J174" s="1" t="s">
        <v>16</v>
      </c>
      <c r="K174" s="1" t="s">
        <v>17</v>
      </c>
      <c r="L174" s="1" t="s">
        <v>17</v>
      </c>
      <c r="M174" s="1" t="s">
        <v>17</v>
      </c>
      <c r="N174" s="1" t="s">
        <v>16</v>
      </c>
    </row>
    <row r="175" spans="1:14" x14ac:dyDescent="0.25">
      <c r="A175" s="9">
        <v>44230</v>
      </c>
      <c r="B175" s="1" t="s">
        <v>15</v>
      </c>
      <c r="C175" s="1">
        <v>6</v>
      </c>
      <c r="D175" s="1">
        <v>2</v>
      </c>
      <c r="E175" s="14">
        <v>51.24</v>
      </c>
      <c r="F175" s="1" t="s">
        <v>16</v>
      </c>
      <c r="G175" s="1">
        <v>4</v>
      </c>
      <c r="H175" s="1" t="s">
        <v>16</v>
      </c>
      <c r="I175" s="1" t="s">
        <v>16</v>
      </c>
      <c r="J175" s="1" t="s">
        <v>16</v>
      </c>
      <c r="K175" s="1" t="s">
        <v>17</v>
      </c>
      <c r="L175" s="1" t="s">
        <v>17</v>
      </c>
      <c r="M175" s="1" t="s">
        <v>17</v>
      </c>
      <c r="N175" s="1" t="s">
        <v>16</v>
      </c>
    </row>
    <row r="176" spans="1:14" x14ac:dyDescent="0.25">
      <c r="A176" s="9">
        <v>44230</v>
      </c>
      <c r="B176" s="1" t="s">
        <v>15</v>
      </c>
      <c r="C176" s="1">
        <v>7</v>
      </c>
      <c r="D176" s="1">
        <v>2</v>
      </c>
      <c r="E176" s="14">
        <v>73.959999999999994</v>
      </c>
      <c r="F176" s="1" t="s">
        <v>18</v>
      </c>
      <c r="G176" s="1">
        <v>1</v>
      </c>
      <c r="H176" s="1" t="s">
        <v>16</v>
      </c>
      <c r="I176" s="1" t="s">
        <v>16</v>
      </c>
      <c r="J176" s="1" t="s">
        <v>16</v>
      </c>
      <c r="K176" s="1" t="s">
        <v>21</v>
      </c>
      <c r="L176" s="1" t="s">
        <v>17</v>
      </c>
      <c r="M176" s="1" t="s">
        <v>17</v>
      </c>
      <c r="N176" s="1" t="s">
        <v>16</v>
      </c>
    </row>
    <row r="177" spans="1:14" x14ac:dyDescent="0.25">
      <c r="A177" s="9">
        <v>44230</v>
      </c>
      <c r="B177" s="1" t="s">
        <v>15</v>
      </c>
      <c r="C177" s="1">
        <v>8</v>
      </c>
      <c r="D177" s="1">
        <v>2</v>
      </c>
      <c r="E177" s="14">
        <v>73.650000000000006</v>
      </c>
      <c r="F177" s="1" t="s">
        <v>16</v>
      </c>
      <c r="G177" s="1">
        <v>4</v>
      </c>
      <c r="H177" s="1" t="s">
        <v>16</v>
      </c>
      <c r="I177" s="1" t="s">
        <v>16</v>
      </c>
      <c r="J177" s="1" t="s">
        <v>16</v>
      </c>
      <c r="K177" s="1" t="s">
        <v>17</v>
      </c>
      <c r="L177" s="1" t="s">
        <v>17</v>
      </c>
      <c r="M177" s="1" t="s">
        <v>17</v>
      </c>
      <c r="N177" s="1" t="s">
        <v>16</v>
      </c>
    </row>
    <row r="178" spans="1:14" x14ac:dyDescent="0.25">
      <c r="A178" s="9">
        <v>44230</v>
      </c>
      <c r="B178" s="1" t="s">
        <v>15</v>
      </c>
      <c r="C178" s="1">
        <v>9</v>
      </c>
      <c r="D178" s="1">
        <v>2</v>
      </c>
      <c r="E178" s="14">
        <v>56.76</v>
      </c>
      <c r="F178" s="1" t="s">
        <v>16</v>
      </c>
      <c r="G178" s="1">
        <v>4</v>
      </c>
      <c r="H178" s="1" t="s">
        <v>16</v>
      </c>
      <c r="I178" s="1" t="s">
        <v>16</v>
      </c>
      <c r="J178" s="1" t="s">
        <v>16</v>
      </c>
      <c r="K178" s="1" t="s">
        <v>17</v>
      </c>
      <c r="L178" s="1" t="s">
        <v>17</v>
      </c>
      <c r="M178" s="1" t="s">
        <v>17</v>
      </c>
      <c r="N178" s="1" t="s">
        <v>16</v>
      </c>
    </row>
    <row r="179" spans="1:14" x14ac:dyDescent="0.25">
      <c r="A179" s="9">
        <v>44230</v>
      </c>
      <c r="B179" s="1" t="s">
        <v>15</v>
      </c>
      <c r="C179" s="1">
        <v>10</v>
      </c>
      <c r="D179" s="1">
        <v>2</v>
      </c>
      <c r="E179" s="14">
        <v>44.35</v>
      </c>
      <c r="F179" s="1" t="s">
        <v>18</v>
      </c>
      <c r="G179" s="1">
        <v>1</v>
      </c>
      <c r="H179" s="1" t="s">
        <v>16</v>
      </c>
      <c r="I179" s="1" t="s">
        <v>16</v>
      </c>
      <c r="J179" s="1" t="s">
        <v>16</v>
      </c>
      <c r="K179" s="1" t="s">
        <v>17</v>
      </c>
      <c r="L179" s="1" t="s">
        <v>17</v>
      </c>
      <c r="M179" s="1" t="s">
        <v>17</v>
      </c>
      <c r="N179" s="1" t="s">
        <v>16</v>
      </c>
    </row>
    <row r="180" spans="1:14" x14ac:dyDescent="0.25">
      <c r="A180" s="9">
        <v>44230</v>
      </c>
      <c r="B180" s="1" t="s">
        <v>15</v>
      </c>
      <c r="C180" s="1">
        <v>11</v>
      </c>
      <c r="D180" s="1">
        <v>3</v>
      </c>
      <c r="E180" s="14">
        <v>38.909999999999997</v>
      </c>
      <c r="F180" s="1" t="s">
        <v>18</v>
      </c>
      <c r="G180" s="1">
        <v>1</v>
      </c>
      <c r="H180" s="1" t="s">
        <v>16</v>
      </c>
      <c r="I180" s="1" t="s">
        <v>16</v>
      </c>
      <c r="J180" s="1" t="s">
        <v>16</v>
      </c>
      <c r="K180" s="1" t="s">
        <v>17</v>
      </c>
      <c r="L180" s="1" t="s">
        <v>17</v>
      </c>
      <c r="M180" s="1" t="s">
        <v>17</v>
      </c>
      <c r="N180" s="1" t="s">
        <v>16</v>
      </c>
    </row>
    <row r="181" spans="1:14" x14ac:dyDescent="0.25">
      <c r="A181" s="9">
        <v>44230</v>
      </c>
      <c r="B181" s="1" t="s">
        <v>15</v>
      </c>
      <c r="C181" s="1">
        <v>12</v>
      </c>
      <c r="D181" s="1">
        <v>3</v>
      </c>
      <c r="E181" s="14">
        <v>61.28</v>
      </c>
      <c r="F181" s="1" t="s">
        <v>16</v>
      </c>
      <c r="G181" s="1">
        <v>4</v>
      </c>
      <c r="H181" s="1" t="s">
        <v>16</v>
      </c>
      <c r="I181" s="1" t="s">
        <v>16</v>
      </c>
      <c r="J181" s="1" t="s">
        <v>16</v>
      </c>
      <c r="K181" s="1" t="s">
        <v>17</v>
      </c>
      <c r="L181" s="1" t="s">
        <v>17</v>
      </c>
      <c r="M181" s="1" t="s">
        <v>17</v>
      </c>
      <c r="N181" s="1" t="s">
        <v>16</v>
      </c>
    </row>
    <row r="182" spans="1:14" x14ac:dyDescent="0.25">
      <c r="A182" s="9">
        <v>44230</v>
      </c>
      <c r="B182" s="1" t="s">
        <v>15</v>
      </c>
      <c r="C182" s="1">
        <v>13</v>
      </c>
      <c r="D182" s="1">
        <v>3</v>
      </c>
      <c r="E182" s="14">
        <v>40.9</v>
      </c>
      <c r="F182" s="1" t="s">
        <v>18</v>
      </c>
      <c r="G182" s="1">
        <v>2</v>
      </c>
      <c r="H182" s="1" t="s">
        <v>16</v>
      </c>
      <c r="I182" s="1" t="s">
        <v>16</v>
      </c>
      <c r="J182" s="1" t="s">
        <v>16</v>
      </c>
      <c r="K182" s="1" t="s">
        <v>17</v>
      </c>
      <c r="L182" s="1" t="s">
        <v>17</v>
      </c>
      <c r="M182" s="1" t="s">
        <v>17</v>
      </c>
      <c r="N182" s="1" t="s">
        <v>16</v>
      </c>
    </row>
    <row r="183" spans="1:14" x14ac:dyDescent="0.25">
      <c r="A183" s="9">
        <v>44230</v>
      </c>
      <c r="B183" s="1" t="s">
        <v>15</v>
      </c>
      <c r="C183" s="1">
        <v>14</v>
      </c>
      <c r="D183" s="1">
        <v>3</v>
      </c>
      <c r="E183" s="14">
        <v>60.9</v>
      </c>
      <c r="F183" s="1" t="s">
        <v>18</v>
      </c>
      <c r="G183" s="1">
        <v>1</v>
      </c>
      <c r="H183" s="1" t="s">
        <v>16</v>
      </c>
      <c r="I183" s="1" t="s">
        <v>16</v>
      </c>
      <c r="J183" s="1" t="s">
        <v>16</v>
      </c>
      <c r="K183" s="1" t="s">
        <v>17</v>
      </c>
      <c r="L183" s="1" t="s">
        <v>17</v>
      </c>
      <c r="M183" s="1" t="s">
        <v>17</v>
      </c>
      <c r="N183" s="1" t="s">
        <v>16</v>
      </c>
    </row>
    <row r="184" spans="1:14" x14ac:dyDescent="0.25">
      <c r="A184" s="9">
        <v>44230</v>
      </c>
      <c r="B184" s="1" t="s">
        <v>15</v>
      </c>
      <c r="C184" s="1">
        <v>15</v>
      </c>
      <c r="D184" s="1">
        <v>3</v>
      </c>
      <c r="E184" s="14">
        <v>51.37</v>
      </c>
      <c r="F184" s="1" t="s">
        <v>18</v>
      </c>
      <c r="G184" s="1">
        <v>1</v>
      </c>
      <c r="H184" s="1" t="s">
        <v>16</v>
      </c>
      <c r="I184" s="1" t="s">
        <v>16</v>
      </c>
      <c r="J184" s="1" t="s">
        <v>16</v>
      </c>
      <c r="K184" s="1" t="s">
        <v>17</v>
      </c>
      <c r="L184" s="1" t="s">
        <v>17</v>
      </c>
      <c r="M184" s="1" t="s">
        <v>17</v>
      </c>
      <c r="N184" s="1" t="s">
        <v>16</v>
      </c>
    </row>
    <row r="185" spans="1:14" x14ac:dyDescent="0.25">
      <c r="A185" s="9">
        <v>44258</v>
      </c>
      <c r="B185" s="1" t="s">
        <v>15</v>
      </c>
      <c r="C185" s="1">
        <v>1</v>
      </c>
      <c r="D185" s="1">
        <v>1</v>
      </c>
      <c r="E185" s="14">
        <v>52.34</v>
      </c>
      <c r="F185" s="1" t="s">
        <v>18</v>
      </c>
      <c r="G185" s="1">
        <v>2</v>
      </c>
      <c r="H185" s="1" t="s">
        <v>16</v>
      </c>
      <c r="I185" s="1" t="s">
        <v>16</v>
      </c>
      <c r="J185" s="1" t="s">
        <v>16</v>
      </c>
      <c r="K185" s="1" t="s">
        <v>17</v>
      </c>
      <c r="L185" s="1" t="s">
        <v>17</v>
      </c>
      <c r="M185" s="1" t="s">
        <v>17</v>
      </c>
      <c r="N185" s="1" t="s">
        <v>16</v>
      </c>
    </row>
    <row r="186" spans="1:14" x14ac:dyDescent="0.25">
      <c r="A186" s="9">
        <v>44258</v>
      </c>
      <c r="B186" s="1" t="s">
        <v>15</v>
      </c>
      <c r="C186" s="1">
        <v>2</v>
      </c>
      <c r="D186" s="1">
        <v>1</v>
      </c>
      <c r="E186" s="14">
        <v>44.37</v>
      </c>
      <c r="F186" s="1" t="s">
        <v>19</v>
      </c>
      <c r="G186" s="1">
        <v>2</v>
      </c>
      <c r="H186" s="1" t="s">
        <v>16</v>
      </c>
      <c r="I186" s="1" t="s">
        <v>16</v>
      </c>
      <c r="J186" s="1" t="s">
        <v>16</v>
      </c>
      <c r="K186" s="1" t="s">
        <v>17</v>
      </c>
      <c r="L186" s="1" t="s">
        <v>17</v>
      </c>
      <c r="M186" s="1" t="s">
        <v>17</v>
      </c>
      <c r="N186" s="1" t="s">
        <v>16</v>
      </c>
    </row>
    <row r="187" spans="1:14" x14ac:dyDescent="0.25">
      <c r="A187" s="9">
        <v>44258</v>
      </c>
      <c r="B187" s="1" t="s">
        <v>15</v>
      </c>
      <c r="C187" s="1">
        <v>3</v>
      </c>
      <c r="D187" s="1">
        <v>1</v>
      </c>
      <c r="E187" s="14">
        <v>49.53</v>
      </c>
      <c r="F187" s="1" t="s">
        <v>19</v>
      </c>
      <c r="G187" s="1">
        <v>2</v>
      </c>
      <c r="H187" s="1" t="s">
        <v>16</v>
      </c>
      <c r="I187" s="1" t="s">
        <v>16</v>
      </c>
      <c r="J187" s="1" t="s">
        <v>16</v>
      </c>
      <c r="K187" s="1" t="s">
        <v>17</v>
      </c>
      <c r="L187" s="1" t="s">
        <v>17</v>
      </c>
      <c r="M187" s="1" t="s">
        <v>17</v>
      </c>
      <c r="N187" s="1" t="s">
        <v>16</v>
      </c>
    </row>
    <row r="188" spans="1:14" x14ac:dyDescent="0.25">
      <c r="A188" s="9">
        <v>44258</v>
      </c>
      <c r="B188" s="1" t="s">
        <v>15</v>
      </c>
      <c r="C188" s="1">
        <v>4</v>
      </c>
      <c r="D188" s="1">
        <v>1</v>
      </c>
      <c r="E188" s="14">
        <v>60.78</v>
      </c>
      <c r="F188" s="1" t="s">
        <v>18</v>
      </c>
      <c r="G188" s="1">
        <v>2</v>
      </c>
      <c r="H188" s="1" t="s">
        <v>16</v>
      </c>
      <c r="I188" s="1" t="s">
        <v>16</v>
      </c>
      <c r="J188" s="1" t="s">
        <v>16</v>
      </c>
      <c r="K188" s="1" t="s">
        <v>17</v>
      </c>
      <c r="L188" s="1" t="s">
        <v>17</v>
      </c>
      <c r="M188" s="1" t="s">
        <v>17</v>
      </c>
      <c r="N188" s="1" t="s">
        <v>16</v>
      </c>
    </row>
    <row r="189" spans="1:14" x14ac:dyDescent="0.25">
      <c r="A189" s="9">
        <v>44258</v>
      </c>
      <c r="B189" s="1" t="s">
        <v>15</v>
      </c>
      <c r="C189" s="1">
        <v>5</v>
      </c>
      <c r="D189" s="1">
        <v>1</v>
      </c>
      <c r="E189" s="14">
        <v>48.65</v>
      </c>
      <c r="F189" s="1" t="s">
        <v>19</v>
      </c>
      <c r="G189" s="1">
        <v>2</v>
      </c>
      <c r="H189" s="1" t="s">
        <v>16</v>
      </c>
      <c r="I189" s="1" t="s">
        <v>16</v>
      </c>
      <c r="J189" s="1" t="s">
        <v>16</v>
      </c>
      <c r="K189" s="1" t="s">
        <v>21</v>
      </c>
      <c r="L189" s="1" t="s">
        <v>17</v>
      </c>
      <c r="M189" s="1" t="s">
        <v>17</v>
      </c>
      <c r="N189" s="1" t="s">
        <v>16</v>
      </c>
    </row>
    <row r="190" spans="1:14" x14ac:dyDescent="0.25">
      <c r="A190" s="9">
        <v>44258</v>
      </c>
      <c r="B190" s="1" t="s">
        <v>15</v>
      </c>
      <c r="C190" s="1">
        <v>6</v>
      </c>
      <c r="D190" s="1">
        <v>2</v>
      </c>
      <c r="E190" s="14">
        <v>52.22</v>
      </c>
      <c r="F190" s="1" t="s">
        <v>18</v>
      </c>
      <c r="G190" s="1">
        <v>2</v>
      </c>
      <c r="H190" s="1" t="s">
        <v>16</v>
      </c>
      <c r="I190" s="1" t="s">
        <v>16</v>
      </c>
      <c r="J190" s="1" t="s">
        <v>16</v>
      </c>
      <c r="K190" s="1" t="s">
        <v>17</v>
      </c>
      <c r="L190" s="1" t="s">
        <v>17</v>
      </c>
      <c r="M190" s="1" t="s">
        <v>17</v>
      </c>
      <c r="N190" s="1" t="s">
        <v>16</v>
      </c>
    </row>
    <row r="191" spans="1:14" x14ac:dyDescent="0.25">
      <c r="A191" s="9">
        <v>44258</v>
      </c>
      <c r="B191" s="1" t="s">
        <v>15</v>
      </c>
      <c r="C191" s="1">
        <v>7</v>
      </c>
      <c r="D191" s="1">
        <v>2</v>
      </c>
      <c r="E191" s="14">
        <v>57.61</v>
      </c>
      <c r="F191" s="1" t="s">
        <v>18</v>
      </c>
      <c r="G191" s="1">
        <v>2</v>
      </c>
      <c r="H191" s="1" t="s">
        <v>16</v>
      </c>
      <c r="I191" s="1" t="s">
        <v>16</v>
      </c>
      <c r="J191" s="1" t="s">
        <v>16</v>
      </c>
      <c r="K191" s="1" t="s">
        <v>17</v>
      </c>
      <c r="L191" s="1" t="s">
        <v>17</v>
      </c>
      <c r="M191" s="1" t="s">
        <v>17</v>
      </c>
      <c r="N191" s="1" t="s">
        <v>16</v>
      </c>
    </row>
    <row r="192" spans="1:14" x14ac:dyDescent="0.25">
      <c r="A192" s="9">
        <v>44258</v>
      </c>
      <c r="B192" s="1" t="s">
        <v>15</v>
      </c>
      <c r="C192" s="1">
        <v>8</v>
      </c>
      <c r="D192" s="1">
        <v>2</v>
      </c>
      <c r="E192" s="14">
        <v>53.54</v>
      </c>
      <c r="F192" s="1" t="s">
        <v>19</v>
      </c>
      <c r="G192" s="1">
        <v>2</v>
      </c>
      <c r="H192" s="1" t="s">
        <v>16</v>
      </c>
      <c r="I192" s="1" t="s">
        <v>16</v>
      </c>
      <c r="J192" s="1" t="s">
        <v>16</v>
      </c>
      <c r="K192" s="1" t="s">
        <v>17</v>
      </c>
      <c r="L192" s="1" t="s">
        <v>17</v>
      </c>
      <c r="M192" s="1" t="s">
        <v>17</v>
      </c>
      <c r="N192" s="1" t="s">
        <v>16</v>
      </c>
    </row>
    <row r="193" spans="1:14" x14ac:dyDescent="0.25">
      <c r="A193" s="9">
        <v>44258</v>
      </c>
      <c r="B193" s="1" t="s">
        <v>15</v>
      </c>
      <c r="C193" s="1">
        <v>9</v>
      </c>
      <c r="D193" s="1">
        <v>2</v>
      </c>
      <c r="E193" s="14">
        <v>56</v>
      </c>
      <c r="F193" s="1" t="s">
        <v>18</v>
      </c>
      <c r="G193" s="1">
        <v>2</v>
      </c>
      <c r="H193" s="1" t="s">
        <v>16</v>
      </c>
      <c r="I193" s="1" t="s">
        <v>16</v>
      </c>
      <c r="J193" s="1" t="s">
        <v>16</v>
      </c>
      <c r="K193" s="1" t="s">
        <v>17</v>
      </c>
      <c r="L193" s="1" t="s">
        <v>17</v>
      </c>
      <c r="M193" s="1" t="s">
        <v>17</v>
      </c>
      <c r="N193" s="1" t="s">
        <v>16</v>
      </c>
    </row>
    <row r="194" spans="1:14" x14ac:dyDescent="0.25">
      <c r="A194" s="9">
        <v>44258</v>
      </c>
      <c r="B194" s="1" t="s">
        <v>15</v>
      </c>
      <c r="C194" s="1">
        <v>10</v>
      </c>
      <c r="D194" s="1">
        <v>2</v>
      </c>
      <c r="E194" s="14">
        <v>43.91</v>
      </c>
      <c r="F194" s="1" t="s">
        <v>18</v>
      </c>
      <c r="G194" s="1">
        <v>2</v>
      </c>
      <c r="H194" s="1" t="s">
        <v>16</v>
      </c>
      <c r="I194" s="1" t="s">
        <v>16</v>
      </c>
      <c r="J194" s="1" t="s">
        <v>16</v>
      </c>
      <c r="K194" s="1" t="s">
        <v>17</v>
      </c>
      <c r="L194" s="1" t="s">
        <v>17</v>
      </c>
      <c r="M194" s="1" t="s">
        <v>17</v>
      </c>
      <c r="N194" s="1" t="s">
        <v>16</v>
      </c>
    </row>
    <row r="195" spans="1:14" x14ac:dyDescent="0.25">
      <c r="A195" s="9">
        <v>44258</v>
      </c>
      <c r="B195" s="1" t="s">
        <v>15</v>
      </c>
      <c r="C195" s="1">
        <v>11</v>
      </c>
      <c r="D195" s="1">
        <v>3</v>
      </c>
      <c r="E195" s="14">
        <v>45.87</v>
      </c>
      <c r="F195" s="1" t="s">
        <v>19</v>
      </c>
      <c r="G195" s="1">
        <v>2</v>
      </c>
      <c r="H195" s="1" t="s">
        <v>16</v>
      </c>
      <c r="I195" s="1" t="s">
        <v>16</v>
      </c>
      <c r="J195" s="1" t="s">
        <v>16</v>
      </c>
      <c r="K195" s="1" t="s">
        <v>17</v>
      </c>
      <c r="L195" s="1" t="s">
        <v>17</v>
      </c>
      <c r="M195" s="1" t="s">
        <v>17</v>
      </c>
      <c r="N195" s="1" t="s">
        <v>16</v>
      </c>
    </row>
    <row r="196" spans="1:14" x14ac:dyDescent="0.25">
      <c r="A196" s="9">
        <v>44258</v>
      </c>
      <c r="B196" s="1" t="s">
        <v>15</v>
      </c>
      <c r="C196" s="1">
        <v>12</v>
      </c>
      <c r="D196" s="1">
        <v>3</v>
      </c>
      <c r="E196" s="14">
        <v>46.87</v>
      </c>
      <c r="F196" s="1" t="s">
        <v>18</v>
      </c>
      <c r="G196" s="1">
        <v>2</v>
      </c>
      <c r="H196" s="1" t="s">
        <v>16</v>
      </c>
      <c r="I196" s="1" t="s">
        <v>16</v>
      </c>
      <c r="J196" s="1" t="s">
        <v>16</v>
      </c>
      <c r="K196" s="1" t="s">
        <v>17</v>
      </c>
      <c r="L196" s="1" t="s">
        <v>17</v>
      </c>
      <c r="M196" s="1" t="s">
        <v>17</v>
      </c>
      <c r="N196" s="1" t="s">
        <v>16</v>
      </c>
    </row>
    <row r="197" spans="1:14" x14ac:dyDescent="0.25">
      <c r="A197" s="9">
        <v>44258</v>
      </c>
      <c r="B197" s="1" t="s">
        <v>15</v>
      </c>
      <c r="C197" s="1">
        <v>13</v>
      </c>
      <c r="D197" s="1">
        <v>3</v>
      </c>
      <c r="E197" s="14">
        <v>55.01</v>
      </c>
      <c r="F197" s="1" t="s">
        <v>18</v>
      </c>
      <c r="G197" s="1">
        <v>2</v>
      </c>
      <c r="H197" s="1" t="s">
        <v>16</v>
      </c>
      <c r="I197" s="1" t="s">
        <v>16</v>
      </c>
      <c r="J197" s="1" t="s">
        <v>16</v>
      </c>
      <c r="K197" s="1" t="s">
        <v>17</v>
      </c>
      <c r="L197" s="1" t="s">
        <v>17</v>
      </c>
      <c r="M197" s="1" t="s">
        <v>17</v>
      </c>
      <c r="N197" s="1" t="s">
        <v>16</v>
      </c>
    </row>
    <row r="198" spans="1:14" x14ac:dyDescent="0.25">
      <c r="A198" s="9">
        <v>44258</v>
      </c>
      <c r="B198" s="1" t="s">
        <v>15</v>
      </c>
      <c r="C198" s="1">
        <v>14</v>
      </c>
      <c r="D198" s="1">
        <v>3</v>
      </c>
      <c r="E198" s="14">
        <v>53.67</v>
      </c>
      <c r="F198" s="1" t="s">
        <v>18</v>
      </c>
      <c r="G198" s="1">
        <v>2</v>
      </c>
      <c r="H198" s="1" t="s">
        <v>16</v>
      </c>
      <c r="I198" s="1" t="s">
        <v>16</v>
      </c>
      <c r="J198" s="1" t="s">
        <v>16</v>
      </c>
      <c r="K198" s="1" t="s">
        <v>17</v>
      </c>
      <c r="L198" s="1" t="s">
        <v>17</v>
      </c>
      <c r="M198" s="1" t="s">
        <v>17</v>
      </c>
      <c r="N198" s="1" t="s">
        <v>16</v>
      </c>
    </row>
    <row r="199" spans="1:14" x14ac:dyDescent="0.25">
      <c r="A199" s="9">
        <v>44258</v>
      </c>
      <c r="B199" s="1" t="s">
        <v>15</v>
      </c>
      <c r="C199" s="1">
        <v>15</v>
      </c>
      <c r="D199" s="1">
        <v>3</v>
      </c>
      <c r="E199" s="14">
        <v>60.96</v>
      </c>
      <c r="F199" s="1" t="s">
        <v>18</v>
      </c>
      <c r="G199" s="1">
        <v>2</v>
      </c>
      <c r="H199" s="1" t="s">
        <v>16</v>
      </c>
      <c r="I199" s="1" t="s">
        <v>16</v>
      </c>
      <c r="J199" s="1" t="s">
        <v>16</v>
      </c>
      <c r="K199" s="1" t="s">
        <v>17</v>
      </c>
      <c r="L199" s="1" t="s">
        <v>17</v>
      </c>
      <c r="M199" s="1" t="s">
        <v>17</v>
      </c>
      <c r="N199" s="1" t="s">
        <v>16</v>
      </c>
    </row>
    <row r="200" spans="1:14" x14ac:dyDescent="0.25">
      <c r="A200" s="9">
        <v>44292</v>
      </c>
      <c r="B200" s="1" t="s">
        <v>15</v>
      </c>
      <c r="C200" s="1">
        <v>1</v>
      </c>
      <c r="D200" s="1">
        <v>1</v>
      </c>
      <c r="E200" s="14">
        <v>79.209999999999994</v>
      </c>
      <c r="F200" s="1" t="s">
        <v>18</v>
      </c>
      <c r="G200" s="1">
        <v>2</v>
      </c>
      <c r="H200" s="1" t="s">
        <v>16</v>
      </c>
      <c r="I200" s="1" t="s">
        <v>16</v>
      </c>
      <c r="J200" s="1" t="s">
        <v>16</v>
      </c>
      <c r="K200" s="1" t="s">
        <v>17</v>
      </c>
      <c r="L200" s="1" t="s">
        <v>17</v>
      </c>
      <c r="M200" s="1" t="s">
        <v>17</v>
      </c>
      <c r="N200" s="1" t="s">
        <v>16</v>
      </c>
    </row>
    <row r="201" spans="1:14" x14ac:dyDescent="0.25">
      <c r="A201" s="9">
        <v>44292</v>
      </c>
      <c r="B201" s="1" t="s">
        <v>15</v>
      </c>
      <c r="C201" s="1">
        <v>2</v>
      </c>
      <c r="D201" s="1">
        <v>1</v>
      </c>
      <c r="E201" s="14">
        <v>42.53</v>
      </c>
      <c r="F201" s="1" t="s">
        <v>19</v>
      </c>
      <c r="G201" s="1">
        <v>2</v>
      </c>
      <c r="H201" s="1" t="s">
        <v>16</v>
      </c>
      <c r="I201" s="1" t="s">
        <v>16</v>
      </c>
      <c r="J201" s="1" t="s">
        <v>16</v>
      </c>
      <c r="K201" s="1" t="s">
        <v>17</v>
      </c>
      <c r="L201" s="1" t="s">
        <v>17</v>
      </c>
      <c r="M201" s="1" t="s">
        <v>17</v>
      </c>
      <c r="N201" s="1" t="s">
        <v>16</v>
      </c>
    </row>
    <row r="202" spans="1:14" x14ac:dyDescent="0.25">
      <c r="A202" s="9">
        <v>44292</v>
      </c>
      <c r="B202" s="1" t="s">
        <v>15</v>
      </c>
      <c r="C202" s="1">
        <v>3</v>
      </c>
      <c r="D202" s="1">
        <v>1</v>
      </c>
      <c r="E202" s="14">
        <v>55.49</v>
      </c>
      <c r="F202" s="1" t="s">
        <v>18</v>
      </c>
      <c r="G202" s="1">
        <v>2</v>
      </c>
      <c r="H202" s="1" t="s">
        <v>16</v>
      </c>
      <c r="I202" s="1" t="s">
        <v>16</v>
      </c>
      <c r="J202" s="1" t="s">
        <v>16</v>
      </c>
      <c r="K202" s="1" t="s">
        <v>17</v>
      </c>
      <c r="L202" s="1" t="s">
        <v>17</v>
      </c>
      <c r="M202" s="1" t="s">
        <v>17</v>
      </c>
      <c r="N202" s="1" t="s">
        <v>16</v>
      </c>
    </row>
    <row r="203" spans="1:14" x14ac:dyDescent="0.25">
      <c r="A203" s="9">
        <v>44292</v>
      </c>
      <c r="B203" s="1" t="s">
        <v>15</v>
      </c>
      <c r="C203" s="1">
        <v>4</v>
      </c>
      <c r="D203" s="1">
        <v>1</v>
      </c>
      <c r="E203" s="14">
        <v>84.5</v>
      </c>
      <c r="F203" s="1" t="s">
        <v>18</v>
      </c>
      <c r="G203" s="1">
        <v>2</v>
      </c>
      <c r="H203" s="1" t="s">
        <v>16</v>
      </c>
      <c r="I203" s="1" t="s">
        <v>16</v>
      </c>
      <c r="J203" s="1" t="s">
        <v>16</v>
      </c>
      <c r="K203" s="1" t="s">
        <v>17</v>
      </c>
      <c r="L203" s="1" t="s">
        <v>17</v>
      </c>
      <c r="M203" s="1" t="s">
        <v>17</v>
      </c>
      <c r="N203" s="1" t="s">
        <v>16</v>
      </c>
    </row>
    <row r="204" spans="1:14" x14ac:dyDescent="0.25">
      <c r="A204" s="9">
        <v>44292</v>
      </c>
      <c r="B204" s="1" t="s">
        <v>15</v>
      </c>
      <c r="C204" s="1">
        <v>5</v>
      </c>
      <c r="D204" s="1">
        <v>1</v>
      </c>
      <c r="E204" s="14">
        <v>44.68</v>
      </c>
      <c r="F204" s="1" t="s">
        <v>18</v>
      </c>
      <c r="G204" s="1">
        <v>2</v>
      </c>
      <c r="H204" s="1" t="s">
        <v>16</v>
      </c>
      <c r="I204" s="1" t="s">
        <v>16</v>
      </c>
      <c r="J204" s="1" t="s">
        <v>16</v>
      </c>
      <c r="K204" s="1" t="s">
        <v>17</v>
      </c>
      <c r="L204" s="1" t="s">
        <v>17</v>
      </c>
      <c r="M204" s="1" t="s">
        <v>17</v>
      </c>
      <c r="N204" s="1" t="s">
        <v>16</v>
      </c>
    </row>
    <row r="205" spans="1:14" x14ac:dyDescent="0.25">
      <c r="A205" s="9">
        <v>44292</v>
      </c>
      <c r="B205" s="1" t="s">
        <v>15</v>
      </c>
      <c r="C205" s="1">
        <v>6</v>
      </c>
      <c r="D205" s="1">
        <v>2</v>
      </c>
      <c r="E205" s="14">
        <v>34.42</v>
      </c>
      <c r="F205" s="1" t="s">
        <v>19</v>
      </c>
      <c r="G205" s="1">
        <v>2</v>
      </c>
      <c r="H205" s="1" t="s">
        <v>16</v>
      </c>
      <c r="I205" s="1" t="s">
        <v>16</v>
      </c>
      <c r="J205" s="1" t="s">
        <v>16</v>
      </c>
      <c r="K205" s="1" t="s">
        <v>17</v>
      </c>
      <c r="L205" s="1" t="s">
        <v>17</v>
      </c>
      <c r="M205" s="1" t="s">
        <v>17</v>
      </c>
      <c r="N205" s="1" t="s">
        <v>16</v>
      </c>
    </row>
    <row r="206" spans="1:14" x14ac:dyDescent="0.25">
      <c r="A206" s="9">
        <v>44292</v>
      </c>
      <c r="B206" s="1" t="s">
        <v>15</v>
      </c>
      <c r="C206" s="1">
        <v>7</v>
      </c>
      <c r="D206" s="1">
        <v>2</v>
      </c>
      <c r="E206" s="14">
        <v>48.03</v>
      </c>
      <c r="F206" s="1" t="s">
        <v>18</v>
      </c>
      <c r="G206" s="1">
        <v>2</v>
      </c>
      <c r="H206" s="1" t="s">
        <v>16</v>
      </c>
      <c r="I206" s="1" t="s">
        <v>16</v>
      </c>
      <c r="J206" s="1" t="s">
        <v>16</v>
      </c>
      <c r="K206" s="1" t="s">
        <v>17</v>
      </c>
      <c r="L206" s="1" t="s">
        <v>17</v>
      </c>
      <c r="M206" s="1" t="s">
        <v>17</v>
      </c>
      <c r="N206" s="1" t="s">
        <v>16</v>
      </c>
    </row>
    <row r="207" spans="1:14" x14ac:dyDescent="0.25">
      <c r="A207" s="9">
        <v>44292</v>
      </c>
      <c r="B207" s="1" t="s">
        <v>15</v>
      </c>
      <c r="C207" s="1">
        <v>8</v>
      </c>
      <c r="D207" s="1">
        <v>2</v>
      </c>
      <c r="E207" s="14">
        <v>46.24</v>
      </c>
      <c r="F207" s="1" t="s">
        <v>19</v>
      </c>
      <c r="G207" s="1">
        <v>2</v>
      </c>
      <c r="H207" s="1" t="s">
        <v>16</v>
      </c>
      <c r="I207" s="1" t="s">
        <v>16</v>
      </c>
      <c r="J207" s="1" t="s">
        <v>16</v>
      </c>
      <c r="K207" s="1" t="s">
        <v>17</v>
      </c>
      <c r="L207" s="1" t="s">
        <v>17</v>
      </c>
      <c r="M207" s="1" t="s">
        <v>17</v>
      </c>
      <c r="N207" s="1" t="s">
        <v>16</v>
      </c>
    </row>
    <row r="208" spans="1:14" x14ac:dyDescent="0.25">
      <c r="A208" s="9">
        <v>44292</v>
      </c>
      <c r="B208" s="1" t="s">
        <v>15</v>
      </c>
      <c r="C208" s="1">
        <v>9</v>
      </c>
      <c r="D208" s="1">
        <v>2</v>
      </c>
      <c r="E208" s="14">
        <v>38.549999999999997</v>
      </c>
      <c r="F208" s="1" t="s">
        <v>18</v>
      </c>
      <c r="G208" s="1">
        <v>2</v>
      </c>
      <c r="H208" s="1" t="s">
        <v>16</v>
      </c>
      <c r="I208" s="1" t="s">
        <v>16</v>
      </c>
      <c r="J208" s="1" t="s">
        <v>16</v>
      </c>
      <c r="K208" s="1" t="s">
        <v>17</v>
      </c>
      <c r="L208" s="1" t="s">
        <v>17</v>
      </c>
      <c r="M208" s="1" t="s">
        <v>17</v>
      </c>
      <c r="N208" s="1" t="s">
        <v>16</v>
      </c>
    </row>
    <row r="209" spans="1:14" x14ac:dyDescent="0.25">
      <c r="A209" s="9">
        <v>44292</v>
      </c>
      <c r="B209" s="1" t="s">
        <v>15</v>
      </c>
      <c r="C209" s="1">
        <v>10</v>
      </c>
      <c r="D209" s="1">
        <v>2</v>
      </c>
      <c r="E209" s="14">
        <v>60.17</v>
      </c>
      <c r="F209" s="1" t="s">
        <v>19</v>
      </c>
      <c r="G209" s="1">
        <v>2</v>
      </c>
      <c r="H209" s="1" t="s">
        <v>16</v>
      </c>
      <c r="I209" s="1" t="s">
        <v>16</v>
      </c>
      <c r="J209" s="1" t="s">
        <v>16</v>
      </c>
      <c r="K209" s="1" t="s">
        <v>17</v>
      </c>
      <c r="L209" s="1" t="s">
        <v>17</v>
      </c>
      <c r="M209" s="1" t="s">
        <v>17</v>
      </c>
      <c r="N209" s="1" t="s">
        <v>16</v>
      </c>
    </row>
    <row r="210" spans="1:14" x14ac:dyDescent="0.25">
      <c r="A210" s="9">
        <v>44292</v>
      </c>
      <c r="B210" s="1" t="s">
        <v>15</v>
      </c>
      <c r="C210" s="1">
        <v>11</v>
      </c>
      <c r="D210" s="1">
        <v>3</v>
      </c>
      <c r="E210" s="14">
        <v>56.95</v>
      </c>
      <c r="F210" s="1" t="s">
        <v>18</v>
      </c>
      <c r="G210" s="1">
        <v>2</v>
      </c>
      <c r="H210" s="1" t="s">
        <v>16</v>
      </c>
      <c r="I210" s="1" t="s">
        <v>16</v>
      </c>
      <c r="J210" s="1" t="s">
        <v>16</v>
      </c>
      <c r="K210" s="1" t="s">
        <v>17</v>
      </c>
      <c r="L210" s="1" t="s">
        <v>17</v>
      </c>
      <c r="M210" s="1" t="s">
        <v>17</v>
      </c>
      <c r="N210" s="1" t="s">
        <v>16</v>
      </c>
    </row>
    <row r="211" spans="1:14" x14ac:dyDescent="0.25">
      <c r="A211" s="9">
        <v>44292</v>
      </c>
      <c r="B211" s="1" t="s">
        <v>15</v>
      </c>
      <c r="C211" s="1">
        <v>12</v>
      </c>
      <c r="D211" s="1">
        <v>3</v>
      </c>
      <c r="E211" s="14">
        <v>51.39</v>
      </c>
      <c r="F211" s="1" t="s">
        <v>18</v>
      </c>
      <c r="G211" s="1">
        <v>2</v>
      </c>
      <c r="H211" s="1" t="s">
        <v>16</v>
      </c>
      <c r="I211" s="1" t="s">
        <v>16</v>
      </c>
      <c r="J211" s="1" t="s">
        <v>16</v>
      </c>
      <c r="K211" s="1" t="s">
        <v>17</v>
      </c>
      <c r="L211" s="1" t="s">
        <v>17</v>
      </c>
      <c r="M211" s="1" t="s">
        <v>17</v>
      </c>
      <c r="N211" s="1" t="s">
        <v>16</v>
      </c>
    </row>
    <row r="212" spans="1:14" x14ac:dyDescent="0.25">
      <c r="A212" s="9">
        <v>44292</v>
      </c>
      <c r="B212" s="1" t="s">
        <v>15</v>
      </c>
      <c r="C212" s="1">
        <v>13</v>
      </c>
      <c r="D212" s="1">
        <v>3</v>
      </c>
      <c r="E212" s="14">
        <v>54.03</v>
      </c>
      <c r="F212" s="1" t="s">
        <v>19</v>
      </c>
      <c r="G212" s="1">
        <v>2</v>
      </c>
      <c r="H212" s="1" t="s">
        <v>16</v>
      </c>
      <c r="I212" s="1" t="s">
        <v>16</v>
      </c>
      <c r="J212" s="1" t="s">
        <v>16</v>
      </c>
      <c r="K212" s="1" t="s">
        <v>17</v>
      </c>
      <c r="L212" s="1" t="s">
        <v>17</v>
      </c>
      <c r="M212" s="1" t="s">
        <v>17</v>
      </c>
      <c r="N212" s="1" t="s">
        <v>16</v>
      </c>
    </row>
    <row r="213" spans="1:14" x14ac:dyDescent="0.25">
      <c r="A213" s="9">
        <v>44292</v>
      </c>
      <c r="B213" s="1" t="s">
        <v>15</v>
      </c>
      <c r="C213" s="1">
        <v>14</v>
      </c>
      <c r="D213" s="1">
        <v>3</v>
      </c>
      <c r="E213" s="14">
        <v>46.63</v>
      </c>
      <c r="F213" s="1" t="s">
        <v>18</v>
      </c>
      <c r="G213" s="1">
        <v>2</v>
      </c>
      <c r="H213" s="1" t="s">
        <v>16</v>
      </c>
      <c r="I213" s="1" t="s">
        <v>16</v>
      </c>
      <c r="J213" s="1" t="s">
        <v>16</v>
      </c>
      <c r="K213" s="1" t="s">
        <v>17</v>
      </c>
      <c r="L213" s="1" t="s">
        <v>17</v>
      </c>
      <c r="M213" s="1" t="s">
        <v>17</v>
      </c>
      <c r="N213" s="1" t="s">
        <v>16</v>
      </c>
    </row>
    <row r="214" spans="1:14" x14ac:dyDescent="0.25">
      <c r="A214" s="9">
        <v>44292</v>
      </c>
      <c r="B214" s="1" t="s">
        <v>15</v>
      </c>
      <c r="C214" s="1">
        <v>15</v>
      </c>
      <c r="D214" s="1">
        <v>3</v>
      </c>
      <c r="E214" s="14">
        <v>42.01</v>
      </c>
      <c r="F214" s="1" t="s">
        <v>18</v>
      </c>
      <c r="G214" s="1">
        <v>1</v>
      </c>
      <c r="H214" s="1" t="s">
        <v>16</v>
      </c>
      <c r="I214" s="1" t="s">
        <v>16</v>
      </c>
      <c r="J214" s="1" t="s">
        <v>16</v>
      </c>
      <c r="K214" s="1" t="s">
        <v>17</v>
      </c>
      <c r="L214" s="1" t="s">
        <v>17</v>
      </c>
      <c r="M214" s="1" t="s">
        <v>17</v>
      </c>
      <c r="N214" s="1" t="s">
        <v>16</v>
      </c>
    </row>
    <row r="215" spans="1:14" x14ac:dyDescent="0.25">
      <c r="A215" s="9">
        <v>44320</v>
      </c>
      <c r="B215" s="1" t="s">
        <v>15</v>
      </c>
      <c r="C215" s="1">
        <v>1</v>
      </c>
      <c r="D215" s="1">
        <v>1</v>
      </c>
      <c r="E215" s="14">
        <v>55.85</v>
      </c>
      <c r="F215" s="1" t="s">
        <v>18</v>
      </c>
      <c r="G215" s="1">
        <v>2</v>
      </c>
      <c r="H215" s="1" t="s">
        <v>16</v>
      </c>
      <c r="I215" s="1" t="s">
        <v>16</v>
      </c>
      <c r="J215" s="1" t="s">
        <v>16</v>
      </c>
      <c r="K215" s="1" t="s">
        <v>17</v>
      </c>
      <c r="L215" s="1" t="s">
        <v>17</v>
      </c>
      <c r="M215" s="1" t="s">
        <v>17</v>
      </c>
      <c r="N215" s="1" t="s">
        <v>16</v>
      </c>
    </row>
    <row r="216" spans="1:14" x14ac:dyDescent="0.25">
      <c r="A216" s="9">
        <v>44320</v>
      </c>
      <c r="B216" s="1" t="s">
        <v>15</v>
      </c>
      <c r="C216" s="1">
        <v>2</v>
      </c>
      <c r="D216" s="1">
        <v>1</v>
      </c>
      <c r="E216" s="14">
        <v>50.61</v>
      </c>
      <c r="F216" s="1" t="s">
        <v>19</v>
      </c>
      <c r="G216" s="1">
        <v>2</v>
      </c>
      <c r="H216" s="1" t="s">
        <v>16</v>
      </c>
      <c r="I216" s="1" t="s">
        <v>16</v>
      </c>
      <c r="J216" s="1" t="s">
        <v>16</v>
      </c>
      <c r="K216" s="1" t="s">
        <v>17</v>
      </c>
      <c r="L216" s="1" t="s">
        <v>17</v>
      </c>
      <c r="M216" s="1" t="s">
        <v>17</v>
      </c>
      <c r="N216" s="1" t="s">
        <v>16</v>
      </c>
    </row>
    <row r="217" spans="1:14" x14ac:dyDescent="0.25">
      <c r="A217" s="9">
        <v>44320</v>
      </c>
      <c r="B217" s="1" t="s">
        <v>15</v>
      </c>
      <c r="C217" s="1">
        <v>3</v>
      </c>
      <c r="D217" s="1">
        <v>1</v>
      </c>
      <c r="E217" s="14">
        <v>54.08</v>
      </c>
      <c r="F217" s="1" t="s">
        <v>18</v>
      </c>
      <c r="G217" s="1">
        <v>2</v>
      </c>
      <c r="H217" s="1" t="s">
        <v>16</v>
      </c>
      <c r="I217" s="1" t="s">
        <v>16</v>
      </c>
      <c r="J217" s="1" t="s">
        <v>16</v>
      </c>
      <c r="K217" s="1" t="s">
        <v>17</v>
      </c>
      <c r="L217" s="1" t="s">
        <v>17</v>
      </c>
      <c r="M217" s="1" t="s">
        <v>17</v>
      </c>
      <c r="N217" s="1" t="s">
        <v>16</v>
      </c>
    </row>
    <row r="218" spans="1:14" x14ac:dyDescent="0.25">
      <c r="A218" s="9">
        <v>44320</v>
      </c>
      <c r="B218" s="1" t="s">
        <v>15</v>
      </c>
      <c r="C218" s="1">
        <v>4</v>
      </c>
      <c r="D218" s="1">
        <v>1</v>
      </c>
      <c r="E218" s="14">
        <v>46.04</v>
      </c>
      <c r="F218" s="1" t="s">
        <v>18</v>
      </c>
      <c r="G218" s="1">
        <v>2</v>
      </c>
      <c r="H218" s="1" t="s">
        <v>16</v>
      </c>
      <c r="I218" s="1" t="s">
        <v>16</v>
      </c>
      <c r="J218" s="1" t="s">
        <v>16</v>
      </c>
      <c r="K218" s="1" t="s">
        <v>17</v>
      </c>
      <c r="L218" s="1" t="s">
        <v>17</v>
      </c>
      <c r="M218" s="1" t="s">
        <v>17</v>
      </c>
      <c r="N218" s="1" t="s">
        <v>16</v>
      </c>
    </row>
    <row r="219" spans="1:14" x14ac:dyDescent="0.25">
      <c r="A219" s="9">
        <v>44320</v>
      </c>
      <c r="B219" s="1" t="s">
        <v>15</v>
      </c>
      <c r="C219" s="1">
        <v>5</v>
      </c>
      <c r="D219" s="1">
        <v>1</v>
      </c>
      <c r="E219" s="14">
        <v>68.510000000000005</v>
      </c>
      <c r="F219" s="1" t="s">
        <v>18</v>
      </c>
      <c r="G219" s="1" t="s">
        <v>16</v>
      </c>
      <c r="H219" s="1" t="s">
        <v>16</v>
      </c>
      <c r="I219" s="1" t="s">
        <v>16</v>
      </c>
      <c r="J219" s="1" t="s">
        <v>16</v>
      </c>
      <c r="K219" s="1" t="s">
        <v>20</v>
      </c>
      <c r="L219" s="1" t="s">
        <v>17</v>
      </c>
      <c r="M219" s="1" t="s">
        <v>17</v>
      </c>
      <c r="N219" s="1" t="s">
        <v>16</v>
      </c>
    </row>
    <row r="220" spans="1:14" x14ac:dyDescent="0.25">
      <c r="A220" s="9">
        <v>44320</v>
      </c>
      <c r="B220" s="1" t="s">
        <v>15</v>
      </c>
      <c r="C220" s="1">
        <v>6</v>
      </c>
      <c r="D220" s="1">
        <v>2</v>
      </c>
      <c r="E220" s="14">
        <v>62.56</v>
      </c>
      <c r="F220" s="1" t="s">
        <v>19</v>
      </c>
      <c r="G220" s="1">
        <v>2</v>
      </c>
      <c r="H220" s="1" t="s">
        <v>16</v>
      </c>
      <c r="I220" s="1" t="s">
        <v>16</v>
      </c>
      <c r="J220" s="1" t="s">
        <v>16</v>
      </c>
      <c r="K220" s="1" t="s">
        <v>17</v>
      </c>
      <c r="L220" s="1" t="s">
        <v>17</v>
      </c>
      <c r="M220" s="1" t="s">
        <v>17</v>
      </c>
      <c r="N220" s="1" t="s">
        <v>16</v>
      </c>
    </row>
    <row r="221" spans="1:14" x14ac:dyDescent="0.25">
      <c r="A221" s="9">
        <v>44320</v>
      </c>
      <c r="B221" s="1" t="s">
        <v>15</v>
      </c>
      <c r="C221" s="1">
        <v>7</v>
      </c>
      <c r="D221" s="1">
        <v>2</v>
      </c>
      <c r="E221" s="14">
        <v>60.18</v>
      </c>
      <c r="F221" s="1" t="s">
        <v>18</v>
      </c>
      <c r="G221" s="1">
        <v>2</v>
      </c>
      <c r="H221" s="1" t="s">
        <v>16</v>
      </c>
      <c r="I221" s="1" t="s">
        <v>16</v>
      </c>
      <c r="J221" s="1" t="s">
        <v>16</v>
      </c>
      <c r="K221" s="1" t="s">
        <v>17</v>
      </c>
      <c r="L221" s="1" t="s">
        <v>17</v>
      </c>
      <c r="M221" s="1" t="s">
        <v>17</v>
      </c>
      <c r="N221" s="1" t="s">
        <v>16</v>
      </c>
    </row>
    <row r="222" spans="1:14" x14ac:dyDescent="0.25">
      <c r="A222" s="9">
        <v>44320</v>
      </c>
      <c r="B222" s="1" t="s">
        <v>15</v>
      </c>
      <c r="C222" s="1">
        <v>8</v>
      </c>
      <c r="D222" s="1">
        <v>2</v>
      </c>
      <c r="E222" s="14">
        <v>50.68</v>
      </c>
      <c r="F222" s="1" t="s">
        <v>18</v>
      </c>
      <c r="G222" s="1">
        <v>2</v>
      </c>
      <c r="H222" s="1" t="s">
        <v>16</v>
      </c>
      <c r="I222" s="1" t="s">
        <v>16</v>
      </c>
      <c r="J222" s="1" t="s">
        <v>16</v>
      </c>
      <c r="K222" s="1" t="s">
        <v>17</v>
      </c>
      <c r="L222" s="1" t="s">
        <v>17</v>
      </c>
      <c r="M222" s="1" t="s">
        <v>17</v>
      </c>
      <c r="N222" s="1" t="s">
        <v>16</v>
      </c>
    </row>
    <row r="223" spans="1:14" x14ac:dyDescent="0.25">
      <c r="A223" s="9">
        <v>44320</v>
      </c>
      <c r="B223" s="1" t="s">
        <v>15</v>
      </c>
      <c r="C223" s="1">
        <v>9</v>
      </c>
      <c r="D223" s="1">
        <v>2</v>
      </c>
      <c r="E223" s="14">
        <v>49.43</v>
      </c>
      <c r="F223" s="1" t="s">
        <v>18</v>
      </c>
      <c r="G223" s="1">
        <v>2</v>
      </c>
      <c r="H223" s="1" t="s">
        <v>16</v>
      </c>
      <c r="I223" s="1" t="s">
        <v>16</v>
      </c>
      <c r="J223" s="1" t="s">
        <v>16</v>
      </c>
      <c r="K223" s="1" t="s">
        <v>17</v>
      </c>
      <c r="L223" s="1" t="s">
        <v>17</v>
      </c>
      <c r="M223" s="1" t="s">
        <v>17</v>
      </c>
      <c r="N223" s="1" t="s">
        <v>16</v>
      </c>
    </row>
    <row r="224" spans="1:14" x14ac:dyDescent="0.25">
      <c r="A224" s="9">
        <v>44320</v>
      </c>
      <c r="B224" s="1" t="s">
        <v>15</v>
      </c>
      <c r="C224" s="1">
        <v>10</v>
      </c>
      <c r="D224" s="1">
        <v>2</v>
      </c>
      <c r="E224" s="14">
        <v>49.57</v>
      </c>
      <c r="F224" s="1" t="s">
        <v>19</v>
      </c>
      <c r="G224" s="1">
        <v>2</v>
      </c>
      <c r="H224" s="1" t="s">
        <v>16</v>
      </c>
      <c r="I224" s="1" t="s">
        <v>16</v>
      </c>
      <c r="J224" s="1" t="s">
        <v>16</v>
      </c>
      <c r="K224" s="1" t="s">
        <v>17</v>
      </c>
      <c r="L224" s="1" t="s">
        <v>17</v>
      </c>
      <c r="M224" s="1" t="s">
        <v>17</v>
      </c>
      <c r="N224" s="1" t="s">
        <v>16</v>
      </c>
    </row>
    <row r="225" spans="1:14" x14ac:dyDescent="0.25">
      <c r="A225" s="9">
        <v>44320</v>
      </c>
      <c r="B225" s="1" t="s">
        <v>15</v>
      </c>
      <c r="C225" s="1">
        <v>11</v>
      </c>
      <c r="D225" s="1">
        <v>3</v>
      </c>
      <c r="E225" s="14">
        <v>68.069999999999993</v>
      </c>
      <c r="F225" s="1" t="s">
        <v>19</v>
      </c>
      <c r="G225" s="1">
        <v>2</v>
      </c>
      <c r="H225" s="1" t="s">
        <v>16</v>
      </c>
      <c r="I225" s="1" t="s">
        <v>16</v>
      </c>
      <c r="J225" s="1" t="s">
        <v>16</v>
      </c>
      <c r="K225" s="1" t="s">
        <v>17</v>
      </c>
      <c r="L225" s="1" t="s">
        <v>17</v>
      </c>
      <c r="M225" s="1" t="s">
        <v>17</v>
      </c>
      <c r="N225" s="1" t="s">
        <v>16</v>
      </c>
    </row>
    <row r="226" spans="1:14" x14ac:dyDescent="0.25">
      <c r="A226" s="9">
        <v>44320</v>
      </c>
      <c r="B226" s="1" t="s">
        <v>15</v>
      </c>
      <c r="C226" s="1">
        <v>12</v>
      </c>
      <c r="D226" s="1">
        <v>3</v>
      </c>
      <c r="E226" s="14">
        <v>42.68</v>
      </c>
      <c r="F226" s="1" t="s">
        <v>18</v>
      </c>
      <c r="G226" s="1">
        <v>1</v>
      </c>
      <c r="H226" s="1" t="s">
        <v>16</v>
      </c>
      <c r="I226" s="1" t="s">
        <v>16</v>
      </c>
      <c r="J226" s="1" t="s">
        <v>16</v>
      </c>
      <c r="K226" s="1" t="s">
        <v>17</v>
      </c>
      <c r="L226" s="1" t="s">
        <v>17</v>
      </c>
      <c r="M226" s="1" t="s">
        <v>17</v>
      </c>
      <c r="N226" s="1" t="s">
        <v>16</v>
      </c>
    </row>
    <row r="227" spans="1:14" x14ac:dyDescent="0.25">
      <c r="A227" s="9">
        <v>44320</v>
      </c>
      <c r="B227" s="1" t="s">
        <v>15</v>
      </c>
      <c r="C227" s="1">
        <v>13</v>
      </c>
      <c r="D227" s="1">
        <v>3</v>
      </c>
      <c r="E227" s="14">
        <v>45.62</v>
      </c>
      <c r="F227" s="1" t="s">
        <v>18</v>
      </c>
      <c r="G227" s="1">
        <v>1</v>
      </c>
      <c r="H227" s="1" t="s">
        <v>16</v>
      </c>
      <c r="I227" s="1" t="s">
        <v>16</v>
      </c>
      <c r="J227" s="1" t="s">
        <v>16</v>
      </c>
      <c r="K227" s="1" t="s">
        <v>17</v>
      </c>
      <c r="L227" s="1" t="s">
        <v>17</v>
      </c>
      <c r="M227" s="1" t="s">
        <v>17</v>
      </c>
      <c r="N227" s="1" t="s">
        <v>16</v>
      </c>
    </row>
    <row r="228" spans="1:14" x14ac:dyDescent="0.25">
      <c r="A228" s="9">
        <v>44320</v>
      </c>
      <c r="B228" s="1" t="s">
        <v>15</v>
      </c>
      <c r="C228" s="1">
        <v>14</v>
      </c>
      <c r="D228" s="1">
        <v>3</v>
      </c>
      <c r="E228" s="14">
        <v>56.59</v>
      </c>
      <c r="F228" s="1" t="s">
        <v>18</v>
      </c>
      <c r="G228" s="1">
        <v>2</v>
      </c>
      <c r="H228" s="1" t="s">
        <v>16</v>
      </c>
      <c r="I228" s="1" t="s">
        <v>16</v>
      </c>
      <c r="J228" s="1" t="s">
        <v>16</v>
      </c>
      <c r="K228" s="1" t="s">
        <v>17</v>
      </c>
      <c r="L228" s="1" t="s">
        <v>17</v>
      </c>
      <c r="M228" s="1" t="s">
        <v>17</v>
      </c>
      <c r="N228" s="1" t="s">
        <v>16</v>
      </c>
    </row>
    <row r="229" spans="1:14" x14ac:dyDescent="0.25">
      <c r="A229" s="9">
        <v>44320</v>
      </c>
      <c r="B229" s="1" t="s">
        <v>15</v>
      </c>
      <c r="C229" s="1">
        <v>15</v>
      </c>
      <c r="D229" s="1">
        <v>3</v>
      </c>
      <c r="E229" s="14">
        <v>41.31</v>
      </c>
      <c r="F229" s="1" t="s">
        <v>19</v>
      </c>
      <c r="G229" s="1">
        <v>2</v>
      </c>
      <c r="H229" s="1" t="s">
        <v>16</v>
      </c>
      <c r="I229" s="1" t="s">
        <v>16</v>
      </c>
      <c r="J229" s="1" t="s">
        <v>16</v>
      </c>
      <c r="K229" s="1" t="s">
        <v>17</v>
      </c>
      <c r="L229" s="1" t="s">
        <v>17</v>
      </c>
      <c r="M229" s="1" t="s">
        <v>17</v>
      </c>
      <c r="N229" s="1" t="s">
        <v>16</v>
      </c>
    </row>
    <row r="230" spans="1:14" x14ac:dyDescent="0.25">
      <c r="A230" s="9">
        <v>44354</v>
      </c>
      <c r="B230" s="1" t="s">
        <v>15</v>
      </c>
      <c r="C230" s="1">
        <v>1</v>
      </c>
      <c r="D230" s="1">
        <v>1</v>
      </c>
      <c r="E230" s="14">
        <v>60.2</v>
      </c>
      <c r="F230" s="1" t="s">
        <v>18</v>
      </c>
      <c r="G230" s="1">
        <v>2</v>
      </c>
      <c r="H230" s="1" t="s">
        <v>16</v>
      </c>
      <c r="I230" s="1" t="s">
        <v>16</v>
      </c>
      <c r="J230" s="1" t="s">
        <v>16</v>
      </c>
      <c r="K230" s="1" t="s">
        <v>21</v>
      </c>
      <c r="L230" s="1" t="s">
        <v>17</v>
      </c>
      <c r="M230" s="1" t="s">
        <v>17</v>
      </c>
      <c r="N230" s="1" t="s">
        <v>16</v>
      </c>
    </row>
    <row r="231" spans="1:14" x14ac:dyDescent="0.25">
      <c r="A231" s="9">
        <v>44354</v>
      </c>
      <c r="B231" s="1" t="s">
        <v>15</v>
      </c>
      <c r="C231" s="1">
        <v>2</v>
      </c>
      <c r="D231" s="1">
        <v>1</v>
      </c>
      <c r="E231" s="14">
        <v>57.22</v>
      </c>
      <c r="F231" s="1" t="s">
        <v>18</v>
      </c>
      <c r="G231" s="1">
        <v>2</v>
      </c>
      <c r="H231" s="1" t="s">
        <v>16</v>
      </c>
      <c r="I231" s="1" t="s">
        <v>16</v>
      </c>
      <c r="J231" s="1" t="s">
        <v>16</v>
      </c>
      <c r="K231" s="1" t="s">
        <v>17</v>
      </c>
      <c r="L231" s="1" t="s">
        <v>17</v>
      </c>
      <c r="M231" s="1" t="s">
        <v>17</v>
      </c>
      <c r="N231" s="1" t="s">
        <v>16</v>
      </c>
    </row>
    <row r="232" spans="1:14" x14ac:dyDescent="0.25">
      <c r="A232" s="9">
        <v>44354</v>
      </c>
      <c r="B232" s="1" t="s">
        <v>15</v>
      </c>
      <c r="C232" s="1">
        <v>3</v>
      </c>
      <c r="D232" s="1">
        <v>1</v>
      </c>
      <c r="E232" s="14">
        <v>55.84</v>
      </c>
      <c r="F232" s="1" t="s">
        <v>18</v>
      </c>
      <c r="G232" s="1">
        <v>2</v>
      </c>
      <c r="H232" s="1" t="s">
        <v>16</v>
      </c>
      <c r="I232" s="1" t="s">
        <v>16</v>
      </c>
      <c r="J232" s="1" t="s">
        <v>16</v>
      </c>
      <c r="K232" s="1" t="s">
        <v>17</v>
      </c>
      <c r="L232" s="1" t="s">
        <v>17</v>
      </c>
      <c r="M232" s="1" t="s">
        <v>17</v>
      </c>
      <c r="N232" s="1" t="s">
        <v>16</v>
      </c>
    </row>
    <row r="233" spans="1:14" x14ac:dyDescent="0.25">
      <c r="A233" s="9">
        <v>44354</v>
      </c>
      <c r="B233" s="1" t="s">
        <v>15</v>
      </c>
      <c r="C233" s="1">
        <v>4</v>
      </c>
      <c r="D233" s="1">
        <v>1</v>
      </c>
      <c r="E233" s="14">
        <v>54</v>
      </c>
      <c r="F233" s="1" t="s">
        <v>18</v>
      </c>
      <c r="G233" s="1">
        <v>2</v>
      </c>
      <c r="H233" s="1" t="s">
        <v>16</v>
      </c>
      <c r="I233" s="1" t="s">
        <v>16</v>
      </c>
      <c r="J233" s="1" t="s">
        <v>16</v>
      </c>
      <c r="K233" s="1" t="s">
        <v>17</v>
      </c>
      <c r="L233" s="1" t="s">
        <v>17</v>
      </c>
      <c r="M233" s="1" t="s">
        <v>17</v>
      </c>
      <c r="N233" s="1" t="s">
        <v>16</v>
      </c>
    </row>
    <row r="234" spans="1:14" x14ac:dyDescent="0.25">
      <c r="A234" s="9">
        <v>44354</v>
      </c>
      <c r="B234" s="1" t="s">
        <v>15</v>
      </c>
      <c r="C234" s="1">
        <v>5</v>
      </c>
      <c r="D234" s="1">
        <v>1</v>
      </c>
      <c r="E234" s="14">
        <v>48.09</v>
      </c>
      <c r="F234" s="1" t="s">
        <v>18</v>
      </c>
      <c r="G234" s="1">
        <v>2</v>
      </c>
      <c r="H234" s="1" t="s">
        <v>16</v>
      </c>
      <c r="I234" s="1" t="s">
        <v>16</v>
      </c>
      <c r="J234" s="1" t="s">
        <v>16</v>
      </c>
      <c r="K234" s="1" t="s">
        <v>17</v>
      </c>
      <c r="L234" s="1" t="s">
        <v>17</v>
      </c>
      <c r="M234" s="1" t="s">
        <v>17</v>
      </c>
      <c r="N234" s="1" t="s">
        <v>16</v>
      </c>
    </row>
    <row r="235" spans="1:14" x14ac:dyDescent="0.25">
      <c r="A235" s="9">
        <v>44354</v>
      </c>
      <c r="B235" s="1" t="s">
        <v>15</v>
      </c>
      <c r="C235" s="1">
        <v>6</v>
      </c>
      <c r="D235" s="1">
        <v>2</v>
      </c>
      <c r="E235" s="14">
        <v>53.73</v>
      </c>
      <c r="F235" s="1" t="s">
        <v>18</v>
      </c>
      <c r="G235" s="1">
        <v>2</v>
      </c>
      <c r="H235" s="1" t="s">
        <v>16</v>
      </c>
      <c r="I235" s="1" t="s">
        <v>16</v>
      </c>
      <c r="J235" s="1" t="s">
        <v>16</v>
      </c>
      <c r="K235" s="1" t="s">
        <v>17</v>
      </c>
      <c r="L235" s="1" t="s">
        <v>17</v>
      </c>
      <c r="M235" s="1" t="s">
        <v>17</v>
      </c>
      <c r="N235" s="1" t="s">
        <v>16</v>
      </c>
    </row>
    <row r="236" spans="1:14" x14ac:dyDescent="0.25">
      <c r="A236" s="9">
        <v>44354</v>
      </c>
      <c r="B236" s="1" t="s">
        <v>15</v>
      </c>
      <c r="C236" s="1">
        <v>7</v>
      </c>
      <c r="D236" s="1">
        <v>2</v>
      </c>
      <c r="E236" s="14">
        <v>63.75</v>
      </c>
      <c r="F236" s="1" t="s">
        <v>19</v>
      </c>
      <c r="G236" s="1">
        <v>2</v>
      </c>
      <c r="H236" s="1" t="s">
        <v>16</v>
      </c>
      <c r="I236" s="1" t="s">
        <v>16</v>
      </c>
      <c r="J236" s="1" t="s">
        <v>16</v>
      </c>
      <c r="K236" s="1" t="s">
        <v>17</v>
      </c>
      <c r="L236" s="1" t="s">
        <v>17</v>
      </c>
      <c r="M236" s="1" t="s">
        <v>17</v>
      </c>
      <c r="N236" s="1" t="s">
        <v>16</v>
      </c>
    </row>
    <row r="237" spans="1:14" x14ac:dyDescent="0.25">
      <c r="A237" s="9">
        <v>44354</v>
      </c>
      <c r="B237" s="1" t="s">
        <v>15</v>
      </c>
      <c r="C237" s="1">
        <v>8</v>
      </c>
      <c r="D237" s="1">
        <v>2</v>
      </c>
      <c r="E237" s="14">
        <v>60.97</v>
      </c>
      <c r="F237" s="1" t="s">
        <v>18</v>
      </c>
      <c r="G237" s="1">
        <v>1</v>
      </c>
      <c r="H237" s="1" t="s">
        <v>16</v>
      </c>
      <c r="I237" s="1" t="s">
        <v>16</v>
      </c>
      <c r="J237" s="1" t="s">
        <v>16</v>
      </c>
      <c r="K237" s="1" t="s">
        <v>17</v>
      </c>
      <c r="L237" s="1" t="s">
        <v>17</v>
      </c>
      <c r="M237" s="1" t="s">
        <v>17</v>
      </c>
      <c r="N237" s="1" t="s">
        <v>16</v>
      </c>
    </row>
    <row r="238" spans="1:14" x14ac:dyDescent="0.25">
      <c r="A238" s="9">
        <v>44354</v>
      </c>
      <c r="B238" s="1" t="s">
        <v>15</v>
      </c>
      <c r="C238" s="1">
        <v>9</v>
      </c>
      <c r="D238" s="1">
        <v>2</v>
      </c>
      <c r="E238" s="14">
        <v>47.04</v>
      </c>
      <c r="F238" s="1" t="s">
        <v>16</v>
      </c>
      <c r="G238" s="1">
        <v>4</v>
      </c>
      <c r="H238" s="1" t="s">
        <v>16</v>
      </c>
      <c r="I238" s="1" t="s">
        <v>16</v>
      </c>
      <c r="J238" s="1" t="s">
        <v>16</v>
      </c>
      <c r="K238" s="1" t="s">
        <v>17</v>
      </c>
      <c r="L238" s="1" t="s">
        <v>17</v>
      </c>
      <c r="M238" s="1" t="s">
        <v>17</v>
      </c>
      <c r="N238" s="1" t="s">
        <v>16</v>
      </c>
    </row>
    <row r="239" spans="1:14" x14ac:dyDescent="0.25">
      <c r="A239" s="9">
        <v>44354</v>
      </c>
      <c r="B239" s="1" t="s">
        <v>15</v>
      </c>
      <c r="C239" s="1">
        <v>10</v>
      </c>
      <c r="D239" s="1">
        <v>2</v>
      </c>
      <c r="E239" s="14">
        <v>51.16</v>
      </c>
      <c r="F239" s="1" t="s">
        <v>16</v>
      </c>
      <c r="G239" s="1" t="s">
        <v>16</v>
      </c>
      <c r="H239" s="1" t="s">
        <v>16</v>
      </c>
      <c r="I239" s="1" t="s">
        <v>16</v>
      </c>
      <c r="J239" s="1" t="s">
        <v>16</v>
      </c>
      <c r="K239" s="1" t="s">
        <v>20</v>
      </c>
      <c r="L239" s="1" t="s">
        <v>17</v>
      </c>
      <c r="M239" s="1" t="s">
        <v>17</v>
      </c>
      <c r="N239" s="1" t="s">
        <v>16</v>
      </c>
    </row>
    <row r="240" spans="1:14" x14ac:dyDescent="0.25">
      <c r="A240" s="9">
        <v>44354</v>
      </c>
      <c r="B240" s="1" t="s">
        <v>15</v>
      </c>
      <c r="C240" s="1">
        <v>11</v>
      </c>
      <c r="D240" s="1">
        <v>3</v>
      </c>
      <c r="E240" s="14">
        <v>66.31</v>
      </c>
      <c r="F240" s="1" t="s">
        <v>18</v>
      </c>
      <c r="G240" s="1">
        <v>2</v>
      </c>
      <c r="H240" s="1" t="s">
        <v>16</v>
      </c>
      <c r="I240" s="1" t="s">
        <v>16</v>
      </c>
      <c r="J240" s="1" t="s">
        <v>16</v>
      </c>
      <c r="K240" s="1" t="s">
        <v>21</v>
      </c>
      <c r="L240" s="1" t="s">
        <v>17</v>
      </c>
      <c r="M240" s="1" t="s">
        <v>17</v>
      </c>
      <c r="N240" s="1" t="s">
        <v>16</v>
      </c>
    </row>
    <row r="241" spans="1:14" x14ac:dyDescent="0.25">
      <c r="A241" s="9">
        <v>44354</v>
      </c>
      <c r="B241" s="1" t="s">
        <v>15</v>
      </c>
      <c r="C241" s="1">
        <v>12</v>
      </c>
      <c r="D241" s="1">
        <v>3</v>
      </c>
      <c r="E241" s="14">
        <v>54.23</v>
      </c>
      <c r="F241" s="1" t="s">
        <v>18</v>
      </c>
      <c r="G241" s="1">
        <v>3</v>
      </c>
      <c r="H241" s="1" t="s">
        <v>16</v>
      </c>
      <c r="I241" s="1" t="s">
        <v>16</v>
      </c>
      <c r="J241" s="1" t="s">
        <v>16</v>
      </c>
      <c r="K241" s="1" t="s">
        <v>17</v>
      </c>
      <c r="L241" s="1" t="s">
        <v>17</v>
      </c>
      <c r="M241" s="1" t="s">
        <v>17</v>
      </c>
      <c r="N241" s="1" t="s">
        <v>16</v>
      </c>
    </row>
    <row r="242" spans="1:14" x14ac:dyDescent="0.25">
      <c r="A242" s="9">
        <v>44354</v>
      </c>
      <c r="B242" s="1" t="s">
        <v>15</v>
      </c>
      <c r="C242" s="1">
        <v>13</v>
      </c>
      <c r="D242" s="1">
        <v>3</v>
      </c>
      <c r="E242" s="14">
        <v>57.89</v>
      </c>
      <c r="F242" s="1" t="s">
        <v>18</v>
      </c>
      <c r="G242" s="1">
        <v>2</v>
      </c>
      <c r="H242" s="1" t="s">
        <v>16</v>
      </c>
      <c r="I242" s="1" t="s">
        <v>16</v>
      </c>
      <c r="J242" s="1" t="s">
        <v>16</v>
      </c>
      <c r="K242" s="1" t="s">
        <v>17</v>
      </c>
      <c r="L242" s="1" t="s">
        <v>17</v>
      </c>
      <c r="M242" s="1" t="s">
        <v>17</v>
      </c>
      <c r="N242" s="1" t="s">
        <v>16</v>
      </c>
    </row>
    <row r="243" spans="1:14" x14ac:dyDescent="0.25">
      <c r="A243" s="9">
        <v>44354</v>
      </c>
      <c r="B243" s="1" t="s">
        <v>15</v>
      </c>
      <c r="C243" s="1">
        <v>14</v>
      </c>
      <c r="D243" s="1">
        <v>3</v>
      </c>
      <c r="E243" s="14">
        <v>48.02</v>
      </c>
      <c r="F243" s="1" t="s">
        <v>18</v>
      </c>
      <c r="G243" s="1">
        <v>1</v>
      </c>
      <c r="H243" s="1" t="s">
        <v>16</v>
      </c>
      <c r="I243" s="1" t="s">
        <v>16</v>
      </c>
      <c r="J243" s="1" t="s">
        <v>16</v>
      </c>
      <c r="K243" s="1" t="s">
        <v>21</v>
      </c>
      <c r="L243" s="1" t="s">
        <v>17</v>
      </c>
      <c r="M243" s="1" t="s">
        <v>17</v>
      </c>
      <c r="N243" s="1" t="s">
        <v>16</v>
      </c>
    </row>
    <row r="244" spans="1:14" x14ac:dyDescent="0.25">
      <c r="A244" s="9">
        <v>44354</v>
      </c>
      <c r="B244" s="1" t="s">
        <v>15</v>
      </c>
      <c r="C244" s="1">
        <v>15</v>
      </c>
      <c r="D244" s="1">
        <v>3</v>
      </c>
      <c r="E244" s="14">
        <v>54.05</v>
      </c>
      <c r="F244" s="1" t="s">
        <v>19</v>
      </c>
      <c r="G244" s="1">
        <v>2</v>
      </c>
      <c r="H244" s="1" t="s">
        <v>16</v>
      </c>
      <c r="I244" s="1" t="s">
        <v>16</v>
      </c>
      <c r="J244" s="1" t="s">
        <v>16</v>
      </c>
      <c r="K244" s="1" t="s">
        <v>17</v>
      </c>
      <c r="L244" s="1" t="s">
        <v>17</v>
      </c>
      <c r="M244" s="1" t="s">
        <v>17</v>
      </c>
      <c r="N244" s="1" t="s">
        <v>16</v>
      </c>
    </row>
    <row r="245" spans="1:14" x14ac:dyDescent="0.25">
      <c r="A245" s="9">
        <v>44389</v>
      </c>
      <c r="B245" s="15" t="s">
        <v>15</v>
      </c>
      <c r="C245" s="15">
        <v>1</v>
      </c>
      <c r="D245" s="15">
        <v>1</v>
      </c>
      <c r="E245" s="14">
        <v>68.48</v>
      </c>
      <c r="F245" s="15" t="s">
        <v>18</v>
      </c>
      <c r="G245" s="15">
        <v>1</v>
      </c>
      <c r="H245" s="1" t="s">
        <v>16</v>
      </c>
      <c r="I245" s="1" t="s">
        <v>16</v>
      </c>
      <c r="J245" s="1" t="s">
        <v>16</v>
      </c>
      <c r="K245" s="1" t="s">
        <v>17</v>
      </c>
      <c r="L245" s="1" t="s">
        <v>17</v>
      </c>
      <c r="M245" s="1" t="s">
        <v>17</v>
      </c>
      <c r="N245" s="1" t="s">
        <v>16</v>
      </c>
    </row>
    <row r="246" spans="1:14" x14ac:dyDescent="0.25">
      <c r="A246" s="9">
        <v>44389</v>
      </c>
      <c r="B246" s="15" t="s">
        <v>15</v>
      </c>
      <c r="C246" s="15">
        <v>2</v>
      </c>
      <c r="D246" s="15">
        <v>1</v>
      </c>
      <c r="E246" s="14">
        <v>51.19</v>
      </c>
      <c r="F246" s="15" t="s">
        <v>19</v>
      </c>
      <c r="G246" s="15">
        <v>2</v>
      </c>
      <c r="H246" s="1" t="s">
        <v>16</v>
      </c>
      <c r="I246" s="1" t="s">
        <v>16</v>
      </c>
      <c r="J246" s="1" t="s">
        <v>16</v>
      </c>
      <c r="K246" s="1" t="s">
        <v>17</v>
      </c>
      <c r="L246" s="1" t="s">
        <v>17</v>
      </c>
      <c r="M246" s="1" t="s">
        <v>17</v>
      </c>
      <c r="N246" s="1" t="s">
        <v>16</v>
      </c>
    </row>
    <row r="247" spans="1:14" x14ac:dyDescent="0.25">
      <c r="A247" s="9">
        <v>44389</v>
      </c>
      <c r="B247" s="15" t="s">
        <v>15</v>
      </c>
      <c r="C247" s="15">
        <v>3</v>
      </c>
      <c r="D247" s="15">
        <v>1</v>
      </c>
      <c r="E247" s="14">
        <v>48.77</v>
      </c>
      <c r="F247" s="15" t="s">
        <v>18</v>
      </c>
      <c r="G247" s="15">
        <v>2</v>
      </c>
      <c r="H247" s="1" t="s">
        <v>16</v>
      </c>
      <c r="I247" s="1" t="s">
        <v>16</v>
      </c>
      <c r="J247" s="1" t="s">
        <v>16</v>
      </c>
      <c r="K247" s="1" t="s">
        <v>17</v>
      </c>
      <c r="L247" s="1" t="s">
        <v>17</v>
      </c>
      <c r="M247" s="1" t="s">
        <v>17</v>
      </c>
      <c r="N247" s="1" t="s">
        <v>16</v>
      </c>
    </row>
    <row r="248" spans="1:14" x14ac:dyDescent="0.25">
      <c r="A248" s="9">
        <v>44389</v>
      </c>
      <c r="B248" s="15" t="s">
        <v>15</v>
      </c>
      <c r="C248" s="15">
        <v>4</v>
      </c>
      <c r="D248" s="15">
        <v>1</v>
      </c>
      <c r="E248" s="14">
        <v>53.29</v>
      </c>
      <c r="F248" s="15" t="s">
        <v>18</v>
      </c>
      <c r="G248" s="15">
        <v>3</v>
      </c>
      <c r="H248" s="1" t="s">
        <v>16</v>
      </c>
      <c r="I248" s="1" t="s">
        <v>16</v>
      </c>
      <c r="J248" s="1" t="s">
        <v>16</v>
      </c>
      <c r="K248" s="1" t="s">
        <v>17</v>
      </c>
      <c r="L248" s="1" t="s">
        <v>17</v>
      </c>
      <c r="M248" s="1" t="s">
        <v>17</v>
      </c>
      <c r="N248" s="1" t="s">
        <v>16</v>
      </c>
    </row>
    <row r="249" spans="1:14" x14ac:dyDescent="0.25">
      <c r="A249" s="9">
        <v>44389</v>
      </c>
      <c r="B249" s="15" t="s">
        <v>15</v>
      </c>
      <c r="C249" s="15">
        <v>5</v>
      </c>
      <c r="D249" s="15">
        <v>1</v>
      </c>
      <c r="E249" s="14">
        <v>68.25</v>
      </c>
      <c r="F249" s="15" t="s">
        <v>18</v>
      </c>
      <c r="G249" s="15">
        <v>3</v>
      </c>
      <c r="H249" s="1" t="s">
        <v>16</v>
      </c>
      <c r="I249" s="1" t="s">
        <v>16</v>
      </c>
      <c r="J249" s="1" t="s">
        <v>16</v>
      </c>
      <c r="K249" s="1" t="s">
        <v>17</v>
      </c>
      <c r="L249" s="1" t="s">
        <v>17</v>
      </c>
      <c r="M249" s="1" t="s">
        <v>17</v>
      </c>
      <c r="N249" s="1" t="s">
        <v>16</v>
      </c>
    </row>
    <row r="250" spans="1:14" x14ac:dyDescent="0.25">
      <c r="A250" s="9">
        <v>44389</v>
      </c>
      <c r="B250" s="15" t="s">
        <v>15</v>
      </c>
      <c r="C250" s="15">
        <v>6</v>
      </c>
      <c r="D250" s="15">
        <v>2</v>
      </c>
      <c r="E250" s="14">
        <v>56.74</v>
      </c>
      <c r="F250" s="15" t="s">
        <v>19</v>
      </c>
      <c r="G250" s="15">
        <v>2</v>
      </c>
      <c r="H250" s="1" t="s">
        <v>16</v>
      </c>
      <c r="I250" s="1" t="s">
        <v>16</v>
      </c>
      <c r="J250" s="1" t="s">
        <v>16</v>
      </c>
      <c r="K250" s="1" t="s">
        <v>17</v>
      </c>
      <c r="L250" s="1" t="s">
        <v>17</v>
      </c>
      <c r="M250" s="1" t="s">
        <v>17</v>
      </c>
      <c r="N250" s="1" t="s">
        <v>16</v>
      </c>
    </row>
    <row r="251" spans="1:14" x14ac:dyDescent="0.25">
      <c r="A251" s="9">
        <v>44389</v>
      </c>
      <c r="B251" s="15" t="s">
        <v>15</v>
      </c>
      <c r="C251" s="15">
        <v>7</v>
      </c>
      <c r="D251" s="15">
        <v>2</v>
      </c>
      <c r="E251" s="14">
        <v>55.36</v>
      </c>
      <c r="F251" s="15" t="s">
        <v>18</v>
      </c>
      <c r="G251" s="15">
        <v>2</v>
      </c>
      <c r="H251" s="1" t="s">
        <v>16</v>
      </c>
      <c r="I251" s="1" t="s">
        <v>16</v>
      </c>
      <c r="J251" s="1" t="s">
        <v>16</v>
      </c>
      <c r="K251" s="1" t="s">
        <v>17</v>
      </c>
      <c r="L251" s="1" t="s">
        <v>17</v>
      </c>
      <c r="M251" s="1" t="s">
        <v>17</v>
      </c>
      <c r="N251" s="1" t="s">
        <v>16</v>
      </c>
    </row>
    <row r="252" spans="1:14" x14ac:dyDescent="0.25">
      <c r="A252" s="9">
        <v>44389</v>
      </c>
      <c r="B252" s="15" t="s">
        <v>15</v>
      </c>
      <c r="C252" s="15">
        <v>8</v>
      </c>
      <c r="D252" s="15">
        <v>2</v>
      </c>
      <c r="E252" s="14">
        <v>51.38</v>
      </c>
      <c r="F252" s="15" t="s">
        <v>18</v>
      </c>
      <c r="G252" s="15">
        <v>2</v>
      </c>
      <c r="H252" s="1" t="s">
        <v>16</v>
      </c>
      <c r="I252" s="1" t="s">
        <v>16</v>
      </c>
      <c r="J252" s="1" t="s">
        <v>16</v>
      </c>
      <c r="K252" s="1" t="s">
        <v>17</v>
      </c>
      <c r="L252" s="1" t="s">
        <v>17</v>
      </c>
      <c r="M252" s="1" t="s">
        <v>17</v>
      </c>
      <c r="N252" s="1" t="s">
        <v>16</v>
      </c>
    </row>
    <row r="253" spans="1:14" x14ac:dyDescent="0.25">
      <c r="A253" s="9">
        <v>44389</v>
      </c>
      <c r="B253" s="15" t="s">
        <v>15</v>
      </c>
      <c r="C253" s="15">
        <v>9</v>
      </c>
      <c r="D253" s="15">
        <v>2</v>
      </c>
      <c r="E253" s="14">
        <v>50.4</v>
      </c>
      <c r="F253" s="15" t="s">
        <v>18</v>
      </c>
      <c r="G253" s="15">
        <v>2</v>
      </c>
      <c r="H253" s="1" t="s">
        <v>16</v>
      </c>
      <c r="I253" s="1" t="s">
        <v>16</v>
      </c>
      <c r="J253" s="1" t="s">
        <v>16</v>
      </c>
      <c r="K253" s="1" t="s">
        <v>17</v>
      </c>
      <c r="L253" s="1" t="s">
        <v>17</v>
      </c>
      <c r="M253" s="1" t="s">
        <v>17</v>
      </c>
      <c r="N253" s="1" t="s">
        <v>16</v>
      </c>
    </row>
    <row r="254" spans="1:14" x14ac:dyDescent="0.25">
      <c r="A254" s="9">
        <v>44389</v>
      </c>
      <c r="B254" s="15" t="s">
        <v>15</v>
      </c>
      <c r="C254" s="15">
        <v>10</v>
      </c>
      <c r="D254" s="15">
        <v>2</v>
      </c>
      <c r="E254" s="14">
        <v>80.83</v>
      </c>
      <c r="F254" s="15" t="s">
        <v>18</v>
      </c>
      <c r="G254" s="15">
        <v>2</v>
      </c>
      <c r="H254" s="1" t="s">
        <v>16</v>
      </c>
      <c r="I254" s="1" t="s">
        <v>16</v>
      </c>
      <c r="J254" s="1" t="s">
        <v>16</v>
      </c>
      <c r="K254" s="1" t="s">
        <v>17</v>
      </c>
      <c r="L254" s="1" t="s">
        <v>17</v>
      </c>
      <c r="M254" s="1" t="s">
        <v>17</v>
      </c>
      <c r="N254" s="1" t="s">
        <v>16</v>
      </c>
    </row>
    <row r="255" spans="1:14" x14ac:dyDescent="0.25">
      <c r="A255" s="9">
        <v>44389</v>
      </c>
      <c r="B255" s="15" t="s">
        <v>15</v>
      </c>
      <c r="C255" s="15">
        <v>11</v>
      </c>
      <c r="D255" s="15">
        <v>3</v>
      </c>
      <c r="E255" s="14">
        <v>49.84</v>
      </c>
      <c r="F255" s="15" t="s">
        <v>19</v>
      </c>
      <c r="G255" s="15">
        <v>2</v>
      </c>
      <c r="H255" s="1" t="s">
        <v>16</v>
      </c>
      <c r="I255" s="1" t="s">
        <v>16</v>
      </c>
      <c r="J255" s="1" t="s">
        <v>16</v>
      </c>
      <c r="K255" s="1" t="s">
        <v>17</v>
      </c>
      <c r="L255" s="1" t="s">
        <v>17</v>
      </c>
      <c r="M255" s="1" t="s">
        <v>17</v>
      </c>
      <c r="N255" s="1" t="s">
        <v>16</v>
      </c>
    </row>
    <row r="256" spans="1:14" x14ac:dyDescent="0.25">
      <c r="A256" s="9">
        <v>44389</v>
      </c>
      <c r="B256" s="15" t="s">
        <v>15</v>
      </c>
      <c r="C256" s="15">
        <v>12</v>
      </c>
      <c r="D256" s="15">
        <v>3</v>
      </c>
      <c r="E256" s="14">
        <v>52.02</v>
      </c>
      <c r="F256" s="15" t="s">
        <v>19</v>
      </c>
      <c r="G256" s="15">
        <v>2</v>
      </c>
      <c r="H256" s="1" t="s">
        <v>16</v>
      </c>
      <c r="I256" s="1" t="s">
        <v>16</v>
      </c>
      <c r="J256" s="1" t="s">
        <v>16</v>
      </c>
      <c r="K256" s="1" t="s">
        <v>17</v>
      </c>
      <c r="L256" s="1" t="s">
        <v>17</v>
      </c>
      <c r="M256" s="1" t="s">
        <v>17</v>
      </c>
      <c r="N256" s="1" t="s">
        <v>16</v>
      </c>
    </row>
    <row r="257" spans="1:14" x14ac:dyDescent="0.25">
      <c r="A257" s="9">
        <v>44389</v>
      </c>
      <c r="B257" s="15" t="s">
        <v>15</v>
      </c>
      <c r="C257" s="15">
        <v>13</v>
      </c>
      <c r="D257" s="15">
        <v>3</v>
      </c>
      <c r="E257" s="14">
        <v>57.85</v>
      </c>
      <c r="F257" s="15" t="s">
        <v>18</v>
      </c>
      <c r="G257" s="15">
        <v>2</v>
      </c>
      <c r="H257" s="1" t="s">
        <v>16</v>
      </c>
      <c r="I257" s="1" t="s">
        <v>16</v>
      </c>
      <c r="J257" s="1" t="s">
        <v>16</v>
      </c>
      <c r="K257" s="1" t="s">
        <v>17</v>
      </c>
      <c r="L257" s="1" t="s">
        <v>17</v>
      </c>
      <c r="M257" s="1" t="s">
        <v>17</v>
      </c>
      <c r="N257" s="1" t="s">
        <v>16</v>
      </c>
    </row>
    <row r="258" spans="1:14" x14ac:dyDescent="0.25">
      <c r="A258" s="9">
        <v>44389</v>
      </c>
      <c r="B258" s="15" t="s">
        <v>15</v>
      </c>
      <c r="C258" s="15">
        <v>14</v>
      </c>
      <c r="D258" s="15">
        <v>3</v>
      </c>
      <c r="E258" s="14">
        <v>47.04</v>
      </c>
      <c r="F258" s="15" t="s">
        <v>16</v>
      </c>
      <c r="G258" s="15">
        <v>4</v>
      </c>
      <c r="H258" s="1" t="s">
        <v>16</v>
      </c>
      <c r="I258" s="1" t="s">
        <v>16</v>
      </c>
      <c r="J258" s="1" t="s">
        <v>16</v>
      </c>
      <c r="K258" s="1" t="s">
        <v>17</v>
      </c>
      <c r="L258" s="1" t="s">
        <v>17</v>
      </c>
      <c r="M258" s="1" t="s">
        <v>17</v>
      </c>
      <c r="N258" s="1" t="s">
        <v>16</v>
      </c>
    </row>
    <row r="259" spans="1:14" x14ac:dyDescent="0.25">
      <c r="A259" s="9">
        <v>44389</v>
      </c>
      <c r="B259" s="15" t="s">
        <v>15</v>
      </c>
      <c r="C259" s="15">
        <v>15</v>
      </c>
      <c r="D259" s="15">
        <v>3</v>
      </c>
      <c r="E259" s="14">
        <v>63.35</v>
      </c>
      <c r="F259" s="15" t="s">
        <v>18</v>
      </c>
      <c r="G259" s="15">
        <v>2</v>
      </c>
      <c r="H259" s="1" t="s">
        <v>16</v>
      </c>
      <c r="I259" s="1" t="s">
        <v>16</v>
      </c>
      <c r="J259" s="1" t="s">
        <v>16</v>
      </c>
      <c r="K259" s="1" t="s">
        <v>17</v>
      </c>
      <c r="L259" s="1" t="s">
        <v>17</v>
      </c>
      <c r="M259" s="1" t="s">
        <v>17</v>
      </c>
      <c r="N259" s="1" t="s">
        <v>16</v>
      </c>
    </row>
    <row r="260" spans="1:14" x14ac:dyDescent="0.25">
      <c r="A260" s="9">
        <v>44411</v>
      </c>
      <c r="B260" s="1" t="s">
        <v>15</v>
      </c>
      <c r="C260" s="1">
        <v>1</v>
      </c>
      <c r="D260" s="1">
        <v>1</v>
      </c>
      <c r="E260" s="14">
        <v>51.16</v>
      </c>
      <c r="F260" s="1" t="s">
        <v>18</v>
      </c>
      <c r="G260" s="1">
        <v>2</v>
      </c>
      <c r="H260" s="1" t="s">
        <v>16</v>
      </c>
      <c r="I260" s="1" t="s">
        <v>16</v>
      </c>
      <c r="J260" s="1" t="s">
        <v>16</v>
      </c>
      <c r="K260" s="1" t="s">
        <v>17</v>
      </c>
      <c r="L260" s="1" t="s">
        <v>17</v>
      </c>
      <c r="M260" s="1" t="s">
        <v>17</v>
      </c>
      <c r="N260" s="1" t="s">
        <v>16</v>
      </c>
    </row>
    <row r="261" spans="1:14" x14ac:dyDescent="0.25">
      <c r="A261" s="9">
        <v>44411</v>
      </c>
      <c r="B261" s="1" t="s">
        <v>15</v>
      </c>
      <c r="C261" s="1">
        <v>2</v>
      </c>
      <c r="D261" s="1">
        <v>1</v>
      </c>
      <c r="E261" s="14">
        <v>57.73</v>
      </c>
      <c r="F261" s="1" t="s">
        <v>18</v>
      </c>
      <c r="G261" s="1">
        <v>2</v>
      </c>
      <c r="H261" s="1" t="s">
        <v>16</v>
      </c>
      <c r="I261" s="1" t="s">
        <v>16</v>
      </c>
      <c r="J261" s="1" t="s">
        <v>16</v>
      </c>
      <c r="K261" s="1" t="s">
        <v>17</v>
      </c>
      <c r="L261" s="1" t="s">
        <v>17</v>
      </c>
      <c r="M261" s="1" t="s">
        <v>17</v>
      </c>
      <c r="N261" s="1" t="s">
        <v>16</v>
      </c>
    </row>
    <row r="262" spans="1:14" x14ac:dyDescent="0.25">
      <c r="A262" s="9">
        <v>44411</v>
      </c>
      <c r="B262" s="1" t="s">
        <v>15</v>
      </c>
      <c r="C262" s="1">
        <v>3</v>
      </c>
      <c r="D262" s="1">
        <v>1</v>
      </c>
      <c r="E262" s="14">
        <v>53.75</v>
      </c>
      <c r="F262" s="1" t="s">
        <v>18</v>
      </c>
      <c r="G262" s="1">
        <v>2</v>
      </c>
      <c r="H262" s="1" t="s">
        <v>16</v>
      </c>
      <c r="I262" s="1" t="s">
        <v>16</v>
      </c>
      <c r="J262" s="1" t="s">
        <v>16</v>
      </c>
      <c r="K262" s="1" t="s">
        <v>17</v>
      </c>
      <c r="L262" s="1" t="s">
        <v>17</v>
      </c>
      <c r="M262" s="1" t="s">
        <v>17</v>
      </c>
      <c r="N262" s="1" t="s">
        <v>16</v>
      </c>
    </row>
    <row r="263" spans="1:14" x14ac:dyDescent="0.25">
      <c r="A263" s="9">
        <v>44411</v>
      </c>
      <c r="B263" s="1" t="s">
        <v>15</v>
      </c>
      <c r="C263" s="1">
        <v>4</v>
      </c>
      <c r="D263" s="1">
        <v>1</v>
      </c>
      <c r="E263" s="14">
        <v>59.54</v>
      </c>
      <c r="F263" s="1" t="s">
        <v>19</v>
      </c>
      <c r="G263" s="1">
        <v>2</v>
      </c>
      <c r="H263" s="1" t="s">
        <v>16</v>
      </c>
      <c r="I263" s="1" t="s">
        <v>16</v>
      </c>
      <c r="J263" s="1" t="s">
        <v>16</v>
      </c>
      <c r="K263" s="1" t="s">
        <v>17</v>
      </c>
      <c r="L263" s="1" t="s">
        <v>17</v>
      </c>
      <c r="M263" s="1" t="s">
        <v>17</v>
      </c>
      <c r="N263" s="1" t="s">
        <v>16</v>
      </c>
    </row>
    <row r="264" spans="1:14" x14ac:dyDescent="0.25">
      <c r="A264" s="9">
        <v>44411</v>
      </c>
      <c r="B264" s="1" t="s">
        <v>15</v>
      </c>
      <c r="C264" s="1">
        <v>5</v>
      </c>
      <c r="D264" s="1">
        <v>1</v>
      </c>
      <c r="E264" s="14">
        <v>69.150000000000006</v>
      </c>
      <c r="F264" s="1" t="s">
        <v>16</v>
      </c>
      <c r="G264" s="1">
        <v>4</v>
      </c>
      <c r="H264" s="1" t="s">
        <v>16</v>
      </c>
      <c r="I264" s="1" t="s">
        <v>16</v>
      </c>
      <c r="J264" s="1" t="s">
        <v>16</v>
      </c>
      <c r="K264" s="1" t="s">
        <v>17</v>
      </c>
      <c r="L264" s="1" t="s">
        <v>17</v>
      </c>
      <c r="M264" s="1" t="s">
        <v>17</v>
      </c>
      <c r="N264" s="1" t="s">
        <v>16</v>
      </c>
    </row>
    <row r="265" spans="1:14" x14ac:dyDescent="0.25">
      <c r="A265" s="9">
        <v>44411</v>
      </c>
      <c r="B265" s="1" t="s">
        <v>15</v>
      </c>
      <c r="C265" s="1">
        <v>6</v>
      </c>
      <c r="D265" s="1">
        <v>2</v>
      </c>
      <c r="E265" s="14">
        <v>64.42</v>
      </c>
      <c r="F265" s="1" t="s">
        <v>18</v>
      </c>
      <c r="G265" s="1">
        <v>2</v>
      </c>
      <c r="H265" s="1" t="s">
        <v>16</v>
      </c>
      <c r="I265" s="1" t="s">
        <v>16</v>
      </c>
      <c r="J265" s="1" t="s">
        <v>16</v>
      </c>
      <c r="K265" s="1" t="s">
        <v>17</v>
      </c>
      <c r="L265" s="1" t="s">
        <v>17</v>
      </c>
      <c r="M265" s="1" t="s">
        <v>17</v>
      </c>
      <c r="N265" s="1" t="s">
        <v>16</v>
      </c>
    </row>
    <row r="266" spans="1:14" x14ac:dyDescent="0.25">
      <c r="A266" s="9">
        <v>44411</v>
      </c>
      <c r="B266" s="1" t="s">
        <v>15</v>
      </c>
      <c r="C266" s="1">
        <v>7</v>
      </c>
      <c r="D266" s="1">
        <v>2</v>
      </c>
      <c r="E266" s="14">
        <v>52.01</v>
      </c>
      <c r="F266" s="1" t="s">
        <v>18</v>
      </c>
      <c r="G266" s="1">
        <v>2</v>
      </c>
      <c r="H266" s="1" t="s">
        <v>16</v>
      </c>
      <c r="I266" s="1" t="s">
        <v>16</v>
      </c>
      <c r="J266" s="1" t="s">
        <v>16</v>
      </c>
      <c r="K266" s="1" t="s">
        <v>17</v>
      </c>
      <c r="L266" s="1" t="s">
        <v>17</v>
      </c>
      <c r="M266" s="1" t="s">
        <v>17</v>
      </c>
      <c r="N266" s="1" t="s">
        <v>16</v>
      </c>
    </row>
    <row r="267" spans="1:14" x14ac:dyDescent="0.25">
      <c r="A267" s="9">
        <v>44411</v>
      </c>
      <c r="B267" s="1" t="s">
        <v>15</v>
      </c>
      <c r="C267" s="1">
        <v>8</v>
      </c>
      <c r="D267" s="1">
        <v>2</v>
      </c>
      <c r="E267" s="14">
        <v>58.82</v>
      </c>
      <c r="F267" s="1" t="s">
        <v>18</v>
      </c>
      <c r="G267" s="1">
        <v>2</v>
      </c>
      <c r="H267" s="1" t="s">
        <v>16</v>
      </c>
      <c r="I267" s="1" t="s">
        <v>16</v>
      </c>
      <c r="J267" s="1" t="s">
        <v>16</v>
      </c>
      <c r="K267" s="1" t="s">
        <v>17</v>
      </c>
      <c r="L267" s="1" t="s">
        <v>17</v>
      </c>
      <c r="M267" s="1" t="s">
        <v>17</v>
      </c>
      <c r="N267" s="1" t="s">
        <v>16</v>
      </c>
    </row>
    <row r="268" spans="1:14" x14ac:dyDescent="0.25">
      <c r="A268" s="9">
        <v>44411</v>
      </c>
      <c r="B268" s="1" t="s">
        <v>15</v>
      </c>
      <c r="C268" s="1">
        <v>9</v>
      </c>
      <c r="D268" s="1">
        <v>2</v>
      </c>
      <c r="E268" s="14">
        <v>72.31</v>
      </c>
      <c r="F268" s="1" t="s">
        <v>18</v>
      </c>
      <c r="G268" s="1">
        <v>2</v>
      </c>
      <c r="H268" s="1" t="s">
        <v>16</v>
      </c>
      <c r="I268" s="1" t="s">
        <v>16</v>
      </c>
      <c r="J268" s="1" t="s">
        <v>16</v>
      </c>
      <c r="K268" s="1" t="s">
        <v>17</v>
      </c>
      <c r="L268" s="1" t="s">
        <v>17</v>
      </c>
      <c r="M268" s="1" t="s">
        <v>17</v>
      </c>
      <c r="N268" s="1" t="s">
        <v>16</v>
      </c>
    </row>
    <row r="269" spans="1:14" x14ac:dyDescent="0.25">
      <c r="A269" s="9">
        <v>44411</v>
      </c>
      <c r="B269" s="1" t="s">
        <v>15</v>
      </c>
      <c r="C269" s="1">
        <v>10</v>
      </c>
      <c r="D269" s="1">
        <v>2</v>
      </c>
      <c r="E269" s="14">
        <v>57.35</v>
      </c>
      <c r="F269" s="1" t="s">
        <v>18</v>
      </c>
      <c r="G269" s="1">
        <v>2</v>
      </c>
      <c r="H269" s="1" t="s">
        <v>16</v>
      </c>
      <c r="I269" s="1" t="s">
        <v>16</v>
      </c>
      <c r="J269" s="1" t="s">
        <v>16</v>
      </c>
      <c r="K269" s="1" t="s">
        <v>17</v>
      </c>
      <c r="L269" s="1" t="s">
        <v>17</v>
      </c>
      <c r="M269" s="1" t="s">
        <v>17</v>
      </c>
      <c r="N269" s="1" t="s">
        <v>16</v>
      </c>
    </row>
    <row r="270" spans="1:14" x14ac:dyDescent="0.25">
      <c r="A270" s="9">
        <v>44411</v>
      </c>
      <c r="B270" s="1" t="s">
        <v>15</v>
      </c>
      <c r="C270" s="1">
        <v>11</v>
      </c>
      <c r="D270" s="1">
        <v>3</v>
      </c>
      <c r="E270" s="14">
        <v>60.7</v>
      </c>
      <c r="F270" s="1" t="s">
        <v>18</v>
      </c>
      <c r="G270" s="1">
        <v>2</v>
      </c>
      <c r="H270" s="1" t="s">
        <v>16</v>
      </c>
      <c r="I270" s="1" t="s">
        <v>16</v>
      </c>
      <c r="J270" s="1" t="s">
        <v>16</v>
      </c>
      <c r="K270" s="1" t="s">
        <v>17</v>
      </c>
      <c r="L270" s="1" t="s">
        <v>17</v>
      </c>
      <c r="M270" s="1" t="s">
        <v>17</v>
      </c>
      <c r="N270" s="1" t="s">
        <v>16</v>
      </c>
    </row>
    <row r="271" spans="1:14" x14ac:dyDescent="0.25">
      <c r="A271" s="9">
        <v>44411</v>
      </c>
      <c r="B271" s="1" t="s">
        <v>15</v>
      </c>
      <c r="C271" s="1">
        <v>12</v>
      </c>
      <c r="D271" s="1">
        <v>3</v>
      </c>
      <c r="E271" s="14">
        <v>54.48</v>
      </c>
      <c r="F271" s="1" t="s">
        <v>18</v>
      </c>
      <c r="G271" s="1">
        <v>2</v>
      </c>
      <c r="H271" s="1" t="s">
        <v>16</v>
      </c>
      <c r="I271" s="1" t="s">
        <v>16</v>
      </c>
      <c r="J271" s="1" t="s">
        <v>16</v>
      </c>
      <c r="K271" s="1" t="s">
        <v>17</v>
      </c>
      <c r="L271" s="1" t="s">
        <v>17</v>
      </c>
      <c r="M271" s="1" t="s">
        <v>17</v>
      </c>
      <c r="N271" s="1" t="s">
        <v>16</v>
      </c>
    </row>
    <row r="272" spans="1:14" x14ac:dyDescent="0.25">
      <c r="A272" s="9">
        <v>44411</v>
      </c>
      <c r="B272" s="1" t="s">
        <v>15</v>
      </c>
      <c r="C272" s="1">
        <v>13</v>
      </c>
      <c r="D272" s="1">
        <v>3</v>
      </c>
      <c r="E272" s="14">
        <v>53.16</v>
      </c>
      <c r="F272" s="1" t="s">
        <v>18</v>
      </c>
      <c r="G272" s="1">
        <v>2</v>
      </c>
      <c r="H272" s="1" t="s">
        <v>16</v>
      </c>
      <c r="I272" s="1" t="s">
        <v>16</v>
      </c>
      <c r="J272" s="1" t="s">
        <v>16</v>
      </c>
      <c r="K272" s="1" t="s">
        <v>17</v>
      </c>
      <c r="L272" s="1" t="s">
        <v>17</v>
      </c>
      <c r="M272" s="1" t="s">
        <v>17</v>
      </c>
      <c r="N272" s="1" t="s">
        <v>16</v>
      </c>
    </row>
    <row r="273" spans="1:14" x14ac:dyDescent="0.25">
      <c r="A273" s="9">
        <v>44411</v>
      </c>
      <c r="B273" s="1" t="s">
        <v>15</v>
      </c>
      <c r="C273" s="1">
        <v>14</v>
      </c>
      <c r="D273" s="1">
        <v>3</v>
      </c>
      <c r="E273" s="14">
        <v>53.85</v>
      </c>
      <c r="F273" s="1" t="s">
        <v>18</v>
      </c>
      <c r="G273" s="1">
        <v>2</v>
      </c>
      <c r="H273" s="1" t="s">
        <v>16</v>
      </c>
      <c r="I273" s="1" t="s">
        <v>16</v>
      </c>
      <c r="J273" s="1" t="s">
        <v>16</v>
      </c>
      <c r="K273" s="1" t="s">
        <v>17</v>
      </c>
      <c r="L273" s="1" t="s">
        <v>17</v>
      </c>
      <c r="M273" s="1" t="s">
        <v>17</v>
      </c>
      <c r="N273" s="1" t="s">
        <v>16</v>
      </c>
    </row>
    <row r="274" spans="1:14" x14ac:dyDescent="0.25">
      <c r="A274" s="9">
        <v>44411</v>
      </c>
      <c r="B274" s="1" t="s">
        <v>15</v>
      </c>
      <c r="C274" s="1">
        <v>15</v>
      </c>
      <c r="D274" s="1">
        <v>3</v>
      </c>
      <c r="E274" s="14">
        <v>52.8</v>
      </c>
      <c r="F274" s="1" t="s">
        <v>18</v>
      </c>
      <c r="G274" s="1">
        <v>2</v>
      </c>
      <c r="H274" s="1" t="s">
        <v>16</v>
      </c>
      <c r="I274" s="1" t="s">
        <v>16</v>
      </c>
      <c r="J274" s="1" t="s">
        <v>16</v>
      </c>
      <c r="K274" s="1" t="s">
        <v>17</v>
      </c>
      <c r="L274" s="1" t="s">
        <v>17</v>
      </c>
      <c r="M274" s="1" t="s">
        <v>17</v>
      </c>
      <c r="N274" s="1" t="s">
        <v>16</v>
      </c>
    </row>
    <row r="275" spans="1:14" x14ac:dyDescent="0.25">
      <c r="A275" s="9">
        <v>44448</v>
      </c>
      <c r="B275" s="1" t="s">
        <v>15</v>
      </c>
      <c r="C275" s="1">
        <v>1</v>
      </c>
      <c r="D275" s="1">
        <v>1</v>
      </c>
      <c r="E275" s="14">
        <v>53.5</v>
      </c>
      <c r="F275" s="1" t="s">
        <v>18</v>
      </c>
      <c r="G275" s="1">
        <v>2</v>
      </c>
      <c r="H275" s="1" t="s">
        <v>16</v>
      </c>
      <c r="I275" s="1" t="s">
        <v>16</v>
      </c>
      <c r="J275" s="1" t="s">
        <v>16</v>
      </c>
      <c r="K275" s="1" t="s">
        <v>17</v>
      </c>
      <c r="L275" s="1" t="s">
        <v>17</v>
      </c>
      <c r="M275" s="1" t="s">
        <v>17</v>
      </c>
      <c r="N275" s="1" t="s">
        <v>16</v>
      </c>
    </row>
    <row r="276" spans="1:14" x14ac:dyDescent="0.25">
      <c r="A276" s="9">
        <v>44448</v>
      </c>
      <c r="B276" s="1" t="s">
        <v>15</v>
      </c>
      <c r="C276" s="1">
        <v>2</v>
      </c>
      <c r="D276" s="1">
        <v>1</v>
      </c>
      <c r="E276" s="14">
        <v>40.69</v>
      </c>
      <c r="F276" s="1" t="s">
        <v>18</v>
      </c>
      <c r="G276" s="1">
        <v>2</v>
      </c>
      <c r="H276" s="1" t="s">
        <v>16</v>
      </c>
      <c r="I276" s="1" t="s">
        <v>16</v>
      </c>
      <c r="J276" s="1" t="s">
        <v>16</v>
      </c>
      <c r="K276" s="1" t="s">
        <v>17</v>
      </c>
      <c r="L276" s="1" t="s">
        <v>17</v>
      </c>
      <c r="M276" s="1" t="s">
        <v>17</v>
      </c>
      <c r="N276" s="1" t="s">
        <v>16</v>
      </c>
    </row>
    <row r="277" spans="1:14" x14ac:dyDescent="0.25">
      <c r="A277" s="9">
        <v>44448</v>
      </c>
      <c r="B277" s="1" t="s">
        <v>15</v>
      </c>
      <c r="C277" s="1">
        <v>3</v>
      </c>
      <c r="D277" s="1">
        <v>1</v>
      </c>
      <c r="E277" s="14">
        <v>41.06</v>
      </c>
      <c r="F277" s="1" t="s">
        <v>18</v>
      </c>
      <c r="G277" s="1">
        <v>2</v>
      </c>
      <c r="H277" s="1" t="s">
        <v>16</v>
      </c>
      <c r="I277" s="1" t="s">
        <v>16</v>
      </c>
      <c r="J277" s="1" t="s">
        <v>16</v>
      </c>
      <c r="K277" s="1" t="s">
        <v>17</v>
      </c>
      <c r="L277" s="1" t="s">
        <v>17</v>
      </c>
      <c r="M277" s="1" t="s">
        <v>17</v>
      </c>
      <c r="N277" s="1" t="s">
        <v>16</v>
      </c>
    </row>
    <row r="278" spans="1:14" x14ac:dyDescent="0.25">
      <c r="A278" s="9">
        <v>44448</v>
      </c>
      <c r="B278" s="1" t="s">
        <v>15</v>
      </c>
      <c r="C278" s="1">
        <v>4</v>
      </c>
      <c r="D278" s="1">
        <v>1</v>
      </c>
      <c r="E278" s="14">
        <v>43.81</v>
      </c>
      <c r="F278" s="1" t="s">
        <v>19</v>
      </c>
      <c r="G278" s="1">
        <v>2</v>
      </c>
      <c r="H278" s="1" t="s">
        <v>16</v>
      </c>
      <c r="I278" s="1" t="s">
        <v>16</v>
      </c>
      <c r="J278" s="1" t="s">
        <v>16</v>
      </c>
      <c r="K278" s="1" t="s">
        <v>17</v>
      </c>
      <c r="L278" s="1" t="s">
        <v>17</v>
      </c>
      <c r="M278" s="1" t="s">
        <v>17</v>
      </c>
      <c r="N278" s="1" t="s">
        <v>16</v>
      </c>
    </row>
    <row r="279" spans="1:14" x14ac:dyDescent="0.25">
      <c r="A279" s="9">
        <v>44448</v>
      </c>
      <c r="B279" s="1" t="s">
        <v>15</v>
      </c>
      <c r="C279" s="1">
        <v>5</v>
      </c>
      <c r="D279" s="1">
        <v>1</v>
      </c>
      <c r="E279" s="14">
        <v>46.91</v>
      </c>
      <c r="F279" s="1" t="s">
        <v>19</v>
      </c>
      <c r="G279" s="1">
        <v>2</v>
      </c>
      <c r="H279" s="1" t="s">
        <v>16</v>
      </c>
      <c r="I279" s="1" t="s">
        <v>16</v>
      </c>
      <c r="J279" s="1" t="s">
        <v>16</v>
      </c>
      <c r="K279" s="1" t="s">
        <v>17</v>
      </c>
      <c r="L279" s="1" t="s">
        <v>17</v>
      </c>
      <c r="M279" s="1" t="s">
        <v>17</v>
      </c>
      <c r="N279" s="1" t="s">
        <v>16</v>
      </c>
    </row>
    <row r="280" spans="1:14" x14ac:dyDescent="0.25">
      <c r="A280" s="9">
        <v>44448</v>
      </c>
      <c r="B280" s="1" t="s">
        <v>15</v>
      </c>
      <c r="C280" s="1">
        <v>6</v>
      </c>
      <c r="D280" s="1">
        <v>2</v>
      </c>
      <c r="E280" s="14">
        <v>57.02</v>
      </c>
      <c r="F280" s="1" t="s">
        <v>18</v>
      </c>
      <c r="G280" s="1">
        <v>2</v>
      </c>
      <c r="H280" s="1" t="s">
        <v>16</v>
      </c>
      <c r="I280" s="1" t="s">
        <v>16</v>
      </c>
      <c r="J280" s="1" t="s">
        <v>16</v>
      </c>
      <c r="K280" s="1" t="s">
        <v>17</v>
      </c>
      <c r="L280" s="1" t="s">
        <v>17</v>
      </c>
      <c r="M280" s="1" t="s">
        <v>17</v>
      </c>
      <c r="N280" s="1" t="s">
        <v>16</v>
      </c>
    </row>
    <row r="281" spans="1:14" x14ac:dyDescent="0.25">
      <c r="A281" s="9">
        <v>44448</v>
      </c>
      <c r="B281" s="1" t="s">
        <v>15</v>
      </c>
      <c r="C281" s="1">
        <v>7</v>
      </c>
      <c r="D281" s="1">
        <v>2</v>
      </c>
      <c r="E281" s="14">
        <v>66</v>
      </c>
      <c r="F281" s="1" t="s">
        <v>18</v>
      </c>
      <c r="G281" s="1">
        <v>2</v>
      </c>
      <c r="H281" s="1" t="s">
        <v>16</v>
      </c>
      <c r="I281" s="1" t="s">
        <v>16</v>
      </c>
      <c r="J281" s="1" t="s">
        <v>16</v>
      </c>
      <c r="K281" s="1" t="s">
        <v>17</v>
      </c>
      <c r="L281" s="1" t="s">
        <v>17</v>
      </c>
      <c r="M281" s="1" t="s">
        <v>17</v>
      </c>
      <c r="N281" s="1" t="s">
        <v>16</v>
      </c>
    </row>
    <row r="282" spans="1:14" x14ac:dyDescent="0.25">
      <c r="A282" s="9">
        <v>44448</v>
      </c>
      <c r="B282" s="1" t="s">
        <v>15</v>
      </c>
      <c r="C282" s="1">
        <v>8</v>
      </c>
      <c r="D282" s="1">
        <v>2</v>
      </c>
      <c r="E282" s="14">
        <v>59.48</v>
      </c>
      <c r="F282" s="1" t="s">
        <v>18</v>
      </c>
      <c r="G282" s="1">
        <v>2</v>
      </c>
      <c r="H282" s="1" t="s">
        <v>16</v>
      </c>
      <c r="I282" s="1" t="s">
        <v>16</v>
      </c>
      <c r="J282" s="1" t="s">
        <v>16</v>
      </c>
      <c r="K282" s="1" t="s">
        <v>17</v>
      </c>
      <c r="L282" s="1" t="s">
        <v>17</v>
      </c>
      <c r="M282" s="1" t="s">
        <v>17</v>
      </c>
      <c r="N282" s="1" t="s">
        <v>16</v>
      </c>
    </row>
    <row r="283" spans="1:14" x14ac:dyDescent="0.25">
      <c r="A283" s="9">
        <v>44448</v>
      </c>
      <c r="B283" s="1" t="s">
        <v>15</v>
      </c>
      <c r="C283" s="1">
        <v>9</v>
      </c>
      <c r="D283" s="1">
        <v>2</v>
      </c>
      <c r="E283" s="14">
        <v>45.45</v>
      </c>
      <c r="F283" s="1" t="s">
        <v>19</v>
      </c>
      <c r="G283" s="1">
        <v>2</v>
      </c>
      <c r="H283" s="1" t="s">
        <v>16</v>
      </c>
      <c r="I283" s="1" t="s">
        <v>16</v>
      </c>
      <c r="J283" s="1" t="s">
        <v>16</v>
      </c>
      <c r="K283" s="1" t="s">
        <v>17</v>
      </c>
      <c r="L283" s="1" t="s">
        <v>17</v>
      </c>
      <c r="M283" s="1" t="s">
        <v>17</v>
      </c>
      <c r="N283" s="1" t="s">
        <v>16</v>
      </c>
    </row>
    <row r="284" spans="1:14" x14ac:dyDescent="0.25">
      <c r="A284" s="9">
        <v>44448</v>
      </c>
      <c r="B284" s="1" t="s">
        <v>15</v>
      </c>
      <c r="C284" s="1">
        <v>10</v>
      </c>
      <c r="D284" s="1">
        <v>2</v>
      </c>
      <c r="E284" s="14">
        <v>52.41</v>
      </c>
      <c r="F284" s="1" t="s">
        <v>18</v>
      </c>
      <c r="G284" s="1">
        <v>2</v>
      </c>
      <c r="H284" s="1" t="s">
        <v>16</v>
      </c>
      <c r="I284" s="1" t="s">
        <v>16</v>
      </c>
      <c r="J284" s="1" t="s">
        <v>16</v>
      </c>
      <c r="K284" s="1" t="s">
        <v>17</v>
      </c>
      <c r="L284" s="1" t="s">
        <v>17</v>
      </c>
      <c r="M284" s="1" t="s">
        <v>17</v>
      </c>
      <c r="N284" s="1" t="s">
        <v>16</v>
      </c>
    </row>
    <row r="285" spans="1:14" x14ac:dyDescent="0.25">
      <c r="A285" s="9">
        <v>44448</v>
      </c>
      <c r="B285" s="1" t="s">
        <v>15</v>
      </c>
      <c r="C285" s="1">
        <v>11</v>
      </c>
      <c r="D285" s="1">
        <v>3</v>
      </c>
      <c r="E285" s="14">
        <v>52.39</v>
      </c>
      <c r="F285" s="1" t="s">
        <v>18</v>
      </c>
      <c r="G285" s="1">
        <v>2</v>
      </c>
      <c r="H285" s="1" t="s">
        <v>16</v>
      </c>
      <c r="I285" s="1" t="s">
        <v>16</v>
      </c>
      <c r="J285" s="1" t="s">
        <v>16</v>
      </c>
      <c r="K285" s="1" t="s">
        <v>17</v>
      </c>
      <c r="L285" s="1" t="s">
        <v>17</v>
      </c>
      <c r="M285" s="1" t="s">
        <v>17</v>
      </c>
      <c r="N285" s="1" t="s">
        <v>16</v>
      </c>
    </row>
    <row r="286" spans="1:14" x14ac:dyDescent="0.25">
      <c r="A286" s="9">
        <v>44448</v>
      </c>
      <c r="B286" s="1" t="s">
        <v>15</v>
      </c>
      <c r="C286" s="1">
        <v>12</v>
      </c>
      <c r="D286" s="1">
        <v>3</v>
      </c>
      <c r="E286" s="14">
        <v>71.099999999999994</v>
      </c>
      <c r="F286" s="1" t="s">
        <v>18</v>
      </c>
      <c r="G286" s="1">
        <v>2</v>
      </c>
      <c r="H286" s="1" t="s">
        <v>16</v>
      </c>
      <c r="I286" s="1" t="s">
        <v>16</v>
      </c>
      <c r="J286" s="1" t="s">
        <v>16</v>
      </c>
      <c r="K286" s="1" t="s">
        <v>17</v>
      </c>
      <c r="L286" s="1" t="s">
        <v>17</v>
      </c>
      <c r="M286" s="1" t="s">
        <v>17</v>
      </c>
      <c r="N286" s="1" t="s">
        <v>16</v>
      </c>
    </row>
    <row r="287" spans="1:14" x14ac:dyDescent="0.25">
      <c r="A287" s="9">
        <v>44448</v>
      </c>
      <c r="B287" s="1" t="s">
        <v>15</v>
      </c>
      <c r="C287" s="1">
        <v>13</v>
      </c>
      <c r="D287" s="1">
        <v>3</v>
      </c>
      <c r="E287" s="14">
        <v>49.36</v>
      </c>
      <c r="F287" s="1" t="s">
        <v>18</v>
      </c>
      <c r="G287" s="1">
        <v>2</v>
      </c>
      <c r="H287" s="1" t="s">
        <v>16</v>
      </c>
      <c r="I287" s="1" t="s">
        <v>16</v>
      </c>
      <c r="J287" s="1" t="s">
        <v>16</v>
      </c>
      <c r="K287" s="1" t="s">
        <v>17</v>
      </c>
      <c r="L287" s="1" t="s">
        <v>17</v>
      </c>
      <c r="M287" s="1" t="s">
        <v>17</v>
      </c>
      <c r="N287" s="1" t="s">
        <v>16</v>
      </c>
    </row>
    <row r="288" spans="1:14" x14ac:dyDescent="0.25">
      <c r="A288" s="9">
        <v>44448</v>
      </c>
      <c r="B288" s="1" t="s">
        <v>15</v>
      </c>
      <c r="C288" s="1">
        <v>14</v>
      </c>
      <c r="D288" s="1">
        <v>3</v>
      </c>
      <c r="E288" s="14">
        <v>51.18</v>
      </c>
      <c r="F288" s="1" t="s">
        <v>18</v>
      </c>
      <c r="G288" s="1">
        <v>2</v>
      </c>
      <c r="H288" s="1" t="s">
        <v>16</v>
      </c>
      <c r="I288" s="1" t="s">
        <v>16</v>
      </c>
      <c r="J288" s="1" t="s">
        <v>16</v>
      </c>
      <c r="K288" s="1" t="s">
        <v>17</v>
      </c>
      <c r="L288" s="1" t="s">
        <v>17</v>
      </c>
      <c r="M288" s="1" t="s">
        <v>17</v>
      </c>
      <c r="N288" s="1" t="s">
        <v>16</v>
      </c>
    </row>
    <row r="289" spans="1:14" x14ac:dyDescent="0.25">
      <c r="A289" s="9">
        <v>44448</v>
      </c>
      <c r="B289" s="1" t="s">
        <v>15</v>
      </c>
      <c r="C289" s="1">
        <v>15</v>
      </c>
      <c r="D289" s="1">
        <v>3</v>
      </c>
      <c r="E289" s="14">
        <v>67.7</v>
      </c>
      <c r="F289" s="1" t="s">
        <v>18</v>
      </c>
      <c r="G289" s="1">
        <v>2</v>
      </c>
      <c r="H289" s="1" t="s">
        <v>16</v>
      </c>
      <c r="I289" s="1" t="s">
        <v>16</v>
      </c>
      <c r="J289" s="1" t="s">
        <v>16</v>
      </c>
      <c r="K289" s="1" t="s">
        <v>17</v>
      </c>
      <c r="L289" s="1" t="s">
        <v>17</v>
      </c>
      <c r="M289" s="1" t="s">
        <v>17</v>
      </c>
      <c r="N289" s="1" t="s">
        <v>16</v>
      </c>
    </row>
    <row r="290" spans="1:14" x14ac:dyDescent="0.25">
      <c r="A290" s="9">
        <v>44474</v>
      </c>
      <c r="B290" s="1" t="s">
        <v>15</v>
      </c>
      <c r="C290" s="1">
        <v>1</v>
      </c>
      <c r="D290" s="1">
        <v>1</v>
      </c>
      <c r="E290" s="14">
        <v>58.66</v>
      </c>
      <c r="F290" s="1" t="s">
        <v>18</v>
      </c>
      <c r="G290" s="1">
        <v>2</v>
      </c>
      <c r="H290" s="1" t="s">
        <v>16</v>
      </c>
      <c r="I290" s="1" t="s">
        <v>16</v>
      </c>
      <c r="J290" s="1" t="s">
        <v>16</v>
      </c>
      <c r="K290" s="1" t="s">
        <v>17</v>
      </c>
      <c r="L290" s="1" t="s">
        <v>17</v>
      </c>
      <c r="M290" s="1" t="s">
        <v>17</v>
      </c>
      <c r="N290" s="1" t="s">
        <v>16</v>
      </c>
    </row>
    <row r="291" spans="1:14" x14ac:dyDescent="0.25">
      <c r="A291" s="9">
        <v>44474</v>
      </c>
      <c r="B291" s="1" t="s">
        <v>15</v>
      </c>
      <c r="C291" s="1">
        <v>2</v>
      </c>
      <c r="D291" s="1">
        <v>1</v>
      </c>
      <c r="E291" s="14">
        <v>57.29</v>
      </c>
      <c r="F291" s="1" t="s">
        <v>18</v>
      </c>
      <c r="G291" s="1">
        <v>2</v>
      </c>
      <c r="H291" s="1" t="s">
        <v>16</v>
      </c>
      <c r="I291" s="1" t="s">
        <v>16</v>
      </c>
      <c r="J291" s="1" t="s">
        <v>16</v>
      </c>
      <c r="K291" s="1" t="s">
        <v>17</v>
      </c>
      <c r="L291" s="1" t="s">
        <v>17</v>
      </c>
      <c r="M291" s="1" t="s">
        <v>17</v>
      </c>
      <c r="N291" s="1" t="s">
        <v>16</v>
      </c>
    </row>
    <row r="292" spans="1:14" x14ac:dyDescent="0.25">
      <c r="A292" s="9">
        <v>44474</v>
      </c>
      <c r="B292" s="1" t="s">
        <v>15</v>
      </c>
      <c r="C292" s="1">
        <v>3</v>
      </c>
      <c r="D292" s="1">
        <v>1</v>
      </c>
      <c r="E292" s="14">
        <v>50.26</v>
      </c>
      <c r="F292" s="1" t="s">
        <v>19</v>
      </c>
      <c r="G292" s="1">
        <v>2</v>
      </c>
      <c r="H292" s="1" t="s">
        <v>16</v>
      </c>
      <c r="I292" s="1" t="s">
        <v>16</v>
      </c>
      <c r="J292" s="1" t="s">
        <v>16</v>
      </c>
      <c r="K292" s="1" t="s">
        <v>17</v>
      </c>
      <c r="L292" s="1" t="s">
        <v>17</v>
      </c>
      <c r="M292" s="1" t="s">
        <v>17</v>
      </c>
      <c r="N292" s="1" t="s">
        <v>16</v>
      </c>
    </row>
    <row r="293" spans="1:14" x14ac:dyDescent="0.25">
      <c r="A293" s="9">
        <v>44474</v>
      </c>
      <c r="B293" s="1" t="s">
        <v>15</v>
      </c>
      <c r="C293" s="1">
        <v>4</v>
      </c>
      <c r="D293" s="1">
        <v>1</v>
      </c>
      <c r="E293" s="14">
        <v>54.1</v>
      </c>
      <c r="F293" s="1" t="s">
        <v>18</v>
      </c>
      <c r="G293" s="1">
        <v>2</v>
      </c>
      <c r="H293" s="1" t="s">
        <v>16</v>
      </c>
      <c r="I293" s="1" t="s">
        <v>16</v>
      </c>
      <c r="J293" s="1" t="s">
        <v>16</v>
      </c>
      <c r="K293" s="1" t="s">
        <v>17</v>
      </c>
      <c r="L293" s="1" t="s">
        <v>17</v>
      </c>
      <c r="M293" s="1" t="s">
        <v>17</v>
      </c>
      <c r="N293" s="1" t="s">
        <v>16</v>
      </c>
    </row>
    <row r="294" spans="1:14" x14ac:dyDescent="0.25">
      <c r="A294" s="9">
        <v>44474</v>
      </c>
      <c r="B294" s="1" t="s">
        <v>15</v>
      </c>
      <c r="C294" s="1">
        <v>5</v>
      </c>
      <c r="D294" s="1">
        <v>1</v>
      </c>
      <c r="E294" s="14">
        <v>42.21</v>
      </c>
      <c r="F294" s="1" t="s">
        <v>19</v>
      </c>
      <c r="G294" s="1">
        <v>2</v>
      </c>
      <c r="H294" s="1" t="s">
        <v>16</v>
      </c>
      <c r="I294" s="1" t="s">
        <v>16</v>
      </c>
      <c r="J294" s="1" t="s">
        <v>16</v>
      </c>
      <c r="K294" s="1" t="s">
        <v>17</v>
      </c>
      <c r="L294" s="1" t="s">
        <v>17</v>
      </c>
      <c r="M294" s="1" t="s">
        <v>17</v>
      </c>
      <c r="N294" s="1" t="s">
        <v>16</v>
      </c>
    </row>
    <row r="295" spans="1:14" x14ac:dyDescent="0.25">
      <c r="A295" s="9">
        <v>44474</v>
      </c>
      <c r="B295" s="1" t="s">
        <v>15</v>
      </c>
      <c r="C295" s="1">
        <v>6</v>
      </c>
      <c r="D295" s="1">
        <v>2</v>
      </c>
      <c r="E295" s="14">
        <v>66.98</v>
      </c>
      <c r="F295" s="1" t="s">
        <v>18</v>
      </c>
      <c r="G295" s="1">
        <v>2</v>
      </c>
      <c r="H295" s="1" t="s">
        <v>16</v>
      </c>
      <c r="I295" s="1" t="s">
        <v>16</v>
      </c>
      <c r="J295" s="1" t="s">
        <v>16</v>
      </c>
      <c r="K295" s="1" t="s">
        <v>17</v>
      </c>
      <c r="L295" s="1" t="s">
        <v>17</v>
      </c>
      <c r="M295" s="1" t="s">
        <v>17</v>
      </c>
      <c r="N295" s="1" t="s">
        <v>16</v>
      </c>
    </row>
    <row r="296" spans="1:14" x14ac:dyDescent="0.25">
      <c r="A296" s="9">
        <v>44474</v>
      </c>
      <c r="B296" s="1" t="s">
        <v>15</v>
      </c>
      <c r="C296" s="1">
        <v>7</v>
      </c>
      <c r="D296" s="1">
        <v>2</v>
      </c>
      <c r="E296" s="14">
        <v>61.37</v>
      </c>
      <c r="F296" s="1" t="s">
        <v>19</v>
      </c>
      <c r="G296" s="1">
        <v>2</v>
      </c>
      <c r="H296" s="1" t="s">
        <v>16</v>
      </c>
      <c r="I296" s="1" t="s">
        <v>16</v>
      </c>
      <c r="J296" s="1" t="s">
        <v>16</v>
      </c>
      <c r="K296" s="1" t="s">
        <v>17</v>
      </c>
      <c r="L296" s="1" t="s">
        <v>17</v>
      </c>
      <c r="M296" s="1" t="s">
        <v>17</v>
      </c>
      <c r="N296" s="1" t="s">
        <v>16</v>
      </c>
    </row>
    <row r="297" spans="1:14" x14ac:dyDescent="0.25">
      <c r="A297" s="9">
        <v>44474</v>
      </c>
      <c r="B297" s="1" t="s">
        <v>15</v>
      </c>
      <c r="C297" s="1">
        <v>8</v>
      </c>
      <c r="D297" s="1">
        <v>2</v>
      </c>
      <c r="E297" s="14">
        <v>51.55</v>
      </c>
      <c r="F297" s="1" t="s">
        <v>19</v>
      </c>
      <c r="G297" s="1">
        <v>2</v>
      </c>
      <c r="H297" s="1" t="s">
        <v>16</v>
      </c>
      <c r="I297" s="1" t="s">
        <v>16</v>
      </c>
      <c r="J297" s="1" t="s">
        <v>16</v>
      </c>
      <c r="K297" s="1" t="s">
        <v>17</v>
      </c>
      <c r="L297" s="1" t="s">
        <v>17</v>
      </c>
      <c r="M297" s="1" t="s">
        <v>17</v>
      </c>
      <c r="N297" s="1" t="s">
        <v>16</v>
      </c>
    </row>
    <row r="298" spans="1:14" x14ac:dyDescent="0.25">
      <c r="A298" s="9">
        <v>44474</v>
      </c>
      <c r="B298" s="1" t="s">
        <v>15</v>
      </c>
      <c r="C298" s="1">
        <v>9</v>
      </c>
      <c r="D298" s="1">
        <v>2</v>
      </c>
      <c r="E298" s="14">
        <v>64.77</v>
      </c>
      <c r="F298" s="1" t="s">
        <v>19</v>
      </c>
      <c r="G298" s="1">
        <v>2</v>
      </c>
      <c r="H298" s="1" t="s">
        <v>16</v>
      </c>
      <c r="I298" s="1" t="s">
        <v>16</v>
      </c>
      <c r="J298" s="1" t="s">
        <v>16</v>
      </c>
      <c r="K298" s="1" t="s">
        <v>17</v>
      </c>
      <c r="L298" s="1" t="s">
        <v>17</v>
      </c>
      <c r="M298" s="1" t="s">
        <v>17</v>
      </c>
      <c r="N298" s="1" t="s">
        <v>16</v>
      </c>
    </row>
    <row r="299" spans="1:14" x14ac:dyDescent="0.25">
      <c r="A299" s="9">
        <v>44474</v>
      </c>
      <c r="B299" s="1" t="s">
        <v>15</v>
      </c>
      <c r="C299" s="1">
        <v>10</v>
      </c>
      <c r="D299" s="1">
        <v>2</v>
      </c>
      <c r="E299" s="14">
        <v>63.05</v>
      </c>
      <c r="F299" s="1" t="s">
        <v>18</v>
      </c>
      <c r="G299" s="1">
        <v>2</v>
      </c>
      <c r="H299" s="1" t="s">
        <v>16</v>
      </c>
      <c r="I299" s="1" t="s">
        <v>16</v>
      </c>
      <c r="J299" s="1" t="s">
        <v>16</v>
      </c>
      <c r="K299" s="1" t="s">
        <v>17</v>
      </c>
      <c r="L299" s="1" t="s">
        <v>17</v>
      </c>
      <c r="M299" s="1" t="s">
        <v>17</v>
      </c>
      <c r="N299" s="1" t="s">
        <v>16</v>
      </c>
    </row>
    <row r="300" spans="1:14" x14ac:dyDescent="0.25">
      <c r="A300" s="9">
        <v>44474</v>
      </c>
      <c r="B300" s="1" t="s">
        <v>15</v>
      </c>
      <c r="C300" s="1">
        <v>11</v>
      </c>
      <c r="D300" s="1">
        <v>3</v>
      </c>
      <c r="E300" s="14">
        <v>47.83</v>
      </c>
      <c r="F300" s="1" t="s">
        <v>18</v>
      </c>
      <c r="G300" s="1">
        <v>2</v>
      </c>
      <c r="H300" s="1" t="s">
        <v>16</v>
      </c>
      <c r="I300" s="1" t="s">
        <v>16</v>
      </c>
      <c r="J300" s="1" t="s">
        <v>16</v>
      </c>
      <c r="K300" s="1" t="s">
        <v>17</v>
      </c>
      <c r="L300" s="1" t="s">
        <v>17</v>
      </c>
      <c r="M300" s="1" t="s">
        <v>17</v>
      </c>
      <c r="N300" s="1" t="s">
        <v>16</v>
      </c>
    </row>
    <row r="301" spans="1:14" x14ac:dyDescent="0.25">
      <c r="A301" s="9">
        <v>44474</v>
      </c>
      <c r="B301" s="1" t="s">
        <v>15</v>
      </c>
      <c r="C301" s="1">
        <v>12</v>
      </c>
      <c r="D301" s="1">
        <v>3</v>
      </c>
      <c r="E301" s="14">
        <v>50.4</v>
      </c>
      <c r="F301" s="1" t="s">
        <v>18</v>
      </c>
      <c r="G301" s="1">
        <v>2</v>
      </c>
      <c r="H301" s="1" t="s">
        <v>16</v>
      </c>
      <c r="I301" s="1" t="s">
        <v>16</v>
      </c>
      <c r="J301" s="1" t="s">
        <v>16</v>
      </c>
      <c r="K301" s="1" t="s">
        <v>17</v>
      </c>
      <c r="L301" s="1" t="s">
        <v>17</v>
      </c>
      <c r="M301" s="1" t="s">
        <v>17</v>
      </c>
      <c r="N301" s="1" t="s">
        <v>16</v>
      </c>
    </row>
    <row r="302" spans="1:14" x14ac:dyDescent="0.25">
      <c r="A302" s="9">
        <v>44474</v>
      </c>
      <c r="B302" s="1" t="s">
        <v>15</v>
      </c>
      <c r="C302" s="1">
        <v>13</v>
      </c>
      <c r="D302" s="1">
        <v>3</v>
      </c>
      <c r="E302" s="14">
        <v>57.82</v>
      </c>
      <c r="F302" s="1" t="s">
        <v>18</v>
      </c>
      <c r="G302" s="1">
        <v>2</v>
      </c>
      <c r="H302" s="1" t="s">
        <v>16</v>
      </c>
      <c r="I302" s="1" t="s">
        <v>16</v>
      </c>
      <c r="J302" s="1" t="s">
        <v>16</v>
      </c>
      <c r="K302" s="1" t="s">
        <v>17</v>
      </c>
      <c r="L302" s="1" t="s">
        <v>17</v>
      </c>
      <c r="M302" s="1" t="s">
        <v>17</v>
      </c>
      <c r="N302" s="1" t="s">
        <v>16</v>
      </c>
    </row>
    <row r="303" spans="1:14" x14ac:dyDescent="0.25">
      <c r="A303" s="9">
        <v>44474</v>
      </c>
      <c r="B303" s="1" t="s">
        <v>15</v>
      </c>
      <c r="C303" s="1">
        <v>14</v>
      </c>
      <c r="D303" s="1">
        <v>3</v>
      </c>
      <c r="E303" s="14">
        <v>57.02</v>
      </c>
      <c r="F303" s="1" t="s">
        <v>18</v>
      </c>
      <c r="G303" s="1">
        <v>2</v>
      </c>
      <c r="H303" s="1" t="s">
        <v>16</v>
      </c>
      <c r="I303" s="1" t="s">
        <v>16</v>
      </c>
      <c r="J303" s="1" t="s">
        <v>16</v>
      </c>
      <c r="K303" s="1" t="s">
        <v>17</v>
      </c>
      <c r="L303" s="1" t="s">
        <v>17</v>
      </c>
      <c r="M303" s="1" t="s">
        <v>17</v>
      </c>
      <c r="N303" s="1" t="s">
        <v>16</v>
      </c>
    </row>
    <row r="304" spans="1:14" x14ac:dyDescent="0.25">
      <c r="A304" s="9">
        <v>44474</v>
      </c>
      <c r="B304" s="1" t="s">
        <v>15</v>
      </c>
      <c r="C304" s="1">
        <v>15</v>
      </c>
      <c r="D304" s="1">
        <v>3</v>
      </c>
      <c r="E304" s="14">
        <v>55.25</v>
      </c>
      <c r="F304" s="1" t="s">
        <v>18</v>
      </c>
      <c r="G304" s="1">
        <v>2</v>
      </c>
      <c r="H304" s="1" t="s">
        <v>16</v>
      </c>
      <c r="I304" s="1" t="s">
        <v>16</v>
      </c>
      <c r="J304" s="1" t="s">
        <v>16</v>
      </c>
      <c r="K304" s="1" t="s">
        <v>17</v>
      </c>
      <c r="L304" s="1" t="s">
        <v>17</v>
      </c>
      <c r="M304" s="1" t="s">
        <v>17</v>
      </c>
      <c r="N304" s="1" t="s">
        <v>16</v>
      </c>
    </row>
    <row r="305" spans="1:14" x14ac:dyDescent="0.25">
      <c r="A305" s="9">
        <v>44503</v>
      </c>
      <c r="B305" s="1" t="s">
        <v>15</v>
      </c>
      <c r="C305" s="1">
        <v>1</v>
      </c>
      <c r="D305" s="1">
        <v>1</v>
      </c>
      <c r="E305" s="14">
        <v>55.36</v>
      </c>
      <c r="F305" s="1" t="s">
        <v>18</v>
      </c>
      <c r="G305" s="1">
        <v>3</v>
      </c>
      <c r="H305" s="1" t="s">
        <v>16</v>
      </c>
      <c r="I305" s="1" t="s">
        <v>16</v>
      </c>
      <c r="J305" s="1" t="s">
        <v>16</v>
      </c>
      <c r="K305" s="1" t="s">
        <v>17</v>
      </c>
      <c r="L305" s="1" t="s">
        <v>17</v>
      </c>
      <c r="M305" s="1" t="s">
        <v>17</v>
      </c>
      <c r="N305" s="1" t="s">
        <v>16</v>
      </c>
    </row>
    <row r="306" spans="1:14" x14ac:dyDescent="0.25">
      <c r="A306" s="9">
        <v>44503</v>
      </c>
      <c r="B306" s="1" t="s">
        <v>15</v>
      </c>
      <c r="C306" s="1">
        <v>2</v>
      </c>
      <c r="D306" s="1">
        <v>1</v>
      </c>
      <c r="E306" s="14">
        <v>62.04</v>
      </c>
      <c r="F306" s="1" t="s">
        <v>18</v>
      </c>
      <c r="G306" s="1">
        <v>3</v>
      </c>
      <c r="H306" s="1" t="s">
        <v>16</v>
      </c>
      <c r="I306" s="1" t="s">
        <v>16</v>
      </c>
      <c r="J306" s="1" t="s">
        <v>16</v>
      </c>
      <c r="K306" s="1" t="s">
        <v>17</v>
      </c>
      <c r="L306" s="1" t="s">
        <v>17</v>
      </c>
      <c r="M306" s="1" t="s">
        <v>17</v>
      </c>
      <c r="N306" s="1" t="s">
        <v>16</v>
      </c>
    </row>
    <row r="307" spans="1:14" x14ac:dyDescent="0.25">
      <c r="A307" s="9">
        <v>44503</v>
      </c>
      <c r="B307" s="1" t="s">
        <v>15</v>
      </c>
      <c r="C307" s="1">
        <v>3</v>
      </c>
      <c r="D307" s="1">
        <v>1</v>
      </c>
      <c r="E307" s="14">
        <v>53.66</v>
      </c>
      <c r="F307" s="1" t="s">
        <v>16</v>
      </c>
      <c r="G307" s="1">
        <v>4</v>
      </c>
      <c r="H307" s="1" t="s">
        <v>16</v>
      </c>
      <c r="I307" s="1" t="s">
        <v>16</v>
      </c>
      <c r="J307" s="1" t="s">
        <v>16</v>
      </c>
      <c r="K307" s="1" t="s">
        <v>17</v>
      </c>
      <c r="L307" s="1" t="s">
        <v>17</v>
      </c>
      <c r="M307" s="1" t="s">
        <v>17</v>
      </c>
      <c r="N307" s="1" t="s">
        <v>16</v>
      </c>
    </row>
    <row r="308" spans="1:14" x14ac:dyDescent="0.25">
      <c r="A308" s="9">
        <v>44503</v>
      </c>
      <c r="B308" s="1" t="s">
        <v>15</v>
      </c>
      <c r="C308" s="1">
        <v>4</v>
      </c>
      <c r="D308" s="1">
        <v>1</v>
      </c>
      <c r="E308" s="14">
        <v>51.45</v>
      </c>
      <c r="F308" s="1" t="s">
        <v>18</v>
      </c>
      <c r="G308" s="1">
        <v>2</v>
      </c>
      <c r="H308" s="1" t="s">
        <v>16</v>
      </c>
      <c r="I308" s="1" t="s">
        <v>16</v>
      </c>
      <c r="J308" s="1" t="s">
        <v>16</v>
      </c>
      <c r="K308" s="1" t="s">
        <v>17</v>
      </c>
      <c r="L308" s="1" t="s">
        <v>17</v>
      </c>
      <c r="M308" s="1" t="s">
        <v>17</v>
      </c>
      <c r="N308" s="1" t="s">
        <v>16</v>
      </c>
    </row>
    <row r="309" spans="1:14" x14ac:dyDescent="0.25">
      <c r="A309" s="9">
        <v>44503</v>
      </c>
      <c r="B309" s="1" t="s">
        <v>15</v>
      </c>
      <c r="C309" s="1">
        <v>5</v>
      </c>
      <c r="D309" s="1">
        <v>1</v>
      </c>
      <c r="E309" s="14">
        <v>42.62</v>
      </c>
      <c r="F309" s="1" t="s">
        <v>18</v>
      </c>
      <c r="G309" s="1">
        <v>3</v>
      </c>
      <c r="H309" s="1" t="s">
        <v>16</v>
      </c>
      <c r="I309" s="1" t="s">
        <v>16</v>
      </c>
      <c r="J309" s="1" t="s">
        <v>16</v>
      </c>
      <c r="K309" s="1" t="s">
        <v>17</v>
      </c>
      <c r="L309" s="1" t="s">
        <v>17</v>
      </c>
      <c r="M309" s="1" t="s">
        <v>17</v>
      </c>
      <c r="N309" s="1" t="s">
        <v>16</v>
      </c>
    </row>
    <row r="310" spans="1:14" x14ac:dyDescent="0.25">
      <c r="A310" s="9">
        <v>44503</v>
      </c>
      <c r="B310" s="1" t="s">
        <v>15</v>
      </c>
      <c r="C310" s="1">
        <v>6</v>
      </c>
      <c r="D310" s="1">
        <v>2</v>
      </c>
      <c r="E310" s="14">
        <v>55.23</v>
      </c>
      <c r="F310" s="1" t="s">
        <v>18</v>
      </c>
      <c r="G310" s="1">
        <v>3</v>
      </c>
      <c r="H310" s="1" t="s">
        <v>16</v>
      </c>
      <c r="I310" s="1" t="s">
        <v>16</v>
      </c>
      <c r="J310" s="1" t="s">
        <v>16</v>
      </c>
      <c r="K310" s="1" t="s">
        <v>17</v>
      </c>
      <c r="L310" s="1" t="s">
        <v>17</v>
      </c>
      <c r="M310" s="1" t="s">
        <v>17</v>
      </c>
      <c r="N310" s="1" t="s">
        <v>16</v>
      </c>
    </row>
    <row r="311" spans="1:14" x14ac:dyDescent="0.25">
      <c r="A311" s="9">
        <v>44503</v>
      </c>
      <c r="B311" s="1" t="s">
        <v>15</v>
      </c>
      <c r="C311" s="1">
        <v>7</v>
      </c>
      <c r="D311" s="1">
        <v>2</v>
      </c>
      <c r="E311" s="14">
        <v>64.239999999999995</v>
      </c>
      <c r="F311" s="1" t="s">
        <v>18</v>
      </c>
      <c r="G311" s="1">
        <v>2</v>
      </c>
      <c r="H311" s="1" t="s">
        <v>16</v>
      </c>
      <c r="I311" s="1" t="s">
        <v>16</v>
      </c>
      <c r="J311" s="1" t="s">
        <v>16</v>
      </c>
      <c r="K311" s="1" t="s">
        <v>17</v>
      </c>
      <c r="L311" s="1" t="s">
        <v>17</v>
      </c>
      <c r="M311" s="1" t="s">
        <v>17</v>
      </c>
      <c r="N311" s="1" t="s">
        <v>16</v>
      </c>
    </row>
    <row r="312" spans="1:14" x14ac:dyDescent="0.25">
      <c r="A312" s="9">
        <v>44503</v>
      </c>
      <c r="B312" s="1" t="s">
        <v>15</v>
      </c>
      <c r="C312" s="1">
        <v>8</v>
      </c>
      <c r="D312" s="1">
        <v>2</v>
      </c>
      <c r="E312" s="14">
        <v>47.91</v>
      </c>
      <c r="F312" s="1" t="s">
        <v>16</v>
      </c>
      <c r="G312" s="1">
        <v>4</v>
      </c>
      <c r="H312" s="1" t="s">
        <v>16</v>
      </c>
      <c r="I312" s="1" t="s">
        <v>16</v>
      </c>
      <c r="J312" s="1" t="s">
        <v>16</v>
      </c>
      <c r="K312" s="1" t="s">
        <v>17</v>
      </c>
      <c r="L312" s="1" t="s">
        <v>17</v>
      </c>
      <c r="M312" s="1" t="s">
        <v>21</v>
      </c>
      <c r="N312" s="1" t="s">
        <v>16</v>
      </c>
    </row>
    <row r="313" spans="1:14" x14ac:dyDescent="0.25">
      <c r="A313" s="9">
        <v>44503</v>
      </c>
      <c r="B313" s="1" t="s">
        <v>15</v>
      </c>
      <c r="C313" s="1">
        <v>9</v>
      </c>
      <c r="D313" s="1">
        <v>2</v>
      </c>
      <c r="E313" s="14">
        <v>58.49</v>
      </c>
      <c r="F313" s="1" t="s">
        <v>19</v>
      </c>
      <c r="G313" s="1">
        <v>2</v>
      </c>
      <c r="H313" s="1" t="s">
        <v>16</v>
      </c>
      <c r="I313" s="1" t="s">
        <v>16</v>
      </c>
      <c r="J313" s="1" t="s">
        <v>16</v>
      </c>
      <c r="K313" s="1" t="s">
        <v>17</v>
      </c>
      <c r="L313" s="1" t="s">
        <v>17</v>
      </c>
      <c r="M313" s="1" t="s">
        <v>17</v>
      </c>
      <c r="N313" s="1" t="s">
        <v>16</v>
      </c>
    </row>
    <row r="314" spans="1:14" x14ac:dyDescent="0.25">
      <c r="A314" s="9">
        <v>44503</v>
      </c>
      <c r="B314" s="1" t="s">
        <v>15</v>
      </c>
      <c r="C314" s="1">
        <v>10</v>
      </c>
      <c r="D314" s="1">
        <v>2</v>
      </c>
      <c r="E314" s="14">
        <v>49.22</v>
      </c>
      <c r="F314" s="1" t="s">
        <v>19</v>
      </c>
      <c r="G314" s="1">
        <v>2</v>
      </c>
      <c r="H314" s="1" t="s">
        <v>16</v>
      </c>
      <c r="I314" s="1" t="s">
        <v>16</v>
      </c>
      <c r="J314" s="1" t="s">
        <v>16</v>
      </c>
      <c r="K314" s="1" t="s">
        <v>21</v>
      </c>
      <c r="L314" s="1" t="s">
        <v>17</v>
      </c>
      <c r="M314" s="1" t="s">
        <v>17</v>
      </c>
      <c r="N314" s="1" t="s">
        <v>16</v>
      </c>
    </row>
    <row r="315" spans="1:14" x14ac:dyDescent="0.25">
      <c r="A315" s="9">
        <v>44503</v>
      </c>
      <c r="B315" s="1" t="s">
        <v>15</v>
      </c>
      <c r="C315" s="1">
        <v>11</v>
      </c>
      <c r="D315" s="1">
        <v>3</v>
      </c>
      <c r="E315" s="14">
        <v>59.19</v>
      </c>
      <c r="F315" s="1" t="s">
        <v>18</v>
      </c>
      <c r="G315" s="1">
        <v>2</v>
      </c>
      <c r="H315" s="1" t="s">
        <v>16</v>
      </c>
      <c r="I315" s="1" t="s">
        <v>16</v>
      </c>
      <c r="J315" s="1" t="s">
        <v>16</v>
      </c>
      <c r="K315" s="1" t="s">
        <v>17</v>
      </c>
      <c r="L315" s="1" t="s">
        <v>17</v>
      </c>
      <c r="M315" s="1" t="s">
        <v>17</v>
      </c>
      <c r="N315" s="1" t="s">
        <v>16</v>
      </c>
    </row>
    <row r="316" spans="1:14" x14ac:dyDescent="0.25">
      <c r="A316" s="9">
        <v>44503</v>
      </c>
      <c r="B316" s="1" t="s">
        <v>15</v>
      </c>
      <c r="C316" s="1">
        <v>12</v>
      </c>
      <c r="D316" s="1">
        <v>3</v>
      </c>
      <c r="E316" s="14">
        <v>57.24</v>
      </c>
      <c r="F316" s="1" t="s">
        <v>18</v>
      </c>
      <c r="G316" s="1">
        <v>2</v>
      </c>
      <c r="H316" s="1" t="s">
        <v>16</v>
      </c>
      <c r="I316" s="1" t="s">
        <v>16</v>
      </c>
      <c r="J316" s="1" t="s">
        <v>16</v>
      </c>
      <c r="K316" s="1" t="s">
        <v>21</v>
      </c>
      <c r="L316" s="1" t="s">
        <v>17</v>
      </c>
      <c r="M316" s="1" t="s">
        <v>17</v>
      </c>
      <c r="N316" s="1" t="s">
        <v>16</v>
      </c>
    </row>
    <row r="317" spans="1:14" x14ac:dyDescent="0.25">
      <c r="A317" s="9">
        <v>44503</v>
      </c>
      <c r="B317" s="1" t="s">
        <v>15</v>
      </c>
      <c r="C317" s="1">
        <v>13</v>
      </c>
      <c r="D317" s="1">
        <v>3</v>
      </c>
      <c r="E317" s="14">
        <v>66.83</v>
      </c>
      <c r="F317" s="1" t="s">
        <v>18</v>
      </c>
      <c r="G317" s="1">
        <v>2</v>
      </c>
      <c r="H317" s="1" t="s">
        <v>16</v>
      </c>
      <c r="I317" s="1" t="s">
        <v>16</v>
      </c>
      <c r="J317" s="1" t="s">
        <v>16</v>
      </c>
      <c r="K317" s="1" t="s">
        <v>17</v>
      </c>
      <c r="L317" s="1" t="s">
        <v>17</v>
      </c>
      <c r="M317" s="1" t="s">
        <v>17</v>
      </c>
      <c r="N317" s="1" t="s">
        <v>16</v>
      </c>
    </row>
    <row r="318" spans="1:14" x14ac:dyDescent="0.25">
      <c r="A318" s="9">
        <v>44503</v>
      </c>
      <c r="B318" s="1" t="s">
        <v>15</v>
      </c>
      <c r="C318" s="1">
        <v>14</v>
      </c>
      <c r="D318" s="1">
        <v>3</v>
      </c>
      <c r="E318" s="14">
        <v>57.8</v>
      </c>
      <c r="F318" s="1" t="s">
        <v>18</v>
      </c>
      <c r="G318" s="1">
        <v>2</v>
      </c>
      <c r="H318" s="1" t="s">
        <v>16</v>
      </c>
      <c r="I318" s="1" t="s">
        <v>16</v>
      </c>
      <c r="J318" s="1" t="s">
        <v>16</v>
      </c>
      <c r="K318" s="1" t="s">
        <v>17</v>
      </c>
      <c r="L318" s="1" t="s">
        <v>17</v>
      </c>
      <c r="M318" s="1" t="s">
        <v>17</v>
      </c>
      <c r="N318" s="1" t="s">
        <v>16</v>
      </c>
    </row>
    <row r="319" spans="1:14" x14ac:dyDescent="0.25">
      <c r="A319" s="9">
        <v>44503</v>
      </c>
      <c r="B319" s="1" t="s">
        <v>15</v>
      </c>
      <c r="C319" s="1">
        <v>15</v>
      </c>
      <c r="D319" s="1">
        <v>3</v>
      </c>
      <c r="E319" s="14">
        <v>51.25</v>
      </c>
      <c r="F319" s="1" t="s">
        <v>18</v>
      </c>
      <c r="G319" s="1">
        <v>2</v>
      </c>
      <c r="H319" s="1" t="s">
        <v>16</v>
      </c>
      <c r="I319" s="1" t="s">
        <v>16</v>
      </c>
      <c r="J319" s="1" t="s">
        <v>16</v>
      </c>
      <c r="K319" s="1" t="s">
        <v>17</v>
      </c>
      <c r="L319" s="1" t="s">
        <v>17</v>
      </c>
      <c r="M319" s="1" t="s">
        <v>17</v>
      </c>
      <c r="N319" s="1" t="s">
        <v>16</v>
      </c>
    </row>
    <row r="320" spans="1:14" x14ac:dyDescent="0.25">
      <c r="A320" s="9">
        <v>44537</v>
      </c>
      <c r="B320" s="1" t="s">
        <v>15</v>
      </c>
      <c r="C320" s="1">
        <v>1</v>
      </c>
      <c r="D320" s="1">
        <v>1</v>
      </c>
      <c r="E320" s="14">
        <v>43.13</v>
      </c>
      <c r="F320" s="1" t="s">
        <v>18</v>
      </c>
      <c r="G320" s="1">
        <v>3</v>
      </c>
      <c r="H320" s="1" t="s">
        <v>16</v>
      </c>
      <c r="I320" s="1" t="s">
        <v>16</v>
      </c>
      <c r="J320" s="1" t="s">
        <v>16</v>
      </c>
      <c r="K320" s="1" t="s">
        <v>17</v>
      </c>
      <c r="L320" s="1" t="s">
        <v>17</v>
      </c>
      <c r="M320" s="1" t="s">
        <v>17</v>
      </c>
      <c r="N320" s="1" t="s">
        <v>16</v>
      </c>
    </row>
    <row r="321" spans="1:14" x14ac:dyDescent="0.25">
      <c r="A321" s="9">
        <v>44537</v>
      </c>
      <c r="B321" s="1" t="s">
        <v>15</v>
      </c>
      <c r="C321" s="1">
        <v>2</v>
      </c>
      <c r="D321" s="1">
        <v>1</v>
      </c>
      <c r="E321" s="14">
        <v>46.94</v>
      </c>
      <c r="F321" s="1" t="s">
        <v>18</v>
      </c>
      <c r="G321" s="1">
        <v>3</v>
      </c>
      <c r="H321" s="1" t="s">
        <v>16</v>
      </c>
      <c r="I321" s="1" t="s">
        <v>16</v>
      </c>
      <c r="J321" s="1" t="s">
        <v>16</v>
      </c>
      <c r="K321" s="1" t="s">
        <v>17</v>
      </c>
      <c r="L321" s="1" t="s">
        <v>17</v>
      </c>
      <c r="M321" s="1" t="s">
        <v>17</v>
      </c>
      <c r="N321" s="1" t="s">
        <v>16</v>
      </c>
    </row>
    <row r="322" spans="1:14" x14ac:dyDescent="0.25">
      <c r="A322" s="9">
        <v>44537</v>
      </c>
      <c r="B322" s="1" t="s">
        <v>15</v>
      </c>
      <c r="C322" s="1">
        <v>3</v>
      </c>
      <c r="D322" s="1">
        <v>1</v>
      </c>
      <c r="E322" s="14">
        <v>57.81</v>
      </c>
      <c r="F322" s="1" t="s">
        <v>16</v>
      </c>
      <c r="G322" s="1">
        <v>4</v>
      </c>
      <c r="H322" s="1" t="s">
        <v>16</v>
      </c>
      <c r="I322" s="1" t="s">
        <v>16</v>
      </c>
      <c r="J322" s="1" t="s">
        <v>16</v>
      </c>
      <c r="K322" s="1" t="s">
        <v>17</v>
      </c>
      <c r="L322" s="1" t="s">
        <v>17</v>
      </c>
      <c r="M322" s="1" t="s">
        <v>17</v>
      </c>
      <c r="N322" s="1" t="s">
        <v>16</v>
      </c>
    </row>
    <row r="323" spans="1:14" x14ac:dyDescent="0.25">
      <c r="A323" s="9">
        <v>44537</v>
      </c>
      <c r="B323" s="1" t="s">
        <v>15</v>
      </c>
      <c r="C323" s="1">
        <v>4</v>
      </c>
      <c r="D323" s="1">
        <v>1</v>
      </c>
      <c r="E323" s="14">
        <v>41.82</v>
      </c>
      <c r="F323" s="1" t="s">
        <v>18</v>
      </c>
      <c r="G323" s="1">
        <v>1</v>
      </c>
      <c r="H323" s="1" t="s">
        <v>16</v>
      </c>
      <c r="I323" s="1" t="s">
        <v>16</v>
      </c>
      <c r="J323" s="1" t="s">
        <v>16</v>
      </c>
      <c r="K323" s="1" t="s">
        <v>17</v>
      </c>
      <c r="L323" s="1" t="s">
        <v>17</v>
      </c>
      <c r="M323" s="1" t="s">
        <v>17</v>
      </c>
      <c r="N323" s="1" t="s">
        <v>16</v>
      </c>
    </row>
    <row r="324" spans="1:14" x14ac:dyDescent="0.25">
      <c r="A324" s="9">
        <v>44537</v>
      </c>
      <c r="B324" s="1" t="s">
        <v>15</v>
      </c>
      <c r="C324" s="1">
        <v>5</v>
      </c>
      <c r="D324" s="1">
        <v>1</v>
      </c>
      <c r="E324" s="14">
        <v>54.23</v>
      </c>
      <c r="F324" s="1" t="s">
        <v>16</v>
      </c>
      <c r="G324" s="1">
        <v>4</v>
      </c>
      <c r="H324" s="1" t="s">
        <v>16</v>
      </c>
      <c r="I324" s="1" t="s">
        <v>16</v>
      </c>
      <c r="J324" s="1" t="s">
        <v>16</v>
      </c>
      <c r="K324" s="1" t="s">
        <v>17</v>
      </c>
      <c r="L324" s="1" t="s">
        <v>17</v>
      </c>
      <c r="M324" s="1" t="s">
        <v>17</v>
      </c>
      <c r="N324" s="1" t="s">
        <v>16</v>
      </c>
    </row>
    <row r="325" spans="1:14" x14ac:dyDescent="0.25">
      <c r="A325" s="9">
        <v>44537</v>
      </c>
      <c r="B325" s="1" t="s">
        <v>15</v>
      </c>
      <c r="C325" s="1">
        <v>6</v>
      </c>
      <c r="D325" s="1">
        <v>2</v>
      </c>
      <c r="E325" s="14">
        <v>45.49</v>
      </c>
      <c r="F325" s="1" t="s">
        <v>16</v>
      </c>
      <c r="G325" s="1">
        <v>4</v>
      </c>
      <c r="H325" s="1" t="s">
        <v>16</v>
      </c>
      <c r="I325" s="1" t="s">
        <v>16</v>
      </c>
      <c r="J325" s="1" t="s">
        <v>16</v>
      </c>
      <c r="K325" s="1" t="s">
        <v>17</v>
      </c>
      <c r="L325" s="1" t="s">
        <v>17</v>
      </c>
      <c r="M325" s="1" t="s">
        <v>17</v>
      </c>
      <c r="N325" s="1" t="s">
        <v>16</v>
      </c>
    </row>
    <row r="326" spans="1:14" x14ac:dyDescent="0.25">
      <c r="A326" s="9">
        <v>44537</v>
      </c>
      <c r="B326" s="1" t="s">
        <v>15</v>
      </c>
      <c r="C326" s="1">
        <v>7</v>
      </c>
      <c r="D326" s="1">
        <v>2</v>
      </c>
      <c r="E326" s="14">
        <v>50.78</v>
      </c>
      <c r="F326" s="1" t="s">
        <v>16</v>
      </c>
      <c r="G326" s="1">
        <v>4</v>
      </c>
      <c r="H326" s="1" t="s">
        <v>16</v>
      </c>
      <c r="I326" s="1" t="s">
        <v>16</v>
      </c>
      <c r="J326" s="1" t="s">
        <v>16</v>
      </c>
      <c r="K326" s="1" t="s">
        <v>17</v>
      </c>
      <c r="L326" s="1" t="s">
        <v>17</v>
      </c>
      <c r="M326" s="1" t="s">
        <v>17</v>
      </c>
      <c r="N326" s="1" t="s">
        <v>16</v>
      </c>
    </row>
    <row r="327" spans="1:14" x14ac:dyDescent="0.25">
      <c r="A327" s="9">
        <v>44537</v>
      </c>
      <c r="B327" s="1" t="s">
        <v>15</v>
      </c>
      <c r="C327" s="1">
        <v>8</v>
      </c>
      <c r="D327" s="1">
        <v>2</v>
      </c>
      <c r="E327" s="14">
        <v>53.99</v>
      </c>
      <c r="F327" s="1" t="s">
        <v>16</v>
      </c>
      <c r="G327" s="1" t="s">
        <v>16</v>
      </c>
      <c r="H327" s="1" t="s">
        <v>16</v>
      </c>
      <c r="I327" s="1" t="s">
        <v>16</v>
      </c>
      <c r="J327" s="1" t="s">
        <v>16</v>
      </c>
      <c r="K327" s="1" t="s">
        <v>17</v>
      </c>
      <c r="L327" s="1" t="s">
        <v>17</v>
      </c>
      <c r="M327" s="1" t="s">
        <v>21</v>
      </c>
      <c r="N327" s="1" t="s">
        <v>16</v>
      </c>
    </row>
    <row r="328" spans="1:14" x14ac:dyDescent="0.25">
      <c r="A328" s="9">
        <v>44537</v>
      </c>
      <c r="B328" s="1" t="s">
        <v>15</v>
      </c>
      <c r="C328" s="1">
        <v>9</v>
      </c>
      <c r="D328" s="1">
        <v>2</v>
      </c>
      <c r="E328" s="14">
        <v>62.94</v>
      </c>
      <c r="F328" s="1" t="s">
        <v>16</v>
      </c>
      <c r="G328" s="1">
        <v>4</v>
      </c>
      <c r="H328" s="1" t="s">
        <v>16</v>
      </c>
      <c r="I328" s="1" t="s">
        <v>16</v>
      </c>
      <c r="J328" s="1" t="s">
        <v>16</v>
      </c>
      <c r="K328" s="1" t="s">
        <v>17</v>
      </c>
      <c r="L328" s="1" t="s">
        <v>17</v>
      </c>
      <c r="M328" s="1" t="s">
        <v>17</v>
      </c>
      <c r="N328" s="1" t="s">
        <v>16</v>
      </c>
    </row>
    <row r="329" spans="1:14" x14ac:dyDescent="0.25">
      <c r="A329" s="9">
        <v>44537</v>
      </c>
      <c r="B329" s="1" t="s">
        <v>15</v>
      </c>
      <c r="C329" s="1">
        <v>10</v>
      </c>
      <c r="D329" s="1">
        <v>2</v>
      </c>
      <c r="E329" s="14">
        <v>63.24</v>
      </c>
      <c r="F329" s="1" t="s">
        <v>16</v>
      </c>
      <c r="G329" s="1">
        <v>4</v>
      </c>
      <c r="H329" s="1" t="s">
        <v>16</v>
      </c>
      <c r="I329" s="1" t="s">
        <v>16</v>
      </c>
      <c r="J329" s="1" t="s">
        <v>16</v>
      </c>
      <c r="K329" s="1" t="s">
        <v>17</v>
      </c>
      <c r="L329" s="1" t="s">
        <v>17</v>
      </c>
      <c r="M329" s="1" t="s">
        <v>17</v>
      </c>
      <c r="N329" s="1" t="s">
        <v>16</v>
      </c>
    </row>
    <row r="330" spans="1:14" x14ac:dyDescent="0.25">
      <c r="A330" s="9">
        <v>44537</v>
      </c>
      <c r="B330" s="1" t="s">
        <v>15</v>
      </c>
      <c r="C330" s="1">
        <v>11</v>
      </c>
      <c r="D330" s="1">
        <v>3</v>
      </c>
      <c r="E330" s="14">
        <v>43.43</v>
      </c>
      <c r="F330" s="1" t="s">
        <v>16</v>
      </c>
      <c r="G330" s="1">
        <v>4</v>
      </c>
      <c r="H330" s="1" t="s">
        <v>16</v>
      </c>
      <c r="I330" s="1" t="s">
        <v>16</v>
      </c>
      <c r="J330" s="1" t="s">
        <v>16</v>
      </c>
      <c r="K330" s="1" t="s">
        <v>17</v>
      </c>
      <c r="L330" s="1" t="s">
        <v>17</v>
      </c>
      <c r="M330" s="1" t="s">
        <v>17</v>
      </c>
      <c r="N330" s="1" t="s">
        <v>16</v>
      </c>
    </row>
    <row r="331" spans="1:14" x14ac:dyDescent="0.25">
      <c r="A331" s="9">
        <v>44537</v>
      </c>
      <c r="B331" s="1" t="s">
        <v>15</v>
      </c>
      <c r="C331" s="1">
        <v>12</v>
      </c>
      <c r="D331" s="1">
        <v>3</v>
      </c>
      <c r="E331" s="14">
        <v>52.65</v>
      </c>
      <c r="F331" s="1" t="s">
        <v>18</v>
      </c>
      <c r="G331" s="1">
        <v>3</v>
      </c>
      <c r="H331" s="1" t="s">
        <v>16</v>
      </c>
      <c r="I331" s="1" t="s">
        <v>16</v>
      </c>
      <c r="J331" s="1" t="s">
        <v>16</v>
      </c>
      <c r="K331" s="1" t="s">
        <v>17</v>
      </c>
      <c r="L331" s="1" t="s">
        <v>17</v>
      </c>
      <c r="M331" s="1" t="s">
        <v>17</v>
      </c>
      <c r="N331" s="1" t="s">
        <v>16</v>
      </c>
    </row>
    <row r="332" spans="1:14" x14ac:dyDescent="0.25">
      <c r="A332" s="9">
        <v>44537</v>
      </c>
      <c r="B332" s="1" t="s">
        <v>15</v>
      </c>
      <c r="C332" s="1">
        <v>13</v>
      </c>
      <c r="D332" s="1">
        <v>3</v>
      </c>
      <c r="E332" s="14">
        <v>50.22</v>
      </c>
      <c r="F332" s="1" t="s">
        <v>18</v>
      </c>
      <c r="G332" s="1">
        <v>3</v>
      </c>
      <c r="H332" s="1" t="s">
        <v>16</v>
      </c>
      <c r="I332" s="1" t="s">
        <v>16</v>
      </c>
      <c r="J332" s="1" t="s">
        <v>16</v>
      </c>
      <c r="K332" s="1" t="s">
        <v>17</v>
      </c>
      <c r="L332" s="1" t="s">
        <v>17</v>
      </c>
      <c r="M332" s="1" t="s">
        <v>17</v>
      </c>
      <c r="N332" s="1" t="s">
        <v>16</v>
      </c>
    </row>
    <row r="333" spans="1:14" x14ac:dyDescent="0.25">
      <c r="A333" s="9">
        <v>44537</v>
      </c>
      <c r="B333" s="1" t="s">
        <v>15</v>
      </c>
      <c r="C333" s="1">
        <v>14</v>
      </c>
      <c r="D333" s="1">
        <v>3</v>
      </c>
      <c r="E333" s="14">
        <v>51.12</v>
      </c>
      <c r="F333" s="1" t="s">
        <v>16</v>
      </c>
      <c r="G333" s="1">
        <v>4</v>
      </c>
      <c r="H333" s="1" t="s">
        <v>16</v>
      </c>
      <c r="I333" s="1" t="s">
        <v>16</v>
      </c>
      <c r="J333" s="1" t="s">
        <v>16</v>
      </c>
      <c r="K333" s="1" t="s">
        <v>17</v>
      </c>
      <c r="L333" s="1" t="s">
        <v>17</v>
      </c>
      <c r="M333" s="1" t="s">
        <v>17</v>
      </c>
      <c r="N333" s="1" t="s">
        <v>16</v>
      </c>
    </row>
    <row r="334" spans="1:14" x14ac:dyDescent="0.25">
      <c r="A334" s="9">
        <v>44537</v>
      </c>
      <c r="B334" s="1" t="s">
        <v>15</v>
      </c>
      <c r="C334" s="1">
        <v>15</v>
      </c>
      <c r="D334" s="1">
        <v>3</v>
      </c>
      <c r="E334" s="14">
        <v>56.65</v>
      </c>
      <c r="F334" s="1" t="s">
        <v>16</v>
      </c>
      <c r="G334" s="1">
        <v>4</v>
      </c>
      <c r="H334" s="1" t="s">
        <v>16</v>
      </c>
      <c r="I334" s="1" t="s">
        <v>16</v>
      </c>
      <c r="J334" s="1" t="s">
        <v>16</v>
      </c>
      <c r="K334" s="1" t="s">
        <v>21</v>
      </c>
      <c r="L334" s="1" t="s">
        <v>17</v>
      </c>
      <c r="M334" s="1" t="s">
        <v>17</v>
      </c>
      <c r="N334" s="1" t="s">
        <v>16</v>
      </c>
    </row>
    <row r="335" spans="1:14" x14ac:dyDescent="0.25">
      <c r="A335" s="9">
        <v>44572</v>
      </c>
      <c r="B335" s="1" t="s">
        <v>15</v>
      </c>
      <c r="C335" s="1">
        <v>1</v>
      </c>
      <c r="D335" s="1">
        <v>1</v>
      </c>
      <c r="E335" s="14">
        <v>55.24</v>
      </c>
      <c r="F335" s="1" t="s">
        <v>16</v>
      </c>
      <c r="G335" s="1">
        <v>4</v>
      </c>
      <c r="H335" s="1" t="s">
        <v>16</v>
      </c>
      <c r="I335" s="1" t="s">
        <v>16</v>
      </c>
      <c r="J335" s="1" t="s">
        <v>16</v>
      </c>
      <c r="K335" s="1" t="s">
        <v>17</v>
      </c>
      <c r="L335" s="1" t="s">
        <v>17</v>
      </c>
      <c r="M335" s="1" t="s">
        <v>17</v>
      </c>
      <c r="N335" s="1" t="s">
        <v>16</v>
      </c>
    </row>
    <row r="336" spans="1:14" x14ac:dyDescent="0.25">
      <c r="A336" s="9">
        <v>44572</v>
      </c>
      <c r="B336" s="1" t="s">
        <v>15</v>
      </c>
      <c r="C336" s="1">
        <v>2</v>
      </c>
      <c r="D336" s="1">
        <v>1</v>
      </c>
      <c r="E336" s="14">
        <v>58.18</v>
      </c>
      <c r="F336" s="1" t="s">
        <v>16</v>
      </c>
      <c r="G336" s="1">
        <v>4</v>
      </c>
      <c r="H336" s="1" t="s">
        <v>16</v>
      </c>
      <c r="I336" s="1" t="s">
        <v>16</v>
      </c>
      <c r="J336" s="1" t="s">
        <v>16</v>
      </c>
      <c r="K336" s="1" t="s">
        <v>17</v>
      </c>
      <c r="L336" s="1" t="s">
        <v>17</v>
      </c>
      <c r="M336" s="1" t="s">
        <v>17</v>
      </c>
      <c r="N336" s="1" t="s">
        <v>16</v>
      </c>
    </row>
    <row r="337" spans="1:14" x14ac:dyDescent="0.25">
      <c r="A337" s="9">
        <v>44572</v>
      </c>
      <c r="B337" s="1" t="s">
        <v>15</v>
      </c>
      <c r="C337" s="1">
        <v>3</v>
      </c>
      <c r="D337" s="1">
        <v>1</v>
      </c>
      <c r="E337" s="14">
        <v>46.39</v>
      </c>
      <c r="F337" s="1" t="s">
        <v>18</v>
      </c>
      <c r="G337" s="1">
        <v>1</v>
      </c>
      <c r="H337" s="1" t="s">
        <v>16</v>
      </c>
      <c r="I337" s="1" t="s">
        <v>16</v>
      </c>
      <c r="J337" s="1" t="s">
        <v>16</v>
      </c>
      <c r="K337" s="1" t="s">
        <v>17</v>
      </c>
      <c r="L337" s="1" t="s">
        <v>17</v>
      </c>
      <c r="M337" s="1" t="s">
        <v>17</v>
      </c>
      <c r="N337" s="1" t="s">
        <v>16</v>
      </c>
    </row>
    <row r="338" spans="1:14" x14ac:dyDescent="0.25">
      <c r="A338" s="9">
        <v>44572</v>
      </c>
      <c r="B338" s="1" t="s">
        <v>15</v>
      </c>
      <c r="C338" s="1">
        <v>4</v>
      </c>
      <c r="D338" s="1">
        <v>1</v>
      </c>
      <c r="E338" s="14">
        <v>45.82</v>
      </c>
      <c r="F338" s="1" t="s">
        <v>16</v>
      </c>
      <c r="G338" s="1">
        <v>4</v>
      </c>
      <c r="H338" s="1" t="s">
        <v>16</v>
      </c>
      <c r="I338" s="1" t="s">
        <v>16</v>
      </c>
      <c r="J338" s="1" t="s">
        <v>16</v>
      </c>
      <c r="K338" s="1" t="s">
        <v>17</v>
      </c>
      <c r="L338" s="1" t="s">
        <v>17</v>
      </c>
      <c r="M338" s="1" t="s">
        <v>17</v>
      </c>
      <c r="N338" s="1" t="s">
        <v>16</v>
      </c>
    </row>
    <row r="339" spans="1:14" x14ac:dyDescent="0.25">
      <c r="A339" s="9">
        <v>44572</v>
      </c>
      <c r="B339" s="1" t="s">
        <v>15</v>
      </c>
      <c r="C339" s="1">
        <v>5</v>
      </c>
      <c r="D339" s="1">
        <v>1</v>
      </c>
      <c r="E339" s="14">
        <v>42.38</v>
      </c>
      <c r="F339" s="1" t="s">
        <v>16</v>
      </c>
      <c r="G339" s="1">
        <v>4</v>
      </c>
      <c r="H339" s="1" t="s">
        <v>16</v>
      </c>
      <c r="I339" s="1" t="s">
        <v>16</v>
      </c>
      <c r="J339" s="1" t="s">
        <v>16</v>
      </c>
      <c r="K339" s="1" t="s">
        <v>17</v>
      </c>
      <c r="L339" s="1" t="s">
        <v>17</v>
      </c>
      <c r="M339" s="1" t="s">
        <v>17</v>
      </c>
      <c r="N339" s="1" t="s">
        <v>16</v>
      </c>
    </row>
    <row r="340" spans="1:14" x14ac:dyDescent="0.25">
      <c r="A340" s="9">
        <v>44572</v>
      </c>
      <c r="B340" s="1" t="s">
        <v>15</v>
      </c>
      <c r="C340" s="1">
        <v>6</v>
      </c>
      <c r="D340" s="1">
        <v>2</v>
      </c>
      <c r="E340" s="14">
        <v>55.13</v>
      </c>
      <c r="F340" s="1" t="s">
        <v>16</v>
      </c>
      <c r="G340" s="1">
        <v>4</v>
      </c>
      <c r="H340" s="1" t="s">
        <v>16</v>
      </c>
      <c r="I340" s="1" t="s">
        <v>16</v>
      </c>
      <c r="J340" s="1" t="s">
        <v>16</v>
      </c>
      <c r="K340" s="1" t="s">
        <v>17</v>
      </c>
      <c r="L340" s="1" t="s">
        <v>17</v>
      </c>
      <c r="M340" s="1" t="s">
        <v>17</v>
      </c>
      <c r="N340" s="1" t="s">
        <v>16</v>
      </c>
    </row>
    <row r="341" spans="1:14" x14ac:dyDescent="0.25">
      <c r="A341" s="9">
        <v>44572</v>
      </c>
      <c r="B341" s="1" t="s">
        <v>15</v>
      </c>
      <c r="C341" s="1">
        <v>7</v>
      </c>
      <c r="D341" s="1">
        <v>2</v>
      </c>
      <c r="E341" s="14">
        <v>53.36</v>
      </c>
      <c r="F341" s="1" t="s">
        <v>16</v>
      </c>
      <c r="G341" s="1">
        <v>4</v>
      </c>
      <c r="H341" s="1" t="s">
        <v>16</v>
      </c>
      <c r="I341" s="1" t="s">
        <v>16</v>
      </c>
      <c r="J341" s="1" t="s">
        <v>16</v>
      </c>
      <c r="K341" s="1" t="s">
        <v>17</v>
      </c>
      <c r="L341" s="1" t="s">
        <v>17</v>
      </c>
      <c r="M341" s="1" t="s">
        <v>17</v>
      </c>
      <c r="N341" s="1" t="s">
        <v>16</v>
      </c>
    </row>
    <row r="342" spans="1:14" x14ac:dyDescent="0.25">
      <c r="A342" s="9">
        <v>44572</v>
      </c>
      <c r="B342" s="1" t="s">
        <v>15</v>
      </c>
      <c r="C342" s="1">
        <v>8</v>
      </c>
      <c r="D342" s="1">
        <v>2</v>
      </c>
      <c r="E342" s="14">
        <v>45.98</v>
      </c>
      <c r="F342" s="1" t="s">
        <v>16</v>
      </c>
      <c r="G342" s="1">
        <v>4</v>
      </c>
      <c r="H342" s="1" t="s">
        <v>16</v>
      </c>
      <c r="I342" s="1" t="s">
        <v>16</v>
      </c>
      <c r="J342" s="1" t="s">
        <v>16</v>
      </c>
      <c r="K342" s="1" t="s">
        <v>17</v>
      </c>
      <c r="L342" s="1" t="s">
        <v>17</v>
      </c>
      <c r="M342" s="1" t="s">
        <v>17</v>
      </c>
      <c r="N342" s="1" t="s">
        <v>16</v>
      </c>
    </row>
    <row r="343" spans="1:14" x14ac:dyDescent="0.25">
      <c r="A343" s="9">
        <v>44572</v>
      </c>
      <c r="B343" s="1" t="s">
        <v>15</v>
      </c>
      <c r="C343" s="1">
        <v>9</v>
      </c>
      <c r="D343" s="1">
        <v>2</v>
      </c>
      <c r="E343" s="14">
        <v>49.77</v>
      </c>
      <c r="F343" s="1" t="s">
        <v>16</v>
      </c>
      <c r="G343" s="1">
        <v>4</v>
      </c>
      <c r="H343" s="1" t="s">
        <v>16</v>
      </c>
      <c r="I343" s="1" t="s">
        <v>16</v>
      </c>
      <c r="J343" s="1" t="s">
        <v>16</v>
      </c>
      <c r="K343" s="1" t="s">
        <v>17</v>
      </c>
      <c r="L343" s="1" t="s">
        <v>17</v>
      </c>
      <c r="M343" s="1" t="s">
        <v>17</v>
      </c>
      <c r="N343" s="1" t="s">
        <v>16</v>
      </c>
    </row>
    <row r="344" spans="1:14" x14ac:dyDescent="0.25">
      <c r="A344" s="9">
        <v>44572</v>
      </c>
      <c r="B344" s="1" t="s">
        <v>15</v>
      </c>
      <c r="C344" s="1">
        <v>10</v>
      </c>
      <c r="D344" s="1">
        <v>2</v>
      </c>
      <c r="E344" s="14">
        <v>46.47</v>
      </c>
      <c r="F344" s="1" t="s">
        <v>18</v>
      </c>
      <c r="G344" s="1">
        <v>1</v>
      </c>
      <c r="H344" s="1" t="s">
        <v>16</v>
      </c>
      <c r="I344" s="1" t="s">
        <v>16</v>
      </c>
      <c r="J344" s="1" t="s">
        <v>16</v>
      </c>
      <c r="K344" s="1" t="s">
        <v>17</v>
      </c>
      <c r="L344" s="1" t="s">
        <v>17</v>
      </c>
      <c r="M344" s="1" t="s">
        <v>17</v>
      </c>
      <c r="N344" s="1" t="s">
        <v>16</v>
      </c>
    </row>
    <row r="345" spans="1:14" x14ac:dyDescent="0.25">
      <c r="A345" s="9">
        <v>44572</v>
      </c>
      <c r="B345" s="1" t="s">
        <v>15</v>
      </c>
      <c r="C345" s="1">
        <v>11</v>
      </c>
      <c r="D345" s="1">
        <v>3</v>
      </c>
      <c r="E345" s="14">
        <v>45.39</v>
      </c>
      <c r="F345" s="1" t="s">
        <v>16</v>
      </c>
      <c r="G345" s="1">
        <v>4</v>
      </c>
      <c r="H345" s="1" t="s">
        <v>16</v>
      </c>
      <c r="I345" s="1" t="s">
        <v>16</v>
      </c>
      <c r="J345" s="1" t="s">
        <v>16</v>
      </c>
      <c r="K345" s="1" t="s">
        <v>17</v>
      </c>
      <c r="L345" s="1" t="s">
        <v>17</v>
      </c>
      <c r="M345" s="1" t="s">
        <v>17</v>
      </c>
      <c r="N345" s="1" t="s">
        <v>16</v>
      </c>
    </row>
    <row r="346" spans="1:14" x14ac:dyDescent="0.25">
      <c r="A346" s="9">
        <v>44572</v>
      </c>
      <c r="B346" s="1" t="s">
        <v>15</v>
      </c>
      <c r="C346" s="1">
        <v>12</v>
      </c>
      <c r="D346" s="1">
        <v>3</v>
      </c>
      <c r="E346" s="14">
        <v>55.95</v>
      </c>
      <c r="F346" s="1" t="s">
        <v>16</v>
      </c>
      <c r="G346" s="1">
        <v>4</v>
      </c>
      <c r="H346" s="1" t="s">
        <v>16</v>
      </c>
      <c r="I346" s="1" t="s">
        <v>16</v>
      </c>
      <c r="J346" s="1" t="s">
        <v>16</v>
      </c>
      <c r="K346" s="1" t="s">
        <v>17</v>
      </c>
      <c r="L346" s="1" t="s">
        <v>17</v>
      </c>
      <c r="M346" s="1" t="s">
        <v>17</v>
      </c>
      <c r="N346" s="1" t="s">
        <v>16</v>
      </c>
    </row>
    <row r="347" spans="1:14" x14ac:dyDescent="0.25">
      <c r="A347" s="9">
        <v>44572</v>
      </c>
      <c r="B347" s="1" t="s">
        <v>15</v>
      </c>
      <c r="C347" s="1">
        <v>13</v>
      </c>
      <c r="D347" s="1">
        <v>3</v>
      </c>
      <c r="E347" s="14">
        <v>52.25</v>
      </c>
      <c r="F347" s="1" t="s">
        <v>16</v>
      </c>
      <c r="G347" s="1">
        <v>4</v>
      </c>
      <c r="H347" s="1" t="s">
        <v>16</v>
      </c>
      <c r="I347" s="1" t="s">
        <v>16</v>
      </c>
      <c r="J347" s="1" t="s">
        <v>16</v>
      </c>
      <c r="K347" s="1" t="s">
        <v>17</v>
      </c>
      <c r="L347" s="1" t="s">
        <v>17</v>
      </c>
      <c r="M347" s="1" t="s">
        <v>17</v>
      </c>
      <c r="N347" s="1" t="s">
        <v>16</v>
      </c>
    </row>
    <row r="348" spans="1:14" x14ac:dyDescent="0.25">
      <c r="A348" s="9">
        <v>44572</v>
      </c>
      <c r="B348" s="1" t="s">
        <v>15</v>
      </c>
      <c r="C348" s="1">
        <v>14</v>
      </c>
      <c r="D348" s="1">
        <v>3</v>
      </c>
      <c r="E348" s="14">
        <v>52.52</v>
      </c>
      <c r="F348" s="1" t="s">
        <v>18</v>
      </c>
      <c r="G348" s="1">
        <v>1</v>
      </c>
      <c r="H348" s="1" t="s">
        <v>16</v>
      </c>
      <c r="I348" s="1" t="s">
        <v>16</v>
      </c>
      <c r="J348" s="1" t="s">
        <v>16</v>
      </c>
      <c r="K348" s="1" t="s">
        <v>17</v>
      </c>
      <c r="L348" s="1" t="s">
        <v>17</v>
      </c>
      <c r="M348" s="1" t="s">
        <v>17</v>
      </c>
      <c r="N348" s="1" t="s">
        <v>16</v>
      </c>
    </row>
    <row r="349" spans="1:14" x14ac:dyDescent="0.25">
      <c r="A349" s="9">
        <v>44572</v>
      </c>
      <c r="B349" s="1" t="s">
        <v>15</v>
      </c>
      <c r="C349" s="1">
        <v>15</v>
      </c>
      <c r="D349" s="1">
        <v>3</v>
      </c>
      <c r="E349" s="14">
        <v>40.29</v>
      </c>
      <c r="F349" s="1" t="s">
        <v>18</v>
      </c>
      <c r="G349" s="1">
        <v>1</v>
      </c>
      <c r="H349" s="1" t="s">
        <v>16</v>
      </c>
      <c r="I349" s="1" t="s">
        <v>16</v>
      </c>
      <c r="J349" s="1" t="s">
        <v>16</v>
      </c>
      <c r="K349" s="1" t="s">
        <v>21</v>
      </c>
      <c r="L349" s="1" t="s">
        <v>17</v>
      </c>
      <c r="M349" s="1" t="s">
        <v>17</v>
      </c>
      <c r="N349" s="1" t="s">
        <v>16</v>
      </c>
    </row>
    <row r="350" spans="1:14" x14ac:dyDescent="0.25">
      <c r="A350" s="9">
        <v>44601</v>
      </c>
      <c r="B350" s="1" t="s">
        <v>15</v>
      </c>
      <c r="C350" s="1">
        <v>1</v>
      </c>
      <c r="D350" s="1">
        <v>1</v>
      </c>
      <c r="E350" s="14">
        <v>57.49</v>
      </c>
      <c r="F350" s="1" t="s">
        <v>18</v>
      </c>
      <c r="G350" s="1">
        <v>1</v>
      </c>
      <c r="H350" s="1" t="s">
        <v>16</v>
      </c>
      <c r="I350" s="1" t="s">
        <v>16</v>
      </c>
      <c r="J350" s="1" t="s">
        <v>16</v>
      </c>
      <c r="K350" s="1" t="s">
        <v>17</v>
      </c>
      <c r="L350" s="1" t="s">
        <v>17</v>
      </c>
      <c r="M350" s="1" t="s">
        <v>17</v>
      </c>
      <c r="N350" s="1" t="s">
        <v>16</v>
      </c>
    </row>
    <row r="351" spans="1:14" x14ac:dyDescent="0.25">
      <c r="A351" s="9">
        <v>44601</v>
      </c>
      <c r="B351" s="1" t="s">
        <v>15</v>
      </c>
      <c r="C351" s="1">
        <v>2</v>
      </c>
      <c r="D351" s="1">
        <v>1</v>
      </c>
      <c r="E351" s="14">
        <v>66.040000000000006</v>
      </c>
      <c r="F351" s="1" t="s">
        <v>18</v>
      </c>
      <c r="G351" s="1">
        <v>1</v>
      </c>
      <c r="H351" s="1" t="s">
        <v>16</v>
      </c>
      <c r="I351" s="1" t="s">
        <v>16</v>
      </c>
      <c r="J351" s="1" t="s">
        <v>16</v>
      </c>
      <c r="K351" s="1" t="s">
        <v>17</v>
      </c>
      <c r="L351" s="1" t="s">
        <v>17</v>
      </c>
      <c r="M351" s="1" t="s">
        <v>17</v>
      </c>
      <c r="N351" s="1" t="s">
        <v>16</v>
      </c>
    </row>
    <row r="352" spans="1:14" x14ac:dyDescent="0.25">
      <c r="A352" s="9">
        <v>44601</v>
      </c>
      <c r="B352" s="1" t="s">
        <v>15</v>
      </c>
      <c r="C352" s="1">
        <v>3</v>
      </c>
      <c r="D352" s="1">
        <v>1</v>
      </c>
      <c r="E352" s="14">
        <v>44</v>
      </c>
      <c r="F352" s="1" t="s">
        <v>16</v>
      </c>
      <c r="G352" s="1">
        <v>4</v>
      </c>
      <c r="H352" s="1" t="s">
        <v>16</v>
      </c>
      <c r="I352" s="1" t="s">
        <v>16</v>
      </c>
      <c r="J352" s="1" t="s">
        <v>16</v>
      </c>
      <c r="K352" s="1" t="s">
        <v>17</v>
      </c>
      <c r="L352" s="1" t="s">
        <v>17</v>
      </c>
      <c r="M352" s="1" t="s">
        <v>17</v>
      </c>
      <c r="N352" s="1" t="s">
        <v>16</v>
      </c>
    </row>
    <row r="353" spans="1:14" x14ac:dyDescent="0.25">
      <c r="A353" s="9">
        <v>44601</v>
      </c>
      <c r="B353" s="1" t="s">
        <v>15</v>
      </c>
      <c r="C353" s="1">
        <v>4</v>
      </c>
      <c r="D353" s="1">
        <v>1</v>
      </c>
      <c r="E353" s="14">
        <v>48.19</v>
      </c>
      <c r="F353" s="1" t="s">
        <v>16</v>
      </c>
      <c r="G353" s="1">
        <v>4</v>
      </c>
      <c r="H353" s="1" t="s">
        <v>16</v>
      </c>
      <c r="I353" s="1" t="s">
        <v>16</v>
      </c>
      <c r="J353" s="1" t="s">
        <v>16</v>
      </c>
      <c r="K353" s="1" t="s">
        <v>17</v>
      </c>
      <c r="L353" s="1" t="s">
        <v>17</v>
      </c>
      <c r="M353" s="1" t="s">
        <v>17</v>
      </c>
      <c r="N353" s="1" t="s">
        <v>16</v>
      </c>
    </row>
    <row r="354" spans="1:14" x14ac:dyDescent="0.25">
      <c r="A354" s="9">
        <v>44601</v>
      </c>
      <c r="B354" s="1" t="s">
        <v>15</v>
      </c>
      <c r="C354" s="1">
        <v>5</v>
      </c>
      <c r="D354" s="1">
        <v>1</v>
      </c>
      <c r="E354" s="14">
        <v>53.62</v>
      </c>
      <c r="F354" s="1" t="s">
        <v>16</v>
      </c>
      <c r="G354" s="1">
        <v>4</v>
      </c>
      <c r="H354" s="1" t="s">
        <v>16</v>
      </c>
      <c r="I354" s="1" t="s">
        <v>16</v>
      </c>
      <c r="J354" s="1" t="s">
        <v>16</v>
      </c>
      <c r="K354" s="1" t="s">
        <v>17</v>
      </c>
      <c r="L354" s="1" t="s">
        <v>17</v>
      </c>
      <c r="M354" s="1" t="s">
        <v>17</v>
      </c>
      <c r="N354" s="1" t="s">
        <v>16</v>
      </c>
    </row>
    <row r="355" spans="1:14" x14ac:dyDescent="0.25">
      <c r="A355" s="9">
        <v>44601</v>
      </c>
      <c r="B355" s="1" t="s">
        <v>15</v>
      </c>
      <c r="C355" s="1">
        <v>6</v>
      </c>
      <c r="D355" s="1">
        <v>2</v>
      </c>
      <c r="E355" s="14">
        <v>60.36</v>
      </c>
      <c r="F355" s="1" t="s">
        <v>16</v>
      </c>
      <c r="G355" s="1">
        <v>4</v>
      </c>
      <c r="H355" s="1" t="s">
        <v>16</v>
      </c>
      <c r="I355" s="1" t="s">
        <v>16</v>
      </c>
      <c r="J355" s="1" t="s">
        <v>16</v>
      </c>
      <c r="K355" s="1" t="s">
        <v>17</v>
      </c>
      <c r="L355" s="1" t="s">
        <v>17</v>
      </c>
      <c r="M355" s="1" t="s">
        <v>17</v>
      </c>
      <c r="N355" s="1" t="s">
        <v>16</v>
      </c>
    </row>
    <row r="356" spans="1:14" x14ac:dyDescent="0.25">
      <c r="A356" s="9">
        <v>44601</v>
      </c>
      <c r="B356" s="1" t="s">
        <v>15</v>
      </c>
      <c r="C356" s="1">
        <v>7</v>
      </c>
      <c r="D356" s="1">
        <v>2</v>
      </c>
      <c r="E356" s="14">
        <v>68.5</v>
      </c>
      <c r="F356" s="1" t="s">
        <v>16</v>
      </c>
      <c r="G356" s="1">
        <v>4</v>
      </c>
      <c r="H356" s="1" t="s">
        <v>16</v>
      </c>
      <c r="I356" s="1" t="s">
        <v>16</v>
      </c>
      <c r="J356" s="1" t="s">
        <v>16</v>
      </c>
      <c r="K356" s="1" t="s">
        <v>17</v>
      </c>
      <c r="L356" s="1" t="s">
        <v>17</v>
      </c>
      <c r="M356" s="1" t="s">
        <v>17</v>
      </c>
      <c r="N356" s="1" t="s">
        <v>16</v>
      </c>
    </row>
    <row r="357" spans="1:14" x14ac:dyDescent="0.25">
      <c r="A357" s="9">
        <v>44601</v>
      </c>
      <c r="B357" s="1" t="s">
        <v>15</v>
      </c>
      <c r="C357" s="1">
        <v>8</v>
      </c>
      <c r="D357" s="1">
        <v>2</v>
      </c>
      <c r="E357" s="14">
        <v>54.65</v>
      </c>
      <c r="F357" s="1" t="s">
        <v>18</v>
      </c>
      <c r="G357" s="1">
        <v>1</v>
      </c>
      <c r="H357" s="1" t="s">
        <v>16</v>
      </c>
      <c r="I357" s="1" t="s">
        <v>16</v>
      </c>
      <c r="J357" s="1" t="s">
        <v>16</v>
      </c>
      <c r="K357" s="1" t="s">
        <v>21</v>
      </c>
      <c r="L357" s="1" t="s">
        <v>17</v>
      </c>
      <c r="M357" s="1" t="s">
        <v>17</v>
      </c>
      <c r="N357" s="1" t="s">
        <v>16</v>
      </c>
    </row>
    <row r="358" spans="1:14" x14ac:dyDescent="0.25">
      <c r="A358" s="9">
        <v>44601</v>
      </c>
      <c r="B358" s="1" t="s">
        <v>15</v>
      </c>
      <c r="C358" s="1">
        <v>9</v>
      </c>
      <c r="D358" s="1">
        <v>2</v>
      </c>
      <c r="E358" s="14">
        <v>53.76</v>
      </c>
      <c r="F358" s="1" t="s">
        <v>18</v>
      </c>
      <c r="G358" s="1">
        <v>1</v>
      </c>
      <c r="H358" s="1" t="s">
        <v>16</v>
      </c>
      <c r="I358" s="1" t="s">
        <v>16</v>
      </c>
      <c r="J358" s="1" t="s">
        <v>16</v>
      </c>
      <c r="K358" s="1" t="s">
        <v>17</v>
      </c>
      <c r="L358" s="1" t="s">
        <v>17</v>
      </c>
      <c r="M358" s="1" t="s">
        <v>17</v>
      </c>
      <c r="N358" s="1" t="s">
        <v>16</v>
      </c>
    </row>
    <row r="359" spans="1:14" x14ac:dyDescent="0.25">
      <c r="A359" s="9">
        <v>44601</v>
      </c>
      <c r="B359" s="1" t="s">
        <v>15</v>
      </c>
      <c r="C359" s="1">
        <v>10</v>
      </c>
      <c r="D359" s="1">
        <v>2</v>
      </c>
      <c r="E359" s="14">
        <v>54.8</v>
      </c>
      <c r="F359" s="1" t="s">
        <v>19</v>
      </c>
      <c r="G359" s="1">
        <v>3</v>
      </c>
      <c r="H359" s="1" t="s">
        <v>16</v>
      </c>
      <c r="I359" s="1" t="s">
        <v>16</v>
      </c>
      <c r="J359" s="1" t="s">
        <v>16</v>
      </c>
      <c r="K359" s="1" t="s">
        <v>17</v>
      </c>
      <c r="L359" s="1" t="s">
        <v>17</v>
      </c>
      <c r="M359" s="1" t="s">
        <v>17</v>
      </c>
      <c r="N359" s="1" t="s">
        <v>16</v>
      </c>
    </row>
    <row r="360" spans="1:14" x14ac:dyDescent="0.25">
      <c r="A360" s="9">
        <v>44601</v>
      </c>
      <c r="B360" s="1" t="s">
        <v>15</v>
      </c>
      <c r="C360" s="1">
        <v>11</v>
      </c>
      <c r="D360" s="1">
        <v>3</v>
      </c>
      <c r="E360" s="14">
        <v>70.150000000000006</v>
      </c>
      <c r="F360" s="1" t="s">
        <v>18</v>
      </c>
      <c r="G360" s="1">
        <v>1</v>
      </c>
      <c r="H360" s="1" t="s">
        <v>16</v>
      </c>
      <c r="I360" s="1" t="s">
        <v>16</v>
      </c>
      <c r="J360" s="1" t="s">
        <v>16</v>
      </c>
      <c r="K360" s="1" t="s">
        <v>17</v>
      </c>
      <c r="L360" s="1" t="s">
        <v>17</v>
      </c>
      <c r="M360" s="1" t="s">
        <v>17</v>
      </c>
      <c r="N360" s="1" t="s">
        <v>16</v>
      </c>
    </row>
    <row r="361" spans="1:14" x14ac:dyDescent="0.25">
      <c r="A361" s="9">
        <v>44601</v>
      </c>
      <c r="B361" s="1" t="s">
        <v>15</v>
      </c>
      <c r="C361" s="1">
        <v>12</v>
      </c>
      <c r="D361" s="1">
        <v>3</v>
      </c>
      <c r="E361" s="14">
        <v>54.52</v>
      </c>
      <c r="F361" s="1" t="s">
        <v>16</v>
      </c>
      <c r="G361" s="1">
        <v>4</v>
      </c>
      <c r="H361" s="1" t="s">
        <v>16</v>
      </c>
      <c r="I361" s="1" t="s">
        <v>16</v>
      </c>
      <c r="J361" s="1" t="s">
        <v>16</v>
      </c>
      <c r="K361" s="1" t="s">
        <v>21</v>
      </c>
      <c r="L361" s="1" t="s">
        <v>17</v>
      </c>
      <c r="M361" s="1" t="s">
        <v>17</v>
      </c>
      <c r="N361" s="1" t="s">
        <v>16</v>
      </c>
    </row>
    <row r="362" spans="1:14" x14ac:dyDescent="0.25">
      <c r="A362" s="9">
        <v>44601</v>
      </c>
      <c r="B362" s="1" t="s">
        <v>15</v>
      </c>
      <c r="C362" s="1">
        <v>13</v>
      </c>
      <c r="D362" s="1">
        <v>3</v>
      </c>
      <c r="E362" s="14">
        <v>47.43</v>
      </c>
      <c r="F362" s="1" t="s">
        <v>16</v>
      </c>
      <c r="G362" s="1">
        <v>4</v>
      </c>
      <c r="H362" s="1" t="s">
        <v>16</v>
      </c>
      <c r="I362" s="1" t="s">
        <v>16</v>
      </c>
      <c r="J362" s="1" t="s">
        <v>16</v>
      </c>
      <c r="K362" s="1" t="s">
        <v>17</v>
      </c>
      <c r="L362" s="1" t="s">
        <v>17</v>
      </c>
      <c r="M362" s="1" t="s">
        <v>17</v>
      </c>
      <c r="N362" s="1" t="s">
        <v>16</v>
      </c>
    </row>
    <row r="363" spans="1:14" x14ac:dyDescent="0.25">
      <c r="A363" s="9">
        <v>44601</v>
      </c>
      <c r="B363" s="1" t="s">
        <v>15</v>
      </c>
      <c r="C363" s="1">
        <v>14</v>
      </c>
      <c r="D363" s="1">
        <v>3</v>
      </c>
      <c r="E363" s="14">
        <v>42.17</v>
      </c>
      <c r="F363" s="1" t="s">
        <v>18</v>
      </c>
      <c r="G363" s="1">
        <v>1</v>
      </c>
      <c r="H363" s="1" t="s">
        <v>16</v>
      </c>
      <c r="I363" s="1" t="s">
        <v>16</v>
      </c>
      <c r="J363" s="1" t="s">
        <v>16</v>
      </c>
      <c r="K363" s="1" t="s">
        <v>17</v>
      </c>
      <c r="L363" s="1" t="s">
        <v>17</v>
      </c>
      <c r="M363" s="1" t="s">
        <v>17</v>
      </c>
      <c r="N363" s="1" t="s">
        <v>16</v>
      </c>
    </row>
    <row r="364" spans="1:14" x14ac:dyDescent="0.25">
      <c r="A364" s="9">
        <v>44601</v>
      </c>
      <c r="B364" s="1" t="s">
        <v>15</v>
      </c>
      <c r="C364" s="1">
        <v>15</v>
      </c>
      <c r="D364" s="1">
        <v>3</v>
      </c>
      <c r="E364" s="14">
        <v>38.76</v>
      </c>
      <c r="F364" s="1" t="s">
        <v>16</v>
      </c>
      <c r="G364" s="1">
        <v>4</v>
      </c>
      <c r="H364" s="1" t="s">
        <v>16</v>
      </c>
      <c r="I364" s="1" t="s">
        <v>16</v>
      </c>
      <c r="J364" s="1" t="s">
        <v>16</v>
      </c>
      <c r="K364" s="1" t="s">
        <v>17</v>
      </c>
      <c r="L364" s="1" t="s">
        <v>17</v>
      </c>
      <c r="M364" s="1" t="s">
        <v>17</v>
      </c>
      <c r="N364" s="1" t="s">
        <v>16</v>
      </c>
    </row>
    <row r="365" spans="1:14" x14ac:dyDescent="0.25">
      <c r="A365" s="9">
        <v>44629</v>
      </c>
      <c r="B365" s="1" t="s">
        <v>15</v>
      </c>
      <c r="C365" s="1">
        <v>1</v>
      </c>
      <c r="D365" s="1">
        <v>1</v>
      </c>
      <c r="E365" s="14">
        <v>45.75</v>
      </c>
      <c r="F365" s="1" t="s">
        <v>19</v>
      </c>
      <c r="G365" s="1" t="s">
        <v>16</v>
      </c>
      <c r="H365" s="1" t="s">
        <v>16</v>
      </c>
      <c r="I365" s="1" t="s">
        <v>16</v>
      </c>
      <c r="J365" s="1" t="s">
        <v>16</v>
      </c>
      <c r="K365" s="1" t="s">
        <v>21</v>
      </c>
      <c r="L365" s="1" t="s">
        <v>17</v>
      </c>
      <c r="M365" s="1" t="s">
        <v>21</v>
      </c>
      <c r="N365" s="1" t="s">
        <v>16</v>
      </c>
    </row>
    <row r="366" spans="1:14" x14ac:dyDescent="0.25">
      <c r="A366" s="9">
        <v>44629</v>
      </c>
      <c r="B366" s="1" t="s">
        <v>15</v>
      </c>
      <c r="C366" s="1">
        <v>2</v>
      </c>
      <c r="D366" s="1">
        <v>1</v>
      </c>
      <c r="E366" s="14">
        <v>52.46</v>
      </c>
      <c r="F366" s="1" t="s">
        <v>16</v>
      </c>
      <c r="G366" s="1" t="s">
        <v>16</v>
      </c>
      <c r="H366" s="1" t="s">
        <v>16</v>
      </c>
      <c r="I366" s="1" t="s">
        <v>16</v>
      </c>
      <c r="J366" s="1" t="s">
        <v>16</v>
      </c>
      <c r="K366" s="1" t="s">
        <v>17</v>
      </c>
      <c r="L366" s="1" t="s">
        <v>17</v>
      </c>
      <c r="M366" s="1" t="s">
        <v>21</v>
      </c>
      <c r="N366" s="1" t="s">
        <v>16</v>
      </c>
    </row>
    <row r="367" spans="1:14" x14ac:dyDescent="0.25">
      <c r="A367" s="9">
        <v>44629</v>
      </c>
      <c r="B367" s="1" t="s">
        <v>15</v>
      </c>
      <c r="C367" s="1">
        <v>3</v>
      </c>
      <c r="D367" s="1">
        <v>1</v>
      </c>
      <c r="E367" s="14">
        <v>48.47</v>
      </c>
      <c r="F367" s="1" t="s">
        <v>16</v>
      </c>
      <c r="G367" s="1">
        <v>4</v>
      </c>
      <c r="H367" s="1" t="s">
        <v>16</v>
      </c>
      <c r="I367" s="1" t="s">
        <v>16</v>
      </c>
      <c r="J367" s="1" t="s">
        <v>16</v>
      </c>
      <c r="K367" s="1" t="s">
        <v>17</v>
      </c>
      <c r="L367" s="1" t="s">
        <v>17</v>
      </c>
      <c r="M367" s="1" t="s">
        <v>17</v>
      </c>
      <c r="N367" s="1" t="s">
        <v>16</v>
      </c>
    </row>
    <row r="368" spans="1:14" x14ac:dyDescent="0.25">
      <c r="A368" s="9">
        <v>44629</v>
      </c>
      <c r="B368" s="1" t="s">
        <v>15</v>
      </c>
      <c r="C368" s="1">
        <v>4</v>
      </c>
      <c r="D368" s="1">
        <v>1</v>
      </c>
      <c r="E368" s="14">
        <v>42.27</v>
      </c>
      <c r="F368" s="1" t="s">
        <v>18</v>
      </c>
      <c r="G368" s="1">
        <v>1</v>
      </c>
      <c r="H368" s="1" t="s">
        <v>16</v>
      </c>
      <c r="I368" s="1" t="s">
        <v>16</v>
      </c>
      <c r="J368" s="1" t="s">
        <v>16</v>
      </c>
      <c r="K368" s="1" t="s">
        <v>17</v>
      </c>
      <c r="L368" s="1" t="s">
        <v>17</v>
      </c>
      <c r="M368" s="1" t="s">
        <v>17</v>
      </c>
      <c r="N368" s="1" t="s">
        <v>16</v>
      </c>
    </row>
    <row r="369" spans="1:14" x14ac:dyDescent="0.25">
      <c r="A369" s="9">
        <v>44629</v>
      </c>
      <c r="B369" s="1" t="s">
        <v>15</v>
      </c>
      <c r="C369" s="1">
        <v>5</v>
      </c>
      <c r="D369" s="1">
        <v>1</v>
      </c>
      <c r="E369" s="14">
        <v>48.72</v>
      </c>
      <c r="F369" s="1" t="s">
        <v>19</v>
      </c>
      <c r="G369" s="1">
        <v>2</v>
      </c>
      <c r="H369" s="1" t="s">
        <v>16</v>
      </c>
      <c r="I369" s="1" t="s">
        <v>16</v>
      </c>
      <c r="J369" s="1" t="s">
        <v>16</v>
      </c>
      <c r="K369" s="1" t="s">
        <v>17</v>
      </c>
      <c r="L369" s="1" t="s">
        <v>17</v>
      </c>
      <c r="M369" s="1" t="s">
        <v>17</v>
      </c>
      <c r="N369" s="1" t="s">
        <v>16</v>
      </c>
    </row>
    <row r="370" spans="1:14" x14ac:dyDescent="0.25">
      <c r="A370" s="9">
        <v>44629</v>
      </c>
      <c r="B370" s="1" t="s">
        <v>15</v>
      </c>
      <c r="C370" s="1">
        <v>6</v>
      </c>
      <c r="D370" s="1">
        <v>2</v>
      </c>
      <c r="E370" s="14">
        <v>50.83</v>
      </c>
      <c r="F370" s="1" t="s">
        <v>16</v>
      </c>
      <c r="G370" s="1">
        <v>4</v>
      </c>
      <c r="H370" s="1" t="s">
        <v>16</v>
      </c>
      <c r="I370" s="1" t="s">
        <v>16</v>
      </c>
      <c r="J370" s="1" t="s">
        <v>16</v>
      </c>
      <c r="K370" s="1" t="s">
        <v>17</v>
      </c>
      <c r="L370" s="1" t="s">
        <v>17</v>
      </c>
      <c r="M370" s="1" t="s">
        <v>17</v>
      </c>
      <c r="N370" s="1" t="s">
        <v>16</v>
      </c>
    </row>
    <row r="371" spans="1:14" x14ac:dyDescent="0.25">
      <c r="A371" s="9">
        <v>44629</v>
      </c>
      <c r="B371" s="1" t="s">
        <v>15</v>
      </c>
      <c r="C371" s="1">
        <v>7</v>
      </c>
      <c r="D371" s="1">
        <v>2</v>
      </c>
      <c r="E371" s="14">
        <v>55.23</v>
      </c>
      <c r="F371" s="1" t="s">
        <v>18</v>
      </c>
      <c r="G371" s="1">
        <v>1</v>
      </c>
      <c r="H371" s="1" t="s">
        <v>16</v>
      </c>
      <c r="I371" s="1" t="s">
        <v>16</v>
      </c>
      <c r="J371" s="1" t="s">
        <v>16</v>
      </c>
      <c r="K371" s="1" t="s">
        <v>17</v>
      </c>
      <c r="L371" s="1" t="s">
        <v>17</v>
      </c>
      <c r="M371" s="1" t="s">
        <v>17</v>
      </c>
      <c r="N371" s="1" t="s">
        <v>16</v>
      </c>
    </row>
    <row r="372" spans="1:14" x14ac:dyDescent="0.25">
      <c r="A372" s="9">
        <v>44629</v>
      </c>
      <c r="B372" s="1" t="s">
        <v>15</v>
      </c>
      <c r="C372" s="1">
        <v>8</v>
      </c>
      <c r="D372" s="1">
        <v>2</v>
      </c>
      <c r="E372" s="14">
        <v>55.83</v>
      </c>
      <c r="F372" s="1" t="s">
        <v>16</v>
      </c>
      <c r="G372" s="1" t="s">
        <v>16</v>
      </c>
      <c r="H372" s="1" t="s">
        <v>16</v>
      </c>
      <c r="I372" s="1" t="s">
        <v>16</v>
      </c>
      <c r="J372" s="1" t="s">
        <v>16</v>
      </c>
      <c r="K372" s="1" t="s">
        <v>17</v>
      </c>
      <c r="L372" s="1" t="s">
        <v>17</v>
      </c>
      <c r="M372" s="1" t="s">
        <v>21</v>
      </c>
      <c r="N372" s="1" t="s">
        <v>16</v>
      </c>
    </row>
    <row r="373" spans="1:14" x14ac:dyDescent="0.25">
      <c r="A373" s="9">
        <v>44629</v>
      </c>
      <c r="B373" s="1" t="s">
        <v>15</v>
      </c>
      <c r="C373" s="1">
        <v>9</v>
      </c>
      <c r="D373" s="1">
        <v>2</v>
      </c>
      <c r="E373" s="14">
        <v>49.02</v>
      </c>
      <c r="F373" s="1" t="s">
        <v>16</v>
      </c>
      <c r="G373" s="1" t="s">
        <v>16</v>
      </c>
      <c r="H373" s="1" t="s">
        <v>16</v>
      </c>
      <c r="I373" s="1" t="s">
        <v>16</v>
      </c>
      <c r="J373" s="1" t="s">
        <v>16</v>
      </c>
      <c r="K373" s="1" t="s">
        <v>17</v>
      </c>
      <c r="L373" s="1" t="s">
        <v>17</v>
      </c>
      <c r="M373" s="1" t="s">
        <v>21</v>
      </c>
      <c r="N373" s="1" t="s">
        <v>16</v>
      </c>
    </row>
    <row r="374" spans="1:14" x14ac:dyDescent="0.25">
      <c r="A374" s="9">
        <v>44629</v>
      </c>
      <c r="B374" s="1" t="s">
        <v>15</v>
      </c>
      <c r="C374" s="1">
        <v>10</v>
      </c>
      <c r="D374" s="1">
        <v>2</v>
      </c>
      <c r="E374" s="14">
        <v>55.7</v>
      </c>
      <c r="F374" s="1" t="s">
        <v>16</v>
      </c>
      <c r="G374" s="1" t="s">
        <v>16</v>
      </c>
      <c r="H374" s="1" t="s">
        <v>16</v>
      </c>
      <c r="I374" s="1" t="s">
        <v>16</v>
      </c>
      <c r="J374" s="1" t="s">
        <v>16</v>
      </c>
      <c r="K374" s="1" t="s">
        <v>17</v>
      </c>
      <c r="L374" s="1" t="s">
        <v>17</v>
      </c>
      <c r="M374" s="1" t="s">
        <v>21</v>
      </c>
      <c r="N374" s="1" t="s">
        <v>16</v>
      </c>
    </row>
    <row r="375" spans="1:14" x14ac:dyDescent="0.25">
      <c r="A375" s="9">
        <v>44629</v>
      </c>
      <c r="B375" s="1" t="s">
        <v>15</v>
      </c>
      <c r="C375" s="1">
        <v>11</v>
      </c>
      <c r="D375" s="1">
        <v>3</v>
      </c>
      <c r="E375" s="14">
        <v>53.32</v>
      </c>
      <c r="F375" s="1" t="s">
        <v>18</v>
      </c>
      <c r="G375" s="1">
        <v>2</v>
      </c>
      <c r="H375" s="1" t="s">
        <v>16</v>
      </c>
      <c r="I375" s="1" t="s">
        <v>16</v>
      </c>
      <c r="J375" s="1" t="s">
        <v>16</v>
      </c>
      <c r="K375" s="1" t="s">
        <v>17</v>
      </c>
      <c r="L375" s="1" t="s">
        <v>17</v>
      </c>
      <c r="M375" s="1" t="s">
        <v>17</v>
      </c>
      <c r="N375" s="1" t="s">
        <v>16</v>
      </c>
    </row>
    <row r="376" spans="1:14" x14ac:dyDescent="0.25">
      <c r="A376" s="9">
        <v>44629</v>
      </c>
      <c r="B376" s="1" t="s">
        <v>15</v>
      </c>
      <c r="C376" s="1">
        <v>12</v>
      </c>
      <c r="D376" s="1">
        <v>3</v>
      </c>
      <c r="E376" s="14">
        <v>67.44</v>
      </c>
      <c r="F376" s="1" t="s">
        <v>16</v>
      </c>
      <c r="G376" s="1">
        <v>4</v>
      </c>
      <c r="H376" s="1" t="s">
        <v>16</v>
      </c>
      <c r="I376" s="1" t="s">
        <v>16</v>
      </c>
      <c r="J376" s="1" t="s">
        <v>16</v>
      </c>
      <c r="K376" s="1" t="s">
        <v>17</v>
      </c>
      <c r="L376" s="1" t="s">
        <v>17</v>
      </c>
      <c r="M376" s="1" t="s">
        <v>17</v>
      </c>
      <c r="N376" s="1" t="s">
        <v>16</v>
      </c>
    </row>
    <row r="377" spans="1:14" x14ac:dyDescent="0.25">
      <c r="A377" s="9">
        <v>44629</v>
      </c>
      <c r="B377" s="1" t="s">
        <v>15</v>
      </c>
      <c r="C377" s="1">
        <v>13</v>
      </c>
      <c r="D377" s="1">
        <v>3</v>
      </c>
      <c r="E377" s="14">
        <v>50.66</v>
      </c>
      <c r="F377" s="1" t="s">
        <v>19</v>
      </c>
      <c r="G377" s="1">
        <v>2</v>
      </c>
      <c r="H377" s="1" t="s">
        <v>16</v>
      </c>
      <c r="I377" s="1" t="s">
        <v>16</v>
      </c>
      <c r="J377" s="1" t="s">
        <v>16</v>
      </c>
      <c r="K377" s="1" t="s">
        <v>17</v>
      </c>
      <c r="L377" s="1" t="s">
        <v>17</v>
      </c>
      <c r="M377" s="1" t="s">
        <v>17</v>
      </c>
      <c r="N377" s="1" t="s">
        <v>16</v>
      </c>
    </row>
    <row r="378" spans="1:14" x14ac:dyDescent="0.25">
      <c r="A378" s="9">
        <v>44629</v>
      </c>
      <c r="B378" s="1" t="s">
        <v>15</v>
      </c>
      <c r="C378" s="1">
        <v>14</v>
      </c>
      <c r="D378" s="1">
        <v>3</v>
      </c>
      <c r="E378" s="14">
        <v>53.91</v>
      </c>
      <c r="F378" s="1" t="s">
        <v>18</v>
      </c>
      <c r="G378" s="1">
        <v>2</v>
      </c>
      <c r="H378" s="1" t="s">
        <v>16</v>
      </c>
      <c r="I378" s="1" t="s">
        <v>16</v>
      </c>
      <c r="J378" s="1" t="s">
        <v>16</v>
      </c>
      <c r="K378" s="1" t="s">
        <v>17</v>
      </c>
      <c r="L378" s="1" t="s">
        <v>17</v>
      </c>
      <c r="M378" s="1" t="s">
        <v>17</v>
      </c>
      <c r="N378" s="1" t="s">
        <v>16</v>
      </c>
    </row>
    <row r="379" spans="1:14" x14ac:dyDescent="0.25">
      <c r="A379" s="9">
        <v>44629</v>
      </c>
      <c r="B379" s="1" t="s">
        <v>15</v>
      </c>
      <c r="C379" s="1">
        <v>15</v>
      </c>
      <c r="D379" s="1">
        <v>3</v>
      </c>
      <c r="E379" s="14">
        <v>62.06</v>
      </c>
      <c r="F379" s="1" t="s">
        <v>16</v>
      </c>
      <c r="G379" s="1" t="s">
        <v>16</v>
      </c>
      <c r="H379" s="1" t="s">
        <v>16</v>
      </c>
      <c r="I379" s="1" t="s">
        <v>16</v>
      </c>
      <c r="J379" s="1" t="s">
        <v>16</v>
      </c>
      <c r="K379" s="1" t="s">
        <v>17</v>
      </c>
      <c r="L379" s="1" t="s">
        <v>17</v>
      </c>
      <c r="M379" s="1" t="s">
        <v>21</v>
      </c>
      <c r="N379" s="1" t="s">
        <v>16</v>
      </c>
    </row>
    <row r="380" spans="1:14" x14ac:dyDescent="0.25">
      <c r="A380" s="9">
        <v>44656</v>
      </c>
      <c r="B380" s="1" t="s">
        <v>15</v>
      </c>
      <c r="C380" s="1">
        <v>1</v>
      </c>
      <c r="D380" s="1">
        <v>1</v>
      </c>
      <c r="E380" s="14">
        <v>55.81</v>
      </c>
      <c r="F380" s="1" t="s">
        <v>18</v>
      </c>
      <c r="G380" s="1">
        <v>3</v>
      </c>
      <c r="H380" s="1" t="s">
        <v>16</v>
      </c>
      <c r="I380" s="1" t="s">
        <v>16</v>
      </c>
      <c r="J380" s="1" t="s">
        <v>16</v>
      </c>
      <c r="K380" s="1" t="s">
        <v>21</v>
      </c>
      <c r="L380" s="1" t="s">
        <v>17</v>
      </c>
      <c r="M380" s="1" t="s">
        <v>17</v>
      </c>
      <c r="N380" s="1" t="s">
        <v>16</v>
      </c>
    </row>
    <row r="381" spans="1:14" x14ac:dyDescent="0.25">
      <c r="A381" s="9">
        <v>44656</v>
      </c>
      <c r="B381" s="1" t="s">
        <v>15</v>
      </c>
      <c r="C381" s="1">
        <v>2</v>
      </c>
      <c r="D381" s="1">
        <v>1</v>
      </c>
      <c r="E381" s="14">
        <v>44.43</v>
      </c>
      <c r="F381" s="1" t="s">
        <v>16</v>
      </c>
      <c r="G381" s="1" t="s">
        <v>16</v>
      </c>
      <c r="H381" s="1" t="s">
        <v>16</v>
      </c>
      <c r="I381" s="1" t="s">
        <v>16</v>
      </c>
      <c r="J381" s="1" t="s">
        <v>16</v>
      </c>
      <c r="K381" s="1" t="s">
        <v>20</v>
      </c>
      <c r="L381" s="1" t="s">
        <v>17</v>
      </c>
      <c r="M381" s="1" t="s">
        <v>17</v>
      </c>
      <c r="N381" s="1" t="s">
        <v>16</v>
      </c>
    </row>
    <row r="382" spans="1:14" x14ac:dyDescent="0.25">
      <c r="A382" s="9">
        <v>44656</v>
      </c>
      <c r="B382" s="1" t="s">
        <v>15</v>
      </c>
      <c r="C382" s="1">
        <v>3</v>
      </c>
      <c r="D382" s="1">
        <v>1</v>
      </c>
      <c r="E382" s="14">
        <v>43.89</v>
      </c>
      <c r="F382" s="1" t="s">
        <v>18</v>
      </c>
      <c r="G382" s="1">
        <v>2</v>
      </c>
      <c r="H382" s="1" t="s">
        <v>16</v>
      </c>
      <c r="I382" s="1" t="s">
        <v>16</v>
      </c>
      <c r="J382" s="1" t="s">
        <v>16</v>
      </c>
      <c r="K382" s="1" t="s">
        <v>17</v>
      </c>
      <c r="L382" s="1" t="s">
        <v>17</v>
      </c>
      <c r="M382" s="1" t="s">
        <v>17</v>
      </c>
      <c r="N382" s="1" t="s">
        <v>16</v>
      </c>
    </row>
    <row r="383" spans="1:14" x14ac:dyDescent="0.25">
      <c r="A383" s="9">
        <v>44656</v>
      </c>
      <c r="B383" s="1" t="s">
        <v>15</v>
      </c>
      <c r="C383" s="1">
        <v>4</v>
      </c>
      <c r="D383" s="1">
        <v>1</v>
      </c>
      <c r="E383" s="14">
        <v>63.26</v>
      </c>
      <c r="F383" s="1" t="s">
        <v>16</v>
      </c>
      <c r="G383" s="1">
        <v>4</v>
      </c>
      <c r="H383" s="1" t="s">
        <v>16</v>
      </c>
      <c r="I383" s="1" t="s">
        <v>16</v>
      </c>
      <c r="J383" s="1" t="s">
        <v>16</v>
      </c>
      <c r="K383" s="1" t="s">
        <v>21</v>
      </c>
      <c r="L383" s="1" t="s">
        <v>17</v>
      </c>
      <c r="M383" s="1" t="s">
        <v>17</v>
      </c>
      <c r="N383" s="1" t="s">
        <v>16</v>
      </c>
    </row>
    <row r="384" spans="1:14" x14ac:dyDescent="0.25">
      <c r="A384" s="9">
        <v>44656</v>
      </c>
      <c r="B384" s="1" t="s">
        <v>15</v>
      </c>
      <c r="C384" s="1">
        <v>5</v>
      </c>
      <c r="D384" s="1">
        <v>1</v>
      </c>
      <c r="E384" s="14">
        <v>47.63</v>
      </c>
      <c r="F384" s="1" t="s">
        <v>19</v>
      </c>
      <c r="G384" s="1">
        <v>2</v>
      </c>
      <c r="H384" s="1" t="s">
        <v>16</v>
      </c>
      <c r="I384" s="1" t="s">
        <v>16</v>
      </c>
      <c r="J384" s="1" t="s">
        <v>16</v>
      </c>
      <c r="K384" s="1" t="s">
        <v>17</v>
      </c>
      <c r="L384" s="1" t="s">
        <v>17</v>
      </c>
      <c r="M384" s="1" t="s">
        <v>17</v>
      </c>
      <c r="N384" s="1" t="s">
        <v>16</v>
      </c>
    </row>
    <row r="385" spans="1:14" x14ac:dyDescent="0.25">
      <c r="A385" s="9">
        <v>44656</v>
      </c>
      <c r="B385" s="1" t="s">
        <v>15</v>
      </c>
      <c r="C385" s="1">
        <v>6</v>
      </c>
      <c r="D385" s="1">
        <v>2</v>
      </c>
      <c r="E385" s="14">
        <v>46.06</v>
      </c>
      <c r="F385" s="1" t="s">
        <v>19</v>
      </c>
      <c r="G385" s="1">
        <v>2</v>
      </c>
      <c r="H385" s="1" t="s">
        <v>16</v>
      </c>
      <c r="I385" s="1" t="s">
        <v>16</v>
      </c>
      <c r="J385" s="1" t="s">
        <v>16</v>
      </c>
      <c r="K385" s="1" t="s">
        <v>17</v>
      </c>
      <c r="L385" s="1" t="s">
        <v>17</v>
      </c>
      <c r="M385" s="1" t="s">
        <v>17</v>
      </c>
      <c r="N385" s="1" t="s">
        <v>16</v>
      </c>
    </row>
    <row r="386" spans="1:14" x14ac:dyDescent="0.25">
      <c r="A386" s="9">
        <v>44656</v>
      </c>
      <c r="B386" s="1" t="s">
        <v>15</v>
      </c>
      <c r="C386" s="1">
        <v>7</v>
      </c>
      <c r="D386" s="1">
        <v>2</v>
      </c>
      <c r="E386" s="14">
        <v>60.45</v>
      </c>
      <c r="F386" s="1" t="s">
        <v>18</v>
      </c>
      <c r="G386" s="1">
        <v>2</v>
      </c>
      <c r="H386" s="1" t="s">
        <v>16</v>
      </c>
      <c r="I386" s="1" t="s">
        <v>16</v>
      </c>
      <c r="J386" s="1" t="s">
        <v>16</v>
      </c>
      <c r="K386" s="1" t="s">
        <v>17</v>
      </c>
      <c r="L386" s="1" t="s">
        <v>17</v>
      </c>
      <c r="M386" s="1" t="s">
        <v>17</v>
      </c>
      <c r="N386" s="1" t="s">
        <v>16</v>
      </c>
    </row>
    <row r="387" spans="1:14" x14ac:dyDescent="0.25">
      <c r="A387" s="9">
        <v>44656</v>
      </c>
      <c r="B387" s="1" t="s">
        <v>15</v>
      </c>
      <c r="C387" s="1">
        <v>8</v>
      </c>
      <c r="D387" s="1">
        <v>2</v>
      </c>
      <c r="E387" s="14">
        <v>56.18</v>
      </c>
      <c r="F387" s="1" t="s">
        <v>18</v>
      </c>
      <c r="G387" s="1">
        <v>2</v>
      </c>
      <c r="H387" s="1" t="s">
        <v>16</v>
      </c>
      <c r="I387" s="1" t="s">
        <v>16</v>
      </c>
      <c r="J387" s="1" t="s">
        <v>16</v>
      </c>
      <c r="K387" s="1" t="s">
        <v>17</v>
      </c>
      <c r="L387" s="1" t="s">
        <v>17</v>
      </c>
      <c r="M387" s="1" t="s">
        <v>17</v>
      </c>
      <c r="N387" s="1" t="s">
        <v>16</v>
      </c>
    </row>
    <row r="388" spans="1:14" x14ac:dyDescent="0.25">
      <c r="A388" s="9">
        <v>44656</v>
      </c>
      <c r="B388" s="1" t="s">
        <v>15</v>
      </c>
      <c r="C388" s="1">
        <v>9</v>
      </c>
      <c r="D388" s="1">
        <v>2</v>
      </c>
      <c r="E388" s="14">
        <v>61.8</v>
      </c>
      <c r="F388" s="1" t="s">
        <v>18</v>
      </c>
      <c r="G388" s="1">
        <v>1</v>
      </c>
      <c r="H388" s="1" t="s">
        <v>16</v>
      </c>
      <c r="I388" s="1" t="s">
        <v>16</v>
      </c>
      <c r="J388" s="1" t="s">
        <v>16</v>
      </c>
      <c r="K388" s="1" t="s">
        <v>21</v>
      </c>
      <c r="L388" s="1" t="s">
        <v>17</v>
      </c>
      <c r="M388" s="1" t="s">
        <v>17</v>
      </c>
      <c r="N388" s="1" t="s">
        <v>16</v>
      </c>
    </row>
    <row r="389" spans="1:14" x14ac:dyDescent="0.25">
      <c r="A389" s="9">
        <v>44656</v>
      </c>
      <c r="B389" s="1" t="s">
        <v>15</v>
      </c>
      <c r="C389" s="1">
        <v>10</v>
      </c>
      <c r="D389" s="1">
        <v>2</v>
      </c>
      <c r="E389" s="14">
        <v>56.18</v>
      </c>
      <c r="F389" s="1" t="s">
        <v>19</v>
      </c>
      <c r="G389" s="1">
        <v>1</v>
      </c>
      <c r="H389" s="1" t="s">
        <v>16</v>
      </c>
      <c r="I389" s="1" t="s">
        <v>16</v>
      </c>
      <c r="J389" s="1" t="s">
        <v>16</v>
      </c>
      <c r="K389" s="1" t="s">
        <v>17</v>
      </c>
      <c r="L389" s="1" t="s">
        <v>17</v>
      </c>
      <c r="M389" s="1" t="s">
        <v>21</v>
      </c>
      <c r="N389" s="1" t="s">
        <v>16</v>
      </c>
    </row>
    <row r="390" spans="1:14" x14ac:dyDescent="0.25">
      <c r="A390" s="9">
        <v>44656</v>
      </c>
      <c r="B390" s="1" t="s">
        <v>15</v>
      </c>
      <c r="C390" s="1">
        <v>11</v>
      </c>
      <c r="D390" s="1">
        <v>3</v>
      </c>
      <c r="E390" s="14">
        <v>60.47</v>
      </c>
      <c r="F390" s="1" t="s">
        <v>18</v>
      </c>
      <c r="G390" s="1">
        <v>2</v>
      </c>
      <c r="H390" s="1" t="s">
        <v>16</v>
      </c>
      <c r="I390" s="1" t="s">
        <v>16</v>
      </c>
      <c r="J390" s="1" t="s">
        <v>16</v>
      </c>
      <c r="K390" s="1" t="s">
        <v>17</v>
      </c>
      <c r="L390" s="1" t="s">
        <v>17</v>
      </c>
      <c r="M390" s="1" t="s">
        <v>17</v>
      </c>
      <c r="N390" s="1" t="s">
        <v>16</v>
      </c>
    </row>
    <row r="391" spans="1:14" x14ac:dyDescent="0.25">
      <c r="A391" s="9">
        <v>44656</v>
      </c>
      <c r="B391" s="1" t="s">
        <v>15</v>
      </c>
      <c r="C391" s="1">
        <v>12</v>
      </c>
      <c r="D391" s="1">
        <v>3</v>
      </c>
      <c r="E391" s="14">
        <v>60.11</v>
      </c>
      <c r="F391" s="1" t="s">
        <v>18</v>
      </c>
      <c r="G391" s="1">
        <v>2</v>
      </c>
      <c r="H391" s="1" t="s">
        <v>16</v>
      </c>
      <c r="I391" s="1" t="s">
        <v>16</v>
      </c>
      <c r="J391" s="1" t="s">
        <v>16</v>
      </c>
      <c r="K391" s="1" t="s">
        <v>17</v>
      </c>
      <c r="L391" s="1" t="s">
        <v>17</v>
      </c>
      <c r="M391" s="1" t="s">
        <v>17</v>
      </c>
      <c r="N391" s="1" t="s">
        <v>16</v>
      </c>
    </row>
    <row r="392" spans="1:14" x14ac:dyDescent="0.25">
      <c r="A392" s="9">
        <v>44656</v>
      </c>
      <c r="B392" s="1" t="s">
        <v>15</v>
      </c>
      <c r="C392" s="1">
        <v>13</v>
      </c>
      <c r="D392" s="1">
        <v>3</v>
      </c>
      <c r="E392" s="14">
        <v>60.41</v>
      </c>
      <c r="F392" s="1" t="s">
        <v>19</v>
      </c>
      <c r="G392" s="1">
        <v>2</v>
      </c>
      <c r="H392" s="1" t="s">
        <v>16</v>
      </c>
      <c r="I392" s="1" t="s">
        <v>16</v>
      </c>
      <c r="J392" s="1" t="s">
        <v>16</v>
      </c>
      <c r="K392" s="1" t="s">
        <v>17</v>
      </c>
      <c r="L392" s="1" t="s">
        <v>17</v>
      </c>
      <c r="M392" s="1" t="s">
        <v>17</v>
      </c>
      <c r="N392" s="1" t="s">
        <v>16</v>
      </c>
    </row>
    <row r="393" spans="1:14" x14ac:dyDescent="0.25">
      <c r="A393" s="9">
        <v>44656</v>
      </c>
      <c r="B393" s="1" t="s">
        <v>15</v>
      </c>
      <c r="C393" s="1">
        <v>14</v>
      </c>
      <c r="D393" s="1">
        <v>3</v>
      </c>
      <c r="E393" s="14">
        <v>79.459999999999994</v>
      </c>
      <c r="F393" s="1" t="s">
        <v>18</v>
      </c>
      <c r="G393" s="1">
        <v>3</v>
      </c>
      <c r="H393" s="1" t="s">
        <v>16</v>
      </c>
      <c r="I393" s="1" t="s">
        <v>16</v>
      </c>
      <c r="J393" s="1" t="s">
        <v>16</v>
      </c>
      <c r="K393" s="1" t="s">
        <v>21</v>
      </c>
      <c r="L393" s="1" t="s">
        <v>17</v>
      </c>
      <c r="M393" s="1" t="s">
        <v>17</v>
      </c>
      <c r="N393" s="1" t="s">
        <v>16</v>
      </c>
    </row>
    <row r="394" spans="1:14" x14ac:dyDescent="0.25">
      <c r="A394" s="9">
        <v>44656</v>
      </c>
      <c r="B394" s="1" t="s">
        <v>15</v>
      </c>
      <c r="C394" s="1">
        <v>15</v>
      </c>
      <c r="D394" s="1">
        <v>3</v>
      </c>
      <c r="E394" s="14">
        <v>42.95</v>
      </c>
      <c r="F394" s="1" t="s">
        <v>19</v>
      </c>
      <c r="G394" s="1">
        <v>2</v>
      </c>
      <c r="H394" s="1" t="s">
        <v>16</v>
      </c>
      <c r="I394" s="1" t="s">
        <v>16</v>
      </c>
      <c r="J394" s="1" t="s">
        <v>16</v>
      </c>
      <c r="K394" s="1" t="s">
        <v>21</v>
      </c>
      <c r="L394" s="1" t="s">
        <v>17</v>
      </c>
      <c r="M394" s="1" t="s">
        <v>17</v>
      </c>
      <c r="N394" s="1" t="s">
        <v>16</v>
      </c>
    </row>
    <row r="395" spans="1:14" x14ac:dyDescent="0.25">
      <c r="A395" s="9">
        <v>44684</v>
      </c>
      <c r="B395" s="1" t="s">
        <v>15</v>
      </c>
      <c r="C395" s="1">
        <v>1</v>
      </c>
      <c r="D395" s="1">
        <v>1</v>
      </c>
      <c r="E395" s="14">
        <v>53.06</v>
      </c>
      <c r="F395" s="1" t="s">
        <v>19</v>
      </c>
      <c r="G395" s="1">
        <v>2</v>
      </c>
      <c r="H395" s="1" t="s">
        <v>16</v>
      </c>
      <c r="I395" s="1" t="s">
        <v>16</v>
      </c>
      <c r="J395" s="1" t="s">
        <v>16</v>
      </c>
      <c r="K395" s="1" t="s">
        <v>17</v>
      </c>
      <c r="L395" s="1" t="s">
        <v>17</v>
      </c>
      <c r="M395" s="1" t="s">
        <v>17</v>
      </c>
      <c r="N395" s="1" t="s">
        <v>16</v>
      </c>
    </row>
    <row r="396" spans="1:14" x14ac:dyDescent="0.25">
      <c r="A396" s="9">
        <v>44684</v>
      </c>
      <c r="B396" s="1" t="s">
        <v>15</v>
      </c>
      <c r="C396" s="1">
        <v>2</v>
      </c>
      <c r="D396" s="1">
        <v>1</v>
      </c>
      <c r="E396" s="14">
        <v>51.1</v>
      </c>
      <c r="F396" s="1" t="s">
        <v>18</v>
      </c>
      <c r="G396" s="1">
        <v>2</v>
      </c>
      <c r="H396" s="1" t="s">
        <v>16</v>
      </c>
      <c r="I396" s="1" t="s">
        <v>16</v>
      </c>
      <c r="J396" s="1" t="s">
        <v>16</v>
      </c>
      <c r="K396" s="1" t="s">
        <v>17</v>
      </c>
      <c r="L396" s="1" t="s">
        <v>17</v>
      </c>
      <c r="M396" s="1" t="s">
        <v>17</v>
      </c>
      <c r="N396" s="1" t="s">
        <v>16</v>
      </c>
    </row>
    <row r="397" spans="1:14" x14ac:dyDescent="0.25">
      <c r="A397" s="9">
        <v>44684</v>
      </c>
      <c r="B397" s="1" t="s">
        <v>15</v>
      </c>
      <c r="C397" s="1">
        <v>3</v>
      </c>
      <c r="D397" s="1">
        <v>1</v>
      </c>
      <c r="E397" s="14">
        <v>47.49</v>
      </c>
      <c r="F397" s="1" t="s">
        <v>18</v>
      </c>
      <c r="G397" s="1">
        <v>2</v>
      </c>
      <c r="H397" s="1" t="s">
        <v>16</v>
      </c>
      <c r="I397" s="1" t="s">
        <v>16</v>
      </c>
      <c r="J397" s="1" t="s">
        <v>16</v>
      </c>
      <c r="K397" s="1" t="s">
        <v>17</v>
      </c>
      <c r="L397" s="1" t="s">
        <v>17</v>
      </c>
      <c r="M397" s="1" t="s">
        <v>17</v>
      </c>
      <c r="N397" s="1" t="s">
        <v>16</v>
      </c>
    </row>
    <row r="398" spans="1:14" x14ac:dyDescent="0.25">
      <c r="A398" s="9">
        <v>44684</v>
      </c>
      <c r="B398" s="1" t="s">
        <v>15</v>
      </c>
      <c r="C398" s="1">
        <v>4</v>
      </c>
      <c r="D398" s="1">
        <v>1</v>
      </c>
      <c r="E398" s="14">
        <v>57.21</v>
      </c>
      <c r="F398" s="1" t="s">
        <v>18</v>
      </c>
      <c r="G398" s="1">
        <v>2</v>
      </c>
      <c r="H398" s="1" t="s">
        <v>16</v>
      </c>
      <c r="I398" s="1" t="s">
        <v>16</v>
      </c>
      <c r="J398" s="1" t="s">
        <v>16</v>
      </c>
      <c r="K398" s="1" t="s">
        <v>17</v>
      </c>
      <c r="L398" s="1" t="s">
        <v>17</v>
      </c>
      <c r="M398" s="1" t="s">
        <v>17</v>
      </c>
      <c r="N398" s="1" t="s">
        <v>16</v>
      </c>
    </row>
    <row r="399" spans="1:14" x14ac:dyDescent="0.25">
      <c r="A399" s="9">
        <v>44684</v>
      </c>
      <c r="B399" s="1" t="s">
        <v>15</v>
      </c>
      <c r="C399" s="1">
        <v>5</v>
      </c>
      <c r="D399" s="1">
        <v>1</v>
      </c>
      <c r="E399" s="14">
        <v>43.5</v>
      </c>
      <c r="F399" s="1" t="s">
        <v>18</v>
      </c>
      <c r="G399" s="1">
        <v>2</v>
      </c>
      <c r="H399" s="1" t="s">
        <v>16</v>
      </c>
      <c r="I399" s="1" t="s">
        <v>16</v>
      </c>
      <c r="J399" s="1" t="s">
        <v>16</v>
      </c>
      <c r="K399" s="1" t="s">
        <v>21</v>
      </c>
      <c r="L399" s="1" t="s">
        <v>17</v>
      </c>
      <c r="M399" s="1" t="s">
        <v>17</v>
      </c>
      <c r="N399" s="1" t="s">
        <v>16</v>
      </c>
    </row>
    <row r="400" spans="1:14" x14ac:dyDescent="0.25">
      <c r="A400" s="9">
        <v>44684</v>
      </c>
      <c r="B400" s="1" t="s">
        <v>15</v>
      </c>
      <c r="C400" s="1">
        <v>6</v>
      </c>
      <c r="D400" s="1">
        <v>2</v>
      </c>
      <c r="E400" s="14">
        <v>54.53</v>
      </c>
      <c r="F400" s="1" t="s">
        <v>18</v>
      </c>
      <c r="G400" s="1">
        <v>3</v>
      </c>
      <c r="H400" s="1" t="s">
        <v>16</v>
      </c>
      <c r="I400" s="1" t="s">
        <v>16</v>
      </c>
      <c r="J400" s="1" t="s">
        <v>16</v>
      </c>
      <c r="K400" s="1" t="s">
        <v>17</v>
      </c>
      <c r="L400" s="1" t="s">
        <v>17</v>
      </c>
      <c r="M400" s="1" t="s">
        <v>17</v>
      </c>
      <c r="N400" s="1" t="s">
        <v>16</v>
      </c>
    </row>
    <row r="401" spans="1:14" x14ac:dyDescent="0.25">
      <c r="A401" s="9">
        <v>44684</v>
      </c>
      <c r="B401" s="1" t="s">
        <v>15</v>
      </c>
      <c r="C401" s="1">
        <v>7</v>
      </c>
      <c r="D401" s="1">
        <v>2</v>
      </c>
      <c r="E401" s="14">
        <v>78.31</v>
      </c>
      <c r="F401" s="1" t="s">
        <v>18</v>
      </c>
      <c r="G401" s="1">
        <v>2</v>
      </c>
      <c r="H401" s="1" t="s">
        <v>16</v>
      </c>
      <c r="I401" s="1" t="s">
        <v>16</v>
      </c>
      <c r="J401" s="1" t="s">
        <v>16</v>
      </c>
      <c r="K401" s="1" t="s">
        <v>17</v>
      </c>
      <c r="L401" s="1" t="s">
        <v>17</v>
      </c>
      <c r="M401" s="1" t="s">
        <v>17</v>
      </c>
      <c r="N401" s="1" t="s">
        <v>16</v>
      </c>
    </row>
    <row r="402" spans="1:14" x14ac:dyDescent="0.25">
      <c r="A402" s="9">
        <v>44684</v>
      </c>
      <c r="B402" s="1" t="s">
        <v>15</v>
      </c>
      <c r="C402" s="1">
        <v>8</v>
      </c>
      <c r="D402" s="1">
        <v>2</v>
      </c>
      <c r="E402" s="14">
        <v>63.81</v>
      </c>
      <c r="F402" s="1" t="s">
        <v>16</v>
      </c>
      <c r="G402" s="1">
        <v>4</v>
      </c>
      <c r="H402" s="1" t="s">
        <v>16</v>
      </c>
      <c r="I402" s="1" t="s">
        <v>16</v>
      </c>
      <c r="J402" s="1" t="s">
        <v>16</v>
      </c>
      <c r="K402" s="1" t="s">
        <v>21</v>
      </c>
      <c r="L402" s="1" t="s">
        <v>17</v>
      </c>
      <c r="M402" s="1" t="s">
        <v>17</v>
      </c>
      <c r="N402" s="1" t="s">
        <v>16</v>
      </c>
    </row>
    <row r="403" spans="1:14" x14ac:dyDescent="0.25">
      <c r="A403" s="9">
        <v>44684</v>
      </c>
      <c r="B403" s="1" t="s">
        <v>15</v>
      </c>
      <c r="C403" s="1">
        <v>9</v>
      </c>
      <c r="D403" s="1">
        <v>2</v>
      </c>
      <c r="E403" s="14">
        <v>56.3</v>
      </c>
      <c r="F403" s="1" t="s">
        <v>19</v>
      </c>
      <c r="G403" s="1">
        <v>2</v>
      </c>
      <c r="H403" s="1" t="s">
        <v>16</v>
      </c>
      <c r="I403" s="1" t="s">
        <v>16</v>
      </c>
      <c r="J403" s="1" t="s">
        <v>16</v>
      </c>
      <c r="K403" s="1" t="s">
        <v>17</v>
      </c>
      <c r="L403" s="1" t="s">
        <v>17</v>
      </c>
      <c r="M403" s="1" t="s">
        <v>17</v>
      </c>
      <c r="N403" s="1" t="s">
        <v>16</v>
      </c>
    </row>
    <row r="404" spans="1:14" x14ac:dyDescent="0.25">
      <c r="A404" s="9">
        <v>44684</v>
      </c>
      <c r="B404" s="1" t="s">
        <v>15</v>
      </c>
      <c r="C404" s="1">
        <v>10</v>
      </c>
      <c r="D404" s="1">
        <v>2</v>
      </c>
      <c r="E404" s="14">
        <v>56.24</v>
      </c>
      <c r="F404" s="1" t="s">
        <v>16</v>
      </c>
      <c r="G404" s="1">
        <v>4</v>
      </c>
      <c r="H404" s="1" t="s">
        <v>16</v>
      </c>
      <c r="I404" s="1" t="s">
        <v>16</v>
      </c>
      <c r="J404" s="1" t="s">
        <v>16</v>
      </c>
      <c r="K404" s="1" t="s">
        <v>17</v>
      </c>
      <c r="L404" s="1" t="s">
        <v>17</v>
      </c>
      <c r="M404" s="1" t="s">
        <v>17</v>
      </c>
      <c r="N404" s="1" t="s">
        <v>16</v>
      </c>
    </row>
    <row r="405" spans="1:14" x14ac:dyDescent="0.25">
      <c r="A405" s="9">
        <v>44684</v>
      </c>
      <c r="B405" s="1" t="s">
        <v>15</v>
      </c>
      <c r="C405" s="1">
        <v>11</v>
      </c>
      <c r="D405" s="1">
        <v>3</v>
      </c>
      <c r="E405" s="14">
        <v>49.65</v>
      </c>
      <c r="F405" s="1" t="s">
        <v>18</v>
      </c>
      <c r="G405" s="1">
        <v>2</v>
      </c>
      <c r="H405" s="1" t="s">
        <v>16</v>
      </c>
      <c r="I405" s="1" t="s">
        <v>16</v>
      </c>
      <c r="J405" s="1" t="s">
        <v>16</v>
      </c>
      <c r="K405" s="1" t="s">
        <v>17</v>
      </c>
      <c r="L405" s="1" t="s">
        <v>17</v>
      </c>
      <c r="M405" s="1" t="s">
        <v>17</v>
      </c>
      <c r="N405" s="1" t="s">
        <v>16</v>
      </c>
    </row>
    <row r="406" spans="1:14" x14ac:dyDescent="0.25">
      <c r="A406" s="9">
        <v>44684</v>
      </c>
      <c r="B406" s="1" t="s">
        <v>15</v>
      </c>
      <c r="C406" s="1">
        <v>12</v>
      </c>
      <c r="D406" s="1">
        <v>3</v>
      </c>
      <c r="E406" s="14">
        <v>56.07</v>
      </c>
      <c r="F406" s="1" t="s">
        <v>16</v>
      </c>
      <c r="G406" s="1">
        <v>4</v>
      </c>
      <c r="H406" s="1" t="s">
        <v>16</v>
      </c>
      <c r="I406" s="1" t="s">
        <v>16</v>
      </c>
      <c r="J406" s="1" t="s">
        <v>16</v>
      </c>
      <c r="K406" s="1" t="s">
        <v>21</v>
      </c>
      <c r="L406" s="1" t="s">
        <v>17</v>
      </c>
      <c r="M406" s="1" t="s">
        <v>17</v>
      </c>
      <c r="N406" s="1" t="s">
        <v>16</v>
      </c>
    </row>
    <row r="407" spans="1:14" x14ac:dyDescent="0.25">
      <c r="A407" s="9">
        <v>44684</v>
      </c>
      <c r="B407" s="1" t="s">
        <v>15</v>
      </c>
      <c r="C407" s="1">
        <v>13</v>
      </c>
      <c r="D407" s="1">
        <v>3</v>
      </c>
      <c r="E407" s="14">
        <v>52.16</v>
      </c>
      <c r="F407" s="1" t="s">
        <v>16</v>
      </c>
      <c r="G407" s="1">
        <v>4</v>
      </c>
      <c r="H407" s="1" t="s">
        <v>16</v>
      </c>
      <c r="I407" s="1" t="s">
        <v>16</v>
      </c>
      <c r="J407" s="1" t="s">
        <v>16</v>
      </c>
      <c r="K407" s="1" t="s">
        <v>17</v>
      </c>
      <c r="L407" s="1" t="s">
        <v>17</v>
      </c>
      <c r="M407" s="1" t="s">
        <v>17</v>
      </c>
      <c r="N407" s="1" t="s">
        <v>16</v>
      </c>
    </row>
    <row r="408" spans="1:14" x14ac:dyDescent="0.25">
      <c r="A408" s="9">
        <v>44684</v>
      </c>
      <c r="B408" s="1" t="s">
        <v>15</v>
      </c>
      <c r="C408" s="1">
        <v>14</v>
      </c>
      <c r="D408" s="1">
        <v>3</v>
      </c>
      <c r="E408" s="14">
        <v>57.69</v>
      </c>
      <c r="F408" s="1" t="s">
        <v>16</v>
      </c>
      <c r="G408" s="1">
        <v>4</v>
      </c>
      <c r="H408" s="1" t="s">
        <v>16</v>
      </c>
      <c r="I408" s="1" t="s">
        <v>16</v>
      </c>
      <c r="J408" s="1" t="s">
        <v>16</v>
      </c>
      <c r="K408" s="1" t="s">
        <v>21</v>
      </c>
      <c r="L408" s="1" t="s">
        <v>17</v>
      </c>
      <c r="M408" s="1" t="s">
        <v>17</v>
      </c>
      <c r="N408" s="1" t="s">
        <v>16</v>
      </c>
    </row>
    <row r="409" spans="1:14" x14ac:dyDescent="0.25">
      <c r="A409" s="9">
        <v>44684</v>
      </c>
      <c r="B409" s="1" t="s">
        <v>15</v>
      </c>
      <c r="C409" s="1">
        <v>15</v>
      </c>
      <c r="D409" s="1">
        <v>3</v>
      </c>
      <c r="E409" s="14">
        <v>52.19</v>
      </c>
      <c r="F409" s="1" t="s">
        <v>18</v>
      </c>
      <c r="G409" s="1">
        <v>2</v>
      </c>
      <c r="H409" s="1" t="s">
        <v>16</v>
      </c>
      <c r="I409" s="1" t="s">
        <v>16</v>
      </c>
      <c r="J409" s="1" t="s">
        <v>16</v>
      </c>
      <c r="K409" s="1" t="s">
        <v>17</v>
      </c>
      <c r="L409" s="1" t="s">
        <v>17</v>
      </c>
      <c r="M409" s="1" t="s">
        <v>17</v>
      </c>
      <c r="N409" s="1" t="s">
        <v>16</v>
      </c>
    </row>
    <row r="410" spans="1:14" x14ac:dyDescent="0.25">
      <c r="A410" s="9">
        <v>44720</v>
      </c>
      <c r="B410" s="1" t="s">
        <v>15</v>
      </c>
      <c r="C410" s="1">
        <v>1</v>
      </c>
      <c r="D410" s="1">
        <v>1</v>
      </c>
      <c r="E410" s="14">
        <v>48.66</v>
      </c>
      <c r="F410" s="1" t="s">
        <v>19</v>
      </c>
      <c r="G410" s="1">
        <v>2</v>
      </c>
      <c r="H410" s="1" t="s">
        <v>16</v>
      </c>
      <c r="I410" s="1" t="s">
        <v>16</v>
      </c>
      <c r="J410" s="1" t="s">
        <v>16</v>
      </c>
      <c r="K410" s="1" t="s">
        <v>17</v>
      </c>
      <c r="L410" s="1" t="s">
        <v>17</v>
      </c>
      <c r="M410" s="1" t="s">
        <v>17</v>
      </c>
      <c r="N410" s="1" t="s">
        <v>16</v>
      </c>
    </row>
    <row r="411" spans="1:14" x14ac:dyDescent="0.25">
      <c r="A411" s="9">
        <v>44720</v>
      </c>
      <c r="B411" s="1" t="s">
        <v>15</v>
      </c>
      <c r="C411" s="1">
        <v>2</v>
      </c>
      <c r="D411" s="1">
        <v>1</v>
      </c>
      <c r="E411" s="14">
        <v>44.5</v>
      </c>
      <c r="F411" s="1" t="s">
        <v>16</v>
      </c>
      <c r="G411" s="1">
        <v>4</v>
      </c>
      <c r="H411" s="1" t="s">
        <v>16</v>
      </c>
      <c r="I411" s="1" t="s">
        <v>16</v>
      </c>
      <c r="J411" s="1" t="s">
        <v>16</v>
      </c>
      <c r="K411" s="1" t="s">
        <v>17</v>
      </c>
      <c r="L411" s="1" t="s">
        <v>17</v>
      </c>
      <c r="M411" s="1" t="s">
        <v>17</v>
      </c>
      <c r="N411" s="1" t="s">
        <v>16</v>
      </c>
    </row>
    <row r="412" spans="1:14" x14ac:dyDescent="0.25">
      <c r="A412" s="9">
        <v>44720</v>
      </c>
      <c r="B412" s="1" t="s">
        <v>15</v>
      </c>
      <c r="C412" s="1">
        <v>3</v>
      </c>
      <c r="D412" s="1">
        <v>1</v>
      </c>
      <c r="E412" s="14">
        <v>47.81</v>
      </c>
      <c r="F412" s="1" t="s">
        <v>18</v>
      </c>
      <c r="G412" s="1">
        <v>2</v>
      </c>
      <c r="H412" s="1" t="s">
        <v>16</v>
      </c>
      <c r="I412" s="1" t="s">
        <v>16</v>
      </c>
      <c r="J412" s="1" t="s">
        <v>16</v>
      </c>
      <c r="K412" s="1" t="s">
        <v>17</v>
      </c>
      <c r="L412" s="1" t="s">
        <v>17</v>
      </c>
      <c r="M412" s="1" t="s">
        <v>17</v>
      </c>
      <c r="N412" s="1" t="s">
        <v>16</v>
      </c>
    </row>
    <row r="413" spans="1:14" x14ac:dyDescent="0.25">
      <c r="A413" s="9">
        <v>44720</v>
      </c>
      <c r="B413" s="1" t="s">
        <v>15</v>
      </c>
      <c r="C413" s="1">
        <v>4</v>
      </c>
      <c r="D413" s="1">
        <v>1</v>
      </c>
      <c r="E413" s="14">
        <v>50.25</v>
      </c>
      <c r="F413" s="1" t="s">
        <v>19</v>
      </c>
      <c r="G413" s="1">
        <v>2</v>
      </c>
      <c r="H413" s="1" t="s">
        <v>16</v>
      </c>
      <c r="I413" s="1" t="s">
        <v>16</v>
      </c>
      <c r="J413" s="1" t="s">
        <v>16</v>
      </c>
      <c r="K413" s="1" t="s">
        <v>17</v>
      </c>
      <c r="L413" s="1" t="s">
        <v>17</v>
      </c>
      <c r="M413" s="1" t="s">
        <v>17</v>
      </c>
      <c r="N413" s="1" t="s">
        <v>16</v>
      </c>
    </row>
    <row r="414" spans="1:14" x14ac:dyDescent="0.25">
      <c r="A414" s="9">
        <v>44720</v>
      </c>
      <c r="B414" s="1" t="s">
        <v>15</v>
      </c>
      <c r="C414" s="1">
        <v>5</v>
      </c>
      <c r="D414" s="1">
        <v>1</v>
      </c>
      <c r="E414" s="14">
        <v>49.85</v>
      </c>
      <c r="F414" s="1" t="s">
        <v>18</v>
      </c>
      <c r="G414" s="1">
        <v>2</v>
      </c>
      <c r="H414" s="1" t="s">
        <v>16</v>
      </c>
      <c r="I414" s="1" t="s">
        <v>16</v>
      </c>
      <c r="J414" s="1" t="s">
        <v>16</v>
      </c>
      <c r="K414" s="1" t="s">
        <v>17</v>
      </c>
      <c r="L414" s="1" t="s">
        <v>17</v>
      </c>
      <c r="M414" s="1" t="s">
        <v>17</v>
      </c>
      <c r="N414" s="1" t="s">
        <v>16</v>
      </c>
    </row>
    <row r="415" spans="1:14" x14ac:dyDescent="0.25">
      <c r="A415" s="9">
        <v>44720</v>
      </c>
      <c r="B415" s="1" t="s">
        <v>15</v>
      </c>
      <c r="C415" s="1">
        <v>6</v>
      </c>
      <c r="D415" s="1">
        <v>2</v>
      </c>
      <c r="E415" s="14">
        <v>68.260000000000005</v>
      </c>
      <c r="F415" s="1" t="s">
        <v>18</v>
      </c>
      <c r="G415" s="1">
        <v>2</v>
      </c>
      <c r="H415" s="1" t="s">
        <v>16</v>
      </c>
      <c r="I415" s="1" t="s">
        <v>16</v>
      </c>
      <c r="J415" s="1" t="s">
        <v>16</v>
      </c>
      <c r="K415" s="1" t="s">
        <v>17</v>
      </c>
      <c r="L415" s="1" t="s">
        <v>17</v>
      </c>
      <c r="M415" s="1" t="s">
        <v>17</v>
      </c>
      <c r="N415" s="1" t="s">
        <v>16</v>
      </c>
    </row>
    <row r="416" spans="1:14" x14ac:dyDescent="0.25">
      <c r="A416" s="9">
        <v>44720</v>
      </c>
      <c r="B416" s="1" t="s">
        <v>15</v>
      </c>
      <c r="C416" s="1">
        <v>7</v>
      </c>
      <c r="D416" s="1">
        <v>2</v>
      </c>
      <c r="E416" s="14">
        <v>52.14</v>
      </c>
      <c r="F416" s="1" t="s">
        <v>19</v>
      </c>
      <c r="G416" s="1">
        <v>2</v>
      </c>
      <c r="H416" s="1" t="s">
        <v>16</v>
      </c>
      <c r="I416" s="1" t="s">
        <v>16</v>
      </c>
      <c r="J416" s="1" t="s">
        <v>16</v>
      </c>
      <c r="K416" s="1" t="s">
        <v>17</v>
      </c>
      <c r="L416" s="1" t="s">
        <v>17</v>
      </c>
      <c r="M416" s="1" t="s">
        <v>17</v>
      </c>
      <c r="N416" s="1" t="s">
        <v>16</v>
      </c>
    </row>
    <row r="417" spans="1:14" x14ac:dyDescent="0.25">
      <c r="A417" s="9">
        <v>44720</v>
      </c>
      <c r="B417" s="1" t="s">
        <v>15</v>
      </c>
      <c r="C417" s="1">
        <v>8</v>
      </c>
      <c r="D417" s="1">
        <v>2</v>
      </c>
      <c r="E417" s="14">
        <v>50.88</v>
      </c>
      <c r="F417" s="1" t="s">
        <v>19</v>
      </c>
      <c r="G417" s="1">
        <v>2</v>
      </c>
      <c r="H417" s="1" t="s">
        <v>16</v>
      </c>
      <c r="I417" s="1" t="s">
        <v>16</v>
      </c>
      <c r="J417" s="1" t="s">
        <v>16</v>
      </c>
      <c r="K417" s="1" t="s">
        <v>17</v>
      </c>
      <c r="L417" s="1" t="s">
        <v>17</v>
      </c>
      <c r="M417" s="1" t="s">
        <v>17</v>
      </c>
      <c r="N417" s="1" t="s">
        <v>16</v>
      </c>
    </row>
    <row r="418" spans="1:14" x14ac:dyDescent="0.25">
      <c r="A418" s="9">
        <v>44720</v>
      </c>
      <c r="B418" s="1" t="s">
        <v>15</v>
      </c>
      <c r="C418" s="1">
        <v>9</v>
      </c>
      <c r="D418" s="1">
        <v>2</v>
      </c>
      <c r="E418" s="14">
        <v>56.13</v>
      </c>
      <c r="F418" s="1" t="s">
        <v>18</v>
      </c>
      <c r="G418" s="1">
        <v>2</v>
      </c>
      <c r="H418" s="1" t="s">
        <v>16</v>
      </c>
      <c r="I418" s="1" t="s">
        <v>16</v>
      </c>
      <c r="J418" s="1" t="s">
        <v>16</v>
      </c>
      <c r="K418" s="1" t="s">
        <v>17</v>
      </c>
      <c r="L418" s="1" t="s">
        <v>17</v>
      </c>
      <c r="M418" s="1" t="s">
        <v>17</v>
      </c>
      <c r="N418" s="1" t="s">
        <v>16</v>
      </c>
    </row>
    <row r="419" spans="1:14" x14ac:dyDescent="0.25">
      <c r="A419" s="9">
        <v>44720</v>
      </c>
      <c r="B419" s="1" t="s">
        <v>15</v>
      </c>
      <c r="C419" s="1">
        <v>10</v>
      </c>
      <c r="D419" s="1">
        <v>2</v>
      </c>
      <c r="E419" s="14">
        <v>48.03</v>
      </c>
      <c r="F419" s="1" t="s">
        <v>18</v>
      </c>
      <c r="G419" s="1">
        <v>2</v>
      </c>
      <c r="H419" s="1" t="s">
        <v>16</v>
      </c>
      <c r="I419" s="1" t="s">
        <v>16</v>
      </c>
      <c r="J419" s="1" t="s">
        <v>16</v>
      </c>
      <c r="K419" s="1" t="s">
        <v>17</v>
      </c>
      <c r="L419" s="1" t="s">
        <v>17</v>
      </c>
      <c r="M419" s="1" t="s">
        <v>17</v>
      </c>
      <c r="N419" s="1" t="s">
        <v>16</v>
      </c>
    </row>
    <row r="420" spans="1:14" x14ac:dyDescent="0.25">
      <c r="A420" s="9">
        <v>44720</v>
      </c>
      <c r="B420" s="1" t="s">
        <v>15</v>
      </c>
      <c r="C420" s="1">
        <v>11</v>
      </c>
      <c r="D420" s="1">
        <v>3</v>
      </c>
      <c r="E420" s="14">
        <v>61.55</v>
      </c>
      <c r="F420" s="1" t="s">
        <v>18</v>
      </c>
      <c r="G420" s="1">
        <v>2</v>
      </c>
      <c r="H420" s="1" t="s">
        <v>16</v>
      </c>
      <c r="I420" s="1" t="s">
        <v>16</v>
      </c>
      <c r="J420" s="1" t="s">
        <v>16</v>
      </c>
      <c r="K420" s="1" t="s">
        <v>17</v>
      </c>
      <c r="L420" s="1" t="s">
        <v>17</v>
      </c>
      <c r="M420" s="1" t="s">
        <v>17</v>
      </c>
      <c r="N420" s="1" t="s">
        <v>16</v>
      </c>
    </row>
    <row r="421" spans="1:14" x14ac:dyDescent="0.25">
      <c r="A421" s="9">
        <v>44720</v>
      </c>
      <c r="B421" s="1" t="s">
        <v>15</v>
      </c>
      <c r="C421" s="1">
        <v>12</v>
      </c>
      <c r="D421" s="1">
        <v>3</v>
      </c>
      <c r="E421" s="14">
        <v>42.89</v>
      </c>
      <c r="F421" s="1" t="s">
        <v>18</v>
      </c>
      <c r="G421" s="1">
        <v>2</v>
      </c>
      <c r="H421" s="1" t="s">
        <v>16</v>
      </c>
      <c r="I421" s="1" t="s">
        <v>16</v>
      </c>
      <c r="J421" s="1" t="s">
        <v>16</v>
      </c>
      <c r="K421" s="1" t="s">
        <v>17</v>
      </c>
      <c r="L421" s="1" t="s">
        <v>17</v>
      </c>
      <c r="M421" s="1" t="s">
        <v>17</v>
      </c>
      <c r="N421" s="1" t="s">
        <v>16</v>
      </c>
    </row>
    <row r="422" spans="1:14" x14ac:dyDescent="0.25">
      <c r="A422" s="9">
        <v>44720</v>
      </c>
      <c r="B422" s="1" t="s">
        <v>15</v>
      </c>
      <c r="C422" s="1">
        <v>13</v>
      </c>
      <c r="D422" s="1">
        <v>3</v>
      </c>
      <c r="E422" s="14">
        <v>38.409999999999997</v>
      </c>
      <c r="F422" s="1" t="s">
        <v>18</v>
      </c>
      <c r="G422" s="1">
        <v>2</v>
      </c>
      <c r="H422" s="1" t="s">
        <v>16</v>
      </c>
      <c r="I422" s="1" t="s">
        <v>16</v>
      </c>
      <c r="J422" s="1" t="s">
        <v>16</v>
      </c>
      <c r="K422" s="1" t="s">
        <v>17</v>
      </c>
      <c r="L422" s="1" t="s">
        <v>17</v>
      </c>
      <c r="M422" s="1" t="s">
        <v>17</v>
      </c>
      <c r="N422" s="1" t="s">
        <v>16</v>
      </c>
    </row>
    <row r="423" spans="1:14" x14ac:dyDescent="0.25">
      <c r="A423" s="9">
        <v>44720</v>
      </c>
      <c r="B423" s="1" t="s">
        <v>15</v>
      </c>
      <c r="C423" s="1">
        <v>14</v>
      </c>
      <c r="D423" s="1">
        <v>3</v>
      </c>
      <c r="E423" s="14">
        <v>45.84</v>
      </c>
      <c r="F423" s="1" t="s">
        <v>19</v>
      </c>
      <c r="G423" s="1">
        <v>2</v>
      </c>
      <c r="H423" s="1" t="s">
        <v>16</v>
      </c>
      <c r="I423" s="1" t="s">
        <v>16</v>
      </c>
      <c r="J423" s="1" t="s">
        <v>16</v>
      </c>
      <c r="K423" s="1" t="s">
        <v>17</v>
      </c>
      <c r="L423" s="1" t="s">
        <v>17</v>
      </c>
      <c r="M423" s="1" t="s">
        <v>17</v>
      </c>
      <c r="N423" s="1" t="s">
        <v>16</v>
      </c>
    </row>
    <row r="424" spans="1:14" x14ac:dyDescent="0.25">
      <c r="A424" s="9">
        <v>44720</v>
      </c>
      <c r="B424" s="1" t="s">
        <v>15</v>
      </c>
      <c r="C424" s="1">
        <v>15</v>
      </c>
      <c r="D424" s="1">
        <v>3</v>
      </c>
      <c r="E424" s="14">
        <v>35.590000000000003</v>
      </c>
      <c r="F424" s="1" t="s">
        <v>19</v>
      </c>
      <c r="G424" s="1">
        <v>2</v>
      </c>
      <c r="H424" s="1" t="s">
        <v>16</v>
      </c>
      <c r="I424" s="1" t="s">
        <v>16</v>
      </c>
      <c r="J424" s="1" t="s">
        <v>16</v>
      </c>
      <c r="K424" s="1" t="s">
        <v>17</v>
      </c>
      <c r="L424" s="1" t="s">
        <v>17</v>
      </c>
      <c r="M424" s="1" t="s">
        <v>17</v>
      </c>
      <c r="N424" s="1" t="s">
        <v>16</v>
      </c>
    </row>
    <row r="425" spans="1:14" x14ac:dyDescent="0.25">
      <c r="A425" s="9">
        <v>44747</v>
      </c>
      <c r="B425" s="1" t="s">
        <v>15</v>
      </c>
      <c r="C425" s="1">
        <v>1</v>
      </c>
      <c r="D425" s="1">
        <v>1</v>
      </c>
      <c r="E425" s="14">
        <v>49.78</v>
      </c>
      <c r="F425" s="1" t="s">
        <v>18</v>
      </c>
      <c r="G425" s="1">
        <v>2</v>
      </c>
      <c r="H425" s="1" t="s">
        <v>16</v>
      </c>
      <c r="I425" s="1" t="s">
        <v>16</v>
      </c>
      <c r="J425" s="1" t="s">
        <v>16</v>
      </c>
      <c r="K425" s="1" t="s">
        <v>17</v>
      </c>
      <c r="L425" s="1" t="s">
        <v>17</v>
      </c>
      <c r="M425" s="1" t="s">
        <v>17</v>
      </c>
      <c r="N425" s="1" t="s">
        <v>16</v>
      </c>
    </row>
    <row r="426" spans="1:14" x14ac:dyDescent="0.25">
      <c r="A426" s="9">
        <v>44747</v>
      </c>
      <c r="B426" s="1" t="s">
        <v>15</v>
      </c>
      <c r="C426" s="1">
        <v>2</v>
      </c>
      <c r="D426" s="1">
        <v>1</v>
      </c>
      <c r="E426" s="14">
        <v>48.7</v>
      </c>
      <c r="F426" s="1" t="s">
        <v>19</v>
      </c>
      <c r="G426" s="1">
        <v>2</v>
      </c>
      <c r="H426" s="1" t="s">
        <v>16</v>
      </c>
      <c r="I426" s="1" t="s">
        <v>16</v>
      </c>
      <c r="J426" s="1" t="s">
        <v>16</v>
      </c>
      <c r="K426" s="1" t="s">
        <v>17</v>
      </c>
      <c r="L426" s="1" t="s">
        <v>17</v>
      </c>
      <c r="M426" s="1" t="s">
        <v>17</v>
      </c>
      <c r="N426" s="1" t="s">
        <v>16</v>
      </c>
    </row>
    <row r="427" spans="1:14" x14ac:dyDescent="0.25">
      <c r="A427" s="9">
        <v>44747</v>
      </c>
      <c r="B427" s="1" t="s">
        <v>15</v>
      </c>
      <c r="C427" s="1">
        <v>3</v>
      </c>
      <c r="D427" s="1">
        <v>1</v>
      </c>
      <c r="E427" s="14">
        <v>52.16</v>
      </c>
      <c r="F427" s="1" t="s">
        <v>18</v>
      </c>
      <c r="G427" s="1">
        <v>2</v>
      </c>
      <c r="H427" s="1" t="s">
        <v>16</v>
      </c>
      <c r="I427" s="1" t="s">
        <v>16</v>
      </c>
      <c r="J427" s="1" t="s">
        <v>16</v>
      </c>
      <c r="K427" s="1" t="s">
        <v>17</v>
      </c>
      <c r="L427" s="1" t="s">
        <v>17</v>
      </c>
      <c r="M427" s="1" t="s">
        <v>17</v>
      </c>
      <c r="N427" s="1" t="s">
        <v>16</v>
      </c>
    </row>
    <row r="428" spans="1:14" x14ac:dyDescent="0.25">
      <c r="A428" s="9">
        <v>44747</v>
      </c>
      <c r="B428" s="1" t="s">
        <v>15</v>
      </c>
      <c r="C428" s="1">
        <v>4</v>
      </c>
      <c r="D428" s="1">
        <v>1</v>
      </c>
      <c r="E428" s="14">
        <v>42.75</v>
      </c>
      <c r="F428" s="1" t="s">
        <v>18</v>
      </c>
      <c r="G428" s="1">
        <v>2</v>
      </c>
      <c r="H428" s="1" t="s">
        <v>16</v>
      </c>
      <c r="I428" s="1" t="s">
        <v>16</v>
      </c>
      <c r="J428" s="1" t="s">
        <v>16</v>
      </c>
      <c r="K428" s="1" t="s">
        <v>17</v>
      </c>
      <c r="L428" s="1" t="s">
        <v>17</v>
      </c>
      <c r="M428" s="1" t="s">
        <v>17</v>
      </c>
      <c r="N428" s="1" t="s">
        <v>16</v>
      </c>
    </row>
    <row r="429" spans="1:14" x14ac:dyDescent="0.25">
      <c r="A429" s="9">
        <v>44747</v>
      </c>
      <c r="B429" s="1" t="s">
        <v>15</v>
      </c>
      <c r="C429" s="1">
        <v>5</v>
      </c>
      <c r="D429" s="1">
        <v>1</v>
      </c>
      <c r="E429" s="14">
        <v>49.77</v>
      </c>
      <c r="F429" s="1" t="s">
        <v>18</v>
      </c>
      <c r="G429" s="1">
        <v>2</v>
      </c>
      <c r="H429" s="1" t="s">
        <v>16</v>
      </c>
      <c r="I429" s="1" t="s">
        <v>16</v>
      </c>
      <c r="J429" s="1" t="s">
        <v>16</v>
      </c>
      <c r="K429" s="1" t="s">
        <v>17</v>
      </c>
      <c r="L429" s="1" t="s">
        <v>17</v>
      </c>
      <c r="M429" s="1" t="s">
        <v>17</v>
      </c>
      <c r="N429" s="1" t="s">
        <v>16</v>
      </c>
    </row>
    <row r="430" spans="1:14" x14ac:dyDescent="0.25">
      <c r="A430" s="9">
        <v>44747</v>
      </c>
      <c r="B430" s="1" t="s">
        <v>15</v>
      </c>
      <c r="C430" s="1">
        <v>6</v>
      </c>
      <c r="D430" s="1">
        <v>2</v>
      </c>
      <c r="E430" s="14">
        <v>67.27</v>
      </c>
      <c r="F430" s="1" t="s">
        <v>18</v>
      </c>
      <c r="G430" s="1">
        <v>2</v>
      </c>
      <c r="H430" s="1" t="s">
        <v>16</v>
      </c>
      <c r="I430" s="1" t="s">
        <v>16</v>
      </c>
      <c r="J430" s="1" t="s">
        <v>16</v>
      </c>
      <c r="K430" s="1" t="s">
        <v>21</v>
      </c>
      <c r="L430" s="1" t="s">
        <v>17</v>
      </c>
      <c r="M430" s="1" t="s">
        <v>17</v>
      </c>
      <c r="N430" s="1" t="s">
        <v>16</v>
      </c>
    </row>
    <row r="431" spans="1:14" x14ac:dyDescent="0.25">
      <c r="A431" s="9">
        <v>44747</v>
      </c>
      <c r="B431" s="1" t="s">
        <v>15</v>
      </c>
      <c r="C431" s="1">
        <v>7</v>
      </c>
      <c r="D431" s="1">
        <v>2</v>
      </c>
      <c r="E431" s="14">
        <v>59.72</v>
      </c>
      <c r="F431" s="1" t="s">
        <v>18</v>
      </c>
      <c r="G431" s="1">
        <v>2</v>
      </c>
      <c r="H431" s="1" t="s">
        <v>16</v>
      </c>
      <c r="I431" s="1" t="s">
        <v>16</v>
      </c>
      <c r="J431" s="1" t="s">
        <v>16</v>
      </c>
      <c r="K431" s="1" t="s">
        <v>17</v>
      </c>
      <c r="L431" s="1" t="s">
        <v>17</v>
      </c>
      <c r="M431" s="1" t="s">
        <v>17</v>
      </c>
      <c r="N431" s="1" t="s">
        <v>16</v>
      </c>
    </row>
    <row r="432" spans="1:14" x14ac:dyDescent="0.25">
      <c r="A432" s="9">
        <v>44747</v>
      </c>
      <c r="B432" s="1" t="s">
        <v>15</v>
      </c>
      <c r="C432" s="1">
        <v>8</v>
      </c>
      <c r="D432" s="1">
        <v>2</v>
      </c>
      <c r="E432" s="14">
        <v>62.49</v>
      </c>
      <c r="F432" s="1" t="s">
        <v>18</v>
      </c>
      <c r="G432" s="1">
        <v>2</v>
      </c>
      <c r="H432" s="1" t="s">
        <v>16</v>
      </c>
      <c r="I432" s="1" t="s">
        <v>16</v>
      </c>
      <c r="J432" s="1" t="s">
        <v>16</v>
      </c>
      <c r="K432" s="1" t="s">
        <v>17</v>
      </c>
      <c r="L432" s="1" t="s">
        <v>17</v>
      </c>
      <c r="M432" s="1" t="s">
        <v>17</v>
      </c>
      <c r="N432" s="1" t="s">
        <v>16</v>
      </c>
    </row>
    <row r="433" spans="1:14" x14ac:dyDescent="0.25">
      <c r="A433" s="9">
        <v>44747</v>
      </c>
      <c r="B433" s="1" t="s">
        <v>15</v>
      </c>
      <c r="C433" s="1">
        <v>9</v>
      </c>
      <c r="D433" s="1">
        <v>2</v>
      </c>
      <c r="E433" s="14">
        <v>49.38</v>
      </c>
      <c r="F433" s="1" t="s">
        <v>19</v>
      </c>
      <c r="G433" s="1">
        <v>2</v>
      </c>
      <c r="H433" s="1" t="s">
        <v>16</v>
      </c>
      <c r="I433" s="1" t="s">
        <v>16</v>
      </c>
      <c r="J433" s="1" t="s">
        <v>16</v>
      </c>
      <c r="K433" s="1" t="s">
        <v>17</v>
      </c>
      <c r="L433" s="1" t="s">
        <v>17</v>
      </c>
      <c r="M433" s="1" t="s">
        <v>17</v>
      </c>
      <c r="N433" s="1" t="s">
        <v>16</v>
      </c>
    </row>
    <row r="434" spans="1:14" x14ac:dyDescent="0.25">
      <c r="A434" s="9">
        <v>44747</v>
      </c>
      <c r="B434" s="1" t="s">
        <v>15</v>
      </c>
      <c r="C434" s="1">
        <v>10</v>
      </c>
      <c r="D434" s="1">
        <v>2</v>
      </c>
      <c r="E434" s="14">
        <v>46.26</v>
      </c>
      <c r="F434" s="1" t="s">
        <v>19</v>
      </c>
      <c r="G434" s="1">
        <v>2</v>
      </c>
      <c r="H434" s="1" t="s">
        <v>16</v>
      </c>
      <c r="I434" s="1" t="s">
        <v>16</v>
      </c>
      <c r="J434" s="1" t="s">
        <v>16</v>
      </c>
      <c r="K434" s="1" t="s">
        <v>17</v>
      </c>
      <c r="L434" s="1" t="s">
        <v>17</v>
      </c>
      <c r="M434" s="1" t="s">
        <v>17</v>
      </c>
      <c r="N434" s="1" t="s">
        <v>16</v>
      </c>
    </row>
    <row r="435" spans="1:14" x14ac:dyDescent="0.25">
      <c r="A435" s="9">
        <v>44747</v>
      </c>
      <c r="B435" s="1" t="s">
        <v>15</v>
      </c>
      <c r="C435" s="1">
        <v>11</v>
      </c>
      <c r="D435" s="1">
        <v>3</v>
      </c>
      <c r="E435" s="14">
        <v>59.96</v>
      </c>
      <c r="F435" s="1" t="s">
        <v>18</v>
      </c>
      <c r="G435" s="1">
        <v>2</v>
      </c>
      <c r="H435" s="1" t="s">
        <v>16</v>
      </c>
      <c r="I435" s="1" t="s">
        <v>16</v>
      </c>
      <c r="J435" s="1" t="s">
        <v>16</v>
      </c>
      <c r="K435" s="1" t="s">
        <v>17</v>
      </c>
      <c r="L435" s="1" t="s">
        <v>17</v>
      </c>
      <c r="M435" s="1" t="s">
        <v>21</v>
      </c>
      <c r="N435" s="1" t="s">
        <v>16</v>
      </c>
    </row>
    <row r="436" spans="1:14" x14ac:dyDescent="0.25">
      <c r="A436" s="9">
        <v>44747</v>
      </c>
      <c r="B436" s="1" t="s">
        <v>15</v>
      </c>
      <c r="C436" s="1">
        <v>12</v>
      </c>
      <c r="D436" s="1">
        <v>3</v>
      </c>
      <c r="E436" s="14">
        <v>54.43</v>
      </c>
      <c r="F436" s="1" t="s">
        <v>18</v>
      </c>
      <c r="G436" s="1">
        <v>2</v>
      </c>
      <c r="H436" s="1" t="s">
        <v>16</v>
      </c>
      <c r="I436" s="1" t="s">
        <v>16</v>
      </c>
      <c r="J436" s="1" t="s">
        <v>16</v>
      </c>
      <c r="K436" s="1" t="s">
        <v>17</v>
      </c>
      <c r="L436" s="1" t="s">
        <v>17</v>
      </c>
      <c r="M436" s="1" t="s">
        <v>17</v>
      </c>
      <c r="N436" s="1" t="s">
        <v>16</v>
      </c>
    </row>
    <row r="437" spans="1:14" x14ac:dyDescent="0.25">
      <c r="A437" s="9">
        <v>44747</v>
      </c>
      <c r="B437" s="1" t="s">
        <v>15</v>
      </c>
      <c r="C437" s="1">
        <v>13</v>
      </c>
      <c r="D437" s="1">
        <v>3</v>
      </c>
      <c r="E437" s="14">
        <v>49.59</v>
      </c>
      <c r="F437" s="1" t="s">
        <v>18</v>
      </c>
      <c r="G437" s="1">
        <v>2</v>
      </c>
      <c r="H437" s="1" t="s">
        <v>16</v>
      </c>
      <c r="I437" s="1" t="s">
        <v>16</v>
      </c>
      <c r="J437" s="1" t="s">
        <v>16</v>
      </c>
      <c r="K437" s="1" t="s">
        <v>17</v>
      </c>
      <c r="L437" s="1" t="s">
        <v>17</v>
      </c>
      <c r="M437" s="1" t="s">
        <v>17</v>
      </c>
      <c r="N437" s="1" t="s">
        <v>16</v>
      </c>
    </row>
    <row r="438" spans="1:14" x14ac:dyDescent="0.25">
      <c r="A438" s="9">
        <v>44747</v>
      </c>
      <c r="B438" s="1" t="s">
        <v>15</v>
      </c>
      <c r="C438" s="1">
        <v>14</v>
      </c>
      <c r="D438" s="1">
        <v>3</v>
      </c>
      <c r="E438" s="14">
        <v>52.5</v>
      </c>
      <c r="F438" s="1" t="s">
        <v>18</v>
      </c>
      <c r="G438" s="1">
        <v>2</v>
      </c>
      <c r="H438" s="1" t="s">
        <v>16</v>
      </c>
      <c r="I438" s="1" t="s">
        <v>16</v>
      </c>
      <c r="J438" s="1" t="s">
        <v>16</v>
      </c>
      <c r="K438" s="1" t="s">
        <v>17</v>
      </c>
      <c r="L438" s="1" t="s">
        <v>17</v>
      </c>
      <c r="M438" s="1" t="s">
        <v>17</v>
      </c>
      <c r="N438" s="1" t="s">
        <v>16</v>
      </c>
    </row>
    <row r="439" spans="1:14" x14ac:dyDescent="0.25">
      <c r="A439" s="9">
        <v>44747</v>
      </c>
      <c r="B439" s="1" t="s">
        <v>15</v>
      </c>
      <c r="C439" s="1">
        <v>15</v>
      </c>
      <c r="D439" s="1">
        <v>3</v>
      </c>
      <c r="E439" s="14">
        <v>46.7</v>
      </c>
      <c r="F439" s="1" t="s">
        <v>18</v>
      </c>
      <c r="G439" s="1">
        <v>2</v>
      </c>
      <c r="H439" s="1" t="s">
        <v>16</v>
      </c>
      <c r="I439" s="1" t="s">
        <v>16</v>
      </c>
      <c r="J439" s="1" t="s">
        <v>16</v>
      </c>
      <c r="K439" s="1" t="s">
        <v>17</v>
      </c>
      <c r="L439" s="1" t="s">
        <v>17</v>
      </c>
      <c r="M439" s="1" t="s">
        <v>17</v>
      </c>
      <c r="N439" s="1" t="s">
        <v>16</v>
      </c>
    </row>
    <row r="440" spans="1:14" x14ac:dyDescent="0.25">
      <c r="A440" s="9">
        <v>44775</v>
      </c>
      <c r="B440" s="1" t="s">
        <v>15</v>
      </c>
      <c r="C440" s="1">
        <v>1</v>
      </c>
      <c r="D440" s="1">
        <v>1</v>
      </c>
      <c r="E440" s="14">
        <v>56.77</v>
      </c>
      <c r="F440" s="1" t="s">
        <v>19</v>
      </c>
      <c r="G440" s="1">
        <v>2</v>
      </c>
      <c r="H440" s="1" t="s">
        <v>16</v>
      </c>
      <c r="I440" s="1" t="s">
        <v>16</v>
      </c>
      <c r="J440" s="1" t="s">
        <v>16</v>
      </c>
      <c r="K440" s="1" t="s">
        <v>17</v>
      </c>
      <c r="L440" s="1" t="s">
        <v>17</v>
      </c>
      <c r="M440" s="1" t="s">
        <v>17</v>
      </c>
      <c r="N440" s="1" t="s">
        <v>16</v>
      </c>
    </row>
    <row r="441" spans="1:14" x14ac:dyDescent="0.25">
      <c r="A441" s="9">
        <v>44775</v>
      </c>
      <c r="B441" s="1" t="s">
        <v>15</v>
      </c>
      <c r="C441" s="1">
        <v>2</v>
      </c>
      <c r="D441" s="1">
        <v>1</v>
      </c>
      <c r="E441" s="14">
        <v>55.35</v>
      </c>
      <c r="F441" s="1" t="s">
        <v>18</v>
      </c>
      <c r="G441" s="1">
        <v>2</v>
      </c>
      <c r="H441" s="1" t="s">
        <v>16</v>
      </c>
      <c r="I441" s="1" t="s">
        <v>16</v>
      </c>
      <c r="J441" s="1" t="s">
        <v>16</v>
      </c>
      <c r="K441" s="1" t="s">
        <v>17</v>
      </c>
      <c r="L441" s="1" t="s">
        <v>17</v>
      </c>
      <c r="M441" s="1" t="s">
        <v>17</v>
      </c>
      <c r="N441" s="1" t="s">
        <v>16</v>
      </c>
    </row>
    <row r="442" spans="1:14" x14ac:dyDescent="0.25">
      <c r="A442" s="9">
        <v>44775</v>
      </c>
      <c r="B442" s="1" t="s">
        <v>15</v>
      </c>
      <c r="C442" s="1">
        <v>3</v>
      </c>
      <c r="D442" s="1">
        <v>1</v>
      </c>
      <c r="E442" s="14">
        <v>49.22</v>
      </c>
      <c r="F442" s="1" t="s">
        <v>18</v>
      </c>
      <c r="G442" s="1">
        <v>2</v>
      </c>
      <c r="H442" s="1" t="s">
        <v>16</v>
      </c>
      <c r="I442" s="1" t="s">
        <v>16</v>
      </c>
      <c r="J442" s="1" t="s">
        <v>16</v>
      </c>
      <c r="K442" s="1" t="s">
        <v>17</v>
      </c>
      <c r="L442" s="1" t="s">
        <v>17</v>
      </c>
      <c r="M442" s="1" t="s">
        <v>17</v>
      </c>
      <c r="N442" s="1" t="s">
        <v>16</v>
      </c>
    </row>
    <row r="443" spans="1:14" x14ac:dyDescent="0.25">
      <c r="A443" s="9">
        <v>44775</v>
      </c>
      <c r="B443" s="1" t="s">
        <v>15</v>
      </c>
      <c r="C443" s="1">
        <v>4</v>
      </c>
      <c r="D443" s="1">
        <v>1</v>
      </c>
      <c r="E443" s="14">
        <v>48.57</v>
      </c>
      <c r="F443" s="1" t="s">
        <v>18</v>
      </c>
      <c r="G443" s="1">
        <v>2</v>
      </c>
      <c r="H443" s="1" t="s">
        <v>16</v>
      </c>
      <c r="I443" s="1" t="s">
        <v>16</v>
      </c>
      <c r="J443" s="1" t="s">
        <v>16</v>
      </c>
      <c r="K443" s="1" t="s">
        <v>17</v>
      </c>
      <c r="L443" s="1" t="s">
        <v>17</v>
      </c>
      <c r="M443" s="1" t="s">
        <v>17</v>
      </c>
      <c r="N443" s="1" t="s">
        <v>16</v>
      </c>
    </row>
    <row r="444" spans="1:14" x14ac:dyDescent="0.25">
      <c r="A444" s="9">
        <v>44775</v>
      </c>
      <c r="B444" s="1" t="s">
        <v>15</v>
      </c>
      <c r="C444" s="1">
        <v>5</v>
      </c>
      <c r="D444" s="1">
        <v>1</v>
      </c>
      <c r="E444" s="14">
        <v>50.89</v>
      </c>
      <c r="F444" s="1" t="s">
        <v>18</v>
      </c>
      <c r="G444" s="1">
        <v>2</v>
      </c>
      <c r="H444" s="1" t="s">
        <v>16</v>
      </c>
      <c r="I444" s="1" t="s">
        <v>16</v>
      </c>
      <c r="J444" s="1" t="s">
        <v>16</v>
      </c>
      <c r="K444" s="1" t="s">
        <v>17</v>
      </c>
      <c r="L444" s="1" t="s">
        <v>17</v>
      </c>
      <c r="M444" s="1" t="s">
        <v>17</v>
      </c>
      <c r="N444" s="1" t="s">
        <v>16</v>
      </c>
    </row>
    <row r="445" spans="1:14" x14ac:dyDescent="0.25">
      <c r="A445" s="9">
        <v>44775</v>
      </c>
      <c r="B445" s="1" t="s">
        <v>15</v>
      </c>
      <c r="C445" s="1">
        <v>6</v>
      </c>
      <c r="D445" s="1">
        <v>2</v>
      </c>
      <c r="E445" s="14">
        <v>61.27</v>
      </c>
      <c r="F445" s="1" t="s">
        <v>18</v>
      </c>
      <c r="G445" s="1">
        <v>2</v>
      </c>
      <c r="H445" s="1" t="s">
        <v>16</v>
      </c>
      <c r="I445" s="1" t="s">
        <v>16</v>
      </c>
      <c r="J445" s="1" t="s">
        <v>16</v>
      </c>
      <c r="K445" s="1" t="s">
        <v>17</v>
      </c>
      <c r="L445" s="1" t="s">
        <v>17</v>
      </c>
      <c r="M445" s="1" t="s">
        <v>17</v>
      </c>
      <c r="N445" s="1" t="s">
        <v>16</v>
      </c>
    </row>
    <row r="446" spans="1:14" x14ac:dyDescent="0.25">
      <c r="A446" s="9">
        <v>44775</v>
      </c>
      <c r="B446" s="1" t="s">
        <v>15</v>
      </c>
      <c r="C446" s="1">
        <v>7</v>
      </c>
      <c r="D446" s="1">
        <v>2</v>
      </c>
      <c r="E446" s="14">
        <v>65.33</v>
      </c>
      <c r="F446" s="1" t="s">
        <v>18</v>
      </c>
      <c r="G446" s="1">
        <v>2</v>
      </c>
      <c r="H446" s="1" t="s">
        <v>16</v>
      </c>
      <c r="I446" s="1" t="s">
        <v>16</v>
      </c>
      <c r="J446" s="1" t="s">
        <v>16</v>
      </c>
      <c r="K446" s="1" t="s">
        <v>17</v>
      </c>
      <c r="L446" s="1" t="s">
        <v>17</v>
      </c>
      <c r="M446" s="1" t="s">
        <v>17</v>
      </c>
      <c r="N446" s="1" t="s">
        <v>16</v>
      </c>
    </row>
    <row r="447" spans="1:14" x14ac:dyDescent="0.25">
      <c r="A447" s="9">
        <v>44775</v>
      </c>
      <c r="B447" s="1" t="s">
        <v>15</v>
      </c>
      <c r="C447" s="1">
        <v>8</v>
      </c>
      <c r="D447" s="1">
        <v>2</v>
      </c>
      <c r="E447" s="14">
        <v>77.45</v>
      </c>
      <c r="F447" s="1" t="s">
        <v>18</v>
      </c>
      <c r="G447" s="1">
        <v>2</v>
      </c>
      <c r="H447" s="1" t="s">
        <v>16</v>
      </c>
      <c r="I447" s="1" t="s">
        <v>16</v>
      </c>
      <c r="J447" s="1" t="s">
        <v>16</v>
      </c>
      <c r="K447" s="1" t="s">
        <v>17</v>
      </c>
      <c r="L447" s="1" t="s">
        <v>17</v>
      </c>
      <c r="M447" s="1" t="s">
        <v>17</v>
      </c>
      <c r="N447" s="1" t="s">
        <v>16</v>
      </c>
    </row>
    <row r="448" spans="1:14" x14ac:dyDescent="0.25">
      <c r="A448" s="9">
        <v>44775</v>
      </c>
      <c r="B448" s="1" t="s">
        <v>15</v>
      </c>
      <c r="C448" s="1">
        <v>9</v>
      </c>
      <c r="D448" s="1">
        <v>2</v>
      </c>
      <c r="E448" s="14">
        <v>51.19</v>
      </c>
      <c r="F448" s="1" t="s">
        <v>18</v>
      </c>
      <c r="G448" s="1">
        <v>2</v>
      </c>
      <c r="H448" s="1" t="s">
        <v>16</v>
      </c>
      <c r="I448" s="1" t="s">
        <v>16</v>
      </c>
      <c r="J448" s="1" t="s">
        <v>16</v>
      </c>
      <c r="K448" s="1" t="s">
        <v>17</v>
      </c>
      <c r="L448" s="1" t="s">
        <v>17</v>
      </c>
      <c r="M448" s="1" t="s">
        <v>17</v>
      </c>
      <c r="N448" s="1" t="s">
        <v>16</v>
      </c>
    </row>
    <row r="449" spans="1:14" x14ac:dyDescent="0.25">
      <c r="A449" s="9">
        <v>44775</v>
      </c>
      <c r="B449" s="1" t="s">
        <v>15</v>
      </c>
      <c r="C449" s="1">
        <v>10</v>
      </c>
      <c r="D449" s="1">
        <v>2</v>
      </c>
      <c r="E449" s="14">
        <v>58.03</v>
      </c>
      <c r="F449" s="1" t="s">
        <v>18</v>
      </c>
      <c r="G449" s="1">
        <v>2</v>
      </c>
      <c r="H449" s="1" t="s">
        <v>16</v>
      </c>
      <c r="I449" s="1" t="s">
        <v>16</v>
      </c>
      <c r="J449" s="1" t="s">
        <v>16</v>
      </c>
      <c r="K449" s="1" t="s">
        <v>21</v>
      </c>
      <c r="L449" s="1" t="s">
        <v>17</v>
      </c>
      <c r="M449" s="1" t="s">
        <v>17</v>
      </c>
      <c r="N449" s="1" t="s">
        <v>16</v>
      </c>
    </row>
    <row r="450" spans="1:14" x14ac:dyDescent="0.25">
      <c r="A450" s="9">
        <v>44775</v>
      </c>
      <c r="B450" s="1" t="s">
        <v>15</v>
      </c>
      <c r="C450" s="1">
        <v>11</v>
      </c>
      <c r="D450" s="1">
        <v>3</v>
      </c>
      <c r="E450" s="14">
        <v>44.69</v>
      </c>
      <c r="F450" s="1" t="s">
        <v>16</v>
      </c>
      <c r="G450" s="1">
        <v>4</v>
      </c>
      <c r="H450" s="1" t="s">
        <v>16</v>
      </c>
      <c r="I450" s="1" t="s">
        <v>16</v>
      </c>
      <c r="J450" s="1" t="s">
        <v>16</v>
      </c>
      <c r="K450" s="1" t="s">
        <v>17</v>
      </c>
      <c r="L450" s="1" t="s">
        <v>17</v>
      </c>
      <c r="M450" s="1" t="s">
        <v>17</v>
      </c>
      <c r="N450" s="1" t="s">
        <v>16</v>
      </c>
    </row>
    <row r="451" spans="1:14" x14ac:dyDescent="0.25">
      <c r="A451" s="9">
        <v>44775</v>
      </c>
      <c r="B451" s="1" t="s">
        <v>15</v>
      </c>
      <c r="C451" s="1">
        <v>12</v>
      </c>
      <c r="D451" s="1">
        <v>3</v>
      </c>
      <c r="E451" s="14">
        <v>44.41</v>
      </c>
      <c r="F451" s="1" t="s">
        <v>19</v>
      </c>
      <c r="G451" s="1">
        <v>2</v>
      </c>
      <c r="H451" s="1" t="s">
        <v>16</v>
      </c>
      <c r="I451" s="1" t="s">
        <v>16</v>
      </c>
      <c r="J451" s="1" t="s">
        <v>16</v>
      </c>
      <c r="K451" s="1" t="s">
        <v>17</v>
      </c>
      <c r="L451" s="1" t="s">
        <v>17</v>
      </c>
      <c r="M451" s="1" t="s">
        <v>17</v>
      </c>
      <c r="N451" s="1" t="s">
        <v>16</v>
      </c>
    </row>
    <row r="452" spans="1:14" x14ac:dyDescent="0.25">
      <c r="A452" s="9">
        <v>44775</v>
      </c>
      <c r="B452" s="1" t="s">
        <v>15</v>
      </c>
      <c r="C452" s="1">
        <v>13</v>
      </c>
      <c r="D452" s="1">
        <v>3</v>
      </c>
      <c r="E452" s="14">
        <v>56.71</v>
      </c>
      <c r="F452" s="1" t="s">
        <v>18</v>
      </c>
      <c r="G452" s="1">
        <v>2</v>
      </c>
      <c r="H452" s="1" t="s">
        <v>16</v>
      </c>
      <c r="I452" s="1" t="s">
        <v>16</v>
      </c>
      <c r="J452" s="1" t="s">
        <v>16</v>
      </c>
      <c r="K452" s="1" t="s">
        <v>17</v>
      </c>
      <c r="L452" s="1" t="s">
        <v>17</v>
      </c>
      <c r="M452" s="1" t="s">
        <v>17</v>
      </c>
      <c r="N452" s="1" t="s">
        <v>16</v>
      </c>
    </row>
    <row r="453" spans="1:14" x14ac:dyDescent="0.25">
      <c r="A453" s="9">
        <v>44775</v>
      </c>
      <c r="B453" s="1" t="s">
        <v>15</v>
      </c>
      <c r="C453" s="1">
        <v>14</v>
      </c>
      <c r="D453" s="1">
        <v>3</v>
      </c>
      <c r="E453" s="14">
        <v>57.06</v>
      </c>
      <c r="F453" s="1" t="s">
        <v>18</v>
      </c>
      <c r="G453" s="1">
        <v>2</v>
      </c>
      <c r="H453" s="1" t="s">
        <v>16</v>
      </c>
      <c r="I453" s="1" t="s">
        <v>16</v>
      </c>
      <c r="J453" s="1" t="s">
        <v>16</v>
      </c>
      <c r="K453" s="1" t="s">
        <v>17</v>
      </c>
      <c r="L453" s="1" t="s">
        <v>17</v>
      </c>
      <c r="M453" s="1" t="s">
        <v>17</v>
      </c>
      <c r="N453" s="1" t="s">
        <v>16</v>
      </c>
    </row>
    <row r="454" spans="1:14" x14ac:dyDescent="0.25">
      <c r="A454" s="9">
        <v>44775</v>
      </c>
      <c r="B454" s="1" t="s">
        <v>15</v>
      </c>
      <c r="C454" s="1">
        <v>15</v>
      </c>
      <c r="D454" s="1">
        <v>3</v>
      </c>
      <c r="E454" s="14">
        <v>47.51</v>
      </c>
      <c r="F454" s="1" t="s">
        <v>18</v>
      </c>
      <c r="G454" s="1">
        <v>2</v>
      </c>
      <c r="H454" s="1" t="s">
        <v>16</v>
      </c>
      <c r="I454" s="1" t="s">
        <v>16</v>
      </c>
      <c r="J454" s="1" t="s">
        <v>16</v>
      </c>
      <c r="K454" s="1" t="s">
        <v>17</v>
      </c>
      <c r="L454" s="1" t="s">
        <v>17</v>
      </c>
      <c r="M454" s="1" t="s">
        <v>17</v>
      </c>
      <c r="N454" s="1" t="s">
        <v>16</v>
      </c>
    </row>
    <row r="455" spans="1:14" x14ac:dyDescent="0.25">
      <c r="A455" s="9">
        <v>44811</v>
      </c>
      <c r="B455" s="1" t="s">
        <v>15</v>
      </c>
      <c r="C455" s="1">
        <v>1</v>
      </c>
      <c r="D455" s="1">
        <v>1</v>
      </c>
      <c r="E455" s="14">
        <v>41.69</v>
      </c>
      <c r="F455" s="1" t="s">
        <v>18</v>
      </c>
      <c r="G455" s="1">
        <v>2</v>
      </c>
      <c r="H455" s="1" t="s">
        <v>16</v>
      </c>
      <c r="I455" s="1" t="s">
        <v>16</v>
      </c>
      <c r="J455" s="1" t="s">
        <v>16</v>
      </c>
      <c r="K455" s="1" t="s">
        <v>17</v>
      </c>
      <c r="L455" s="1" t="s">
        <v>17</v>
      </c>
      <c r="M455" s="1" t="s">
        <v>17</v>
      </c>
      <c r="N455" s="1" t="s">
        <v>16</v>
      </c>
    </row>
    <row r="456" spans="1:14" x14ac:dyDescent="0.25">
      <c r="A456" s="9">
        <v>44811</v>
      </c>
      <c r="B456" s="1" t="s">
        <v>15</v>
      </c>
      <c r="C456" s="1">
        <v>2</v>
      </c>
      <c r="D456" s="1">
        <v>1</v>
      </c>
      <c r="E456" s="14">
        <v>65.900000000000006</v>
      </c>
      <c r="F456" s="1" t="s">
        <v>18</v>
      </c>
      <c r="G456" s="1">
        <v>2</v>
      </c>
      <c r="H456" s="1" t="s">
        <v>16</v>
      </c>
      <c r="I456" s="1" t="s">
        <v>16</v>
      </c>
      <c r="J456" s="1" t="s">
        <v>16</v>
      </c>
      <c r="K456" s="1" t="s">
        <v>17</v>
      </c>
      <c r="L456" s="1" t="s">
        <v>17</v>
      </c>
      <c r="M456" s="1" t="s">
        <v>17</v>
      </c>
      <c r="N456" s="1" t="s">
        <v>16</v>
      </c>
    </row>
    <row r="457" spans="1:14" x14ac:dyDescent="0.25">
      <c r="A457" s="9">
        <v>44811</v>
      </c>
      <c r="B457" s="1" t="s">
        <v>15</v>
      </c>
      <c r="C457" s="1">
        <v>3</v>
      </c>
      <c r="D457" s="1">
        <v>1</v>
      </c>
      <c r="E457" s="14">
        <v>62.03</v>
      </c>
      <c r="F457" s="1" t="s">
        <v>18</v>
      </c>
      <c r="G457" s="1">
        <v>2</v>
      </c>
      <c r="H457" s="1" t="s">
        <v>16</v>
      </c>
      <c r="I457" s="1" t="s">
        <v>16</v>
      </c>
      <c r="J457" s="1" t="s">
        <v>16</v>
      </c>
      <c r="K457" s="1" t="s">
        <v>17</v>
      </c>
      <c r="L457" s="1" t="s">
        <v>17</v>
      </c>
      <c r="M457" s="1" t="s">
        <v>17</v>
      </c>
      <c r="N457" s="1" t="s">
        <v>16</v>
      </c>
    </row>
    <row r="458" spans="1:14" x14ac:dyDescent="0.25">
      <c r="A458" s="9">
        <v>44811</v>
      </c>
      <c r="B458" s="1" t="s">
        <v>15</v>
      </c>
      <c r="C458" s="1">
        <v>4</v>
      </c>
      <c r="D458" s="1">
        <v>1</v>
      </c>
      <c r="E458" s="14">
        <v>31.37</v>
      </c>
      <c r="F458" s="1" t="s">
        <v>19</v>
      </c>
      <c r="G458" s="1">
        <v>2</v>
      </c>
      <c r="H458" s="1" t="s">
        <v>16</v>
      </c>
      <c r="I458" s="1" t="s">
        <v>16</v>
      </c>
      <c r="J458" s="1" t="s">
        <v>16</v>
      </c>
      <c r="K458" s="1" t="s">
        <v>17</v>
      </c>
      <c r="L458" s="1" t="s">
        <v>17</v>
      </c>
      <c r="M458" s="1" t="s">
        <v>17</v>
      </c>
      <c r="N458" s="1" t="s">
        <v>16</v>
      </c>
    </row>
    <row r="459" spans="1:14" x14ac:dyDescent="0.25">
      <c r="A459" s="9">
        <v>44811</v>
      </c>
      <c r="B459" s="1" t="s">
        <v>15</v>
      </c>
      <c r="C459" s="1">
        <v>5</v>
      </c>
      <c r="D459" s="1">
        <v>1</v>
      </c>
      <c r="E459" s="14">
        <v>56.53</v>
      </c>
      <c r="F459" s="1" t="s">
        <v>18</v>
      </c>
      <c r="G459" s="1">
        <v>2</v>
      </c>
      <c r="H459" s="1" t="s">
        <v>16</v>
      </c>
      <c r="I459" s="1" t="s">
        <v>16</v>
      </c>
      <c r="J459" s="1" t="s">
        <v>16</v>
      </c>
      <c r="K459" s="1" t="s">
        <v>21</v>
      </c>
      <c r="L459" s="1" t="s">
        <v>17</v>
      </c>
      <c r="M459" s="1" t="s">
        <v>17</v>
      </c>
      <c r="N459" s="1" t="s">
        <v>16</v>
      </c>
    </row>
    <row r="460" spans="1:14" x14ac:dyDescent="0.25">
      <c r="A460" s="9">
        <v>44811</v>
      </c>
      <c r="B460" s="1" t="s">
        <v>15</v>
      </c>
      <c r="C460" s="1">
        <v>6</v>
      </c>
      <c r="D460" s="1">
        <v>2</v>
      </c>
      <c r="E460" s="14">
        <v>55.58</v>
      </c>
      <c r="F460" s="1" t="s">
        <v>18</v>
      </c>
      <c r="G460" s="1">
        <v>2</v>
      </c>
      <c r="H460" s="1" t="s">
        <v>16</v>
      </c>
      <c r="I460" s="1" t="s">
        <v>16</v>
      </c>
      <c r="J460" s="1" t="s">
        <v>16</v>
      </c>
      <c r="K460" s="1" t="s">
        <v>17</v>
      </c>
      <c r="L460" s="1" t="s">
        <v>17</v>
      </c>
      <c r="M460" s="1" t="s">
        <v>17</v>
      </c>
      <c r="N460" s="1" t="s">
        <v>16</v>
      </c>
    </row>
    <row r="461" spans="1:14" x14ac:dyDescent="0.25">
      <c r="A461" s="9">
        <v>44811</v>
      </c>
      <c r="B461" s="1" t="s">
        <v>15</v>
      </c>
      <c r="C461" s="1">
        <v>7</v>
      </c>
      <c r="D461" s="1">
        <v>2</v>
      </c>
      <c r="E461" s="14">
        <v>40.65</v>
      </c>
      <c r="F461" s="1" t="s">
        <v>18</v>
      </c>
      <c r="G461" s="1">
        <v>2</v>
      </c>
      <c r="H461" s="1" t="s">
        <v>16</v>
      </c>
      <c r="I461" s="1" t="s">
        <v>16</v>
      </c>
      <c r="J461" s="1" t="s">
        <v>16</v>
      </c>
      <c r="K461" s="1" t="s">
        <v>17</v>
      </c>
      <c r="L461" s="1" t="s">
        <v>17</v>
      </c>
      <c r="M461" s="1" t="s">
        <v>17</v>
      </c>
      <c r="N461" s="1" t="s">
        <v>16</v>
      </c>
    </row>
    <row r="462" spans="1:14" x14ac:dyDescent="0.25">
      <c r="A462" s="9">
        <v>44811</v>
      </c>
      <c r="B462" s="1" t="s">
        <v>15</v>
      </c>
      <c r="C462" s="1">
        <v>8</v>
      </c>
      <c r="D462" s="1">
        <v>2</v>
      </c>
      <c r="E462" s="14">
        <v>32.44</v>
      </c>
      <c r="F462" s="1" t="s">
        <v>18</v>
      </c>
      <c r="G462" s="1">
        <v>2</v>
      </c>
      <c r="H462" s="1" t="s">
        <v>16</v>
      </c>
      <c r="I462" s="1" t="s">
        <v>16</v>
      </c>
      <c r="J462" s="1" t="s">
        <v>16</v>
      </c>
      <c r="K462" s="1" t="s">
        <v>17</v>
      </c>
      <c r="L462" s="1" t="s">
        <v>17</v>
      </c>
      <c r="M462" s="1" t="s">
        <v>17</v>
      </c>
      <c r="N462" s="1" t="s">
        <v>16</v>
      </c>
    </row>
    <row r="463" spans="1:14" x14ac:dyDescent="0.25">
      <c r="A463" s="9">
        <v>44811</v>
      </c>
      <c r="B463" s="1" t="s">
        <v>15</v>
      </c>
      <c r="C463" s="1">
        <v>9</v>
      </c>
      <c r="D463" s="1">
        <v>2</v>
      </c>
      <c r="E463" s="14">
        <v>50.84</v>
      </c>
      <c r="F463" s="1" t="s">
        <v>19</v>
      </c>
      <c r="G463" s="1">
        <v>3</v>
      </c>
      <c r="H463" s="1" t="s">
        <v>16</v>
      </c>
      <c r="I463" s="1" t="s">
        <v>16</v>
      </c>
      <c r="J463" s="1" t="s">
        <v>16</v>
      </c>
      <c r="K463" s="1" t="s">
        <v>17</v>
      </c>
      <c r="L463" s="1" t="s">
        <v>17</v>
      </c>
      <c r="M463" s="1" t="s">
        <v>21</v>
      </c>
      <c r="N463" s="1" t="s">
        <v>16</v>
      </c>
    </row>
    <row r="464" spans="1:14" x14ac:dyDescent="0.25">
      <c r="A464" s="9">
        <v>44811</v>
      </c>
      <c r="B464" s="1" t="s">
        <v>15</v>
      </c>
      <c r="C464" s="1">
        <v>10</v>
      </c>
      <c r="D464" s="1">
        <v>2</v>
      </c>
      <c r="E464" s="14">
        <v>51.08</v>
      </c>
      <c r="F464" s="1" t="s">
        <v>18</v>
      </c>
      <c r="G464" s="1">
        <v>2</v>
      </c>
      <c r="H464" s="1" t="s">
        <v>16</v>
      </c>
      <c r="I464" s="1" t="s">
        <v>16</v>
      </c>
      <c r="J464" s="1" t="s">
        <v>16</v>
      </c>
      <c r="K464" s="1" t="s">
        <v>17</v>
      </c>
      <c r="L464" s="1" t="s">
        <v>17</v>
      </c>
      <c r="M464" s="1" t="s">
        <v>17</v>
      </c>
      <c r="N464" s="1" t="s">
        <v>16</v>
      </c>
    </row>
    <row r="465" spans="1:14" x14ac:dyDescent="0.25">
      <c r="A465" s="9">
        <v>44811</v>
      </c>
      <c r="B465" s="1" t="s">
        <v>15</v>
      </c>
      <c r="C465" s="1">
        <v>11</v>
      </c>
      <c r="D465" s="1">
        <v>3</v>
      </c>
      <c r="E465" s="14">
        <v>44.69</v>
      </c>
      <c r="F465" s="1" t="s">
        <v>18</v>
      </c>
      <c r="G465" s="1">
        <v>2</v>
      </c>
      <c r="H465" s="1" t="s">
        <v>16</v>
      </c>
      <c r="I465" s="1" t="s">
        <v>16</v>
      </c>
      <c r="J465" s="1" t="s">
        <v>16</v>
      </c>
      <c r="K465" s="1" t="s">
        <v>17</v>
      </c>
      <c r="L465" s="1" t="s">
        <v>17</v>
      </c>
      <c r="M465" s="1" t="s">
        <v>17</v>
      </c>
      <c r="N465" s="1" t="s">
        <v>16</v>
      </c>
    </row>
    <row r="466" spans="1:14" x14ac:dyDescent="0.25">
      <c r="A466" s="9">
        <v>44811</v>
      </c>
      <c r="B466" s="1" t="s">
        <v>15</v>
      </c>
      <c r="C466" s="1">
        <v>12</v>
      </c>
      <c r="D466" s="1">
        <v>3</v>
      </c>
      <c r="E466" s="14">
        <v>40.479999999999997</v>
      </c>
      <c r="F466" s="1" t="s">
        <v>18</v>
      </c>
      <c r="G466" s="1">
        <v>2</v>
      </c>
      <c r="H466" s="1" t="s">
        <v>16</v>
      </c>
      <c r="I466" s="1" t="s">
        <v>16</v>
      </c>
      <c r="J466" s="1" t="s">
        <v>16</v>
      </c>
      <c r="K466" s="1" t="s">
        <v>17</v>
      </c>
      <c r="L466" s="1" t="s">
        <v>17</v>
      </c>
      <c r="M466" s="1" t="s">
        <v>17</v>
      </c>
      <c r="N466" s="1" t="s">
        <v>16</v>
      </c>
    </row>
    <row r="467" spans="1:14" x14ac:dyDescent="0.25">
      <c r="A467" s="9">
        <v>44811</v>
      </c>
      <c r="B467" s="1" t="s">
        <v>15</v>
      </c>
      <c r="C467" s="1">
        <v>13</v>
      </c>
      <c r="D467" s="1">
        <v>3</v>
      </c>
      <c r="E467" s="14">
        <v>59.02</v>
      </c>
      <c r="F467" s="1" t="s">
        <v>18</v>
      </c>
      <c r="G467" s="1">
        <v>2</v>
      </c>
      <c r="H467" s="1" t="s">
        <v>16</v>
      </c>
      <c r="I467" s="1" t="s">
        <v>16</v>
      </c>
      <c r="J467" s="1" t="s">
        <v>16</v>
      </c>
      <c r="K467" s="1" t="s">
        <v>17</v>
      </c>
      <c r="L467" s="1" t="s">
        <v>17</v>
      </c>
      <c r="M467" s="1" t="s">
        <v>17</v>
      </c>
      <c r="N467" s="1" t="s">
        <v>16</v>
      </c>
    </row>
    <row r="468" spans="1:14" x14ac:dyDescent="0.25">
      <c r="A468" s="9">
        <v>44811</v>
      </c>
      <c r="B468" s="1" t="s">
        <v>15</v>
      </c>
      <c r="C468" s="1">
        <v>14</v>
      </c>
      <c r="D468" s="1">
        <v>3</v>
      </c>
      <c r="E468" s="14">
        <v>55.46</v>
      </c>
      <c r="F468" s="1" t="s">
        <v>18</v>
      </c>
      <c r="G468" s="1">
        <v>2</v>
      </c>
      <c r="H468" s="1" t="s">
        <v>16</v>
      </c>
      <c r="I468" s="1" t="s">
        <v>16</v>
      </c>
      <c r="J468" s="1" t="s">
        <v>16</v>
      </c>
      <c r="K468" s="1" t="s">
        <v>17</v>
      </c>
      <c r="L468" s="1" t="s">
        <v>17</v>
      </c>
      <c r="M468" s="1" t="s">
        <v>17</v>
      </c>
      <c r="N468" s="1" t="s">
        <v>16</v>
      </c>
    </row>
    <row r="469" spans="1:14" x14ac:dyDescent="0.25">
      <c r="A469" s="9">
        <v>44811</v>
      </c>
      <c r="B469" s="1" t="s">
        <v>15</v>
      </c>
      <c r="C469" s="1">
        <v>15</v>
      </c>
      <c r="D469" s="1">
        <v>3</v>
      </c>
      <c r="E469" s="14">
        <v>54.24</v>
      </c>
      <c r="F469" s="1" t="s">
        <v>18</v>
      </c>
      <c r="G469" s="1">
        <v>2</v>
      </c>
      <c r="H469" s="1" t="s">
        <v>16</v>
      </c>
      <c r="I469" s="1" t="s">
        <v>16</v>
      </c>
      <c r="J469" s="1" t="s">
        <v>16</v>
      </c>
      <c r="K469" s="1" t="s">
        <v>17</v>
      </c>
      <c r="L469" s="1" t="s">
        <v>17</v>
      </c>
      <c r="M469" s="1" t="s">
        <v>17</v>
      </c>
      <c r="N469" s="1" t="s">
        <v>16</v>
      </c>
    </row>
    <row r="470" spans="1:14" x14ac:dyDescent="0.25">
      <c r="A470" s="9">
        <v>44844</v>
      </c>
      <c r="B470" s="1" t="s">
        <v>15</v>
      </c>
      <c r="C470" s="1">
        <v>1</v>
      </c>
      <c r="D470" s="1">
        <v>1</v>
      </c>
      <c r="E470" s="14">
        <v>50.16</v>
      </c>
      <c r="F470" s="1" t="s">
        <v>18</v>
      </c>
      <c r="G470" s="1">
        <v>3</v>
      </c>
      <c r="H470" s="1" t="s">
        <v>16</v>
      </c>
      <c r="I470" s="1" t="s">
        <v>16</v>
      </c>
      <c r="J470" s="1" t="s">
        <v>16</v>
      </c>
      <c r="K470" s="1" t="s">
        <v>17</v>
      </c>
      <c r="L470" s="1" t="s">
        <v>17</v>
      </c>
      <c r="M470" s="1" t="s">
        <v>17</v>
      </c>
      <c r="N470" s="1" t="s">
        <v>16</v>
      </c>
    </row>
    <row r="471" spans="1:14" x14ac:dyDescent="0.25">
      <c r="A471" s="9">
        <v>44844</v>
      </c>
      <c r="B471" s="1" t="s">
        <v>15</v>
      </c>
      <c r="C471" s="1">
        <v>2</v>
      </c>
      <c r="D471" s="1">
        <v>1</v>
      </c>
      <c r="E471" s="14">
        <v>48.7</v>
      </c>
      <c r="F471" s="1" t="s">
        <v>19</v>
      </c>
      <c r="G471" s="1">
        <v>2</v>
      </c>
      <c r="H471" s="1" t="s">
        <v>16</v>
      </c>
      <c r="I471" s="1" t="s">
        <v>16</v>
      </c>
      <c r="J471" s="1" t="s">
        <v>16</v>
      </c>
      <c r="K471" s="1" t="s">
        <v>17</v>
      </c>
      <c r="L471" s="1" t="s">
        <v>17</v>
      </c>
      <c r="M471" s="1" t="s">
        <v>17</v>
      </c>
      <c r="N471" s="1" t="s">
        <v>16</v>
      </c>
    </row>
    <row r="472" spans="1:14" x14ac:dyDescent="0.25">
      <c r="A472" s="9">
        <v>44844</v>
      </c>
      <c r="B472" s="1" t="s">
        <v>15</v>
      </c>
      <c r="C472" s="1">
        <v>3</v>
      </c>
      <c r="D472" s="1">
        <v>1</v>
      </c>
      <c r="E472" s="14">
        <v>54.91</v>
      </c>
      <c r="F472" s="1" t="s">
        <v>18</v>
      </c>
      <c r="G472" s="1">
        <v>3</v>
      </c>
      <c r="H472" s="1" t="s">
        <v>16</v>
      </c>
      <c r="I472" s="1" t="s">
        <v>16</v>
      </c>
      <c r="J472" s="1" t="s">
        <v>16</v>
      </c>
      <c r="K472" s="1" t="s">
        <v>17</v>
      </c>
      <c r="L472" s="1" t="s">
        <v>17</v>
      </c>
      <c r="M472" s="1" t="s">
        <v>17</v>
      </c>
      <c r="N472" s="1" t="s">
        <v>16</v>
      </c>
    </row>
    <row r="473" spans="1:14" x14ac:dyDescent="0.25">
      <c r="A473" s="9">
        <v>44844</v>
      </c>
      <c r="B473" s="1" t="s">
        <v>15</v>
      </c>
      <c r="C473" s="1">
        <v>4</v>
      </c>
      <c r="D473" s="1">
        <v>1</v>
      </c>
      <c r="E473" s="14">
        <v>48.25</v>
      </c>
      <c r="F473" s="1" t="s">
        <v>18</v>
      </c>
      <c r="G473" s="1" t="s">
        <v>16</v>
      </c>
      <c r="H473" s="1" t="s">
        <v>16</v>
      </c>
      <c r="I473" s="1" t="s">
        <v>16</v>
      </c>
      <c r="J473" s="1" t="s">
        <v>16</v>
      </c>
      <c r="K473" s="1" t="s">
        <v>21</v>
      </c>
      <c r="L473" s="1" t="s">
        <v>17</v>
      </c>
      <c r="M473" s="1" t="s">
        <v>21</v>
      </c>
      <c r="N473" s="1" t="s">
        <v>16</v>
      </c>
    </row>
    <row r="474" spans="1:14" x14ac:dyDescent="0.25">
      <c r="A474" s="9">
        <v>44844</v>
      </c>
      <c r="B474" s="1" t="s">
        <v>15</v>
      </c>
      <c r="C474" s="1">
        <v>5</v>
      </c>
      <c r="D474" s="1">
        <v>1</v>
      </c>
      <c r="E474" s="14">
        <v>49.31</v>
      </c>
      <c r="F474" s="1" t="s">
        <v>18</v>
      </c>
      <c r="G474" s="1">
        <v>2</v>
      </c>
      <c r="H474" s="1" t="s">
        <v>16</v>
      </c>
      <c r="I474" s="1" t="s">
        <v>16</v>
      </c>
      <c r="J474" s="1" t="s">
        <v>16</v>
      </c>
      <c r="K474" s="1" t="s">
        <v>17</v>
      </c>
      <c r="L474" s="1" t="s">
        <v>17</v>
      </c>
      <c r="M474" s="1" t="s">
        <v>17</v>
      </c>
      <c r="N474" s="1" t="s">
        <v>16</v>
      </c>
    </row>
    <row r="475" spans="1:14" x14ac:dyDescent="0.25">
      <c r="A475" s="9">
        <v>44844</v>
      </c>
      <c r="B475" s="1" t="s">
        <v>15</v>
      </c>
      <c r="C475" s="1">
        <v>6</v>
      </c>
      <c r="D475" s="1">
        <v>2</v>
      </c>
      <c r="E475" s="14">
        <v>61.44</v>
      </c>
      <c r="F475" s="1" t="s">
        <v>18</v>
      </c>
      <c r="G475" s="1">
        <v>2</v>
      </c>
      <c r="H475" s="1" t="s">
        <v>16</v>
      </c>
      <c r="I475" s="1" t="s">
        <v>16</v>
      </c>
      <c r="J475" s="1" t="s">
        <v>16</v>
      </c>
      <c r="K475" s="1" t="s">
        <v>17</v>
      </c>
      <c r="L475" s="1" t="s">
        <v>17</v>
      </c>
      <c r="M475" s="1" t="s">
        <v>17</v>
      </c>
      <c r="N475" s="1" t="s">
        <v>16</v>
      </c>
    </row>
    <row r="476" spans="1:14" x14ac:dyDescent="0.25">
      <c r="A476" s="9">
        <v>44844</v>
      </c>
      <c r="B476" s="1" t="s">
        <v>15</v>
      </c>
      <c r="C476" s="1">
        <v>7</v>
      </c>
      <c r="D476" s="1">
        <v>2</v>
      </c>
      <c r="E476" s="14">
        <v>55.01</v>
      </c>
      <c r="F476" s="1" t="s">
        <v>18</v>
      </c>
      <c r="G476" s="1">
        <v>2</v>
      </c>
      <c r="H476" s="1" t="s">
        <v>16</v>
      </c>
      <c r="I476" s="1" t="s">
        <v>16</v>
      </c>
      <c r="J476" s="1" t="s">
        <v>16</v>
      </c>
      <c r="K476" s="1" t="s">
        <v>17</v>
      </c>
      <c r="L476" s="1" t="s">
        <v>17</v>
      </c>
      <c r="M476" s="1" t="s">
        <v>17</v>
      </c>
      <c r="N476" s="1" t="s">
        <v>16</v>
      </c>
    </row>
    <row r="477" spans="1:14" x14ac:dyDescent="0.25">
      <c r="A477" s="9">
        <v>44844</v>
      </c>
      <c r="B477" s="1" t="s">
        <v>15</v>
      </c>
      <c r="C477" s="1">
        <v>8</v>
      </c>
      <c r="D477" s="1">
        <v>2</v>
      </c>
      <c r="E477" s="14">
        <v>61.19</v>
      </c>
      <c r="F477" s="1" t="s">
        <v>18</v>
      </c>
      <c r="G477" s="1">
        <v>3</v>
      </c>
      <c r="H477" s="1" t="s">
        <v>16</v>
      </c>
      <c r="I477" s="1" t="s">
        <v>16</v>
      </c>
      <c r="J477" s="1" t="s">
        <v>16</v>
      </c>
      <c r="K477" s="1" t="s">
        <v>17</v>
      </c>
      <c r="L477" s="1" t="s">
        <v>17</v>
      </c>
      <c r="M477" s="1" t="s">
        <v>17</v>
      </c>
      <c r="N477" s="1" t="s">
        <v>16</v>
      </c>
    </row>
    <row r="478" spans="1:14" x14ac:dyDescent="0.25">
      <c r="A478" s="9">
        <v>44844</v>
      </c>
      <c r="B478" s="1" t="s">
        <v>15</v>
      </c>
      <c r="C478" s="1">
        <v>9</v>
      </c>
      <c r="D478" s="1">
        <v>2</v>
      </c>
      <c r="E478" s="14">
        <v>49.35</v>
      </c>
      <c r="F478" s="1" t="s">
        <v>19</v>
      </c>
      <c r="G478" s="1">
        <v>2</v>
      </c>
      <c r="H478" s="1" t="s">
        <v>16</v>
      </c>
      <c r="I478" s="1" t="s">
        <v>16</v>
      </c>
      <c r="J478" s="1" t="s">
        <v>16</v>
      </c>
      <c r="K478" s="1" t="s">
        <v>21</v>
      </c>
      <c r="L478" s="1" t="s">
        <v>17</v>
      </c>
      <c r="M478" s="1" t="s">
        <v>17</v>
      </c>
      <c r="N478" s="1" t="s">
        <v>16</v>
      </c>
    </row>
    <row r="479" spans="1:14" x14ac:dyDescent="0.25">
      <c r="A479" s="9">
        <v>44844</v>
      </c>
      <c r="B479" s="1" t="s">
        <v>15</v>
      </c>
      <c r="C479" s="1">
        <v>10</v>
      </c>
      <c r="D479" s="1">
        <v>2</v>
      </c>
      <c r="E479" s="14">
        <v>54.37</v>
      </c>
      <c r="F479" s="1" t="s">
        <v>18</v>
      </c>
      <c r="G479" s="1">
        <v>2</v>
      </c>
      <c r="H479" s="1" t="s">
        <v>16</v>
      </c>
      <c r="I479" s="1" t="s">
        <v>16</v>
      </c>
      <c r="J479" s="1" t="s">
        <v>16</v>
      </c>
      <c r="K479" s="1" t="s">
        <v>21</v>
      </c>
      <c r="L479" s="1" t="s">
        <v>17</v>
      </c>
      <c r="M479" s="1" t="s">
        <v>17</v>
      </c>
      <c r="N479" s="1" t="s">
        <v>16</v>
      </c>
    </row>
    <row r="480" spans="1:14" x14ac:dyDescent="0.25">
      <c r="A480" s="9">
        <v>44844</v>
      </c>
      <c r="B480" s="1" t="s">
        <v>15</v>
      </c>
      <c r="C480" s="1">
        <v>11</v>
      </c>
      <c r="D480" s="1">
        <v>3</v>
      </c>
      <c r="E480" s="14">
        <v>54.2</v>
      </c>
      <c r="F480" s="1" t="s">
        <v>18</v>
      </c>
      <c r="G480" s="1">
        <v>2</v>
      </c>
      <c r="H480" s="1" t="s">
        <v>16</v>
      </c>
      <c r="I480" s="1" t="s">
        <v>16</v>
      </c>
      <c r="J480" s="1" t="s">
        <v>16</v>
      </c>
      <c r="K480" s="1" t="s">
        <v>17</v>
      </c>
      <c r="L480" s="1" t="s">
        <v>17</v>
      </c>
      <c r="M480" s="1" t="s">
        <v>17</v>
      </c>
      <c r="N480" s="1" t="s">
        <v>16</v>
      </c>
    </row>
    <row r="481" spans="1:14" x14ac:dyDescent="0.25">
      <c r="A481" s="9">
        <v>44844</v>
      </c>
      <c r="B481" s="1" t="s">
        <v>15</v>
      </c>
      <c r="C481" s="1">
        <v>12</v>
      </c>
      <c r="D481" s="1">
        <v>3</v>
      </c>
      <c r="E481" s="14">
        <v>58.63</v>
      </c>
      <c r="F481" s="1" t="s">
        <v>18</v>
      </c>
      <c r="G481" s="1">
        <v>3</v>
      </c>
      <c r="H481" s="1" t="s">
        <v>16</v>
      </c>
      <c r="I481" s="1" t="s">
        <v>16</v>
      </c>
      <c r="J481" s="1" t="s">
        <v>16</v>
      </c>
      <c r="K481" s="1" t="s">
        <v>17</v>
      </c>
      <c r="L481" s="1" t="s">
        <v>17</v>
      </c>
      <c r="M481" s="1" t="s">
        <v>17</v>
      </c>
      <c r="N481" s="1" t="s">
        <v>16</v>
      </c>
    </row>
    <row r="482" spans="1:14" x14ac:dyDescent="0.25">
      <c r="A482" s="9">
        <v>44844</v>
      </c>
      <c r="B482" s="1" t="s">
        <v>15</v>
      </c>
      <c r="C482" s="1">
        <v>13</v>
      </c>
      <c r="D482" s="1">
        <v>3</v>
      </c>
      <c r="E482" s="14">
        <v>44.6</v>
      </c>
      <c r="F482" s="1" t="s">
        <v>18</v>
      </c>
      <c r="G482" s="1">
        <v>3</v>
      </c>
      <c r="H482" s="1" t="s">
        <v>16</v>
      </c>
      <c r="I482" s="1" t="s">
        <v>16</v>
      </c>
      <c r="J482" s="1" t="s">
        <v>16</v>
      </c>
      <c r="K482" s="1" t="s">
        <v>17</v>
      </c>
      <c r="L482" s="1" t="s">
        <v>17</v>
      </c>
      <c r="M482" s="1" t="s">
        <v>17</v>
      </c>
      <c r="N482" s="1" t="s">
        <v>16</v>
      </c>
    </row>
    <row r="483" spans="1:14" x14ac:dyDescent="0.25">
      <c r="A483" s="9">
        <v>44844</v>
      </c>
      <c r="B483" s="1" t="s">
        <v>15</v>
      </c>
      <c r="C483" s="1">
        <v>14</v>
      </c>
      <c r="D483" s="1">
        <v>3</v>
      </c>
      <c r="E483" s="14">
        <v>72.58</v>
      </c>
      <c r="F483" s="1" t="s">
        <v>18</v>
      </c>
      <c r="G483" s="1">
        <v>3</v>
      </c>
      <c r="H483" s="1" t="s">
        <v>16</v>
      </c>
      <c r="I483" s="1" t="s">
        <v>16</v>
      </c>
      <c r="J483" s="1" t="s">
        <v>16</v>
      </c>
      <c r="K483" s="1" t="s">
        <v>17</v>
      </c>
      <c r="L483" s="1" t="s">
        <v>17</v>
      </c>
      <c r="M483" s="1" t="s">
        <v>17</v>
      </c>
      <c r="N483" s="1" t="s">
        <v>16</v>
      </c>
    </row>
    <row r="484" spans="1:14" x14ac:dyDescent="0.25">
      <c r="A484" s="9">
        <v>44844</v>
      </c>
      <c r="B484" s="1" t="s">
        <v>15</v>
      </c>
      <c r="C484" s="1">
        <v>15</v>
      </c>
      <c r="D484" s="1">
        <v>3</v>
      </c>
      <c r="E484" s="14">
        <v>59.14</v>
      </c>
      <c r="F484" s="1" t="s">
        <v>16</v>
      </c>
      <c r="G484" s="1">
        <v>4</v>
      </c>
      <c r="H484" s="1" t="s">
        <v>16</v>
      </c>
      <c r="I484" s="1" t="s">
        <v>16</v>
      </c>
      <c r="J484" s="1" t="s">
        <v>16</v>
      </c>
      <c r="K484" s="1" t="s">
        <v>17</v>
      </c>
      <c r="L484" s="1" t="s">
        <v>17</v>
      </c>
      <c r="M484" s="1" t="s">
        <v>17</v>
      </c>
      <c r="N484" s="1" t="s">
        <v>16</v>
      </c>
    </row>
    <row r="485" spans="1:14" x14ac:dyDescent="0.25">
      <c r="A485" s="9">
        <v>44879</v>
      </c>
      <c r="B485" s="1" t="s">
        <v>15</v>
      </c>
      <c r="C485" s="1">
        <v>1</v>
      </c>
      <c r="D485" s="1">
        <v>1</v>
      </c>
      <c r="E485" s="14">
        <v>43.01</v>
      </c>
      <c r="F485" s="1" t="s">
        <v>19</v>
      </c>
      <c r="G485" s="1">
        <v>2</v>
      </c>
      <c r="H485" s="1" t="s">
        <v>16</v>
      </c>
      <c r="I485" s="1" t="s">
        <v>16</v>
      </c>
      <c r="J485" s="1" t="s">
        <v>16</v>
      </c>
      <c r="K485" s="1" t="s">
        <v>17</v>
      </c>
      <c r="L485" s="1" t="s">
        <v>17</v>
      </c>
      <c r="M485" s="1" t="s">
        <v>17</v>
      </c>
      <c r="N485" s="1" t="s">
        <v>16</v>
      </c>
    </row>
    <row r="486" spans="1:14" x14ac:dyDescent="0.25">
      <c r="A486" s="9">
        <v>44879</v>
      </c>
      <c r="B486" s="1" t="s">
        <v>15</v>
      </c>
      <c r="C486" s="1">
        <v>2</v>
      </c>
      <c r="D486" s="1">
        <v>1</v>
      </c>
      <c r="E486" s="14">
        <v>52.97</v>
      </c>
      <c r="F486" s="1" t="s">
        <v>18</v>
      </c>
      <c r="G486" s="1">
        <v>2</v>
      </c>
      <c r="H486" s="1" t="s">
        <v>16</v>
      </c>
      <c r="I486" s="1" t="s">
        <v>16</v>
      </c>
      <c r="J486" s="1" t="s">
        <v>16</v>
      </c>
      <c r="K486" s="1" t="s">
        <v>17</v>
      </c>
      <c r="L486" s="1" t="s">
        <v>17</v>
      </c>
      <c r="M486" s="1" t="s">
        <v>17</v>
      </c>
      <c r="N486" s="1" t="s">
        <v>16</v>
      </c>
    </row>
    <row r="487" spans="1:14" x14ac:dyDescent="0.25">
      <c r="A487" s="9">
        <v>44879</v>
      </c>
      <c r="B487" s="1" t="s">
        <v>15</v>
      </c>
      <c r="C487" s="1">
        <v>3</v>
      </c>
      <c r="D487" s="1">
        <v>1</v>
      </c>
      <c r="E487" s="14">
        <v>50.52</v>
      </c>
      <c r="F487" s="1" t="s">
        <v>19</v>
      </c>
      <c r="G487" s="1">
        <v>2</v>
      </c>
      <c r="H487" s="1" t="s">
        <v>16</v>
      </c>
      <c r="I487" s="1" t="s">
        <v>16</v>
      </c>
      <c r="J487" s="1" t="s">
        <v>16</v>
      </c>
      <c r="K487" s="1" t="s">
        <v>17</v>
      </c>
      <c r="L487" s="1" t="s">
        <v>17</v>
      </c>
      <c r="M487" s="1" t="s">
        <v>17</v>
      </c>
      <c r="N487" s="1" t="s">
        <v>16</v>
      </c>
    </row>
    <row r="488" spans="1:14" x14ac:dyDescent="0.25">
      <c r="A488" s="9">
        <v>44879</v>
      </c>
      <c r="B488" s="1" t="s">
        <v>15</v>
      </c>
      <c r="C488" s="1">
        <v>4</v>
      </c>
      <c r="D488" s="1">
        <v>1</v>
      </c>
      <c r="E488" s="14">
        <v>57.91</v>
      </c>
      <c r="F488" s="1" t="s">
        <v>18</v>
      </c>
      <c r="G488" s="1">
        <v>3</v>
      </c>
      <c r="H488" s="1" t="s">
        <v>16</v>
      </c>
      <c r="I488" s="1" t="s">
        <v>16</v>
      </c>
      <c r="J488" s="1" t="s">
        <v>16</v>
      </c>
      <c r="K488" s="1" t="s">
        <v>21</v>
      </c>
      <c r="L488" s="1" t="s">
        <v>17</v>
      </c>
      <c r="M488" s="1" t="s">
        <v>17</v>
      </c>
      <c r="N488" s="1" t="s">
        <v>16</v>
      </c>
    </row>
    <row r="489" spans="1:14" x14ac:dyDescent="0.25">
      <c r="A489" s="9">
        <v>44879</v>
      </c>
      <c r="B489" s="1" t="s">
        <v>15</v>
      </c>
      <c r="C489" s="1">
        <v>5</v>
      </c>
      <c r="D489" s="1">
        <v>1</v>
      </c>
      <c r="E489" s="14">
        <v>60.39</v>
      </c>
      <c r="F489" s="1" t="s">
        <v>16</v>
      </c>
      <c r="G489" s="1">
        <v>4</v>
      </c>
      <c r="H489" s="1" t="s">
        <v>16</v>
      </c>
      <c r="I489" s="1" t="s">
        <v>16</v>
      </c>
      <c r="J489" s="1" t="s">
        <v>16</v>
      </c>
      <c r="K489" s="1" t="s">
        <v>21</v>
      </c>
      <c r="L489" s="1" t="s">
        <v>17</v>
      </c>
      <c r="M489" s="1" t="s">
        <v>17</v>
      </c>
      <c r="N489" s="1" t="s">
        <v>16</v>
      </c>
    </row>
    <row r="490" spans="1:14" x14ac:dyDescent="0.25">
      <c r="A490" s="9">
        <v>44879</v>
      </c>
      <c r="B490" s="1" t="s">
        <v>15</v>
      </c>
      <c r="C490" s="1">
        <v>6</v>
      </c>
      <c r="D490" s="1">
        <v>2</v>
      </c>
      <c r="E490" s="14">
        <v>51.99</v>
      </c>
      <c r="F490" s="1" t="s">
        <v>16</v>
      </c>
      <c r="G490" s="1">
        <v>4</v>
      </c>
      <c r="H490" s="1" t="s">
        <v>16</v>
      </c>
      <c r="I490" s="1" t="s">
        <v>16</v>
      </c>
      <c r="J490" s="1" t="s">
        <v>16</v>
      </c>
      <c r="K490" s="1" t="s">
        <v>21</v>
      </c>
      <c r="L490" s="1" t="s">
        <v>17</v>
      </c>
      <c r="M490" s="1" t="s">
        <v>21</v>
      </c>
      <c r="N490" s="1" t="s">
        <v>16</v>
      </c>
    </row>
    <row r="491" spans="1:14" x14ac:dyDescent="0.25">
      <c r="A491" s="9">
        <v>44879</v>
      </c>
      <c r="B491" s="1" t="s">
        <v>15</v>
      </c>
      <c r="C491" s="1">
        <v>7</v>
      </c>
      <c r="D491" s="1">
        <v>2</v>
      </c>
      <c r="E491" s="14">
        <v>52.57</v>
      </c>
      <c r="F491" s="1" t="s">
        <v>18</v>
      </c>
      <c r="G491" s="1">
        <v>2</v>
      </c>
      <c r="H491" s="1" t="s">
        <v>16</v>
      </c>
      <c r="I491" s="1" t="s">
        <v>16</v>
      </c>
      <c r="J491" s="1" t="s">
        <v>16</v>
      </c>
      <c r="K491" s="1" t="s">
        <v>17</v>
      </c>
      <c r="L491" s="1" t="s">
        <v>17</v>
      </c>
      <c r="M491" s="1" t="s">
        <v>17</v>
      </c>
      <c r="N491" s="1" t="s">
        <v>16</v>
      </c>
    </row>
    <row r="492" spans="1:14" x14ac:dyDescent="0.25">
      <c r="A492" s="9">
        <v>44879</v>
      </c>
      <c r="B492" s="1" t="s">
        <v>15</v>
      </c>
      <c r="C492" s="1">
        <v>8</v>
      </c>
      <c r="D492" s="1">
        <v>2</v>
      </c>
      <c r="E492" s="14">
        <v>46.48</v>
      </c>
      <c r="F492" s="1" t="s">
        <v>18</v>
      </c>
      <c r="G492" s="1">
        <v>3</v>
      </c>
      <c r="H492" s="1" t="s">
        <v>16</v>
      </c>
      <c r="I492" s="1" t="s">
        <v>16</v>
      </c>
      <c r="J492" s="1" t="s">
        <v>16</v>
      </c>
      <c r="K492" s="1" t="s">
        <v>17</v>
      </c>
      <c r="L492" s="1" t="s">
        <v>17</v>
      </c>
      <c r="M492" s="1" t="s">
        <v>17</v>
      </c>
      <c r="N492" s="1" t="s">
        <v>16</v>
      </c>
    </row>
    <row r="493" spans="1:14" x14ac:dyDescent="0.25">
      <c r="A493" s="9">
        <v>44879</v>
      </c>
      <c r="B493" s="1" t="s">
        <v>15</v>
      </c>
      <c r="C493" s="1">
        <v>9</v>
      </c>
      <c r="D493" s="1">
        <v>2</v>
      </c>
      <c r="E493" s="14">
        <v>43.49</v>
      </c>
      <c r="F493" s="1" t="s">
        <v>16</v>
      </c>
      <c r="G493" s="1">
        <v>4</v>
      </c>
      <c r="H493" s="1" t="s">
        <v>16</v>
      </c>
      <c r="I493" s="1" t="s">
        <v>16</v>
      </c>
      <c r="J493" s="1" t="s">
        <v>16</v>
      </c>
      <c r="K493" s="1" t="s">
        <v>21</v>
      </c>
      <c r="L493" s="1" t="s">
        <v>17</v>
      </c>
      <c r="M493" s="1" t="s">
        <v>17</v>
      </c>
      <c r="N493" s="1" t="s">
        <v>16</v>
      </c>
    </row>
    <row r="494" spans="1:14" x14ac:dyDescent="0.25">
      <c r="A494" s="9">
        <v>44879</v>
      </c>
      <c r="B494" s="1" t="s">
        <v>15</v>
      </c>
      <c r="C494" s="1">
        <v>10</v>
      </c>
      <c r="D494" s="1">
        <v>2</v>
      </c>
      <c r="E494" s="14">
        <v>58.81</v>
      </c>
      <c r="F494" s="1" t="s">
        <v>16</v>
      </c>
      <c r="G494" s="1">
        <v>4</v>
      </c>
      <c r="H494" s="1" t="s">
        <v>16</v>
      </c>
      <c r="I494" s="1" t="s">
        <v>16</v>
      </c>
      <c r="J494" s="1" t="s">
        <v>16</v>
      </c>
      <c r="K494" s="1" t="s">
        <v>17</v>
      </c>
      <c r="L494" s="1" t="s">
        <v>17</v>
      </c>
      <c r="M494" s="1" t="s">
        <v>17</v>
      </c>
      <c r="N494" s="1" t="s">
        <v>16</v>
      </c>
    </row>
    <row r="495" spans="1:14" x14ac:dyDescent="0.25">
      <c r="A495" s="9">
        <v>44879</v>
      </c>
      <c r="B495" s="1" t="s">
        <v>15</v>
      </c>
      <c r="C495" s="1">
        <v>11</v>
      </c>
      <c r="D495" s="1">
        <v>3</v>
      </c>
      <c r="E495" s="14">
        <v>56.09</v>
      </c>
      <c r="F495" s="1" t="s">
        <v>16</v>
      </c>
      <c r="G495" s="1">
        <v>4</v>
      </c>
      <c r="H495" s="1" t="s">
        <v>16</v>
      </c>
      <c r="I495" s="1" t="s">
        <v>16</v>
      </c>
      <c r="J495" s="1" t="s">
        <v>16</v>
      </c>
      <c r="K495" s="1" t="s">
        <v>17</v>
      </c>
      <c r="L495" s="1" t="s">
        <v>17</v>
      </c>
      <c r="M495" s="1" t="s">
        <v>17</v>
      </c>
      <c r="N495" s="1" t="s">
        <v>16</v>
      </c>
    </row>
    <row r="496" spans="1:14" x14ac:dyDescent="0.25">
      <c r="A496" s="9">
        <v>44879</v>
      </c>
      <c r="B496" s="1" t="s">
        <v>15</v>
      </c>
      <c r="C496" s="1">
        <v>12</v>
      </c>
      <c r="D496" s="1">
        <v>3</v>
      </c>
      <c r="E496" s="14">
        <v>41.32</v>
      </c>
      <c r="F496" s="1" t="s">
        <v>16</v>
      </c>
      <c r="G496" s="1">
        <v>4</v>
      </c>
      <c r="H496" s="1" t="s">
        <v>16</v>
      </c>
      <c r="I496" s="1" t="s">
        <v>16</v>
      </c>
      <c r="J496" s="1" t="s">
        <v>16</v>
      </c>
      <c r="K496" s="1" t="s">
        <v>17</v>
      </c>
      <c r="L496" s="1" t="s">
        <v>17</v>
      </c>
      <c r="M496" s="1" t="s">
        <v>17</v>
      </c>
      <c r="N496" s="1" t="s">
        <v>16</v>
      </c>
    </row>
    <row r="497" spans="1:14" x14ac:dyDescent="0.25">
      <c r="A497" s="9">
        <v>44879</v>
      </c>
      <c r="B497" s="1" t="s">
        <v>15</v>
      </c>
      <c r="C497" s="1">
        <v>13</v>
      </c>
      <c r="D497" s="1">
        <v>3</v>
      </c>
      <c r="E497" s="14">
        <v>46.26</v>
      </c>
      <c r="F497" s="1" t="s">
        <v>16</v>
      </c>
      <c r="G497" s="1" t="s">
        <v>16</v>
      </c>
      <c r="H497" s="1" t="s">
        <v>16</v>
      </c>
      <c r="I497" s="1" t="s">
        <v>16</v>
      </c>
      <c r="J497" s="1" t="s">
        <v>16</v>
      </c>
      <c r="K497" s="1" t="s">
        <v>17</v>
      </c>
      <c r="L497" s="1" t="s">
        <v>17</v>
      </c>
      <c r="M497" s="1" t="s">
        <v>21</v>
      </c>
      <c r="N497" s="1" t="s">
        <v>16</v>
      </c>
    </row>
    <row r="498" spans="1:14" x14ac:dyDescent="0.25">
      <c r="A498" s="9">
        <v>44879</v>
      </c>
      <c r="B498" s="1" t="s">
        <v>15</v>
      </c>
      <c r="C498" s="1">
        <v>14</v>
      </c>
      <c r="D498" s="1">
        <v>3</v>
      </c>
      <c r="E498" s="14">
        <v>41.42</v>
      </c>
      <c r="F498" s="1" t="s">
        <v>16</v>
      </c>
      <c r="G498" s="1">
        <v>4</v>
      </c>
      <c r="H498" s="1" t="s">
        <v>16</v>
      </c>
      <c r="I498" s="1" t="s">
        <v>16</v>
      </c>
      <c r="J498" s="1" t="s">
        <v>16</v>
      </c>
      <c r="K498" s="1" t="s">
        <v>17</v>
      </c>
      <c r="L498" s="1" t="s">
        <v>17</v>
      </c>
      <c r="M498" s="1" t="s">
        <v>21</v>
      </c>
      <c r="N498" s="1" t="s">
        <v>16</v>
      </c>
    </row>
    <row r="499" spans="1:14" x14ac:dyDescent="0.25">
      <c r="A499" s="9">
        <v>44879</v>
      </c>
      <c r="B499" s="1" t="s">
        <v>15</v>
      </c>
      <c r="C499" s="1">
        <v>15</v>
      </c>
      <c r="D499" s="1">
        <v>3</v>
      </c>
      <c r="E499" s="14">
        <v>59.26</v>
      </c>
      <c r="F499" s="1" t="s">
        <v>18</v>
      </c>
      <c r="G499" s="1">
        <v>3</v>
      </c>
      <c r="H499" s="1" t="s">
        <v>16</v>
      </c>
      <c r="I499" s="1" t="s">
        <v>16</v>
      </c>
      <c r="J499" s="1" t="s">
        <v>16</v>
      </c>
      <c r="K499" s="1" t="s">
        <v>17</v>
      </c>
      <c r="L499" s="1" t="s">
        <v>17</v>
      </c>
      <c r="M499" s="1" t="s">
        <v>21</v>
      </c>
      <c r="N499" s="1" t="s">
        <v>16</v>
      </c>
    </row>
    <row r="500" spans="1:14" x14ac:dyDescent="0.25">
      <c r="A500" s="9">
        <v>44901</v>
      </c>
      <c r="B500" s="1" t="s">
        <v>15</v>
      </c>
      <c r="C500" s="1">
        <v>1</v>
      </c>
      <c r="D500" s="1">
        <v>1</v>
      </c>
      <c r="E500" s="14">
        <v>48.57</v>
      </c>
      <c r="F500" s="1" t="s">
        <v>18</v>
      </c>
      <c r="G500" s="1">
        <v>3</v>
      </c>
      <c r="H500" s="1" t="s">
        <v>16</v>
      </c>
      <c r="I500" s="1" t="s">
        <v>16</v>
      </c>
      <c r="J500" s="1" t="s">
        <v>16</v>
      </c>
      <c r="K500" s="1" t="s">
        <v>17</v>
      </c>
      <c r="L500" s="1" t="s">
        <v>17</v>
      </c>
      <c r="M500" s="1" t="s">
        <v>17</v>
      </c>
      <c r="N500" s="1" t="s">
        <v>16</v>
      </c>
    </row>
    <row r="501" spans="1:14" x14ac:dyDescent="0.25">
      <c r="A501" s="9">
        <v>44901</v>
      </c>
      <c r="B501" s="1" t="s">
        <v>15</v>
      </c>
      <c r="C501" s="1">
        <v>2</v>
      </c>
      <c r="D501" s="1">
        <v>1</v>
      </c>
      <c r="E501" s="14">
        <v>50.13</v>
      </c>
      <c r="F501" s="1" t="s">
        <v>16</v>
      </c>
      <c r="G501" s="1">
        <v>4</v>
      </c>
      <c r="H501" s="1" t="s">
        <v>16</v>
      </c>
      <c r="I501" s="1" t="s">
        <v>16</v>
      </c>
      <c r="J501" s="1" t="s">
        <v>16</v>
      </c>
      <c r="K501" s="1" t="s">
        <v>17</v>
      </c>
      <c r="L501" s="1" t="s">
        <v>17</v>
      </c>
      <c r="M501" s="1" t="s">
        <v>17</v>
      </c>
      <c r="N501" s="1" t="s">
        <v>16</v>
      </c>
    </row>
    <row r="502" spans="1:14" x14ac:dyDescent="0.25">
      <c r="A502" s="9">
        <v>44901</v>
      </c>
      <c r="B502" s="1" t="s">
        <v>15</v>
      </c>
      <c r="C502" s="1">
        <v>3</v>
      </c>
      <c r="D502" s="1">
        <v>1</v>
      </c>
      <c r="E502" s="14">
        <v>44.69</v>
      </c>
      <c r="F502" s="1" t="s">
        <v>16</v>
      </c>
      <c r="G502" s="1">
        <v>4</v>
      </c>
      <c r="H502" s="1" t="s">
        <v>16</v>
      </c>
      <c r="I502" s="1" t="s">
        <v>16</v>
      </c>
      <c r="J502" s="1" t="s">
        <v>16</v>
      </c>
      <c r="K502" s="1" t="s">
        <v>17</v>
      </c>
      <c r="L502" s="1" t="s">
        <v>17</v>
      </c>
      <c r="M502" s="1" t="s">
        <v>17</v>
      </c>
      <c r="N502" s="1" t="s">
        <v>16</v>
      </c>
    </row>
    <row r="503" spans="1:14" x14ac:dyDescent="0.25">
      <c r="A503" s="9">
        <v>44901</v>
      </c>
      <c r="B503" s="1" t="s">
        <v>15</v>
      </c>
      <c r="C503" s="1">
        <v>4</v>
      </c>
      <c r="D503" s="1">
        <v>1</v>
      </c>
      <c r="E503" s="14">
        <v>34.630000000000003</v>
      </c>
      <c r="F503" s="1" t="s">
        <v>18</v>
      </c>
      <c r="G503" s="1">
        <v>1</v>
      </c>
      <c r="H503" s="1" t="s">
        <v>16</v>
      </c>
      <c r="I503" s="1" t="s">
        <v>16</v>
      </c>
      <c r="J503" s="1" t="s">
        <v>16</v>
      </c>
      <c r="K503" s="1" t="s">
        <v>17</v>
      </c>
      <c r="L503" s="1" t="s">
        <v>17</v>
      </c>
      <c r="M503" s="1" t="s">
        <v>17</v>
      </c>
      <c r="N503" s="1" t="s">
        <v>16</v>
      </c>
    </row>
    <row r="504" spans="1:14" x14ac:dyDescent="0.25">
      <c r="A504" s="9">
        <v>44901</v>
      </c>
      <c r="B504" s="1" t="s">
        <v>15</v>
      </c>
      <c r="C504" s="1">
        <v>5</v>
      </c>
      <c r="D504" s="1">
        <v>1</v>
      </c>
      <c r="E504" s="14">
        <v>57.18</v>
      </c>
      <c r="F504" s="1" t="s">
        <v>16</v>
      </c>
      <c r="G504" s="1" t="s">
        <v>16</v>
      </c>
      <c r="H504" s="1" t="s">
        <v>16</v>
      </c>
      <c r="I504" s="1" t="s">
        <v>16</v>
      </c>
      <c r="J504" s="1" t="s">
        <v>16</v>
      </c>
      <c r="K504" s="1" t="s">
        <v>17</v>
      </c>
      <c r="L504" s="1" t="s">
        <v>17</v>
      </c>
      <c r="M504" s="1" t="s">
        <v>21</v>
      </c>
      <c r="N504" s="1" t="s">
        <v>16</v>
      </c>
    </row>
    <row r="505" spans="1:14" x14ac:dyDescent="0.25">
      <c r="A505" s="9">
        <v>44901</v>
      </c>
      <c r="B505" s="1" t="s">
        <v>15</v>
      </c>
      <c r="C505" s="1">
        <v>6</v>
      </c>
      <c r="D505" s="1">
        <v>2</v>
      </c>
      <c r="E505" s="14">
        <v>59.36</v>
      </c>
      <c r="F505" s="1" t="s">
        <v>18</v>
      </c>
      <c r="G505" s="1">
        <v>2</v>
      </c>
      <c r="H505" s="1" t="s">
        <v>16</v>
      </c>
      <c r="I505" s="1" t="s">
        <v>16</v>
      </c>
      <c r="J505" s="1" t="s">
        <v>16</v>
      </c>
      <c r="K505" s="1" t="s">
        <v>17</v>
      </c>
      <c r="L505" s="1" t="s">
        <v>17</v>
      </c>
      <c r="M505" s="1" t="s">
        <v>17</v>
      </c>
      <c r="N505" s="1" t="s">
        <v>16</v>
      </c>
    </row>
    <row r="506" spans="1:14" x14ac:dyDescent="0.25">
      <c r="A506" s="9">
        <v>44901</v>
      </c>
      <c r="B506" s="1" t="s">
        <v>15</v>
      </c>
      <c r="C506" s="1">
        <v>7</v>
      </c>
      <c r="D506" s="1">
        <v>2</v>
      </c>
      <c r="E506" s="14">
        <v>55.05</v>
      </c>
      <c r="F506" s="1" t="s">
        <v>18</v>
      </c>
      <c r="G506" s="1">
        <v>1</v>
      </c>
      <c r="H506" s="1" t="s">
        <v>16</v>
      </c>
      <c r="I506" s="1" t="s">
        <v>16</v>
      </c>
      <c r="J506" s="1" t="s">
        <v>16</v>
      </c>
      <c r="K506" s="1" t="s">
        <v>21</v>
      </c>
      <c r="L506" s="1" t="s">
        <v>17</v>
      </c>
      <c r="M506" s="1" t="s">
        <v>17</v>
      </c>
      <c r="N506" s="1" t="s">
        <v>16</v>
      </c>
    </row>
    <row r="507" spans="1:14" x14ac:dyDescent="0.25">
      <c r="A507" s="9">
        <v>44901</v>
      </c>
      <c r="B507" s="1" t="s">
        <v>15</v>
      </c>
      <c r="C507" s="1">
        <v>8</v>
      </c>
      <c r="D507" s="1">
        <v>2</v>
      </c>
      <c r="E507" s="14">
        <v>88.45</v>
      </c>
      <c r="F507" s="1" t="s">
        <v>16</v>
      </c>
      <c r="G507" s="1">
        <v>4</v>
      </c>
      <c r="H507" s="1" t="s">
        <v>16</v>
      </c>
      <c r="I507" s="1" t="s">
        <v>16</v>
      </c>
      <c r="J507" s="1" t="s">
        <v>16</v>
      </c>
      <c r="K507" s="1" t="s">
        <v>21</v>
      </c>
      <c r="L507" s="1" t="s">
        <v>17</v>
      </c>
      <c r="M507" s="1" t="s">
        <v>17</v>
      </c>
      <c r="N507" s="1" t="s">
        <v>16</v>
      </c>
    </row>
    <row r="508" spans="1:14" x14ac:dyDescent="0.25">
      <c r="A508" s="9">
        <v>44901</v>
      </c>
      <c r="B508" s="1" t="s">
        <v>15</v>
      </c>
      <c r="C508" s="1">
        <v>9</v>
      </c>
      <c r="D508" s="1">
        <v>2</v>
      </c>
      <c r="E508" s="14">
        <v>55.15</v>
      </c>
      <c r="F508" s="1" t="s">
        <v>18</v>
      </c>
      <c r="G508" s="1">
        <v>3</v>
      </c>
      <c r="H508" s="1" t="s">
        <v>16</v>
      </c>
      <c r="I508" s="1" t="s">
        <v>16</v>
      </c>
      <c r="J508" s="1" t="s">
        <v>16</v>
      </c>
      <c r="K508" s="1" t="s">
        <v>17</v>
      </c>
      <c r="L508" s="1" t="s">
        <v>17</v>
      </c>
      <c r="M508" s="1" t="s">
        <v>17</v>
      </c>
      <c r="N508" s="1" t="s">
        <v>16</v>
      </c>
    </row>
    <row r="509" spans="1:14" x14ac:dyDescent="0.25">
      <c r="A509" s="9">
        <v>44901</v>
      </c>
      <c r="B509" s="1" t="s">
        <v>15</v>
      </c>
      <c r="C509" s="1">
        <v>10</v>
      </c>
      <c r="D509" s="1">
        <v>2</v>
      </c>
      <c r="E509" s="14">
        <v>63.15</v>
      </c>
      <c r="F509" s="1" t="s">
        <v>16</v>
      </c>
      <c r="G509" s="1">
        <v>4</v>
      </c>
      <c r="H509" s="1" t="s">
        <v>16</v>
      </c>
      <c r="I509" s="1" t="s">
        <v>16</v>
      </c>
      <c r="J509" s="1" t="s">
        <v>16</v>
      </c>
      <c r="K509" s="1" t="s">
        <v>17</v>
      </c>
      <c r="L509" s="1" t="s">
        <v>17</v>
      </c>
      <c r="M509" s="1" t="s">
        <v>17</v>
      </c>
      <c r="N509" s="1" t="s">
        <v>16</v>
      </c>
    </row>
    <row r="510" spans="1:14" x14ac:dyDescent="0.25">
      <c r="A510" s="9">
        <v>44901</v>
      </c>
      <c r="B510" s="1" t="s">
        <v>15</v>
      </c>
      <c r="C510" s="1">
        <v>11</v>
      </c>
      <c r="D510" s="1">
        <v>3</v>
      </c>
      <c r="E510" s="14">
        <v>46.11</v>
      </c>
      <c r="F510" s="1" t="s">
        <v>16</v>
      </c>
      <c r="G510" s="1">
        <v>4</v>
      </c>
      <c r="H510" s="1" t="s">
        <v>16</v>
      </c>
      <c r="I510" s="1" t="s">
        <v>16</v>
      </c>
      <c r="J510" s="1" t="s">
        <v>16</v>
      </c>
      <c r="K510" s="1" t="s">
        <v>17</v>
      </c>
      <c r="L510" s="1" t="s">
        <v>17</v>
      </c>
      <c r="M510" s="1" t="s">
        <v>17</v>
      </c>
      <c r="N510" s="1" t="s">
        <v>16</v>
      </c>
    </row>
    <row r="511" spans="1:14" x14ac:dyDescent="0.25">
      <c r="A511" s="9">
        <v>44901</v>
      </c>
      <c r="B511" s="1" t="s">
        <v>15</v>
      </c>
      <c r="C511" s="1">
        <v>12</v>
      </c>
      <c r="D511" s="1">
        <v>3</v>
      </c>
      <c r="E511" s="14">
        <v>50.24</v>
      </c>
      <c r="F511" s="1" t="s">
        <v>16</v>
      </c>
      <c r="G511" s="1">
        <v>4</v>
      </c>
      <c r="H511" s="1" t="s">
        <v>16</v>
      </c>
      <c r="I511" s="1" t="s">
        <v>16</v>
      </c>
      <c r="J511" s="1" t="s">
        <v>16</v>
      </c>
      <c r="K511" s="1" t="s">
        <v>17</v>
      </c>
      <c r="L511" s="1" t="s">
        <v>17</v>
      </c>
      <c r="M511" s="1" t="s">
        <v>17</v>
      </c>
      <c r="N511" s="1" t="s">
        <v>16</v>
      </c>
    </row>
    <row r="512" spans="1:14" x14ac:dyDescent="0.25">
      <c r="A512" s="9">
        <v>44901</v>
      </c>
      <c r="B512" s="1" t="s">
        <v>15</v>
      </c>
      <c r="C512" s="1">
        <v>13</v>
      </c>
      <c r="D512" s="1">
        <v>3</v>
      </c>
      <c r="E512" s="14">
        <v>38.590000000000003</v>
      </c>
      <c r="F512" s="1" t="s">
        <v>19</v>
      </c>
      <c r="G512" s="1">
        <v>3</v>
      </c>
      <c r="H512" s="1" t="s">
        <v>16</v>
      </c>
      <c r="I512" s="1" t="s">
        <v>16</v>
      </c>
      <c r="J512" s="1" t="s">
        <v>16</v>
      </c>
      <c r="K512" s="1" t="s">
        <v>21</v>
      </c>
      <c r="L512" s="1" t="s">
        <v>17</v>
      </c>
      <c r="M512" s="1" t="s">
        <v>17</v>
      </c>
      <c r="N512" s="1" t="s">
        <v>16</v>
      </c>
    </row>
    <row r="513" spans="1:14" x14ac:dyDescent="0.25">
      <c r="A513" s="9">
        <v>44901</v>
      </c>
      <c r="B513" s="1" t="s">
        <v>15</v>
      </c>
      <c r="C513" s="1">
        <v>14</v>
      </c>
      <c r="D513" s="1">
        <v>3</v>
      </c>
      <c r="E513" s="14">
        <v>46.37</v>
      </c>
      <c r="F513" s="1" t="s">
        <v>16</v>
      </c>
      <c r="G513" s="1">
        <v>4</v>
      </c>
      <c r="H513" s="1" t="s">
        <v>16</v>
      </c>
      <c r="I513" s="1" t="s">
        <v>16</v>
      </c>
      <c r="J513" s="1" t="s">
        <v>16</v>
      </c>
      <c r="K513" s="1" t="s">
        <v>17</v>
      </c>
      <c r="L513" s="1" t="s">
        <v>17</v>
      </c>
      <c r="M513" s="1" t="s">
        <v>17</v>
      </c>
      <c r="N513" s="1" t="s">
        <v>16</v>
      </c>
    </row>
    <row r="514" spans="1:14" x14ac:dyDescent="0.25">
      <c r="A514" s="9">
        <v>44901</v>
      </c>
      <c r="B514" s="1" t="s">
        <v>15</v>
      </c>
      <c r="C514" s="1">
        <v>15</v>
      </c>
      <c r="D514" s="1">
        <v>3</v>
      </c>
      <c r="E514" s="14">
        <v>54.84</v>
      </c>
      <c r="F514" s="1" t="s">
        <v>16</v>
      </c>
      <c r="G514" s="1">
        <v>4</v>
      </c>
      <c r="H514" s="1" t="s">
        <v>16</v>
      </c>
      <c r="I514" s="1" t="s">
        <v>16</v>
      </c>
      <c r="J514" s="1" t="s">
        <v>16</v>
      </c>
      <c r="K514" s="1" t="s">
        <v>21</v>
      </c>
      <c r="L514" s="1" t="s">
        <v>17</v>
      </c>
      <c r="M514" s="1" t="s">
        <v>17</v>
      </c>
      <c r="N514" s="1" t="s">
        <v>16</v>
      </c>
    </row>
    <row r="515" spans="1:14" x14ac:dyDescent="0.25">
      <c r="A515" s="9">
        <v>44930</v>
      </c>
      <c r="B515" s="1" t="s">
        <v>15</v>
      </c>
      <c r="C515" s="1">
        <v>1</v>
      </c>
      <c r="D515" s="1">
        <v>1</v>
      </c>
      <c r="E515" s="14">
        <v>45.42</v>
      </c>
      <c r="F515" s="1" t="s">
        <v>16</v>
      </c>
      <c r="G515" s="1">
        <v>4</v>
      </c>
      <c r="H515" s="1" t="s">
        <v>16</v>
      </c>
      <c r="I515" s="1" t="s">
        <v>16</v>
      </c>
      <c r="J515" s="1" t="s">
        <v>16</v>
      </c>
      <c r="K515" s="1" t="s">
        <v>17</v>
      </c>
      <c r="L515" s="1" t="s">
        <v>17</v>
      </c>
      <c r="M515" s="1" t="s">
        <v>17</v>
      </c>
      <c r="N515" s="1" t="s">
        <v>16</v>
      </c>
    </row>
    <row r="516" spans="1:14" x14ac:dyDescent="0.25">
      <c r="A516" s="9">
        <v>44930</v>
      </c>
      <c r="B516" s="1" t="s">
        <v>15</v>
      </c>
      <c r="C516" s="1">
        <v>2</v>
      </c>
      <c r="D516" s="1">
        <v>1</v>
      </c>
      <c r="E516" s="14">
        <v>33</v>
      </c>
      <c r="F516" s="1" t="s">
        <v>16</v>
      </c>
      <c r="G516" s="1" t="s">
        <v>16</v>
      </c>
      <c r="H516" s="1" t="s">
        <v>16</v>
      </c>
      <c r="I516" s="1" t="s">
        <v>16</v>
      </c>
      <c r="J516" s="1" t="s">
        <v>16</v>
      </c>
      <c r="K516" s="1" t="s">
        <v>17</v>
      </c>
      <c r="L516" s="1" t="s">
        <v>17</v>
      </c>
      <c r="M516" s="1" t="s">
        <v>21</v>
      </c>
      <c r="N516" s="1" t="s">
        <v>16</v>
      </c>
    </row>
    <row r="517" spans="1:14" x14ac:dyDescent="0.25">
      <c r="A517" s="9">
        <v>44930</v>
      </c>
      <c r="B517" s="1" t="s">
        <v>15</v>
      </c>
      <c r="C517" s="1">
        <v>3</v>
      </c>
      <c r="D517" s="1">
        <v>1</v>
      </c>
      <c r="E517" s="14">
        <v>51.46</v>
      </c>
      <c r="F517" s="1" t="s">
        <v>16</v>
      </c>
      <c r="G517" s="1">
        <v>4</v>
      </c>
      <c r="H517" s="1" t="s">
        <v>16</v>
      </c>
      <c r="I517" s="1" t="s">
        <v>16</v>
      </c>
      <c r="J517" s="1" t="s">
        <v>16</v>
      </c>
      <c r="K517" s="1" t="s">
        <v>17</v>
      </c>
      <c r="L517" s="1" t="s">
        <v>17</v>
      </c>
      <c r="M517" s="1" t="s">
        <v>17</v>
      </c>
      <c r="N517" s="1" t="s">
        <v>16</v>
      </c>
    </row>
    <row r="518" spans="1:14" x14ac:dyDescent="0.25">
      <c r="A518" s="9">
        <v>44930</v>
      </c>
      <c r="B518" s="1" t="s">
        <v>15</v>
      </c>
      <c r="C518" s="1">
        <v>4</v>
      </c>
      <c r="D518" s="1">
        <v>1</v>
      </c>
      <c r="E518" s="14">
        <v>41.19</v>
      </c>
      <c r="F518" s="1" t="s">
        <v>16</v>
      </c>
      <c r="G518" s="1">
        <v>4</v>
      </c>
      <c r="H518" s="1" t="s">
        <v>16</v>
      </c>
      <c r="I518" s="1" t="s">
        <v>16</v>
      </c>
      <c r="J518" s="1" t="s">
        <v>16</v>
      </c>
      <c r="K518" s="1" t="s">
        <v>17</v>
      </c>
      <c r="L518" s="1" t="s">
        <v>17</v>
      </c>
      <c r="M518" s="1" t="s">
        <v>17</v>
      </c>
      <c r="N518" s="1" t="s">
        <v>16</v>
      </c>
    </row>
    <row r="519" spans="1:14" x14ac:dyDescent="0.25">
      <c r="A519" s="9">
        <v>44930</v>
      </c>
      <c r="B519" s="1" t="s">
        <v>15</v>
      </c>
      <c r="C519" s="1">
        <v>5</v>
      </c>
      <c r="D519" s="1">
        <v>1</v>
      </c>
      <c r="E519" s="14">
        <v>45.66</v>
      </c>
      <c r="F519" s="1" t="s">
        <v>16</v>
      </c>
      <c r="G519" s="1">
        <v>4</v>
      </c>
      <c r="H519" s="1" t="s">
        <v>16</v>
      </c>
      <c r="I519" s="1" t="s">
        <v>16</v>
      </c>
      <c r="J519" s="1" t="s">
        <v>16</v>
      </c>
      <c r="K519" s="1" t="s">
        <v>17</v>
      </c>
      <c r="L519" s="1" t="s">
        <v>17</v>
      </c>
      <c r="M519" s="1" t="s">
        <v>17</v>
      </c>
      <c r="N519" s="1" t="s">
        <v>16</v>
      </c>
    </row>
    <row r="520" spans="1:14" x14ac:dyDescent="0.25">
      <c r="A520" s="9">
        <v>44930</v>
      </c>
      <c r="B520" s="1" t="s">
        <v>15</v>
      </c>
      <c r="C520" s="1">
        <v>6</v>
      </c>
      <c r="D520" s="1">
        <v>2</v>
      </c>
      <c r="E520" s="14">
        <v>54.02</v>
      </c>
      <c r="F520" s="1" t="s">
        <v>18</v>
      </c>
      <c r="G520" s="1">
        <v>3</v>
      </c>
      <c r="H520" s="1" t="s">
        <v>16</v>
      </c>
      <c r="I520" s="1" t="s">
        <v>16</v>
      </c>
      <c r="J520" s="1" t="s">
        <v>16</v>
      </c>
      <c r="K520" s="1" t="s">
        <v>17</v>
      </c>
      <c r="L520" s="1" t="s">
        <v>17</v>
      </c>
      <c r="M520" s="1" t="s">
        <v>17</v>
      </c>
      <c r="N520" s="1" t="s">
        <v>16</v>
      </c>
    </row>
    <row r="521" spans="1:14" x14ac:dyDescent="0.25">
      <c r="A521" s="9">
        <v>44930</v>
      </c>
      <c r="B521" s="1" t="s">
        <v>15</v>
      </c>
      <c r="C521" s="1">
        <v>7</v>
      </c>
      <c r="D521" s="1">
        <v>2</v>
      </c>
      <c r="E521" s="14">
        <v>40.69</v>
      </c>
      <c r="F521" s="1" t="s">
        <v>16</v>
      </c>
      <c r="G521" s="1">
        <v>4</v>
      </c>
      <c r="H521" s="1" t="s">
        <v>16</v>
      </c>
      <c r="I521" s="1" t="s">
        <v>16</v>
      </c>
      <c r="J521" s="1" t="s">
        <v>16</v>
      </c>
      <c r="K521" s="1" t="s">
        <v>17</v>
      </c>
      <c r="L521" s="1" t="s">
        <v>17</v>
      </c>
      <c r="M521" s="1" t="s">
        <v>17</v>
      </c>
      <c r="N521" s="1" t="s">
        <v>16</v>
      </c>
    </row>
    <row r="522" spans="1:14" x14ac:dyDescent="0.25">
      <c r="A522" s="9">
        <v>44930</v>
      </c>
      <c r="B522" s="1" t="s">
        <v>15</v>
      </c>
      <c r="C522" s="1">
        <v>8</v>
      </c>
      <c r="D522" s="1">
        <v>2</v>
      </c>
      <c r="E522" s="14">
        <v>49.02</v>
      </c>
      <c r="F522" s="1" t="s">
        <v>16</v>
      </c>
      <c r="G522" s="1">
        <v>4</v>
      </c>
      <c r="H522" s="1" t="s">
        <v>16</v>
      </c>
      <c r="I522" s="1" t="s">
        <v>16</v>
      </c>
      <c r="J522" s="1" t="s">
        <v>16</v>
      </c>
      <c r="K522" s="1" t="s">
        <v>17</v>
      </c>
      <c r="L522" s="1" t="s">
        <v>17</v>
      </c>
      <c r="M522" s="1" t="s">
        <v>17</v>
      </c>
      <c r="N522" s="1" t="s">
        <v>16</v>
      </c>
    </row>
    <row r="523" spans="1:14" x14ac:dyDescent="0.25">
      <c r="A523" s="9">
        <v>44930</v>
      </c>
      <c r="B523" s="1" t="s">
        <v>15</v>
      </c>
      <c r="C523" s="1">
        <v>9</v>
      </c>
      <c r="D523" s="1">
        <v>2</v>
      </c>
      <c r="E523" s="14">
        <v>55.49</v>
      </c>
      <c r="F523" s="1" t="s">
        <v>16</v>
      </c>
      <c r="G523" s="1">
        <v>4</v>
      </c>
      <c r="H523" s="1" t="s">
        <v>16</v>
      </c>
      <c r="I523" s="1" t="s">
        <v>16</v>
      </c>
      <c r="J523" s="1" t="s">
        <v>16</v>
      </c>
      <c r="K523" s="1" t="s">
        <v>17</v>
      </c>
      <c r="L523" s="1" t="s">
        <v>17</v>
      </c>
      <c r="M523" s="1" t="s">
        <v>17</v>
      </c>
      <c r="N523" s="1" t="s">
        <v>16</v>
      </c>
    </row>
    <row r="524" spans="1:14" x14ac:dyDescent="0.25">
      <c r="A524" s="9">
        <v>44930</v>
      </c>
      <c r="B524" s="1" t="s">
        <v>15</v>
      </c>
      <c r="C524" s="1">
        <v>10</v>
      </c>
      <c r="D524" s="1">
        <v>2</v>
      </c>
      <c r="E524" s="14">
        <v>51.94</v>
      </c>
      <c r="F524" s="1" t="s">
        <v>16</v>
      </c>
      <c r="G524" s="1">
        <v>4</v>
      </c>
      <c r="H524" s="1" t="s">
        <v>16</v>
      </c>
      <c r="I524" s="1" t="s">
        <v>16</v>
      </c>
      <c r="J524" s="1" t="s">
        <v>16</v>
      </c>
      <c r="K524" s="1" t="s">
        <v>17</v>
      </c>
      <c r="L524" s="1" t="s">
        <v>17</v>
      </c>
      <c r="M524" s="1" t="s">
        <v>17</v>
      </c>
      <c r="N524" s="1" t="s">
        <v>16</v>
      </c>
    </row>
    <row r="525" spans="1:14" x14ac:dyDescent="0.25">
      <c r="A525" s="9">
        <v>44930</v>
      </c>
      <c r="B525" s="1" t="s">
        <v>15</v>
      </c>
      <c r="C525" s="1">
        <v>11</v>
      </c>
      <c r="D525" s="1">
        <v>3</v>
      </c>
      <c r="E525" s="14">
        <v>69.739999999999995</v>
      </c>
      <c r="F525" s="1" t="s">
        <v>19</v>
      </c>
      <c r="G525" s="1">
        <v>3</v>
      </c>
      <c r="H525" s="1" t="s">
        <v>16</v>
      </c>
      <c r="I525" s="1" t="s">
        <v>16</v>
      </c>
      <c r="J525" s="1" t="s">
        <v>16</v>
      </c>
      <c r="K525" s="1" t="s">
        <v>17</v>
      </c>
      <c r="L525" s="1" t="s">
        <v>17</v>
      </c>
      <c r="M525" s="1" t="s">
        <v>17</v>
      </c>
      <c r="N525" s="1" t="s">
        <v>16</v>
      </c>
    </row>
    <row r="526" spans="1:14" x14ac:dyDescent="0.25">
      <c r="A526" s="9">
        <v>44930</v>
      </c>
      <c r="B526" s="1" t="s">
        <v>15</v>
      </c>
      <c r="C526" s="1">
        <v>12</v>
      </c>
      <c r="D526" s="1">
        <v>3</v>
      </c>
      <c r="E526" s="14">
        <v>58.27</v>
      </c>
      <c r="F526" s="1" t="s">
        <v>16</v>
      </c>
      <c r="G526" s="1">
        <v>4</v>
      </c>
      <c r="H526" s="1" t="s">
        <v>16</v>
      </c>
      <c r="I526" s="1" t="s">
        <v>16</v>
      </c>
      <c r="J526" s="1" t="s">
        <v>16</v>
      </c>
      <c r="K526" s="1" t="s">
        <v>17</v>
      </c>
      <c r="L526" s="1" t="s">
        <v>17</v>
      </c>
      <c r="M526" s="1" t="s">
        <v>17</v>
      </c>
      <c r="N526" s="1" t="s">
        <v>16</v>
      </c>
    </row>
    <row r="527" spans="1:14" x14ac:dyDescent="0.25">
      <c r="A527" s="9">
        <v>44930</v>
      </c>
      <c r="B527" s="1" t="s">
        <v>15</v>
      </c>
      <c r="C527" s="1">
        <v>13</v>
      </c>
      <c r="D527" s="1">
        <v>3</v>
      </c>
      <c r="E527" s="14">
        <v>43.37</v>
      </c>
      <c r="F527" s="1" t="s">
        <v>16</v>
      </c>
      <c r="G527" s="1">
        <v>4</v>
      </c>
      <c r="H527" s="1" t="s">
        <v>16</v>
      </c>
      <c r="I527" s="1" t="s">
        <v>16</v>
      </c>
      <c r="J527" s="1" t="s">
        <v>16</v>
      </c>
      <c r="K527" s="1" t="s">
        <v>17</v>
      </c>
      <c r="L527" s="1" t="s">
        <v>17</v>
      </c>
      <c r="M527" s="1" t="s">
        <v>17</v>
      </c>
      <c r="N527" s="1" t="s">
        <v>16</v>
      </c>
    </row>
    <row r="528" spans="1:14" x14ac:dyDescent="0.25">
      <c r="A528" s="9">
        <v>44930</v>
      </c>
      <c r="B528" s="1" t="s">
        <v>15</v>
      </c>
      <c r="C528" s="1">
        <v>14</v>
      </c>
      <c r="D528" s="1">
        <v>3</v>
      </c>
      <c r="E528" s="14">
        <v>57.42</v>
      </c>
      <c r="F528" s="1" t="s">
        <v>16</v>
      </c>
      <c r="G528" s="1">
        <v>4</v>
      </c>
      <c r="H528" s="1" t="s">
        <v>16</v>
      </c>
      <c r="I528" s="1" t="s">
        <v>16</v>
      </c>
      <c r="J528" s="1" t="s">
        <v>16</v>
      </c>
      <c r="K528" s="1" t="s">
        <v>17</v>
      </c>
      <c r="L528" s="1" t="s">
        <v>17</v>
      </c>
      <c r="M528" s="1" t="s">
        <v>17</v>
      </c>
      <c r="N528" s="1" t="s">
        <v>16</v>
      </c>
    </row>
    <row r="529" spans="1:14" x14ac:dyDescent="0.25">
      <c r="A529" s="9">
        <v>44930</v>
      </c>
      <c r="B529" s="1" t="s">
        <v>15</v>
      </c>
      <c r="C529" s="1">
        <v>15</v>
      </c>
      <c r="D529" s="1">
        <v>3</v>
      </c>
      <c r="E529" s="14">
        <v>55.02</v>
      </c>
      <c r="F529" s="1" t="s">
        <v>18</v>
      </c>
      <c r="G529" s="1">
        <v>3</v>
      </c>
      <c r="H529" s="1" t="s">
        <v>16</v>
      </c>
      <c r="I529" s="1" t="s">
        <v>16</v>
      </c>
      <c r="J529" s="1" t="s">
        <v>16</v>
      </c>
      <c r="K529" s="1" t="s">
        <v>17</v>
      </c>
      <c r="L529" s="1" t="s">
        <v>17</v>
      </c>
      <c r="M529" s="1" t="s">
        <v>17</v>
      </c>
      <c r="N529" s="1" t="s">
        <v>16</v>
      </c>
    </row>
    <row r="530" spans="1:14" x14ac:dyDescent="0.25">
      <c r="A530" s="9">
        <v>44964</v>
      </c>
      <c r="B530" s="1" t="s">
        <v>15</v>
      </c>
      <c r="C530" s="1">
        <v>1</v>
      </c>
      <c r="D530" s="1">
        <v>1</v>
      </c>
      <c r="E530" s="1">
        <v>42.2</v>
      </c>
      <c r="F530" s="1" t="s">
        <v>16</v>
      </c>
      <c r="G530" s="1" t="s">
        <v>16</v>
      </c>
      <c r="H530" s="1" t="s">
        <v>16</v>
      </c>
      <c r="I530" s="1" t="s">
        <v>16</v>
      </c>
      <c r="J530" s="1" t="s">
        <v>16</v>
      </c>
      <c r="K530" s="1" t="s">
        <v>17</v>
      </c>
      <c r="L530" s="1" t="s">
        <v>17</v>
      </c>
      <c r="M530" s="1" t="s">
        <v>21</v>
      </c>
      <c r="N530" s="1" t="s">
        <v>16</v>
      </c>
    </row>
    <row r="531" spans="1:14" x14ac:dyDescent="0.25">
      <c r="A531" s="9">
        <v>44964</v>
      </c>
      <c r="B531" s="1" t="s">
        <v>15</v>
      </c>
      <c r="C531" s="1">
        <v>2</v>
      </c>
      <c r="D531" s="1">
        <v>1</v>
      </c>
      <c r="E531" s="1">
        <v>37.340000000000003</v>
      </c>
      <c r="F531" s="1" t="s">
        <v>19</v>
      </c>
      <c r="G531" s="1">
        <v>1</v>
      </c>
      <c r="H531" s="1" t="s">
        <v>16</v>
      </c>
      <c r="I531" s="1" t="s">
        <v>16</v>
      </c>
      <c r="J531" s="1" t="s">
        <v>16</v>
      </c>
      <c r="K531" s="1" t="s">
        <v>17</v>
      </c>
      <c r="L531" s="1" t="s">
        <v>17</v>
      </c>
      <c r="M531" s="1" t="s">
        <v>17</v>
      </c>
      <c r="N531" s="1" t="s">
        <v>16</v>
      </c>
    </row>
    <row r="532" spans="1:14" x14ac:dyDescent="0.25">
      <c r="A532" s="9">
        <v>44964</v>
      </c>
      <c r="B532" s="1" t="s">
        <v>15</v>
      </c>
      <c r="C532" s="1">
        <v>3</v>
      </c>
      <c r="D532" s="1">
        <v>1</v>
      </c>
      <c r="E532" s="1">
        <v>40.950000000000003</v>
      </c>
      <c r="F532" s="1" t="s">
        <v>16</v>
      </c>
      <c r="G532" s="1" t="s">
        <v>16</v>
      </c>
      <c r="H532" s="1" t="s">
        <v>16</v>
      </c>
      <c r="I532" s="1" t="s">
        <v>16</v>
      </c>
      <c r="J532" s="1" t="s">
        <v>16</v>
      </c>
      <c r="K532" s="1" t="s">
        <v>17</v>
      </c>
      <c r="L532" s="1" t="s">
        <v>17</v>
      </c>
      <c r="M532" s="1" t="s">
        <v>21</v>
      </c>
      <c r="N532" s="1" t="s">
        <v>16</v>
      </c>
    </row>
    <row r="533" spans="1:14" x14ac:dyDescent="0.25">
      <c r="A533" s="9">
        <v>44964</v>
      </c>
      <c r="B533" s="1" t="s">
        <v>15</v>
      </c>
      <c r="C533" s="1">
        <v>4</v>
      </c>
      <c r="D533" s="1">
        <v>1</v>
      </c>
      <c r="E533" s="1">
        <v>44.39</v>
      </c>
      <c r="F533" s="1" t="s">
        <v>16</v>
      </c>
      <c r="G533" s="1" t="s">
        <v>16</v>
      </c>
      <c r="H533" s="1" t="s">
        <v>16</v>
      </c>
      <c r="I533" s="1" t="s">
        <v>16</v>
      </c>
      <c r="J533" s="1" t="s">
        <v>16</v>
      </c>
      <c r="K533" s="1" t="s">
        <v>17</v>
      </c>
      <c r="L533" s="1" t="s">
        <v>17</v>
      </c>
      <c r="M533" s="1" t="s">
        <v>21</v>
      </c>
      <c r="N533" s="1" t="s">
        <v>16</v>
      </c>
    </row>
    <row r="534" spans="1:14" x14ac:dyDescent="0.25">
      <c r="A534" s="9">
        <v>44964</v>
      </c>
      <c r="B534" s="1" t="s">
        <v>15</v>
      </c>
      <c r="C534" s="1">
        <v>5</v>
      </c>
      <c r="D534" s="1">
        <v>1</v>
      </c>
      <c r="E534" s="1">
        <v>61.28</v>
      </c>
      <c r="F534" s="1" t="s">
        <v>16</v>
      </c>
      <c r="G534" s="1" t="s">
        <v>16</v>
      </c>
      <c r="H534" s="1" t="s">
        <v>16</v>
      </c>
      <c r="I534" s="1" t="s">
        <v>16</v>
      </c>
      <c r="J534" s="1" t="s">
        <v>16</v>
      </c>
      <c r="K534" s="1" t="s">
        <v>21</v>
      </c>
      <c r="L534" s="1" t="s">
        <v>17</v>
      </c>
      <c r="M534" s="1" t="s">
        <v>21</v>
      </c>
      <c r="N534" s="1" t="s">
        <v>16</v>
      </c>
    </row>
    <row r="535" spans="1:14" x14ac:dyDescent="0.25">
      <c r="A535" s="9">
        <v>44964</v>
      </c>
      <c r="B535" s="1" t="s">
        <v>15</v>
      </c>
      <c r="C535" s="1">
        <v>6</v>
      </c>
      <c r="D535" s="1">
        <v>2</v>
      </c>
      <c r="E535" s="1">
        <v>67.41</v>
      </c>
      <c r="F535" s="1" t="s">
        <v>16</v>
      </c>
      <c r="G535" s="1" t="s">
        <v>16</v>
      </c>
      <c r="H535" s="1" t="s">
        <v>16</v>
      </c>
      <c r="I535" s="1" t="s">
        <v>16</v>
      </c>
      <c r="J535" s="1" t="s">
        <v>16</v>
      </c>
      <c r="K535" s="1" t="s">
        <v>17</v>
      </c>
      <c r="L535" s="1" t="s">
        <v>17</v>
      </c>
      <c r="M535" s="1" t="s">
        <v>21</v>
      </c>
      <c r="N535" s="1" t="s">
        <v>16</v>
      </c>
    </row>
    <row r="536" spans="1:14" x14ac:dyDescent="0.25">
      <c r="A536" s="9">
        <v>44964</v>
      </c>
      <c r="B536" s="1" t="s">
        <v>15</v>
      </c>
      <c r="C536" s="1">
        <v>7</v>
      </c>
      <c r="D536" s="1">
        <v>2</v>
      </c>
      <c r="E536" s="1">
        <v>59.07</v>
      </c>
      <c r="F536" s="1" t="s">
        <v>16</v>
      </c>
      <c r="G536" s="1" t="s">
        <v>16</v>
      </c>
      <c r="H536" s="1" t="s">
        <v>16</v>
      </c>
      <c r="I536" s="1" t="s">
        <v>16</v>
      </c>
      <c r="J536" s="1" t="s">
        <v>16</v>
      </c>
      <c r="K536" s="1" t="s">
        <v>17</v>
      </c>
      <c r="L536" s="1" t="s">
        <v>17</v>
      </c>
      <c r="M536" s="1" t="s">
        <v>21</v>
      </c>
      <c r="N536" s="1" t="s">
        <v>16</v>
      </c>
    </row>
    <row r="537" spans="1:14" x14ac:dyDescent="0.25">
      <c r="A537" s="9">
        <v>44964</v>
      </c>
      <c r="B537" s="1" t="s">
        <v>15</v>
      </c>
      <c r="C537" s="1">
        <v>8</v>
      </c>
      <c r="D537" s="1">
        <v>2</v>
      </c>
      <c r="E537" s="1">
        <v>32.15</v>
      </c>
      <c r="F537" s="1" t="s">
        <v>16</v>
      </c>
      <c r="G537" s="1" t="s">
        <v>16</v>
      </c>
      <c r="H537" s="1" t="s">
        <v>16</v>
      </c>
      <c r="I537" s="1" t="s">
        <v>16</v>
      </c>
      <c r="J537" s="1" t="s">
        <v>16</v>
      </c>
      <c r="K537" s="1" t="s">
        <v>17</v>
      </c>
      <c r="L537" s="1" t="s">
        <v>17</v>
      </c>
      <c r="M537" s="1" t="s">
        <v>21</v>
      </c>
      <c r="N537" s="1" t="s">
        <v>16</v>
      </c>
    </row>
    <row r="538" spans="1:14" x14ac:dyDescent="0.25">
      <c r="A538" s="9">
        <v>44964</v>
      </c>
      <c r="B538" s="1" t="s">
        <v>15</v>
      </c>
      <c r="C538" s="1">
        <v>9</v>
      </c>
      <c r="D538" s="1">
        <v>2</v>
      </c>
      <c r="E538" s="1">
        <v>33.9</v>
      </c>
      <c r="F538" s="1" t="s">
        <v>19</v>
      </c>
      <c r="G538" s="1">
        <v>2</v>
      </c>
      <c r="H538" s="1" t="s">
        <v>16</v>
      </c>
      <c r="I538" s="1" t="s">
        <v>16</v>
      </c>
      <c r="J538" s="1" t="s">
        <v>16</v>
      </c>
      <c r="K538" s="1" t="s">
        <v>17</v>
      </c>
      <c r="L538" s="1" t="s">
        <v>17</v>
      </c>
      <c r="M538" s="1" t="s">
        <v>17</v>
      </c>
      <c r="N538" s="1" t="s">
        <v>16</v>
      </c>
    </row>
    <row r="539" spans="1:14" x14ac:dyDescent="0.25">
      <c r="A539" s="9">
        <v>44964</v>
      </c>
      <c r="B539" s="1" t="s">
        <v>15</v>
      </c>
      <c r="C539" s="1">
        <v>10</v>
      </c>
      <c r="D539" s="1">
        <v>2</v>
      </c>
      <c r="E539" s="1">
        <v>56.72</v>
      </c>
      <c r="F539" s="1" t="s">
        <v>16</v>
      </c>
      <c r="G539" s="1" t="s">
        <v>16</v>
      </c>
      <c r="H539" s="1" t="s">
        <v>16</v>
      </c>
      <c r="I539" s="1" t="s">
        <v>16</v>
      </c>
      <c r="J539" s="1" t="s">
        <v>16</v>
      </c>
      <c r="K539" s="1" t="s">
        <v>17</v>
      </c>
      <c r="L539" s="1" t="s">
        <v>17</v>
      </c>
      <c r="M539" s="1" t="s">
        <v>21</v>
      </c>
      <c r="N539" s="1" t="s">
        <v>16</v>
      </c>
    </row>
    <row r="540" spans="1:14" x14ac:dyDescent="0.25">
      <c r="A540" s="9">
        <v>44964</v>
      </c>
      <c r="B540" s="1" t="s">
        <v>15</v>
      </c>
      <c r="C540" s="1">
        <v>11</v>
      </c>
      <c r="D540" s="1">
        <v>3</v>
      </c>
      <c r="E540" s="1">
        <v>39.39</v>
      </c>
      <c r="F540" s="1" t="s">
        <v>18</v>
      </c>
      <c r="G540" s="1">
        <v>2</v>
      </c>
      <c r="H540" s="1" t="s">
        <v>16</v>
      </c>
      <c r="I540" s="1" t="s">
        <v>16</v>
      </c>
      <c r="J540" s="1" t="s">
        <v>16</v>
      </c>
      <c r="K540" s="1" t="s">
        <v>17</v>
      </c>
      <c r="L540" s="1" t="s">
        <v>17</v>
      </c>
      <c r="M540" s="1" t="s">
        <v>17</v>
      </c>
      <c r="N540" s="1" t="s">
        <v>16</v>
      </c>
    </row>
    <row r="541" spans="1:14" x14ac:dyDescent="0.25">
      <c r="A541" s="9">
        <v>44964</v>
      </c>
      <c r="B541" s="1" t="s">
        <v>15</v>
      </c>
      <c r="C541" s="1">
        <v>12</v>
      </c>
      <c r="D541" s="1">
        <v>3</v>
      </c>
      <c r="E541" s="1">
        <v>56.05</v>
      </c>
      <c r="F541" s="1" t="s">
        <v>16</v>
      </c>
      <c r="G541" s="1">
        <v>4</v>
      </c>
      <c r="H541" s="1" t="s">
        <v>16</v>
      </c>
      <c r="I541" s="1" t="s">
        <v>16</v>
      </c>
      <c r="J541" s="1" t="s">
        <v>16</v>
      </c>
      <c r="K541" s="1" t="s">
        <v>17</v>
      </c>
      <c r="L541" s="1" t="s">
        <v>17</v>
      </c>
      <c r="M541" s="1" t="s">
        <v>17</v>
      </c>
      <c r="N541" s="1" t="s">
        <v>16</v>
      </c>
    </row>
    <row r="542" spans="1:14" x14ac:dyDescent="0.25">
      <c r="A542" s="9">
        <v>44964</v>
      </c>
      <c r="B542" s="1" t="s">
        <v>15</v>
      </c>
      <c r="C542" s="1">
        <v>13</v>
      </c>
      <c r="D542" s="1">
        <v>3</v>
      </c>
      <c r="E542" s="1">
        <v>59.88</v>
      </c>
      <c r="F542" s="1" t="s">
        <v>16</v>
      </c>
      <c r="G542" s="1" t="s">
        <v>16</v>
      </c>
      <c r="H542" s="1" t="s">
        <v>16</v>
      </c>
      <c r="I542" s="1" t="s">
        <v>16</v>
      </c>
      <c r="J542" s="1" t="s">
        <v>16</v>
      </c>
      <c r="K542" s="1" t="s">
        <v>21</v>
      </c>
      <c r="L542" s="1" t="s">
        <v>17</v>
      </c>
      <c r="M542" s="1" t="s">
        <v>21</v>
      </c>
      <c r="N542" s="1" t="s">
        <v>16</v>
      </c>
    </row>
    <row r="543" spans="1:14" x14ac:dyDescent="0.25">
      <c r="A543" s="9">
        <v>44964</v>
      </c>
      <c r="B543" s="1" t="s">
        <v>15</v>
      </c>
      <c r="C543" s="1">
        <v>14</v>
      </c>
      <c r="D543" s="1">
        <v>3</v>
      </c>
      <c r="E543" s="1">
        <v>44.93</v>
      </c>
      <c r="F543" s="1" t="s">
        <v>16</v>
      </c>
      <c r="G543" s="1">
        <v>4</v>
      </c>
      <c r="H543" s="1" t="s">
        <v>16</v>
      </c>
      <c r="I543" s="1" t="s">
        <v>16</v>
      </c>
      <c r="J543" s="1" t="s">
        <v>16</v>
      </c>
      <c r="K543" s="1" t="s">
        <v>17</v>
      </c>
      <c r="L543" s="1" t="s">
        <v>17</v>
      </c>
      <c r="M543" s="1" t="s">
        <v>17</v>
      </c>
      <c r="N543" s="1" t="s">
        <v>16</v>
      </c>
    </row>
    <row r="544" spans="1:14" x14ac:dyDescent="0.25">
      <c r="A544" s="9">
        <v>44964</v>
      </c>
      <c r="B544" s="1" t="s">
        <v>15</v>
      </c>
      <c r="C544" s="1">
        <v>15</v>
      </c>
      <c r="D544" s="1">
        <v>3</v>
      </c>
      <c r="E544" s="1">
        <v>43.62</v>
      </c>
      <c r="F544" s="1" t="s">
        <v>16</v>
      </c>
      <c r="G544" s="1">
        <v>4</v>
      </c>
      <c r="H544" s="1" t="s">
        <v>16</v>
      </c>
      <c r="I544" s="1" t="s">
        <v>16</v>
      </c>
      <c r="J544" s="1" t="s">
        <v>16</v>
      </c>
      <c r="K544" s="1" t="s">
        <v>17</v>
      </c>
      <c r="L544" s="1" t="s">
        <v>17</v>
      </c>
      <c r="M544" s="1" t="s">
        <v>17</v>
      </c>
      <c r="N544" s="1" t="s">
        <v>16</v>
      </c>
    </row>
    <row r="545" spans="1:14" x14ac:dyDescent="0.25">
      <c r="A545" s="9">
        <v>44993</v>
      </c>
      <c r="B545" s="1" t="s">
        <v>15</v>
      </c>
      <c r="C545" s="1">
        <v>1</v>
      </c>
      <c r="D545" s="1">
        <v>1</v>
      </c>
      <c r="E545" s="14">
        <v>42.39</v>
      </c>
      <c r="F545" s="1" t="s">
        <v>18</v>
      </c>
      <c r="G545" s="1">
        <v>1</v>
      </c>
      <c r="H545" s="1" t="s">
        <v>16</v>
      </c>
      <c r="I545" s="1" t="s">
        <v>16</v>
      </c>
      <c r="J545" s="1" t="s">
        <v>16</v>
      </c>
      <c r="K545" s="1" t="s">
        <v>21</v>
      </c>
      <c r="L545" s="1" t="s">
        <v>17</v>
      </c>
      <c r="M545" s="1" t="s">
        <v>17</v>
      </c>
      <c r="N545" s="1" t="s">
        <v>16</v>
      </c>
    </row>
    <row r="546" spans="1:14" x14ac:dyDescent="0.25">
      <c r="A546" s="9">
        <v>44993</v>
      </c>
      <c r="B546" s="1" t="s">
        <v>15</v>
      </c>
      <c r="C546" s="1">
        <v>2</v>
      </c>
      <c r="D546" s="1">
        <v>1</v>
      </c>
      <c r="E546" s="14">
        <v>58.22</v>
      </c>
      <c r="F546" s="1" t="s">
        <v>18</v>
      </c>
      <c r="G546" s="1">
        <v>2</v>
      </c>
      <c r="H546" s="1" t="s">
        <v>16</v>
      </c>
      <c r="I546" s="1" t="s">
        <v>16</v>
      </c>
      <c r="J546" s="1" t="s">
        <v>16</v>
      </c>
      <c r="K546" s="1" t="s">
        <v>21</v>
      </c>
      <c r="L546" s="1" t="s">
        <v>17</v>
      </c>
      <c r="M546" s="1" t="s">
        <v>17</v>
      </c>
      <c r="N546" s="1" t="s">
        <v>16</v>
      </c>
    </row>
    <row r="547" spans="1:14" x14ac:dyDescent="0.25">
      <c r="A547" s="9">
        <v>44993</v>
      </c>
      <c r="B547" s="1" t="s">
        <v>15</v>
      </c>
      <c r="C547" s="1">
        <v>3</v>
      </c>
      <c r="D547" s="1">
        <v>1</v>
      </c>
      <c r="E547" s="14">
        <v>67.61</v>
      </c>
      <c r="F547" s="1" t="s">
        <v>16</v>
      </c>
      <c r="G547" s="1">
        <v>4</v>
      </c>
      <c r="H547" s="1" t="s">
        <v>16</v>
      </c>
      <c r="I547" s="1" t="s">
        <v>16</v>
      </c>
      <c r="J547" s="1" t="s">
        <v>16</v>
      </c>
      <c r="K547" s="1" t="s">
        <v>17</v>
      </c>
      <c r="L547" s="1" t="s">
        <v>17</v>
      </c>
      <c r="M547" s="1" t="s">
        <v>17</v>
      </c>
      <c r="N547" s="1" t="s">
        <v>16</v>
      </c>
    </row>
    <row r="548" spans="1:14" x14ac:dyDescent="0.25">
      <c r="A548" s="9">
        <v>44993</v>
      </c>
      <c r="B548" s="1" t="s">
        <v>15</v>
      </c>
      <c r="C548" s="1">
        <v>4</v>
      </c>
      <c r="D548" s="1">
        <v>1</v>
      </c>
      <c r="E548" s="14">
        <v>42.06</v>
      </c>
      <c r="F548" s="1" t="s">
        <v>18</v>
      </c>
      <c r="G548" s="1">
        <v>2</v>
      </c>
      <c r="H548" s="1" t="s">
        <v>16</v>
      </c>
      <c r="I548" s="1" t="s">
        <v>16</v>
      </c>
      <c r="J548" s="1" t="s">
        <v>16</v>
      </c>
      <c r="K548" s="1" t="s">
        <v>17</v>
      </c>
      <c r="L548" s="1" t="s">
        <v>17</v>
      </c>
      <c r="M548" s="1" t="s">
        <v>17</v>
      </c>
      <c r="N548" s="1" t="s">
        <v>16</v>
      </c>
    </row>
    <row r="549" spans="1:14" x14ac:dyDescent="0.25">
      <c r="A549" s="9">
        <v>44993</v>
      </c>
      <c r="B549" s="1" t="s">
        <v>15</v>
      </c>
      <c r="C549" s="1">
        <v>5</v>
      </c>
      <c r="D549" s="1">
        <v>1</v>
      </c>
      <c r="E549" s="14">
        <v>39.31</v>
      </c>
      <c r="F549" s="1" t="s">
        <v>18</v>
      </c>
      <c r="G549" s="1">
        <v>2</v>
      </c>
      <c r="H549" s="1" t="s">
        <v>16</v>
      </c>
      <c r="I549" s="1" t="s">
        <v>16</v>
      </c>
      <c r="J549" s="1" t="s">
        <v>16</v>
      </c>
      <c r="K549" s="1" t="s">
        <v>21</v>
      </c>
      <c r="L549" s="1" t="s">
        <v>17</v>
      </c>
      <c r="M549" s="1" t="s">
        <v>17</v>
      </c>
      <c r="N549" s="1" t="s">
        <v>16</v>
      </c>
    </row>
    <row r="550" spans="1:14" x14ac:dyDescent="0.25">
      <c r="A550" s="9">
        <v>44993</v>
      </c>
      <c r="B550" s="1" t="s">
        <v>15</v>
      </c>
      <c r="C550" s="1">
        <v>6</v>
      </c>
      <c r="D550" s="1">
        <v>2</v>
      </c>
      <c r="E550" s="14">
        <v>58.71</v>
      </c>
      <c r="F550" s="1" t="s">
        <v>16</v>
      </c>
      <c r="G550" s="1">
        <v>4</v>
      </c>
      <c r="H550" s="1" t="s">
        <v>16</v>
      </c>
      <c r="I550" s="1" t="s">
        <v>16</v>
      </c>
      <c r="J550" s="1" t="s">
        <v>16</v>
      </c>
      <c r="K550" s="1" t="s">
        <v>17</v>
      </c>
      <c r="L550" s="1" t="s">
        <v>17</v>
      </c>
      <c r="M550" s="1" t="s">
        <v>17</v>
      </c>
      <c r="N550" s="1" t="s">
        <v>16</v>
      </c>
    </row>
    <row r="551" spans="1:14" x14ac:dyDescent="0.25">
      <c r="A551" s="9">
        <v>44993</v>
      </c>
      <c r="B551" s="1" t="s">
        <v>15</v>
      </c>
      <c r="C551" s="1">
        <v>7</v>
      </c>
      <c r="D551" s="1">
        <v>2</v>
      </c>
      <c r="E551" s="14">
        <v>42.13</v>
      </c>
      <c r="F551" s="1" t="s">
        <v>18</v>
      </c>
      <c r="G551" s="1">
        <v>2</v>
      </c>
      <c r="H551" s="1" t="s">
        <v>16</v>
      </c>
      <c r="I551" s="1" t="s">
        <v>16</v>
      </c>
      <c r="J551" s="1" t="s">
        <v>16</v>
      </c>
      <c r="K551" s="1" t="s">
        <v>17</v>
      </c>
      <c r="L551" s="1" t="s">
        <v>17</v>
      </c>
      <c r="M551" s="1" t="s">
        <v>17</v>
      </c>
      <c r="N551" s="1" t="s">
        <v>16</v>
      </c>
    </row>
    <row r="552" spans="1:14" x14ac:dyDescent="0.25">
      <c r="A552" s="9">
        <v>44993</v>
      </c>
      <c r="B552" s="1" t="s">
        <v>15</v>
      </c>
      <c r="C552" s="1">
        <v>8</v>
      </c>
      <c r="D552" s="1">
        <v>2</v>
      </c>
      <c r="E552" s="14">
        <v>54.81</v>
      </c>
      <c r="F552" s="1" t="s">
        <v>18</v>
      </c>
      <c r="G552" s="1">
        <v>2</v>
      </c>
      <c r="H552" s="1" t="s">
        <v>16</v>
      </c>
      <c r="I552" s="1" t="s">
        <v>16</v>
      </c>
      <c r="J552" s="1" t="s">
        <v>16</v>
      </c>
      <c r="K552" s="1" t="s">
        <v>17</v>
      </c>
      <c r="L552" s="1" t="s">
        <v>17</v>
      </c>
      <c r="M552" s="1" t="s">
        <v>17</v>
      </c>
      <c r="N552" s="1" t="s">
        <v>16</v>
      </c>
    </row>
    <row r="553" spans="1:14" x14ac:dyDescent="0.25">
      <c r="A553" s="9">
        <v>44993</v>
      </c>
      <c r="B553" s="1" t="s">
        <v>15</v>
      </c>
      <c r="C553" s="1">
        <v>9</v>
      </c>
      <c r="D553" s="1">
        <v>2</v>
      </c>
      <c r="E553" s="14">
        <v>71.16</v>
      </c>
      <c r="F553" s="1" t="s">
        <v>18</v>
      </c>
      <c r="G553" s="1">
        <v>1</v>
      </c>
      <c r="H553" s="1" t="s">
        <v>16</v>
      </c>
      <c r="I553" s="1" t="s">
        <v>16</v>
      </c>
      <c r="J553" s="1" t="s">
        <v>16</v>
      </c>
      <c r="K553" s="1" t="s">
        <v>21</v>
      </c>
      <c r="L553" s="1" t="s">
        <v>17</v>
      </c>
      <c r="M553" s="1" t="s">
        <v>17</v>
      </c>
      <c r="N553" s="1" t="s">
        <v>16</v>
      </c>
    </row>
    <row r="554" spans="1:14" x14ac:dyDescent="0.25">
      <c r="A554" s="9">
        <v>44993</v>
      </c>
      <c r="B554" s="1" t="s">
        <v>15</v>
      </c>
      <c r="C554" s="1">
        <v>10</v>
      </c>
      <c r="D554" s="1">
        <v>2</v>
      </c>
      <c r="E554" s="14">
        <v>58.01</v>
      </c>
      <c r="F554" s="1" t="s">
        <v>18</v>
      </c>
      <c r="G554" s="1">
        <v>2</v>
      </c>
      <c r="H554" s="1" t="s">
        <v>16</v>
      </c>
      <c r="I554" s="1" t="s">
        <v>16</v>
      </c>
      <c r="J554" s="1" t="s">
        <v>16</v>
      </c>
      <c r="K554" s="1" t="s">
        <v>17</v>
      </c>
      <c r="L554" s="1" t="s">
        <v>17</v>
      </c>
      <c r="M554" s="1" t="s">
        <v>17</v>
      </c>
      <c r="N554" s="1" t="s">
        <v>16</v>
      </c>
    </row>
    <row r="555" spans="1:14" x14ac:dyDescent="0.25">
      <c r="A555" s="9">
        <v>44993</v>
      </c>
      <c r="B555" s="1" t="s">
        <v>15</v>
      </c>
      <c r="C555" s="1">
        <v>11</v>
      </c>
      <c r="D555" s="1">
        <v>3</v>
      </c>
      <c r="E555" s="14">
        <v>63.9</v>
      </c>
      <c r="F555" s="1" t="s">
        <v>16</v>
      </c>
      <c r="G555" s="1">
        <v>4</v>
      </c>
      <c r="H555" s="1" t="s">
        <v>16</v>
      </c>
      <c r="I555" s="1" t="s">
        <v>16</v>
      </c>
      <c r="J555" s="1" t="s">
        <v>16</v>
      </c>
      <c r="K555" s="1" t="s">
        <v>17</v>
      </c>
      <c r="L555" s="1" t="s">
        <v>17</v>
      </c>
      <c r="M555" s="1" t="s">
        <v>17</v>
      </c>
      <c r="N555" s="1" t="s">
        <v>16</v>
      </c>
    </row>
    <row r="556" spans="1:14" x14ac:dyDescent="0.25">
      <c r="A556" s="9">
        <v>44993</v>
      </c>
      <c r="B556" s="1" t="s">
        <v>15</v>
      </c>
      <c r="C556" s="1">
        <v>12</v>
      </c>
      <c r="D556" s="1">
        <v>3</v>
      </c>
      <c r="E556" s="14">
        <v>48.11</v>
      </c>
      <c r="F556" s="1" t="s">
        <v>19</v>
      </c>
      <c r="G556" s="1">
        <v>2</v>
      </c>
      <c r="H556" s="1" t="s">
        <v>16</v>
      </c>
      <c r="I556" s="1" t="s">
        <v>16</v>
      </c>
      <c r="J556" s="1" t="s">
        <v>16</v>
      </c>
      <c r="K556" s="1" t="s">
        <v>17</v>
      </c>
      <c r="L556" s="1" t="s">
        <v>17</v>
      </c>
      <c r="M556" s="1" t="s">
        <v>17</v>
      </c>
      <c r="N556" s="1" t="s">
        <v>16</v>
      </c>
    </row>
    <row r="557" spans="1:14" x14ac:dyDescent="0.25">
      <c r="A557" s="9">
        <v>44993</v>
      </c>
      <c r="B557" s="1" t="s">
        <v>15</v>
      </c>
      <c r="C557" s="1">
        <v>13</v>
      </c>
      <c r="D557" s="1">
        <v>3</v>
      </c>
      <c r="E557" s="14">
        <v>44.82</v>
      </c>
      <c r="F557" s="1" t="s">
        <v>19</v>
      </c>
      <c r="G557" s="1">
        <v>2</v>
      </c>
      <c r="H557" s="1" t="s">
        <v>16</v>
      </c>
      <c r="I557" s="1" t="s">
        <v>16</v>
      </c>
      <c r="J557" s="1" t="s">
        <v>16</v>
      </c>
      <c r="K557" s="1" t="s">
        <v>21</v>
      </c>
      <c r="L557" s="1" t="s">
        <v>17</v>
      </c>
      <c r="M557" s="1" t="s">
        <v>17</v>
      </c>
      <c r="N557" s="1" t="s">
        <v>16</v>
      </c>
    </row>
    <row r="558" spans="1:14" x14ac:dyDescent="0.25">
      <c r="A558" s="9">
        <v>44993</v>
      </c>
      <c r="B558" s="1" t="s">
        <v>15</v>
      </c>
      <c r="C558" s="1">
        <v>14</v>
      </c>
      <c r="D558" s="1">
        <v>3</v>
      </c>
      <c r="E558" s="14">
        <v>46.34</v>
      </c>
      <c r="F558" s="1" t="s">
        <v>19</v>
      </c>
      <c r="G558" s="1">
        <v>2</v>
      </c>
      <c r="H558" s="1" t="s">
        <v>16</v>
      </c>
      <c r="I558" s="1" t="s">
        <v>16</v>
      </c>
      <c r="J558" s="1" t="s">
        <v>16</v>
      </c>
      <c r="K558" s="1" t="s">
        <v>17</v>
      </c>
      <c r="L558" s="1" t="s">
        <v>17</v>
      </c>
      <c r="M558" s="1" t="s">
        <v>17</v>
      </c>
      <c r="N558" s="1" t="s">
        <v>16</v>
      </c>
    </row>
    <row r="559" spans="1:14" x14ac:dyDescent="0.25">
      <c r="A559" s="9">
        <v>44993</v>
      </c>
      <c r="B559" s="1" t="s">
        <v>15</v>
      </c>
      <c r="C559" s="1">
        <v>15</v>
      </c>
      <c r="D559" s="1">
        <v>3</v>
      </c>
      <c r="E559" s="14">
        <v>54.44</v>
      </c>
      <c r="F559" s="1" t="s">
        <v>19</v>
      </c>
      <c r="G559" s="1">
        <v>2</v>
      </c>
      <c r="H559" s="1" t="s">
        <v>16</v>
      </c>
      <c r="I559" s="1" t="s">
        <v>16</v>
      </c>
      <c r="J559" s="1" t="s">
        <v>16</v>
      </c>
      <c r="K559" s="1" t="s">
        <v>17</v>
      </c>
      <c r="L559" s="1" t="s">
        <v>17</v>
      </c>
      <c r="M559" s="1" t="s">
        <v>17</v>
      </c>
      <c r="N559" s="1" t="s">
        <v>16</v>
      </c>
    </row>
    <row r="560" spans="1:14" x14ac:dyDescent="0.25">
      <c r="A560" s="9">
        <v>45020</v>
      </c>
      <c r="B560" s="1" t="s">
        <v>15</v>
      </c>
      <c r="C560" s="1">
        <v>1</v>
      </c>
      <c r="D560" s="1">
        <v>1</v>
      </c>
      <c r="E560" s="14">
        <v>59.08</v>
      </c>
      <c r="F560" s="1" t="s">
        <v>18</v>
      </c>
      <c r="G560" s="1">
        <v>2</v>
      </c>
      <c r="H560" s="1" t="s">
        <v>16</v>
      </c>
      <c r="I560" s="1" t="s">
        <v>16</v>
      </c>
      <c r="J560" s="1" t="s">
        <v>16</v>
      </c>
      <c r="K560" s="1" t="s">
        <v>17</v>
      </c>
      <c r="L560" s="1" t="s">
        <v>17</v>
      </c>
      <c r="M560" s="1" t="s">
        <v>17</v>
      </c>
      <c r="N560" s="1" t="s">
        <v>16</v>
      </c>
    </row>
    <row r="561" spans="1:14" x14ac:dyDescent="0.25">
      <c r="A561" s="9">
        <v>45020</v>
      </c>
      <c r="B561" s="1" t="s">
        <v>15</v>
      </c>
      <c r="C561" s="1">
        <v>2</v>
      </c>
      <c r="D561" s="1">
        <v>1</v>
      </c>
      <c r="E561" s="14">
        <v>54.68</v>
      </c>
      <c r="F561" s="1" t="s">
        <v>18</v>
      </c>
      <c r="G561" s="1">
        <v>2</v>
      </c>
      <c r="H561" s="1" t="s">
        <v>16</v>
      </c>
      <c r="I561" s="1" t="s">
        <v>16</v>
      </c>
      <c r="J561" s="1" t="s">
        <v>16</v>
      </c>
      <c r="K561" s="1" t="s">
        <v>17</v>
      </c>
      <c r="L561" s="1" t="s">
        <v>17</v>
      </c>
      <c r="M561" s="1" t="s">
        <v>17</v>
      </c>
      <c r="N561" s="1" t="s">
        <v>16</v>
      </c>
    </row>
    <row r="562" spans="1:14" x14ac:dyDescent="0.25">
      <c r="A562" s="9">
        <v>45020</v>
      </c>
      <c r="B562" s="1" t="s">
        <v>15</v>
      </c>
      <c r="C562" s="1">
        <v>3</v>
      </c>
      <c r="D562" s="1">
        <v>1</v>
      </c>
      <c r="E562" s="14">
        <v>43.67</v>
      </c>
      <c r="F562" s="1" t="s">
        <v>19</v>
      </c>
      <c r="G562" s="1">
        <v>2</v>
      </c>
      <c r="H562" s="1" t="s">
        <v>16</v>
      </c>
      <c r="I562" s="1" t="s">
        <v>16</v>
      </c>
      <c r="J562" s="1" t="s">
        <v>16</v>
      </c>
      <c r="K562" s="1" t="s">
        <v>17</v>
      </c>
      <c r="L562" s="1" t="s">
        <v>17</v>
      </c>
      <c r="M562" s="1" t="s">
        <v>17</v>
      </c>
      <c r="N562" s="1" t="s">
        <v>16</v>
      </c>
    </row>
    <row r="563" spans="1:14" x14ac:dyDescent="0.25">
      <c r="A563" s="9">
        <v>45020</v>
      </c>
      <c r="B563" s="1" t="s">
        <v>15</v>
      </c>
      <c r="C563" s="1">
        <v>4</v>
      </c>
      <c r="D563" s="1">
        <v>1</v>
      </c>
      <c r="E563" s="14">
        <v>44.6</v>
      </c>
      <c r="F563" s="1" t="s">
        <v>16</v>
      </c>
      <c r="G563" s="1" t="s">
        <v>16</v>
      </c>
      <c r="H563" s="1" t="s">
        <v>16</v>
      </c>
      <c r="I563" s="1" t="s">
        <v>16</v>
      </c>
      <c r="J563" s="1" t="s">
        <v>16</v>
      </c>
      <c r="K563" s="1" t="s">
        <v>20</v>
      </c>
      <c r="L563" s="1" t="s">
        <v>17</v>
      </c>
      <c r="M563" s="1" t="s">
        <v>17</v>
      </c>
      <c r="N563" s="1" t="s">
        <v>16</v>
      </c>
    </row>
    <row r="564" spans="1:14" x14ac:dyDescent="0.25">
      <c r="A564" s="9">
        <v>45020</v>
      </c>
      <c r="B564" s="1" t="s">
        <v>15</v>
      </c>
      <c r="C564" s="1">
        <v>5</v>
      </c>
      <c r="D564" s="1">
        <v>1</v>
      </c>
      <c r="E564" s="14">
        <v>41.35</v>
      </c>
      <c r="F564" s="1" t="s">
        <v>18</v>
      </c>
      <c r="G564" s="1">
        <v>2</v>
      </c>
      <c r="H564" s="1" t="s">
        <v>16</v>
      </c>
      <c r="I564" s="1" t="s">
        <v>16</v>
      </c>
      <c r="J564" s="1" t="s">
        <v>16</v>
      </c>
      <c r="K564" s="1" t="s">
        <v>21</v>
      </c>
      <c r="L564" s="1" t="s">
        <v>17</v>
      </c>
      <c r="M564" s="1" t="s">
        <v>17</v>
      </c>
      <c r="N564" s="1" t="s">
        <v>16</v>
      </c>
    </row>
    <row r="565" spans="1:14" x14ac:dyDescent="0.25">
      <c r="A565" s="9">
        <v>45020</v>
      </c>
      <c r="B565" s="1" t="s">
        <v>15</v>
      </c>
      <c r="C565" s="1">
        <v>6</v>
      </c>
      <c r="D565" s="1">
        <v>2</v>
      </c>
      <c r="E565" s="14">
        <v>51.5</v>
      </c>
      <c r="F565" s="1" t="s">
        <v>18</v>
      </c>
      <c r="G565" s="1">
        <v>2</v>
      </c>
      <c r="H565" s="1" t="s">
        <v>16</v>
      </c>
      <c r="I565" s="1" t="s">
        <v>16</v>
      </c>
      <c r="J565" s="1" t="s">
        <v>16</v>
      </c>
      <c r="K565" s="1" t="s">
        <v>17</v>
      </c>
      <c r="L565" s="1" t="s">
        <v>17</v>
      </c>
      <c r="M565" s="1" t="s">
        <v>17</v>
      </c>
      <c r="N565" s="1" t="s">
        <v>16</v>
      </c>
    </row>
    <row r="566" spans="1:14" x14ac:dyDescent="0.25">
      <c r="A566" s="9">
        <v>45020</v>
      </c>
      <c r="B566" s="1" t="s">
        <v>15</v>
      </c>
      <c r="C566" s="1">
        <v>7</v>
      </c>
      <c r="D566" s="1">
        <v>2</v>
      </c>
      <c r="E566" s="14">
        <v>44.64</v>
      </c>
      <c r="F566" s="1" t="s">
        <v>18</v>
      </c>
      <c r="G566" s="1">
        <v>2</v>
      </c>
      <c r="H566" s="1" t="s">
        <v>16</v>
      </c>
      <c r="I566" s="1" t="s">
        <v>16</v>
      </c>
      <c r="J566" s="1" t="s">
        <v>16</v>
      </c>
      <c r="K566" s="1" t="s">
        <v>17</v>
      </c>
      <c r="L566" s="1" t="s">
        <v>17</v>
      </c>
      <c r="M566" s="1" t="s">
        <v>17</v>
      </c>
      <c r="N566" s="1" t="s">
        <v>16</v>
      </c>
    </row>
    <row r="567" spans="1:14" x14ac:dyDescent="0.25">
      <c r="A567" s="9">
        <v>45020</v>
      </c>
      <c r="B567" s="1" t="s">
        <v>15</v>
      </c>
      <c r="C567" s="1">
        <v>8</v>
      </c>
      <c r="D567" s="1">
        <v>2</v>
      </c>
      <c r="E567" s="14">
        <v>55.2</v>
      </c>
      <c r="F567" s="1" t="s">
        <v>18</v>
      </c>
      <c r="G567" s="1">
        <v>2</v>
      </c>
      <c r="H567" s="1" t="s">
        <v>16</v>
      </c>
      <c r="I567" s="1" t="s">
        <v>16</v>
      </c>
      <c r="J567" s="1" t="s">
        <v>16</v>
      </c>
      <c r="K567" s="1" t="s">
        <v>21</v>
      </c>
      <c r="L567" s="1" t="s">
        <v>17</v>
      </c>
      <c r="M567" s="1" t="s">
        <v>17</v>
      </c>
      <c r="N567" s="1" t="s">
        <v>16</v>
      </c>
    </row>
    <row r="568" spans="1:14" x14ac:dyDescent="0.25">
      <c r="A568" s="9">
        <v>45020</v>
      </c>
      <c r="B568" s="1" t="s">
        <v>15</v>
      </c>
      <c r="C568" s="1">
        <v>9</v>
      </c>
      <c r="D568" s="1">
        <v>2</v>
      </c>
      <c r="E568" s="14">
        <v>33.58</v>
      </c>
      <c r="F568" s="1" t="s">
        <v>19</v>
      </c>
      <c r="G568" s="1">
        <v>2</v>
      </c>
      <c r="H568" s="1" t="s">
        <v>16</v>
      </c>
      <c r="I568" s="1" t="s">
        <v>16</v>
      </c>
      <c r="J568" s="1" t="s">
        <v>16</v>
      </c>
      <c r="K568" s="1" t="s">
        <v>17</v>
      </c>
      <c r="L568" s="1" t="s">
        <v>17</v>
      </c>
      <c r="M568" s="1" t="s">
        <v>17</v>
      </c>
      <c r="N568" s="1" t="s">
        <v>16</v>
      </c>
    </row>
    <row r="569" spans="1:14" x14ac:dyDescent="0.25">
      <c r="A569" s="9">
        <v>45020</v>
      </c>
      <c r="B569" s="1" t="s">
        <v>15</v>
      </c>
      <c r="C569" s="1">
        <v>10</v>
      </c>
      <c r="D569" s="1">
        <v>2</v>
      </c>
      <c r="E569" s="14">
        <v>64.72</v>
      </c>
      <c r="F569" s="1" t="s">
        <v>18</v>
      </c>
      <c r="G569" s="1">
        <v>2</v>
      </c>
      <c r="H569" s="1" t="s">
        <v>16</v>
      </c>
      <c r="I569" s="1" t="s">
        <v>16</v>
      </c>
      <c r="J569" s="1" t="s">
        <v>16</v>
      </c>
      <c r="K569" s="1" t="s">
        <v>21</v>
      </c>
      <c r="L569" s="1" t="s">
        <v>17</v>
      </c>
      <c r="M569" s="1" t="s">
        <v>17</v>
      </c>
      <c r="N569" s="1" t="s">
        <v>16</v>
      </c>
    </row>
    <row r="570" spans="1:14" x14ac:dyDescent="0.25">
      <c r="A570" s="9">
        <v>45020</v>
      </c>
      <c r="B570" s="1" t="s">
        <v>15</v>
      </c>
      <c r="C570" s="1">
        <v>11</v>
      </c>
      <c r="D570" s="1">
        <v>3</v>
      </c>
      <c r="E570" s="14">
        <v>65.72</v>
      </c>
      <c r="F570" s="1" t="s">
        <v>18</v>
      </c>
      <c r="G570" s="1">
        <v>2</v>
      </c>
      <c r="H570" s="1" t="s">
        <v>16</v>
      </c>
      <c r="I570" s="1" t="s">
        <v>16</v>
      </c>
      <c r="J570" s="1" t="s">
        <v>16</v>
      </c>
      <c r="K570" s="1" t="s">
        <v>17</v>
      </c>
      <c r="L570" s="1" t="s">
        <v>17</v>
      </c>
      <c r="M570" s="1" t="s">
        <v>17</v>
      </c>
      <c r="N570" s="1" t="s">
        <v>16</v>
      </c>
    </row>
    <row r="571" spans="1:14" x14ac:dyDescent="0.25">
      <c r="A571" s="9">
        <v>45020</v>
      </c>
      <c r="B571" s="1" t="s">
        <v>15</v>
      </c>
      <c r="C571" s="1">
        <v>12</v>
      </c>
      <c r="D571" s="1">
        <v>3</v>
      </c>
      <c r="E571" s="14">
        <v>41.54</v>
      </c>
      <c r="F571" s="1" t="s">
        <v>18</v>
      </c>
      <c r="G571" s="1">
        <v>2</v>
      </c>
      <c r="H571" s="1" t="s">
        <v>16</v>
      </c>
      <c r="I571" s="1" t="s">
        <v>16</v>
      </c>
      <c r="J571" s="1" t="s">
        <v>16</v>
      </c>
      <c r="K571" s="1" t="s">
        <v>17</v>
      </c>
      <c r="L571" s="1" t="s">
        <v>17</v>
      </c>
      <c r="M571" s="1" t="s">
        <v>17</v>
      </c>
      <c r="N571" s="1" t="s">
        <v>16</v>
      </c>
    </row>
    <row r="572" spans="1:14" x14ac:dyDescent="0.25">
      <c r="A572" s="9">
        <v>45020</v>
      </c>
      <c r="B572" s="1" t="s">
        <v>15</v>
      </c>
      <c r="C572" s="1">
        <v>13</v>
      </c>
      <c r="D572" s="1">
        <v>3</v>
      </c>
      <c r="E572" s="14">
        <v>49.46</v>
      </c>
      <c r="F572" s="1" t="s">
        <v>18</v>
      </c>
      <c r="G572" s="1">
        <v>2</v>
      </c>
      <c r="H572" s="1" t="s">
        <v>16</v>
      </c>
      <c r="I572" s="1" t="s">
        <v>16</v>
      </c>
      <c r="J572" s="1" t="s">
        <v>16</v>
      </c>
      <c r="K572" s="1" t="s">
        <v>17</v>
      </c>
      <c r="L572" s="1" t="s">
        <v>17</v>
      </c>
      <c r="M572" s="1" t="s">
        <v>17</v>
      </c>
      <c r="N572" s="1" t="s">
        <v>16</v>
      </c>
    </row>
    <row r="573" spans="1:14" x14ac:dyDescent="0.25">
      <c r="A573" s="9">
        <v>45020</v>
      </c>
      <c r="B573" s="1" t="s">
        <v>15</v>
      </c>
      <c r="C573" s="1">
        <v>14</v>
      </c>
      <c r="D573" s="1">
        <v>3</v>
      </c>
      <c r="E573" s="14">
        <v>35.78</v>
      </c>
      <c r="F573" s="1" t="s">
        <v>19</v>
      </c>
      <c r="G573" s="1">
        <v>2</v>
      </c>
      <c r="H573" s="1" t="s">
        <v>16</v>
      </c>
      <c r="I573" s="1" t="s">
        <v>16</v>
      </c>
      <c r="J573" s="1" t="s">
        <v>16</v>
      </c>
      <c r="K573" s="1" t="s">
        <v>17</v>
      </c>
      <c r="L573" s="1" t="s">
        <v>17</v>
      </c>
      <c r="M573" s="1" t="s">
        <v>17</v>
      </c>
      <c r="N573" s="1" t="s">
        <v>16</v>
      </c>
    </row>
    <row r="574" spans="1:14" x14ac:dyDescent="0.25">
      <c r="A574" s="9">
        <v>45020</v>
      </c>
      <c r="B574" s="1" t="s">
        <v>15</v>
      </c>
      <c r="C574" s="1">
        <v>15</v>
      </c>
      <c r="D574" s="1">
        <v>3</v>
      </c>
      <c r="E574" s="14">
        <v>43.81</v>
      </c>
      <c r="F574" s="1" t="s">
        <v>19</v>
      </c>
      <c r="G574" s="1">
        <v>2</v>
      </c>
      <c r="H574" s="1" t="s">
        <v>16</v>
      </c>
      <c r="I574" s="1" t="s">
        <v>16</v>
      </c>
      <c r="J574" s="1" t="s">
        <v>16</v>
      </c>
      <c r="K574" s="1" t="s">
        <v>17</v>
      </c>
      <c r="L574" s="1" t="s">
        <v>17</v>
      </c>
      <c r="M574" s="1" t="s">
        <v>17</v>
      </c>
      <c r="N574" s="1" t="s">
        <v>16</v>
      </c>
    </row>
    <row r="575" spans="1:14" x14ac:dyDescent="0.25">
      <c r="A575" s="9">
        <v>45048</v>
      </c>
      <c r="B575" s="1" t="s">
        <v>15</v>
      </c>
      <c r="C575" s="1">
        <v>1</v>
      </c>
      <c r="D575" s="1">
        <v>1</v>
      </c>
      <c r="E575" s="14">
        <v>57.01</v>
      </c>
      <c r="F575" s="1" t="s">
        <v>18</v>
      </c>
      <c r="G575" s="1">
        <v>2</v>
      </c>
      <c r="H575" s="1" t="s">
        <v>16</v>
      </c>
      <c r="I575" s="1" t="s">
        <v>16</v>
      </c>
      <c r="J575" s="1" t="s">
        <v>16</v>
      </c>
      <c r="K575" s="1" t="s">
        <v>17</v>
      </c>
      <c r="L575" s="1" t="s">
        <v>17</v>
      </c>
      <c r="M575" s="1" t="s">
        <v>17</v>
      </c>
      <c r="N575" s="1" t="s">
        <v>16</v>
      </c>
    </row>
    <row r="576" spans="1:14" x14ac:dyDescent="0.25">
      <c r="A576" s="9">
        <v>45048</v>
      </c>
      <c r="B576" s="1" t="s">
        <v>15</v>
      </c>
      <c r="C576" s="1">
        <v>2</v>
      </c>
      <c r="D576" s="1">
        <v>1</v>
      </c>
      <c r="E576" s="14">
        <v>46.96</v>
      </c>
      <c r="F576" s="1" t="s">
        <v>18</v>
      </c>
      <c r="G576" s="1">
        <v>2</v>
      </c>
      <c r="H576" s="1" t="s">
        <v>16</v>
      </c>
      <c r="I576" s="1" t="s">
        <v>16</v>
      </c>
      <c r="J576" s="1" t="s">
        <v>16</v>
      </c>
      <c r="K576" s="1" t="s">
        <v>17</v>
      </c>
      <c r="L576" s="1" t="s">
        <v>17</v>
      </c>
      <c r="M576" s="1" t="s">
        <v>17</v>
      </c>
      <c r="N576" s="1" t="s">
        <v>16</v>
      </c>
    </row>
    <row r="577" spans="1:14" x14ac:dyDescent="0.25">
      <c r="A577" s="9">
        <v>45048</v>
      </c>
      <c r="B577" s="1" t="s">
        <v>15</v>
      </c>
      <c r="C577" s="1">
        <v>3</v>
      </c>
      <c r="D577" s="1">
        <v>1</v>
      </c>
      <c r="E577" s="14">
        <v>44.86</v>
      </c>
      <c r="F577" s="1" t="s">
        <v>19</v>
      </c>
      <c r="G577" s="1">
        <v>2</v>
      </c>
      <c r="H577" s="1" t="s">
        <v>16</v>
      </c>
      <c r="I577" s="1" t="s">
        <v>16</v>
      </c>
      <c r="J577" s="1" t="s">
        <v>16</v>
      </c>
      <c r="K577" s="1" t="s">
        <v>21</v>
      </c>
      <c r="L577" s="1" t="s">
        <v>17</v>
      </c>
      <c r="M577" s="1" t="s">
        <v>17</v>
      </c>
      <c r="N577" s="1" t="s">
        <v>16</v>
      </c>
    </row>
    <row r="578" spans="1:14" x14ac:dyDescent="0.25">
      <c r="A578" s="9">
        <v>45048</v>
      </c>
      <c r="B578" s="1" t="s">
        <v>15</v>
      </c>
      <c r="C578" s="1">
        <v>4</v>
      </c>
      <c r="D578" s="1">
        <v>1</v>
      </c>
      <c r="E578" s="14">
        <v>51.13</v>
      </c>
      <c r="F578" s="1" t="s">
        <v>18</v>
      </c>
      <c r="G578" s="1">
        <v>2</v>
      </c>
      <c r="H578" s="1" t="s">
        <v>16</v>
      </c>
      <c r="I578" s="1" t="s">
        <v>16</v>
      </c>
      <c r="J578" s="1" t="s">
        <v>16</v>
      </c>
      <c r="K578" s="1" t="s">
        <v>21</v>
      </c>
      <c r="L578" s="1" t="s">
        <v>17</v>
      </c>
      <c r="M578" s="1" t="s">
        <v>17</v>
      </c>
      <c r="N578" s="1" t="s">
        <v>16</v>
      </c>
    </row>
    <row r="579" spans="1:14" x14ac:dyDescent="0.25">
      <c r="A579" s="9">
        <v>45048</v>
      </c>
      <c r="B579" s="1" t="s">
        <v>15</v>
      </c>
      <c r="C579" s="1">
        <v>5</v>
      </c>
      <c r="D579" s="1">
        <v>1</v>
      </c>
      <c r="E579" s="14">
        <v>40.28</v>
      </c>
      <c r="F579" s="1" t="s">
        <v>18</v>
      </c>
      <c r="G579" s="1">
        <v>2</v>
      </c>
      <c r="H579" s="1" t="s">
        <v>16</v>
      </c>
      <c r="I579" s="1" t="s">
        <v>16</v>
      </c>
      <c r="J579" s="1" t="s">
        <v>16</v>
      </c>
      <c r="K579" s="1" t="s">
        <v>17</v>
      </c>
      <c r="L579" s="1" t="s">
        <v>17</v>
      </c>
      <c r="M579" s="1" t="s">
        <v>17</v>
      </c>
      <c r="N579" s="1" t="s">
        <v>16</v>
      </c>
    </row>
    <row r="580" spans="1:14" x14ac:dyDescent="0.25">
      <c r="A580" s="9">
        <v>45048</v>
      </c>
      <c r="B580" s="1" t="s">
        <v>15</v>
      </c>
      <c r="C580" s="1">
        <v>6</v>
      </c>
      <c r="D580" s="1">
        <v>2</v>
      </c>
      <c r="E580" s="14">
        <v>52.86</v>
      </c>
      <c r="F580" s="1" t="s">
        <v>18</v>
      </c>
      <c r="G580" s="1">
        <v>2</v>
      </c>
      <c r="H580" s="1" t="s">
        <v>16</v>
      </c>
      <c r="I580" s="1" t="s">
        <v>16</v>
      </c>
      <c r="J580" s="1" t="s">
        <v>16</v>
      </c>
      <c r="K580" s="1" t="s">
        <v>17</v>
      </c>
      <c r="L580" s="1" t="s">
        <v>17</v>
      </c>
      <c r="M580" s="1" t="s">
        <v>17</v>
      </c>
      <c r="N580" s="1" t="s">
        <v>16</v>
      </c>
    </row>
    <row r="581" spans="1:14" x14ac:dyDescent="0.25">
      <c r="A581" s="9">
        <v>45048</v>
      </c>
      <c r="B581" s="1" t="s">
        <v>15</v>
      </c>
      <c r="C581" s="1">
        <v>7</v>
      </c>
      <c r="D581" s="1">
        <v>2</v>
      </c>
      <c r="E581" s="14">
        <v>54.08</v>
      </c>
      <c r="F581" s="1" t="s">
        <v>19</v>
      </c>
      <c r="G581" s="1">
        <v>2</v>
      </c>
      <c r="H581" s="1" t="s">
        <v>16</v>
      </c>
      <c r="I581" s="1" t="s">
        <v>16</v>
      </c>
      <c r="J581" s="1" t="s">
        <v>16</v>
      </c>
      <c r="K581" s="1" t="s">
        <v>17</v>
      </c>
      <c r="L581" s="1" t="s">
        <v>17</v>
      </c>
      <c r="M581" s="1" t="s">
        <v>17</v>
      </c>
      <c r="N581" s="1" t="s">
        <v>16</v>
      </c>
    </row>
    <row r="582" spans="1:14" x14ac:dyDescent="0.25">
      <c r="A582" s="9">
        <v>45048</v>
      </c>
      <c r="B582" s="1" t="s">
        <v>15</v>
      </c>
      <c r="C582" s="1">
        <v>8</v>
      </c>
      <c r="D582" s="1">
        <v>2</v>
      </c>
      <c r="E582" s="14">
        <v>36.020000000000003</v>
      </c>
      <c r="F582" s="1" t="s">
        <v>18</v>
      </c>
      <c r="G582" s="1">
        <v>2</v>
      </c>
      <c r="H582" s="1" t="s">
        <v>16</v>
      </c>
      <c r="I582" s="1" t="s">
        <v>16</v>
      </c>
      <c r="J582" s="1" t="s">
        <v>16</v>
      </c>
      <c r="K582" s="1" t="s">
        <v>21</v>
      </c>
      <c r="L582" s="1" t="s">
        <v>17</v>
      </c>
      <c r="M582" s="1" t="s">
        <v>17</v>
      </c>
      <c r="N582" s="1" t="s">
        <v>16</v>
      </c>
    </row>
    <row r="583" spans="1:14" x14ac:dyDescent="0.25">
      <c r="A583" s="9">
        <v>45048</v>
      </c>
      <c r="B583" s="1" t="s">
        <v>15</v>
      </c>
      <c r="C583" s="1">
        <v>9</v>
      </c>
      <c r="D583" s="1">
        <v>2</v>
      </c>
      <c r="E583" s="14">
        <v>48.19</v>
      </c>
      <c r="F583" s="1" t="s">
        <v>18</v>
      </c>
      <c r="G583" s="1">
        <v>2</v>
      </c>
      <c r="H583" s="1" t="s">
        <v>16</v>
      </c>
      <c r="I583" s="1" t="s">
        <v>16</v>
      </c>
      <c r="J583" s="1" t="s">
        <v>16</v>
      </c>
      <c r="K583" s="1" t="s">
        <v>21</v>
      </c>
      <c r="L583" s="1" t="s">
        <v>17</v>
      </c>
      <c r="M583" s="1" t="s">
        <v>17</v>
      </c>
      <c r="N583" s="1" t="s">
        <v>16</v>
      </c>
    </row>
    <row r="584" spans="1:14" x14ac:dyDescent="0.25">
      <c r="A584" s="9">
        <v>45048</v>
      </c>
      <c r="B584" s="1" t="s">
        <v>15</v>
      </c>
      <c r="C584" s="1">
        <v>10</v>
      </c>
      <c r="D584" s="1">
        <v>2</v>
      </c>
      <c r="E584" s="14">
        <v>41.66</v>
      </c>
      <c r="F584" s="1" t="s">
        <v>18</v>
      </c>
      <c r="G584" s="1">
        <v>2</v>
      </c>
      <c r="H584" s="1" t="s">
        <v>16</v>
      </c>
      <c r="I584" s="1" t="s">
        <v>16</v>
      </c>
      <c r="J584" s="1" t="s">
        <v>16</v>
      </c>
      <c r="K584" s="1" t="s">
        <v>17</v>
      </c>
      <c r="L584" s="1" t="s">
        <v>17</v>
      </c>
      <c r="M584" s="1" t="s">
        <v>17</v>
      </c>
      <c r="N584" s="1" t="s">
        <v>16</v>
      </c>
    </row>
    <row r="585" spans="1:14" x14ac:dyDescent="0.25">
      <c r="A585" s="9">
        <v>45048</v>
      </c>
      <c r="B585" s="1" t="s">
        <v>15</v>
      </c>
      <c r="C585" s="1">
        <v>11</v>
      </c>
      <c r="D585" s="1">
        <v>3</v>
      </c>
      <c r="E585" s="14">
        <v>47.29</v>
      </c>
      <c r="F585" s="1" t="s">
        <v>19</v>
      </c>
      <c r="G585" s="1">
        <v>2</v>
      </c>
      <c r="H585" s="1" t="s">
        <v>16</v>
      </c>
      <c r="I585" s="1" t="s">
        <v>16</v>
      </c>
      <c r="J585" s="1" t="s">
        <v>16</v>
      </c>
      <c r="K585" s="1" t="s">
        <v>17</v>
      </c>
      <c r="L585" s="1" t="s">
        <v>17</v>
      </c>
      <c r="M585" s="1" t="s">
        <v>17</v>
      </c>
      <c r="N585" s="1" t="s">
        <v>16</v>
      </c>
    </row>
    <row r="586" spans="1:14" x14ac:dyDescent="0.25">
      <c r="A586" s="9">
        <v>45048</v>
      </c>
      <c r="B586" s="1" t="s">
        <v>15</v>
      </c>
      <c r="C586" s="1">
        <v>12</v>
      </c>
      <c r="D586" s="1">
        <v>3</v>
      </c>
      <c r="E586" s="14">
        <v>52.97</v>
      </c>
      <c r="F586" s="1" t="s">
        <v>19</v>
      </c>
      <c r="G586" s="1">
        <v>2</v>
      </c>
      <c r="H586" s="1" t="s">
        <v>16</v>
      </c>
      <c r="I586" s="1" t="s">
        <v>16</v>
      </c>
      <c r="J586" s="1" t="s">
        <v>16</v>
      </c>
      <c r="K586" s="1" t="s">
        <v>17</v>
      </c>
      <c r="L586" s="1" t="s">
        <v>17</v>
      </c>
      <c r="M586" s="1" t="s">
        <v>17</v>
      </c>
      <c r="N586" s="1" t="s">
        <v>16</v>
      </c>
    </row>
    <row r="587" spans="1:14" x14ac:dyDescent="0.25">
      <c r="A587" s="9">
        <v>45048</v>
      </c>
      <c r="B587" s="1" t="s">
        <v>15</v>
      </c>
      <c r="C587" s="1">
        <v>13</v>
      </c>
      <c r="D587" s="1">
        <v>3</v>
      </c>
      <c r="E587" s="14">
        <v>63.79</v>
      </c>
      <c r="F587" s="1" t="s">
        <v>19</v>
      </c>
      <c r="G587" s="1">
        <v>2</v>
      </c>
      <c r="H587" s="1" t="s">
        <v>16</v>
      </c>
      <c r="I587" s="1" t="s">
        <v>16</v>
      </c>
      <c r="J587" s="1" t="s">
        <v>16</v>
      </c>
      <c r="K587" s="1" t="s">
        <v>17</v>
      </c>
      <c r="L587" s="1" t="s">
        <v>17</v>
      </c>
      <c r="M587" s="1" t="s">
        <v>17</v>
      </c>
      <c r="N587" s="1" t="s">
        <v>16</v>
      </c>
    </row>
    <row r="588" spans="1:14" x14ac:dyDescent="0.25">
      <c r="A588" s="9">
        <v>45048</v>
      </c>
      <c r="B588" s="1" t="s">
        <v>15</v>
      </c>
      <c r="C588" s="1">
        <v>14</v>
      </c>
      <c r="D588" s="1">
        <v>3</v>
      </c>
      <c r="E588" s="14">
        <v>36.950000000000003</v>
      </c>
      <c r="F588" s="1" t="s">
        <v>18</v>
      </c>
      <c r="G588" s="1">
        <v>2</v>
      </c>
      <c r="H588" s="1" t="s">
        <v>16</v>
      </c>
      <c r="I588" s="1" t="s">
        <v>16</v>
      </c>
      <c r="J588" s="1" t="s">
        <v>16</v>
      </c>
      <c r="K588" s="1" t="s">
        <v>17</v>
      </c>
      <c r="L588" s="1" t="s">
        <v>17</v>
      </c>
      <c r="M588" s="1" t="s">
        <v>17</v>
      </c>
      <c r="N588" s="1" t="s">
        <v>16</v>
      </c>
    </row>
    <row r="589" spans="1:14" x14ac:dyDescent="0.25">
      <c r="A589" s="9">
        <v>45048</v>
      </c>
      <c r="B589" s="1" t="s">
        <v>15</v>
      </c>
      <c r="C589" s="1">
        <v>15</v>
      </c>
      <c r="D589" s="1">
        <v>3</v>
      </c>
      <c r="E589" s="14">
        <v>45.23</v>
      </c>
      <c r="F589" s="1" t="s">
        <v>18</v>
      </c>
      <c r="G589" s="1">
        <v>2</v>
      </c>
      <c r="H589" s="1" t="s">
        <v>16</v>
      </c>
      <c r="I589" s="1" t="s">
        <v>16</v>
      </c>
      <c r="J589" s="1" t="s">
        <v>16</v>
      </c>
      <c r="K589" s="1" t="s">
        <v>21</v>
      </c>
      <c r="L589" s="1" t="s">
        <v>17</v>
      </c>
      <c r="M589" s="1" t="s">
        <v>17</v>
      </c>
      <c r="N589" s="1" t="s">
        <v>16</v>
      </c>
    </row>
    <row r="590" spans="1:14" x14ac:dyDescent="0.25">
      <c r="A590" s="9">
        <v>45083</v>
      </c>
      <c r="B590" s="1" t="s">
        <v>15</v>
      </c>
      <c r="C590" s="1">
        <v>1</v>
      </c>
      <c r="D590" s="1">
        <v>1</v>
      </c>
      <c r="E590" s="14">
        <v>60.92</v>
      </c>
      <c r="F590" s="1" t="s">
        <v>18</v>
      </c>
      <c r="G590" s="1">
        <v>2</v>
      </c>
      <c r="H590" s="1" t="s">
        <v>16</v>
      </c>
      <c r="I590" s="1" t="s">
        <v>16</v>
      </c>
      <c r="J590" s="1" t="s">
        <v>16</v>
      </c>
      <c r="K590" s="1" t="s">
        <v>17</v>
      </c>
      <c r="L590" s="1" t="s">
        <v>17</v>
      </c>
      <c r="M590" s="1" t="s">
        <v>17</v>
      </c>
      <c r="N590" s="1" t="s">
        <v>16</v>
      </c>
    </row>
    <row r="591" spans="1:14" x14ac:dyDescent="0.25">
      <c r="A591" s="9">
        <v>45083</v>
      </c>
      <c r="B591" s="1" t="s">
        <v>15</v>
      </c>
      <c r="C591" s="1">
        <v>2</v>
      </c>
      <c r="D591" s="1">
        <v>1</v>
      </c>
      <c r="E591" s="14">
        <v>73.849999999999994</v>
      </c>
      <c r="F591" s="1" t="s">
        <v>18</v>
      </c>
      <c r="G591" s="1">
        <v>2</v>
      </c>
      <c r="H591" s="1" t="s">
        <v>16</v>
      </c>
      <c r="I591" s="1" t="s">
        <v>16</v>
      </c>
      <c r="J591" s="1" t="s">
        <v>16</v>
      </c>
      <c r="K591" s="1" t="s">
        <v>17</v>
      </c>
      <c r="L591" s="1" t="s">
        <v>17</v>
      </c>
      <c r="M591" s="1" t="s">
        <v>17</v>
      </c>
      <c r="N591" s="1" t="s">
        <v>16</v>
      </c>
    </row>
    <row r="592" spans="1:14" x14ac:dyDescent="0.25">
      <c r="A592" s="9">
        <v>45083</v>
      </c>
      <c r="B592" s="1" t="s">
        <v>15</v>
      </c>
      <c r="C592" s="1">
        <v>3</v>
      </c>
      <c r="D592" s="1">
        <v>1</v>
      </c>
      <c r="E592" s="14">
        <v>45.24</v>
      </c>
      <c r="F592" s="1" t="s">
        <v>16</v>
      </c>
      <c r="G592" s="1">
        <v>4</v>
      </c>
      <c r="H592" s="1" t="s">
        <v>16</v>
      </c>
      <c r="I592" s="1" t="s">
        <v>16</v>
      </c>
      <c r="J592" s="1" t="s">
        <v>16</v>
      </c>
      <c r="K592" s="1" t="s">
        <v>17</v>
      </c>
      <c r="L592" s="1" t="s">
        <v>17</v>
      </c>
      <c r="M592" s="1" t="s">
        <v>17</v>
      </c>
      <c r="N592" s="1" t="s">
        <v>16</v>
      </c>
    </row>
    <row r="593" spans="1:14" x14ac:dyDescent="0.25">
      <c r="A593" s="9">
        <v>45083</v>
      </c>
      <c r="B593" s="1" t="s">
        <v>15</v>
      </c>
      <c r="C593" s="1">
        <v>4</v>
      </c>
      <c r="D593" s="1">
        <v>1</v>
      </c>
      <c r="E593" s="14">
        <v>39.9</v>
      </c>
      <c r="F593" s="1" t="s">
        <v>19</v>
      </c>
      <c r="G593" s="1">
        <v>2</v>
      </c>
      <c r="H593" s="1" t="s">
        <v>16</v>
      </c>
      <c r="I593" s="1" t="s">
        <v>16</v>
      </c>
      <c r="J593" s="1" t="s">
        <v>16</v>
      </c>
      <c r="K593" s="1" t="s">
        <v>17</v>
      </c>
      <c r="L593" s="1" t="s">
        <v>17</v>
      </c>
      <c r="M593" s="1" t="s">
        <v>17</v>
      </c>
      <c r="N593" s="1" t="s">
        <v>16</v>
      </c>
    </row>
    <row r="594" spans="1:14" x14ac:dyDescent="0.25">
      <c r="A594" s="9">
        <v>45083</v>
      </c>
      <c r="B594" s="1" t="s">
        <v>15</v>
      </c>
      <c r="C594" s="1">
        <v>5</v>
      </c>
      <c r="D594" s="1">
        <v>1</v>
      </c>
      <c r="E594" s="14">
        <v>61.02</v>
      </c>
      <c r="F594" s="1" t="s">
        <v>18</v>
      </c>
      <c r="G594" s="1">
        <v>2</v>
      </c>
      <c r="H594" s="1" t="s">
        <v>16</v>
      </c>
      <c r="I594" s="1" t="s">
        <v>16</v>
      </c>
      <c r="J594" s="1" t="s">
        <v>16</v>
      </c>
      <c r="K594" s="1" t="s">
        <v>17</v>
      </c>
      <c r="L594" s="1" t="s">
        <v>17</v>
      </c>
      <c r="M594" s="1" t="s">
        <v>21</v>
      </c>
      <c r="N594" s="1" t="s">
        <v>16</v>
      </c>
    </row>
    <row r="595" spans="1:14" x14ac:dyDescent="0.25">
      <c r="A595" s="9">
        <v>45083</v>
      </c>
      <c r="B595" s="1" t="s">
        <v>15</v>
      </c>
      <c r="C595" s="1">
        <v>6</v>
      </c>
      <c r="D595" s="1">
        <v>2</v>
      </c>
      <c r="E595" s="14">
        <v>49.11</v>
      </c>
      <c r="F595" s="1" t="s">
        <v>16</v>
      </c>
      <c r="G595" s="1" t="s">
        <v>16</v>
      </c>
      <c r="H595" s="1" t="s">
        <v>16</v>
      </c>
      <c r="I595" s="1" t="s">
        <v>16</v>
      </c>
      <c r="J595" s="1" t="s">
        <v>16</v>
      </c>
      <c r="K595" s="1" t="s">
        <v>17</v>
      </c>
      <c r="L595" s="1" t="s">
        <v>17</v>
      </c>
      <c r="M595" s="1" t="s">
        <v>21</v>
      </c>
      <c r="N595" s="1" t="s">
        <v>16</v>
      </c>
    </row>
    <row r="596" spans="1:14" x14ac:dyDescent="0.25">
      <c r="A596" s="9">
        <v>45083</v>
      </c>
      <c r="B596" s="1" t="s">
        <v>15</v>
      </c>
      <c r="C596" s="1">
        <v>7</v>
      </c>
      <c r="D596" s="1">
        <v>2</v>
      </c>
      <c r="E596" s="14">
        <v>46.64</v>
      </c>
      <c r="F596" s="1" t="s">
        <v>18</v>
      </c>
      <c r="G596" s="1">
        <v>2</v>
      </c>
      <c r="H596" s="1" t="s">
        <v>16</v>
      </c>
      <c r="I596" s="1" t="s">
        <v>16</v>
      </c>
      <c r="J596" s="1" t="s">
        <v>16</v>
      </c>
      <c r="K596" s="1" t="s">
        <v>17</v>
      </c>
      <c r="L596" s="1" t="s">
        <v>17</v>
      </c>
      <c r="M596" s="1" t="s">
        <v>17</v>
      </c>
      <c r="N596" s="1" t="s">
        <v>16</v>
      </c>
    </row>
    <row r="597" spans="1:14" x14ac:dyDescent="0.25">
      <c r="A597" s="9">
        <v>45083</v>
      </c>
      <c r="B597" s="1" t="s">
        <v>15</v>
      </c>
      <c r="C597" s="1">
        <v>8</v>
      </c>
      <c r="D597" s="1">
        <v>2</v>
      </c>
      <c r="E597" s="14">
        <v>51.44</v>
      </c>
      <c r="F597" s="1" t="s">
        <v>16</v>
      </c>
      <c r="G597" s="1" t="s">
        <v>16</v>
      </c>
      <c r="H597" s="1" t="s">
        <v>16</v>
      </c>
      <c r="I597" s="1" t="s">
        <v>16</v>
      </c>
      <c r="J597" s="1" t="s">
        <v>16</v>
      </c>
      <c r="K597" s="1" t="s">
        <v>17</v>
      </c>
      <c r="L597" s="1" t="s">
        <v>17</v>
      </c>
      <c r="M597" s="1" t="s">
        <v>21</v>
      </c>
      <c r="N597" s="1" t="s">
        <v>16</v>
      </c>
    </row>
    <row r="598" spans="1:14" x14ac:dyDescent="0.25">
      <c r="A598" s="9">
        <v>45083</v>
      </c>
      <c r="B598" s="1" t="s">
        <v>15</v>
      </c>
      <c r="C598" s="1">
        <v>9</v>
      </c>
      <c r="D598" s="1">
        <v>2</v>
      </c>
      <c r="E598" s="14">
        <v>39.24</v>
      </c>
      <c r="F598" s="1" t="s">
        <v>16</v>
      </c>
      <c r="G598" s="1" t="s">
        <v>16</v>
      </c>
      <c r="H598" s="1" t="s">
        <v>16</v>
      </c>
      <c r="I598" s="1" t="s">
        <v>16</v>
      </c>
      <c r="J598" s="1" t="s">
        <v>16</v>
      </c>
      <c r="K598" s="1" t="s">
        <v>17</v>
      </c>
      <c r="L598" s="1" t="s">
        <v>17</v>
      </c>
      <c r="M598" s="1" t="s">
        <v>21</v>
      </c>
      <c r="N598" s="1" t="s">
        <v>16</v>
      </c>
    </row>
    <row r="599" spans="1:14" x14ac:dyDescent="0.25">
      <c r="A599" s="9">
        <v>45083</v>
      </c>
      <c r="B599" s="1" t="s">
        <v>15</v>
      </c>
      <c r="C599" s="1">
        <v>10</v>
      </c>
      <c r="D599" s="1">
        <v>2</v>
      </c>
      <c r="E599" s="14">
        <v>40.4</v>
      </c>
      <c r="F599" s="1" t="s">
        <v>18</v>
      </c>
      <c r="G599" s="1">
        <v>2</v>
      </c>
      <c r="H599" s="1" t="s">
        <v>16</v>
      </c>
      <c r="I599" s="1" t="s">
        <v>16</v>
      </c>
      <c r="J599" s="1" t="s">
        <v>16</v>
      </c>
      <c r="K599" s="1" t="s">
        <v>17</v>
      </c>
      <c r="L599" s="1" t="s">
        <v>17</v>
      </c>
      <c r="M599" s="1" t="s">
        <v>17</v>
      </c>
      <c r="N599" s="1" t="s">
        <v>16</v>
      </c>
    </row>
    <row r="600" spans="1:14" x14ac:dyDescent="0.25">
      <c r="A600" s="9">
        <v>45083</v>
      </c>
      <c r="B600" s="1" t="s">
        <v>15</v>
      </c>
      <c r="C600" s="1">
        <v>11</v>
      </c>
      <c r="D600" s="1">
        <v>3</v>
      </c>
      <c r="E600" s="14">
        <v>50.8</v>
      </c>
      <c r="F600" s="1" t="s">
        <v>18</v>
      </c>
      <c r="G600" s="1">
        <v>2</v>
      </c>
      <c r="H600" s="1" t="s">
        <v>16</v>
      </c>
      <c r="I600" s="1" t="s">
        <v>16</v>
      </c>
      <c r="J600" s="1" t="s">
        <v>16</v>
      </c>
      <c r="K600" s="1" t="s">
        <v>17</v>
      </c>
      <c r="L600" s="1" t="s">
        <v>17</v>
      </c>
      <c r="M600" s="1" t="s">
        <v>17</v>
      </c>
      <c r="N600" s="1" t="s">
        <v>16</v>
      </c>
    </row>
    <row r="601" spans="1:14" x14ac:dyDescent="0.25">
      <c r="A601" s="9">
        <v>45083</v>
      </c>
      <c r="B601" s="1" t="s">
        <v>15</v>
      </c>
      <c r="C601" s="1">
        <v>12</v>
      </c>
      <c r="D601" s="1">
        <v>3</v>
      </c>
      <c r="E601" s="14">
        <v>39.200000000000003</v>
      </c>
      <c r="F601" s="1" t="s">
        <v>18</v>
      </c>
      <c r="G601" s="1">
        <v>2</v>
      </c>
      <c r="H601" s="1" t="s">
        <v>16</v>
      </c>
      <c r="I601" s="1" t="s">
        <v>16</v>
      </c>
      <c r="J601" s="1" t="s">
        <v>16</v>
      </c>
      <c r="K601" s="1" t="s">
        <v>17</v>
      </c>
      <c r="L601" s="1" t="s">
        <v>17</v>
      </c>
      <c r="M601" s="1" t="s">
        <v>17</v>
      </c>
      <c r="N601" s="1" t="s">
        <v>16</v>
      </c>
    </row>
    <row r="602" spans="1:14" x14ac:dyDescent="0.25">
      <c r="A602" s="9">
        <v>45083</v>
      </c>
      <c r="B602" s="1" t="s">
        <v>15</v>
      </c>
      <c r="C602" s="1">
        <v>13</v>
      </c>
      <c r="D602" s="1">
        <v>3</v>
      </c>
      <c r="E602" s="14">
        <v>59.84</v>
      </c>
      <c r="F602" s="1" t="s">
        <v>18</v>
      </c>
      <c r="G602" s="1">
        <v>2</v>
      </c>
      <c r="H602" s="1" t="s">
        <v>16</v>
      </c>
      <c r="I602" s="1" t="s">
        <v>16</v>
      </c>
      <c r="J602" s="1" t="s">
        <v>16</v>
      </c>
      <c r="K602" s="1" t="s">
        <v>17</v>
      </c>
      <c r="L602" s="1" t="s">
        <v>17</v>
      </c>
      <c r="M602" s="1" t="s">
        <v>17</v>
      </c>
      <c r="N602" s="1" t="s">
        <v>16</v>
      </c>
    </row>
    <row r="603" spans="1:14" x14ac:dyDescent="0.25">
      <c r="A603" s="9">
        <v>45083</v>
      </c>
      <c r="B603" s="1" t="s">
        <v>15</v>
      </c>
      <c r="C603" s="1">
        <v>14</v>
      </c>
      <c r="D603" s="1">
        <v>3</v>
      </c>
      <c r="E603" s="14">
        <v>42.43</v>
      </c>
      <c r="F603" s="1" t="s">
        <v>19</v>
      </c>
      <c r="G603" s="1">
        <v>2</v>
      </c>
      <c r="H603" s="1" t="s">
        <v>16</v>
      </c>
      <c r="I603" s="1" t="s">
        <v>16</v>
      </c>
      <c r="J603" s="1" t="s">
        <v>16</v>
      </c>
      <c r="K603" s="1" t="s">
        <v>17</v>
      </c>
      <c r="L603" s="1" t="s">
        <v>17</v>
      </c>
      <c r="M603" s="1" t="s">
        <v>17</v>
      </c>
      <c r="N603" s="1" t="s">
        <v>16</v>
      </c>
    </row>
    <row r="604" spans="1:14" x14ac:dyDescent="0.25">
      <c r="A604" s="9">
        <v>45083</v>
      </c>
      <c r="B604" s="1" t="s">
        <v>15</v>
      </c>
      <c r="C604" s="1">
        <v>15</v>
      </c>
      <c r="D604" s="1">
        <v>3</v>
      </c>
      <c r="E604" s="14">
        <v>35.24</v>
      </c>
      <c r="F604" s="1" t="s">
        <v>19</v>
      </c>
      <c r="G604" s="1">
        <v>2</v>
      </c>
      <c r="H604" s="1" t="s">
        <v>16</v>
      </c>
      <c r="I604" s="1" t="s">
        <v>16</v>
      </c>
      <c r="J604" s="1" t="s">
        <v>16</v>
      </c>
      <c r="K604" s="1" t="s">
        <v>17</v>
      </c>
      <c r="L604" s="1" t="s">
        <v>17</v>
      </c>
      <c r="M604" s="1" t="s">
        <v>17</v>
      </c>
      <c r="N604" s="1" t="s">
        <v>16</v>
      </c>
    </row>
    <row r="605" spans="1:14" x14ac:dyDescent="0.25">
      <c r="A605" s="9">
        <v>45112</v>
      </c>
      <c r="B605" s="1" t="s">
        <v>15</v>
      </c>
      <c r="C605" s="1">
        <v>1</v>
      </c>
      <c r="D605" s="1">
        <v>1</v>
      </c>
      <c r="E605" s="14">
        <v>55.99</v>
      </c>
      <c r="F605" s="1" t="s">
        <v>18</v>
      </c>
      <c r="G605" s="1">
        <v>2</v>
      </c>
      <c r="H605" s="1" t="s">
        <v>16</v>
      </c>
      <c r="I605" s="1" t="s">
        <v>16</v>
      </c>
      <c r="J605" s="1" t="s">
        <v>16</v>
      </c>
      <c r="K605" s="1" t="s">
        <v>17</v>
      </c>
      <c r="L605" s="1" t="s">
        <v>17</v>
      </c>
      <c r="M605" s="1" t="s">
        <v>17</v>
      </c>
      <c r="N605" s="1" t="s">
        <v>16</v>
      </c>
    </row>
    <row r="606" spans="1:14" x14ac:dyDescent="0.25">
      <c r="A606" s="9">
        <v>45112</v>
      </c>
      <c r="B606" s="1" t="s">
        <v>15</v>
      </c>
      <c r="C606" s="1">
        <v>2</v>
      </c>
      <c r="D606" s="1">
        <v>1</v>
      </c>
      <c r="E606" s="14">
        <v>67.72</v>
      </c>
      <c r="F606" s="1" t="s">
        <v>18</v>
      </c>
      <c r="G606" s="1">
        <v>2</v>
      </c>
      <c r="H606" s="1" t="s">
        <v>16</v>
      </c>
      <c r="I606" s="1" t="s">
        <v>16</v>
      </c>
      <c r="J606" s="1" t="s">
        <v>16</v>
      </c>
      <c r="K606" s="1" t="s">
        <v>17</v>
      </c>
      <c r="L606" s="1" t="s">
        <v>17</v>
      </c>
      <c r="M606" s="1" t="s">
        <v>17</v>
      </c>
      <c r="N606" s="1" t="s">
        <v>16</v>
      </c>
    </row>
    <row r="607" spans="1:14" x14ac:dyDescent="0.25">
      <c r="A607" s="9">
        <v>45112</v>
      </c>
      <c r="B607" s="1" t="s">
        <v>15</v>
      </c>
      <c r="C607" s="1">
        <v>3</v>
      </c>
      <c r="D607" s="1">
        <v>1</v>
      </c>
      <c r="E607" s="14">
        <v>64.319999999999993</v>
      </c>
      <c r="F607" s="1" t="s">
        <v>18</v>
      </c>
      <c r="G607" s="1">
        <v>2</v>
      </c>
      <c r="H607" s="1" t="s">
        <v>16</v>
      </c>
      <c r="I607" s="1" t="s">
        <v>16</v>
      </c>
      <c r="J607" s="1" t="s">
        <v>16</v>
      </c>
      <c r="K607" s="1" t="s">
        <v>17</v>
      </c>
      <c r="L607" s="1" t="s">
        <v>17</v>
      </c>
      <c r="M607" s="1" t="s">
        <v>17</v>
      </c>
      <c r="N607" s="1" t="s">
        <v>16</v>
      </c>
    </row>
    <row r="608" spans="1:14" x14ac:dyDescent="0.25">
      <c r="A608" s="9">
        <v>45112</v>
      </c>
      <c r="B608" s="1" t="s">
        <v>15</v>
      </c>
      <c r="C608" s="1">
        <v>4</v>
      </c>
      <c r="D608" s="1">
        <v>1</v>
      </c>
      <c r="E608" s="14">
        <v>54.4</v>
      </c>
      <c r="F608" s="1" t="s">
        <v>19</v>
      </c>
      <c r="G608" s="1">
        <v>2</v>
      </c>
      <c r="H608" s="1" t="s">
        <v>16</v>
      </c>
      <c r="I608" s="1" t="s">
        <v>16</v>
      </c>
      <c r="J608" s="1" t="s">
        <v>16</v>
      </c>
      <c r="K608" s="1" t="s">
        <v>17</v>
      </c>
      <c r="L608" s="1" t="s">
        <v>17</v>
      </c>
      <c r="M608" s="1" t="s">
        <v>17</v>
      </c>
      <c r="N608" s="1" t="s">
        <v>16</v>
      </c>
    </row>
    <row r="609" spans="1:14" x14ac:dyDescent="0.25">
      <c r="A609" s="9">
        <v>45112</v>
      </c>
      <c r="B609" s="1" t="s">
        <v>15</v>
      </c>
      <c r="C609" s="1">
        <v>5</v>
      </c>
      <c r="D609" s="1">
        <v>1</v>
      </c>
      <c r="E609" s="14">
        <v>51.19</v>
      </c>
      <c r="F609" s="1" t="s">
        <v>18</v>
      </c>
      <c r="G609" s="1">
        <v>2</v>
      </c>
      <c r="H609" s="1" t="s">
        <v>16</v>
      </c>
      <c r="I609" s="1" t="s">
        <v>16</v>
      </c>
      <c r="J609" s="1" t="s">
        <v>16</v>
      </c>
      <c r="K609" s="1" t="s">
        <v>17</v>
      </c>
      <c r="L609" s="1" t="s">
        <v>17</v>
      </c>
      <c r="M609" s="1" t="s">
        <v>17</v>
      </c>
      <c r="N609" s="1" t="s">
        <v>16</v>
      </c>
    </row>
    <row r="610" spans="1:14" x14ac:dyDescent="0.25">
      <c r="A610" s="9">
        <v>45112</v>
      </c>
      <c r="B610" s="1" t="s">
        <v>15</v>
      </c>
      <c r="C610" s="1">
        <v>6</v>
      </c>
      <c r="D610" s="1">
        <v>2</v>
      </c>
      <c r="E610" s="14">
        <v>83.79</v>
      </c>
      <c r="F610" s="1" t="s">
        <v>18</v>
      </c>
      <c r="G610" s="1">
        <v>2</v>
      </c>
      <c r="H610" s="1" t="s">
        <v>16</v>
      </c>
      <c r="I610" s="1" t="s">
        <v>16</v>
      </c>
      <c r="J610" s="1" t="s">
        <v>16</v>
      </c>
      <c r="K610" s="1" t="s">
        <v>17</v>
      </c>
      <c r="L610" s="1" t="s">
        <v>17</v>
      </c>
      <c r="M610" s="1" t="s">
        <v>17</v>
      </c>
      <c r="N610" s="1" t="s">
        <v>16</v>
      </c>
    </row>
    <row r="611" spans="1:14" x14ac:dyDescent="0.25">
      <c r="A611" s="9">
        <v>45112</v>
      </c>
      <c r="B611" s="1" t="s">
        <v>15</v>
      </c>
      <c r="C611" s="1">
        <v>7</v>
      </c>
      <c r="D611" s="1">
        <v>2</v>
      </c>
      <c r="E611" s="14">
        <v>67.37</v>
      </c>
      <c r="F611" s="1" t="s">
        <v>18</v>
      </c>
      <c r="G611" s="1">
        <v>2</v>
      </c>
      <c r="H611" s="1" t="s">
        <v>16</v>
      </c>
      <c r="I611" s="1" t="s">
        <v>16</v>
      </c>
      <c r="J611" s="1" t="s">
        <v>16</v>
      </c>
      <c r="K611" s="1" t="s">
        <v>17</v>
      </c>
      <c r="L611" s="1" t="s">
        <v>17</v>
      </c>
      <c r="M611" s="1" t="s">
        <v>17</v>
      </c>
      <c r="N611" s="1" t="s">
        <v>16</v>
      </c>
    </row>
    <row r="612" spans="1:14" x14ac:dyDescent="0.25">
      <c r="A612" s="9">
        <v>45112</v>
      </c>
      <c r="B612" s="1" t="s">
        <v>15</v>
      </c>
      <c r="C612" s="1">
        <v>8</v>
      </c>
      <c r="D612" s="1">
        <v>2</v>
      </c>
      <c r="E612" s="14">
        <v>63.18</v>
      </c>
      <c r="F612" s="1" t="s">
        <v>18</v>
      </c>
      <c r="G612" s="1">
        <v>2</v>
      </c>
      <c r="H612" s="1" t="s">
        <v>16</v>
      </c>
      <c r="I612" s="1" t="s">
        <v>16</v>
      </c>
      <c r="J612" s="1" t="s">
        <v>16</v>
      </c>
      <c r="K612" s="1" t="s">
        <v>21</v>
      </c>
      <c r="L612" s="1" t="s">
        <v>17</v>
      </c>
      <c r="M612" s="1" t="s">
        <v>17</v>
      </c>
      <c r="N612" s="1" t="s">
        <v>16</v>
      </c>
    </row>
    <row r="613" spans="1:14" x14ac:dyDescent="0.25">
      <c r="A613" s="9">
        <v>45112</v>
      </c>
      <c r="B613" s="1" t="s">
        <v>15</v>
      </c>
      <c r="C613" s="1">
        <v>9</v>
      </c>
      <c r="D613" s="1">
        <v>2</v>
      </c>
      <c r="E613" s="14">
        <v>67.13</v>
      </c>
      <c r="F613" s="1" t="s">
        <v>18</v>
      </c>
      <c r="G613" s="1">
        <v>2</v>
      </c>
      <c r="H613" s="1" t="s">
        <v>16</v>
      </c>
      <c r="I613" s="1" t="s">
        <v>16</v>
      </c>
      <c r="J613" s="1" t="s">
        <v>16</v>
      </c>
      <c r="K613" s="1" t="s">
        <v>17</v>
      </c>
      <c r="L613" s="1" t="s">
        <v>17</v>
      </c>
      <c r="M613" s="1" t="s">
        <v>17</v>
      </c>
      <c r="N613" s="1" t="s">
        <v>16</v>
      </c>
    </row>
    <row r="614" spans="1:14" x14ac:dyDescent="0.25">
      <c r="A614" s="9">
        <v>45112</v>
      </c>
      <c r="B614" s="1" t="s">
        <v>15</v>
      </c>
      <c r="C614" s="1">
        <v>10</v>
      </c>
      <c r="D614" s="1">
        <v>2</v>
      </c>
      <c r="E614" s="14">
        <v>60.64</v>
      </c>
      <c r="F614" s="1" t="s">
        <v>18</v>
      </c>
      <c r="G614" s="1">
        <v>2</v>
      </c>
      <c r="H614" s="1" t="s">
        <v>16</v>
      </c>
      <c r="I614" s="1" t="s">
        <v>16</v>
      </c>
      <c r="J614" s="1" t="s">
        <v>16</v>
      </c>
      <c r="K614" s="1" t="s">
        <v>17</v>
      </c>
      <c r="L614" s="1" t="s">
        <v>17</v>
      </c>
      <c r="M614" s="1" t="s">
        <v>17</v>
      </c>
      <c r="N614" s="1" t="s">
        <v>16</v>
      </c>
    </row>
    <row r="615" spans="1:14" x14ac:dyDescent="0.25">
      <c r="A615" s="9">
        <v>45112</v>
      </c>
      <c r="B615" s="1" t="s">
        <v>15</v>
      </c>
      <c r="C615" s="1">
        <v>11</v>
      </c>
      <c r="D615" s="1">
        <v>3</v>
      </c>
      <c r="E615" s="14">
        <v>76.739999999999995</v>
      </c>
      <c r="F615" s="1" t="s">
        <v>18</v>
      </c>
      <c r="G615" s="1">
        <v>2</v>
      </c>
      <c r="H615" s="1" t="s">
        <v>16</v>
      </c>
      <c r="I615" s="1" t="s">
        <v>16</v>
      </c>
      <c r="J615" s="1" t="s">
        <v>16</v>
      </c>
      <c r="K615" s="1" t="s">
        <v>17</v>
      </c>
      <c r="L615" s="1" t="s">
        <v>17</v>
      </c>
      <c r="M615" s="1" t="s">
        <v>17</v>
      </c>
      <c r="N615" s="1" t="s">
        <v>16</v>
      </c>
    </row>
    <row r="616" spans="1:14" x14ac:dyDescent="0.25">
      <c r="A616" s="9">
        <v>45112</v>
      </c>
      <c r="B616" s="1" t="s">
        <v>15</v>
      </c>
      <c r="C616" s="1">
        <v>12</v>
      </c>
      <c r="D616" s="1">
        <v>3</v>
      </c>
      <c r="E616" s="14">
        <v>64.11</v>
      </c>
      <c r="F616" s="1" t="s">
        <v>18</v>
      </c>
      <c r="G616" s="1">
        <v>2</v>
      </c>
      <c r="H616" s="1" t="s">
        <v>16</v>
      </c>
      <c r="I616" s="1" t="s">
        <v>16</v>
      </c>
      <c r="J616" s="1" t="s">
        <v>16</v>
      </c>
      <c r="K616" s="1" t="s">
        <v>17</v>
      </c>
      <c r="L616" s="1" t="s">
        <v>17</v>
      </c>
      <c r="M616" s="1" t="s">
        <v>17</v>
      </c>
      <c r="N616" s="1" t="s">
        <v>16</v>
      </c>
    </row>
    <row r="617" spans="1:14" x14ac:dyDescent="0.25">
      <c r="A617" s="9">
        <v>45112</v>
      </c>
      <c r="B617" s="1" t="s">
        <v>15</v>
      </c>
      <c r="C617" s="1">
        <v>13</v>
      </c>
      <c r="D617" s="1">
        <v>3</v>
      </c>
      <c r="E617" s="14">
        <v>67.819999999999993</v>
      </c>
      <c r="F617" s="1" t="s">
        <v>18</v>
      </c>
      <c r="G617" s="1">
        <v>2</v>
      </c>
      <c r="H617" s="1" t="s">
        <v>16</v>
      </c>
      <c r="I617" s="1" t="s">
        <v>16</v>
      </c>
      <c r="J617" s="1" t="s">
        <v>16</v>
      </c>
      <c r="K617" s="1" t="s">
        <v>17</v>
      </c>
      <c r="L617" s="1" t="s">
        <v>17</v>
      </c>
      <c r="M617" s="1" t="s">
        <v>17</v>
      </c>
      <c r="N617" s="1" t="s">
        <v>16</v>
      </c>
    </row>
    <row r="618" spans="1:14" x14ac:dyDescent="0.25">
      <c r="A618" s="9">
        <v>45112</v>
      </c>
      <c r="B618" s="1" t="s">
        <v>15</v>
      </c>
      <c r="C618" s="1">
        <v>14</v>
      </c>
      <c r="D618" s="1">
        <v>3</v>
      </c>
      <c r="E618" s="14">
        <v>57.14</v>
      </c>
      <c r="F618" s="1" t="s">
        <v>18</v>
      </c>
      <c r="G618" s="1">
        <v>2</v>
      </c>
      <c r="H618" s="1" t="s">
        <v>16</v>
      </c>
      <c r="I618" s="1" t="s">
        <v>16</v>
      </c>
      <c r="J618" s="1" t="s">
        <v>16</v>
      </c>
      <c r="K618" s="1" t="s">
        <v>17</v>
      </c>
      <c r="L618" s="1" t="s">
        <v>17</v>
      </c>
      <c r="M618" s="1" t="s">
        <v>17</v>
      </c>
      <c r="N618" s="1" t="s">
        <v>16</v>
      </c>
    </row>
    <row r="619" spans="1:14" x14ac:dyDescent="0.25">
      <c r="A619" s="9">
        <v>45112</v>
      </c>
      <c r="B619" s="1" t="s">
        <v>15</v>
      </c>
      <c r="C619" s="1">
        <v>15</v>
      </c>
      <c r="D619" s="1">
        <v>3</v>
      </c>
      <c r="E619" s="14">
        <v>71.540000000000006</v>
      </c>
      <c r="F619" s="1" t="s">
        <v>19</v>
      </c>
      <c r="G619" s="1">
        <v>2</v>
      </c>
      <c r="H619" s="1" t="s">
        <v>16</v>
      </c>
      <c r="I619" s="1" t="s">
        <v>16</v>
      </c>
      <c r="J619" s="1" t="s">
        <v>16</v>
      </c>
      <c r="K619" s="1" t="s">
        <v>17</v>
      </c>
      <c r="L619" s="1" t="s">
        <v>17</v>
      </c>
      <c r="M619" s="1" t="s">
        <v>17</v>
      </c>
      <c r="N619" s="1" t="s">
        <v>16</v>
      </c>
    </row>
    <row r="620" spans="1:14" x14ac:dyDescent="0.25">
      <c r="A620" s="9">
        <v>45139</v>
      </c>
      <c r="B620" s="1" t="s">
        <v>15</v>
      </c>
      <c r="C620" s="1">
        <v>1</v>
      </c>
      <c r="D620" s="1">
        <v>1</v>
      </c>
      <c r="E620" s="14">
        <v>46.24</v>
      </c>
      <c r="F620" s="1" t="s">
        <v>18</v>
      </c>
      <c r="G620" s="1">
        <v>2</v>
      </c>
      <c r="H620" s="1" t="s">
        <v>16</v>
      </c>
      <c r="I620" s="1" t="s">
        <v>16</v>
      </c>
      <c r="J620" s="1" t="s">
        <v>16</v>
      </c>
      <c r="K620" s="1" t="s">
        <v>21</v>
      </c>
      <c r="L620" s="1" t="s">
        <v>17</v>
      </c>
      <c r="M620" s="1" t="s">
        <v>17</v>
      </c>
      <c r="N620" s="1" t="s">
        <v>16</v>
      </c>
    </row>
    <row r="621" spans="1:14" x14ac:dyDescent="0.25">
      <c r="A621" s="9">
        <v>45139</v>
      </c>
      <c r="B621" s="1" t="s">
        <v>15</v>
      </c>
      <c r="C621" s="1">
        <v>2</v>
      </c>
      <c r="D621" s="1">
        <v>1</v>
      </c>
      <c r="E621" s="14">
        <v>56.33</v>
      </c>
      <c r="F621" s="1" t="s">
        <v>18</v>
      </c>
      <c r="G621" s="1">
        <v>2</v>
      </c>
      <c r="H621" s="1" t="s">
        <v>16</v>
      </c>
      <c r="I621" s="1" t="s">
        <v>16</v>
      </c>
      <c r="J621" s="1" t="s">
        <v>16</v>
      </c>
      <c r="K621" s="1" t="s">
        <v>17</v>
      </c>
      <c r="L621" s="1" t="s">
        <v>17</v>
      </c>
      <c r="M621" s="1" t="s">
        <v>17</v>
      </c>
      <c r="N621" s="1" t="s">
        <v>16</v>
      </c>
    </row>
    <row r="622" spans="1:14" x14ac:dyDescent="0.25">
      <c r="A622" s="9">
        <v>45139</v>
      </c>
      <c r="B622" s="1" t="s">
        <v>15</v>
      </c>
      <c r="C622" s="1">
        <v>3</v>
      </c>
      <c r="D622" s="1">
        <v>1</v>
      </c>
      <c r="E622" s="14">
        <v>61.99</v>
      </c>
      <c r="F622" s="1" t="s">
        <v>18</v>
      </c>
      <c r="G622" s="1">
        <v>2</v>
      </c>
      <c r="H622" s="1" t="s">
        <v>16</v>
      </c>
      <c r="I622" s="1" t="s">
        <v>16</v>
      </c>
      <c r="J622" s="1" t="s">
        <v>16</v>
      </c>
      <c r="K622" s="1" t="s">
        <v>21</v>
      </c>
      <c r="L622" s="1" t="s">
        <v>17</v>
      </c>
      <c r="M622" s="1" t="s">
        <v>17</v>
      </c>
      <c r="N622" s="1" t="s">
        <v>16</v>
      </c>
    </row>
    <row r="623" spans="1:14" x14ac:dyDescent="0.25">
      <c r="A623" s="9">
        <v>45139</v>
      </c>
      <c r="B623" s="1" t="s">
        <v>15</v>
      </c>
      <c r="C623" s="1">
        <v>4</v>
      </c>
      <c r="D623" s="1">
        <v>1</v>
      </c>
      <c r="E623" s="14">
        <v>49.16</v>
      </c>
      <c r="F623" s="1" t="s">
        <v>19</v>
      </c>
      <c r="G623" s="1">
        <v>2</v>
      </c>
      <c r="H623" s="1" t="s">
        <v>16</v>
      </c>
      <c r="I623" s="1" t="s">
        <v>16</v>
      </c>
      <c r="J623" s="1" t="s">
        <v>16</v>
      </c>
      <c r="K623" s="1" t="s">
        <v>17</v>
      </c>
      <c r="L623" s="1" t="s">
        <v>17</v>
      </c>
      <c r="M623" s="1" t="s">
        <v>17</v>
      </c>
      <c r="N623" s="1" t="s">
        <v>16</v>
      </c>
    </row>
    <row r="624" spans="1:14" x14ac:dyDescent="0.25">
      <c r="A624" s="9">
        <v>45139</v>
      </c>
      <c r="B624" s="1" t="s">
        <v>15</v>
      </c>
      <c r="C624" s="1">
        <v>5</v>
      </c>
      <c r="D624" s="1">
        <v>1</v>
      </c>
      <c r="E624" s="14">
        <v>44.73</v>
      </c>
      <c r="F624" s="1" t="s">
        <v>18</v>
      </c>
      <c r="G624" s="1">
        <v>2</v>
      </c>
      <c r="H624" s="1" t="s">
        <v>16</v>
      </c>
      <c r="I624" s="1" t="s">
        <v>16</v>
      </c>
      <c r="J624" s="1" t="s">
        <v>16</v>
      </c>
      <c r="K624" s="1" t="s">
        <v>21</v>
      </c>
      <c r="L624" s="1" t="s">
        <v>17</v>
      </c>
      <c r="M624" s="1" t="s">
        <v>17</v>
      </c>
      <c r="N624" s="1" t="s">
        <v>16</v>
      </c>
    </row>
    <row r="625" spans="1:14" x14ac:dyDescent="0.25">
      <c r="A625" s="9">
        <v>45139</v>
      </c>
      <c r="B625" s="1" t="s">
        <v>15</v>
      </c>
      <c r="C625" s="1">
        <v>6</v>
      </c>
      <c r="D625" s="1">
        <v>2</v>
      </c>
      <c r="E625" s="14">
        <v>63.74</v>
      </c>
      <c r="F625" s="1" t="s">
        <v>18</v>
      </c>
      <c r="G625" s="1">
        <v>2</v>
      </c>
      <c r="H625" s="1" t="s">
        <v>16</v>
      </c>
      <c r="I625" s="1" t="s">
        <v>16</v>
      </c>
      <c r="J625" s="1" t="s">
        <v>16</v>
      </c>
      <c r="K625" s="1" t="s">
        <v>21</v>
      </c>
      <c r="L625" s="1" t="s">
        <v>17</v>
      </c>
      <c r="M625" s="1" t="s">
        <v>17</v>
      </c>
      <c r="N625" s="1" t="s">
        <v>16</v>
      </c>
    </row>
    <row r="626" spans="1:14" x14ac:dyDescent="0.25">
      <c r="A626" s="9">
        <v>45139</v>
      </c>
      <c r="B626" s="1" t="s">
        <v>15</v>
      </c>
      <c r="C626" s="1">
        <v>7</v>
      </c>
      <c r="D626" s="1">
        <v>2</v>
      </c>
      <c r="E626" s="14">
        <v>45.34</v>
      </c>
      <c r="F626" s="1" t="s">
        <v>18</v>
      </c>
      <c r="G626" s="1">
        <v>2</v>
      </c>
      <c r="H626" s="1" t="s">
        <v>16</v>
      </c>
      <c r="I626" s="1" t="s">
        <v>16</v>
      </c>
      <c r="J626" s="1" t="s">
        <v>16</v>
      </c>
      <c r="K626" s="1" t="s">
        <v>17</v>
      </c>
      <c r="L626" s="1" t="s">
        <v>17</v>
      </c>
      <c r="M626" s="1" t="s">
        <v>17</v>
      </c>
      <c r="N626" s="1" t="s">
        <v>16</v>
      </c>
    </row>
    <row r="627" spans="1:14" x14ac:dyDescent="0.25">
      <c r="A627" s="9">
        <v>45139</v>
      </c>
      <c r="B627" s="1" t="s">
        <v>15</v>
      </c>
      <c r="C627" s="1">
        <v>8</v>
      </c>
      <c r="D627" s="1">
        <v>2</v>
      </c>
      <c r="E627" s="14">
        <v>49.85</v>
      </c>
      <c r="F627" s="1" t="s">
        <v>19</v>
      </c>
      <c r="G627" s="1">
        <v>2</v>
      </c>
      <c r="H627" s="1" t="s">
        <v>16</v>
      </c>
      <c r="I627" s="1" t="s">
        <v>16</v>
      </c>
      <c r="J627" s="1" t="s">
        <v>16</v>
      </c>
      <c r="K627" s="1" t="s">
        <v>17</v>
      </c>
      <c r="L627" s="1" t="s">
        <v>17</v>
      </c>
      <c r="M627" s="1" t="s">
        <v>17</v>
      </c>
      <c r="N627" s="1" t="s">
        <v>16</v>
      </c>
    </row>
    <row r="628" spans="1:14" x14ac:dyDescent="0.25">
      <c r="A628" s="9">
        <v>45139</v>
      </c>
      <c r="B628" s="1" t="s">
        <v>15</v>
      </c>
      <c r="C628" s="1">
        <v>9</v>
      </c>
      <c r="D628" s="1">
        <v>2</v>
      </c>
      <c r="E628" s="14">
        <v>52.8</v>
      </c>
      <c r="F628" s="1" t="s">
        <v>19</v>
      </c>
      <c r="G628" s="1">
        <v>2</v>
      </c>
      <c r="H628" s="1" t="s">
        <v>16</v>
      </c>
      <c r="I628" s="1" t="s">
        <v>16</v>
      </c>
      <c r="J628" s="1" t="s">
        <v>16</v>
      </c>
      <c r="K628" s="1" t="s">
        <v>17</v>
      </c>
      <c r="L628" s="1" t="s">
        <v>17</v>
      </c>
      <c r="M628" s="1" t="s">
        <v>17</v>
      </c>
      <c r="N628" s="1" t="s">
        <v>16</v>
      </c>
    </row>
    <row r="629" spans="1:14" x14ac:dyDescent="0.25">
      <c r="A629" s="9">
        <v>45139</v>
      </c>
      <c r="B629" s="1" t="s">
        <v>15</v>
      </c>
      <c r="C629" s="1">
        <v>10</v>
      </c>
      <c r="D629" s="1">
        <v>2</v>
      </c>
      <c r="E629" s="14">
        <v>46.52</v>
      </c>
      <c r="F629" s="1" t="s">
        <v>18</v>
      </c>
      <c r="G629" s="1">
        <v>2</v>
      </c>
      <c r="H629" s="1" t="s">
        <v>16</v>
      </c>
      <c r="I629" s="1" t="s">
        <v>16</v>
      </c>
      <c r="J629" s="1" t="s">
        <v>16</v>
      </c>
      <c r="K629" s="1" t="s">
        <v>17</v>
      </c>
      <c r="L629" s="1" t="s">
        <v>17</v>
      </c>
      <c r="M629" s="1" t="s">
        <v>17</v>
      </c>
      <c r="N629" s="1" t="s">
        <v>16</v>
      </c>
    </row>
    <row r="630" spans="1:14" x14ac:dyDescent="0.25">
      <c r="A630" s="9">
        <v>45139</v>
      </c>
      <c r="B630" s="1" t="s">
        <v>15</v>
      </c>
      <c r="C630" s="1">
        <v>11</v>
      </c>
      <c r="D630" s="1">
        <v>3</v>
      </c>
      <c r="E630" s="14">
        <v>50.21</v>
      </c>
      <c r="F630" s="1" t="s">
        <v>19</v>
      </c>
      <c r="G630" s="1">
        <v>3</v>
      </c>
      <c r="H630" s="1" t="s">
        <v>16</v>
      </c>
      <c r="I630" s="1" t="s">
        <v>16</v>
      </c>
      <c r="J630" s="1" t="s">
        <v>16</v>
      </c>
      <c r="K630" s="1" t="s">
        <v>17</v>
      </c>
      <c r="L630" s="1" t="s">
        <v>17</v>
      </c>
      <c r="M630" s="1" t="s">
        <v>17</v>
      </c>
      <c r="N630" s="1" t="s">
        <v>16</v>
      </c>
    </row>
    <row r="631" spans="1:14" x14ac:dyDescent="0.25">
      <c r="A631" s="9">
        <v>45139</v>
      </c>
      <c r="B631" s="1" t="s">
        <v>15</v>
      </c>
      <c r="C631" s="1">
        <v>12</v>
      </c>
      <c r="D631" s="1">
        <v>3</v>
      </c>
      <c r="E631" s="14">
        <v>43.73</v>
      </c>
      <c r="F631" s="1" t="s">
        <v>18</v>
      </c>
      <c r="G631" s="1">
        <v>2</v>
      </c>
      <c r="H631" s="1" t="s">
        <v>16</v>
      </c>
      <c r="I631" s="1" t="s">
        <v>16</v>
      </c>
      <c r="J631" s="1" t="s">
        <v>16</v>
      </c>
      <c r="K631" s="1" t="s">
        <v>17</v>
      </c>
      <c r="L631" s="1" t="s">
        <v>17</v>
      </c>
      <c r="M631" s="1" t="s">
        <v>17</v>
      </c>
      <c r="N631" s="1" t="s">
        <v>16</v>
      </c>
    </row>
    <row r="632" spans="1:14" x14ac:dyDescent="0.25">
      <c r="A632" s="9">
        <v>45139</v>
      </c>
      <c r="B632" s="1" t="s">
        <v>15</v>
      </c>
      <c r="C632" s="1">
        <v>13</v>
      </c>
      <c r="D632" s="1">
        <v>3</v>
      </c>
      <c r="E632" s="14">
        <v>38.42</v>
      </c>
      <c r="F632" s="1" t="s">
        <v>19</v>
      </c>
      <c r="G632" s="1">
        <v>2</v>
      </c>
      <c r="H632" s="1" t="s">
        <v>16</v>
      </c>
      <c r="I632" s="1" t="s">
        <v>16</v>
      </c>
      <c r="J632" s="1" t="s">
        <v>16</v>
      </c>
      <c r="K632" s="1" t="s">
        <v>17</v>
      </c>
      <c r="L632" s="1" t="s">
        <v>17</v>
      </c>
      <c r="M632" s="1" t="s">
        <v>17</v>
      </c>
      <c r="N632" s="1" t="s">
        <v>16</v>
      </c>
    </row>
    <row r="633" spans="1:14" x14ac:dyDescent="0.25">
      <c r="A633" s="9">
        <v>45139</v>
      </c>
      <c r="B633" s="1" t="s">
        <v>15</v>
      </c>
      <c r="C633" s="1">
        <v>14</v>
      </c>
      <c r="D633" s="1">
        <v>3</v>
      </c>
      <c r="E633" s="14">
        <v>35.31</v>
      </c>
      <c r="F633" s="1" t="s">
        <v>18</v>
      </c>
      <c r="G633" s="1" t="s">
        <v>16</v>
      </c>
      <c r="H633" s="1" t="s">
        <v>16</v>
      </c>
      <c r="I633" s="1" t="s">
        <v>16</v>
      </c>
      <c r="J633" s="1" t="s">
        <v>16</v>
      </c>
      <c r="K633" s="1" t="s">
        <v>17</v>
      </c>
      <c r="L633" s="1" t="s">
        <v>17</v>
      </c>
      <c r="M633" s="1" t="s">
        <v>21</v>
      </c>
      <c r="N633" s="1" t="s">
        <v>16</v>
      </c>
    </row>
    <row r="634" spans="1:14" x14ac:dyDescent="0.25">
      <c r="A634" s="9">
        <v>45139</v>
      </c>
      <c r="B634" s="1" t="s">
        <v>15</v>
      </c>
      <c r="C634" s="1">
        <v>15</v>
      </c>
      <c r="D634" s="1">
        <v>3</v>
      </c>
      <c r="E634" s="14">
        <v>40.119999999999997</v>
      </c>
      <c r="F634" s="1" t="s">
        <v>19</v>
      </c>
      <c r="G634" s="1">
        <v>2</v>
      </c>
      <c r="H634" s="1" t="s">
        <v>16</v>
      </c>
      <c r="I634" s="1" t="s">
        <v>16</v>
      </c>
      <c r="J634" s="1" t="s">
        <v>16</v>
      </c>
      <c r="K634" s="1" t="s">
        <v>17</v>
      </c>
      <c r="L634" s="1" t="s">
        <v>17</v>
      </c>
      <c r="M634" s="1" t="s">
        <v>17</v>
      </c>
      <c r="N634" s="1" t="s">
        <v>16</v>
      </c>
    </row>
    <row r="635" spans="1:14" x14ac:dyDescent="0.25">
      <c r="A635" s="9">
        <v>45175</v>
      </c>
      <c r="B635" s="1" t="s">
        <v>15</v>
      </c>
      <c r="C635" s="1">
        <v>1</v>
      </c>
      <c r="D635" s="1">
        <v>1</v>
      </c>
      <c r="E635" s="14">
        <v>53.91</v>
      </c>
      <c r="F635" s="4" t="s">
        <v>16</v>
      </c>
      <c r="G635" s="4" t="s">
        <v>16</v>
      </c>
      <c r="H635" s="1" t="s">
        <v>16</v>
      </c>
      <c r="I635" s="1" t="s">
        <v>16</v>
      </c>
      <c r="J635" s="1" t="s">
        <v>16</v>
      </c>
      <c r="K635" s="1" t="s">
        <v>17</v>
      </c>
      <c r="L635" s="4" t="s">
        <v>21</v>
      </c>
      <c r="M635" s="1" t="s">
        <v>17</v>
      </c>
      <c r="N635" s="1" t="s">
        <v>16</v>
      </c>
    </row>
    <row r="636" spans="1:14" x14ac:dyDescent="0.25">
      <c r="A636" s="9">
        <v>45175</v>
      </c>
      <c r="B636" s="1" t="s">
        <v>15</v>
      </c>
      <c r="C636" s="1">
        <v>2</v>
      </c>
      <c r="D636" s="1">
        <v>1</v>
      </c>
      <c r="E636" s="14">
        <v>55.25</v>
      </c>
      <c r="F636" s="4" t="s">
        <v>18</v>
      </c>
      <c r="G636" s="1">
        <v>2</v>
      </c>
      <c r="H636" s="1" t="s">
        <v>16</v>
      </c>
      <c r="I636" s="1" t="s">
        <v>16</v>
      </c>
      <c r="J636" s="1" t="s">
        <v>16</v>
      </c>
      <c r="K636" s="4" t="s">
        <v>21</v>
      </c>
      <c r="L636" s="1" t="s">
        <v>17</v>
      </c>
      <c r="M636" s="1" t="s">
        <v>17</v>
      </c>
      <c r="N636" s="1" t="s">
        <v>16</v>
      </c>
    </row>
    <row r="637" spans="1:14" x14ac:dyDescent="0.25">
      <c r="A637" s="9">
        <v>45175</v>
      </c>
      <c r="B637" s="1" t="s">
        <v>15</v>
      </c>
      <c r="C637" s="1">
        <v>3</v>
      </c>
      <c r="D637" s="1">
        <v>1</v>
      </c>
      <c r="E637" s="14">
        <v>49.43</v>
      </c>
      <c r="F637" s="4" t="s">
        <v>18</v>
      </c>
      <c r="G637" s="1">
        <v>2</v>
      </c>
      <c r="H637" s="1" t="s">
        <v>16</v>
      </c>
      <c r="I637" s="1" t="s">
        <v>16</v>
      </c>
      <c r="J637" s="1" t="s">
        <v>16</v>
      </c>
      <c r="K637" s="1" t="s">
        <v>17</v>
      </c>
      <c r="L637" s="1" t="s">
        <v>17</v>
      </c>
      <c r="M637" s="1" t="s">
        <v>17</v>
      </c>
      <c r="N637" s="1" t="s">
        <v>16</v>
      </c>
    </row>
    <row r="638" spans="1:14" x14ac:dyDescent="0.25">
      <c r="A638" s="9">
        <v>45175</v>
      </c>
      <c r="B638" s="1" t="s">
        <v>15</v>
      </c>
      <c r="C638" s="1">
        <v>4</v>
      </c>
      <c r="D638" s="1">
        <v>1</v>
      </c>
      <c r="E638" s="14">
        <v>47.83</v>
      </c>
      <c r="F638" s="4" t="s">
        <v>19</v>
      </c>
      <c r="G638" s="1">
        <v>2</v>
      </c>
      <c r="H638" s="1" t="s">
        <v>16</v>
      </c>
      <c r="I638" s="1" t="s">
        <v>16</v>
      </c>
      <c r="J638" s="1" t="s">
        <v>16</v>
      </c>
      <c r="K638" s="1" t="s">
        <v>17</v>
      </c>
      <c r="L638" s="1" t="s">
        <v>17</v>
      </c>
      <c r="M638" s="1" t="s">
        <v>17</v>
      </c>
      <c r="N638" s="1" t="s">
        <v>16</v>
      </c>
    </row>
    <row r="639" spans="1:14" x14ac:dyDescent="0.25">
      <c r="A639" s="9">
        <v>45175</v>
      </c>
      <c r="B639" s="1" t="s">
        <v>15</v>
      </c>
      <c r="C639" s="1">
        <v>5</v>
      </c>
      <c r="D639" s="1">
        <v>1</v>
      </c>
      <c r="E639" s="14">
        <v>51.43</v>
      </c>
      <c r="F639" s="4" t="s">
        <v>18</v>
      </c>
      <c r="G639" s="1">
        <v>2</v>
      </c>
      <c r="H639" s="1" t="s">
        <v>16</v>
      </c>
      <c r="I639" s="1" t="s">
        <v>16</v>
      </c>
      <c r="J639" s="1" t="s">
        <v>16</v>
      </c>
      <c r="K639" s="1" t="s">
        <v>17</v>
      </c>
      <c r="L639" s="1" t="s">
        <v>17</v>
      </c>
      <c r="M639" s="1" t="s">
        <v>17</v>
      </c>
      <c r="N639" s="1" t="s">
        <v>16</v>
      </c>
    </row>
    <row r="640" spans="1:14" x14ac:dyDescent="0.25">
      <c r="A640" s="9">
        <v>45175</v>
      </c>
      <c r="B640" s="1" t="s">
        <v>15</v>
      </c>
      <c r="C640" s="1">
        <v>6</v>
      </c>
      <c r="D640" s="1">
        <v>2</v>
      </c>
      <c r="E640" s="14">
        <v>58.83</v>
      </c>
      <c r="F640" s="4" t="s">
        <v>18</v>
      </c>
      <c r="G640" s="1">
        <v>2</v>
      </c>
      <c r="H640" s="1" t="s">
        <v>16</v>
      </c>
      <c r="I640" s="1" t="s">
        <v>16</v>
      </c>
      <c r="J640" s="1" t="s">
        <v>16</v>
      </c>
      <c r="K640" s="1" t="s">
        <v>17</v>
      </c>
      <c r="L640" s="1" t="s">
        <v>17</v>
      </c>
      <c r="M640" s="1" t="s">
        <v>17</v>
      </c>
      <c r="N640" s="1" t="s">
        <v>16</v>
      </c>
    </row>
    <row r="641" spans="1:14" x14ac:dyDescent="0.25">
      <c r="A641" s="9">
        <v>45175</v>
      </c>
      <c r="B641" s="1" t="s">
        <v>15</v>
      </c>
      <c r="C641" s="1">
        <v>7</v>
      </c>
      <c r="D641" s="1">
        <v>2</v>
      </c>
      <c r="E641" s="14">
        <v>43.69</v>
      </c>
      <c r="F641" s="4" t="s">
        <v>18</v>
      </c>
      <c r="G641" s="1">
        <v>2</v>
      </c>
      <c r="H641" s="1" t="s">
        <v>16</v>
      </c>
      <c r="I641" s="1" t="s">
        <v>16</v>
      </c>
      <c r="J641" s="1" t="s">
        <v>16</v>
      </c>
      <c r="K641" s="1" t="s">
        <v>17</v>
      </c>
      <c r="L641" s="1" t="s">
        <v>17</v>
      </c>
      <c r="M641" s="1" t="s">
        <v>17</v>
      </c>
      <c r="N641" s="1" t="s">
        <v>16</v>
      </c>
    </row>
    <row r="642" spans="1:14" x14ac:dyDescent="0.25">
      <c r="A642" s="9">
        <v>45175</v>
      </c>
      <c r="B642" s="1" t="s">
        <v>15</v>
      </c>
      <c r="C642" s="1">
        <v>8</v>
      </c>
      <c r="D642" s="1">
        <v>2</v>
      </c>
      <c r="E642" s="14">
        <v>55.61</v>
      </c>
      <c r="F642" s="4" t="s">
        <v>18</v>
      </c>
      <c r="G642" s="1">
        <v>2</v>
      </c>
      <c r="H642" s="1" t="s">
        <v>16</v>
      </c>
      <c r="I642" s="1" t="s">
        <v>16</v>
      </c>
      <c r="J642" s="1" t="s">
        <v>16</v>
      </c>
      <c r="K642" s="1" t="s">
        <v>17</v>
      </c>
      <c r="L642" s="1" t="s">
        <v>17</v>
      </c>
      <c r="M642" s="1" t="s">
        <v>17</v>
      </c>
      <c r="N642" s="1" t="s">
        <v>16</v>
      </c>
    </row>
    <row r="643" spans="1:14" x14ac:dyDescent="0.25">
      <c r="A643" s="9">
        <v>45175</v>
      </c>
      <c r="B643" s="1" t="s">
        <v>15</v>
      </c>
      <c r="C643" s="1">
        <v>9</v>
      </c>
      <c r="D643" s="1">
        <v>2</v>
      </c>
      <c r="E643" s="14">
        <v>46.33</v>
      </c>
      <c r="F643" s="4" t="s">
        <v>18</v>
      </c>
      <c r="G643" s="1">
        <v>2</v>
      </c>
      <c r="H643" s="1" t="s">
        <v>16</v>
      </c>
      <c r="I643" s="1" t="s">
        <v>16</v>
      </c>
      <c r="J643" s="1" t="s">
        <v>16</v>
      </c>
      <c r="K643" s="1" t="s">
        <v>17</v>
      </c>
      <c r="L643" s="1" t="s">
        <v>17</v>
      </c>
      <c r="M643" s="1" t="s">
        <v>17</v>
      </c>
      <c r="N643" s="1" t="s">
        <v>16</v>
      </c>
    </row>
    <row r="644" spans="1:14" x14ac:dyDescent="0.25">
      <c r="A644" s="9">
        <v>45175</v>
      </c>
      <c r="B644" s="1" t="s">
        <v>15</v>
      </c>
      <c r="C644" s="1">
        <v>10</v>
      </c>
      <c r="D644" s="1">
        <v>2</v>
      </c>
      <c r="E644" s="14">
        <v>62.64</v>
      </c>
      <c r="F644" s="4" t="s">
        <v>18</v>
      </c>
      <c r="G644" s="1">
        <v>2</v>
      </c>
      <c r="H644" s="1" t="s">
        <v>16</v>
      </c>
      <c r="I644" s="1" t="s">
        <v>16</v>
      </c>
      <c r="J644" s="1" t="s">
        <v>16</v>
      </c>
      <c r="K644" s="1" t="s">
        <v>17</v>
      </c>
      <c r="L644" s="1" t="s">
        <v>17</v>
      </c>
      <c r="M644" s="1" t="s">
        <v>17</v>
      </c>
      <c r="N644" s="1" t="s">
        <v>16</v>
      </c>
    </row>
    <row r="645" spans="1:14" x14ac:dyDescent="0.25">
      <c r="A645" s="9">
        <v>45175</v>
      </c>
      <c r="B645" s="1" t="s">
        <v>15</v>
      </c>
      <c r="C645" s="1">
        <v>11</v>
      </c>
      <c r="D645" s="1">
        <v>3</v>
      </c>
      <c r="E645" s="14">
        <v>44.81</v>
      </c>
      <c r="F645" s="4" t="s">
        <v>18</v>
      </c>
      <c r="G645" s="1">
        <v>2</v>
      </c>
      <c r="H645" s="1" t="s">
        <v>16</v>
      </c>
      <c r="I645" s="1" t="s">
        <v>16</v>
      </c>
      <c r="J645" s="1" t="s">
        <v>16</v>
      </c>
      <c r="K645" s="1" t="s">
        <v>17</v>
      </c>
      <c r="L645" s="1" t="s">
        <v>17</v>
      </c>
      <c r="M645" s="1" t="s">
        <v>17</v>
      </c>
      <c r="N645" s="1" t="s">
        <v>16</v>
      </c>
    </row>
    <row r="646" spans="1:14" x14ac:dyDescent="0.25">
      <c r="A646" s="9">
        <v>45175</v>
      </c>
      <c r="B646" s="1" t="s">
        <v>15</v>
      </c>
      <c r="C646" s="1">
        <v>12</v>
      </c>
      <c r="D646" s="1">
        <v>3</v>
      </c>
      <c r="E646" s="14">
        <v>43.08</v>
      </c>
      <c r="F646" s="4" t="s">
        <v>18</v>
      </c>
      <c r="G646" s="1">
        <v>2</v>
      </c>
      <c r="H646" s="1" t="s">
        <v>16</v>
      </c>
      <c r="I646" s="1" t="s">
        <v>16</v>
      </c>
      <c r="J646" s="1" t="s">
        <v>16</v>
      </c>
      <c r="K646" s="1" t="s">
        <v>17</v>
      </c>
      <c r="L646" s="1" t="s">
        <v>17</v>
      </c>
      <c r="M646" s="1" t="s">
        <v>17</v>
      </c>
      <c r="N646" s="1" t="s">
        <v>16</v>
      </c>
    </row>
    <row r="647" spans="1:14" x14ac:dyDescent="0.25">
      <c r="A647" s="9">
        <v>45175</v>
      </c>
      <c r="B647" s="1" t="s">
        <v>15</v>
      </c>
      <c r="C647" s="1">
        <v>13</v>
      </c>
      <c r="D647" s="1">
        <v>3</v>
      </c>
      <c r="E647" s="14">
        <v>40.479999999999997</v>
      </c>
      <c r="F647" s="4" t="s">
        <v>18</v>
      </c>
      <c r="G647" s="1">
        <v>2</v>
      </c>
      <c r="H647" s="1" t="s">
        <v>16</v>
      </c>
      <c r="I647" s="1" t="s">
        <v>16</v>
      </c>
      <c r="J647" s="1" t="s">
        <v>16</v>
      </c>
      <c r="K647" s="1" t="s">
        <v>17</v>
      </c>
      <c r="L647" s="1" t="s">
        <v>17</v>
      </c>
      <c r="M647" s="1" t="s">
        <v>17</v>
      </c>
      <c r="N647" s="1" t="s">
        <v>16</v>
      </c>
    </row>
    <row r="648" spans="1:14" x14ac:dyDescent="0.25">
      <c r="A648" s="9">
        <v>45175</v>
      </c>
      <c r="B648" s="1" t="s">
        <v>15</v>
      </c>
      <c r="C648" s="1">
        <v>14</v>
      </c>
      <c r="D648" s="1">
        <v>3</v>
      </c>
      <c r="E648" s="14">
        <v>45.1</v>
      </c>
      <c r="F648" s="4" t="s">
        <v>18</v>
      </c>
      <c r="G648" s="1">
        <v>2</v>
      </c>
      <c r="H648" s="1" t="s">
        <v>16</v>
      </c>
      <c r="I648" s="1" t="s">
        <v>16</v>
      </c>
      <c r="J648" s="1" t="s">
        <v>16</v>
      </c>
      <c r="K648" s="1" t="s">
        <v>17</v>
      </c>
      <c r="L648" s="1" t="s">
        <v>17</v>
      </c>
      <c r="M648" s="1" t="s">
        <v>17</v>
      </c>
      <c r="N648" s="1" t="s">
        <v>16</v>
      </c>
    </row>
    <row r="649" spans="1:14" x14ac:dyDescent="0.25">
      <c r="A649" s="9">
        <v>45175</v>
      </c>
      <c r="B649" s="1" t="s">
        <v>15</v>
      </c>
      <c r="C649" s="1">
        <v>15</v>
      </c>
      <c r="D649" s="1">
        <v>3</v>
      </c>
      <c r="E649" s="14">
        <v>43.72</v>
      </c>
      <c r="F649" s="4" t="s">
        <v>18</v>
      </c>
      <c r="G649" s="1">
        <v>2</v>
      </c>
      <c r="H649" s="1" t="s">
        <v>16</v>
      </c>
      <c r="I649" s="1" t="s">
        <v>16</v>
      </c>
      <c r="J649" s="1" t="s">
        <v>16</v>
      </c>
      <c r="K649" s="1" t="s">
        <v>17</v>
      </c>
      <c r="L649" s="1" t="s">
        <v>17</v>
      </c>
      <c r="M649" s="1" t="s">
        <v>17</v>
      </c>
      <c r="N649" s="1" t="s">
        <v>16</v>
      </c>
    </row>
    <row r="650" spans="1:14" x14ac:dyDescent="0.25">
      <c r="A650" s="9">
        <v>45202</v>
      </c>
      <c r="B650" s="1" t="s">
        <v>15</v>
      </c>
      <c r="C650" s="1">
        <v>1</v>
      </c>
      <c r="D650" s="1">
        <v>1</v>
      </c>
      <c r="E650" s="14">
        <v>57.56</v>
      </c>
      <c r="F650" s="1" t="s">
        <v>18</v>
      </c>
      <c r="G650" s="1">
        <v>2</v>
      </c>
      <c r="H650" s="1" t="s">
        <v>16</v>
      </c>
      <c r="I650" s="1" t="s">
        <v>16</v>
      </c>
      <c r="J650" s="1" t="s">
        <v>16</v>
      </c>
      <c r="K650" s="1" t="s">
        <v>17</v>
      </c>
      <c r="L650" s="1" t="s">
        <v>17</v>
      </c>
      <c r="M650" s="1" t="s">
        <v>17</v>
      </c>
      <c r="N650" s="1" t="s">
        <v>16</v>
      </c>
    </row>
    <row r="651" spans="1:14" x14ac:dyDescent="0.25">
      <c r="A651" s="9">
        <v>45202</v>
      </c>
      <c r="B651" s="1" t="s">
        <v>15</v>
      </c>
      <c r="C651" s="1">
        <v>2</v>
      </c>
      <c r="D651" s="1">
        <v>1</v>
      </c>
      <c r="E651" s="14">
        <v>39.46</v>
      </c>
      <c r="F651" s="1" t="s">
        <v>18</v>
      </c>
      <c r="G651" s="1">
        <v>2</v>
      </c>
      <c r="H651" s="1" t="s">
        <v>16</v>
      </c>
      <c r="I651" s="1" t="s">
        <v>16</v>
      </c>
      <c r="J651" s="1" t="s">
        <v>16</v>
      </c>
      <c r="K651" s="1" t="s">
        <v>17</v>
      </c>
      <c r="L651" s="1" t="s">
        <v>17</v>
      </c>
      <c r="M651" s="1" t="s">
        <v>17</v>
      </c>
      <c r="N651" s="1" t="s">
        <v>16</v>
      </c>
    </row>
    <row r="652" spans="1:14" x14ac:dyDescent="0.25">
      <c r="A652" s="9">
        <v>45202</v>
      </c>
      <c r="B652" s="1" t="s">
        <v>15</v>
      </c>
      <c r="C652" s="1">
        <v>3</v>
      </c>
      <c r="D652" s="1">
        <v>1</v>
      </c>
      <c r="E652" s="14">
        <v>35.1</v>
      </c>
      <c r="F652" s="1" t="s">
        <v>18</v>
      </c>
      <c r="G652" s="1">
        <v>2</v>
      </c>
      <c r="H652" s="1" t="s">
        <v>16</v>
      </c>
      <c r="I652" s="1" t="s">
        <v>16</v>
      </c>
      <c r="J652" s="1" t="s">
        <v>16</v>
      </c>
      <c r="K652" s="1" t="s">
        <v>17</v>
      </c>
      <c r="L652" s="1" t="s">
        <v>17</v>
      </c>
      <c r="M652" s="1" t="s">
        <v>17</v>
      </c>
      <c r="N652" s="1" t="s">
        <v>16</v>
      </c>
    </row>
    <row r="653" spans="1:14" x14ac:dyDescent="0.25">
      <c r="A653" s="9">
        <v>45202</v>
      </c>
      <c r="B653" s="1" t="s">
        <v>15</v>
      </c>
      <c r="C653" s="1">
        <v>4</v>
      </c>
      <c r="D653" s="1">
        <v>1</v>
      </c>
      <c r="E653" s="14">
        <v>57.74</v>
      </c>
      <c r="F653" s="1" t="s">
        <v>18</v>
      </c>
      <c r="G653" s="1">
        <v>2</v>
      </c>
      <c r="H653" s="1" t="s">
        <v>16</v>
      </c>
      <c r="I653" s="1" t="s">
        <v>16</v>
      </c>
      <c r="J653" s="1" t="s">
        <v>16</v>
      </c>
      <c r="K653" s="1" t="s">
        <v>17</v>
      </c>
      <c r="L653" s="1" t="s">
        <v>17</v>
      </c>
      <c r="M653" s="1" t="s">
        <v>17</v>
      </c>
      <c r="N653" s="1" t="s">
        <v>16</v>
      </c>
    </row>
    <row r="654" spans="1:14" x14ac:dyDescent="0.25">
      <c r="A654" s="9">
        <v>45202</v>
      </c>
      <c r="B654" s="1" t="s">
        <v>15</v>
      </c>
      <c r="C654" s="1">
        <v>5</v>
      </c>
      <c r="D654" s="1">
        <v>1</v>
      </c>
      <c r="E654" s="14">
        <v>32.85</v>
      </c>
      <c r="F654" s="1" t="s">
        <v>18</v>
      </c>
      <c r="G654" s="1">
        <v>2</v>
      </c>
      <c r="H654" s="1" t="s">
        <v>16</v>
      </c>
      <c r="I654" s="1" t="s">
        <v>16</v>
      </c>
      <c r="J654" s="1" t="s">
        <v>16</v>
      </c>
      <c r="K654" s="1" t="s">
        <v>17</v>
      </c>
      <c r="L654" s="1" t="s">
        <v>17</v>
      </c>
      <c r="M654" s="1" t="s">
        <v>17</v>
      </c>
      <c r="N654" s="1" t="s">
        <v>16</v>
      </c>
    </row>
    <row r="655" spans="1:14" x14ac:dyDescent="0.25">
      <c r="A655" s="9">
        <v>45202</v>
      </c>
      <c r="B655" s="1" t="s">
        <v>15</v>
      </c>
      <c r="C655" s="1">
        <v>6</v>
      </c>
      <c r="D655" s="1">
        <v>2</v>
      </c>
      <c r="E655" s="14">
        <v>49.85</v>
      </c>
      <c r="F655" s="1" t="s">
        <v>19</v>
      </c>
      <c r="G655" s="1">
        <v>2</v>
      </c>
      <c r="H655" s="1" t="s">
        <v>16</v>
      </c>
      <c r="I655" s="1" t="s">
        <v>16</v>
      </c>
      <c r="J655" s="1" t="s">
        <v>16</v>
      </c>
      <c r="K655" s="1" t="s">
        <v>17</v>
      </c>
      <c r="L655" s="1" t="s">
        <v>17</v>
      </c>
      <c r="M655" s="1" t="s">
        <v>17</v>
      </c>
      <c r="N655" s="1" t="s">
        <v>16</v>
      </c>
    </row>
    <row r="656" spans="1:14" x14ac:dyDescent="0.25">
      <c r="A656" s="9">
        <v>45202</v>
      </c>
      <c r="B656" s="1" t="s">
        <v>15</v>
      </c>
      <c r="C656" s="1">
        <v>7</v>
      </c>
      <c r="D656" s="1">
        <v>2</v>
      </c>
      <c r="E656" s="14">
        <v>63.39</v>
      </c>
      <c r="F656" s="1" t="s">
        <v>18</v>
      </c>
      <c r="G656" s="1">
        <v>2</v>
      </c>
      <c r="H656" s="1" t="s">
        <v>16</v>
      </c>
      <c r="I656" s="1" t="s">
        <v>16</v>
      </c>
      <c r="J656" s="1" t="s">
        <v>16</v>
      </c>
      <c r="K656" s="1" t="s">
        <v>21</v>
      </c>
      <c r="L656" s="1" t="s">
        <v>17</v>
      </c>
      <c r="M656" s="1" t="s">
        <v>17</v>
      </c>
      <c r="N656" s="1" t="s">
        <v>16</v>
      </c>
    </row>
    <row r="657" spans="1:14" x14ac:dyDescent="0.25">
      <c r="A657" s="9">
        <v>45202</v>
      </c>
      <c r="B657" s="1" t="s">
        <v>15</v>
      </c>
      <c r="C657" s="1">
        <v>8</v>
      </c>
      <c r="D657" s="1">
        <v>2</v>
      </c>
      <c r="E657" s="14">
        <v>51.83</v>
      </c>
      <c r="F657" s="1" t="s">
        <v>19</v>
      </c>
      <c r="G657" s="1">
        <v>2</v>
      </c>
      <c r="H657" s="1" t="s">
        <v>16</v>
      </c>
      <c r="I657" s="1" t="s">
        <v>16</v>
      </c>
      <c r="J657" s="1" t="s">
        <v>16</v>
      </c>
      <c r="K657" s="1" t="s">
        <v>17</v>
      </c>
      <c r="L657" s="1" t="s">
        <v>17</v>
      </c>
      <c r="M657" s="1" t="s">
        <v>17</v>
      </c>
      <c r="N657" s="1" t="s">
        <v>16</v>
      </c>
    </row>
    <row r="658" spans="1:14" x14ac:dyDescent="0.25">
      <c r="A658" s="9">
        <v>45202</v>
      </c>
      <c r="B658" s="1" t="s">
        <v>15</v>
      </c>
      <c r="C658" s="1">
        <v>9</v>
      </c>
      <c r="D658" s="1">
        <v>2</v>
      </c>
      <c r="E658" s="14">
        <v>40.25</v>
      </c>
      <c r="F658" s="1" t="s">
        <v>19</v>
      </c>
      <c r="G658" s="1">
        <v>2</v>
      </c>
      <c r="H658" s="1" t="s">
        <v>16</v>
      </c>
      <c r="I658" s="1" t="s">
        <v>16</v>
      </c>
      <c r="J658" s="1" t="s">
        <v>16</v>
      </c>
      <c r="K658" s="1" t="s">
        <v>17</v>
      </c>
      <c r="L658" s="1" t="s">
        <v>17</v>
      </c>
      <c r="M658" s="1" t="s">
        <v>17</v>
      </c>
      <c r="N658" s="1" t="s">
        <v>16</v>
      </c>
    </row>
    <row r="659" spans="1:14" x14ac:dyDescent="0.25">
      <c r="A659" s="9">
        <v>45202</v>
      </c>
      <c r="B659" s="1" t="s">
        <v>15</v>
      </c>
      <c r="C659" s="1">
        <v>10</v>
      </c>
      <c r="D659" s="1">
        <v>2</v>
      </c>
      <c r="E659" s="14">
        <v>62.21</v>
      </c>
      <c r="F659" s="1" t="s">
        <v>18</v>
      </c>
      <c r="G659" s="1">
        <v>2</v>
      </c>
      <c r="H659" s="1" t="s">
        <v>16</v>
      </c>
      <c r="I659" s="1" t="s">
        <v>16</v>
      </c>
      <c r="J659" s="1" t="s">
        <v>16</v>
      </c>
      <c r="K659" s="1" t="s">
        <v>17</v>
      </c>
      <c r="L659" s="1" t="s">
        <v>17</v>
      </c>
      <c r="M659" s="1" t="s">
        <v>17</v>
      </c>
      <c r="N659" s="1" t="s">
        <v>16</v>
      </c>
    </row>
    <row r="660" spans="1:14" x14ac:dyDescent="0.25">
      <c r="A660" s="9">
        <v>45202</v>
      </c>
      <c r="B660" s="1" t="s">
        <v>15</v>
      </c>
      <c r="C660" s="1">
        <v>11</v>
      </c>
      <c r="D660" s="1">
        <v>3</v>
      </c>
      <c r="E660" s="14">
        <v>46.26</v>
      </c>
      <c r="F660" s="1" t="s">
        <v>18</v>
      </c>
      <c r="G660" s="1">
        <v>2</v>
      </c>
      <c r="H660" s="1" t="s">
        <v>16</v>
      </c>
      <c r="I660" s="1" t="s">
        <v>16</v>
      </c>
      <c r="J660" s="1" t="s">
        <v>16</v>
      </c>
      <c r="K660" s="1" t="s">
        <v>17</v>
      </c>
      <c r="L660" s="1" t="s">
        <v>17</v>
      </c>
      <c r="M660" s="1" t="s">
        <v>17</v>
      </c>
      <c r="N660" s="1" t="s">
        <v>16</v>
      </c>
    </row>
    <row r="661" spans="1:14" x14ac:dyDescent="0.25">
      <c r="A661" s="9">
        <v>45202</v>
      </c>
      <c r="B661" s="1" t="s">
        <v>15</v>
      </c>
      <c r="C661" s="1">
        <v>12</v>
      </c>
      <c r="D661" s="1">
        <v>3</v>
      </c>
      <c r="E661" s="14">
        <v>41.07</v>
      </c>
      <c r="F661" s="1" t="s">
        <v>19</v>
      </c>
      <c r="G661" s="1">
        <v>3</v>
      </c>
      <c r="H661" s="1" t="s">
        <v>16</v>
      </c>
      <c r="I661" s="1" t="s">
        <v>16</v>
      </c>
      <c r="J661" s="1" t="s">
        <v>16</v>
      </c>
      <c r="K661" s="1" t="s">
        <v>17</v>
      </c>
      <c r="L661" s="1" t="s">
        <v>17</v>
      </c>
      <c r="M661" s="1" t="s">
        <v>17</v>
      </c>
      <c r="N661" s="1" t="s">
        <v>16</v>
      </c>
    </row>
    <row r="662" spans="1:14" x14ac:dyDescent="0.25">
      <c r="A662" s="9">
        <v>45202</v>
      </c>
      <c r="B662" s="1" t="s">
        <v>15</v>
      </c>
      <c r="C662" s="1">
        <v>13</v>
      </c>
      <c r="D662" s="1">
        <v>3</v>
      </c>
      <c r="E662" s="14">
        <v>51.69</v>
      </c>
      <c r="F662" s="1" t="s">
        <v>18</v>
      </c>
      <c r="G662" s="1">
        <v>2</v>
      </c>
      <c r="H662" s="1" t="s">
        <v>16</v>
      </c>
      <c r="I662" s="1" t="s">
        <v>16</v>
      </c>
      <c r="J662" s="1" t="s">
        <v>16</v>
      </c>
      <c r="K662" s="1" t="s">
        <v>17</v>
      </c>
      <c r="L662" s="1" t="s">
        <v>17</v>
      </c>
      <c r="M662" s="1" t="s">
        <v>17</v>
      </c>
      <c r="N662" s="1" t="s">
        <v>16</v>
      </c>
    </row>
    <row r="663" spans="1:14" x14ac:dyDescent="0.25">
      <c r="A663" s="9">
        <v>45202</v>
      </c>
      <c r="B663" s="1" t="s">
        <v>15</v>
      </c>
      <c r="C663" s="1">
        <v>14</v>
      </c>
      <c r="D663" s="1">
        <v>3</v>
      </c>
      <c r="E663" s="14">
        <v>54.65</v>
      </c>
      <c r="F663" s="1" t="s">
        <v>18</v>
      </c>
      <c r="G663" s="1">
        <v>2</v>
      </c>
      <c r="H663" s="1" t="s">
        <v>16</v>
      </c>
      <c r="I663" s="1" t="s">
        <v>16</v>
      </c>
      <c r="J663" s="1" t="s">
        <v>16</v>
      </c>
      <c r="K663" s="1" t="s">
        <v>17</v>
      </c>
      <c r="L663" s="1" t="s">
        <v>17</v>
      </c>
      <c r="M663" s="1" t="s">
        <v>17</v>
      </c>
      <c r="N663" s="1" t="s">
        <v>16</v>
      </c>
    </row>
    <row r="664" spans="1:14" x14ac:dyDescent="0.25">
      <c r="A664" s="9">
        <v>45202</v>
      </c>
      <c r="B664" s="1" t="s">
        <v>15</v>
      </c>
      <c r="C664" s="1">
        <v>15</v>
      </c>
      <c r="D664" s="1">
        <v>3</v>
      </c>
      <c r="E664" s="14">
        <v>54.6</v>
      </c>
      <c r="F664" s="1" t="s">
        <v>18</v>
      </c>
      <c r="G664" s="1">
        <v>2</v>
      </c>
      <c r="H664" s="1" t="s">
        <v>16</v>
      </c>
      <c r="I664" s="1" t="s">
        <v>16</v>
      </c>
      <c r="J664" s="1" t="s">
        <v>16</v>
      </c>
      <c r="K664" s="1" t="s">
        <v>17</v>
      </c>
      <c r="L664" s="1" t="s">
        <v>17</v>
      </c>
      <c r="M664" s="1" t="s">
        <v>17</v>
      </c>
      <c r="N664" s="1" t="s">
        <v>16</v>
      </c>
    </row>
    <row r="665" spans="1:14" x14ac:dyDescent="0.25">
      <c r="A665" s="9">
        <v>45237</v>
      </c>
      <c r="B665" s="1" t="s">
        <v>15</v>
      </c>
      <c r="C665" s="1">
        <v>1</v>
      </c>
      <c r="D665" s="1">
        <v>1</v>
      </c>
      <c r="E665" s="14">
        <v>43.48</v>
      </c>
      <c r="F665" s="1" t="s">
        <v>19</v>
      </c>
      <c r="G665" s="1">
        <v>2</v>
      </c>
      <c r="H665" s="1" t="s">
        <v>16</v>
      </c>
      <c r="I665" s="1" t="s">
        <v>16</v>
      </c>
      <c r="J665" s="1" t="s">
        <v>16</v>
      </c>
      <c r="K665" s="1" t="s">
        <v>17</v>
      </c>
      <c r="L665" s="1" t="s">
        <v>17</v>
      </c>
      <c r="M665" s="1" t="s">
        <v>17</v>
      </c>
      <c r="N665" s="1" t="s">
        <v>16</v>
      </c>
    </row>
    <row r="666" spans="1:14" x14ac:dyDescent="0.25">
      <c r="A666" s="9">
        <v>45237</v>
      </c>
      <c r="B666" s="1" t="s">
        <v>15</v>
      </c>
      <c r="C666" s="1">
        <v>2</v>
      </c>
      <c r="D666" s="1">
        <v>1</v>
      </c>
      <c r="E666" s="14">
        <v>43.37</v>
      </c>
      <c r="F666" s="1" t="s">
        <v>18</v>
      </c>
      <c r="G666" s="1">
        <v>2</v>
      </c>
      <c r="H666" s="1" t="s">
        <v>16</v>
      </c>
      <c r="I666" s="1" t="s">
        <v>16</v>
      </c>
      <c r="J666" s="1" t="s">
        <v>16</v>
      </c>
      <c r="K666" s="1" t="s">
        <v>17</v>
      </c>
      <c r="L666" s="1" t="s">
        <v>17</v>
      </c>
      <c r="M666" s="1" t="s">
        <v>17</v>
      </c>
      <c r="N666" s="1" t="s">
        <v>16</v>
      </c>
    </row>
    <row r="667" spans="1:14" x14ac:dyDescent="0.25">
      <c r="A667" s="9">
        <v>45237</v>
      </c>
      <c r="B667" s="1" t="s">
        <v>15</v>
      </c>
      <c r="C667" s="1">
        <v>3</v>
      </c>
      <c r="D667" s="1">
        <v>1</v>
      </c>
      <c r="E667" s="14">
        <v>46.61</v>
      </c>
      <c r="F667" s="1" t="s">
        <v>16</v>
      </c>
      <c r="G667" s="1">
        <v>4</v>
      </c>
      <c r="H667" s="1" t="s">
        <v>16</v>
      </c>
      <c r="I667" s="1" t="s">
        <v>16</v>
      </c>
      <c r="J667" s="1" t="s">
        <v>16</v>
      </c>
      <c r="K667" s="1" t="s">
        <v>21</v>
      </c>
      <c r="L667" s="1" t="s">
        <v>17</v>
      </c>
      <c r="M667" s="1" t="s">
        <v>17</v>
      </c>
      <c r="N667" s="1" t="s">
        <v>16</v>
      </c>
    </row>
    <row r="668" spans="1:14" x14ac:dyDescent="0.25">
      <c r="A668" s="9">
        <v>45237</v>
      </c>
      <c r="B668" s="1" t="s">
        <v>15</v>
      </c>
      <c r="C668" s="1">
        <v>4</v>
      </c>
      <c r="D668" s="1">
        <v>1</v>
      </c>
      <c r="E668" s="14">
        <v>41.05</v>
      </c>
      <c r="F668" s="1" t="s">
        <v>18</v>
      </c>
      <c r="G668" s="1">
        <v>2</v>
      </c>
      <c r="H668" s="1" t="s">
        <v>16</v>
      </c>
      <c r="I668" s="1" t="s">
        <v>16</v>
      </c>
      <c r="J668" s="1" t="s">
        <v>16</v>
      </c>
      <c r="K668" s="1" t="s">
        <v>17</v>
      </c>
      <c r="L668" s="1" t="s">
        <v>17</v>
      </c>
      <c r="M668" s="1" t="s">
        <v>17</v>
      </c>
      <c r="N668" s="1" t="s">
        <v>16</v>
      </c>
    </row>
    <row r="669" spans="1:14" x14ac:dyDescent="0.25">
      <c r="A669" s="9">
        <v>45237</v>
      </c>
      <c r="B669" s="1" t="s">
        <v>15</v>
      </c>
      <c r="C669" s="1">
        <v>5</v>
      </c>
      <c r="D669" s="1">
        <v>1</v>
      </c>
      <c r="E669" s="14">
        <v>36.9</v>
      </c>
      <c r="F669" s="1" t="s">
        <v>19</v>
      </c>
      <c r="G669" s="1">
        <v>2</v>
      </c>
      <c r="H669" s="1" t="s">
        <v>16</v>
      </c>
      <c r="I669" s="1" t="s">
        <v>16</v>
      </c>
      <c r="J669" s="1" t="s">
        <v>16</v>
      </c>
      <c r="K669" s="1" t="s">
        <v>17</v>
      </c>
      <c r="L669" s="1" t="s">
        <v>17</v>
      </c>
      <c r="M669" s="1" t="s">
        <v>17</v>
      </c>
      <c r="N669" s="1" t="s">
        <v>16</v>
      </c>
    </row>
    <row r="670" spans="1:14" x14ac:dyDescent="0.25">
      <c r="A670" s="9">
        <v>45237</v>
      </c>
      <c r="B670" s="1" t="s">
        <v>15</v>
      </c>
      <c r="C670" s="1">
        <v>6</v>
      </c>
      <c r="D670" s="1">
        <v>2</v>
      </c>
      <c r="E670" s="14">
        <v>57.75</v>
      </c>
      <c r="F670" s="1" t="s">
        <v>18</v>
      </c>
      <c r="G670" s="1">
        <v>2</v>
      </c>
      <c r="H670" s="1" t="s">
        <v>16</v>
      </c>
      <c r="I670" s="1" t="s">
        <v>16</v>
      </c>
      <c r="J670" s="1" t="s">
        <v>16</v>
      </c>
      <c r="K670" s="1" t="s">
        <v>21</v>
      </c>
      <c r="L670" s="1" t="s">
        <v>17</v>
      </c>
      <c r="M670" s="1" t="s">
        <v>17</v>
      </c>
      <c r="N670" s="1" t="s">
        <v>16</v>
      </c>
    </row>
    <row r="671" spans="1:14" x14ac:dyDescent="0.25">
      <c r="A671" s="9">
        <v>45237</v>
      </c>
      <c r="B671" s="1" t="s">
        <v>15</v>
      </c>
      <c r="C671" s="1">
        <v>7</v>
      </c>
      <c r="D671" s="1">
        <v>2</v>
      </c>
      <c r="E671" s="14">
        <v>47.51</v>
      </c>
      <c r="F671" s="1" t="s">
        <v>18</v>
      </c>
      <c r="G671" s="1">
        <v>2</v>
      </c>
      <c r="H671" s="1" t="s">
        <v>16</v>
      </c>
      <c r="I671" s="1" t="s">
        <v>16</v>
      </c>
      <c r="J671" s="1" t="s">
        <v>16</v>
      </c>
      <c r="K671" s="1" t="s">
        <v>17</v>
      </c>
      <c r="L671" s="1" t="s">
        <v>17</v>
      </c>
      <c r="M671" s="1" t="s">
        <v>17</v>
      </c>
      <c r="N671" s="1" t="s">
        <v>16</v>
      </c>
    </row>
    <row r="672" spans="1:14" x14ac:dyDescent="0.25">
      <c r="A672" s="9">
        <v>45237</v>
      </c>
      <c r="B672" s="1" t="s">
        <v>15</v>
      </c>
      <c r="C672" s="1">
        <v>8</v>
      </c>
      <c r="D672" s="1">
        <v>2</v>
      </c>
      <c r="E672" s="14">
        <v>65.02</v>
      </c>
      <c r="F672" s="1" t="s">
        <v>18</v>
      </c>
      <c r="G672" s="1">
        <v>2</v>
      </c>
      <c r="H672" s="1" t="s">
        <v>16</v>
      </c>
      <c r="I672" s="1" t="s">
        <v>16</v>
      </c>
      <c r="J672" s="1" t="s">
        <v>16</v>
      </c>
      <c r="K672" s="1" t="s">
        <v>17</v>
      </c>
      <c r="L672" s="1" t="s">
        <v>17</v>
      </c>
      <c r="M672" s="1" t="s">
        <v>17</v>
      </c>
      <c r="N672" s="1" t="s">
        <v>16</v>
      </c>
    </row>
    <row r="673" spans="1:14" x14ac:dyDescent="0.25">
      <c r="A673" s="9">
        <v>45237</v>
      </c>
      <c r="B673" s="1" t="s">
        <v>15</v>
      </c>
      <c r="C673" s="1">
        <v>9</v>
      </c>
      <c r="D673" s="1">
        <v>2</v>
      </c>
      <c r="E673" s="14">
        <v>59.03</v>
      </c>
      <c r="F673" s="1" t="s">
        <v>18</v>
      </c>
      <c r="G673" s="1">
        <v>2</v>
      </c>
      <c r="H673" s="1" t="s">
        <v>16</v>
      </c>
      <c r="I673" s="1" t="s">
        <v>16</v>
      </c>
      <c r="J673" s="1" t="s">
        <v>16</v>
      </c>
      <c r="K673" s="1" t="s">
        <v>17</v>
      </c>
      <c r="L673" s="1" t="s">
        <v>17</v>
      </c>
      <c r="M673" s="1" t="s">
        <v>17</v>
      </c>
      <c r="N673" s="1" t="s">
        <v>16</v>
      </c>
    </row>
    <row r="674" spans="1:14" x14ac:dyDescent="0.25">
      <c r="A674" s="9">
        <v>45237</v>
      </c>
      <c r="B674" s="1" t="s">
        <v>15</v>
      </c>
      <c r="C674" s="1">
        <v>10</v>
      </c>
      <c r="D674" s="1">
        <v>2</v>
      </c>
      <c r="E674" s="14">
        <v>59.43</v>
      </c>
      <c r="F674" s="1" t="s">
        <v>16</v>
      </c>
      <c r="G674" s="1">
        <v>4</v>
      </c>
      <c r="H674" s="1" t="s">
        <v>16</v>
      </c>
      <c r="I674" s="1" t="s">
        <v>16</v>
      </c>
      <c r="J674" s="1" t="s">
        <v>16</v>
      </c>
      <c r="K674" s="1" t="s">
        <v>17</v>
      </c>
      <c r="L674" s="1" t="s">
        <v>17</v>
      </c>
      <c r="M674" s="1" t="s">
        <v>17</v>
      </c>
      <c r="N674" s="1" t="s">
        <v>16</v>
      </c>
    </row>
    <row r="675" spans="1:14" x14ac:dyDescent="0.25">
      <c r="A675" s="9">
        <v>45237</v>
      </c>
      <c r="B675" s="1" t="s">
        <v>15</v>
      </c>
      <c r="C675" s="1">
        <v>11</v>
      </c>
      <c r="D675" s="1">
        <v>3</v>
      </c>
      <c r="E675" s="14">
        <v>41.16</v>
      </c>
      <c r="F675" s="1" t="s">
        <v>18</v>
      </c>
      <c r="G675" s="1">
        <v>3</v>
      </c>
      <c r="H675" s="1" t="s">
        <v>16</v>
      </c>
      <c r="I675" s="1" t="s">
        <v>16</v>
      </c>
      <c r="J675" s="1" t="s">
        <v>16</v>
      </c>
      <c r="K675" s="1" t="s">
        <v>17</v>
      </c>
      <c r="L675" s="1" t="s">
        <v>17</v>
      </c>
      <c r="M675" s="1" t="s">
        <v>17</v>
      </c>
      <c r="N675" s="1" t="s">
        <v>16</v>
      </c>
    </row>
    <row r="676" spans="1:14" x14ac:dyDescent="0.25">
      <c r="A676" s="9">
        <v>45237</v>
      </c>
      <c r="B676" s="1" t="s">
        <v>15</v>
      </c>
      <c r="C676" s="1">
        <v>12</v>
      </c>
      <c r="D676" s="1">
        <v>3</v>
      </c>
      <c r="E676" s="14">
        <v>49.95</v>
      </c>
      <c r="F676" s="1" t="s">
        <v>16</v>
      </c>
      <c r="G676" s="1">
        <v>4</v>
      </c>
      <c r="H676" s="1" t="s">
        <v>16</v>
      </c>
      <c r="I676" s="1" t="s">
        <v>16</v>
      </c>
      <c r="J676" s="1" t="s">
        <v>16</v>
      </c>
      <c r="K676" s="1" t="s">
        <v>17</v>
      </c>
      <c r="L676" s="1" t="s">
        <v>17</v>
      </c>
      <c r="M676" s="1" t="s">
        <v>17</v>
      </c>
      <c r="N676" s="1" t="s">
        <v>16</v>
      </c>
    </row>
    <row r="677" spans="1:14" x14ac:dyDescent="0.25">
      <c r="A677" s="9">
        <v>45237</v>
      </c>
      <c r="B677" s="1" t="s">
        <v>15</v>
      </c>
      <c r="C677" s="1">
        <v>13</v>
      </c>
      <c r="D677" s="1">
        <v>3</v>
      </c>
      <c r="E677" s="14">
        <v>53.35</v>
      </c>
      <c r="F677" s="1" t="s">
        <v>18</v>
      </c>
      <c r="G677" s="1">
        <v>2</v>
      </c>
      <c r="H677" s="1" t="s">
        <v>16</v>
      </c>
      <c r="I677" s="1" t="s">
        <v>16</v>
      </c>
      <c r="J677" s="1" t="s">
        <v>16</v>
      </c>
      <c r="K677" s="1" t="s">
        <v>17</v>
      </c>
      <c r="L677" s="1" t="s">
        <v>17</v>
      </c>
      <c r="M677" s="1" t="s">
        <v>17</v>
      </c>
      <c r="N677" s="1" t="s">
        <v>16</v>
      </c>
    </row>
    <row r="678" spans="1:14" x14ac:dyDescent="0.25">
      <c r="A678" s="9">
        <v>45237</v>
      </c>
      <c r="B678" s="1" t="s">
        <v>15</v>
      </c>
      <c r="C678" s="1">
        <v>14</v>
      </c>
      <c r="D678" s="1">
        <v>3</v>
      </c>
      <c r="E678" s="14">
        <v>55.61</v>
      </c>
      <c r="F678" s="1" t="s">
        <v>18</v>
      </c>
      <c r="G678" s="1">
        <v>2</v>
      </c>
      <c r="H678" s="1" t="s">
        <v>16</v>
      </c>
      <c r="I678" s="1" t="s">
        <v>16</v>
      </c>
      <c r="J678" s="1" t="s">
        <v>16</v>
      </c>
      <c r="K678" s="1" t="s">
        <v>17</v>
      </c>
      <c r="L678" s="1" t="s">
        <v>17</v>
      </c>
      <c r="M678" s="1" t="s">
        <v>17</v>
      </c>
      <c r="N678" s="1" t="s">
        <v>16</v>
      </c>
    </row>
    <row r="679" spans="1:14" x14ac:dyDescent="0.25">
      <c r="A679" s="9">
        <v>45237</v>
      </c>
      <c r="B679" s="1" t="s">
        <v>15</v>
      </c>
      <c r="C679" s="1">
        <v>15</v>
      </c>
      <c r="D679" s="1">
        <v>3</v>
      </c>
      <c r="E679" s="14">
        <v>33.299999999999997</v>
      </c>
      <c r="F679" s="1" t="s">
        <v>19</v>
      </c>
      <c r="G679" s="1">
        <v>2</v>
      </c>
      <c r="H679" s="1" t="s">
        <v>16</v>
      </c>
      <c r="I679" s="1" t="s">
        <v>16</v>
      </c>
      <c r="J679" s="1" t="s">
        <v>16</v>
      </c>
      <c r="K679" s="1" t="s">
        <v>17</v>
      </c>
      <c r="L679" s="1" t="s">
        <v>17</v>
      </c>
      <c r="M679" s="1" t="s">
        <v>21</v>
      </c>
      <c r="N679" s="1" t="s">
        <v>16</v>
      </c>
    </row>
    <row r="680" spans="1:14" x14ac:dyDescent="0.25">
      <c r="A680" s="9">
        <v>45265</v>
      </c>
      <c r="B680" s="1" t="s">
        <v>15</v>
      </c>
      <c r="C680" s="1">
        <v>1</v>
      </c>
      <c r="D680" s="1">
        <v>1</v>
      </c>
      <c r="E680" s="14">
        <v>40.590000000000003</v>
      </c>
      <c r="F680" s="1" t="s">
        <v>18</v>
      </c>
      <c r="G680" s="1">
        <v>2</v>
      </c>
      <c r="H680" s="1" t="s">
        <v>16</v>
      </c>
      <c r="I680" s="1" t="s">
        <v>16</v>
      </c>
      <c r="J680" s="1" t="s">
        <v>16</v>
      </c>
      <c r="K680" s="1" t="s">
        <v>17</v>
      </c>
      <c r="L680" s="1" t="s">
        <v>17</v>
      </c>
      <c r="M680" s="1" t="s">
        <v>17</v>
      </c>
      <c r="N680" s="1" t="s">
        <v>16</v>
      </c>
    </row>
    <row r="681" spans="1:14" x14ac:dyDescent="0.25">
      <c r="A681" s="9">
        <v>45265</v>
      </c>
      <c r="B681" s="1" t="s">
        <v>15</v>
      </c>
      <c r="C681" s="1">
        <v>2</v>
      </c>
      <c r="D681" s="1">
        <v>1</v>
      </c>
      <c r="E681" s="14">
        <v>41.16</v>
      </c>
      <c r="F681" s="1" t="s">
        <v>16</v>
      </c>
      <c r="G681" s="1">
        <v>4</v>
      </c>
      <c r="H681" s="1" t="s">
        <v>16</v>
      </c>
      <c r="I681" s="1" t="s">
        <v>16</v>
      </c>
      <c r="J681" s="1" t="s">
        <v>16</v>
      </c>
      <c r="K681" s="1" t="s">
        <v>17</v>
      </c>
      <c r="L681" s="1" t="s">
        <v>17</v>
      </c>
      <c r="M681" s="1" t="s">
        <v>17</v>
      </c>
      <c r="N681" s="1" t="s">
        <v>16</v>
      </c>
    </row>
    <row r="682" spans="1:14" x14ac:dyDescent="0.25">
      <c r="A682" s="9">
        <v>45265</v>
      </c>
      <c r="B682" s="1" t="s">
        <v>15</v>
      </c>
      <c r="C682" s="1">
        <v>3</v>
      </c>
      <c r="D682" s="1">
        <v>1</v>
      </c>
      <c r="E682" s="14">
        <v>55.68</v>
      </c>
      <c r="F682" s="1" t="s">
        <v>19</v>
      </c>
      <c r="G682" s="1">
        <v>1</v>
      </c>
      <c r="H682" s="1" t="s">
        <v>16</v>
      </c>
      <c r="I682" s="1" t="s">
        <v>16</v>
      </c>
      <c r="J682" s="1" t="s">
        <v>16</v>
      </c>
      <c r="K682" s="1" t="s">
        <v>17</v>
      </c>
      <c r="L682" s="1" t="s">
        <v>17</v>
      </c>
      <c r="M682" s="1" t="s">
        <v>17</v>
      </c>
      <c r="N682" s="1" t="s">
        <v>16</v>
      </c>
    </row>
    <row r="683" spans="1:14" x14ac:dyDescent="0.25">
      <c r="A683" s="9">
        <v>45265</v>
      </c>
      <c r="B683" s="1" t="s">
        <v>15</v>
      </c>
      <c r="C683" s="1">
        <v>4</v>
      </c>
      <c r="D683" s="1">
        <v>1</v>
      </c>
      <c r="E683" s="14">
        <v>31.9</v>
      </c>
      <c r="F683" s="1" t="s">
        <v>16</v>
      </c>
      <c r="G683" s="1">
        <v>4</v>
      </c>
      <c r="H683" s="1" t="s">
        <v>16</v>
      </c>
      <c r="I683" s="1" t="s">
        <v>16</v>
      </c>
      <c r="J683" s="1" t="s">
        <v>16</v>
      </c>
      <c r="K683" s="1" t="s">
        <v>17</v>
      </c>
      <c r="L683" s="1" t="s">
        <v>17</v>
      </c>
      <c r="M683" s="1" t="s">
        <v>17</v>
      </c>
      <c r="N683" s="1" t="s">
        <v>16</v>
      </c>
    </row>
    <row r="684" spans="1:14" x14ac:dyDescent="0.25">
      <c r="A684" s="9">
        <v>45265</v>
      </c>
      <c r="B684" s="1" t="s">
        <v>15</v>
      </c>
      <c r="C684" s="1">
        <v>5</v>
      </c>
      <c r="D684" s="1">
        <v>1</v>
      </c>
      <c r="E684" s="14">
        <v>41.08</v>
      </c>
      <c r="F684" s="1" t="s">
        <v>16</v>
      </c>
      <c r="G684" s="1">
        <v>4</v>
      </c>
      <c r="H684" s="1" t="s">
        <v>16</v>
      </c>
      <c r="I684" s="1" t="s">
        <v>16</v>
      </c>
      <c r="J684" s="1" t="s">
        <v>16</v>
      </c>
      <c r="K684" s="1" t="s">
        <v>21</v>
      </c>
      <c r="L684" s="1" t="s">
        <v>17</v>
      </c>
      <c r="M684" s="1" t="s">
        <v>17</v>
      </c>
      <c r="N684" s="1" t="s">
        <v>16</v>
      </c>
    </row>
    <row r="685" spans="1:14" x14ac:dyDescent="0.25">
      <c r="A685" s="9">
        <v>45265</v>
      </c>
      <c r="B685" s="1" t="s">
        <v>15</v>
      </c>
      <c r="C685" s="1">
        <v>6</v>
      </c>
      <c r="D685" s="1">
        <v>2</v>
      </c>
      <c r="E685" s="14">
        <v>51.45</v>
      </c>
      <c r="F685" s="1" t="s">
        <v>16</v>
      </c>
      <c r="G685" s="1" t="s">
        <v>16</v>
      </c>
      <c r="H685" s="1" t="s">
        <v>16</v>
      </c>
      <c r="I685" s="1" t="s">
        <v>16</v>
      </c>
      <c r="J685" s="1" t="s">
        <v>16</v>
      </c>
      <c r="K685" s="1" t="s">
        <v>20</v>
      </c>
      <c r="L685" s="1" t="s">
        <v>17</v>
      </c>
      <c r="M685" s="1" t="s">
        <v>17</v>
      </c>
      <c r="N685" s="1" t="s">
        <v>16</v>
      </c>
    </row>
    <row r="686" spans="1:14" x14ac:dyDescent="0.25">
      <c r="A686" s="9">
        <v>45265</v>
      </c>
      <c r="B686" s="1" t="s">
        <v>15</v>
      </c>
      <c r="C686" s="1">
        <v>7</v>
      </c>
      <c r="D686" s="1">
        <v>2</v>
      </c>
      <c r="E686" s="14">
        <v>44.83</v>
      </c>
      <c r="F686" s="1" t="s">
        <v>18</v>
      </c>
      <c r="G686" s="1">
        <v>2</v>
      </c>
      <c r="H686" s="1" t="s">
        <v>16</v>
      </c>
      <c r="I686" s="1" t="s">
        <v>16</v>
      </c>
      <c r="J686" s="1" t="s">
        <v>16</v>
      </c>
      <c r="K686" s="1" t="s">
        <v>17</v>
      </c>
      <c r="L686" s="1" t="s">
        <v>17</v>
      </c>
      <c r="M686" s="1" t="s">
        <v>17</v>
      </c>
      <c r="N686" s="1" t="s">
        <v>16</v>
      </c>
    </row>
    <row r="687" spans="1:14" x14ac:dyDescent="0.25">
      <c r="A687" s="9">
        <v>45265</v>
      </c>
      <c r="B687" s="1" t="s">
        <v>15</v>
      </c>
      <c r="C687" s="1">
        <v>8</v>
      </c>
      <c r="D687" s="1">
        <v>2</v>
      </c>
      <c r="E687" s="14">
        <v>58.89</v>
      </c>
      <c r="F687" s="1" t="s">
        <v>18</v>
      </c>
      <c r="G687" s="1">
        <v>1</v>
      </c>
      <c r="H687" s="1" t="s">
        <v>16</v>
      </c>
      <c r="I687" s="1" t="s">
        <v>16</v>
      </c>
      <c r="J687" s="1" t="s">
        <v>16</v>
      </c>
      <c r="K687" s="1" t="s">
        <v>17</v>
      </c>
      <c r="L687" s="1" t="s">
        <v>17</v>
      </c>
      <c r="M687" s="1" t="s">
        <v>17</v>
      </c>
      <c r="N687" s="1" t="s">
        <v>16</v>
      </c>
    </row>
    <row r="688" spans="1:14" x14ac:dyDescent="0.25">
      <c r="A688" s="9">
        <v>45265</v>
      </c>
      <c r="B688" s="1" t="s">
        <v>15</v>
      </c>
      <c r="C688" s="1">
        <v>9</v>
      </c>
      <c r="D688" s="1">
        <v>2</v>
      </c>
      <c r="E688" s="14">
        <v>55.01</v>
      </c>
      <c r="F688" s="1" t="s">
        <v>18</v>
      </c>
      <c r="G688" s="1">
        <v>3</v>
      </c>
      <c r="H688" s="1" t="s">
        <v>16</v>
      </c>
      <c r="I688" s="1" t="s">
        <v>16</v>
      </c>
      <c r="J688" s="1" t="s">
        <v>16</v>
      </c>
      <c r="K688" s="1" t="s">
        <v>21</v>
      </c>
      <c r="L688" s="1" t="s">
        <v>17</v>
      </c>
      <c r="M688" s="1" t="s">
        <v>17</v>
      </c>
      <c r="N688" s="1" t="s">
        <v>16</v>
      </c>
    </row>
    <row r="689" spans="1:14" x14ac:dyDescent="0.25">
      <c r="A689" s="9">
        <v>45265</v>
      </c>
      <c r="B689" s="1" t="s">
        <v>15</v>
      </c>
      <c r="C689" s="1">
        <v>10</v>
      </c>
      <c r="D689" s="1">
        <v>2</v>
      </c>
      <c r="E689" s="14">
        <v>57.36</v>
      </c>
      <c r="F689" s="1" t="s">
        <v>18</v>
      </c>
      <c r="G689" s="1">
        <v>2</v>
      </c>
      <c r="H689" s="1" t="s">
        <v>16</v>
      </c>
      <c r="I689" s="1" t="s">
        <v>16</v>
      </c>
      <c r="J689" s="1" t="s">
        <v>16</v>
      </c>
      <c r="K689" s="1" t="s">
        <v>17</v>
      </c>
      <c r="L689" s="1" t="s">
        <v>17</v>
      </c>
      <c r="M689" s="1" t="s">
        <v>17</v>
      </c>
      <c r="N689" s="1" t="s">
        <v>16</v>
      </c>
    </row>
    <row r="690" spans="1:14" x14ac:dyDescent="0.25">
      <c r="A690" s="9">
        <v>45265</v>
      </c>
      <c r="B690" s="1" t="s">
        <v>15</v>
      </c>
      <c r="C690" s="1">
        <v>11</v>
      </c>
      <c r="D690" s="1">
        <v>3</v>
      </c>
      <c r="E690" s="14">
        <v>33.17</v>
      </c>
      <c r="F690" s="1" t="s">
        <v>16</v>
      </c>
      <c r="G690" s="1">
        <v>4</v>
      </c>
      <c r="H690" s="1" t="s">
        <v>16</v>
      </c>
      <c r="I690" s="1" t="s">
        <v>16</v>
      </c>
      <c r="J690" s="1" t="s">
        <v>16</v>
      </c>
      <c r="K690" s="1" t="s">
        <v>17</v>
      </c>
      <c r="L690" s="1" t="s">
        <v>17</v>
      </c>
      <c r="M690" s="1" t="s">
        <v>17</v>
      </c>
      <c r="N690" s="1" t="s">
        <v>16</v>
      </c>
    </row>
    <row r="691" spans="1:14" x14ac:dyDescent="0.25">
      <c r="A691" s="9">
        <v>45265</v>
      </c>
      <c r="B691" s="1" t="s">
        <v>15</v>
      </c>
      <c r="C691" s="1">
        <v>12</v>
      </c>
      <c r="D691" s="1">
        <v>3</v>
      </c>
      <c r="E691" s="14">
        <v>42.36</v>
      </c>
      <c r="F691" s="1" t="s">
        <v>16</v>
      </c>
      <c r="G691" s="1">
        <v>4</v>
      </c>
      <c r="H691" s="1" t="s">
        <v>16</v>
      </c>
      <c r="I691" s="1" t="s">
        <v>16</v>
      </c>
      <c r="J691" s="1" t="s">
        <v>16</v>
      </c>
      <c r="K691" s="1" t="s">
        <v>17</v>
      </c>
      <c r="L691" s="1" t="s">
        <v>17</v>
      </c>
      <c r="M691" s="1" t="s">
        <v>17</v>
      </c>
      <c r="N691" s="1" t="s">
        <v>16</v>
      </c>
    </row>
    <row r="692" spans="1:14" x14ac:dyDescent="0.25">
      <c r="A692" s="9">
        <v>45265</v>
      </c>
      <c r="B692" s="1" t="s">
        <v>15</v>
      </c>
      <c r="C692" s="1">
        <v>13</v>
      </c>
      <c r="D692" s="1">
        <v>3</v>
      </c>
      <c r="E692" s="14">
        <v>32.31</v>
      </c>
      <c r="F692" s="1" t="s">
        <v>16</v>
      </c>
      <c r="G692" s="1">
        <v>4</v>
      </c>
      <c r="H692" s="1" t="s">
        <v>16</v>
      </c>
      <c r="I692" s="1" t="s">
        <v>16</v>
      </c>
      <c r="J692" s="1" t="s">
        <v>16</v>
      </c>
      <c r="K692" s="1" t="s">
        <v>17</v>
      </c>
      <c r="L692" s="1" t="s">
        <v>17</v>
      </c>
      <c r="M692" s="1" t="s">
        <v>17</v>
      </c>
      <c r="N692" s="1" t="s">
        <v>16</v>
      </c>
    </row>
    <row r="693" spans="1:14" x14ac:dyDescent="0.25">
      <c r="A693" s="9">
        <v>45265</v>
      </c>
      <c r="B693" s="1" t="s">
        <v>15</v>
      </c>
      <c r="C693" s="1">
        <v>14</v>
      </c>
      <c r="D693" s="1">
        <v>3</v>
      </c>
      <c r="E693" s="14">
        <v>40.64</v>
      </c>
      <c r="F693" s="1" t="s">
        <v>16</v>
      </c>
      <c r="G693" s="1">
        <v>4</v>
      </c>
      <c r="H693" s="1" t="s">
        <v>16</v>
      </c>
      <c r="I693" s="1" t="s">
        <v>16</v>
      </c>
      <c r="J693" s="1" t="s">
        <v>16</v>
      </c>
      <c r="K693" s="1" t="s">
        <v>17</v>
      </c>
      <c r="L693" s="1" t="s">
        <v>17</v>
      </c>
      <c r="M693" s="1" t="s">
        <v>17</v>
      </c>
      <c r="N693" s="1" t="s">
        <v>16</v>
      </c>
    </row>
    <row r="694" spans="1:14" x14ac:dyDescent="0.25">
      <c r="A694" s="9">
        <v>45265</v>
      </c>
      <c r="B694" s="1" t="s">
        <v>15</v>
      </c>
      <c r="C694" s="1">
        <v>15</v>
      </c>
      <c r="D694" s="1">
        <v>3</v>
      </c>
      <c r="E694" s="14">
        <v>31.92</v>
      </c>
      <c r="F694" s="1" t="s">
        <v>16</v>
      </c>
      <c r="G694" s="1">
        <v>4</v>
      </c>
      <c r="H694" s="1" t="s">
        <v>16</v>
      </c>
      <c r="I694" s="1" t="s">
        <v>16</v>
      </c>
      <c r="J694" s="1" t="s">
        <v>16</v>
      </c>
      <c r="K694" s="1" t="s">
        <v>17</v>
      </c>
      <c r="L694" s="1" t="s">
        <v>17</v>
      </c>
      <c r="M694" s="1" t="s">
        <v>17</v>
      </c>
      <c r="N694" s="1" t="s">
        <v>16</v>
      </c>
    </row>
    <row r="695" spans="1:14" x14ac:dyDescent="0.25">
      <c r="A695" s="9">
        <v>45294</v>
      </c>
      <c r="B695" s="1" t="s">
        <v>15</v>
      </c>
      <c r="C695" s="1">
        <v>1</v>
      </c>
      <c r="D695" s="1">
        <v>1</v>
      </c>
      <c r="E695" s="14">
        <v>34.26</v>
      </c>
      <c r="F695" s="1" t="s">
        <v>19</v>
      </c>
      <c r="G695" s="1">
        <v>2</v>
      </c>
      <c r="H695" s="1" t="s">
        <v>16</v>
      </c>
      <c r="I695" s="1" t="s">
        <v>16</v>
      </c>
      <c r="J695" s="1" t="s">
        <v>16</v>
      </c>
      <c r="K695" s="1" t="s">
        <v>17</v>
      </c>
      <c r="L695" s="1" t="s">
        <v>17</v>
      </c>
      <c r="M695" s="1" t="s">
        <v>17</v>
      </c>
      <c r="N695" s="1" t="s">
        <v>16</v>
      </c>
    </row>
    <row r="696" spans="1:14" x14ac:dyDescent="0.25">
      <c r="A696" s="9">
        <v>45294</v>
      </c>
      <c r="B696" s="1" t="s">
        <v>15</v>
      </c>
      <c r="C696" s="1">
        <v>2</v>
      </c>
      <c r="D696" s="1">
        <v>1</v>
      </c>
      <c r="E696" s="14">
        <v>54.13</v>
      </c>
      <c r="F696" s="1" t="s">
        <v>16</v>
      </c>
      <c r="G696" s="1">
        <v>4</v>
      </c>
      <c r="H696" s="1" t="s">
        <v>16</v>
      </c>
      <c r="I696" s="1" t="s">
        <v>16</v>
      </c>
      <c r="J696" s="1" t="s">
        <v>16</v>
      </c>
      <c r="K696" s="1" t="s">
        <v>17</v>
      </c>
      <c r="L696" s="1" t="s">
        <v>17</v>
      </c>
      <c r="M696" s="1" t="s">
        <v>17</v>
      </c>
      <c r="N696" s="1" t="s">
        <v>16</v>
      </c>
    </row>
    <row r="697" spans="1:14" x14ac:dyDescent="0.25">
      <c r="A697" s="9">
        <v>45294</v>
      </c>
      <c r="B697" s="1" t="s">
        <v>15</v>
      </c>
      <c r="C697" s="1">
        <v>3</v>
      </c>
      <c r="D697" s="1">
        <v>1</v>
      </c>
      <c r="E697" s="14">
        <v>52.49</v>
      </c>
      <c r="F697" s="1" t="s">
        <v>16</v>
      </c>
      <c r="G697" s="1">
        <v>4</v>
      </c>
      <c r="H697" s="1" t="s">
        <v>16</v>
      </c>
      <c r="I697" s="1" t="s">
        <v>16</v>
      </c>
      <c r="J697" s="1" t="s">
        <v>16</v>
      </c>
      <c r="K697" s="1" t="s">
        <v>17</v>
      </c>
      <c r="L697" s="1" t="s">
        <v>17</v>
      </c>
      <c r="M697" s="1" t="s">
        <v>17</v>
      </c>
      <c r="N697" s="1" t="s">
        <v>16</v>
      </c>
    </row>
    <row r="698" spans="1:14" x14ac:dyDescent="0.25">
      <c r="A698" s="9">
        <v>45294</v>
      </c>
      <c r="B698" s="1" t="s">
        <v>15</v>
      </c>
      <c r="C698" s="1">
        <v>4</v>
      </c>
      <c r="D698" s="1">
        <v>1</v>
      </c>
      <c r="E698" s="14">
        <v>41.87</v>
      </c>
      <c r="F698" s="1" t="s">
        <v>18</v>
      </c>
      <c r="G698" s="1">
        <v>2</v>
      </c>
      <c r="H698" s="1" t="s">
        <v>16</v>
      </c>
      <c r="I698" s="1" t="s">
        <v>16</v>
      </c>
      <c r="J698" s="1" t="s">
        <v>16</v>
      </c>
      <c r="K698" s="1" t="s">
        <v>17</v>
      </c>
      <c r="L698" s="1" t="s">
        <v>17</v>
      </c>
      <c r="M698" s="1" t="s">
        <v>17</v>
      </c>
      <c r="N698" s="1" t="s">
        <v>16</v>
      </c>
    </row>
    <row r="699" spans="1:14" x14ac:dyDescent="0.25">
      <c r="A699" s="9">
        <v>45294</v>
      </c>
      <c r="B699" s="1" t="s">
        <v>15</v>
      </c>
      <c r="C699" s="1">
        <v>5</v>
      </c>
      <c r="D699" s="1">
        <v>1</v>
      </c>
      <c r="E699" s="14">
        <v>46.92</v>
      </c>
      <c r="F699" s="1" t="s">
        <v>18</v>
      </c>
      <c r="G699" s="1">
        <v>3</v>
      </c>
      <c r="H699" s="1" t="s">
        <v>16</v>
      </c>
      <c r="I699" s="1" t="s">
        <v>16</v>
      </c>
      <c r="J699" s="1" t="s">
        <v>16</v>
      </c>
      <c r="K699" s="1" t="s">
        <v>17</v>
      </c>
      <c r="L699" s="1" t="s">
        <v>17</v>
      </c>
      <c r="M699" s="1" t="s">
        <v>17</v>
      </c>
      <c r="N699" s="1" t="s">
        <v>16</v>
      </c>
    </row>
    <row r="700" spans="1:14" x14ac:dyDescent="0.25">
      <c r="A700" s="9">
        <v>45294</v>
      </c>
      <c r="B700" s="1" t="s">
        <v>15</v>
      </c>
      <c r="C700" s="1">
        <v>6</v>
      </c>
      <c r="D700" s="1">
        <v>2</v>
      </c>
      <c r="E700" s="14">
        <v>60.47</v>
      </c>
      <c r="F700" s="1" t="s">
        <v>18</v>
      </c>
      <c r="G700" s="1">
        <v>1</v>
      </c>
      <c r="H700" s="1" t="s">
        <v>16</v>
      </c>
      <c r="I700" s="1" t="s">
        <v>16</v>
      </c>
      <c r="J700" s="1" t="s">
        <v>16</v>
      </c>
      <c r="K700" s="1" t="s">
        <v>17</v>
      </c>
      <c r="L700" s="1" t="s">
        <v>17</v>
      </c>
      <c r="M700" s="1" t="s">
        <v>17</v>
      </c>
      <c r="N700" s="1" t="s">
        <v>16</v>
      </c>
    </row>
    <row r="701" spans="1:14" x14ac:dyDescent="0.25">
      <c r="A701" s="9">
        <v>45294</v>
      </c>
      <c r="B701" s="1" t="s">
        <v>15</v>
      </c>
      <c r="C701" s="1">
        <v>7</v>
      </c>
      <c r="D701" s="1">
        <v>2</v>
      </c>
      <c r="E701" s="14">
        <v>56.8</v>
      </c>
      <c r="F701" s="1" t="s">
        <v>16</v>
      </c>
      <c r="G701" s="1">
        <v>4</v>
      </c>
      <c r="H701" s="1" t="s">
        <v>16</v>
      </c>
      <c r="I701" s="1" t="s">
        <v>16</v>
      </c>
      <c r="J701" s="1" t="s">
        <v>16</v>
      </c>
      <c r="K701" s="1" t="s">
        <v>17</v>
      </c>
      <c r="L701" s="1" t="s">
        <v>17</v>
      </c>
      <c r="M701" s="1" t="s">
        <v>17</v>
      </c>
      <c r="N701" s="1" t="s">
        <v>16</v>
      </c>
    </row>
    <row r="702" spans="1:14" x14ac:dyDescent="0.25">
      <c r="A702" s="9">
        <v>45294</v>
      </c>
      <c r="B702" s="1" t="s">
        <v>15</v>
      </c>
      <c r="C702" s="1">
        <v>8</v>
      </c>
      <c r="D702" s="1">
        <v>2</v>
      </c>
      <c r="E702" s="14">
        <v>45.12</v>
      </c>
      <c r="F702" s="1" t="s">
        <v>16</v>
      </c>
      <c r="G702" s="1">
        <v>4</v>
      </c>
      <c r="H702" s="1" t="s">
        <v>16</v>
      </c>
      <c r="I702" s="1" t="s">
        <v>16</v>
      </c>
      <c r="J702" s="1" t="s">
        <v>16</v>
      </c>
      <c r="K702" s="1" t="s">
        <v>21</v>
      </c>
      <c r="L702" s="1" t="s">
        <v>17</v>
      </c>
      <c r="M702" s="1" t="s">
        <v>21</v>
      </c>
      <c r="N702" s="1" t="s">
        <v>16</v>
      </c>
    </row>
    <row r="703" spans="1:14" x14ac:dyDescent="0.25">
      <c r="A703" s="9">
        <v>45294</v>
      </c>
      <c r="B703" s="1" t="s">
        <v>15</v>
      </c>
      <c r="C703" s="1">
        <v>9</v>
      </c>
      <c r="D703" s="1">
        <v>2</v>
      </c>
      <c r="E703" s="14">
        <v>69.459999999999994</v>
      </c>
      <c r="F703" s="1" t="s">
        <v>18</v>
      </c>
      <c r="G703" s="1">
        <v>2</v>
      </c>
      <c r="H703" s="1" t="s">
        <v>16</v>
      </c>
      <c r="I703" s="1" t="s">
        <v>16</v>
      </c>
      <c r="J703" s="1" t="s">
        <v>16</v>
      </c>
      <c r="K703" s="1" t="s">
        <v>17</v>
      </c>
      <c r="L703" s="1" t="s">
        <v>17</v>
      </c>
      <c r="M703" s="1" t="s">
        <v>17</v>
      </c>
      <c r="N703" s="1" t="s">
        <v>16</v>
      </c>
    </row>
    <row r="704" spans="1:14" x14ac:dyDescent="0.25">
      <c r="A704" s="9">
        <v>45294</v>
      </c>
      <c r="B704" s="1" t="s">
        <v>15</v>
      </c>
      <c r="C704" s="1">
        <v>10</v>
      </c>
      <c r="D704" s="1">
        <v>2</v>
      </c>
      <c r="E704" s="14">
        <v>48.44</v>
      </c>
      <c r="F704" s="1" t="s">
        <v>18</v>
      </c>
      <c r="G704" s="1">
        <v>1</v>
      </c>
      <c r="H704" s="1" t="s">
        <v>16</v>
      </c>
      <c r="I704" s="1" t="s">
        <v>16</v>
      </c>
      <c r="J704" s="1" t="s">
        <v>16</v>
      </c>
      <c r="K704" s="1" t="s">
        <v>21</v>
      </c>
      <c r="L704" s="1" t="s">
        <v>17</v>
      </c>
      <c r="M704" s="1" t="s">
        <v>21</v>
      </c>
      <c r="N704" s="1" t="s">
        <v>16</v>
      </c>
    </row>
    <row r="705" spans="1:14" x14ac:dyDescent="0.25">
      <c r="A705" s="9">
        <v>45294</v>
      </c>
      <c r="B705" s="1" t="s">
        <v>15</v>
      </c>
      <c r="C705" s="1">
        <v>11</v>
      </c>
      <c r="D705" s="1">
        <v>3</v>
      </c>
      <c r="E705" s="14">
        <v>69</v>
      </c>
      <c r="F705" s="1" t="s">
        <v>16</v>
      </c>
      <c r="G705" s="1">
        <v>4</v>
      </c>
      <c r="H705" s="1" t="s">
        <v>16</v>
      </c>
      <c r="I705" s="1" t="s">
        <v>16</v>
      </c>
      <c r="J705" s="1" t="s">
        <v>16</v>
      </c>
      <c r="K705" s="1" t="s">
        <v>17</v>
      </c>
      <c r="L705" s="1" t="s">
        <v>17</v>
      </c>
      <c r="M705" s="1" t="s">
        <v>17</v>
      </c>
      <c r="N705" s="1" t="s">
        <v>16</v>
      </c>
    </row>
    <row r="706" spans="1:14" x14ac:dyDescent="0.25">
      <c r="A706" s="9">
        <v>45294</v>
      </c>
      <c r="B706" s="1" t="s">
        <v>15</v>
      </c>
      <c r="C706" s="1">
        <v>12</v>
      </c>
      <c r="D706" s="1">
        <v>3</v>
      </c>
      <c r="E706" s="14">
        <v>65.58</v>
      </c>
      <c r="F706" s="1" t="s">
        <v>16</v>
      </c>
      <c r="G706" s="1" t="s">
        <v>16</v>
      </c>
      <c r="H706" s="1" t="s">
        <v>16</v>
      </c>
      <c r="I706" s="1" t="s">
        <v>16</v>
      </c>
      <c r="J706" s="1" t="s">
        <v>16</v>
      </c>
      <c r="K706" s="1" t="s">
        <v>20</v>
      </c>
      <c r="L706" s="1" t="s">
        <v>17</v>
      </c>
      <c r="M706" s="1" t="s">
        <v>17</v>
      </c>
      <c r="N706" s="1" t="s">
        <v>16</v>
      </c>
    </row>
    <row r="707" spans="1:14" x14ac:dyDescent="0.25">
      <c r="A707" s="9">
        <v>45294</v>
      </c>
      <c r="B707" s="1" t="s">
        <v>15</v>
      </c>
      <c r="C707" s="1">
        <v>13</v>
      </c>
      <c r="D707" s="1">
        <v>3</v>
      </c>
      <c r="E707" s="14">
        <v>43.33</v>
      </c>
      <c r="F707" s="1" t="s">
        <v>16</v>
      </c>
      <c r="G707" s="1" t="s">
        <v>16</v>
      </c>
      <c r="H707" s="1" t="s">
        <v>16</v>
      </c>
      <c r="I707" s="1" t="s">
        <v>16</v>
      </c>
      <c r="J707" s="1" t="s">
        <v>16</v>
      </c>
      <c r="K707" s="1" t="s">
        <v>17</v>
      </c>
      <c r="L707" s="1" t="s">
        <v>17</v>
      </c>
      <c r="M707" s="1" t="s">
        <v>21</v>
      </c>
      <c r="N707" s="1" t="s">
        <v>16</v>
      </c>
    </row>
    <row r="708" spans="1:14" x14ac:dyDescent="0.25">
      <c r="A708" s="9">
        <v>45294</v>
      </c>
      <c r="B708" s="1" t="s">
        <v>15</v>
      </c>
      <c r="C708" s="1">
        <v>14</v>
      </c>
      <c r="D708" s="1">
        <v>3</v>
      </c>
      <c r="E708" s="14">
        <v>45.49</v>
      </c>
      <c r="F708" s="1" t="s">
        <v>16</v>
      </c>
      <c r="G708" s="1" t="s">
        <v>16</v>
      </c>
      <c r="H708" s="1" t="s">
        <v>16</v>
      </c>
      <c r="I708" s="1" t="s">
        <v>16</v>
      </c>
      <c r="J708" s="1" t="s">
        <v>16</v>
      </c>
      <c r="K708" s="1" t="s">
        <v>17</v>
      </c>
      <c r="L708" s="1" t="s">
        <v>17</v>
      </c>
      <c r="M708" s="1" t="s">
        <v>21</v>
      </c>
      <c r="N708" s="1" t="s">
        <v>16</v>
      </c>
    </row>
    <row r="709" spans="1:14" x14ac:dyDescent="0.25">
      <c r="A709" s="9">
        <v>45294</v>
      </c>
      <c r="B709" s="1" t="s">
        <v>15</v>
      </c>
      <c r="C709" s="1">
        <v>15</v>
      </c>
      <c r="D709" s="1">
        <v>3</v>
      </c>
      <c r="E709" s="14">
        <v>36.68</v>
      </c>
      <c r="F709" s="1" t="s">
        <v>16</v>
      </c>
      <c r="G709" s="1">
        <v>4</v>
      </c>
      <c r="H709" s="1" t="s">
        <v>16</v>
      </c>
      <c r="I709" s="1" t="s">
        <v>16</v>
      </c>
      <c r="J709" s="1" t="s">
        <v>16</v>
      </c>
      <c r="K709" s="1" t="s">
        <v>17</v>
      </c>
      <c r="L709" s="1" t="s">
        <v>17</v>
      </c>
      <c r="M709" s="1" t="s">
        <v>17</v>
      </c>
      <c r="N709" s="1" t="s">
        <v>16</v>
      </c>
    </row>
    <row r="710" spans="1:14" x14ac:dyDescent="0.25">
      <c r="A710" s="9">
        <v>45334</v>
      </c>
      <c r="B710" s="1" t="s">
        <v>15</v>
      </c>
      <c r="C710" s="1">
        <v>1</v>
      </c>
      <c r="D710" s="1">
        <v>1</v>
      </c>
      <c r="E710" s="14">
        <v>58.32</v>
      </c>
      <c r="F710" s="1" t="s">
        <v>16</v>
      </c>
      <c r="G710" s="1">
        <v>4</v>
      </c>
      <c r="H710" s="1" t="s">
        <v>16</v>
      </c>
      <c r="I710" s="1" t="s">
        <v>16</v>
      </c>
      <c r="J710" s="1" t="s">
        <v>16</v>
      </c>
      <c r="K710" s="1" t="s">
        <v>17</v>
      </c>
      <c r="L710" s="1" t="s">
        <v>17</v>
      </c>
      <c r="M710" s="1" t="s">
        <v>17</v>
      </c>
      <c r="N710" s="1" t="s">
        <v>16</v>
      </c>
    </row>
    <row r="711" spans="1:14" x14ac:dyDescent="0.25">
      <c r="A711" s="9">
        <v>45334</v>
      </c>
      <c r="B711" s="1" t="s">
        <v>15</v>
      </c>
      <c r="C711" s="1">
        <v>2</v>
      </c>
      <c r="D711" s="1">
        <v>1</v>
      </c>
      <c r="E711" s="14">
        <v>44.05</v>
      </c>
      <c r="F711" s="1" t="s">
        <v>18</v>
      </c>
      <c r="G711" s="1">
        <v>2</v>
      </c>
      <c r="H711" s="1" t="s">
        <v>16</v>
      </c>
      <c r="I711" s="1" t="s">
        <v>16</v>
      </c>
      <c r="J711" s="1" t="s">
        <v>16</v>
      </c>
      <c r="K711" s="1" t="s">
        <v>17</v>
      </c>
      <c r="L711" s="1" t="s">
        <v>17</v>
      </c>
      <c r="M711" s="1" t="s">
        <v>17</v>
      </c>
      <c r="N711" s="1" t="s">
        <v>16</v>
      </c>
    </row>
    <row r="712" spans="1:14" x14ac:dyDescent="0.25">
      <c r="A712" s="9">
        <v>45334</v>
      </c>
      <c r="B712" s="1" t="s">
        <v>15</v>
      </c>
      <c r="C712" s="1">
        <v>3</v>
      </c>
      <c r="D712" s="1">
        <v>1</v>
      </c>
      <c r="E712" s="14">
        <v>60.04</v>
      </c>
      <c r="F712" s="1" t="s">
        <v>18</v>
      </c>
      <c r="G712" s="1">
        <v>2</v>
      </c>
      <c r="H712" s="1" t="s">
        <v>16</v>
      </c>
      <c r="I712" s="1" t="s">
        <v>16</v>
      </c>
      <c r="J712" s="1" t="s">
        <v>16</v>
      </c>
      <c r="K712" s="1" t="s">
        <v>17</v>
      </c>
      <c r="L712" s="1" t="s">
        <v>17</v>
      </c>
      <c r="M712" s="1" t="s">
        <v>17</v>
      </c>
      <c r="N712" s="1" t="s">
        <v>16</v>
      </c>
    </row>
    <row r="713" spans="1:14" x14ac:dyDescent="0.25">
      <c r="A713" s="9">
        <v>45334</v>
      </c>
      <c r="B713" s="1" t="s">
        <v>15</v>
      </c>
      <c r="C713" s="1">
        <v>4</v>
      </c>
      <c r="D713" s="1">
        <v>1</v>
      </c>
      <c r="E713" s="14">
        <v>43.08</v>
      </c>
      <c r="F713" s="1" t="s">
        <v>19</v>
      </c>
      <c r="G713" s="1">
        <v>3</v>
      </c>
      <c r="H713" s="1" t="s">
        <v>16</v>
      </c>
      <c r="I713" s="1" t="s">
        <v>16</v>
      </c>
      <c r="J713" s="1" t="s">
        <v>16</v>
      </c>
      <c r="K713" s="1" t="s">
        <v>17</v>
      </c>
      <c r="L713" s="1" t="s">
        <v>17</v>
      </c>
      <c r="M713" s="1" t="s">
        <v>17</v>
      </c>
      <c r="N713" s="1" t="s">
        <v>16</v>
      </c>
    </row>
    <row r="714" spans="1:14" x14ac:dyDescent="0.25">
      <c r="A714" s="9">
        <v>45334</v>
      </c>
      <c r="B714" s="1" t="s">
        <v>15</v>
      </c>
      <c r="C714" s="1">
        <v>5</v>
      </c>
      <c r="D714" s="1">
        <v>1</v>
      </c>
      <c r="E714" s="14">
        <v>41.53</v>
      </c>
      <c r="F714" s="1" t="s">
        <v>16</v>
      </c>
      <c r="G714" s="1">
        <v>4</v>
      </c>
      <c r="H714" s="1" t="s">
        <v>16</v>
      </c>
      <c r="I714" s="1" t="s">
        <v>16</v>
      </c>
      <c r="J714" s="1" t="s">
        <v>16</v>
      </c>
      <c r="K714" s="1" t="s">
        <v>17</v>
      </c>
      <c r="L714" s="1" t="s">
        <v>17</v>
      </c>
      <c r="M714" s="1" t="s">
        <v>17</v>
      </c>
      <c r="N714" s="1" t="s">
        <v>16</v>
      </c>
    </row>
    <row r="715" spans="1:14" x14ac:dyDescent="0.25">
      <c r="A715" s="9">
        <v>45334</v>
      </c>
      <c r="B715" s="1" t="s">
        <v>15</v>
      </c>
      <c r="C715" s="1">
        <v>6</v>
      </c>
      <c r="D715" s="1">
        <v>2</v>
      </c>
      <c r="E715" s="14">
        <v>64.8</v>
      </c>
      <c r="F715" s="1" t="s">
        <v>18</v>
      </c>
      <c r="G715" s="1">
        <v>3</v>
      </c>
      <c r="H715" s="1" t="s">
        <v>16</v>
      </c>
      <c r="I715" s="1" t="s">
        <v>16</v>
      </c>
      <c r="J715" s="1" t="s">
        <v>16</v>
      </c>
      <c r="K715" s="1" t="s">
        <v>17</v>
      </c>
      <c r="L715" s="1" t="s">
        <v>17</v>
      </c>
      <c r="M715" s="1" t="s">
        <v>17</v>
      </c>
      <c r="N715" s="1" t="s">
        <v>16</v>
      </c>
    </row>
    <row r="716" spans="1:14" x14ac:dyDescent="0.25">
      <c r="A716" s="9">
        <v>45334</v>
      </c>
      <c r="B716" s="1" t="s">
        <v>15</v>
      </c>
      <c r="C716" s="1">
        <v>7</v>
      </c>
      <c r="D716" s="1">
        <v>2</v>
      </c>
      <c r="E716" s="14">
        <v>47.59</v>
      </c>
      <c r="F716" s="1" t="s">
        <v>19</v>
      </c>
      <c r="G716" s="1">
        <v>2</v>
      </c>
      <c r="H716" s="1" t="s">
        <v>16</v>
      </c>
      <c r="I716" s="1" t="s">
        <v>16</v>
      </c>
      <c r="J716" s="1" t="s">
        <v>16</v>
      </c>
      <c r="K716" s="1" t="s">
        <v>17</v>
      </c>
      <c r="L716" s="1" t="s">
        <v>17</v>
      </c>
      <c r="M716" s="1" t="s">
        <v>17</v>
      </c>
      <c r="N716" s="1" t="s">
        <v>16</v>
      </c>
    </row>
    <row r="717" spans="1:14" x14ac:dyDescent="0.25">
      <c r="A717" s="9">
        <v>45334</v>
      </c>
      <c r="B717" s="1" t="s">
        <v>15</v>
      </c>
      <c r="C717" s="1">
        <v>8</v>
      </c>
      <c r="D717" s="1">
        <v>2</v>
      </c>
      <c r="E717" s="14">
        <v>59.87</v>
      </c>
      <c r="F717" s="1" t="s">
        <v>18</v>
      </c>
      <c r="G717" s="1">
        <v>1</v>
      </c>
      <c r="H717" s="1" t="s">
        <v>16</v>
      </c>
      <c r="I717" s="1" t="s">
        <v>16</v>
      </c>
      <c r="J717" s="1" t="s">
        <v>16</v>
      </c>
      <c r="K717" s="1" t="s">
        <v>17</v>
      </c>
      <c r="L717" s="1" t="s">
        <v>17</v>
      </c>
      <c r="M717" s="1" t="s">
        <v>17</v>
      </c>
      <c r="N717" s="1" t="s">
        <v>16</v>
      </c>
    </row>
    <row r="718" spans="1:14" x14ac:dyDescent="0.25">
      <c r="A718" s="9">
        <v>45334</v>
      </c>
      <c r="B718" s="1" t="s">
        <v>15</v>
      </c>
      <c r="C718" s="1">
        <v>9</v>
      </c>
      <c r="D718" s="1">
        <v>2</v>
      </c>
      <c r="E718" s="14">
        <v>44.54</v>
      </c>
      <c r="F718" s="1" t="s">
        <v>18</v>
      </c>
      <c r="G718" s="1">
        <v>2</v>
      </c>
      <c r="H718" s="1" t="s">
        <v>16</v>
      </c>
      <c r="I718" s="1" t="s">
        <v>16</v>
      </c>
      <c r="J718" s="1" t="s">
        <v>16</v>
      </c>
      <c r="K718" s="1" t="s">
        <v>17</v>
      </c>
      <c r="L718" s="1" t="s">
        <v>17</v>
      </c>
      <c r="M718" s="1" t="s">
        <v>17</v>
      </c>
      <c r="N718" s="1" t="s">
        <v>16</v>
      </c>
    </row>
    <row r="719" spans="1:14" x14ac:dyDescent="0.25">
      <c r="A719" s="9">
        <v>45334</v>
      </c>
      <c r="B719" s="1" t="s">
        <v>15</v>
      </c>
      <c r="C719" s="1">
        <v>10</v>
      </c>
      <c r="D719" s="1">
        <v>2</v>
      </c>
      <c r="E719" s="14">
        <v>50.87</v>
      </c>
      <c r="F719" s="1" t="s">
        <v>19</v>
      </c>
      <c r="G719" s="1">
        <v>2</v>
      </c>
      <c r="H719" s="1" t="s">
        <v>16</v>
      </c>
      <c r="I719" s="1" t="s">
        <v>16</v>
      </c>
      <c r="J719" s="1" t="s">
        <v>16</v>
      </c>
      <c r="K719" s="1" t="s">
        <v>17</v>
      </c>
      <c r="L719" s="1" t="s">
        <v>17</v>
      </c>
      <c r="M719" s="1" t="s">
        <v>17</v>
      </c>
      <c r="N719" s="1" t="s">
        <v>16</v>
      </c>
    </row>
    <row r="720" spans="1:14" x14ac:dyDescent="0.25">
      <c r="A720" s="9">
        <v>45334</v>
      </c>
      <c r="B720" s="1" t="s">
        <v>15</v>
      </c>
      <c r="C720" s="1">
        <v>11</v>
      </c>
      <c r="D720" s="1">
        <v>3</v>
      </c>
      <c r="E720" s="14">
        <v>47.73</v>
      </c>
      <c r="F720" s="1" t="s">
        <v>18</v>
      </c>
      <c r="G720" s="1">
        <v>2</v>
      </c>
      <c r="H720" s="1" t="s">
        <v>16</v>
      </c>
      <c r="I720" s="1" t="s">
        <v>16</v>
      </c>
      <c r="J720" s="1" t="s">
        <v>16</v>
      </c>
      <c r="K720" s="1" t="s">
        <v>17</v>
      </c>
      <c r="L720" s="1" t="s">
        <v>17</v>
      </c>
      <c r="M720" s="1" t="s">
        <v>17</v>
      </c>
      <c r="N720" s="1" t="s">
        <v>16</v>
      </c>
    </row>
    <row r="721" spans="1:14" x14ac:dyDescent="0.25">
      <c r="A721" s="9">
        <v>45334</v>
      </c>
      <c r="B721" s="1" t="s">
        <v>15</v>
      </c>
      <c r="C721" s="1">
        <v>12</v>
      </c>
      <c r="D721" s="1">
        <v>3</v>
      </c>
      <c r="E721" s="14">
        <v>56.53</v>
      </c>
      <c r="F721" s="1" t="s">
        <v>19</v>
      </c>
      <c r="G721" s="1">
        <v>1</v>
      </c>
      <c r="H721" s="1" t="s">
        <v>16</v>
      </c>
      <c r="I721" s="1" t="s">
        <v>16</v>
      </c>
      <c r="J721" s="1" t="s">
        <v>16</v>
      </c>
      <c r="K721" s="1" t="s">
        <v>17</v>
      </c>
      <c r="L721" s="1" t="s">
        <v>17</v>
      </c>
      <c r="M721" s="1" t="s">
        <v>17</v>
      </c>
      <c r="N721" s="1" t="s">
        <v>16</v>
      </c>
    </row>
    <row r="722" spans="1:14" x14ac:dyDescent="0.25">
      <c r="A722" s="9">
        <v>45334</v>
      </c>
      <c r="B722" s="1" t="s">
        <v>15</v>
      </c>
      <c r="C722" s="1">
        <v>13</v>
      </c>
      <c r="D722" s="1">
        <v>3</v>
      </c>
      <c r="E722" s="14">
        <v>49.52</v>
      </c>
      <c r="F722" s="1" t="s">
        <v>18</v>
      </c>
      <c r="G722" s="1">
        <v>2</v>
      </c>
      <c r="H722" s="1" t="s">
        <v>16</v>
      </c>
      <c r="I722" s="1" t="s">
        <v>16</v>
      </c>
      <c r="J722" s="1" t="s">
        <v>16</v>
      </c>
      <c r="K722" s="1" t="s">
        <v>17</v>
      </c>
      <c r="L722" s="1" t="s">
        <v>17</v>
      </c>
      <c r="M722" s="1" t="s">
        <v>17</v>
      </c>
      <c r="N722" s="1" t="s">
        <v>16</v>
      </c>
    </row>
    <row r="723" spans="1:14" x14ac:dyDescent="0.25">
      <c r="A723" s="9">
        <v>45334</v>
      </c>
      <c r="B723" s="1" t="s">
        <v>15</v>
      </c>
      <c r="C723" s="1">
        <v>14</v>
      </c>
      <c r="D723" s="1">
        <v>3</v>
      </c>
      <c r="E723" s="14">
        <v>49.18</v>
      </c>
      <c r="F723" s="1" t="s">
        <v>19</v>
      </c>
      <c r="G723" s="1">
        <v>2</v>
      </c>
      <c r="H723" s="1" t="s">
        <v>16</v>
      </c>
      <c r="I723" s="1" t="s">
        <v>16</v>
      </c>
      <c r="J723" s="1" t="s">
        <v>16</v>
      </c>
      <c r="K723" s="1" t="s">
        <v>17</v>
      </c>
      <c r="L723" s="1" t="s">
        <v>17</v>
      </c>
      <c r="M723" s="1" t="s">
        <v>17</v>
      </c>
      <c r="N723" s="1" t="s">
        <v>16</v>
      </c>
    </row>
    <row r="724" spans="1:14" x14ac:dyDescent="0.25">
      <c r="A724" s="9">
        <v>45334</v>
      </c>
      <c r="B724" s="1" t="s">
        <v>15</v>
      </c>
      <c r="C724" s="1">
        <v>15</v>
      </c>
      <c r="D724" s="1">
        <v>3</v>
      </c>
      <c r="E724" s="14">
        <v>50.59</v>
      </c>
      <c r="F724" s="1" t="s">
        <v>18</v>
      </c>
      <c r="G724" s="1">
        <v>1</v>
      </c>
      <c r="H724" s="1" t="s">
        <v>16</v>
      </c>
      <c r="I724" s="1" t="s">
        <v>16</v>
      </c>
      <c r="J724" s="1" t="s">
        <v>16</v>
      </c>
      <c r="K724" s="1" t="s">
        <v>17</v>
      </c>
      <c r="L724" s="1" t="s">
        <v>17</v>
      </c>
      <c r="M724" s="1" t="s">
        <v>17</v>
      </c>
      <c r="N724" s="1" t="s">
        <v>16</v>
      </c>
    </row>
    <row r="725" spans="1:14" x14ac:dyDescent="0.25">
      <c r="A725" s="9">
        <v>45357</v>
      </c>
      <c r="B725" s="1" t="s">
        <v>15</v>
      </c>
      <c r="C725" s="1">
        <v>1</v>
      </c>
      <c r="D725" s="1">
        <v>1</v>
      </c>
      <c r="E725" s="14">
        <v>57.75</v>
      </c>
      <c r="F725" s="1" t="s">
        <v>18</v>
      </c>
      <c r="G725" s="1">
        <v>2</v>
      </c>
      <c r="H725" s="1" t="s">
        <v>16</v>
      </c>
      <c r="I725" s="1" t="s">
        <v>16</v>
      </c>
      <c r="J725" s="1" t="s">
        <v>16</v>
      </c>
      <c r="K725" s="1" t="s">
        <v>17</v>
      </c>
      <c r="L725" s="1" t="s">
        <v>17</v>
      </c>
      <c r="M725" s="1" t="s">
        <v>17</v>
      </c>
      <c r="N725" s="1" t="s">
        <v>16</v>
      </c>
    </row>
    <row r="726" spans="1:14" x14ac:dyDescent="0.25">
      <c r="A726" s="9">
        <v>45357</v>
      </c>
      <c r="B726" s="1" t="s">
        <v>15</v>
      </c>
      <c r="C726" s="1">
        <v>2</v>
      </c>
      <c r="D726" s="1">
        <v>1</v>
      </c>
      <c r="E726" s="14">
        <v>35.58</v>
      </c>
      <c r="F726" s="1" t="s">
        <v>19</v>
      </c>
      <c r="G726" s="1">
        <v>2</v>
      </c>
      <c r="H726" s="1" t="s">
        <v>16</v>
      </c>
      <c r="I726" s="1" t="s">
        <v>16</v>
      </c>
      <c r="J726" s="1" t="s">
        <v>16</v>
      </c>
      <c r="K726" s="1" t="s">
        <v>17</v>
      </c>
      <c r="L726" s="1" t="s">
        <v>17</v>
      </c>
      <c r="M726" s="1" t="s">
        <v>17</v>
      </c>
      <c r="N726" s="1" t="s">
        <v>16</v>
      </c>
    </row>
    <row r="727" spans="1:14" x14ac:dyDescent="0.25">
      <c r="A727" s="9">
        <v>45357</v>
      </c>
      <c r="B727" s="1" t="s">
        <v>15</v>
      </c>
      <c r="C727" s="1">
        <v>3</v>
      </c>
      <c r="D727" s="1">
        <v>1</v>
      </c>
      <c r="E727" s="14">
        <v>62.48</v>
      </c>
      <c r="F727" s="1" t="s">
        <v>16</v>
      </c>
      <c r="G727" s="1">
        <v>4</v>
      </c>
      <c r="H727" s="1" t="s">
        <v>16</v>
      </c>
      <c r="I727" s="1" t="s">
        <v>16</v>
      </c>
      <c r="J727" s="1" t="s">
        <v>16</v>
      </c>
      <c r="K727" s="1" t="s">
        <v>17</v>
      </c>
      <c r="L727" s="1" t="s">
        <v>17</v>
      </c>
      <c r="M727" s="1" t="s">
        <v>17</v>
      </c>
      <c r="N727" s="1" t="s">
        <v>16</v>
      </c>
    </row>
    <row r="728" spans="1:14" x14ac:dyDescent="0.25">
      <c r="A728" s="9">
        <v>45357</v>
      </c>
      <c r="B728" s="1" t="s">
        <v>15</v>
      </c>
      <c r="C728" s="1">
        <v>4</v>
      </c>
      <c r="D728" s="1">
        <v>1</v>
      </c>
      <c r="E728" s="14">
        <v>65.33</v>
      </c>
      <c r="F728" s="1" t="s">
        <v>16</v>
      </c>
      <c r="G728" s="1">
        <v>4</v>
      </c>
      <c r="H728" s="1" t="s">
        <v>16</v>
      </c>
      <c r="I728" s="1" t="s">
        <v>16</v>
      </c>
      <c r="J728" s="1" t="s">
        <v>16</v>
      </c>
      <c r="K728" s="1" t="s">
        <v>21</v>
      </c>
      <c r="L728" s="1" t="s">
        <v>17</v>
      </c>
      <c r="M728" s="1" t="s">
        <v>17</v>
      </c>
      <c r="N728" s="1" t="s">
        <v>16</v>
      </c>
    </row>
    <row r="729" spans="1:14" x14ac:dyDescent="0.25">
      <c r="A729" s="9">
        <v>45357</v>
      </c>
      <c r="B729" s="1" t="s">
        <v>15</v>
      </c>
      <c r="C729" s="1">
        <v>5</v>
      </c>
      <c r="D729" s="1">
        <v>1</v>
      </c>
      <c r="E729" s="14">
        <v>57.39</v>
      </c>
      <c r="F729" s="1" t="s">
        <v>18</v>
      </c>
      <c r="G729" s="1">
        <v>2</v>
      </c>
      <c r="H729" s="1" t="s">
        <v>16</v>
      </c>
      <c r="I729" s="1" t="s">
        <v>16</v>
      </c>
      <c r="J729" s="1" t="s">
        <v>16</v>
      </c>
      <c r="K729" s="1" t="s">
        <v>17</v>
      </c>
      <c r="L729" s="1" t="s">
        <v>17</v>
      </c>
      <c r="M729" s="1" t="s">
        <v>17</v>
      </c>
      <c r="N729" s="1" t="s">
        <v>16</v>
      </c>
    </row>
    <row r="730" spans="1:14" x14ac:dyDescent="0.25">
      <c r="A730" s="9">
        <v>45357</v>
      </c>
      <c r="B730" s="1" t="s">
        <v>15</v>
      </c>
      <c r="C730" s="1">
        <v>6</v>
      </c>
      <c r="D730" s="1">
        <v>2</v>
      </c>
      <c r="E730" s="14">
        <v>52.03</v>
      </c>
      <c r="F730" s="1" t="s">
        <v>18</v>
      </c>
      <c r="G730" s="1">
        <v>2</v>
      </c>
      <c r="H730" s="1" t="s">
        <v>16</v>
      </c>
      <c r="I730" s="1" t="s">
        <v>16</v>
      </c>
      <c r="J730" s="1" t="s">
        <v>16</v>
      </c>
      <c r="K730" s="1" t="s">
        <v>17</v>
      </c>
      <c r="L730" s="1" t="s">
        <v>17</v>
      </c>
      <c r="M730" s="1" t="s">
        <v>17</v>
      </c>
      <c r="N730" s="1" t="s">
        <v>16</v>
      </c>
    </row>
    <row r="731" spans="1:14" x14ac:dyDescent="0.25">
      <c r="A731" s="9">
        <v>45357</v>
      </c>
      <c r="B731" s="1" t="s">
        <v>15</v>
      </c>
      <c r="C731" s="1">
        <v>7</v>
      </c>
      <c r="D731" s="1">
        <v>2</v>
      </c>
      <c r="E731" s="14">
        <v>49.47</v>
      </c>
      <c r="F731" s="1" t="s">
        <v>19</v>
      </c>
      <c r="G731" s="1">
        <v>2</v>
      </c>
      <c r="H731" s="1" t="s">
        <v>16</v>
      </c>
      <c r="I731" s="1" t="s">
        <v>16</v>
      </c>
      <c r="J731" s="1" t="s">
        <v>16</v>
      </c>
      <c r="K731" s="1" t="s">
        <v>17</v>
      </c>
      <c r="L731" s="1" t="s">
        <v>17</v>
      </c>
      <c r="M731" s="1" t="s">
        <v>17</v>
      </c>
      <c r="N731" s="1" t="s">
        <v>16</v>
      </c>
    </row>
    <row r="732" spans="1:14" x14ac:dyDescent="0.25">
      <c r="A732" s="9">
        <v>45357</v>
      </c>
      <c r="B732" s="1" t="s">
        <v>15</v>
      </c>
      <c r="C732" s="1">
        <v>8</v>
      </c>
      <c r="D732" s="1">
        <v>2</v>
      </c>
      <c r="E732" s="14">
        <v>41.77</v>
      </c>
      <c r="F732" s="1" t="s">
        <v>18</v>
      </c>
      <c r="G732" s="1">
        <v>2</v>
      </c>
      <c r="H732" s="1" t="s">
        <v>16</v>
      </c>
      <c r="I732" s="1" t="s">
        <v>16</v>
      </c>
      <c r="J732" s="1" t="s">
        <v>16</v>
      </c>
      <c r="K732" s="1" t="s">
        <v>17</v>
      </c>
      <c r="L732" s="1" t="s">
        <v>17</v>
      </c>
      <c r="M732" s="1" t="s">
        <v>17</v>
      </c>
      <c r="N732" s="1" t="s">
        <v>16</v>
      </c>
    </row>
    <row r="733" spans="1:14" x14ac:dyDescent="0.25">
      <c r="A733" s="9">
        <v>45357</v>
      </c>
      <c r="B733" s="1" t="s">
        <v>15</v>
      </c>
      <c r="C733" s="1">
        <v>9</v>
      </c>
      <c r="D733" s="1">
        <v>2</v>
      </c>
      <c r="E733" s="14">
        <v>44.67</v>
      </c>
      <c r="F733" s="1" t="s">
        <v>18</v>
      </c>
      <c r="G733" s="1">
        <v>2</v>
      </c>
      <c r="H733" s="1" t="s">
        <v>16</v>
      </c>
      <c r="I733" s="1" t="s">
        <v>16</v>
      </c>
      <c r="J733" s="1" t="s">
        <v>16</v>
      </c>
      <c r="K733" s="1" t="s">
        <v>17</v>
      </c>
      <c r="L733" s="1" t="s">
        <v>17</v>
      </c>
      <c r="M733" s="1" t="s">
        <v>17</v>
      </c>
      <c r="N733" s="1" t="s">
        <v>16</v>
      </c>
    </row>
    <row r="734" spans="1:14" x14ac:dyDescent="0.25">
      <c r="A734" s="9">
        <v>45357</v>
      </c>
      <c r="B734" s="1" t="s">
        <v>15</v>
      </c>
      <c r="C734" s="1">
        <v>10</v>
      </c>
      <c r="D734" s="1">
        <v>2</v>
      </c>
      <c r="E734" s="14">
        <v>44.48</v>
      </c>
      <c r="F734" s="1" t="s">
        <v>18</v>
      </c>
      <c r="G734" s="1">
        <v>2</v>
      </c>
      <c r="H734" s="1" t="s">
        <v>16</v>
      </c>
      <c r="I734" s="1" t="s">
        <v>16</v>
      </c>
      <c r="J734" s="1" t="s">
        <v>16</v>
      </c>
      <c r="K734" s="1" t="s">
        <v>17</v>
      </c>
      <c r="L734" s="1" t="s">
        <v>17</v>
      </c>
      <c r="M734" s="1" t="s">
        <v>17</v>
      </c>
      <c r="N734" s="1" t="s">
        <v>16</v>
      </c>
    </row>
    <row r="735" spans="1:14" x14ac:dyDescent="0.25">
      <c r="A735" s="9">
        <v>45357</v>
      </c>
      <c r="B735" s="1" t="s">
        <v>15</v>
      </c>
      <c r="C735" s="1">
        <v>11</v>
      </c>
      <c r="D735" s="1">
        <v>3</v>
      </c>
      <c r="E735" s="14">
        <v>56.49</v>
      </c>
      <c r="F735" s="1" t="s">
        <v>18</v>
      </c>
      <c r="G735" s="1">
        <v>2</v>
      </c>
      <c r="H735" s="1" t="s">
        <v>16</v>
      </c>
      <c r="I735" s="1" t="s">
        <v>16</v>
      </c>
      <c r="J735" s="1" t="s">
        <v>16</v>
      </c>
      <c r="K735" s="1" t="s">
        <v>17</v>
      </c>
      <c r="L735" s="1" t="s">
        <v>17</v>
      </c>
      <c r="M735" s="1" t="s">
        <v>17</v>
      </c>
      <c r="N735" s="1" t="s">
        <v>16</v>
      </c>
    </row>
    <row r="736" spans="1:14" x14ac:dyDescent="0.25">
      <c r="A736" s="9">
        <v>45357</v>
      </c>
      <c r="B736" s="1" t="s">
        <v>15</v>
      </c>
      <c r="C736" s="1">
        <v>12</v>
      </c>
      <c r="D736" s="1">
        <v>3</v>
      </c>
      <c r="E736" s="14">
        <v>46.01</v>
      </c>
      <c r="F736" s="1" t="s">
        <v>18</v>
      </c>
      <c r="G736" s="1">
        <v>2</v>
      </c>
      <c r="H736" s="1" t="s">
        <v>16</v>
      </c>
      <c r="I736" s="1" t="s">
        <v>16</v>
      </c>
      <c r="J736" s="1" t="s">
        <v>16</v>
      </c>
      <c r="K736" s="1" t="s">
        <v>17</v>
      </c>
      <c r="L736" s="1" t="s">
        <v>17</v>
      </c>
      <c r="M736" s="1" t="s">
        <v>17</v>
      </c>
      <c r="N736" s="1" t="s">
        <v>16</v>
      </c>
    </row>
    <row r="737" spans="1:14" x14ac:dyDescent="0.25">
      <c r="A737" s="9">
        <v>45357</v>
      </c>
      <c r="B737" s="1" t="s">
        <v>15</v>
      </c>
      <c r="C737" s="1">
        <v>13</v>
      </c>
      <c r="D737" s="1">
        <v>3</v>
      </c>
      <c r="E737" s="14">
        <v>45.04</v>
      </c>
      <c r="F737" s="1" t="s">
        <v>19</v>
      </c>
      <c r="G737" s="1">
        <v>2</v>
      </c>
      <c r="H737" s="1" t="s">
        <v>16</v>
      </c>
      <c r="I737" s="1" t="s">
        <v>16</v>
      </c>
      <c r="J737" s="1" t="s">
        <v>16</v>
      </c>
      <c r="K737" s="1" t="s">
        <v>17</v>
      </c>
      <c r="L737" s="1" t="s">
        <v>17</v>
      </c>
      <c r="M737" s="1" t="s">
        <v>17</v>
      </c>
      <c r="N737" s="1" t="s">
        <v>16</v>
      </c>
    </row>
    <row r="738" spans="1:14" x14ac:dyDescent="0.25">
      <c r="A738" s="9">
        <v>45357</v>
      </c>
      <c r="B738" s="1" t="s">
        <v>15</v>
      </c>
      <c r="C738" s="1">
        <v>14</v>
      </c>
      <c r="D738" s="1">
        <v>3</v>
      </c>
      <c r="E738" s="14">
        <v>47.95</v>
      </c>
      <c r="F738" s="1" t="s">
        <v>18</v>
      </c>
      <c r="G738" s="1">
        <v>2</v>
      </c>
      <c r="H738" s="1" t="s">
        <v>16</v>
      </c>
      <c r="I738" s="1" t="s">
        <v>16</v>
      </c>
      <c r="J738" s="1" t="s">
        <v>16</v>
      </c>
      <c r="K738" s="1" t="s">
        <v>17</v>
      </c>
      <c r="L738" s="1" t="s">
        <v>17</v>
      </c>
      <c r="M738" s="1" t="s">
        <v>17</v>
      </c>
      <c r="N738" s="1" t="s">
        <v>16</v>
      </c>
    </row>
    <row r="739" spans="1:14" x14ac:dyDescent="0.25">
      <c r="A739" s="9">
        <v>45357</v>
      </c>
      <c r="B739" s="1" t="s">
        <v>15</v>
      </c>
      <c r="C739" s="1">
        <v>15</v>
      </c>
      <c r="D739" s="1">
        <v>3</v>
      </c>
      <c r="E739" s="14">
        <v>45.95</v>
      </c>
      <c r="F739" s="1" t="s">
        <v>18</v>
      </c>
      <c r="G739" s="1">
        <v>2</v>
      </c>
      <c r="H739" s="1" t="s">
        <v>16</v>
      </c>
      <c r="I739" s="1" t="s">
        <v>16</v>
      </c>
      <c r="J739" s="1" t="s">
        <v>16</v>
      </c>
      <c r="K739" s="1" t="s">
        <v>17</v>
      </c>
      <c r="L739" s="1" t="s">
        <v>17</v>
      </c>
      <c r="M739" s="1" t="s">
        <v>17</v>
      </c>
      <c r="N739" s="1" t="s">
        <v>16</v>
      </c>
    </row>
    <row r="740" spans="1:14" x14ac:dyDescent="0.25">
      <c r="A740" s="9">
        <v>45391</v>
      </c>
      <c r="B740" s="1" t="s">
        <v>15</v>
      </c>
      <c r="C740" s="1">
        <v>1</v>
      </c>
      <c r="D740" s="1">
        <v>1</v>
      </c>
      <c r="E740" s="14">
        <v>59.77</v>
      </c>
      <c r="F740" s="1" t="s">
        <v>18</v>
      </c>
      <c r="G740" s="1">
        <v>2</v>
      </c>
      <c r="H740" s="1" t="s">
        <v>16</v>
      </c>
      <c r="I740" s="1" t="s">
        <v>16</v>
      </c>
      <c r="J740" s="1" t="s">
        <v>16</v>
      </c>
      <c r="K740" s="1" t="s">
        <v>17</v>
      </c>
      <c r="L740" s="1" t="s">
        <v>17</v>
      </c>
      <c r="M740" s="1" t="s">
        <v>17</v>
      </c>
      <c r="N740" s="1" t="s">
        <v>16</v>
      </c>
    </row>
    <row r="741" spans="1:14" x14ac:dyDescent="0.25">
      <c r="A741" s="9">
        <v>45391</v>
      </c>
      <c r="B741" s="1" t="s">
        <v>15</v>
      </c>
      <c r="C741" s="1">
        <v>2</v>
      </c>
      <c r="D741" s="1">
        <v>1</v>
      </c>
      <c r="E741" s="14">
        <v>48.13</v>
      </c>
      <c r="F741" s="1" t="s">
        <v>19</v>
      </c>
      <c r="G741" s="1">
        <v>2</v>
      </c>
      <c r="H741" s="1" t="s">
        <v>16</v>
      </c>
      <c r="I741" s="1" t="s">
        <v>16</v>
      </c>
      <c r="J741" s="1" t="s">
        <v>16</v>
      </c>
      <c r="K741" s="1" t="s">
        <v>17</v>
      </c>
      <c r="L741" s="1" t="s">
        <v>17</v>
      </c>
      <c r="M741" s="1" t="s">
        <v>17</v>
      </c>
      <c r="N741" s="1" t="s">
        <v>16</v>
      </c>
    </row>
    <row r="742" spans="1:14" x14ac:dyDescent="0.25">
      <c r="A742" s="9">
        <v>45391</v>
      </c>
      <c r="B742" s="1" t="s">
        <v>15</v>
      </c>
      <c r="C742" s="1">
        <v>3</v>
      </c>
      <c r="D742" s="1">
        <v>1</v>
      </c>
      <c r="E742" s="14">
        <v>35.729999999999997</v>
      </c>
      <c r="F742" s="1" t="s">
        <v>19</v>
      </c>
      <c r="G742" s="1">
        <v>2</v>
      </c>
      <c r="H742" s="1" t="s">
        <v>16</v>
      </c>
      <c r="I742" s="1" t="s">
        <v>16</v>
      </c>
      <c r="J742" s="1" t="s">
        <v>16</v>
      </c>
      <c r="K742" s="1" t="s">
        <v>17</v>
      </c>
      <c r="L742" s="1" t="s">
        <v>17</v>
      </c>
      <c r="M742" s="1" t="s">
        <v>17</v>
      </c>
      <c r="N742" s="1" t="s">
        <v>16</v>
      </c>
    </row>
    <row r="743" spans="1:14" x14ac:dyDescent="0.25">
      <c r="A743" s="9">
        <v>45391</v>
      </c>
      <c r="B743" s="1" t="s">
        <v>15</v>
      </c>
      <c r="C743" s="1">
        <v>4</v>
      </c>
      <c r="D743" s="1">
        <v>1</v>
      </c>
      <c r="E743" s="14">
        <v>36.56</v>
      </c>
      <c r="F743" s="1" t="s">
        <v>18</v>
      </c>
      <c r="G743" s="1">
        <v>2</v>
      </c>
      <c r="H743" s="1" t="s">
        <v>16</v>
      </c>
      <c r="I743" s="1" t="s">
        <v>16</v>
      </c>
      <c r="J743" s="1" t="s">
        <v>16</v>
      </c>
      <c r="K743" s="1" t="s">
        <v>17</v>
      </c>
      <c r="L743" s="1" t="s">
        <v>17</v>
      </c>
      <c r="M743" s="1" t="s">
        <v>17</v>
      </c>
      <c r="N743" s="1" t="s">
        <v>16</v>
      </c>
    </row>
    <row r="744" spans="1:14" x14ac:dyDescent="0.25">
      <c r="A744" s="9">
        <v>45391</v>
      </c>
      <c r="B744" s="1" t="s">
        <v>15</v>
      </c>
      <c r="C744" s="1">
        <v>5</v>
      </c>
      <c r="D744" s="1">
        <v>1</v>
      </c>
      <c r="E744" s="14">
        <v>39.58</v>
      </c>
      <c r="F744" s="1" t="s">
        <v>16</v>
      </c>
      <c r="G744" s="1">
        <v>4</v>
      </c>
      <c r="H744" s="1" t="s">
        <v>16</v>
      </c>
      <c r="I744" s="1" t="s">
        <v>16</v>
      </c>
      <c r="J744" s="1" t="s">
        <v>16</v>
      </c>
      <c r="K744" s="1" t="s">
        <v>21</v>
      </c>
      <c r="L744" s="1" t="s">
        <v>17</v>
      </c>
      <c r="M744" s="1" t="s">
        <v>17</v>
      </c>
      <c r="N744" s="1" t="s">
        <v>16</v>
      </c>
    </row>
    <row r="745" spans="1:14" x14ac:dyDescent="0.25">
      <c r="A745" s="9">
        <v>45391</v>
      </c>
      <c r="B745" s="1" t="s">
        <v>15</v>
      </c>
      <c r="C745" s="1">
        <v>6</v>
      </c>
      <c r="D745" s="1">
        <v>2</v>
      </c>
      <c r="E745" s="14">
        <v>66.650000000000006</v>
      </c>
      <c r="F745" s="1" t="s">
        <v>19</v>
      </c>
      <c r="G745" s="1">
        <v>2</v>
      </c>
      <c r="H745" s="1" t="s">
        <v>16</v>
      </c>
      <c r="I745" s="1" t="s">
        <v>16</v>
      </c>
      <c r="J745" s="1" t="s">
        <v>16</v>
      </c>
      <c r="K745" s="1" t="s">
        <v>17</v>
      </c>
      <c r="L745" s="1" t="s">
        <v>17</v>
      </c>
      <c r="M745" s="1" t="s">
        <v>17</v>
      </c>
      <c r="N745" s="1" t="s">
        <v>16</v>
      </c>
    </row>
    <row r="746" spans="1:14" x14ac:dyDescent="0.25">
      <c r="A746" s="9">
        <v>45391</v>
      </c>
      <c r="B746" s="1" t="s">
        <v>15</v>
      </c>
      <c r="C746" s="1">
        <v>7</v>
      </c>
      <c r="D746" s="1">
        <v>2</v>
      </c>
      <c r="E746" s="14">
        <v>67.42</v>
      </c>
      <c r="F746" s="1" t="s">
        <v>19</v>
      </c>
      <c r="G746" s="1">
        <v>2</v>
      </c>
      <c r="H746" s="1" t="s">
        <v>16</v>
      </c>
      <c r="I746" s="1" t="s">
        <v>16</v>
      </c>
      <c r="J746" s="1" t="s">
        <v>16</v>
      </c>
      <c r="K746" s="1" t="s">
        <v>17</v>
      </c>
      <c r="L746" s="1" t="s">
        <v>17</v>
      </c>
      <c r="M746" s="1" t="s">
        <v>17</v>
      </c>
      <c r="N746" s="1" t="s">
        <v>16</v>
      </c>
    </row>
    <row r="747" spans="1:14" x14ac:dyDescent="0.25">
      <c r="A747" s="9">
        <v>45391</v>
      </c>
      <c r="B747" s="1" t="s">
        <v>15</v>
      </c>
      <c r="C747" s="1">
        <v>8</v>
      </c>
      <c r="D747" s="1">
        <v>2</v>
      </c>
      <c r="E747" s="14">
        <v>53.72</v>
      </c>
      <c r="F747" s="1" t="s">
        <v>19</v>
      </c>
      <c r="G747" s="1">
        <v>2</v>
      </c>
      <c r="H747" s="1" t="s">
        <v>16</v>
      </c>
      <c r="I747" s="1" t="s">
        <v>16</v>
      </c>
      <c r="J747" s="1" t="s">
        <v>16</v>
      </c>
      <c r="K747" s="1" t="s">
        <v>17</v>
      </c>
      <c r="L747" s="1" t="s">
        <v>17</v>
      </c>
      <c r="M747" s="1" t="s">
        <v>17</v>
      </c>
      <c r="N747" s="1" t="s">
        <v>16</v>
      </c>
    </row>
    <row r="748" spans="1:14" x14ac:dyDescent="0.25">
      <c r="A748" s="9">
        <v>45391</v>
      </c>
      <c r="B748" s="1" t="s">
        <v>15</v>
      </c>
      <c r="C748" s="1">
        <v>9</v>
      </c>
      <c r="D748" s="1">
        <v>2</v>
      </c>
      <c r="E748" s="14">
        <v>75.36</v>
      </c>
      <c r="F748" s="1" t="s">
        <v>18</v>
      </c>
      <c r="G748" s="1">
        <v>3</v>
      </c>
      <c r="H748" s="1" t="s">
        <v>16</v>
      </c>
      <c r="I748" s="1" t="s">
        <v>16</v>
      </c>
      <c r="J748" s="1" t="s">
        <v>16</v>
      </c>
      <c r="K748" s="1" t="s">
        <v>17</v>
      </c>
      <c r="L748" s="1" t="s">
        <v>17</v>
      </c>
      <c r="M748" s="1" t="s">
        <v>17</v>
      </c>
      <c r="N748" s="1" t="s">
        <v>16</v>
      </c>
    </row>
    <row r="749" spans="1:14" x14ac:dyDescent="0.25">
      <c r="A749" s="9">
        <v>45391</v>
      </c>
      <c r="B749" s="1" t="s">
        <v>15</v>
      </c>
      <c r="C749" s="1">
        <v>10</v>
      </c>
      <c r="D749" s="1">
        <v>2</v>
      </c>
      <c r="E749" s="14">
        <v>54.87</v>
      </c>
      <c r="F749" s="1" t="s">
        <v>18</v>
      </c>
      <c r="G749" s="1">
        <v>2</v>
      </c>
      <c r="H749" s="1" t="s">
        <v>16</v>
      </c>
      <c r="I749" s="1" t="s">
        <v>16</v>
      </c>
      <c r="J749" s="1" t="s">
        <v>16</v>
      </c>
      <c r="K749" s="1" t="s">
        <v>17</v>
      </c>
      <c r="L749" s="1" t="s">
        <v>17</v>
      </c>
      <c r="M749" s="1" t="s">
        <v>17</v>
      </c>
      <c r="N749" s="1" t="s">
        <v>16</v>
      </c>
    </row>
    <row r="750" spans="1:14" x14ac:dyDescent="0.25">
      <c r="A750" s="9">
        <v>45391</v>
      </c>
      <c r="B750" s="1" t="s">
        <v>15</v>
      </c>
      <c r="C750" s="1">
        <v>11</v>
      </c>
      <c r="D750" s="1">
        <v>3</v>
      </c>
      <c r="E750" s="14">
        <v>54.05</v>
      </c>
      <c r="F750" s="1" t="s">
        <v>19</v>
      </c>
      <c r="G750" s="1">
        <v>2</v>
      </c>
      <c r="H750" s="1" t="s">
        <v>16</v>
      </c>
      <c r="I750" s="1" t="s">
        <v>16</v>
      </c>
      <c r="J750" s="1" t="s">
        <v>16</v>
      </c>
      <c r="K750" s="1" t="s">
        <v>17</v>
      </c>
      <c r="L750" s="1" t="s">
        <v>17</v>
      </c>
      <c r="M750" s="1" t="s">
        <v>17</v>
      </c>
      <c r="N750" s="1" t="s">
        <v>16</v>
      </c>
    </row>
    <row r="751" spans="1:14" x14ac:dyDescent="0.25">
      <c r="A751" s="9">
        <v>45391</v>
      </c>
      <c r="B751" s="1" t="s">
        <v>15</v>
      </c>
      <c r="C751" s="1">
        <v>12</v>
      </c>
      <c r="D751" s="1">
        <v>3</v>
      </c>
      <c r="E751" s="14">
        <v>48.67</v>
      </c>
      <c r="F751" s="1" t="s">
        <v>18</v>
      </c>
      <c r="G751" s="1">
        <v>2</v>
      </c>
      <c r="H751" s="1" t="s">
        <v>16</v>
      </c>
      <c r="I751" s="1" t="s">
        <v>16</v>
      </c>
      <c r="J751" s="1" t="s">
        <v>16</v>
      </c>
      <c r="K751" s="1" t="s">
        <v>17</v>
      </c>
      <c r="L751" s="1" t="s">
        <v>17</v>
      </c>
      <c r="M751" s="1" t="s">
        <v>17</v>
      </c>
      <c r="N751" s="1" t="s">
        <v>16</v>
      </c>
    </row>
    <row r="752" spans="1:14" x14ac:dyDescent="0.25">
      <c r="A752" s="9">
        <v>45391</v>
      </c>
      <c r="B752" s="1" t="s">
        <v>15</v>
      </c>
      <c r="C752" s="1">
        <v>13</v>
      </c>
      <c r="D752" s="1">
        <v>3</v>
      </c>
      <c r="E752" s="14">
        <v>40.61</v>
      </c>
      <c r="F752" s="1" t="s">
        <v>18</v>
      </c>
      <c r="G752" s="1">
        <v>3</v>
      </c>
      <c r="H752" s="1" t="s">
        <v>16</v>
      </c>
      <c r="I752" s="1" t="s">
        <v>16</v>
      </c>
      <c r="J752" s="1" t="s">
        <v>16</v>
      </c>
      <c r="K752" s="1" t="s">
        <v>17</v>
      </c>
      <c r="L752" s="1" t="s">
        <v>17</v>
      </c>
      <c r="M752" s="1" t="s">
        <v>17</v>
      </c>
      <c r="N752" s="1" t="s">
        <v>16</v>
      </c>
    </row>
    <row r="753" spans="1:14" x14ac:dyDescent="0.25">
      <c r="A753" s="9">
        <v>45391</v>
      </c>
      <c r="B753" s="1" t="s">
        <v>15</v>
      </c>
      <c r="C753" s="1">
        <v>14</v>
      </c>
      <c r="D753" s="1">
        <v>3</v>
      </c>
      <c r="E753" s="14">
        <v>50.66</v>
      </c>
      <c r="F753" s="1" t="s">
        <v>18</v>
      </c>
      <c r="G753" s="1">
        <v>2</v>
      </c>
      <c r="H753" s="1" t="s">
        <v>16</v>
      </c>
      <c r="I753" s="1" t="s">
        <v>16</v>
      </c>
      <c r="J753" s="1" t="s">
        <v>16</v>
      </c>
      <c r="K753" s="1" t="s">
        <v>17</v>
      </c>
      <c r="L753" s="1" t="s">
        <v>17</v>
      </c>
      <c r="M753" s="1" t="s">
        <v>17</v>
      </c>
      <c r="N753" s="1" t="s">
        <v>16</v>
      </c>
    </row>
    <row r="754" spans="1:14" x14ac:dyDescent="0.25">
      <c r="A754" s="9">
        <v>45391</v>
      </c>
      <c r="B754" s="1" t="s">
        <v>15</v>
      </c>
      <c r="C754" s="1">
        <v>15</v>
      </c>
      <c r="D754" s="1">
        <v>3</v>
      </c>
      <c r="E754" s="14">
        <v>40.159999999999997</v>
      </c>
      <c r="F754" s="1" t="s">
        <v>19</v>
      </c>
      <c r="G754" s="1">
        <v>2</v>
      </c>
      <c r="H754" s="1" t="s">
        <v>16</v>
      </c>
      <c r="I754" s="1" t="s">
        <v>16</v>
      </c>
      <c r="J754" s="1" t="s">
        <v>16</v>
      </c>
      <c r="K754" s="1" t="s">
        <v>17</v>
      </c>
      <c r="L754" s="1" t="s">
        <v>17</v>
      </c>
      <c r="M754" s="1" t="s">
        <v>17</v>
      </c>
      <c r="N754" s="1" t="s">
        <v>16</v>
      </c>
    </row>
    <row r="755" spans="1:14" x14ac:dyDescent="0.25">
      <c r="A755" s="9">
        <v>43837</v>
      </c>
      <c r="B755" s="1" t="s">
        <v>22</v>
      </c>
      <c r="C755" s="1">
        <v>1</v>
      </c>
      <c r="D755" s="1">
        <v>1</v>
      </c>
      <c r="E755" s="5">
        <v>43.13</v>
      </c>
      <c r="F755" s="1" t="s">
        <v>18</v>
      </c>
      <c r="G755" s="1">
        <v>3</v>
      </c>
      <c r="H755" s="1" t="s">
        <v>16</v>
      </c>
      <c r="I755" s="1" t="s">
        <v>16</v>
      </c>
      <c r="J755" s="1" t="s">
        <v>16</v>
      </c>
      <c r="K755" s="1" t="s">
        <v>17</v>
      </c>
      <c r="L755" s="1" t="s">
        <v>17</v>
      </c>
      <c r="M755" s="1" t="s">
        <v>17</v>
      </c>
      <c r="N755" s="1" t="s">
        <v>16</v>
      </c>
    </row>
    <row r="756" spans="1:14" x14ac:dyDescent="0.25">
      <c r="A756" s="9">
        <v>43837</v>
      </c>
      <c r="B756" s="1" t="s">
        <v>22</v>
      </c>
      <c r="C756" s="1">
        <v>2</v>
      </c>
      <c r="D756" s="1">
        <v>1</v>
      </c>
      <c r="E756" s="5">
        <v>56.97</v>
      </c>
      <c r="F756" s="1" t="s">
        <v>16</v>
      </c>
      <c r="G756" s="1">
        <v>4</v>
      </c>
      <c r="H756" s="1" t="s">
        <v>16</v>
      </c>
      <c r="I756" s="1" t="s">
        <v>16</v>
      </c>
      <c r="J756" s="1" t="s">
        <v>16</v>
      </c>
      <c r="K756" s="1" t="s">
        <v>17</v>
      </c>
      <c r="L756" s="1" t="s">
        <v>17</v>
      </c>
      <c r="M756" s="1" t="s">
        <v>17</v>
      </c>
      <c r="N756" s="1" t="s">
        <v>16</v>
      </c>
    </row>
    <row r="757" spans="1:14" x14ac:dyDescent="0.25">
      <c r="A757" s="9">
        <v>43837</v>
      </c>
      <c r="B757" s="1" t="s">
        <v>22</v>
      </c>
      <c r="C757" s="1">
        <v>3</v>
      </c>
      <c r="D757" s="1">
        <v>1</v>
      </c>
      <c r="E757" s="5">
        <v>60.02</v>
      </c>
      <c r="F757" s="1" t="s">
        <v>16</v>
      </c>
      <c r="G757" s="1">
        <v>4</v>
      </c>
      <c r="H757" s="1" t="s">
        <v>16</v>
      </c>
      <c r="I757" s="1" t="s">
        <v>16</v>
      </c>
      <c r="J757" s="1" t="s">
        <v>16</v>
      </c>
      <c r="K757" s="1" t="s">
        <v>17</v>
      </c>
      <c r="L757" s="1" t="s">
        <v>17</v>
      </c>
      <c r="M757" s="1" t="s">
        <v>17</v>
      </c>
      <c r="N757" s="1" t="s">
        <v>16</v>
      </c>
    </row>
    <row r="758" spans="1:14" x14ac:dyDescent="0.25">
      <c r="A758" s="9">
        <v>43837</v>
      </c>
      <c r="B758" s="1" t="s">
        <v>22</v>
      </c>
      <c r="C758" s="1">
        <v>4</v>
      </c>
      <c r="D758" s="1">
        <v>1</v>
      </c>
      <c r="E758" s="5">
        <v>46.2</v>
      </c>
      <c r="F758" s="1" t="s">
        <v>18</v>
      </c>
      <c r="G758" s="1">
        <v>3</v>
      </c>
      <c r="H758" s="1" t="s">
        <v>16</v>
      </c>
      <c r="I758" s="1" t="s">
        <v>16</v>
      </c>
      <c r="J758" s="1" t="s">
        <v>16</v>
      </c>
      <c r="K758" s="1" t="s">
        <v>17</v>
      </c>
      <c r="L758" s="1" t="s">
        <v>17</v>
      </c>
      <c r="M758" s="1" t="s">
        <v>17</v>
      </c>
      <c r="N758" s="1" t="s">
        <v>16</v>
      </c>
    </row>
    <row r="759" spans="1:14" x14ac:dyDescent="0.25">
      <c r="A759" s="9">
        <v>43837</v>
      </c>
      <c r="B759" s="1" t="s">
        <v>22</v>
      </c>
      <c r="C759" s="1">
        <v>5</v>
      </c>
      <c r="D759" s="1">
        <v>1</v>
      </c>
      <c r="E759" s="5">
        <v>49.59</v>
      </c>
      <c r="F759" s="1" t="s">
        <v>16</v>
      </c>
      <c r="G759" s="1">
        <v>4</v>
      </c>
      <c r="H759" s="1" t="s">
        <v>16</v>
      </c>
      <c r="I759" s="1" t="s">
        <v>16</v>
      </c>
      <c r="J759" s="1" t="s">
        <v>16</v>
      </c>
      <c r="K759" s="1" t="s">
        <v>17</v>
      </c>
      <c r="L759" s="1" t="s">
        <v>17</v>
      </c>
      <c r="M759" s="1" t="s">
        <v>17</v>
      </c>
      <c r="N759" s="1" t="s">
        <v>16</v>
      </c>
    </row>
    <row r="760" spans="1:14" x14ac:dyDescent="0.25">
      <c r="A760" s="9">
        <v>43837</v>
      </c>
      <c r="B760" s="1" t="s">
        <v>22</v>
      </c>
      <c r="C760" s="1">
        <v>6</v>
      </c>
      <c r="D760" s="1">
        <v>2</v>
      </c>
      <c r="E760" s="5">
        <v>58.79</v>
      </c>
      <c r="F760" s="1" t="s">
        <v>18</v>
      </c>
      <c r="G760" s="1">
        <v>1</v>
      </c>
      <c r="H760" s="1" t="s">
        <v>16</v>
      </c>
      <c r="I760" s="1" t="s">
        <v>16</v>
      </c>
      <c r="J760" s="1" t="s">
        <v>16</v>
      </c>
      <c r="K760" s="1" t="s">
        <v>17</v>
      </c>
      <c r="L760" s="1" t="s">
        <v>17</v>
      </c>
      <c r="M760" s="1" t="s">
        <v>17</v>
      </c>
      <c r="N760" s="1" t="s">
        <v>16</v>
      </c>
    </row>
    <row r="761" spans="1:14" x14ac:dyDescent="0.25">
      <c r="A761" s="9">
        <v>43837</v>
      </c>
      <c r="B761" s="1" t="s">
        <v>22</v>
      </c>
      <c r="C761" s="1">
        <v>7</v>
      </c>
      <c r="D761" s="1">
        <v>2</v>
      </c>
      <c r="E761" s="5">
        <v>69.47</v>
      </c>
      <c r="F761" s="1" t="s">
        <v>16</v>
      </c>
      <c r="G761" s="1">
        <v>4</v>
      </c>
      <c r="H761" s="1" t="s">
        <v>16</v>
      </c>
      <c r="I761" s="1" t="s">
        <v>16</v>
      </c>
      <c r="J761" s="1" t="s">
        <v>16</v>
      </c>
      <c r="K761" s="1" t="s">
        <v>17</v>
      </c>
      <c r="L761" s="1" t="s">
        <v>17</v>
      </c>
      <c r="M761" s="1" t="s">
        <v>17</v>
      </c>
      <c r="N761" s="1" t="s">
        <v>16</v>
      </c>
    </row>
    <row r="762" spans="1:14" x14ac:dyDescent="0.25">
      <c r="A762" s="9">
        <v>43837</v>
      </c>
      <c r="B762" s="1" t="s">
        <v>22</v>
      </c>
      <c r="C762" s="1">
        <v>8</v>
      </c>
      <c r="D762" s="1">
        <v>2</v>
      </c>
      <c r="E762" s="5">
        <v>50.7</v>
      </c>
      <c r="F762" s="1" t="s">
        <v>18</v>
      </c>
      <c r="G762" s="1">
        <v>1</v>
      </c>
      <c r="H762" s="1" t="s">
        <v>16</v>
      </c>
      <c r="I762" s="1" t="s">
        <v>16</v>
      </c>
      <c r="J762" s="1" t="s">
        <v>16</v>
      </c>
      <c r="K762" s="1" t="s">
        <v>17</v>
      </c>
      <c r="L762" s="1" t="s">
        <v>17</v>
      </c>
      <c r="M762" s="1" t="s">
        <v>17</v>
      </c>
      <c r="N762" s="1" t="s">
        <v>16</v>
      </c>
    </row>
    <row r="763" spans="1:14" x14ac:dyDescent="0.25">
      <c r="A763" s="9">
        <v>43837</v>
      </c>
      <c r="B763" s="1" t="s">
        <v>22</v>
      </c>
      <c r="C763" s="1">
        <v>9</v>
      </c>
      <c r="D763" s="1">
        <v>2</v>
      </c>
      <c r="E763" s="5">
        <v>53.52</v>
      </c>
      <c r="F763" s="1" t="s">
        <v>16</v>
      </c>
      <c r="G763" s="1">
        <v>4</v>
      </c>
      <c r="H763" s="1" t="s">
        <v>16</v>
      </c>
      <c r="I763" s="1" t="s">
        <v>16</v>
      </c>
      <c r="J763" s="1" t="s">
        <v>16</v>
      </c>
      <c r="K763" s="1" t="s">
        <v>17</v>
      </c>
      <c r="L763" s="1" t="s">
        <v>17</v>
      </c>
      <c r="M763" s="1" t="s">
        <v>17</v>
      </c>
      <c r="N763" s="1" t="s">
        <v>16</v>
      </c>
    </row>
    <row r="764" spans="1:14" x14ac:dyDescent="0.25">
      <c r="A764" s="9">
        <v>43837</v>
      </c>
      <c r="B764" s="1" t="s">
        <v>22</v>
      </c>
      <c r="C764" s="1">
        <v>10</v>
      </c>
      <c r="D764" s="1">
        <v>2</v>
      </c>
      <c r="E764" s="5">
        <v>60.16</v>
      </c>
      <c r="F764" s="1" t="s">
        <v>16</v>
      </c>
      <c r="G764" s="1">
        <v>4</v>
      </c>
      <c r="H764" s="1" t="s">
        <v>16</v>
      </c>
      <c r="I764" s="1" t="s">
        <v>16</v>
      </c>
      <c r="J764" s="1" t="s">
        <v>16</v>
      </c>
      <c r="K764" s="1" t="s">
        <v>21</v>
      </c>
      <c r="L764" s="1" t="s">
        <v>17</v>
      </c>
      <c r="M764" s="1" t="s">
        <v>17</v>
      </c>
      <c r="N764" s="1" t="s">
        <v>16</v>
      </c>
    </row>
    <row r="765" spans="1:14" x14ac:dyDescent="0.25">
      <c r="A765" s="9">
        <v>43837</v>
      </c>
      <c r="B765" s="1" t="s">
        <v>22</v>
      </c>
      <c r="C765" s="1">
        <v>11</v>
      </c>
      <c r="D765" s="1">
        <v>3</v>
      </c>
      <c r="E765" s="5">
        <v>54.71</v>
      </c>
      <c r="F765" s="1" t="s">
        <v>18</v>
      </c>
      <c r="G765" s="1">
        <v>1</v>
      </c>
      <c r="H765" s="1" t="s">
        <v>16</v>
      </c>
      <c r="I765" s="1" t="s">
        <v>16</v>
      </c>
      <c r="J765" s="1" t="s">
        <v>16</v>
      </c>
      <c r="K765" s="1" t="s">
        <v>17</v>
      </c>
      <c r="L765" s="1" t="s">
        <v>17</v>
      </c>
      <c r="M765" s="1" t="s">
        <v>17</v>
      </c>
      <c r="N765" s="1" t="s">
        <v>16</v>
      </c>
    </row>
    <row r="766" spans="1:14" x14ac:dyDescent="0.25">
      <c r="A766" s="9">
        <v>43837</v>
      </c>
      <c r="B766" s="1" t="s">
        <v>22</v>
      </c>
      <c r="C766" s="1">
        <v>12</v>
      </c>
      <c r="D766" s="1">
        <v>3</v>
      </c>
      <c r="E766" s="5">
        <v>66.62</v>
      </c>
      <c r="F766" s="1" t="s">
        <v>16</v>
      </c>
      <c r="G766" s="1">
        <v>4</v>
      </c>
      <c r="H766" s="1" t="s">
        <v>16</v>
      </c>
      <c r="I766" s="1" t="s">
        <v>16</v>
      </c>
      <c r="J766" s="1" t="s">
        <v>16</v>
      </c>
      <c r="K766" s="1" t="s">
        <v>21</v>
      </c>
      <c r="L766" s="1" t="s">
        <v>17</v>
      </c>
      <c r="M766" s="1" t="s">
        <v>17</v>
      </c>
      <c r="N766" s="1" t="s">
        <v>16</v>
      </c>
    </row>
    <row r="767" spans="1:14" x14ac:dyDescent="0.25">
      <c r="A767" s="9">
        <v>43837</v>
      </c>
      <c r="B767" s="1" t="s">
        <v>22</v>
      </c>
      <c r="C767" s="1">
        <v>13</v>
      </c>
      <c r="D767" s="1">
        <v>3</v>
      </c>
      <c r="E767" s="5">
        <v>49.83</v>
      </c>
      <c r="F767" s="1" t="s">
        <v>18</v>
      </c>
      <c r="G767" s="1">
        <v>3</v>
      </c>
      <c r="H767" s="1" t="s">
        <v>16</v>
      </c>
      <c r="I767" s="1" t="s">
        <v>16</v>
      </c>
      <c r="J767" s="1" t="s">
        <v>16</v>
      </c>
      <c r="K767" s="1" t="s">
        <v>17</v>
      </c>
      <c r="L767" s="1" t="s">
        <v>17</v>
      </c>
      <c r="M767" s="1" t="s">
        <v>17</v>
      </c>
      <c r="N767" s="1" t="s">
        <v>16</v>
      </c>
    </row>
    <row r="768" spans="1:14" x14ac:dyDescent="0.25">
      <c r="A768" s="9">
        <v>43837</v>
      </c>
      <c r="B768" s="1" t="s">
        <v>22</v>
      </c>
      <c r="C768" s="1">
        <v>14</v>
      </c>
      <c r="D768" s="1">
        <v>3</v>
      </c>
      <c r="E768" s="5">
        <v>58.29</v>
      </c>
      <c r="F768" s="1" t="s">
        <v>18</v>
      </c>
      <c r="G768" s="1">
        <v>1</v>
      </c>
      <c r="H768" s="1" t="s">
        <v>16</v>
      </c>
      <c r="I768" s="1" t="s">
        <v>16</v>
      </c>
      <c r="J768" s="1" t="s">
        <v>16</v>
      </c>
      <c r="K768" s="1" t="s">
        <v>17</v>
      </c>
      <c r="L768" s="1" t="s">
        <v>17</v>
      </c>
      <c r="M768" s="1" t="s">
        <v>17</v>
      </c>
      <c r="N768" s="1" t="s">
        <v>16</v>
      </c>
    </row>
    <row r="769" spans="1:14" x14ac:dyDescent="0.25">
      <c r="A769" s="9">
        <v>43837</v>
      </c>
      <c r="B769" s="1" t="s">
        <v>22</v>
      </c>
      <c r="C769" s="1">
        <v>15</v>
      </c>
      <c r="D769" s="1">
        <v>3</v>
      </c>
      <c r="E769" s="5">
        <v>45.26</v>
      </c>
      <c r="F769" s="1" t="s">
        <v>16</v>
      </c>
      <c r="G769" s="1">
        <v>4</v>
      </c>
      <c r="H769" s="1" t="s">
        <v>16</v>
      </c>
      <c r="I769" s="1" t="s">
        <v>16</v>
      </c>
      <c r="J769" s="1" t="s">
        <v>16</v>
      </c>
      <c r="K769" s="1" t="s">
        <v>17</v>
      </c>
      <c r="L769" s="1" t="s">
        <v>17</v>
      </c>
      <c r="M769" s="1" t="s">
        <v>17</v>
      </c>
      <c r="N769" s="1" t="s">
        <v>16</v>
      </c>
    </row>
    <row r="770" spans="1:14" x14ac:dyDescent="0.25">
      <c r="A770" s="9">
        <v>43865</v>
      </c>
      <c r="B770" s="1" t="s">
        <v>22</v>
      </c>
      <c r="C770" s="1">
        <v>1</v>
      </c>
      <c r="D770" s="1">
        <v>1</v>
      </c>
      <c r="E770" s="5">
        <v>76.83</v>
      </c>
      <c r="F770" s="1" t="s">
        <v>18</v>
      </c>
      <c r="G770" s="1">
        <v>2</v>
      </c>
      <c r="H770" s="1" t="s">
        <v>16</v>
      </c>
      <c r="I770" s="1" t="s">
        <v>16</v>
      </c>
      <c r="J770" s="1" t="s">
        <v>16</v>
      </c>
      <c r="K770" s="1" t="s">
        <v>17</v>
      </c>
      <c r="L770" s="1" t="s">
        <v>17</v>
      </c>
      <c r="M770" s="1" t="s">
        <v>17</v>
      </c>
      <c r="N770" s="1" t="s">
        <v>16</v>
      </c>
    </row>
    <row r="771" spans="1:14" x14ac:dyDescent="0.25">
      <c r="A771" s="9">
        <v>43865</v>
      </c>
      <c r="B771" s="1" t="s">
        <v>22</v>
      </c>
      <c r="C771" s="1">
        <v>2</v>
      </c>
      <c r="D771" s="1">
        <v>1</v>
      </c>
      <c r="E771" s="5">
        <v>64.180000000000007</v>
      </c>
      <c r="F771" s="1" t="s">
        <v>18</v>
      </c>
      <c r="G771" s="1">
        <v>1</v>
      </c>
      <c r="H771" s="1" t="s">
        <v>16</v>
      </c>
      <c r="I771" s="1" t="s">
        <v>16</v>
      </c>
      <c r="J771" s="1" t="s">
        <v>16</v>
      </c>
      <c r="K771" s="1" t="s">
        <v>17</v>
      </c>
      <c r="L771" s="1" t="s">
        <v>17</v>
      </c>
      <c r="M771" s="1" t="s">
        <v>17</v>
      </c>
      <c r="N771" s="1" t="s">
        <v>16</v>
      </c>
    </row>
    <row r="772" spans="1:14" x14ac:dyDescent="0.25">
      <c r="A772" s="9">
        <v>43865</v>
      </c>
      <c r="B772" s="1" t="s">
        <v>22</v>
      </c>
      <c r="C772" s="1">
        <v>3</v>
      </c>
      <c r="D772" s="1">
        <v>1</v>
      </c>
      <c r="E772" s="5">
        <v>59.13</v>
      </c>
      <c r="F772" s="1" t="s">
        <v>18</v>
      </c>
      <c r="G772" s="1">
        <v>1</v>
      </c>
      <c r="H772" s="1" t="s">
        <v>16</v>
      </c>
      <c r="I772" s="1" t="s">
        <v>16</v>
      </c>
      <c r="J772" s="1" t="s">
        <v>16</v>
      </c>
      <c r="K772" s="1" t="s">
        <v>21</v>
      </c>
      <c r="L772" s="1" t="s">
        <v>17</v>
      </c>
      <c r="M772" s="1" t="s">
        <v>17</v>
      </c>
      <c r="N772" s="1" t="s">
        <v>16</v>
      </c>
    </row>
    <row r="773" spans="1:14" x14ac:dyDescent="0.25">
      <c r="A773" s="9">
        <v>43865</v>
      </c>
      <c r="B773" s="1" t="s">
        <v>22</v>
      </c>
      <c r="C773" s="1">
        <v>4</v>
      </c>
      <c r="D773" s="1">
        <v>1</v>
      </c>
      <c r="E773" s="5">
        <v>54.33</v>
      </c>
      <c r="F773" s="1" t="s">
        <v>16</v>
      </c>
      <c r="G773" s="1">
        <v>4</v>
      </c>
      <c r="H773" s="1" t="s">
        <v>16</v>
      </c>
      <c r="I773" s="1" t="s">
        <v>16</v>
      </c>
      <c r="J773" s="1" t="s">
        <v>16</v>
      </c>
      <c r="K773" s="1" t="s">
        <v>21</v>
      </c>
      <c r="L773" s="1" t="s">
        <v>17</v>
      </c>
      <c r="M773" s="1" t="s">
        <v>17</v>
      </c>
      <c r="N773" s="1" t="s">
        <v>16</v>
      </c>
    </row>
    <row r="774" spans="1:14" x14ac:dyDescent="0.25">
      <c r="A774" s="9">
        <v>43865</v>
      </c>
      <c r="B774" s="1" t="s">
        <v>22</v>
      </c>
      <c r="C774" s="1">
        <v>5</v>
      </c>
      <c r="D774" s="1">
        <v>1</v>
      </c>
      <c r="E774" s="5">
        <v>69.23</v>
      </c>
      <c r="F774" s="1" t="s">
        <v>19</v>
      </c>
      <c r="G774" s="1">
        <v>3</v>
      </c>
      <c r="H774" s="1" t="s">
        <v>16</v>
      </c>
      <c r="I774" s="1" t="s">
        <v>16</v>
      </c>
      <c r="J774" s="1" t="s">
        <v>16</v>
      </c>
      <c r="K774" s="1" t="s">
        <v>17</v>
      </c>
      <c r="L774" s="1" t="s">
        <v>17</v>
      </c>
      <c r="M774" s="1" t="s">
        <v>17</v>
      </c>
      <c r="N774" s="1" t="s">
        <v>16</v>
      </c>
    </row>
    <row r="775" spans="1:14" x14ac:dyDescent="0.25">
      <c r="A775" s="9">
        <v>43865</v>
      </c>
      <c r="B775" s="1" t="s">
        <v>22</v>
      </c>
      <c r="C775" s="1">
        <v>6</v>
      </c>
      <c r="D775" s="1">
        <v>2</v>
      </c>
      <c r="E775" s="5">
        <v>69.47</v>
      </c>
      <c r="F775" s="1" t="s">
        <v>18</v>
      </c>
      <c r="G775" s="1">
        <v>2</v>
      </c>
      <c r="H775" s="1" t="s">
        <v>16</v>
      </c>
      <c r="I775" s="1" t="s">
        <v>16</v>
      </c>
      <c r="J775" s="1" t="s">
        <v>16</v>
      </c>
      <c r="K775" s="1" t="s">
        <v>17</v>
      </c>
      <c r="L775" s="1" t="s">
        <v>17</v>
      </c>
      <c r="M775" s="1" t="s">
        <v>17</v>
      </c>
      <c r="N775" s="1" t="s">
        <v>16</v>
      </c>
    </row>
    <row r="776" spans="1:14" x14ac:dyDescent="0.25">
      <c r="A776" s="9">
        <v>43865</v>
      </c>
      <c r="B776" s="1" t="s">
        <v>22</v>
      </c>
      <c r="C776" s="1">
        <v>7</v>
      </c>
      <c r="D776" s="1">
        <v>2</v>
      </c>
      <c r="E776" s="5">
        <v>63.5</v>
      </c>
      <c r="F776" s="1" t="s">
        <v>19</v>
      </c>
      <c r="G776" s="1">
        <v>3</v>
      </c>
      <c r="H776" s="1" t="s">
        <v>16</v>
      </c>
      <c r="I776" s="1" t="s">
        <v>16</v>
      </c>
      <c r="J776" s="1" t="s">
        <v>16</v>
      </c>
      <c r="K776" s="1" t="s">
        <v>17</v>
      </c>
      <c r="L776" s="1" t="s">
        <v>17</v>
      </c>
      <c r="M776" s="1" t="s">
        <v>17</v>
      </c>
      <c r="N776" s="1" t="s">
        <v>16</v>
      </c>
    </row>
    <row r="777" spans="1:14" x14ac:dyDescent="0.25">
      <c r="A777" s="9">
        <v>43865</v>
      </c>
      <c r="B777" s="1" t="s">
        <v>22</v>
      </c>
      <c r="C777" s="1">
        <v>8</v>
      </c>
      <c r="D777" s="1">
        <v>2</v>
      </c>
      <c r="E777" s="5">
        <v>60.91</v>
      </c>
      <c r="F777" s="1" t="s">
        <v>18</v>
      </c>
      <c r="G777" s="1">
        <v>1</v>
      </c>
      <c r="H777" s="1" t="s">
        <v>16</v>
      </c>
      <c r="I777" s="1" t="s">
        <v>16</v>
      </c>
      <c r="J777" s="1" t="s">
        <v>16</v>
      </c>
      <c r="K777" s="1" t="s">
        <v>17</v>
      </c>
      <c r="L777" s="1" t="s">
        <v>17</v>
      </c>
      <c r="M777" s="1" t="s">
        <v>17</v>
      </c>
      <c r="N777" s="1" t="s">
        <v>16</v>
      </c>
    </row>
    <row r="778" spans="1:14" x14ac:dyDescent="0.25">
      <c r="A778" s="9">
        <v>43865</v>
      </c>
      <c r="B778" s="1" t="s">
        <v>22</v>
      </c>
      <c r="C778" s="1">
        <v>9</v>
      </c>
      <c r="D778" s="1">
        <v>2</v>
      </c>
      <c r="E778" s="5">
        <v>76.72</v>
      </c>
      <c r="F778" s="1" t="s">
        <v>18</v>
      </c>
      <c r="G778" s="1">
        <v>2</v>
      </c>
      <c r="H778" s="1" t="s">
        <v>16</v>
      </c>
      <c r="I778" s="1" t="s">
        <v>16</v>
      </c>
      <c r="J778" s="1" t="s">
        <v>16</v>
      </c>
      <c r="K778" s="1" t="s">
        <v>17</v>
      </c>
      <c r="L778" s="1" t="s">
        <v>17</v>
      </c>
      <c r="M778" s="1" t="s">
        <v>17</v>
      </c>
      <c r="N778" s="1" t="s">
        <v>16</v>
      </c>
    </row>
    <row r="779" spans="1:14" x14ac:dyDescent="0.25">
      <c r="A779" s="9">
        <v>43865</v>
      </c>
      <c r="B779" s="1" t="s">
        <v>22</v>
      </c>
      <c r="C779" s="1">
        <v>10</v>
      </c>
      <c r="D779" s="1">
        <v>2</v>
      </c>
      <c r="E779" s="5">
        <v>81.99</v>
      </c>
      <c r="F779" s="1" t="s">
        <v>16</v>
      </c>
      <c r="G779" s="1">
        <v>4</v>
      </c>
      <c r="H779" s="1" t="s">
        <v>16</v>
      </c>
      <c r="I779" s="1" t="s">
        <v>16</v>
      </c>
      <c r="J779" s="1" t="s">
        <v>16</v>
      </c>
      <c r="K779" s="1" t="s">
        <v>17</v>
      </c>
      <c r="L779" s="1" t="s">
        <v>17</v>
      </c>
      <c r="M779" s="1" t="s">
        <v>17</v>
      </c>
      <c r="N779" s="1" t="s">
        <v>16</v>
      </c>
    </row>
    <row r="780" spans="1:14" x14ac:dyDescent="0.25">
      <c r="A780" s="9">
        <v>43865</v>
      </c>
      <c r="B780" s="1" t="s">
        <v>22</v>
      </c>
      <c r="C780" s="1">
        <v>11</v>
      </c>
      <c r="D780" s="1">
        <v>3</v>
      </c>
      <c r="E780" s="5">
        <v>52.82</v>
      </c>
      <c r="F780" s="1" t="s">
        <v>16</v>
      </c>
      <c r="G780" s="1">
        <v>4</v>
      </c>
      <c r="H780" s="1" t="s">
        <v>16</v>
      </c>
      <c r="I780" s="1" t="s">
        <v>16</v>
      </c>
      <c r="J780" s="1" t="s">
        <v>16</v>
      </c>
      <c r="K780" s="1" t="s">
        <v>17</v>
      </c>
      <c r="L780" s="1" t="s">
        <v>17</v>
      </c>
      <c r="M780" s="1" t="s">
        <v>17</v>
      </c>
      <c r="N780" s="1" t="s">
        <v>16</v>
      </c>
    </row>
    <row r="781" spans="1:14" x14ac:dyDescent="0.25">
      <c r="A781" s="9">
        <v>43865</v>
      </c>
      <c r="B781" s="1" t="s">
        <v>22</v>
      </c>
      <c r="C781" s="1">
        <v>12</v>
      </c>
      <c r="D781" s="1">
        <v>3</v>
      </c>
      <c r="E781" s="5">
        <v>50.4</v>
      </c>
      <c r="F781" s="1" t="s">
        <v>18</v>
      </c>
      <c r="G781" s="1">
        <v>1</v>
      </c>
      <c r="H781" s="1" t="s">
        <v>16</v>
      </c>
      <c r="I781" s="1" t="s">
        <v>16</v>
      </c>
      <c r="J781" s="1" t="s">
        <v>16</v>
      </c>
      <c r="K781" s="1" t="s">
        <v>21</v>
      </c>
      <c r="L781" s="1" t="s">
        <v>17</v>
      </c>
      <c r="M781" s="1" t="s">
        <v>17</v>
      </c>
      <c r="N781" s="1" t="s">
        <v>16</v>
      </c>
    </row>
    <row r="782" spans="1:14" x14ac:dyDescent="0.25">
      <c r="A782" s="9">
        <v>43865</v>
      </c>
      <c r="B782" s="1" t="s">
        <v>22</v>
      </c>
      <c r="C782" s="1">
        <v>13</v>
      </c>
      <c r="D782" s="1">
        <v>3</v>
      </c>
      <c r="E782" s="5">
        <v>50.5</v>
      </c>
      <c r="F782" s="1" t="s">
        <v>18</v>
      </c>
      <c r="G782" s="1">
        <v>1</v>
      </c>
      <c r="H782" s="1" t="s">
        <v>16</v>
      </c>
      <c r="I782" s="1" t="s">
        <v>16</v>
      </c>
      <c r="J782" s="1" t="s">
        <v>16</v>
      </c>
      <c r="K782" s="1" t="s">
        <v>17</v>
      </c>
      <c r="L782" s="1" t="s">
        <v>17</v>
      </c>
      <c r="M782" s="1" t="s">
        <v>17</v>
      </c>
      <c r="N782" s="1" t="s">
        <v>16</v>
      </c>
    </row>
    <row r="783" spans="1:14" x14ac:dyDescent="0.25">
      <c r="A783" s="9">
        <v>43865</v>
      </c>
      <c r="B783" s="1" t="s">
        <v>22</v>
      </c>
      <c r="C783" s="1">
        <v>14</v>
      </c>
      <c r="D783" s="1">
        <v>3</v>
      </c>
      <c r="E783" s="5">
        <v>71.58</v>
      </c>
      <c r="F783" s="1" t="s">
        <v>16</v>
      </c>
      <c r="G783" s="1">
        <v>4</v>
      </c>
      <c r="H783" s="1" t="s">
        <v>16</v>
      </c>
      <c r="I783" s="1" t="s">
        <v>16</v>
      </c>
      <c r="J783" s="1" t="s">
        <v>16</v>
      </c>
      <c r="K783" s="1" t="s">
        <v>17</v>
      </c>
      <c r="L783" s="1" t="s">
        <v>17</v>
      </c>
      <c r="M783" s="1" t="s">
        <v>17</v>
      </c>
      <c r="N783" s="1" t="s">
        <v>16</v>
      </c>
    </row>
    <row r="784" spans="1:14" x14ac:dyDescent="0.25">
      <c r="A784" s="9">
        <v>43865</v>
      </c>
      <c r="B784" s="1" t="s">
        <v>22</v>
      </c>
      <c r="C784" s="1">
        <v>15</v>
      </c>
      <c r="D784" s="1">
        <v>3</v>
      </c>
      <c r="E784" s="5">
        <v>37.869999999999997</v>
      </c>
      <c r="F784" s="1" t="s">
        <v>16</v>
      </c>
      <c r="G784" s="1">
        <v>4</v>
      </c>
      <c r="H784" s="1" t="s">
        <v>16</v>
      </c>
      <c r="I784" s="1" t="s">
        <v>16</v>
      </c>
      <c r="J784" s="1" t="s">
        <v>16</v>
      </c>
      <c r="K784" s="1" t="s">
        <v>17</v>
      </c>
      <c r="L784" s="1" t="s">
        <v>17</v>
      </c>
      <c r="M784" s="1" t="s">
        <v>17</v>
      </c>
      <c r="N784" s="1" t="s">
        <v>16</v>
      </c>
    </row>
    <row r="785" spans="1:14" x14ac:dyDescent="0.25">
      <c r="A785" s="9">
        <v>43893</v>
      </c>
      <c r="B785" s="1" t="s">
        <v>22</v>
      </c>
      <c r="C785" s="1">
        <v>1</v>
      </c>
      <c r="D785" s="1">
        <v>1</v>
      </c>
      <c r="E785" s="5">
        <v>67.13</v>
      </c>
      <c r="F785" s="1" t="s">
        <v>18</v>
      </c>
      <c r="G785" s="1">
        <v>2</v>
      </c>
      <c r="H785" s="1" t="s">
        <v>16</v>
      </c>
      <c r="I785" s="1" t="s">
        <v>16</v>
      </c>
      <c r="J785" s="1" t="s">
        <v>16</v>
      </c>
      <c r="K785" s="1" t="s">
        <v>17</v>
      </c>
      <c r="L785" s="1" t="s">
        <v>17</v>
      </c>
      <c r="M785" s="1" t="s">
        <v>17</v>
      </c>
      <c r="N785" s="1" t="s">
        <v>16</v>
      </c>
    </row>
    <row r="786" spans="1:14" x14ac:dyDescent="0.25">
      <c r="A786" s="9">
        <v>43893</v>
      </c>
      <c r="B786" s="1" t="s">
        <v>22</v>
      </c>
      <c r="C786" s="1">
        <v>2</v>
      </c>
      <c r="D786" s="1">
        <v>1</v>
      </c>
      <c r="E786" s="5">
        <v>48.42</v>
      </c>
      <c r="F786" s="1" t="s">
        <v>18</v>
      </c>
      <c r="G786" s="1">
        <v>1</v>
      </c>
      <c r="H786" s="1" t="s">
        <v>16</v>
      </c>
      <c r="I786" s="1" t="s">
        <v>16</v>
      </c>
      <c r="J786" s="1" t="s">
        <v>16</v>
      </c>
      <c r="K786" s="1" t="s">
        <v>17</v>
      </c>
      <c r="L786" s="1" t="s">
        <v>17</v>
      </c>
      <c r="M786" s="1" t="s">
        <v>17</v>
      </c>
      <c r="N786" s="1" t="s">
        <v>16</v>
      </c>
    </row>
    <row r="787" spans="1:14" x14ac:dyDescent="0.25">
      <c r="A787" s="9">
        <v>43893</v>
      </c>
      <c r="B787" s="1" t="s">
        <v>22</v>
      </c>
      <c r="C787" s="1">
        <v>3</v>
      </c>
      <c r="D787" s="1">
        <v>1</v>
      </c>
      <c r="E787" s="5">
        <v>59.74</v>
      </c>
      <c r="F787" s="1" t="s">
        <v>18</v>
      </c>
      <c r="G787" s="1">
        <v>2</v>
      </c>
      <c r="H787" s="1" t="s">
        <v>16</v>
      </c>
      <c r="I787" s="1" t="s">
        <v>16</v>
      </c>
      <c r="J787" s="1" t="s">
        <v>16</v>
      </c>
      <c r="K787" s="1" t="s">
        <v>17</v>
      </c>
      <c r="L787" s="1" t="s">
        <v>17</v>
      </c>
      <c r="M787" s="1" t="s">
        <v>17</v>
      </c>
      <c r="N787" s="1" t="s">
        <v>16</v>
      </c>
    </row>
    <row r="788" spans="1:14" x14ac:dyDescent="0.25">
      <c r="A788" s="9">
        <v>43893</v>
      </c>
      <c r="B788" s="1" t="s">
        <v>22</v>
      </c>
      <c r="C788" s="1">
        <v>4</v>
      </c>
      <c r="D788" s="1">
        <v>1</v>
      </c>
      <c r="E788" s="5">
        <v>42.56</v>
      </c>
      <c r="F788" s="1" t="s">
        <v>19</v>
      </c>
      <c r="G788" s="1">
        <v>2</v>
      </c>
      <c r="H788" s="1" t="s">
        <v>16</v>
      </c>
      <c r="I788" s="1" t="s">
        <v>16</v>
      </c>
      <c r="J788" s="1" t="s">
        <v>16</v>
      </c>
      <c r="K788" s="1" t="s">
        <v>17</v>
      </c>
      <c r="L788" s="1" t="s">
        <v>17</v>
      </c>
      <c r="M788" s="1" t="s">
        <v>17</v>
      </c>
      <c r="N788" s="1" t="s">
        <v>16</v>
      </c>
    </row>
    <row r="789" spans="1:14" x14ac:dyDescent="0.25">
      <c r="A789" s="9">
        <v>43893</v>
      </c>
      <c r="B789" s="1" t="s">
        <v>22</v>
      </c>
      <c r="C789" s="1">
        <v>5</v>
      </c>
      <c r="D789" s="1">
        <v>1</v>
      </c>
      <c r="E789" s="5">
        <v>55.74</v>
      </c>
      <c r="F789" s="1" t="s">
        <v>18</v>
      </c>
      <c r="G789" s="1">
        <v>2</v>
      </c>
      <c r="H789" s="1" t="s">
        <v>16</v>
      </c>
      <c r="I789" s="1" t="s">
        <v>16</v>
      </c>
      <c r="J789" s="1" t="s">
        <v>16</v>
      </c>
      <c r="K789" s="1" t="s">
        <v>17</v>
      </c>
      <c r="L789" s="1" t="s">
        <v>17</v>
      </c>
      <c r="M789" s="1" t="s">
        <v>17</v>
      </c>
      <c r="N789" s="1" t="s">
        <v>16</v>
      </c>
    </row>
    <row r="790" spans="1:14" x14ac:dyDescent="0.25">
      <c r="A790" s="9">
        <v>43893</v>
      </c>
      <c r="B790" s="1" t="s">
        <v>22</v>
      </c>
      <c r="C790" s="1">
        <v>6</v>
      </c>
      <c r="D790" s="1">
        <v>2</v>
      </c>
      <c r="E790" s="5">
        <v>48.7</v>
      </c>
      <c r="F790" s="1" t="s">
        <v>18</v>
      </c>
      <c r="G790" s="1" t="s">
        <v>16</v>
      </c>
      <c r="H790" s="1" t="s">
        <v>16</v>
      </c>
      <c r="I790" s="1" t="s">
        <v>16</v>
      </c>
      <c r="J790" s="1" t="s">
        <v>16</v>
      </c>
      <c r="K790" s="1" t="s">
        <v>23</v>
      </c>
      <c r="L790" s="1" t="s">
        <v>17</v>
      </c>
      <c r="M790" s="1" t="s">
        <v>17</v>
      </c>
      <c r="N790" s="1" t="s">
        <v>16</v>
      </c>
    </row>
    <row r="791" spans="1:14" x14ac:dyDescent="0.25">
      <c r="A791" s="9">
        <v>43893</v>
      </c>
      <c r="B791" s="1" t="s">
        <v>22</v>
      </c>
      <c r="C791" s="1">
        <v>7</v>
      </c>
      <c r="D791" s="1">
        <v>2</v>
      </c>
      <c r="E791" s="5">
        <v>57.66</v>
      </c>
      <c r="F791" s="1" t="s">
        <v>16</v>
      </c>
      <c r="G791" s="1">
        <v>4</v>
      </c>
      <c r="H791" s="1" t="s">
        <v>16</v>
      </c>
      <c r="I791" s="1" t="s">
        <v>16</v>
      </c>
      <c r="J791" s="1" t="s">
        <v>16</v>
      </c>
      <c r="K791" s="1" t="s">
        <v>17</v>
      </c>
      <c r="L791" s="1" t="s">
        <v>17</v>
      </c>
      <c r="M791" s="1" t="s">
        <v>17</v>
      </c>
      <c r="N791" s="1" t="s">
        <v>16</v>
      </c>
    </row>
    <row r="792" spans="1:14" x14ac:dyDescent="0.25">
      <c r="A792" s="9">
        <v>43893</v>
      </c>
      <c r="B792" s="1" t="s">
        <v>22</v>
      </c>
      <c r="C792" s="1">
        <v>8</v>
      </c>
      <c r="D792" s="1">
        <v>2</v>
      </c>
      <c r="E792" s="5">
        <v>52.97</v>
      </c>
      <c r="F792" s="1" t="s">
        <v>18</v>
      </c>
      <c r="G792" s="1">
        <v>2</v>
      </c>
      <c r="H792" s="1" t="s">
        <v>16</v>
      </c>
      <c r="I792" s="1" t="s">
        <v>16</v>
      </c>
      <c r="J792" s="1" t="s">
        <v>16</v>
      </c>
      <c r="K792" s="1" t="s">
        <v>17</v>
      </c>
      <c r="L792" s="1" t="s">
        <v>17</v>
      </c>
      <c r="M792" s="1" t="s">
        <v>17</v>
      </c>
      <c r="N792" s="1" t="s">
        <v>16</v>
      </c>
    </row>
    <row r="793" spans="1:14" x14ac:dyDescent="0.25">
      <c r="A793" s="9">
        <v>43893</v>
      </c>
      <c r="B793" s="1" t="s">
        <v>22</v>
      </c>
      <c r="C793" s="1">
        <v>9</v>
      </c>
      <c r="D793" s="1">
        <v>2</v>
      </c>
      <c r="E793" s="5">
        <v>48.09</v>
      </c>
      <c r="F793" s="1" t="s">
        <v>19</v>
      </c>
      <c r="G793" s="1">
        <v>2</v>
      </c>
      <c r="H793" s="1" t="s">
        <v>16</v>
      </c>
      <c r="I793" s="1" t="s">
        <v>16</v>
      </c>
      <c r="J793" s="1" t="s">
        <v>16</v>
      </c>
      <c r="K793" s="1" t="s">
        <v>17</v>
      </c>
      <c r="L793" s="1" t="s">
        <v>17</v>
      </c>
      <c r="M793" s="1" t="s">
        <v>17</v>
      </c>
      <c r="N793" s="1" t="s">
        <v>16</v>
      </c>
    </row>
    <row r="794" spans="1:14" x14ac:dyDescent="0.25">
      <c r="A794" s="9">
        <v>43893</v>
      </c>
      <c r="B794" s="1" t="s">
        <v>22</v>
      </c>
      <c r="C794" s="1">
        <v>10</v>
      </c>
      <c r="D794" s="1">
        <v>2</v>
      </c>
      <c r="E794" s="5">
        <v>58.1</v>
      </c>
      <c r="F794" s="1" t="s">
        <v>18</v>
      </c>
      <c r="G794" s="1">
        <v>1</v>
      </c>
      <c r="H794" s="1" t="s">
        <v>16</v>
      </c>
      <c r="I794" s="1" t="s">
        <v>16</v>
      </c>
      <c r="J794" s="1" t="s">
        <v>16</v>
      </c>
      <c r="K794" s="1" t="s">
        <v>17</v>
      </c>
      <c r="L794" s="1" t="s">
        <v>17</v>
      </c>
      <c r="M794" s="1" t="s">
        <v>17</v>
      </c>
      <c r="N794" s="1" t="s">
        <v>16</v>
      </c>
    </row>
    <row r="795" spans="1:14" x14ac:dyDescent="0.25">
      <c r="A795" s="9">
        <v>43893</v>
      </c>
      <c r="B795" s="1" t="s">
        <v>22</v>
      </c>
      <c r="C795" s="1">
        <v>11</v>
      </c>
      <c r="D795" s="1">
        <v>3</v>
      </c>
      <c r="E795" s="5">
        <v>58.52</v>
      </c>
      <c r="F795" s="1" t="s">
        <v>18</v>
      </c>
      <c r="G795" s="1">
        <v>1</v>
      </c>
      <c r="H795" s="1" t="s">
        <v>16</v>
      </c>
      <c r="I795" s="1" t="s">
        <v>16</v>
      </c>
      <c r="J795" s="1" t="s">
        <v>16</v>
      </c>
      <c r="K795" s="1" t="s">
        <v>17</v>
      </c>
      <c r="L795" s="1" t="s">
        <v>17</v>
      </c>
      <c r="M795" s="1" t="s">
        <v>17</v>
      </c>
      <c r="N795" s="1" t="s">
        <v>16</v>
      </c>
    </row>
    <row r="796" spans="1:14" x14ac:dyDescent="0.25">
      <c r="A796" s="9">
        <v>43893</v>
      </c>
      <c r="B796" s="1" t="s">
        <v>22</v>
      </c>
      <c r="C796" s="1">
        <v>12</v>
      </c>
      <c r="D796" s="1">
        <v>3</v>
      </c>
      <c r="E796" s="5">
        <v>63.73</v>
      </c>
      <c r="F796" s="1" t="s">
        <v>18</v>
      </c>
      <c r="G796" s="1">
        <v>2</v>
      </c>
      <c r="H796" s="1" t="s">
        <v>16</v>
      </c>
      <c r="I796" s="1" t="s">
        <v>16</v>
      </c>
      <c r="J796" s="1" t="s">
        <v>16</v>
      </c>
      <c r="K796" s="1" t="s">
        <v>17</v>
      </c>
      <c r="L796" s="1" t="s">
        <v>17</v>
      </c>
      <c r="M796" s="1" t="s">
        <v>17</v>
      </c>
      <c r="N796" s="1" t="s">
        <v>16</v>
      </c>
    </row>
    <row r="797" spans="1:14" x14ac:dyDescent="0.25">
      <c r="A797" s="9">
        <v>43893</v>
      </c>
      <c r="B797" s="1" t="s">
        <v>22</v>
      </c>
      <c r="C797" s="1">
        <v>13</v>
      </c>
      <c r="D797" s="1">
        <v>3</v>
      </c>
      <c r="E797" s="5">
        <v>71.69</v>
      </c>
      <c r="F797" s="1" t="s">
        <v>18</v>
      </c>
      <c r="G797" s="1">
        <v>2</v>
      </c>
      <c r="H797" s="1" t="s">
        <v>16</v>
      </c>
      <c r="I797" s="1" t="s">
        <v>16</v>
      </c>
      <c r="J797" s="1" t="s">
        <v>16</v>
      </c>
      <c r="K797" s="1" t="s">
        <v>17</v>
      </c>
      <c r="L797" s="1" t="s">
        <v>17</v>
      </c>
      <c r="M797" s="1" t="s">
        <v>17</v>
      </c>
      <c r="N797" s="1" t="s">
        <v>16</v>
      </c>
    </row>
    <row r="798" spans="1:14" x14ac:dyDescent="0.25">
      <c r="A798" s="9">
        <v>43893</v>
      </c>
      <c r="B798" s="1" t="s">
        <v>22</v>
      </c>
      <c r="C798" s="1">
        <v>14</v>
      </c>
      <c r="D798" s="1">
        <v>3</v>
      </c>
      <c r="E798" s="5">
        <v>52.48</v>
      </c>
      <c r="F798" s="1" t="s">
        <v>19</v>
      </c>
      <c r="G798" s="1">
        <v>2</v>
      </c>
      <c r="H798" s="1" t="s">
        <v>16</v>
      </c>
      <c r="I798" s="1" t="s">
        <v>16</v>
      </c>
      <c r="J798" s="1" t="s">
        <v>16</v>
      </c>
      <c r="K798" s="1" t="s">
        <v>21</v>
      </c>
      <c r="L798" s="1" t="s">
        <v>17</v>
      </c>
      <c r="M798" s="1" t="s">
        <v>17</v>
      </c>
      <c r="N798" s="1" t="s">
        <v>16</v>
      </c>
    </row>
    <row r="799" spans="1:14" x14ac:dyDescent="0.25">
      <c r="A799" s="9">
        <v>43893</v>
      </c>
      <c r="B799" s="1" t="s">
        <v>22</v>
      </c>
      <c r="C799" s="1">
        <v>15</v>
      </c>
      <c r="D799" s="1">
        <v>3</v>
      </c>
      <c r="E799" s="5">
        <v>80.290000000000006</v>
      </c>
      <c r="F799" s="1" t="s">
        <v>18</v>
      </c>
      <c r="G799" s="1">
        <v>2</v>
      </c>
      <c r="H799" s="1" t="s">
        <v>16</v>
      </c>
      <c r="I799" s="1" t="s">
        <v>16</v>
      </c>
      <c r="J799" s="1" t="s">
        <v>16</v>
      </c>
      <c r="K799" s="1" t="s">
        <v>17</v>
      </c>
      <c r="L799" s="1" t="s">
        <v>17</v>
      </c>
      <c r="M799" s="1" t="s">
        <v>17</v>
      </c>
      <c r="N799" s="1" t="s">
        <v>16</v>
      </c>
    </row>
    <row r="800" spans="1:14" x14ac:dyDescent="0.25">
      <c r="A800" s="9">
        <v>43994</v>
      </c>
      <c r="B800" s="1" t="s">
        <v>22</v>
      </c>
      <c r="C800" s="1">
        <v>1</v>
      </c>
      <c r="D800" s="1">
        <v>1</v>
      </c>
      <c r="E800" s="5">
        <v>42.36</v>
      </c>
      <c r="F800" s="1" t="s">
        <v>18</v>
      </c>
      <c r="G800" s="1">
        <v>2</v>
      </c>
      <c r="H800" s="1" t="s">
        <v>16</v>
      </c>
      <c r="I800" s="1" t="s">
        <v>16</v>
      </c>
      <c r="J800" s="1" t="s">
        <v>16</v>
      </c>
      <c r="K800" s="1" t="s">
        <v>21</v>
      </c>
      <c r="L800" s="1" t="s">
        <v>17</v>
      </c>
      <c r="M800" s="1" t="s">
        <v>17</v>
      </c>
      <c r="N800" s="1" t="s">
        <v>16</v>
      </c>
    </row>
    <row r="801" spans="1:14" x14ac:dyDescent="0.25">
      <c r="A801" s="9">
        <v>43994</v>
      </c>
      <c r="B801" s="1" t="s">
        <v>22</v>
      </c>
      <c r="C801" s="1">
        <v>2</v>
      </c>
      <c r="D801" s="1">
        <v>1</v>
      </c>
      <c r="E801" s="5">
        <v>55.14</v>
      </c>
      <c r="F801" s="1" t="s">
        <v>18</v>
      </c>
      <c r="G801" s="1">
        <v>2</v>
      </c>
      <c r="H801" s="1" t="s">
        <v>16</v>
      </c>
      <c r="I801" s="1" t="s">
        <v>16</v>
      </c>
      <c r="J801" s="1" t="s">
        <v>16</v>
      </c>
      <c r="K801" s="1" t="s">
        <v>17</v>
      </c>
      <c r="L801" s="1" t="s">
        <v>17</v>
      </c>
      <c r="M801" s="1" t="s">
        <v>17</v>
      </c>
      <c r="N801" s="1" t="s">
        <v>16</v>
      </c>
    </row>
    <row r="802" spans="1:14" x14ac:dyDescent="0.25">
      <c r="A802" s="9">
        <v>43994</v>
      </c>
      <c r="B802" s="1" t="s">
        <v>22</v>
      </c>
      <c r="C802" s="1">
        <v>3</v>
      </c>
      <c r="D802" s="1">
        <v>1</v>
      </c>
      <c r="E802" s="5">
        <v>49.68</v>
      </c>
      <c r="F802" s="1" t="s">
        <v>19</v>
      </c>
      <c r="G802" s="1">
        <v>2</v>
      </c>
      <c r="H802" s="1" t="s">
        <v>16</v>
      </c>
      <c r="I802" s="1" t="s">
        <v>16</v>
      </c>
      <c r="J802" s="1" t="s">
        <v>16</v>
      </c>
      <c r="K802" s="1" t="s">
        <v>17</v>
      </c>
      <c r="L802" s="1" t="s">
        <v>17</v>
      </c>
      <c r="M802" s="1" t="s">
        <v>17</v>
      </c>
      <c r="N802" s="1" t="s">
        <v>16</v>
      </c>
    </row>
    <row r="803" spans="1:14" x14ac:dyDescent="0.25">
      <c r="A803" s="9">
        <v>43994</v>
      </c>
      <c r="B803" s="1" t="s">
        <v>22</v>
      </c>
      <c r="C803" s="1">
        <v>4</v>
      </c>
      <c r="D803" s="1">
        <v>1</v>
      </c>
      <c r="E803" s="5">
        <v>54.43</v>
      </c>
      <c r="F803" s="1" t="s">
        <v>18</v>
      </c>
      <c r="G803" s="1">
        <v>2</v>
      </c>
      <c r="H803" s="1" t="s">
        <v>16</v>
      </c>
      <c r="I803" s="1" t="s">
        <v>16</v>
      </c>
      <c r="J803" s="1" t="s">
        <v>16</v>
      </c>
      <c r="K803" s="1" t="s">
        <v>21</v>
      </c>
      <c r="L803" s="1" t="s">
        <v>17</v>
      </c>
      <c r="M803" s="1" t="s">
        <v>17</v>
      </c>
      <c r="N803" s="1" t="s">
        <v>16</v>
      </c>
    </row>
    <row r="804" spans="1:14" x14ac:dyDescent="0.25">
      <c r="A804" s="9">
        <v>43994</v>
      </c>
      <c r="B804" s="1" t="s">
        <v>22</v>
      </c>
      <c r="C804" s="1">
        <v>5</v>
      </c>
      <c r="D804" s="1">
        <v>1</v>
      </c>
      <c r="E804" s="5">
        <v>62.49</v>
      </c>
      <c r="F804" s="1" t="s">
        <v>18</v>
      </c>
      <c r="G804" s="1">
        <v>2</v>
      </c>
      <c r="H804" s="1" t="s">
        <v>16</v>
      </c>
      <c r="I804" s="1" t="s">
        <v>16</v>
      </c>
      <c r="J804" s="1" t="s">
        <v>16</v>
      </c>
      <c r="K804" s="1" t="s">
        <v>17</v>
      </c>
      <c r="L804" s="1" t="s">
        <v>17</v>
      </c>
      <c r="M804" s="1" t="s">
        <v>17</v>
      </c>
      <c r="N804" s="1" t="s">
        <v>16</v>
      </c>
    </row>
    <row r="805" spans="1:14" x14ac:dyDescent="0.25">
      <c r="A805" s="9">
        <v>43994</v>
      </c>
      <c r="B805" s="1" t="s">
        <v>22</v>
      </c>
      <c r="C805" s="1">
        <v>6</v>
      </c>
      <c r="D805" s="1">
        <v>2</v>
      </c>
      <c r="E805" s="5">
        <v>54.81</v>
      </c>
      <c r="F805" s="1" t="s">
        <v>18</v>
      </c>
      <c r="G805" s="1">
        <v>3</v>
      </c>
      <c r="H805" s="1" t="s">
        <v>16</v>
      </c>
      <c r="I805" s="1" t="s">
        <v>16</v>
      </c>
      <c r="J805" s="1" t="s">
        <v>16</v>
      </c>
      <c r="K805" s="1" t="s">
        <v>17</v>
      </c>
      <c r="L805" s="1" t="s">
        <v>17</v>
      </c>
      <c r="M805" s="1" t="s">
        <v>17</v>
      </c>
      <c r="N805" s="1" t="s">
        <v>16</v>
      </c>
    </row>
    <row r="806" spans="1:14" x14ac:dyDescent="0.25">
      <c r="A806" s="9">
        <v>43994</v>
      </c>
      <c r="B806" s="1" t="s">
        <v>22</v>
      </c>
      <c r="C806" s="1">
        <v>7</v>
      </c>
      <c r="D806" s="1">
        <v>2</v>
      </c>
      <c r="E806" s="5">
        <v>48.73</v>
      </c>
      <c r="F806" s="1" t="s">
        <v>18</v>
      </c>
      <c r="G806" s="1">
        <v>2</v>
      </c>
      <c r="H806" s="1" t="s">
        <v>16</v>
      </c>
      <c r="I806" s="1" t="s">
        <v>16</v>
      </c>
      <c r="J806" s="1" t="s">
        <v>16</v>
      </c>
      <c r="K806" s="1" t="s">
        <v>17</v>
      </c>
      <c r="L806" s="1" t="s">
        <v>17</v>
      </c>
      <c r="M806" s="1" t="s">
        <v>17</v>
      </c>
      <c r="N806" s="1" t="s">
        <v>16</v>
      </c>
    </row>
    <row r="807" spans="1:14" x14ac:dyDescent="0.25">
      <c r="A807" s="9">
        <v>43994</v>
      </c>
      <c r="B807" s="1" t="s">
        <v>22</v>
      </c>
      <c r="C807" s="1">
        <v>8</v>
      </c>
      <c r="D807" s="1">
        <v>2</v>
      </c>
      <c r="E807" s="5">
        <v>88.79</v>
      </c>
      <c r="F807" s="1" t="s">
        <v>18</v>
      </c>
      <c r="G807" s="1">
        <v>2</v>
      </c>
      <c r="H807" s="1" t="s">
        <v>16</v>
      </c>
      <c r="I807" s="1" t="s">
        <v>16</v>
      </c>
      <c r="J807" s="1" t="s">
        <v>16</v>
      </c>
      <c r="K807" s="1" t="s">
        <v>17</v>
      </c>
      <c r="L807" s="1" t="s">
        <v>17</v>
      </c>
      <c r="M807" s="1" t="s">
        <v>17</v>
      </c>
      <c r="N807" s="1" t="s">
        <v>16</v>
      </c>
    </row>
    <row r="808" spans="1:14" x14ac:dyDescent="0.25">
      <c r="A808" s="9">
        <v>43994</v>
      </c>
      <c r="B808" s="1" t="s">
        <v>22</v>
      </c>
      <c r="C808" s="1">
        <v>9</v>
      </c>
      <c r="D808" s="1">
        <v>2</v>
      </c>
      <c r="E808" s="5">
        <v>46.96</v>
      </c>
      <c r="F808" s="1" t="s">
        <v>18</v>
      </c>
      <c r="G808" s="1">
        <v>2</v>
      </c>
      <c r="H808" s="1" t="s">
        <v>16</v>
      </c>
      <c r="I808" s="1" t="s">
        <v>16</v>
      </c>
      <c r="J808" s="1" t="s">
        <v>16</v>
      </c>
      <c r="K808" s="1" t="s">
        <v>21</v>
      </c>
      <c r="L808" s="1" t="s">
        <v>17</v>
      </c>
      <c r="M808" s="1" t="s">
        <v>17</v>
      </c>
      <c r="N808" s="1" t="s">
        <v>16</v>
      </c>
    </row>
    <row r="809" spans="1:14" x14ac:dyDescent="0.25">
      <c r="A809" s="9">
        <v>43994</v>
      </c>
      <c r="B809" s="1" t="s">
        <v>22</v>
      </c>
      <c r="C809" s="1">
        <v>10</v>
      </c>
      <c r="D809" s="1">
        <v>2</v>
      </c>
      <c r="E809" s="5">
        <v>56.23</v>
      </c>
      <c r="F809" s="1" t="s">
        <v>16</v>
      </c>
      <c r="G809" s="1" t="s">
        <v>16</v>
      </c>
      <c r="H809" s="1" t="s">
        <v>16</v>
      </c>
      <c r="I809" s="1" t="s">
        <v>16</v>
      </c>
      <c r="J809" s="1" t="s">
        <v>16</v>
      </c>
      <c r="K809" s="1" t="s">
        <v>20</v>
      </c>
      <c r="L809" s="1" t="s">
        <v>17</v>
      </c>
      <c r="M809" s="1" t="s">
        <v>17</v>
      </c>
      <c r="N809" s="1" t="s">
        <v>16</v>
      </c>
    </row>
    <row r="810" spans="1:14" x14ac:dyDescent="0.25">
      <c r="A810" s="9">
        <v>43994</v>
      </c>
      <c r="B810" s="1" t="s">
        <v>22</v>
      </c>
      <c r="C810" s="1">
        <v>11</v>
      </c>
      <c r="D810" s="1">
        <v>3</v>
      </c>
      <c r="E810" s="5">
        <v>61.47</v>
      </c>
      <c r="F810" s="1" t="s">
        <v>18</v>
      </c>
      <c r="G810" s="1">
        <v>2</v>
      </c>
      <c r="H810" s="1" t="s">
        <v>16</v>
      </c>
      <c r="I810" s="1" t="s">
        <v>16</v>
      </c>
      <c r="J810" s="1" t="s">
        <v>16</v>
      </c>
      <c r="K810" s="1" t="s">
        <v>17</v>
      </c>
      <c r="L810" s="1" t="s">
        <v>17</v>
      </c>
      <c r="M810" s="1" t="s">
        <v>17</v>
      </c>
      <c r="N810" s="1" t="s">
        <v>16</v>
      </c>
    </row>
    <row r="811" spans="1:14" x14ac:dyDescent="0.25">
      <c r="A811" s="9">
        <v>43994</v>
      </c>
      <c r="B811" s="1" t="s">
        <v>22</v>
      </c>
      <c r="C811" s="1">
        <v>12</v>
      </c>
      <c r="D811" s="1">
        <v>3</v>
      </c>
      <c r="E811" s="5">
        <v>43.07</v>
      </c>
      <c r="F811" s="1" t="s">
        <v>19</v>
      </c>
      <c r="G811" s="1">
        <v>2</v>
      </c>
      <c r="H811" s="1" t="s">
        <v>16</v>
      </c>
      <c r="I811" s="1" t="s">
        <v>16</v>
      </c>
      <c r="J811" s="1" t="s">
        <v>16</v>
      </c>
      <c r="K811" s="1" t="s">
        <v>17</v>
      </c>
      <c r="L811" s="1" t="s">
        <v>17</v>
      </c>
      <c r="M811" s="1" t="s">
        <v>17</v>
      </c>
      <c r="N811" s="1" t="s">
        <v>16</v>
      </c>
    </row>
    <row r="812" spans="1:14" x14ac:dyDescent="0.25">
      <c r="A812" s="9">
        <v>43994</v>
      </c>
      <c r="B812" s="1" t="s">
        <v>22</v>
      </c>
      <c r="C812" s="1">
        <v>13</v>
      </c>
      <c r="D812" s="1">
        <v>3</v>
      </c>
      <c r="E812" s="5">
        <v>61.87</v>
      </c>
      <c r="F812" s="1" t="s">
        <v>18</v>
      </c>
      <c r="G812" s="1">
        <v>2</v>
      </c>
      <c r="H812" s="1" t="s">
        <v>16</v>
      </c>
      <c r="I812" s="1" t="s">
        <v>16</v>
      </c>
      <c r="J812" s="1" t="s">
        <v>16</v>
      </c>
      <c r="K812" s="1" t="s">
        <v>21</v>
      </c>
      <c r="L812" s="1" t="s">
        <v>17</v>
      </c>
      <c r="M812" s="1" t="s">
        <v>17</v>
      </c>
      <c r="N812" s="1" t="s">
        <v>16</v>
      </c>
    </row>
    <row r="813" spans="1:14" x14ac:dyDescent="0.25">
      <c r="A813" s="9">
        <v>43994</v>
      </c>
      <c r="B813" s="1" t="s">
        <v>22</v>
      </c>
      <c r="C813" s="1">
        <v>14</v>
      </c>
      <c r="D813" s="1">
        <v>3</v>
      </c>
      <c r="E813" s="5">
        <v>50.57</v>
      </c>
      <c r="F813" s="1" t="s">
        <v>18</v>
      </c>
      <c r="G813" s="1">
        <v>2</v>
      </c>
      <c r="H813" s="1" t="s">
        <v>16</v>
      </c>
      <c r="I813" s="1" t="s">
        <v>16</v>
      </c>
      <c r="J813" s="1" t="s">
        <v>16</v>
      </c>
      <c r="K813" s="1" t="s">
        <v>17</v>
      </c>
      <c r="L813" s="1" t="s">
        <v>17</v>
      </c>
      <c r="M813" s="1" t="s">
        <v>17</v>
      </c>
      <c r="N813" s="1" t="s">
        <v>16</v>
      </c>
    </row>
    <row r="814" spans="1:14" x14ac:dyDescent="0.25">
      <c r="A814" s="9">
        <v>43994</v>
      </c>
      <c r="B814" s="1" t="s">
        <v>22</v>
      </c>
      <c r="C814" s="1">
        <v>15</v>
      </c>
      <c r="D814" s="1">
        <v>3</v>
      </c>
      <c r="E814" s="5">
        <v>63.73</v>
      </c>
      <c r="F814" s="1" t="s">
        <v>18</v>
      </c>
      <c r="G814" s="1">
        <v>2</v>
      </c>
      <c r="H814" s="1" t="s">
        <v>16</v>
      </c>
      <c r="I814" s="1" t="s">
        <v>16</v>
      </c>
      <c r="J814" s="1" t="s">
        <v>16</v>
      </c>
      <c r="K814" s="1" t="s">
        <v>21</v>
      </c>
      <c r="L814" s="1" t="s">
        <v>17</v>
      </c>
      <c r="M814" s="1" t="s">
        <v>17</v>
      </c>
      <c r="N814" s="1" t="s">
        <v>16</v>
      </c>
    </row>
    <row r="815" spans="1:14" x14ac:dyDescent="0.25">
      <c r="A815" s="9">
        <v>44036</v>
      </c>
      <c r="B815" s="1" t="s">
        <v>22</v>
      </c>
      <c r="C815" s="1">
        <v>1</v>
      </c>
      <c r="D815" s="1">
        <v>1</v>
      </c>
      <c r="E815" s="5">
        <v>63.39</v>
      </c>
      <c r="F815" s="1" t="s">
        <v>18</v>
      </c>
      <c r="G815" s="1">
        <v>2</v>
      </c>
      <c r="H815" s="1" t="s">
        <v>16</v>
      </c>
      <c r="I815" s="1" t="s">
        <v>16</v>
      </c>
      <c r="J815" s="1" t="s">
        <v>16</v>
      </c>
      <c r="K815" s="1" t="s">
        <v>17</v>
      </c>
      <c r="L815" s="1" t="s">
        <v>17</v>
      </c>
      <c r="M815" s="1" t="s">
        <v>17</v>
      </c>
      <c r="N815" s="1" t="s">
        <v>16</v>
      </c>
    </row>
    <row r="816" spans="1:14" x14ac:dyDescent="0.25">
      <c r="A816" s="9">
        <v>44036</v>
      </c>
      <c r="B816" s="1" t="s">
        <v>22</v>
      </c>
      <c r="C816" s="1">
        <v>2</v>
      </c>
      <c r="D816" s="1">
        <v>1</v>
      </c>
      <c r="E816" s="5">
        <v>47.61</v>
      </c>
      <c r="F816" s="1" t="s">
        <v>18</v>
      </c>
      <c r="G816" s="1">
        <v>2</v>
      </c>
      <c r="H816" s="1" t="s">
        <v>16</v>
      </c>
      <c r="I816" s="1" t="s">
        <v>16</v>
      </c>
      <c r="J816" s="1" t="s">
        <v>16</v>
      </c>
      <c r="K816" s="1" t="s">
        <v>17</v>
      </c>
      <c r="L816" s="1" t="s">
        <v>17</v>
      </c>
      <c r="M816" s="1" t="s">
        <v>17</v>
      </c>
      <c r="N816" s="1" t="s">
        <v>16</v>
      </c>
    </row>
    <row r="817" spans="1:14" x14ac:dyDescent="0.25">
      <c r="A817" s="9">
        <v>44036</v>
      </c>
      <c r="B817" s="1" t="s">
        <v>22</v>
      </c>
      <c r="C817" s="1">
        <v>3</v>
      </c>
      <c r="D817" s="1">
        <v>1</v>
      </c>
      <c r="E817" s="5">
        <v>51.33</v>
      </c>
      <c r="F817" s="1" t="s">
        <v>18</v>
      </c>
      <c r="G817" s="1">
        <v>2</v>
      </c>
      <c r="H817" s="1" t="s">
        <v>16</v>
      </c>
      <c r="I817" s="1" t="s">
        <v>16</v>
      </c>
      <c r="J817" s="1" t="s">
        <v>16</v>
      </c>
      <c r="K817" s="1" t="s">
        <v>17</v>
      </c>
      <c r="L817" s="1" t="s">
        <v>17</v>
      </c>
      <c r="M817" s="1" t="s">
        <v>17</v>
      </c>
      <c r="N817" s="1" t="s">
        <v>16</v>
      </c>
    </row>
    <row r="818" spans="1:14" x14ac:dyDescent="0.25">
      <c r="A818" s="9">
        <v>44036</v>
      </c>
      <c r="B818" s="1" t="s">
        <v>22</v>
      </c>
      <c r="C818" s="1">
        <v>4</v>
      </c>
      <c r="D818" s="1">
        <v>1</v>
      </c>
      <c r="E818" s="5">
        <v>58.02</v>
      </c>
      <c r="F818" s="1" t="s">
        <v>18</v>
      </c>
      <c r="G818" s="1">
        <v>2</v>
      </c>
      <c r="H818" s="1" t="s">
        <v>16</v>
      </c>
      <c r="I818" s="1" t="s">
        <v>16</v>
      </c>
      <c r="J818" s="1" t="s">
        <v>16</v>
      </c>
      <c r="K818" s="1" t="s">
        <v>17</v>
      </c>
      <c r="L818" s="1" t="s">
        <v>17</v>
      </c>
      <c r="M818" s="1" t="s">
        <v>17</v>
      </c>
      <c r="N818" s="1" t="s">
        <v>16</v>
      </c>
    </row>
    <row r="819" spans="1:14" x14ac:dyDescent="0.25">
      <c r="A819" s="9">
        <v>44036</v>
      </c>
      <c r="B819" s="1" t="s">
        <v>22</v>
      </c>
      <c r="C819" s="1">
        <v>5</v>
      </c>
      <c r="D819" s="1">
        <v>1</v>
      </c>
      <c r="E819" s="5">
        <v>49.05</v>
      </c>
      <c r="F819" s="1" t="s">
        <v>18</v>
      </c>
      <c r="G819" s="1">
        <v>2</v>
      </c>
      <c r="H819" s="1" t="s">
        <v>16</v>
      </c>
      <c r="I819" s="1" t="s">
        <v>16</v>
      </c>
      <c r="J819" s="1" t="s">
        <v>16</v>
      </c>
      <c r="K819" s="1" t="s">
        <v>17</v>
      </c>
      <c r="L819" s="1" t="s">
        <v>17</v>
      </c>
      <c r="M819" s="1" t="s">
        <v>17</v>
      </c>
      <c r="N819" s="1" t="s">
        <v>16</v>
      </c>
    </row>
    <row r="820" spans="1:14" x14ac:dyDescent="0.25">
      <c r="A820" s="9">
        <v>44036</v>
      </c>
      <c r="B820" s="1" t="s">
        <v>22</v>
      </c>
      <c r="C820" s="1">
        <v>6</v>
      </c>
      <c r="D820" s="1">
        <v>2</v>
      </c>
      <c r="E820" s="5">
        <v>63.4</v>
      </c>
      <c r="F820" s="1" t="s">
        <v>18</v>
      </c>
      <c r="G820" s="1">
        <v>2</v>
      </c>
      <c r="H820" s="1" t="s">
        <v>16</v>
      </c>
      <c r="I820" s="1" t="s">
        <v>16</v>
      </c>
      <c r="J820" s="1" t="s">
        <v>16</v>
      </c>
      <c r="K820" s="1" t="s">
        <v>17</v>
      </c>
      <c r="L820" s="1" t="s">
        <v>17</v>
      </c>
      <c r="M820" s="1" t="s">
        <v>17</v>
      </c>
      <c r="N820" s="1" t="s">
        <v>16</v>
      </c>
    </row>
    <row r="821" spans="1:14" x14ac:dyDescent="0.25">
      <c r="A821" s="9">
        <v>44036</v>
      </c>
      <c r="B821" s="1" t="s">
        <v>22</v>
      </c>
      <c r="C821" s="1">
        <v>7</v>
      </c>
      <c r="D821" s="1">
        <v>2</v>
      </c>
      <c r="E821" s="5">
        <v>59.38</v>
      </c>
      <c r="F821" s="1" t="s">
        <v>19</v>
      </c>
      <c r="G821" s="1">
        <v>2</v>
      </c>
      <c r="H821" s="1" t="s">
        <v>16</v>
      </c>
      <c r="I821" s="1" t="s">
        <v>16</v>
      </c>
      <c r="J821" s="1" t="s">
        <v>16</v>
      </c>
      <c r="K821" s="1" t="s">
        <v>17</v>
      </c>
      <c r="L821" s="1" t="s">
        <v>17</v>
      </c>
      <c r="M821" s="1" t="s">
        <v>17</v>
      </c>
      <c r="N821" s="1" t="s">
        <v>16</v>
      </c>
    </row>
    <row r="822" spans="1:14" x14ac:dyDescent="0.25">
      <c r="A822" s="9">
        <v>44036</v>
      </c>
      <c r="B822" s="1" t="s">
        <v>22</v>
      </c>
      <c r="C822" s="1">
        <v>8</v>
      </c>
      <c r="D822" s="1">
        <v>2</v>
      </c>
      <c r="E822" s="5">
        <v>54.54</v>
      </c>
      <c r="F822" s="1" t="s">
        <v>18</v>
      </c>
      <c r="G822" s="1">
        <v>2</v>
      </c>
      <c r="H822" s="1" t="s">
        <v>16</v>
      </c>
      <c r="I822" s="1" t="s">
        <v>16</v>
      </c>
      <c r="J822" s="1" t="s">
        <v>16</v>
      </c>
      <c r="K822" s="1" t="s">
        <v>17</v>
      </c>
      <c r="L822" s="1" t="s">
        <v>17</v>
      </c>
      <c r="M822" s="1" t="s">
        <v>17</v>
      </c>
      <c r="N822" s="1" t="s">
        <v>16</v>
      </c>
    </row>
    <row r="823" spans="1:14" x14ac:dyDescent="0.25">
      <c r="A823" s="9">
        <v>44036</v>
      </c>
      <c r="B823" s="1" t="s">
        <v>22</v>
      </c>
      <c r="C823" s="1">
        <v>9</v>
      </c>
      <c r="D823" s="1">
        <v>2</v>
      </c>
      <c r="E823" s="5">
        <v>68.150000000000006</v>
      </c>
      <c r="F823" s="1" t="s">
        <v>18</v>
      </c>
      <c r="G823" s="1" t="s">
        <v>16</v>
      </c>
      <c r="H823" s="1" t="s">
        <v>16</v>
      </c>
      <c r="I823" s="1" t="s">
        <v>16</v>
      </c>
      <c r="J823" s="1" t="s">
        <v>16</v>
      </c>
      <c r="K823" s="1" t="s">
        <v>20</v>
      </c>
      <c r="L823" s="1" t="s">
        <v>17</v>
      </c>
      <c r="M823" s="1" t="s">
        <v>17</v>
      </c>
      <c r="N823" s="1" t="s">
        <v>16</v>
      </c>
    </row>
    <row r="824" spans="1:14" x14ac:dyDescent="0.25">
      <c r="A824" s="9">
        <v>44036</v>
      </c>
      <c r="B824" s="1" t="s">
        <v>22</v>
      </c>
      <c r="C824" s="1">
        <v>10</v>
      </c>
      <c r="D824" s="1">
        <v>2</v>
      </c>
      <c r="E824" s="5">
        <v>54.42</v>
      </c>
      <c r="F824" s="1" t="s">
        <v>18</v>
      </c>
      <c r="G824" s="1">
        <v>2</v>
      </c>
      <c r="H824" s="1" t="s">
        <v>16</v>
      </c>
      <c r="I824" s="1" t="s">
        <v>16</v>
      </c>
      <c r="J824" s="1" t="s">
        <v>16</v>
      </c>
      <c r="K824" s="1" t="s">
        <v>17</v>
      </c>
      <c r="L824" s="1" t="s">
        <v>17</v>
      </c>
      <c r="M824" s="1" t="s">
        <v>17</v>
      </c>
      <c r="N824" s="1" t="s">
        <v>16</v>
      </c>
    </row>
    <row r="825" spans="1:14" x14ac:dyDescent="0.25">
      <c r="A825" s="9">
        <v>44036</v>
      </c>
      <c r="B825" s="1" t="s">
        <v>22</v>
      </c>
      <c r="C825" s="1">
        <v>11</v>
      </c>
      <c r="D825" s="1">
        <v>3</v>
      </c>
      <c r="E825" s="5">
        <v>50.2</v>
      </c>
      <c r="F825" s="1" t="s">
        <v>18</v>
      </c>
      <c r="G825" s="1">
        <v>2</v>
      </c>
      <c r="H825" s="1" t="s">
        <v>16</v>
      </c>
      <c r="I825" s="1" t="s">
        <v>16</v>
      </c>
      <c r="J825" s="1" t="s">
        <v>16</v>
      </c>
      <c r="K825" s="1" t="s">
        <v>17</v>
      </c>
      <c r="L825" s="1" t="s">
        <v>17</v>
      </c>
      <c r="M825" s="1" t="s">
        <v>17</v>
      </c>
      <c r="N825" s="1" t="s">
        <v>16</v>
      </c>
    </row>
    <row r="826" spans="1:14" x14ac:dyDescent="0.25">
      <c r="A826" s="9">
        <v>44036</v>
      </c>
      <c r="B826" s="1" t="s">
        <v>22</v>
      </c>
      <c r="C826" s="1">
        <v>12</v>
      </c>
      <c r="D826" s="1">
        <v>3</v>
      </c>
      <c r="E826" s="5">
        <v>65.13</v>
      </c>
      <c r="F826" s="1" t="s">
        <v>18</v>
      </c>
      <c r="G826" s="1">
        <v>2</v>
      </c>
      <c r="H826" s="1" t="s">
        <v>16</v>
      </c>
      <c r="I826" s="1" t="s">
        <v>16</v>
      </c>
      <c r="J826" s="1" t="s">
        <v>16</v>
      </c>
      <c r="K826" s="1" t="s">
        <v>17</v>
      </c>
      <c r="L826" s="1" t="s">
        <v>17</v>
      </c>
      <c r="M826" s="1" t="s">
        <v>17</v>
      </c>
      <c r="N826" s="1" t="s">
        <v>16</v>
      </c>
    </row>
    <row r="827" spans="1:14" x14ac:dyDescent="0.25">
      <c r="A827" s="9">
        <v>44036</v>
      </c>
      <c r="B827" s="1" t="s">
        <v>22</v>
      </c>
      <c r="C827" s="1">
        <v>13</v>
      </c>
      <c r="D827" s="1">
        <v>3</v>
      </c>
      <c r="E827" s="5">
        <v>66.08</v>
      </c>
      <c r="F827" s="1" t="s">
        <v>18</v>
      </c>
      <c r="G827" s="1">
        <v>2</v>
      </c>
      <c r="H827" s="1" t="s">
        <v>16</v>
      </c>
      <c r="I827" s="1" t="s">
        <v>16</v>
      </c>
      <c r="J827" s="1" t="s">
        <v>16</v>
      </c>
      <c r="K827" s="1" t="s">
        <v>17</v>
      </c>
      <c r="L827" s="1" t="s">
        <v>17</v>
      </c>
      <c r="M827" s="1" t="s">
        <v>17</v>
      </c>
      <c r="N827" s="1" t="s">
        <v>16</v>
      </c>
    </row>
    <row r="828" spans="1:14" x14ac:dyDescent="0.25">
      <c r="A828" s="9">
        <v>44036</v>
      </c>
      <c r="B828" s="1" t="s">
        <v>22</v>
      </c>
      <c r="C828" s="1">
        <v>14</v>
      </c>
      <c r="D828" s="1">
        <v>3</v>
      </c>
      <c r="E828" s="5">
        <v>62.66</v>
      </c>
      <c r="F828" s="1" t="s">
        <v>19</v>
      </c>
      <c r="G828" s="1">
        <v>2</v>
      </c>
      <c r="H828" s="1" t="s">
        <v>16</v>
      </c>
      <c r="I828" s="1" t="s">
        <v>16</v>
      </c>
      <c r="J828" s="1" t="s">
        <v>16</v>
      </c>
      <c r="K828" s="1" t="s">
        <v>17</v>
      </c>
      <c r="L828" s="1" t="s">
        <v>17</v>
      </c>
      <c r="M828" s="1" t="s">
        <v>17</v>
      </c>
      <c r="N828" s="1" t="s">
        <v>16</v>
      </c>
    </row>
    <row r="829" spans="1:14" x14ac:dyDescent="0.25">
      <c r="A829" s="9">
        <v>44036</v>
      </c>
      <c r="B829" s="1" t="s">
        <v>22</v>
      </c>
      <c r="C829" s="1">
        <v>15</v>
      </c>
      <c r="D829" s="1">
        <v>3</v>
      </c>
      <c r="E829" s="5">
        <v>65.38</v>
      </c>
      <c r="F829" s="1" t="s">
        <v>19</v>
      </c>
      <c r="G829" s="1">
        <v>2</v>
      </c>
      <c r="H829" s="1" t="s">
        <v>16</v>
      </c>
      <c r="I829" s="1" t="s">
        <v>16</v>
      </c>
      <c r="J829" s="1" t="s">
        <v>16</v>
      </c>
      <c r="K829" s="1" t="s">
        <v>21</v>
      </c>
      <c r="L829" s="1" t="s">
        <v>17</v>
      </c>
      <c r="M829" s="1" t="s">
        <v>17</v>
      </c>
      <c r="N829" s="1" t="s">
        <v>16</v>
      </c>
    </row>
    <row r="830" spans="1:14" x14ac:dyDescent="0.25">
      <c r="A830" s="9">
        <v>44064</v>
      </c>
      <c r="B830" s="1" t="s">
        <v>22</v>
      </c>
      <c r="C830" s="1">
        <v>1</v>
      </c>
      <c r="D830" s="1">
        <v>1</v>
      </c>
      <c r="E830" s="5">
        <v>41.79</v>
      </c>
      <c r="F830" s="1" t="s">
        <v>18</v>
      </c>
      <c r="G830" s="1">
        <v>2</v>
      </c>
      <c r="H830" s="1" t="s">
        <v>16</v>
      </c>
      <c r="I830" s="1" t="s">
        <v>16</v>
      </c>
      <c r="J830" s="1" t="s">
        <v>16</v>
      </c>
      <c r="K830" s="1" t="s">
        <v>17</v>
      </c>
      <c r="L830" s="1" t="s">
        <v>17</v>
      </c>
      <c r="M830" s="1" t="s">
        <v>17</v>
      </c>
      <c r="N830" s="1" t="s">
        <v>16</v>
      </c>
    </row>
    <row r="831" spans="1:14" x14ac:dyDescent="0.25">
      <c r="A831" s="9">
        <v>44064</v>
      </c>
      <c r="B831" s="1" t="s">
        <v>22</v>
      </c>
      <c r="C831" s="1">
        <v>2</v>
      </c>
      <c r="D831" s="1">
        <v>1</v>
      </c>
      <c r="E831" s="5">
        <v>46.34</v>
      </c>
      <c r="F831" s="1" t="s">
        <v>18</v>
      </c>
      <c r="G831" s="1">
        <v>2</v>
      </c>
      <c r="H831" s="1" t="s">
        <v>16</v>
      </c>
      <c r="I831" s="1" t="s">
        <v>16</v>
      </c>
      <c r="J831" s="1" t="s">
        <v>16</v>
      </c>
      <c r="K831" s="1" t="s">
        <v>17</v>
      </c>
      <c r="L831" s="1" t="s">
        <v>17</v>
      </c>
      <c r="M831" s="1" t="s">
        <v>17</v>
      </c>
      <c r="N831" s="1" t="s">
        <v>16</v>
      </c>
    </row>
    <row r="832" spans="1:14" x14ac:dyDescent="0.25">
      <c r="A832" s="9">
        <v>44064</v>
      </c>
      <c r="B832" s="1" t="s">
        <v>22</v>
      </c>
      <c r="C832" s="1">
        <v>3</v>
      </c>
      <c r="D832" s="1">
        <v>1</v>
      </c>
      <c r="E832" s="5">
        <v>60.89</v>
      </c>
      <c r="F832" s="1" t="s">
        <v>19</v>
      </c>
      <c r="G832" s="1">
        <v>2</v>
      </c>
      <c r="H832" s="1" t="s">
        <v>16</v>
      </c>
      <c r="I832" s="1" t="s">
        <v>16</v>
      </c>
      <c r="J832" s="1" t="s">
        <v>16</v>
      </c>
      <c r="K832" s="1" t="s">
        <v>17</v>
      </c>
      <c r="L832" s="1" t="s">
        <v>17</v>
      </c>
      <c r="M832" s="1" t="s">
        <v>17</v>
      </c>
      <c r="N832" s="1" t="s">
        <v>16</v>
      </c>
    </row>
    <row r="833" spans="1:14" x14ac:dyDescent="0.25">
      <c r="A833" s="9">
        <v>44064</v>
      </c>
      <c r="B833" s="1" t="s">
        <v>22</v>
      </c>
      <c r="C833" s="1">
        <v>4</v>
      </c>
      <c r="D833" s="1">
        <v>1</v>
      </c>
      <c r="E833" s="5">
        <v>45.2</v>
      </c>
      <c r="F833" s="1" t="s">
        <v>18</v>
      </c>
      <c r="G833" s="1">
        <v>2</v>
      </c>
      <c r="H833" s="1" t="s">
        <v>16</v>
      </c>
      <c r="I833" s="1" t="s">
        <v>16</v>
      </c>
      <c r="J833" s="1" t="s">
        <v>16</v>
      </c>
      <c r="K833" s="1" t="s">
        <v>17</v>
      </c>
      <c r="L833" s="1" t="s">
        <v>17</v>
      </c>
      <c r="M833" s="1" t="s">
        <v>17</v>
      </c>
      <c r="N833" s="1" t="s">
        <v>16</v>
      </c>
    </row>
    <row r="834" spans="1:14" x14ac:dyDescent="0.25">
      <c r="A834" s="9">
        <v>44064</v>
      </c>
      <c r="B834" s="1" t="s">
        <v>22</v>
      </c>
      <c r="C834" s="1">
        <v>5</v>
      </c>
      <c r="D834" s="1">
        <v>1</v>
      </c>
      <c r="E834" s="5">
        <v>74.05</v>
      </c>
      <c r="F834" s="1" t="s">
        <v>18</v>
      </c>
      <c r="G834" s="1">
        <v>2</v>
      </c>
      <c r="H834" s="1" t="s">
        <v>16</v>
      </c>
      <c r="I834" s="1" t="s">
        <v>16</v>
      </c>
      <c r="J834" s="1" t="s">
        <v>16</v>
      </c>
      <c r="K834" s="1" t="s">
        <v>17</v>
      </c>
      <c r="L834" s="1" t="s">
        <v>17</v>
      </c>
      <c r="M834" s="1" t="s">
        <v>17</v>
      </c>
      <c r="N834" s="1" t="s">
        <v>16</v>
      </c>
    </row>
    <row r="835" spans="1:14" x14ac:dyDescent="0.25">
      <c r="A835" s="9">
        <v>44064</v>
      </c>
      <c r="B835" s="1" t="s">
        <v>22</v>
      </c>
      <c r="C835" s="1">
        <v>6</v>
      </c>
      <c r="D835" s="1">
        <v>2</v>
      </c>
      <c r="E835" s="5">
        <v>54.59</v>
      </c>
      <c r="F835" s="1" t="s">
        <v>18</v>
      </c>
      <c r="G835" s="1">
        <v>2</v>
      </c>
      <c r="H835" s="1" t="s">
        <v>16</v>
      </c>
      <c r="I835" s="1" t="s">
        <v>16</v>
      </c>
      <c r="J835" s="1" t="s">
        <v>16</v>
      </c>
      <c r="K835" s="1" t="s">
        <v>17</v>
      </c>
      <c r="L835" s="1" t="s">
        <v>17</v>
      </c>
      <c r="M835" s="1" t="s">
        <v>21</v>
      </c>
      <c r="N835" s="1" t="s">
        <v>16</v>
      </c>
    </row>
    <row r="836" spans="1:14" x14ac:dyDescent="0.25">
      <c r="A836" s="9">
        <v>44064</v>
      </c>
      <c r="B836" s="1" t="s">
        <v>22</v>
      </c>
      <c r="C836" s="1">
        <v>7</v>
      </c>
      <c r="D836" s="1">
        <v>2</v>
      </c>
      <c r="E836" s="5">
        <v>37.86</v>
      </c>
      <c r="F836" s="1" t="s">
        <v>18</v>
      </c>
      <c r="G836" s="1">
        <v>2</v>
      </c>
      <c r="H836" s="1" t="s">
        <v>16</v>
      </c>
      <c r="I836" s="1" t="s">
        <v>16</v>
      </c>
      <c r="J836" s="1" t="s">
        <v>16</v>
      </c>
      <c r="K836" s="1" t="s">
        <v>17</v>
      </c>
      <c r="L836" s="1" t="s">
        <v>17</v>
      </c>
      <c r="M836" s="1" t="s">
        <v>17</v>
      </c>
      <c r="N836" s="1" t="s">
        <v>16</v>
      </c>
    </row>
    <row r="837" spans="1:14" x14ac:dyDescent="0.25">
      <c r="A837" s="9">
        <v>44064</v>
      </c>
      <c r="B837" s="1" t="s">
        <v>22</v>
      </c>
      <c r="C837" s="1">
        <v>8</v>
      </c>
      <c r="D837" s="1">
        <v>2</v>
      </c>
      <c r="E837" s="5">
        <v>44.97</v>
      </c>
      <c r="F837" s="1" t="s">
        <v>18</v>
      </c>
      <c r="G837" s="1">
        <v>2</v>
      </c>
      <c r="H837" s="1" t="s">
        <v>16</v>
      </c>
      <c r="I837" s="1" t="s">
        <v>16</v>
      </c>
      <c r="J837" s="1" t="s">
        <v>16</v>
      </c>
      <c r="K837" s="1" t="s">
        <v>17</v>
      </c>
      <c r="L837" s="1" t="s">
        <v>17</v>
      </c>
      <c r="M837" s="1" t="s">
        <v>17</v>
      </c>
      <c r="N837" s="1" t="s">
        <v>16</v>
      </c>
    </row>
    <row r="838" spans="1:14" x14ac:dyDescent="0.25">
      <c r="A838" s="9">
        <v>44064</v>
      </c>
      <c r="B838" s="1" t="s">
        <v>22</v>
      </c>
      <c r="C838" s="1">
        <v>9</v>
      </c>
      <c r="D838" s="1">
        <v>2</v>
      </c>
      <c r="E838" s="5">
        <v>63.87</v>
      </c>
      <c r="F838" s="1" t="s">
        <v>18</v>
      </c>
      <c r="G838" s="1">
        <v>3</v>
      </c>
      <c r="H838" s="1" t="s">
        <v>16</v>
      </c>
      <c r="I838" s="1" t="s">
        <v>16</v>
      </c>
      <c r="J838" s="1" t="s">
        <v>16</v>
      </c>
      <c r="K838" s="1" t="s">
        <v>17</v>
      </c>
      <c r="L838" s="1" t="s">
        <v>17</v>
      </c>
      <c r="M838" s="1" t="s">
        <v>17</v>
      </c>
      <c r="N838" s="1" t="s">
        <v>16</v>
      </c>
    </row>
    <row r="839" spans="1:14" x14ac:dyDescent="0.25">
      <c r="A839" s="9">
        <v>44064</v>
      </c>
      <c r="B839" s="1" t="s">
        <v>22</v>
      </c>
      <c r="C839" s="1">
        <v>10</v>
      </c>
      <c r="D839" s="1">
        <v>2</v>
      </c>
      <c r="E839" s="5">
        <v>61.38</v>
      </c>
      <c r="F839" s="1" t="s">
        <v>18</v>
      </c>
      <c r="G839" s="1">
        <v>2</v>
      </c>
      <c r="H839" s="1" t="s">
        <v>16</v>
      </c>
      <c r="I839" s="1" t="s">
        <v>16</v>
      </c>
      <c r="J839" s="1" t="s">
        <v>16</v>
      </c>
      <c r="K839" s="1" t="s">
        <v>17</v>
      </c>
      <c r="L839" s="1" t="s">
        <v>17</v>
      </c>
      <c r="M839" s="1" t="s">
        <v>17</v>
      </c>
      <c r="N839" s="1" t="s">
        <v>16</v>
      </c>
    </row>
    <row r="840" spans="1:14" x14ac:dyDescent="0.25">
      <c r="A840" s="9">
        <v>44064</v>
      </c>
      <c r="B840" s="1" t="s">
        <v>22</v>
      </c>
      <c r="C840" s="1">
        <v>11</v>
      </c>
      <c r="D840" s="1">
        <v>3</v>
      </c>
      <c r="E840" s="5">
        <v>65.37</v>
      </c>
      <c r="F840" s="1" t="s">
        <v>18</v>
      </c>
      <c r="G840" s="1">
        <v>2</v>
      </c>
      <c r="H840" s="1" t="s">
        <v>16</v>
      </c>
      <c r="I840" s="1" t="s">
        <v>16</v>
      </c>
      <c r="J840" s="1" t="s">
        <v>16</v>
      </c>
      <c r="K840" s="1" t="s">
        <v>17</v>
      </c>
      <c r="L840" s="1" t="s">
        <v>17</v>
      </c>
      <c r="M840" s="1" t="s">
        <v>17</v>
      </c>
      <c r="N840" s="1" t="s">
        <v>16</v>
      </c>
    </row>
    <row r="841" spans="1:14" x14ac:dyDescent="0.25">
      <c r="A841" s="9">
        <v>44064</v>
      </c>
      <c r="B841" s="1" t="s">
        <v>22</v>
      </c>
      <c r="C841" s="1">
        <v>12</v>
      </c>
      <c r="D841" s="1">
        <v>3</v>
      </c>
      <c r="E841" s="5">
        <v>71.39</v>
      </c>
      <c r="F841" s="1" t="s">
        <v>18</v>
      </c>
      <c r="G841" s="1">
        <v>2</v>
      </c>
      <c r="H841" s="1" t="s">
        <v>16</v>
      </c>
      <c r="I841" s="1" t="s">
        <v>16</v>
      </c>
      <c r="J841" s="1" t="s">
        <v>16</v>
      </c>
      <c r="K841" s="1" t="s">
        <v>17</v>
      </c>
      <c r="L841" s="1" t="s">
        <v>17</v>
      </c>
      <c r="M841" s="1" t="s">
        <v>17</v>
      </c>
      <c r="N841" s="1" t="s">
        <v>16</v>
      </c>
    </row>
    <row r="842" spans="1:14" x14ac:dyDescent="0.25">
      <c r="A842" s="9">
        <v>44064</v>
      </c>
      <c r="B842" s="1" t="s">
        <v>22</v>
      </c>
      <c r="C842" s="1">
        <v>13</v>
      </c>
      <c r="D842" s="1">
        <v>3</v>
      </c>
      <c r="E842" s="5">
        <v>43.45</v>
      </c>
      <c r="F842" s="1" t="s">
        <v>19</v>
      </c>
      <c r="G842" s="1">
        <v>2</v>
      </c>
      <c r="H842" s="1" t="s">
        <v>16</v>
      </c>
      <c r="I842" s="1" t="s">
        <v>16</v>
      </c>
      <c r="J842" s="1" t="s">
        <v>16</v>
      </c>
      <c r="K842" s="1" t="s">
        <v>17</v>
      </c>
      <c r="L842" s="1" t="s">
        <v>17</v>
      </c>
      <c r="M842" s="1" t="s">
        <v>17</v>
      </c>
      <c r="N842" s="1" t="s">
        <v>16</v>
      </c>
    </row>
    <row r="843" spans="1:14" x14ac:dyDescent="0.25">
      <c r="A843" s="9">
        <v>44064</v>
      </c>
      <c r="B843" s="1" t="s">
        <v>22</v>
      </c>
      <c r="C843" s="1">
        <v>14</v>
      </c>
      <c r="D843" s="1">
        <v>3</v>
      </c>
      <c r="E843" s="5">
        <v>64.040000000000006</v>
      </c>
      <c r="F843" s="1" t="s">
        <v>18</v>
      </c>
      <c r="G843" s="1">
        <v>2</v>
      </c>
      <c r="H843" s="1" t="s">
        <v>16</v>
      </c>
      <c r="I843" s="1" t="s">
        <v>16</v>
      </c>
      <c r="J843" s="1" t="s">
        <v>16</v>
      </c>
      <c r="K843" s="1" t="s">
        <v>17</v>
      </c>
      <c r="L843" s="1" t="s">
        <v>17</v>
      </c>
      <c r="M843" s="1" t="s">
        <v>17</v>
      </c>
      <c r="N843" s="1" t="s">
        <v>16</v>
      </c>
    </row>
    <row r="844" spans="1:14" x14ac:dyDescent="0.25">
      <c r="A844" s="9">
        <v>44064</v>
      </c>
      <c r="B844" s="1" t="s">
        <v>22</v>
      </c>
      <c r="C844" s="1">
        <v>15</v>
      </c>
      <c r="D844" s="1">
        <v>3</v>
      </c>
      <c r="E844" s="5">
        <v>35.44</v>
      </c>
      <c r="F844" s="1" t="s">
        <v>18</v>
      </c>
      <c r="G844" s="1">
        <v>2</v>
      </c>
      <c r="H844" s="1" t="s">
        <v>16</v>
      </c>
      <c r="I844" s="1" t="s">
        <v>16</v>
      </c>
      <c r="J844" s="1" t="s">
        <v>16</v>
      </c>
      <c r="K844" s="1" t="s">
        <v>17</v>
      </c>
      <c r="L844" s="1" t="s">
        <v>17</v>
      </c>
      <c r="M844" s="1" t="s">
        <v>17</v>
      </c>
      <c r="N844" s="1" t="s">
        <v>16</v>
      </c>
    </row>
    <row r="845" spans="1:14" x14ac:dyDescent="0.25">
      <c r="A845" s="9">
        <v>44090</v>
      </c>
      <c r="B845" s="1" t="s">
        <v>22</v>
      </c>
      <c r="C845" s="1">
        <v>1</v>
      </c>
      <c r="D845" s="1">
        <v>1</v>
      </c>
      <c r="E845" s="5">
        <v>53.32</v>
      </c>
      <c r="F845" s="1" t="s">
        <v>18</v>
      </c>
      <c r="G845" s="1">
        <v>2</v>
      </c>
      <c r="H845" s="1" t="s">
        <v>16</v>
      </c>
      <c r="I845" s="1" t="s">
        <v>16</v>
      </c>
      <c r="J845" s="1" t="s">
        <v>16</v>
      </c>
      <c r="K845" s="1" t="s">
        <v>17</v>
      </c>
      <c r="L845" s="1" t="s">
        <v>17</v>
      </c>
      <c r="M845" s="1" t="s">
        <v>17</v>
      </c>
      <c r="N845" s="1" t="s">
        <v>16</v>
      </c>
    </row>
    <row r="846" spans="1:14" x14ac:dyDescent="0.25">
      <c r="A846" s="9">
        <v>44090</v>
      </c>
      <c r="B846" s="1" t="s">
        <v>22</v>
      </c>
      <c r="C846" s="1">
        <v>2</v>
      </c>
      <c r="D846" s="1">
        <v>1</v>
      </c>
      <c r="E846" s="5">
        <v>51.26</v>
      </c>
      <c r="F846" s="1" t="s">
        <v>18</v>
      </c>
      <c r="G846" s="1">
        <v>2</v>
      </c>
      <c r="H846" s="1" t="s">
        <v>16</v>
      </c>
      <c r="I846" s="1" t="s">
        <v>16</v>
      </c>
      <c r="J846" s="1" t="s">
        <v>16</v>
      </c>
      <c r="K846" s="1" t="s">
        <v>17</v>
      </c>
      <c r="L846" s="1" t="s">
        <v>17</v>
      </c>
      <c r="M846" s="1" t="s">
        <v>17</v>
      </c>
      <c r="N846" s="1" t="s">
        <v>16</v>
      </c>
    </row>
    <row r="847" spans="1:14" x14ac:dyDescent="0.25">
      <c r="A847" s="9">
        <v>44090</v>
      </c>
      <c r="B847" s="1" t="s">
        <v>22</v>
      </c>
      <c r="C847" s="1">
        <v>3</v>
      </c>
      <c r="D847" s="1">
        <v>1</v>
      </c>
      <c r="E847" s="5">
        <v>60.33</v>
      </c>
      <c r="F847" s="1" t="s">
        <v>18</v>
      </c>
      <c r="G847" s="1">
        <v>2</v>
      </c>
      <c r="H847" s="1" t="s">
        <v>16</v>
      </c>
      <c r="I847" s="1" t="s">
        <v>16</v>
      </c>
      <c r="J847" s="1" t="s">
        <v>16</v>
      </c>
      <c r="K847" s="1" t="s">
        <v>17</v>
      </c>
      <c r="L847" s="1" t="s">
        <v>17</v>
      </c>
      <c r="M847" s="1" t="s">
        <v>21</v>
      </c>
      <c r="N847" s="1" t="s">
        <v>16</v>
      </c>
    </row>
    <row r="848" spans="1:14" x14ac:dyDescent="0.25">
      <c r="A848" s="9">
        <v>44090</v>
      </c>
      <c r="B848" s="1" t="s">
        <v>22</v>
      </c>
      <c r="C848" s="1">
        <v>4</v>
      </c>
      <c r="D848" s="1">
        <v>1</v>
      </c>
      <c r="E848" s="5">
        <v>62.23</v>
      </c>
      <c r="F848" s="1" t="s">
        <v>18</v>
      </c>
      <c r="G848" s="1">
        <v>2</v>
      </c>
      <c r="H848" s="1" t="s">
        <v>16</v>
      </c>
      <c r="I848" s="1" t="s">
        <v>16</v>
      </c>
      <c r="J848" s="1" t="s">
        <v>16</v>
      </c>
      <c r="K848" s="1" t="s">
        <v>17</v>
      </c>
      <c r="L848" s="1" t="s">
        <v>17</v>
      </c>
      <c r="M848" s="1" t="s">
        <v>17</v>
      </c>
      <c r="N848" s="1" t="s">
        <v>16</v>
      </c>
    </row>
    <row r="849" spans="1:14" x14ac:dyDescent="0.25">
      <c r="A849" s="9">
        <v>44090</v>
      </c>
      <c r="B849" s="1" t="s">
        <v>22</v>
      </c>
      <c r="C849" s="1">
        <v>5</v>
      </c>
      <c r="D849" s="1">
        <v>1</v>
      </c>
      <c r="E849" s="5">
        <v>59.16</v>
      </c>
      <c r="F849" s="1" t="s">
        <v>18</v>
      </c>
      <c r="G849" s="1">
        <v>2</v>
      </c>
      <c r="H849" s="1" t="s">
        <v>16</v>
      </c>
      <c r="I849" s="1" t="s">
        <v>16</v>
      </c>
      <c r="J849" s="1" t="s">
        <v>16</v>
      </c>
      <c r="K849" s="1" t="s">
        <v>17</v>
      </c>
      <c r="L849" s="1" t="s">
        <v>17</v>
      </c>
      <c r="M849" s="1" t="s">
        <v>17</v>
      </c>
      <c r="N849" s="1" t="s">
        <v>16</v>
      </c>
    </row>
    <row r="850" spans="1:14" x14ac:dyDescent="0.25">
      <c r="A850" s="9">
        <v>44090</v>
      </c>
      <c r="B850" s="1" t="s">
        <v>22</v>
      </c>
      <c r="C850" s="1">
        <v>6</v>
      </c>
      <c r="D850" s="1">
        <v>2</v>
      </c>
      <c r="E850" s="5">
        <v>38.83</v>
      </c>
      <c r="F850" s="1" t="s">
        <v>19</v>
      </c>
      <c r="G850" s="1">
        <v>3</v>
      </c>
      <c r="H850" s="1" t="s">
        <v>16</v>
      </c>
      <c r="I850" s="1" t="s">
        <v>16</v>
      </c>
      <c r="J850" s="1" t="s">
        <v>16</v>
      </c>
      <c r="K850" s="1" t="s">
        <v>17</v>
      </c>
      <c r="L850" s="1" t="s">
        <v>17</v>
      </c>
      <c r="M850" s="1" t="s">
        <v>17</v>
      </c>
      <c r="N850" s="1" t="s">
        <v>16</v>
      </c>
    </row>
    <row r="851" spans="1:14" x14ac:dyDescent="0.25">
      <c r="A851" s="9">
        <v>44090</v>
      </c>
      <c r="B851" s="1" t="s">
        <v>22</v>
      </c>
      <c r="C851" s="1">
        <v>7</v>
      </c>
      <c r="D851" s="1">
        <v>2</v>
      </c>
      <c r="E851" s="5">
        <v>46.44</v>
      </c>
      <c r="F851" s="1" t="s">
        <v>18</v>
      </c>
      <c r="G851" s="1">
        <v>2</v>
      </c>
      <c r="H851" s="1" t="s">
        <v>16</v>
      </c>
      <c r="I851" s="1" t="s">
        <v>16</v>
      </c>
      <c r="J851" s="1" t="s">
        <v>16</v>
      </c>
      <c r="K851" s="1" t="s">
        <v>17</v>
      </c>
      <c r="L851" s="1" t="s">
        <v>17</v>
      </c>
      <c r="M851" s="1" t="s">
        <v>17</v>
      </c>
      <c r="N851" s="1" t="s">
        <v>16</v>
      </c>
    </row>
    <row r="852" spans="1:14" x14ac:dyDescent="0.25">
      <c r="A852" s="9">
        <v>44090</v>
      </c>
      <c r="B852" s="1" t="s">
        <v>22</v>
      </c>
      <c r="C852" s="1">
        <v>8</v>
      </c>
      <c r="D852" s="1">
        <v>2</v>
      </c>
      <c r="E852" s="5">
        <v>63.23</v>
      </c>
      <c r="F852" s="1" t="s">
        <v>18</v>
      </c>
      <c r="G852" s="1">
        <v>2</v>
      </c>
      <c r="H852" s="1" t="s">
        <v>16</v>
      </c>
      <c r="I852" s="1" t="s">
        <v>16</v>
      </c>
      <c r="J852" s="1" t="s">
        <v>16</v>
      </c>
      <c r="K852" s="1" t="s">
        <v>17</v>
      </c>
      <c r="L852" s="1" t="s">
        <v>17</v>
      </c>
      <c r="M852" s="1" t="s">
        <v>17</v>
      </c>
      <c r="N852" s="1" t="s">
        <v>16</v>
      </c>
    </row>
    <row r="853" spans="1:14" x14ac:dyDescent="0.25">
      <c r="A853" s="9">
        <v>44090</v>
      </c>
      <c r="B853" s="1" t="s">
        <v>22</v>
      </c>
      <c r="C853" s="1">
        <v>9</v>
      </c>
      <c r="D853" s="1">
        <v>2</v>
      </c>
      <c r="E853" s="5">
        <v>49.39</v>
      </c>
      <c r="F853" s="1" t="s">
        <v>18</v>
      </c>
      <c r="G853" s="1">
        <v>2</v>
      </c>
      <c r="H853" s="1" t="s">
        <v>16</v>
      </c>
      <c r="I853" s="1" t="s">
        <v>16</v>
      </c>
      <c r="J853" s="1" t="s">
        <v>16</v>
      </c>
      <c r="K853" s="1" t="s">
        <v>17</v>
      </c>
      <c r="L853" s="1" t="s">
        <v>17</v>
      </c>
      <c r="M853" s="1" t="s">
        <v>17</v>
      </c>
      <c r="N853" s="1" t="s">
        <v>16</v>
      </c>
    </row>
    <row r="854" spans="1:14" x14ac:dyDescent="0.25">
      <c r="A854" s="9">
        <v>44090</v>
      </c>
      <c r="B854" s="1" t="s">
        <v>22</v>
      </c>
      <c r="C854" s="1">
        <v>10</v>
      </c>
      <c r="D854" s="1">
        <v>2</v>
      </c>
      <c r="E854" s="5">
        <v>53.12</v>
      </c>
      <c r="F854" s="1" t="s">
        <v>19</v>
      </c>
      <c r="G854" s="1">
        <v>2</v>
      </c>
      <c r="H854" s="1" t="s">
        <v>16</v>
      </c>
      <c r="I854" s="1" t="s">
        <v>16</v>
      </c>
      <c r="J854" s="1" t="s">
        <v>16</v>
      </c>
      <c r="K854" s="1" t="s">
        <v>17</v>
      </c>
      <c r="L854" s="1" t="s">
        <v>17</v>
      </c>
      <c r="M854" s="1" t="s">
        <v>17</v>
      </c>
      <c r="N854" s="1" t="s">
        <v>16</v>
      </c>
    </row>
    <row r="855" spans="1:14" x14ac:dyDescent="0.25">
      <c r="A855" s="9">
        <v>44090</v>
      </c>
      <c r="B855" s="1" t="s">
        <v>22</v>
      </c>
      <c r="C855" s="1">
        <v>11</v>
      </c>
      <c r="D855" s="1">
        <v>3</v>
      </c>
      <c r="E855" s="5">
        <v>56.58</v>
      </c>
      <c r="F855" s="1" t="s">
        <v>18</v>
      </c>
      <c r="G855" s="1">
        <v>2</v>
      </c>
      <c r="H855" s="1" t="s">
        <v>16</v>
      </c>
      <c r="I855" s="1" t="s">
        <v>16</v>
      </c>
      <c r="J855" s="1" t="s">
        <v>16</v>
      </c>
      <c r="K855" s="1" t="s">
        <v>17</v>
      </c>
      <c r="L855" s="1" t="s">
        <v>17</v>
      </c>
      <c r="M855" s="1" t="s">
        <v>17</v>
      </c>
      <c r="N855" s="1" t="s">
        <v>16</v>
      </c>
    </row>
    <row r="856" spans="1:14" x14ac:dyDescent="0.25">
      <c r="A856" s="9">
        <v>44090</v>
      </c>
      <c r="B856" s="1" t="s">
        <v>22</v>
      </c>
      <c r="C856" s="1">
        <v>12</v>
      </c>
      <c r="D856" s="1">
        <v>3</v>
      </c>
      <c r="E856" s="5">
        <v>53.58</v>
      </c>
      <c r="F856" s="1" t="s">
        <v>18</v>
      </c>
      <c r="G856" s="1">
        <v>2</v>
      </c>
      <c r="H856" s="1" t="s">
        <v>16</v>
      </c>
      <c r="I856" s="1" t="s">
        <v>16</v>
      </c>
      <c r="J856" s="1" t="s">
        <v>16</v>
      </c>
      <c r="K856" s="1" t="s">
        <v>17</v>
      </c>
      <c r="L856" s="1" t="s">
        <v>17</v>
      </c>
      <c r="M856" s="1" t="s">
        <v>17</v>
      </c>
      <c r="N856" s="1" t="s">
        <v>16</v>
      </c>
    </row>
    <row r="857" spans="1:14" x14ac:dyDescent="0.25">
      <c r="A857" s="9">
        <v>44090</v>
      </c>
      <c r="B857" s="1" t="s">
        <v>22</v>
      </c>
      <c r="C857" s="1">
        <v>13</v>
      </c>
      <c r="D857" s="1">
        <v>3</v>
      </c>
      <c r="E857" s="5">
        <v>61.27</v>
      </c>
      <c r="F857" s="1" t="s">
        <v>18</v>
      </c>
      <c r="G857" s="1">
        <v>2</v>
      </c>
      <c r="H857" s="1" t="s">
        <v>16</v>
      </c>
      <c r="I857" s="1" t="s">
        <v>16</v>
      </c>
      <c r="J857" s="1" t="s">
        <v>16</v>
      </c>
      <c r="K857" s="1" t="s">
        <v>17</v>
      </c>
      <c r="L857" s="1" t="s">
        <v>17</v>
      </c>
      <c r="M857" s="1" t="s">
        <v>17</v>
      </c>
      <c r="N857" s="1" t="s">
        <v>16</v>
      </c>
    </row>
    <row r="858" spans="1:14" x14ac:dyDescent="0.25">
      <c r="A858" s="9">
        <v>44090</v>
      </c>
      <c r="B858" s="1" t="s">
        <v>22</v>
      </c>
      <c r="C858" s="1">
        <v>14</v>
      </c>
      <c r="D858" s="1">
        <v>3</v>
      </c>
      <c r="E858" s="5">
        <v>76.05</v>
      </c>
      <c r="F858" s="1" t="s">
        <v>16</v>
      </c>
      <c r="G858" s="1" t="s">
        <v>16</v>
      </c>
      <c r="H858" s="1" t="s">
        <v>16</v>
      </c>
      <c r="I858" s="1" t="s">
        <v>16</v>
      </c>
      <c r="J858" s="1" t="s">
        <v>16</v>
      </c>
      <c r="K858" s="1" t="s">
        <v>17</v>
      </c>
      <c r="L858" s="1" t="s">
        <v>21</v>
      </c>
      <c r="M858" s="1" t="s">
        <v>17</v>
      </c>
      <c r="N858" s="1" t="s">
        <v>16</v>
      </c>
    </row>
    <row r="859" spans="1:14" x14ac:dyDescent="0.25">
      <c r="A859" s="9">
        <v>44090</v>
      </c>
      <c r="B859" s="1" t="s">
        <v>22</v>
      </c>
      <c r="C859" s="1">
        <v>15</v>
      </c>
      <c r="D859" s="1">
        <v>3</v>
      </c>
      <c r="E859" s="5">
        <v>62.76</v>
      </c>
      <c r="F859" s="1" t="s">
        <v>16</v>
      </c>
      <c r="G859" s="1" t="s">
        <v>16</v>
      </c>
      <c r="H859" s="1" t="s">
        <v>16</v>
      </c>
      <c r="I859" s="1" t="s">
        <v>16</v>
      </c>
      <c r="J859" s="1" t="s">
        <v>16</v>
      </c>
      <c r="K859" s="1" t="s">
        <v>17</v>
      </c>
      <c r="L859" s="1" t="s">
        <v>21</v>
      </c>
      <c r="M859" s="1" t="s">
        <v>17</v>
      </c>
      <c r="N859" s="1" t="s">
        <v>16</v>
      </c>
    </row>
    <row r="860" spans="1:14" x14ac:dyDescent="0.25">
      <c r="A860" s="9">
        <v>44110</v>
      </c>
      <c r="B860" s="1" t="s">
        <v>22</v>
      </c>
      <c r="C860" s="1">
        <v>1</v>
      </c>
      <c r="D860" s="1">
        <v>1</v>
      </c>
      <c r="E860" s="5">
        <v>44.83</v>
      </c>
      <c r="F860" s="1" t="s">
        <v>18</v>
      </c>
      <c r="G860" s="1">
        <v>2</v>
      </c>
      <c r="H860" s="1" t="s">
        <v>16</v>
      </c>
      <c r="I860" s="1" t="s">
        <v>16</v>
      </c>
      <c r="J860" s="1" t="s">
        <v>16</v>
      </c>
      <c r="K860" s="1" t="s">
        <v>21</v>
      </c>
      <c r="L860" s="1" t="s">
        <v>17</v>
      </c>
      <c r="M860" s="1" t="s">
        <v>17</v>
      </c>
      <c r="N860" s="1" t="s">
        <v>16</v>
      </c>
    </row>
    <row r="861" spans="1:14" x14ac:dyDescent="0.25">
      <c r="A861" s="9">
        <v>44110</v>
      </c>
      <c r="B861" s="1" t="s">
        <v>22</v>
      </c>
      <c r="C861" s="1">
        <v>2</v>
      </c>
      <c r="D861" s="1">
        <v>1</v>
      </c>
      <c r="E861" s="5">
        <v>42.11</v>
      </c>
      <c r="F861" s="1" t="s">
        <v>18</v>
      </c>
      <c r="G861" s="1">
        <v>2</v>
      </c>
      <c r="H861" s="1" t="s">
        <v>16</v>
      </c>
      <c r="I861" s="1" t="s">
        <v>16</v>
      </c>
      <c r="J861" s="1" t="s">
        <v>16</v>
      </c>
      <c r="K861" s="1" t="s">
        <v>21</v>
      </c>
      <c r="L861" s="1" t="s">
        <v>17</v>
      </c>
      <c r="M861" s="1" t="s">
        <v>21</v>
      </c>
      <c r="N861" s="1" t="s">
        <v>16</v>
      </c>
    </row>
    <row r="862" spans="1:14" x14ac:dyDescent="0.25">
      <c r="A862" s="9">
        <v>44110</v>
      </c>
      <c r="B862" s="1" t="s">
        <v>22</v>
      </c>
      <c r="C862" s="1">
        <v>3</v>
      </c>
      <c r="D862" s="1">
        <v>1</v>
      </c>
      <c r="E862" s="5">
        <v>47.73</v>
      </c>
      <c r="F862" s="1" t="s">
        <v>18</v>
      </c>
      <c r="G862" s="1">
        <v>2</v>
      </c>
      <c r="H862" s="1" t="s">
        <v>16</v>
      </c>
      <c r="I862" s="1" t="s">
        <v>16</v>
      </c>
      <c r="J862" s="1" t="s">
        <v>16</v>
      </c>
      <c r="K862" s="1" t="s">
        <v>17</v>
      </c>
      <c r="L862" s="1" t="s">
        <v>17</v>
      </c>
      <c r="M862" s="1" t="s">
        <v>17</v>
      </c>
      <c r="N862" s="1" t="s">
        <v>16</v>
      </c>
    </row>
    <row r="863" spans="1:14" x14ac:dyDescent="0.25">
      <c r="A863" s="9">
        <v>44110</v>
      </c>
      <c r="B863" s="1" t="s">
        <v>22</v>
      </c>
      <c r="C863" s="1">
        <v>4</v>
      </c>
      <c r="D863" s="1">
        <v>1</v>
      </c>
      <c r="E863" s="5">
        <v>53.29</v>
      </c>
      <c r="F863" s="1" t="s">
        <v>19</v>
      </c>
      <c r="G863" s="1">
        <v>2</v>
      </c>
      <c r="H863" s="1" t="s">
        <v>16</v>
      </c>
      <c r="I863" s="1" t="s">
        <v>16</v>
      </c>
      <c r="J863" s="1" t="s">
        <v>16</v>
      </c>
      <c r="K863" s="1" t="s">
        <v>17</v>
      </c>
      <c r="L863" s="1" t="s">
        <v>17</v>
      </c>
      <c r="M863" s="1" t="s">
        <v>17</v>
      </c>
      <c r="N863" s="1" t="s">
        <v>16</v>
      </c>
    </row>
    <row r="864" spans="1:14" x14ac:dyDescent="0.25">
      <c r="A864" s="9">
        <v>44110</v>
      </c>
      <c r="B864" s="1" t="s">
        <v>22</v>
      </c>
      <c r="C864" s="1">
        <v>5</v>
      </c>
      <c r="D864" s="1">
        <v>1</v>
      </c>
      <c r="E864" s="5">
        <v>41.53</v>
      </c>
      <c r="F864" s="1" t="s">
        <v>18</v>
      </c>
      <c r="G864" s="1">
        <v>2</v>
      </c>
      <c r="H864" s="1" t="s">
        <v>16</v>
      </c>
      <c r="I864" s="1" t="s">
        <v>16</v>
      </c>
      <c r="J864" s="1" t="s">
        <v>16</v>
      </c>
      <c r="K864" s="1" t="s">
        <v>17</v>
      </c>
      <c r="L864" s="1" t="s">
        <v>17</v>
      </c>
      <c r="M864" s="1" t="s">
        <v>17</v>
      </c>
      <c r="N864" s="1" t="s">
        <v>16</v>
      </c>
    </row>
    <row r="865" spans="1:14" x14ac:dyDescent="0.25">
      <c r="A865" s="9">
        <v>44110</v>
      </c>
      <c r="B865" s="1" t="s">
        <v>22</v>
      </c>
      <c r="C865" s="1">
        <v>6</v>
      </c>
      <c r="D865" s="1">
        <v>2</v>
      </c>
      <c r="E865" s="5">
        <v>59.19</v>
      </c>
      <c r="F865" s="1" t="s">
        <v>18</v>
      </c>
      <c r="G865" s="1">
        <v>3</v>
      </c>
      <c r="H865" s="1" t="s">
        <v>16</v>
      </c>
      <c r="I865" s="1" t="s">
        <v>16</v>
      </c>
      <c r="J865" s="1" t="s">
        <v>16</v>
      </c>
      <c r="K865" s="1" t="s">
        <v>17</v>
      </c>
      <c r="L865" s="1" t="s">
        <v>17</v>
      </c>
      <c r="M865" s="1" t="s">
        <v>17</v>
      </c>
      <c r="N865" s="1" t="s">
        <v>16</v>
      </c>
    </row>
    <row r="866" spans="1:14" x14ac:dyDescent="0.25">
      <c r="A866" s="9">
        <v>44110</v>
      </c>
      <c r="B866" s="1" t="s">
        <v>22</v>
      </c>
      <c r="C866" s="1">
        <v>7</v>
      </c>
      <c r="D866" s="1">
        <v>2</v>
      </c>
      <c r="E866" s="5">
        <v>46.23</v>
      </c>
      <c r="F866" s="1" t="s">
        <v>19</v>
      </c>
      <c r="G866" s="1">
        <v>2</v>
      </c>
      <c r="H866" s="1" t="s">
        <v>16</v>
      </c>
      <c r="I866" s="1" t="s">
        <v>16</v>
      </c>
      <c r="J866" s="1" t="s">
        <v>16</v>
      </c>
      <c r="K866" s="1" t="s">
        <v>17</v>
      </c>
      <c r="L866" s="1" t="s">
        <v>17</v>
      </c>
      <c r="M866" s="1" t="s">
        <v>17</v>
      </c>
      <c r="N866" s="1" t="s">
        <v>16</v>
      </c>
    </row>
    <row r="867" spans="1:14" x14ac:dyDescent="0.25">
      <c r="A867" s="9">
        <v>44110</v>
      </c>
      <c r="B867" s="1" t="s">
        <v>22</v>
      </c>
      <c r="C867" s="1">
        <v>8</v>
      </c>
      <c r="D867" s="1">
        <v>2</v>
      </c>
      <c r="E867" s="5">
        <v>58.88</v>
      </c>
      <c r="F867" s="1" t="s">
        <v>18</v>
      </c>
      <c r="G867" s="1">
        <v>3</v>
      </c>
      <c r="H867" s="1" t="s">
        <v>16</v>
      </c>
      <c r="I867" s="1" t="s">
        <v>16</v>
      </c>
      <c r="J867" s="1" t="s">
        <v>16</v>
      </c>
      <c r="K867" s="1" t="s">
        <v>17</v>
      </c>
      <c r="L867" s="1" t="s">
        <v>17</v>
      </c>
      <c r="M867" s="1" t="s">
        <v>17</v>
      </c>
      <c r="N867" s="1" t="s">
        <v>16</v>
      </c>
    </row>
    <row r="868" spans="1:14" x14ac:dyDescent="0.25">
      <c r="A868" s="9">
        <v>44110</v>
      </c>
      <c r="B868" s="1" t="s">
        <v>22</v>
      </c>
      <c r="C868" s="1">
        <v>9</v>
      </c>
      <c r="D868" s="1">
        <v>2</v>
      </c>
      <c r="E868" s="5">
        <v>45.55</v>
      </c>
      <c r="F868" s="1" t="s">
        <v>18</v>
      </c>
      <c r="G868" s="1">
        <v>2</v>
      </c>
      <c r="H868" s="1" t="s">
        <v>16</v>
      </c>
      <c r="I868" s="1" t="s">
        <v>16</v>
      </c>
      <c r="J868" s="1" t="s">
        <v>16</v>
      </c>
      <c r="K868" s="1" t="s">
        <v>17</v>
      </c>
      <c r="L868" s="1" t="s">
        <v>17</v>
      </c>
      <c r="M868" s="1" t="s">
        <v>17</v>
      </c>
      <c r="N868" s="1" t="s">
        <v>16</v>
      </c>
    </row>
    <row r="869" spans="1:14" x14ac:dyDescent="0.25">
      <c r="A869" s="9">
        <v>44110</v>
      </c>
      <c r="B869" s="1" t="s">
        <v>22</v>
      </c>
      <c r="C869" s="1">
        <v>10</v>
      </c>
      <c r="D869" s="1">
        <v>2</v>
      </c>
      <c r="E869" s="5">
        <v>52.69</v>
      </c>
      <c r="F869" s="1" t="s">
        <v>18</v>
      </c>
      <c r="G869" s="1">
        <v>2</v>
      </c>
      <c r="H869" s="1" t="s">
        <v>16</v>
      </c>
      <c r="I869" s="1" t="s">
        <v>16</v>
      </c>
      <c r="J869" s="1" t="s">
        <v>16</v>
      </c>
      <c r="K869" s="1" t="s">
        <v>21</v>
      </c>
      <c r="L869" s="1" t="s">
        <v>17</v>
      </c>
      <c r="M869" s="1" t="s">
        <v>17</v>
      </c>
      <c r="N869" s="1" t="s">
        <v>16</v>
      </c>
    </row>
    <row r="870" spans="1:14" x14ac:dyDescent="0.25">
      <c r="A870" s="9">
        <v>44110</v>
      </c>
      <c r="B870" s="1" t="s">
        <v>22</v>
      </c>
      <c r="C870" s="1">
        <v>11</v>
      </c>
      <c r="D870" s="1">
        <v>3</v>
      </c>
      <c r="E870" s="5">
        <v>39.950000000000003</v>
      </c>
      <c r="F870" s="1" t="s">
        <v>18</v>
      </c>
      <c r="G870" s="1">
        <v>2</v>
      </c>
      <c r="H870" s="1" t="s">
        <v>16</v>
      </c>
      <c r="I870" s="1" t="s">
        <v>16</v>
      </c>
      <c r="J870" s="1" t="s">
        <v>16</v>
      </c>
      <c r="K870" s="1" t="s">
        <v>17</v>
      </c>
      <c r="L870" s="1" t="s">
        <v>17</v>
      </c>
      <c r="M870" s="1" t="s">
        <v>17</v>
      </c>
      <c r="N870" s="1" t="s">
        <v>16</v>
      </c>
    </row>
    <row r="871" spans="1:14" x14ac:dyDescent="0.25">
      <c r="A871" s="9">
        <v>44110</v>
      </c>
      <c r="B871" s="1" t="s">
        <v>22</v>
      </c>
      <c r="C871" s="1">
        <v>12</v>
      </c>
      <c r="D871" s="1">
        <v>3</v>
      </c>
      <c r="E871" s="5">
        <v>42.37</v>
      </c>
      <c r="F871" s="1" t="s">
        <v>18</v>
      </c>
      <c r="G871" s="1">
        <v>3</v>
      </c>
      <c r="H871" s="1" t="s">
        <v>16</v>
      </c>
      <c r="I871" s="1" t="s">
        <v>16</v>
      </c>
      <c r="J871" s="1" t="s">
        <v>16</v>
      </c>
      <c r="K871" s="1" t="s">
        <v>17</v>
      </c>
      <c r="L871" s="1" t="s">
        <v>17</v>
      </c>
      <c r="M871" s="1" t="s">
        <v>17</v>
      </c>
      <c r="N871" s="1" t="s">
        <v>16</v>
      </c>
    </row>
    <row r="872" spans="1:14" x14ac:dyDescent="0.25">
      <c r="A872" s="9">
        <v>44110</v>
      </c>
      <c r="B872" s="1" t="s">
        <v>22</v>
      </c>
      <c r="C872" s="1">
        <v>13</v>
      </c>
      <c r="D872" s="1">
        <v>3</v>
      </c>
      <c r="E872" s="5">
        <v>54.55</v>
      </c>
      <c r="F872" s="1" t="s">
        <v>19</v>
      </c>
      <c r="G872" s="1">
        <v>2</v>
      </c>
      <c r="H872" s="1" t="s">
        <v>16</v>
      </c>
      <c r="I872" s="1" t="s">
        <v>16</v>
      </c>
      <c r="J872" s="1" t="s">
        <v>16</v>
      </c>
      <c r="K872" s="1" t="s">
        <v>17</v>
      </c>
      <c r="L872" s="1" t="s">
        <v>17</v>
      </c>
      <c r="M872" s="1" t="s">
        <v>17</v>
      </c>
      <c r="N872" s="1" t="s">
        <v>16</v>
      </c>
    </row>
    <row r="873" spans="1:14" x14ac:dyDescent="0.25">
      <c r="A873" s="9">
        <v>44110</v>
      </c>
      <c r="B873" s="1" t="s">
        <v>22</v>
      </c>
      <c r="C873" s="1">
        <v>14</v>
      </c>
      <c r="D873" s="1">
        <v>3</v>
      </c>
      <c r="E873" s="5">
        <v>68.36</v>
      </c>
      <c r="F873" s="1" t="s">
        <v>18</v>
      </c>
      <c r="G873" s="1">
        <v>2</v>
      </c>
      <c r="H873" s="1" t="s">
        <v>16</v>
      </c>
      <c r="I873" s="1" t="s">
        <v>16</v>
      </c>
      <c r="J873" s="1" t="s">
        <v>16</v>
      </c>
      <c r="K873" s="1" t="s">
        <v>17</v>
      </c>
      <c r="L873" s="1" t="s">
        <v>17</v>
      </c>
      <c r="M873" s="1" t="s">
        <v>17</v>
      </c>
      <c r="N873" s="1" t="s">
        <v>16</v>
      </c>
    </row>
    <row r="874" spans="1:14" x14ac:dyDescent="0.25">
      <c r="A874" s="9">
        <v>44110</v>
      </c>
      <c r="B874" s="1" t="s">
        <v>22</v>
      </c>
      <c r="C874" s="1">
        <v>15</v>
      </c>
      <c r="D874" s="1">
        <v>3</v>
      </c>
      <c r="E874" s="5">
        <v>67.89</v>
      </c>
      <c r="F874" s="1" t="s">
        <v>18</v>
      </c>
      <c r="G874" s="1">
        <v>3</v>
      </c>
      <c r="H874" s="1" t="s">
        <v>16</v>
      </c>
      <c r="I874" s="1" t="s">
        <v>16</v>
      </c>
      <c r="J874" s="1" t="s">
        <v>16</v>
      </c>
      <c r="K874" s="1" t="s">
        <v>17</v>
      </c>
      <c r="L874" s="1" t="s">
        <v>17</v>
      </c>
      <c r="M874" s="1" t="s">
        <v>17</v>
      </c>
      <c r="N874" s="1" t="s">
        <v>16</v>
      </c>
    </row>
    <row r="875" spans="1:14" x14ac:dyDescent="0.25">
      <c r="A875" s="9">
        <v>44137</v>
      </c>
      <c r="B875" s="1" t="s">
        <v>22</v>
      </c>
      <c r="C875" s="1">
        <v>1</v>
      </c>
      <c r="D875" s="1">
        <v>1</v>
      </c>
      <c r="E875" s="5">
        <v>68.180000000000007</v>
      </c>
      <c r="F875" s="1" t="s">
        <v>18</v>
      </c>
      <c r="G875" s="1">
        <v>2</v>
      </c>
      <c r="H875" s="1" t="s">
        <v>16</v>
      </c>
      <c r="I875" s="1" t="s">
        <v>16</v>
      </c>
      <c r="J875" s="1" t="s">
        <v>16</v>
      </c>
      <c r="K875" s="1" t="s">
        <v>17</v>
      </c>
      <c r="L875" s="1" t="s">
        <v>17</v>
      </c>
      <c r="M875" s="1" t="s">
        <v>17</v>
      </c>
      <c r="N875" s="1" t="s">
        <v>16</v>
      </c>
    </row>
    <row r="876" spans="1:14" x14ac:dyDescent="0.25">
      <c r="A876" s="9">
        <v>44137</v>
      </c>
      <c r="B876" s="1" t="s">
        <v>22</v>
      </c>
      <c r="C876" s="1">
        <v>2</v>
      </c>
      <c r="D876" s="1">
        <v>1</v>
      </c>
      <c r="E876" s="5">
        <v>48.38</v>
      </c>
      <c r="F876" s="1" t="s">
        <v>18</v>
      </c>
      <c r="G876" s="1">
        <v>2</v>
      </c>
      <c r="H876" s="1" t="s">
        <v>16</v>
      </c>
      <c r="I876" s="1" t="s">
        <v>16</v>
      </c>
      <c r="J876" s="1" t="s">
        <v>16</v>
      </c>
      <c r="K876" s="1" t="s">
        <v>17</v>
      </c>
      <c r="L876" s="1" t="s">
        <v>17</v>
      </c>
      <c r="M876" s="1" t="s">
        <v>17</v>
      </c>
      <c r="N876" s="1" t="s">
        <v>16</v>
      </c>
    </row>
    <row r="877" spans="1:14" x14ac:dyDescent="0.25">
      <c r="A877" s="9">
        <v>44137</v>
      </c>
      <c r="B877" s="1" t="s">
        <v>22</v>
      </c>
      <c r="C877" s="1">
        <v>3</v>
      </c>
      <c r="D877" s="1">
        <v>1</v>
      </c>
      <c r="E877" s="5">
        <v>41.62</v>
      </c>
      <c r="F877" s="1" t="s">
        <v>18</v>
      </c>
      <c r="G877" s="1">
        <v>2</v>
      </c>
      <c r="H877" s="1" t="s">
        <v>16</v>
      </c>
      <c r="I877" s="1" t="s">
        <v>16</v>
      </c>
      <c r="J877" s="1" t="s">
        <v>16</v>
      </c>
      <c r="K877" s="1" t="s">
        <v>17</v>
      </c>
      <c r="L877" s="1" t="s">
        <v>17</v>
      </c>
      <c r="M877" s="1" t="s">
        <v>17</v>
      </c>
      <c r="N877" s="1" t="s">
        <v>16</v>
      </c>
    </row>
    <row r="878" spans="1:14" x14ac:dyDescent="0.25">
      <c r="A878" s="9">
        <v>44137</v>
      </c>
      <c r="B878" s="1" t="s">
        <v>22</v>
      </c>
      <c r="C878" s="1">
        <v>4</v>
      </c>
      <c r="D878" s="1">
        <v>1</v>
      </c>
      <c r="E878" s="5">
        <v>41.05</v>
      </c>
      <c r="F878" s="1" t="s">
        <v>18</v>
      </c>
      <c r="G878" s="1">
        <v>3</v>
      </c>
      <c r="H878" s="1" t="s">
        <v>16</v>
      </c>
      <c r="I878" s="1" t="s">
        <v>16</v>
      </c>
      <c r="J878" s="1" t="s">
        <v>16</v>
      </c>
      <c r="K878" s="1" t="s">
        <v>17</v>
      </c>
      <c r="L878" s="1" t="s">
        <v>17</v>
      </c>
      <c r="M878" s="1" t="s">
        <v>17</v>
      </c>
      <c r="N878" s="1" t="s">
        <v>16</v>
      </c>
    </row>
    <row r="879" spans="1:14" x14ac:dyDescent="0.25">
      <c r="A879" s="9">
        <v>44137</v>
      </c>
      <c r="B879" s="1" t="s">
        <v>22</v>
      </c>
      <c r="C879" s="1">
        <v>5</v>
      </c>
      <c r="D879" s="1">
        <v>1</v>
      </c>
      <c r="E879" s="5">
        <v>48.98</v>
      </c>
      <c r="F879" s="1" t="s">
        <v>19</v>
      </c>
      <c r="G879" s="1">
        <v>2</v>
      </c>
      <c r="H879" s="1" t="s">
        <v>16</v>
      </c>
      <c r="I879" s="1" t="s">
        <v>16</v>
      </c>
      <c r="J879" s="1" t="s">
        <v>16</v>
      </c>
      <c r="K879" s="1" t="s">
        <v>17</v>
      </c>
      <c r="L879" s="1" t="s">
        <v>17</v>
      </c>
      <c r="M879" s="1" t="s">
        <v>17</v>
      </c>
      <c r="N879" s="1" t="s">
        <v>16</v>
      </c>
    </row>
    <row r="880" spans="1:14" x14ac:dyDescent="0.25">
      <c r="A880" s="9">
        <v>44137</v>
      </c>
      <c r="B880" s="1" t="s">
        <v>22</v>
      </c>
      <c r="C880" s="1">
        <v>6</v>
      </c>
      <c r="D880" s="1">
        <v>2</v>
      </c>
      <c r="E880" s="5">
        <v>63.5</v>
      </c>
      <c r="F880" s="1" t="s">
        <v>18</v>
      </c>
      <c r="G880" s="1">
        <v>3</v>
      </c>
      <c r="H880" s="1" t="s">
        <v>16</v>
      </c>
      <c r="I880" s="1" t="s">
        <v>16</v>
      </c>
      <c r="J880" s="1" t="s">
        <v>16</v>
      </c>
      <c r="K880" s="1" t="s">
        <v>17</v>
      </c>
      <c r="L880" s="1" t="s">
        <v>17</v>
      </c>
      <c r="M880" s="1" t="s">
        <v>17</v>
      </c>
      <c r="N880" s="1" t="s">
        <v>16</v>
      </c>
    </row>
    <row r="881" spans="1:14" x14ac:dyDescent="0.25">
      <c r="A881" s="9">
        <v>44137</v>
      </c>
      <c r="B881" s="1" t="s">
        <v>22</v>
      </c>
      <c r="C881" s="1">
        <v>7</v>
      </c>
      <c r="D881" s="1">
        <v>2</v>
      </c>
      <c r="E881" s="5">
        <v>67.67</v>
      </c>
      <c r="F881" s="1" t="s">
        <v>18</v>
      </c>
      <c r="G881" s="1">
        <v>2</v>
      </c>
      <c r="H881" s="1" t="s">
        <v>16</v>
      </c>
      <c r="I881" s="1" t="s">
        <v>16</v>
      </c>
      <c r="J881" s="1" t="s">
        <v>16</v>
      </c>
      <c r="K881" s="1" t="s">
        <v>17</v>
      </c>
      <c r="L881" s="1" t="s">
        <v>17</v>
      </c>
      <c r="M881" s="1" t="s">
        <v>17</v>
      </c>
      <c r="N881" s="1" t="s">
        <v>16</v>
      </c>
    </row>
    <row r="882" spans="1:14" x14ac:dyDescent="0.25">
      <c r="A882" s="9">
        <v>44137</v>
      </c>
      <c r="B882" s="1" t="s">
        <v>22</v>
      </c>
      <c r="C882" s="1">
        <v>8</v>
      </c>
      <c r="D882" s="1">
        <v>2</v>
      </c>
      <c r="E882" s="5">
        <v>60.74</v>
      </c>
      <c r="F882" s="1" t="s">
        <v>16</v>
      </c>
      <c r="G882" s="1">
        <v>4</v>
      </c>
      <c r="H882" s="1" t="s">
        <v>16</v>
      </c>
      <c r="I882" s="1" t="s">
        <v>16</v>
      </c>
      <c r="J882" s="1" t="s">
        <v>16</v>
      </c>
      <c r="K882" s="1" t="s">
        <v>17</v>
      </c>
      <c r="L882" s="1" t="s">
        <v>17</v>
      </c>
      <c r="M882" s="1" t="s">
        <v>17</v>
      </c>
      <c r="N882" s="1" t="s">
        <v>16</v>
      </c>
    </row>
    <row r="883" spans="1:14" x14ac:dyDescent="0.25">
      <c r="A883" s="9">
        <v>44137</v>
      </c>
      <c r="B883" s="1" t="s">
        <v>22</v>
      </c>
      <c r="C883" s="1">
        <v>9</v>
      </c>
      <c r="D883" s="1">
        <v>2</v>
      </c>
      <c r="E883" s="5">
        <v>72.2</v>
      </c>
      <c r="F883" s="1" t="s">
        <v>18</v>
      </c>
      <c r="G883" s="1">
        <v>3</v>
      </c>
      <c r="H883" s="1" t="s">
        <v>16</v>
      </c>
      <c r="I883" s="1" t="s">
        <v>16</v>
      </c>
      <c r="J883" s="1" t="s">
        <v>16</v>
      </c>
      <c r="K883" s="1" t="s">
        <v>17</v>
      </c>
      <c r="L883" s="1" t="s">
        <v>17</v>
      </c>
      <c r="M883" s="1" t="s">
        <v>17</v>
      </c>
      <c r="N883" s="1" t="s">
        <v>16</v>
      </c>
    </row>
    <row r="884" spans="1:14" x14ac:dyDescent="0.25">
      <c r="A884" s="9">
        <v>44137</v>
      </c>
      <c r="B884" s="1" t="s">
        <v>22</v>
      </c>
      <c r="C884" s="1">
        <v>10</v>
      </c>
      <c r="D884" s="1">
        <v>2</v>
      </c>
      <c r="E884" s="5">
        <v>64.78</v>
      </c>
      <c r="F884" s="1" t="s">
        <v>19</v>
      </c>
      <c r="G884" s="1">
        <v>2</v>
      </c>
      <c r="H884" s="1" t="s">
        <v>16</v>
      </c>
      <c r="I884" s="1" t="s">
        <v>16</v>
      </c>
      <c r="J884" s="1" t="s">
        <v>16</v>
      </c>
      <c r="K884" s="1" t="s">
        <v>17</v>
      </c>
      <c r="L884" s="1" t="s">
        <v>17</v>
      </c>
      <c r="M884" s="1" t="s">
        <v>17</v>
      </c>
      <c r="N884" s="1" t="s">
        <v>16</v>
      </c>
    </row>
    <row r="885" spans="1:14" x14ac:dyDescent="0.25">
      <c r="A885" s="9">
        <v>44137</v>
      </c>
      <c r="B885" s="1" t="s">
        <v>22</v>
      </c>
      <c r="C885" s="1">
        <v>11</v>
      </c>
      <c r="D885" s="1">
        <v>3</v>
      </c>
      <c r="E885" s="5">
        <v>61.71</v>
      </c>
      <c r="F885" s="1" t="s">
        <v>16</v>
      </c>
      <c r="G885" s="1">
        <v>4</v>
      </c>
      <c r="H885" s="1" t="s">
        <v>16</v>
      </c>
      <c r="I885" s="1" t="s">
        <v>16</v>
      </c>
      <c r="J885" s="1" t="s">
        <v>16</v>
      </c>
      <c r="K885" s="1" t="s">
        <v>17</v>
      </c>
      <c r="L885" s="1" t="s">
        <v>17</v>
      </c>
      <c r="M885" s="1" t="s">
        <v>17</v>
      </c>
      <c r="N885" s="1" t="s">
        <v>16</v>
      </c>
    </row>
    <row r="886" spans="1:14" x14ac:dyDescent="0.25">
      <c r="A886" s="9">
        <v>44137</v>
      </c>
      <c r="B886" s="1" t="s">
        <v>22</v>
      </c>
      <c r="C886" s="1">
        <v>12</v>
      </c>
      <c r="D886" s="1">
        <v>3</v>
      </c>
      <c r="E886" s="5">
        <v>47.94</v>
      </c>
      <c r="F886" s="1" t="s">
        <v>18</v>
      </c>
      <c r="G886" s="1">
        <v>3</v>
      </c>
      <c r="H886" s="1" t="s">
        <v>16</v>
      </c>
      <c r="I886" s="1" t="s">
        <v>16</v>
      </c>
      <c r="J886" s="1" t="s">
        <v>16</v>
      </c>
      <c r="K886" s="1" t="s">
        <v>17</v>
      </c>
      <c r="L886" s="1" t="s">
        <v>17</v>
      </c>
      <c r="M886" s="1" t="s">
        <v>17</v>
      </c>
      <c r="N886" s="1" t="s">
        <v>16</v>
      </c>
    </row>
    <row r="887" spans="1:14" x14ac:dyDescent="0.25">
      <c r="A887" s="9">
        <v>44137</v>
      </c>
      <c r="B887" s="1" t="s">
        <v>22</v>
      </c>
      <c r="C887" s="1">
        <v>13</v>
      </c>
      <c r="D887" s="1">
        <v>3</v>
      </c>
      <c r="E887" s="5">
        <v>49.96</v>
      </c>
      <c r="F887" s="1" t="s">
        <v>18</v>
      </c>
      <c r="G887" s="1">
        <v>2</v>
      </c>
      <c r="H887" s="1" t="s">
        <v>16</v>
      </c>
      <c r="I887" s="1" t="s">
        <v>16</v>
      </c>
      <c r="J887" s="1" t="s">
        <v>16</v>
      </c>
      <c r="K887" s="1" t="s">
        <v>17</v>
      </c>
      <c r="L887" s="1" t="s">
        <v>17</v>
      </c>
      <c r="M887" s="1" t="s">
        <v>17</v>
      </c>
      <c r="N887" s="1" t="s">
        <v>16</v>
      </c>
    </row>
    <row r="888" spans="1:14" x14ac:dyDescent="0.25">
      <c r="A888" s="9">
        <v>44137</v>
      </c>
      <c r="B888" s="1" t="s">
        <v>22</v>
      </c>
      <c r="C888" s="1">
        <v>14</v>
      </c>
      <c r="D888" s="1">
        <v>3</v>
      </c>
      <c r="E888" s="5">
        <v>60.58</v>
      </c>
      <c r="F888" s="1" t="s">
        <v>19</v>
      </c>
      <c r="G888" s="1">
        <v>2</v>
      </c>
      <c r="H888" s="1" t="s">
        <v>16</v>
      </c>
      <c r="I888" s="1" t="s">
        <v>16</v>
      </c>
      <c r="J888" s="1" t="s">
        <v>16</v>
      </c>
      <c r="K888" s="1" t="s">
        <v>17</v>
      </c>
      <c r="L888" s="1" t="s">
        <v>17</v>
      </c>
      <c r="M888" s="1" t="s">
        <v>17</v>
      </c>
      <c r="N888" s="1" t="s">
        <v>16</v>
      </c>
    </row>
    <row r="889" spans="1:14" x14ac:dyDescent="0.25">
      <c r="A889" s="9">
        <v>44137</v>
      </c>
      <c r="B889" s="1" t="s">
        <v>22</v>
      </c>
      <c r="C889" s="1">
        <v>15</v>
      </c>
      <c r="D889" s="1">
        <v>3</v>
      </c>
      <c r="E889" s="5">
        <v>56.49</v>
      </c>
      <c r="F889" s="1" t="s">
        <v>18</v>
      </c>
      <c r="G889" s="1">
        <v>3</v>
      </c>
      <c r="H889" s="1" t="s">
        <v>16</v>
      </c>
      <c r="I889" s="1" t="s">
        <v>16</v>
      </c>
      <c r="J889" s="1" t="s">
        <v>16</v>
      </c>
      <c r="K889" s="1" t="s">
        <v>17</v>
      </c>
      <c r="L889" s="1" t="s">
        <v>17</v>
      </c>
      <c r="M889" s="1" t="s">
        <v>17</v>
      </c>
      <c r="N889" s="1" t="s">
        <v>16</v>
      </c>
    </row>
    <row r="890" spans="1:14" x14ac:dyDescent="0.25">
      <c r="A890" s="9">
        <v>44167</v>
      </c>
      <c r="B890" s="1" t="s">
        <v>22</v>
      </c>
      <c r="C890" s="1">
        <v>1</v>
      </c>
      <c r="D890" s="1">
        <v>1</v>
      </c>
      <c r="E890" s="5">
        <v>52.54</v>
      </c>
      <c r="F890" s="1" t="s">
        <v>19</v>
      </c>
      <c r="G890" s="1">
        <v>3</v>
      </c>
      <c r="H890" s="1" t="s">
        <v>16</v>
      </c>
      <c r="I890" s="1" t="s">
        <v>16</v>
      </c>
      <c r="J890" s="1" t="s">
        <v>16</v>
      </c>
      <c r="K890" s="1" t="s">
        <v>17</v>
      </c>
      <c r="L890" s="1" t="s">
        <v>17</v>
      </c>
      <c r="M890" s="1" t="s">
        <v>17</v>
      </c>
      <c r="N890" s="1" t="s">
        <v>16</v>
      </c>
    </row>
    <row r="891" spans="1:14" x14ac:dyDescent="0.25">
      <c r="A891" s="9">
        <v>44167</v>
      </c>
      <c r="B891" s="1" t="s">
        <v>22</v>
      </c>
      <c r="C891" s="1">
        <v>2</v>
      </c>
      <c r="D891" s="1">
        <v>1</v>
      </c>
      <c r="E891" s="5">
        <v>53.39</v>
      </c>
      <c r="F891" s="1" t="s">
        <v>18</v>
      </c>
      <c r="G891" s="1">
        <v>1</v>
      </c>
      <c r="H891" s="1" t="s">
        <v>16</v>
      </c>
      <c r="I891" s="1" t="s">
        <v>16</v>
      </c>
      <c r="J891" s="1" t="s">
        <v>16</v>
      </c>
      <c r="K891" s="1" t="s">
        <v>17</v>
      </c>
      <c r="L891" s="1" t="s">
        <v>17</v>
      </c>
      <c r="M891" s="1" t="s">
        <v>17</v>
      </c>
      <c r="N891" s="1" t="s">
        <v>16</v>
      </c>
    </row>
    <row r="892" spans="1:14" x14ac:dyDescent="0.25">
      <c r="A892" s="9">
        <v>44167</v>
      </c>
      <c r="B892" s="1" t="s">
        <v>22</v>
      </c>
      <c r="C892" s="1">
        <v>3</v>
      </c>
      <c r="D892" s="1">
        <v>1</v>
      </c>
      <c r="E892" s="5">
        <v>49.7</v>
      </c>
      <c r="F892" s="1" t="s">
        <v>18</v>
      </c>
      <c r="G892" s="1">
        <v>2</v>
      </c>
      <c r="H892" s="1" t="s">
        <v>16</v>
      </c>
      <c r="I892" s="1" t="s">
        <v>16</v>
      </c>
      <c r="J892" s="1" t="s">
        <v>16</v>
      </c>
      <c r="K892" s="1" t="s">
        <v>17</v>
      </c>
      <c r="L892" s="1" t="s">
        <v>17</v>
      </c>
      <c r="M892" s="1" t="s">
        <v>17</v>
      </c>
      <c r="N892" s="1" t="s">
        <v>16</v>
      </c>
    </row>
    <row r="893" spans="1:14" x14ac:dyDescent="0.25">
      <c r="A893" s="9">
        <v>44167</v>
      </c>
      <c r="B893" s="1" t="s">
        <v>22</v>
      </c>
      <c r="C893" s="1">
        <v>4</v>
      </c>
      <c r="D893" s="1">
        <v>1</v>
      </c>
      <c r="E893" s="5">
        <v>43.32</v>
      </c>
      <c r="F893" s="1" t="s">
        <v>18</v>
      </c>
      <c r="G893" s="1">
        <v>3</v>
      </c>
      <c r="H893" s="1" t="s">
        <v>16</v>
      </c>
      <c r="I893" s="1" t="s">
        <v>16</v>
      </c>
      <c r="J893" s="1" t="s">
        <v>16</v>
      </c>
      <c r="K893" s="1" t="s">
        <v>17</v>
      </c>
      <c r="L893" s="1" t="s">
        <v>17</v>
      </c>
      <c r="M893" s="1" t="s">
        <v>17</v>
      </c>
      <c r="N893" s="1" t="s">
        <v>16</v>
      </c>
    </row>
    <row r="894" spans="1:14" x14ac:dyDescent="0.25">
      <c r="A894" s="9">
        <v>44167</v>
      </c>
      <c r="B894" s="1" t="s">
        <v>22</v>
      </c>
      <c r="C894" s="1">
        <v>5</v>
      </c>
      <c r="D894" s="1">
        <v>1</v>
      </c>
      <c r="E894" s="5">
        <v>47.05</v>
      </c>
      <c r="F894" s="1" t="s">
        <v>16</v>
      </c>
      <c r="G894" s="1">
        <v>4</v>
      </c>
      <c r="H894" s="1" t="s">
        <v>16</v>
      </c>
      <c r="I894" s="1" t="s">
        <v>16</v>
      </c>
      <c r="J894" s="1" t="s">
        <v>16</v>
      </c>
      <c r="K894" s="1" t="s">
        <v>17</v>
      </c>
      <c r="L894" s="1" t="s">
        <v>17</v>
      </c>
      <c r="M894" s="1" t="s">
        <v>17</v>
      </c>
      <c r="N894" s="1" t="s">
        <v>16</v>
      </c>
    </row>
    <row r="895" spans="1:14" x14ac:dyDescent="0.25">
      <c r="A895" s="9">
        <v>44167</v>
      </c>
      <c r="B895" s="1" t="s">
        <v>22</v>
      </c>
      <c r="C895" s="1">
        <v>6</v>
      </c>
      <c r="D895" s="1">
        <v>2</v>
      </c>
      <c r="E895" s="5">
        <v>68.31</v>
      </c>
      <c r="F895" s="1" t="s">
        <v>16</v>
      </c>
      <c r="G895" s="1">
        <v>4</v>
      </c>
      <c r="H895" s="1" t="s">
        <v>16</v>
      </c>
      <c r="I895" s="1" t="s">
        <v>16</v>
      </c>
      <c r="J895" s="1" t="s">
        <v>16</v>
      </c>
      <c r="K895" s="1" t="s">
        <v>17</v>
      </c>
      <c r="L895" s="1" t="s">
        <v>17</v>
      </c>
      <c r="M895" s="1" t="s">
        <v>17</v>
      </c>
      <c r="N895" s="1" t="s">
        <v>16</v>
      </c>
    </row>
    <row r="896" spans="1:14" x14ac:dyDescent="0.25">
      <c r="A896" s="9">
        <v>44167</v>
      </c>
      <c r="B896" s="1" t="s">
        <v>22</v>
      </c>
      <c r="C896" s="1">
        <v>7</v>
      </c>
      <c r="D896" s="1">
        <v>2</v>
      </c>
      <c r="E896" s="5">
        <v>46.85</v>
      </c>
      <c r="F896" s="1" t="s">
        <v>19</v>
      </c>
      <c r="G896" s="1">
        <v>3</v>
      </c>
      <c r="H896" s="1" t="s">
        <v>16</v>
      </c>
      <c r="I896" s="1" t="s">
        <v>16</v>
      </c>
      <c r="J896" s="1" t="s">
        <v>16</v>
      </c>
      <c r="K896" s="1" t="s">
        <v>17</v>
      </c>
      <c r="L896" s="1" t="s">
        <v>17</v>
      </c>
      <c r="M896" s="1" t="s">
        <v>21</v>
      </c>
      <c r="N896" s="1" t="s">
        <v>16</v>
      </c>
    </row>
    <row r="897" spans="1:14" x14ac:dyDescent="0.25">
      <c r="A897" s="9">
        <v>44167</v>
      </c>
      <c r="B897" s="1" t="s">
        <v>22</v>
      </c>
      <c r="C897" s="1">
        <v>8</v>
      </c>
      <c r="D897" s="1">
        <v>2</v>
      </c>
      <c r="E897" s="5">
        <v>49.04</v>
      </c>
      <c r="F897" s="1" t="s">
        <v>19</v>
      </c>
      <c r="G897" s="1">
        <v>2</v>
      </c>
      <c r="H897" s="1" t="s">
        <v>16</v>
      </c>
      <c r="I897" s="1" t="s">
        <v>16</v>
      </c>
      <c r="J897" s="1" t="s">
        <v>16</v>
      </c>
      <c r="K897" s="1" t="s">
        <v>17</v>
      </c>
      <c r="L897" s="1" t="s">
        <v>17</v>
      </c>
      <c r="M897" s="1" t="s">
        <v>17</v>
      </c>
      <c r="N897" s="1" t="s">
        <v>16</v>
      </c>
    </row>
    <row r="898" spans="1:14" x14ac:dyDescent="0.25">
      <c r="A898" s="9">
        <v>44167</v>
      </c>
      <c r="B898" s="1" t="s">
        <v>22</v>
      </c>
      <c r="C898" s="1">
        <v>9</v>
      </c>
      <c r="D898" s="1">
        <v>2</v>
      </c>
      <c r="E898" s="5">
        <v>51.69</v>
      </c>
      <c r="F898" s="1" t="s">
        <v>16</v>
      </c>
      <c r="G898" s="1">
        <v>4</v>
      </c>
      <c r="H898" s="1" t="s">
        <v>16</v>
      </c>
      <c r="I898" s="1" t="s">
        <v>16</v>
      </c>
      <c r="J898" s="1" t="s">
        <v>16</v>
      </c>
      <c r="K898" s="1" t="s">
        <v>17</v>
      </c>
      <c r="L898" s="1" t="s">
        <v>17</v>
      </c>
      <c r="M898" s="1" t="s">
        <v>17</v>
      </c>
      <c r="N898" s="1" t="s">
        <v>16</v>
      </c>
    </row>
    <row r="899" spans="1:14" x14ac:dyDescent="0.25">
      <c r="A899" s="9">
        <v>44167</v>
      </c>
      <c r="B899" s="1" t="s">
        <v>22</v>
      </c>
      <c r="C899" s="1">
        <v>10</v>
      </c>
      <c r="D899" s="1">
        <v>2</v>
      </c>
      <c r="E899" s="5">
        <v>48.82</v>
      </c>
      <c r="F899" s="1" t="s">
        <v>16</v>
      </c>
      <c r="G899" s="1">
        <v>4</v>
      </c>
      <c r="H899" s="1" t="s">
        <v>16</v>
      </c>
      <c r="I899" s="1" t="s">
        <v>16</v>
      </c>
      <c r="J899" s="1" t="s">
        <v>16</v>
      </c>
      <c r="K899" s="1" t="s">
        <v>17</v>
      </c>
      <c r="L899" s="1" t="s">
        <v>17</v>
      </c>
      <c r="M899" s="1" t="s">
        <v>17</v>
      </c>
      <c r="N899" s="1" t="s">
        <v>16</v>
      </c>
    </row>
    <row r="900" spans="1:14" x14ac:dyDescent="0.25">
      <c r="A900" s="9">
        <v>44167</v>
      </c>
      <c r="B900" s="1" t="s">
        <v>22</v>
      </c>
      <c r="C900" s="1">
        <v>11</v>
      </c>
      <c r="D900" s="1">
        <v>3</v>
      </c>
      <c r="E900" s="5">
        <v>59.87</v>
      </c>
      <c r="F900" s="1" t="s">
        <v>18</v>
      </c>
      <c r="G900" s="1">
        <v>3</v>
      </c>
      <c r="H900" s="1" t="s">
        <v>16</v>
      </c>
      <c r="I900" s="1" t="s">
        <v>16</v>
      </c>
      <c r="J900" s="1" t="s">
        <v>16</v>
      </c>
      <c r="K900" s="1" t="s">
        <v>17</v>
      </c>
      <c r="L900" s="1" t="s">
        <v>17</v>
      </c>
      <c r="M900" s="1" t="s">
        <v>17</v>
      </c>
      <c r="N900" s="1" t="s">
        <v>16</v>
      </c>
    </row>
    <row r="901" spans="1:14" x14ac:dyDescent="0.25">
      <c r="A901" s="9">
        <v>44167</v>
      </c>
      <c r="B901" s="1" t="s">
        <v>22</v>
      </c>
      <c r="C901" s="1">
        <v>12</v>
      </c>
      <c r="D901" s="1">
        <v>3</v>
      </c>
      <c r="E901" s="5">
        <v>71.88</v>
      </c>
      <c r="F901" s="1" t="s">
        <v>16</v>
      </c>
      <c r="G901" s="1">
        <v>4</v>
      </c>
      <c r="H901" s="1" t="s">
        <v>16</v>
      </c>
      <c r="I901" s="1" t="s">
        <v>16</v>
      </c>
      <c r="J901" s="1" t="s">
        <v>16</v>
      </c>
      <c r="K901" s="1" t="s">
        <v>17</v>
      </c>
      <c r="L901" s="1" t="s">
        <v>17</v>
      </c>
      <c r="M901" s="1" t="s">
        <v>17</v>
      </c>
      <c r="N901" s="1" t="s">
        <v>16</v>
      </c>
    </row>
    <row r="902" spans="1:14" x14ac:dyDescent="0.25">
      <c r="A902" s="9">
        <v>44167</v>
      </c>
      <c r="B902" s="1" t="s">
        <v>22</v>
      </c>
      <c r="C902" s="1">
        <v>13</v>
      </c>
      <c r="D902" s="1">
        <v>3</v>
      </c>
      <c r="E902" s="5">
        <v>38.270000000000003</v>
      </c>
      <c r="F902" s="1" t="s">
        <v>16</v>
      </c>
      <c r="G902" s="1">
        <v>4</v>
      </c>
      <c r="H902" s="1" t="s">
        <v>16</v>
      </c>
      <c r="I902" s="1" t="s">
        <v>16</v>
      </c>
      <c r="J902" s="1" t="s">
        <v>16</v>
      </c>
      <c r="K902" s="1" t="s">
        <v>17</v>
      </c>
      <c r="L902" s="1" t="s">
        <v>17</v>
      </c>
      <c r="M902" s="1" t="s">
        <v>17</v>
      </c>
      <c r="N902" s="1" t="s">
        <v>16</v>
      </c>
    </row>
    <row r="903" spans="1:14" x14ac:dyDescent="0.25">
      <c r="A903" s="9">
        <v>44167</v>
      </c>
      <c r="B903" s="1" t="s">
        <v>22</v>
      </c>
      <c r="C903" s="1">
        <v>14</v>
      </c>
      <c r="D903" s="1">
        <v>3</v>
      </c>
      <c r="E903" s="5">
        <v>50.69</v>
      </c>
      <c r="F903" s="1" t="s">
        <v>18</v>
      </c>
      <c r="G903" s="1">
        <v>2</v>
      </c>
      <c r="H903" s="1" t="s">
        <v>16</v>
      </c>
      <c r="I903" s="1" t="s">
        <v>16</v>
      </c>
      <c r="J903" s="1" t="s">
        <v>16</v>
      </c>
      <c r="K903" s="1" t="s">
        <v>17</v>
      </c>
      <c r="L903" s="1" t="s">
        <v>17</v>
      </c>
      <c r="M903" s="1" t="s">
        <v>17</v>
      </c>
      <c r="N903" s="1" t="s">
        <v>16</v>
      </c>
    </row>
    <row r="904" spans="1:14" x14ac:dyDescent="0.25">
      <c r="A904" s="9">
        <v>44167</v>
      </c>
      <c r="B904" s="1" t="s">
        <v>22</v>
      </c>
      <c r="C904" s="1">
        <v>15</v>
      </c>
      <c r="D904" s="1">
        <v>3</v>
      </c>
      <c r="E904" s="5">
        <v>45.62</v>
      </c>
      <c r="F904" s="1" t="s">
        <v>19</v>
      </c>
      <c r="G904" s="1">
        <v>2</v>
      </c>
      <c r="H904" s="1" t="s">
        <v>16</v>
      </c>
      <c r="I904" s="1" t="s">
        <v>16</v>
      </c>
      <c r="J904" s="1" t="s">
        <v>16</v>
      </c>
      <c r="K904" s="1" t="s">
        <v>17</v>
      </c>
      <c r="L904" s="1" t="s">
        <v>17</v>
      </c>
      <c r="M904" s="1" t="s">
        <v>17</v>
      </c>
      <c r="N904" s="1" t="s">
        <v>16</v>
      </c>
    </row>
    <row r="905" spans="1:14" x14ac:dyDescent="0.25">
      <c r="A905" s="9">
        <v>44201</v>
      </c>
      <c r="B905" s="1" t="s">
        <v>22</v>
      </c>
      <c r="C905" s="1">
        <v>1</v>
      </c>
      <c r="D905" s="1">
        <v>1</v>
      </c>
      <c r="E905" s="5">
        <v>62.52</v>
      </c>
      <c r="F905" s="1" t="s">
        <v>16</v>
      </c>
      <c r="G905" s="1" t="s">
        <v>16</v>
      </c>
      <c r="H905" s="1" t="s">
        <v>16</v>
      </c>
      <c r="I905" s="1" t="s">
        <v>16</v>
      </c>
      <c r="J905" s="1" t="s">
        <v>16</v>
      </c>
      <c r="K905" s="1" t="s">
        <v>17</v>
      </c>
      <c r="L905" s="1" t="s">
        <v>17</v>
      </c>
      <c r="M905" s="1" t="s">
        <v>21</v>
      </c>
      <c r="N905" s="1" t="s">
        <v>16</v>
      </c>
    </row>
    <row r="906" spans="1:14" x14ac:dyDescent="0.25">
      <c r="A906" s="9">
        <v>44201</v>
      </c>
      <c r="B906" s="1" t="s">
        <v>22</v>
      </c>
      <c r="C906" s="1">
        <v>2</v>
      </c>
      <c r="D906" s="1">
        <v>1</v>
      </c>
      <c r="E906" s="5">
        <v>70.14</v>
      </c>
      <c r="F906" s="1" t="s">
        <v>16</v>
      </c>
      <c r="G906" s="1">
        <v>4</v>
      </c>
      <c r="H906" s="1" t="s">
        <v>16</v>
      </c>
      <c r="I906" s="1" t="s">
        <v>16</v>
      </c>
      <c r="J906" s="1" t="s">
        <v>16</v>
      </c>
      <c r="K906" s="1" t="s">
        <v>17</v>
      </c>
      <c r="L906" s="1" t="s">
        <v>17</v>
      </c>
      <c r="M906" s="1" t="s">
        <v>17</v>
      </c>
      <c r="N906" s="1" t="s">
        <v>16</v>
      </c>
    </row>
    <row r="907" spans="1:14" x14ac:dyDescent="0.25">
      <c r="A907" s="9">
        <v>44201</v>
      </c>
      <c r="B907" s="1" t="s">
        <v>22</v>
      </c>
      <c r="C907" s="1">
        <v>3</v>
      </c>
      <c r="D907" s="1">
        <v>1</v>
      </c>
      <c r="E907" s="5">
        <v>54.37</v>
      </c>
      <c r="F907" s="1" t="s">
        <v>16</v>
      </c>
      <c r="G907" s="1">
        <v>4</v>
      </c>
      <c r="H907" s="1" t="s">
        <v>16</v>
      </c>
      <c r="I907" s="1" t="s">
        <v>16</v>
      </c>
      <c r="J907" s="1" t="s">
        <v>16</v>
      </c>
      <c r="K907" s="1" t="s">
        <v>17</v>
      </c>
      <c r="L907" s="1" t="s">
        <v>17</v>
      </c>
      <c r="M907" s="1" t="s">
        <v>17</v>
      </c>
      <c r="N907" s="1" t="s">
        <v>16</v>
      </c>
    </row>
    <row r="908" spans="1:14" x14ac:dyDescent="0.25">
      <c r="A908" s="9">
        <v>44201</v>
      </c>
      <c r="B908" s="1" t="s">
        <v>22</v>
      </c>
      <c r="C908" s="1">
        <v>4</v>
      </c>
      <c r="D908" s="1">
        <v>1</v>
      </c>
      <c r="E908" s="5">
        <v>65.760000000000005</v>
      </c>
      <c r="F908" s="1" t="s">
        <v>16</v>
      </c>
      <c r="G908" s="1">
        <v>4</v>
      </c>
      <c r="H908" s="1" t="s">
        <v>16</v>
      </c>
      <c r="I908" s="1" t="s">
        <v>16</v>
      </c>
      <c r="J908" s="1" t="s">
        <v>16</v>
      </c>
      <c r="K908" s="1" t="s">
        <v>17</v>
      </c>
      <c r="L908" s="1" t="s">
        <v>17</v>
      </c>
      <c r="M908" s="1" t="s">
        <v>17</v>
      </c>
      <c r="N908" s="1" t="s">
        <v>16</v>
      </c>
    </row>
    <row r="909" spans="1:14" x14ac:dyDescent="0.25">
      <c r="A909" s="9">
        <v>44201</v>
      </c>
      <c r="B909" s="1" t="s">
        <v>22</v>
      </c>
      <c r="C909" s="1">
        <v>5</v>
      </c>
      <c r="D909" s="1">
        <v>1</v>
      </c>
      <c r="E909" s="5">
        <v>48.39</v>
      </c>
      <c r="F909" s="1" t="s">
        <v>16</v>
      </c>
      <c r="G909" s="1" t="s">
        <v>16</v>
      </c>
      <c r="H909" s="1" t="s">
        <v>16</v>
      </c>
      <c r="I909" s="1" t="s">
        <v>16</v>
      </c>
      <c r="J909" s="1" t="s">
        <v>16</v>
      </c>
      <c r="K909" s="1" t="s">
        <v>17</v>
      </c>
      <c r="L909" s="1" t="s">
        <v>17</v>
      </c>
      <c r="M909" s="1" t="s">
        <v>21</v>
      </c>
      <c r="N909" s="1" t="s">
        <v>16</v>
      </c>
    </row>
    <row r="910" spans="1:14" x14ac:dyDescent="0.25">
      <c r="A910" s="9">
        <v>44201</v>
      </c>
      <c r="B910" s="1" t="s">
        <v>22</v>
      </c>
      <c r="C910" s="1">
        <v>6</v>
      </c>
      <c r="D910" s="1">
        <v>2</v>
      </c>
      <c r="E910" s="5">
        <v>69.22</v>
      </c>
      <c r="F910" s="1" t="s">
        <v>19</v>
      </c>
      <c r="G910" s="1">
        <v>3</v>
      </c>
      <c r="H910" s="1" t="s">
        <v>16</v>
      </c>
      <c r="I910" s="1" t="s">
        <v>16</v>
      </c>
      <c r="J910" s="1" t="s">
        <v>16</v>
      </c>
      <c r="K910" s="1" t="s">
        <v>17</v>
      </c>
      <c r="L910" s="1" t="s">
        <v>17</v>
      </c>
      <c r="M910" s="1" t="s">
        <v>21</v>
      </c>
      <c r="N910" s="1" t="s">
        <v>16</v>
      </c>
    </row>
    <row r="911" spans="1:14" x14ac:dyDescent="0.25">
      <c r="A911" s="9">
        <v>44201</v>
      </c>
      <c r="B911" s="1" t="s">
        <v>22</v>
      </c>
      <c r="C911" s="1">
        <v>7</v>
      </c>
      <c r="D911" s="1">
        <v>2</v>
      </c>
      <c r="E911" s="5">
        <v>67.900000000000006</v>
      </c>
      <c r="F911" s="1" t="s">
        <v>16</v>
      </c>
      <c r="G911" s="1">
        <v>4</v>
      </c>
      <c r="H911" s="1" t="s">
        <v>16</v>
      </c>
      <c r="I911" s="1" t="s">
        <v>16</v>
      </c>
      <c r="J911" s="1" t="s">
        <v>16</v>
      </c>
      <c r="K911" s="1" t="s">
        <v>17</v>
      </c>
      <c r="L911" s="1" t="s">
        <v>17</v>
      </c>
      <c r="M911" s="1" t="s">
        <v>17</v>
      </c>
      <c r="N911" s="1" t="s">
        <v>16</v>
      </c>
    </row>
    <row r="912" spans="1:14" x14ac:dyDescent="0.25">
      <c r="A912" s="9">
        <v>44201</v>
      </c>
      <c r="B912" s="1" t="s">
        <v>22</v>
      </c>
      <c r="C912" s="1">
        <v>8</v>
      </c>
      <c r="D912" s="1">
        <v>2</v>
      </c>
      <c r="E912" s="5">
        <v>53.14</v>
      </c>
      <c r="F912" s="1" t="s">
        <v>16</v>
      </c>
      <c r="G912" s="1" t="s">
        <v>16</v>
      </c>
      <c r="H912" s="1" t="s">
        <v>16</v>
      </c>
      <c r="I912" s="1" t="s">
        <v>16</v>
      </c>
      <c r="J912" s="1" t="s">
        <v>16</v>
      </c>
      <c r="K912" s="1" t="s">
        <v>17</v>
      </c>
      <c r="L912" s="1" t="s">
        <v>17</v>
      </c>
      <c r="M912" s="1" t="s">
        <v>21</v>
      </c>
      <c r="N912" s="1" t="s">
        <v>16</v>
      </c>
    </row>
    <row r="913" spans="1:14" x14ac:dyDescent="0.25">
      <c r="A913" s="9">
        <v>44201</v>
      </c>
      <c r="B913" s="1" t="s">
        <v>22</v>
      </c>
      <c r="C913" s="1">
        <v>9</v>
      </c>
      <c r="D913" s="1">
        <v>2</v>
      </c>
      <c r="E913" s="5">
        <v>59.47</v>
      </c>
      <c r="F913" s="1" t="s">
        <v>16</v>
      </c>
      <c r="G913" s="1" t="s">
        <v>16</v>
      </c>
      <c r="H913" s="1" t="s">
        <v>16</v>
      </c>
      <c r="I913" s="1" t="s">
        <v>16</v>
      </c>
      <c r="J913" s="1" t="s">
        <v>16</v>
      </c>
      <c r="K913" s="1" t="s">
        <v>17</v>
      </c>
      <c r="L913" s="1" t="s">
        <v>17</v>
      </c>
      <c r="M913" s="1" t="s">
        <v>21</v>
      </c>
      <c r="N913" s="1" t="s">
        <v>16</v>
      </c>
    </row>
    <row r="914" spans="1:14" x14ac:dyDescent="0.25">
      <c r="A914" s="9">
        <v>44201</v>
      </c>
      <c r="B914" s="1" t="s">
        <v>22</v>
      </c>
      <c r="C914" s="1">
        <v>10</v>
      </c>
      <c r="D914" s="1">
        <v>2</v>
      </c>
      <c r="E914" s="5">
        <v>48.58</v>
      </c>
      <c r="F914" s="1" t="s">
        <v>18</v>
      </c>
      <c r="G914" s="1">
        <v>1</v>
      </c>
      <c r="H914" s="1" t="s">
        <v>16</v>
      </c>
      <c r="I914" s="1" t="s">
        <v>16</v>
      </c>
      <c r="J914" s="1" t="s">
        <v>16</v>
      </c>
      <c r="K914" s="1" t="s">
        <v>17</v>
      </c>
      <c r="L914" s="1" t="s">
        <v>17</v>
      </c>
      <c r="M914" s="1" t="s">
        <v>17</v>
      </c>
      <c r="N914" s="1" t="s">
        <v>16</v>
      </c>
    </row>
    <row r="915" spans="1:14" x14ac:dyDescent="0.25">
      <c r="A915" s="9">
        <v>44201</v>
      </c>
      <c r="B915" s="1" t="s">
        <v>22</v>
      </c>
      <c r="C915" s="1">
        <v>11</v>
      </c>
      <c r="D915" s="1">
        <v>3</v>
      </c>
      <c r="E915" s="5">
        <v>74.16</v>
      </c>
      <c r="F915" s="1" t="s">
        <v>18</v>
      </c>
      <c r="G915" s="1">
        <v>1</v>
      </c>
      <c r="H915" s="1" t="s">
        <v>16</v>
      </c>
      <c r="I915" s="1" t="s">
        <v>16</v>
      </c>
      <c r="J915" s="1" t="s">
        <v>16</v>
      </c>
      <c r="K915" s="1" t="s">
        <v>17</v>
      </c>
      <c r="L915" s="1" t="s">
        <v>17</v>
      </c>
      <c r="M915" s="1" t="s">
        <v>17</v>
      </c>
      <c r="N915" s="1" t="s">
        <v>16</v>
      </c>
    </row>
    <row r="916" spans="1:14" x14ac:dyDescent="0.25">
      <c r="A916" s="9">
        <v>44201</v>
      </c>
      <c r="B916" s="1" t="s">
        <v>22</v>
      </c>
      <c r="C916" s="1">
        <v>12</v>
      </c>
      <c r="D916" s="1">
        <v>3</v>
      </c>
      <c r="E916" s="5">
        <v>62.57</v>
      </c>
      <c r="F916" s="1" t="s">
        <v>18</v>
      </c>
      <c r="G916" s="1">
        <v>1</v>
      </c>
      <c r="H916" s="1" t="s">
        <v>16</v>
      </c>
      <c r="I916" s="1" t="s">
        <v>16</v>
      </c>
      <c r="J916" s="1" t="s">
        <v>16</v>
      </c>
      <c r="K916" s="1" t="s">
        <v>17</v>
      </c>
      <c r="L916" s="1" t="s">
        <v>17</v>
      </c>
      <c r="M916" s="1" t="s">
        <v>17</v>
      </c>
      <c r="N916" s="1" t="s">
        <v>16</v>
      </c>
    </row>
    <row r="917" spans="1:14" x14ac:dyDescent="0.25">
      <c r="A917" s="9">
        <v>44201</v>
      </c>
      <c r="B917" s="1" t="s">
        <v>22</v>
      </c>
      <c r="C917" s="1">
        <v>13</v>
      </c>
      <c r="D917" s="1">
        <v>3</v>
      </c>
      <c r="E917" s="5">
        <v>62.21</v>
      </c>
      <c r="F917" s="1" t="s">
        <v>16</v>
      </c>
      <c r="G917" s="1">
        <v>4</v>
      </c>
      <c r="H917" s="1" t="s">
        <v>16</v>
      </c>
      <c r="I917" s="1" t="s">
        <v>16</v>
      </c>
      <c r="J917" s="1" t="s">
        <v>16</v>
      </c>
      <c r="K917" s="1" t="s">
        <v>17</v>
      </c>
      <c r="L917" s="1" t="s">
        <v>17</v>
      </c>
      <c r="M917" s="1" t="s">
        <v>21</v>
      </c>
      <c r="N917" s="1" t="s">
        <v>16</v>
      </c>
    </row>
    <row r="918" spans="1:14" x14ac:dyDescent="0.25">
      <c r="A918" s="9">
        <v>44201</v>
      </c>
      <c r="B918" s="1" t="s">
        <v>22</v>
      </c>
      <c r="C918" s="1">
        <v>14</v>
      </c>
      <c r="D918" s="1">
        <v>3</v>
      </c>
      <c r="E918" s="5">
        <v>45.17</v>
      </c>
      <c r="F918" s="1" t="s">
        <v>16</v>
      </c>
      <c r="G918" s="1" t="s">
        <v>16</v>
      </c>
      <c r="H918" s="1" t="s">
        <v>16</v>
      </c>
      <c r="I918" s="1" t="s">
        <v>16</v>
      </c>
      <c r="J918" s="1" t="s">
        <v>16</v>
      </c>
      <c r="K918" s="1" t="s">
        <v>17</v>
      </c>
      <c r="L918" s="1" t="s">
        <v>17</v>
      </c>
      <c r="M918" s="1" t="s">
        <v>21</v>
      </c>
      <c r="N918" s="1" t="s">
        <v>16</v>
      </c>
    </row>
    <row r="919" spans="1:14" x14ac:dyDescent="0.25">
      <c r="A919" s="9">
        <v>44201</v>
      </c>
      <c r="B919" s="1" t="s">
        <v>22</v>
      </c>
      <c r="C919" s="1">
        <v>15</v>
      </c>
      <c r="D919" s="1">
        <v>3</v>
      </c>
      <c r="E919" s="5">
        <v>74.78</v>
      </c>
      <c r="F919" s="1" t="s">
        <v>19</v>
      </c>
      <c r="G919" s="1">
        <v>3</v>
      </c>
      <c r="H919" s="1" t="s">
        <v>16</v>
      </c>
      <c r="I919" s="1" t="s">
        <v>16</v>
      </c>
      <c r="J919" s="1" t="s">
        <v>16</v>
      </c>
      <c r="K919" s="1" t="s">
        <v>17</v>
      </c>
      <c r="L919" s="1" t="s">
        <v>17</v>
      </c>
      <c r="M919" s="1" t="s">
        <v>17</v>
      </c>
      <c r="N919" s="1" t="s">
        <v>16</v>
      </c>
    </row>
    <row r="920" spans="1:14" x14ac:dyDescent="0.25">
      <c r="A920" s="9">
        <v>44230</v>
      </c>
      <c r="B920" s="1" t="s">
        <v>22</v>
      </c>
      <c r="C920" s="1">
        <v>1</v>
      </c>
      <c r="D920" s="1">
        <v>1</v>
      </c>
      <c r="E920" s="5">
        <v>59.15</v>
      </c>
      <c r="F920" s="1" t="s">
        <v>18</v>
      </c>
      <c r="G920" s="1">
        <v>1</v>
      </c>
      <c r="H920" s="1" t="s">
        <v>16</v>
      </c>
      <c r="I920" s="1" t="s">
        <v>16</v>
      </c>
      <c r="J920" s="1" t="s">
        <v>16</v>
      </c>
      <c r="K920" s="1" t="s">
        <v>17</v>
      </c>
      <c r="L920" s="1" t="s">
        <v>17</v>
      </c>
      <c r="M920" s="1" t="s">
        <v>17</v>
      </c>
      <c r="N920" s="1" t="s">
        <v>16</v>
      </c>
    </row>
    <row r="921" spans="1:14" x14ac:dyDescent="0.25">
      <c r="A921" s="9">
        <v>44230</v>
      </c>
      <c r="B921" s="1" t="s">
        <v>22</v>
      </c>
      <c r="C921" s="1">
        <v>2</v>
      </c>
      <c r="D921" s="1">
        <v>1</v>
      </c>
      <c r="E921" s="5">
        <v>48.89</v>
      </c>
      <c r="F921" s="1" t="s">
        <v>18</v>
      </c>
      <c r="G921" s="1">
        <v>1</v>
      </c>
      <c r="H921" s="1" t="s">
        <v>16</v>
      </c>
      <c r="I921" s="1" t="s">
        <v>16</v>
      </c>
      <c r="J921" s="1" t="s">
        <v>16</v>
      </c>
      <c r="K921" s="1" t="s">
        <v>21</v>
      </c>
      <c r="L921" s="1" t="s">
        <v>17</v>
      </c>
      <c r="M921" s="1" t="s">
        <v>17</v>
      </c>
      <c r="N921" s="1" t="s">
        <v>16</v>
      </c>
    </row>
    <row r="922" spans="1:14" x14ac:dyDescent="0.25">
      <c r="A922" s="9">
        <v>44230</v>
      </c>
      <c r="B922" s="1" t="s">
        <v>22</v>
      </c>
      <c r="C922" s="1">
        <v>3</v>
      </c>
      <c r="D922" s="1">
        <v>1</v>
      </c>
      <c r="E922" s="5">
        <v>48.86</v>
      </c>
      <c r="F922" s="1" t="s">
        <v>16</v>
      </c>
      <c r="G922" s="1">
        <v>4</v>
      </c>
      <c r="H922" s="1" t="s">
        <v>16</v>
      </c>
      <c r="I922" s="1" t="s">
        <v>16</v>
      </c>
      <c r="J922" s="1" t="s">
        <v>16</v>
      </c>
      <c r="K922" s="1" t="s">
        <v>17</v>
      </c>
      <c r="L922" s="1" t="s">
        <v>17</v>
      </c>
      <c r="M922" s="1" t="s">
        <v>17</v>
      </c>
      <c r="N922" s="1" t="s">
        <v>16</v>
      </c>
    </row>
    <row r="923" spans="1:14" x14ac:dyDescent="0.25">
      <c r="A923" s="9">
        <v>44230</v>
      </c>
      <c r="B923" s="1" t="s">
        <v>22</v>
      </c>
      <c r="C923" s="1">
        <v>4</v>
      </c>
      <c r="D923" s="1">
        <v>1</v>
      </c>
      <c r="E923" s="5">
        <v>38.17</v>
      </c>
      <c r="F923" s="1" t="s">
        <v>16</v>
      </c>
      <c r="G923" s="1">
        <v>4</v>
      </c>
      <c r="H923" s="1" t="s">
        <v>16</v>
      </c>
      <c r="I923" s="1" t="s">
        <v>16</v>
      </c>
      <c r="J923" s="1" t="s">
        <v>16</v>
      </c>
      <c r="K923" s="1" t="s">
        <v>17</v>
      </c>
      <c r="L923" s="1" t="s">
        <v>17</v>
      </c>
      <c r="M923" s="1" t="s">
        <v>17</v>
      </c>
      <c r="N923" s="1" t="s">
        <v>16</v>
      </c>
    </row>
    <row r="924" spans="1:14" x14ac:dyDescent="0.25">
      <c r="A924" s="9">
        <v>44230</v>
      </c>
      <c r="B924" s="1" t="s">
        <v>22</v>
      </c>
      <c r="C924" s="1">
        <v>5</v>
      </c>
      <c r="D924" s="1">
        <v>1</v>
      </c>
      <c r="E924" s="5">
        <v>41.2</v>
      </c>
      <c r="F924" s="1" t="s">
        <v>18</v>
      </c>
      <c r="G924" s="1">
        <v>1</v>
      </c>
      <c r="H924" s="1" t="s">
        <v>16</v>
      </c>
      <c r="I924" s="1" t="s">
        <v>16</v>
      </c>
      <c r="J924" s="1" t="s">
        <v>16</v>
      </c>
      <c r="K924" s="1" t="s">
        <v>17</v>
      </c>
      <c r="L924" s="1" t="s">
        <v>17</v>
      </c>
      <c r="M924" s="1" t="s">
        <v>17</v>
      </c>
      <c r="N924" s="1" t="s">
        <v>16</v>
      </c>
    </row>
    <row r="925" spans="1:14" x14ac:dyDescent="0.25">
      <c r="A925" s="9">
        <v>44230</v>
      </c>
      <c r="B925" s="1" t="s">
        <v>22</v>
      </c>
      <c r="C925" s="1">
        <v>6</v>
      </c>
      <c r="D925" s="1">
        <v>2</v>
      </c>
      <c r="E925" s="5">
        <v>57.52</v>
      </c>
      <c r="F925" s="1" t="s">
        <v>18</v>
      </c>
      <c r="G925" s="1">
        <v>1</v>
      </c>
      <c r="H925" s="1" t="s">
        <v>16</v>
      </c>
      <c r="I925" s="1" t="s">
        <v>16</v>
      </c>
      <c r="J925" s="1" t="s">
        <v>16</v>
      </c>
      <c r="K925" s="1" t="s">
        <v>17</v>
      </c>
      <c r="L925" s="1" t="s">
        <v>17</v>
      </c>
      <c r="M925" s="1" t="s">
        <v>17</v>
      </c>
      <c r="N925" s="1" t="s">
        <v>16</v>
      </c>
    </row>
    <row r="926" spans="1:14" x14ac:dyDescent="0.25">
      <c r="A926" s="9">
        <v>44230</v>
      </c>
      <c r="B926" s="1" t="s">
        <v>22</v>
      </c>
      <c r="C926" s="1">
        <v>7</v>
      </c>
      <c r="D926" s="1">
        <v>2</v>
      </c>
      <c r="E926" s="5">
        <v>50.47</v>
      </c>
      <c r="F926" s="1" t="s">
        <v>19</v>
      </c>
      <c r="G926" s="1">
        <v>2</v>
      </c>
      <c r="H926" s="1" t="s">
        <v>16</v>
      </c>
      <c r="I926" s="1" t="s">
        <v>16</v>
      </c>
      <c r="J926" s="1" t="s">
        <v>16</v>
      </c>
      <c r="K926" s="1" t="s">
        <v>17</v>
      </c>
      <c r="L926" s="1" t="s">
        <v>17</v>
      </c>
      <c r="M926" s="1" t="s">
        <v>17</v>
      </c>
      <c r="N926" s="1" t="s">
        <v>16</v>
      </c>
    </row>
    <row r="927" spans="1:14" x14ac:dyDescent="0.25">
      <c r="A927" s="9">
        <v>44230</v>
      </c>
      <c r="B927" s="1" t="s">
        <v>22</v>
      </c>
      <c r="C927" s="1">
        <v>8</v>
      </c>
      <c r="D927" s="1">
        <v>2</v>
      </c>
      <c r="E927" s="5">
        <v>57.94</v>
      </c>
      <c r="F927" s="1" t="s">
        <v>19</v>
      </c>
      <c r="G927" s="1">
        <v>2</v>
      </c>
      <c r="H927" s="1" t="s">
        <v>16</v>
      </c>
      <c r="I927" s="1" t="s">
        <v>16</v>
      </c>
      <c r="J927" s="1" t="s">
        <v>16</v>
      </c>
      <c r="K927" s="1" t="s">
        <v>17</v>
      </c>
      <c r="L927" s="1" t="s">
        <v>17</v>
      </c>
      <c r="M927" s="1" t="s">
        <v>17</v>
      </c>
      <c r="N927" s="1" t="s">
        <v>16</v>
      </c>
    </row>
    <row r="928" spans="1:14" x14ac:dyDescent="0.25">
      <c r="A928" s="9">
        <v>44230</v>
      </c>
      <c r="B928" s="1" t="s">
        <v>22</v>
      </c>
      <c r="C928" s="1">
        <v>9</v>
      </c>
      <c r="D928" s="1">
        <v>2</v>
      </c>
      <c r="E928" s="5">
        <v>38.44</v>
      </c>
      <c r="F928" s="1" t="s">
        <v>16</v>
      </c>
      <c r="G928" s="1">
        <v>4</v>
      </c>
      <c r="H928" s="1" t="s">
        <v>16</v>
      </c>
      <c r="I928" s="1" t="s">
        <v>16</v>
      </c>
      <c r="J928" s="1" t="s">
        <v>16</v>
      </c>
      <c r="K928" s="1" t="s">
        <v>17</v>
      </c>
      <c r="L928" s="1" t="s">
        <v>17</v>
      </c>
      <c r="M928" s="1" t="s">
        <v>17</v>
      </c>
      <c r="N928" s="1" t="s">
        <v>16</v>
      </c>
    </row>
    <row r="929" spans="1:14" x14ac:dyDescent="0.25">
      <c r="A929" s="9">
        <v>44230</v>
      </c>
      <c r="B929" s="1" t="s">
        <v>22</v>
      </c>
      <c r="C929" s="1">
        <v>10</v>
      </c>
      <c r="D929" s="1">
        <v>2</v>
      </c>
      <c r="E929" s="5">
        <v>44.46</v>
      </c>
      <c r="F929" s="1" t="s">
        <v>19</v>
      </c>
      <c r="G929" s="1">
        <v>2</v>
      </c>
      <c r="H929" s="1" t="s">
        <v>16</v>
      </c>
      <c r="I929" s="1" t="s">
        <v>16</v>
      </c>
      <c r="J929" s="1" t="s">
        <v>16</v>
      </c>
      <c r="K929" s="1" t="s">
        <v>17</v>
      </c>
      <c r="L929" s="1" t="s">
        <v>17</v>
      </c>
      <c r="M929" s="1" t="s">
        <v>17</v>
      </c>
      <c r="N929" s="1" t="s">
        <v>16</v>
      </c>
    </row>
    <row r="930" spans="1:14" x14ac:dyDescent="0.25">
      <c r="A930" s="9">
        <v>44230</v>
      </c>
      <c r="B930" s="1" t="s">
        <v>22</v>
      </c>
      <c r="C930" s="1">
        <v>11</v>
      </c>
      <c r="D930" s="1">
        <v>3</v>
      </c>
      <c r="E930" s="5">
        <v>58.15</v>
      </c>
      <c r="F930" s="1" t="s">
        <v>18</v>
      </c>
      <c r="G930" s="1">
        <v>1</v>
      </c>
      <c r="H930" s="1" t="s">
        <v>16</v>
      </c>
      <c r="I930" s="1" t="s">
        <v>16</v>
      </c>
      <c r="J930" s="1" t="s">
        <v>16</v>
      </c>
      <c r="K930" s="1" t="s">
        <v>17</v>
      </c>
      <c r="L930" s="1" t="s">
        <v>17</v>
      </c>
      <c r="M930" s="1" t="s">
        <v>17</v>
      </c>
      <c r="N930" s="1" t="s">
        <v>16</v>
      </c>
    </row>
    <row r="931" spans="1:14" x14ac:dyDescent="0.25">
      <c r="A931" s="9">
        <v>44230</v>
      </c>
      <c r="B931" s="1" t="s">
        <v>22</v>
      </c>
      <c r="C931" s="1">
        <v>12</v>
      </c>
      <c r="D931" s="1">
        <v>3</v>
      </c>
      <c r="E931" s="5">
        <v>29.48</v>
      </c>
      <c r="F931" s="1" t="s">
        <v>19</v>
      </c>
      <c r="G931" s="1">
        <v>2</v>
      </c>
      <c r="H931" s="1" t="s">
        <v>16</v>
      </c>
      <c r="I931" s="1" t="s">
        <v>16</v>
      </c>
      <c r="J931" s="1" t="s">
        <v>16</v>
      </c>
      <c r="K931" s="1" t="s">
        <v>17</v>
      </c>
      <c r="L931" s="1" t="s">
        <v>17</v>
      </c>
      <c r="M931" s="1" t="s">
        <v>17</v>
      </c>
      <c r="N931" s="1" t="s">
        <v>16</v>
      </c>
    </row>
    <row r="932" spans="1:14" x14ac:dyDescent="0.25">
      <c r="A932" s="9">
        <v>44230</v>
      </c>
      <c r="B932" s="1" t="s">
        <v>22</v>
      </c>
      <c r="C932" s="1">
        <v>13</v>
      </c>
      <c r="D932" s="1">
        <v>3</v>
      </c>
      <c r="E932" s="5">
        <v>90.09</v>
      </c>
      <c r="F932" s="1" t="s">
        <v>18</v>
      </c>
      <c r="G932" s="1">
        <v>1</v>
      </c>
      <c r="H932" s="1" t="s">
        <v>16</v>
      </c>
      <c r="I932" s="1" t="s">
        <v>16</v>
      </c>
      <c r="J932" s="1" t="s">
        <v>16</v>
      </c>
      <c r="K932" s="1" t="s">
        <v>17</v>
      </c>
      <c r="L932" s="1" t="s">
        <v>17</v>
      </c>
      <c r="M932" s="1" t="s">
        <v>17</v>
      </c>
      <c r="N932" s="1" t="s">
        <v>16</v>
      </c>
    </row>
    <row r="933" spans="1:14" x14ac:dyDescent="0.25">
      <c r="A933" s="9">
        <v>44230</v>
      </c>
      <c r="B933" s="1" t="s">
        <v>22</v>
      </c>
      <c r="C933" s="1">
        <v>14</v>
      </c>
      <c r="D933" s="1">
        <v>3</v>
      </c>
      <c r="E933" s="5">
        <v>47.19</v>
      </c>
      <c r="F933" s="1" t="s">
        <v>18</v>
      </c>
      <c r="G933" s="1">
        <v>2</v>
      </c>
      <c r="H933" s="1" t="s">
        <v>16</v>
      </c>
      <c r="I933" s="1" t="s">
        <v>16</v>
      </c>
      <c r="J933" s="1" t="s">
        <v>16</v>
      </c>
      <c r="K933" s="1" t="s">
        <v>17</v>
      </c>
      <c r="L933" s="1" t="s">
        <v>17</v>
      </c>
      <c r="M933" s="1" t="s">
        <v>17</v>
      </c>
      <c r="N933" s="1" t="s">
        <v>16</v>
      </c>
    </row>
    <row r="934" spans="1:14" x14ac:dyDescent="0.25">
      <c r="A934" s="9">
        <v>44230</v>
      </c>
      <c r="B934" s="1" t="s">
        <v>22</v>
      </c>
      <c r="C934" s="1">
        <v>15</v>
      </c>
      <c r="D934" s="1">
        <v>3</v>
      </c>
      <c r="E934" s="5">
        <v>41.23</v>
      </c>
      <c r="F934" s="1" t="s">
        <v>18</v>
      </c>
      <c r="G934" s="1">
        <v>2</v>
      </c>
      <c r="H934" s="1" t="s">
        <v>16</v>
      </c>
      <c r="I934" s="1" t="s">
        <v>16</v>
      </c>
      <c r="J934" s="1" t="s">
        <v>16</v>
      </c>
      <c r="K934" s="1" t="s">
        <v>17</v>
      </c>
      <c r="L934" s="1" t="s">
        <v>17</v>
      </c>
      <c r="M934" s="1" t="s">
        <v>17</v>
      </c>
      <c r="N934" s="1" t="s">
        <v>16</v>
      </c>
    </row>
    <row r="935" spans="1:14" x14ac:dyDescent="0.25">
      <c r="A935" s="9">
        <v>44257</v>
      </c>
      <c r="B935" s="1" t="s">
        <v>22</v>
      </c>
      <c r="C935" s="1">
        <v>1</v>
      </c>
      <c r="D935" s="1">
        <v>1</v>
      </c>
      <c r="E935" s="5">
        <v>65.95</v>
      </c>
      <c r="F935" s="1" t="s">
        <v>18</v>
      </c>
      <c r="G935" s="1">
        <v>2</v>
      </c>
      <c r="H935" s="1" t="s">
        <v>16</v>
      </c>
      <c r="I935" s="1" t="s">
        <v>16</v>
      </c>
      <c r="J935" s="1" t="s">
        <v>16</v>
      </c>
      <c r="K935" s="1" t="s">
        <v>17</v>
      </c>
      <c r="L935" s="1" t="s">
        <v>17</v>
      </c>
      <c r="M935" s="1" t="s">
        <v>17</v>
      </c>
      <c r="N935" s="1" t="s">
        <v>16</v>
      </c>
    </row>
    <row r="936" spans="1:14" x14ac:dyDescent="0.25">
      <c r="A936" s="9">
        <v>44257</v>
      </c>
      <c r="B936" s="1" t="s">
        <v>22</v>
      </c>
      <c r="C936" s="1">
        <v>2</v>
      </c>
      <c r="D936" s="1">
        <v>1</v>
      </c>
      <c r="E936" s="5">
        <v>38.409999999999997</v>
      </c>
      <c r="F936" s="1" t="s">
        <v>19</v>
      </c>
      <c r="G936" s="1">
        <v>2</v>
      </c>
      <c r="H936" s="1" t="s">
        <v>16</v>
      </c>
      <c r="I936" s="1" t="s">
        <v>16</v>
      </c>
      <c r="J936" s="1" t="s">
        <v>16</v>
      </c>
      <c r="K936" s="1" t="s">
        <v>17</v>
      </c>
      <c r="L936" s="1" t="s">
        <v>17</v>
      </c>
      <c r="M936" s="1" t="s">
        <v>17</v>
      </c>
      <c r="N936" s="1" t="s">
        <v>16</v>
      </c>
    </row>
    <row r="937" spans="1:14" x14ac:dyDescent="0.25">
      <c r="A937" s="9">
        <v>44257</v>
      </c>
      <c r="B937" s="1" t="s">
        <v>22</v>
      </c>
      <c r="C937" s="1">
        <v>3</v>
      </c>
      <c r="D937" s="1">
        <v>1</v>
      </c>
      <c r="E937" s="5">
        <v>75.5</v>
      </c>
      <c r="F937" s="1" t="s">
        <v>19</v>
      </c>
      <c r="G937" s="1">
        <v>2</v>
      </c>
      <c r="H937" s="1" t="s">
        <v>16</v>
      </c>
      <c r="I937" s="1" t="s">
        <v>16</v>
      </c>
      <c r="J937" s="1" t="s">
        <v>16</v>
      </c>
      <c r="K937" s="1" t="s">
        <v>17</v>
      </c>
      <c r="L937" s="1" t="s">
        <v>17</v>
      </c>
      <c r="M937" s="1" t="s">
        <v>17</v>
      </c>
      <c r="N937" s="1" t="s">
        <v>16</v>
      </c>
    </row>
    <row r="938" spans="1:14" x14ac:dyDescent="0.25">
      <c r="A938" s="9">
        <v>44257</v>
      </c>
      <c r="B938" s="1" t="s">
        <v>22</v>
      </c>
      <c r="C938" s="1">
        <v>4</v>
      </c>
      <c r="D938" s="1">
        <v>1</v>
      </c>
      <c r="E938" s="5">
        <v>43.8</v>
      </c>
      <c r="F938" s="1" t="s">
        <v>18</v>
      </c>
      <c r="G938" s="1">
        <v>2</v>
      </c>
      <c r="H938" s="1" t="s">
        <v>16</v>
      </c>
      <c r="I938" s="1" t="s">
        <v>16</v>
      </c>
      <c r="J938" s="1" t="s">
        <v>16</v>
      </c>
      <c r="K938" s="1" t="s">
        <v>17</v>
      </c>
      <c r="L938" s="1" t="s">
        <v>17</v>
      </c>
      <c r="M938" s="1" t="s">
        <v>17</v>
      </c>
      <c r="N938" s="1" t="s">
        <v>16</v>
      </c>
    </row>
    <row r="939" spans="1:14" x14ac:dyDescent="0.25">
      <c r="A939" s="9">
        <v>44257</v>
      </c>
      <c r="B939" s="1" t="s">
        <v>22</v>
      </c>
      <c r="C939" s="1">
        <v>5</v>
      </c>
      <c r="D939" s="1">
        <v>1</v>
      </c>
      <c r="E939" s="5">
        <v>45.21</v>
      </c>
      <c r="F939" s="1" t="s">
        <v>19</v>
      </c>
      <c r="G939" s="1">
        <v>2</v>
      </c>
      <c r="H939" s="1" t="s">
        <v>16</v>
      </c>
      <c r="I939" s="1" t="s">
        <v>16</v>
      </c>
      <c r="J939" s="1" t="s">
        <v>16</v>
      </c>
      <c r="K939" s="1" t="s">
        <v>17</v>
      </c>
      <c r="L939" s="1" t="s">
        <v>17</v>
      </c>
      <c r="M939" s="1" t="s">
        <v>17</v>
      </c>
      <c r="N939" s="1" t="s">
        <v>16</v>
      </c>
    </row>
    <row r="940" spans="1:14" x14ac:dyDescent="0.25">
      <c r="A940" s="9">
        <v>44257</v>
      </c>
      <c r="B940" s="1" t="s">
        <v>22</v>
      </c>
      <c r="C940" s="1">
        <v>6</v>
      </c>
      <c r="D940" s="1">
        <v>2</v>
      </c>
      <c r="E940" s="5">
        <v>39.19</v>
      </c>
      <c r="F940" s="1" t="s">
        <v>19</v>
      </c>
      <c r="G940" s="1">
        <v>2</v>
      </c>
      <c r="H940" s="1" t="s">
        <v>16</v>
      </c>
      <c r="I940" s="1" t="s">
        <v>16</v>
      </c>
      <c r="J940" s="1" t="s">
        <v>16</v>
      </c>
      <c r="K940" s="1" t="s">
        <v>17</v>
      </c>
      <c r="L940" s="1" t="s">
        <v>17</v>
      </c>
      <c r="M940" s="1" t="s">
        <v>17</v>
      </c>
      <c r="N940" s="1" t="s">
        <v>16</v>
      </c>
    </row>
    <row r="941" spans="1:14" x14ac:dyDescent="0.25">
      <c r="A941" s="9">
        <v>44257</v>
      </c>
      <c r="B941" s="1" t="s">
        <v>22</v>
      </c>
      <c r="C941" s="1">
        <v>7</v>
      </c>
      <c r="D941" s="1">
        <v>2</v>
      </c>
      <c r="E941" s="5">
        <v>93.58</v>
      </c>
      <c r="F941" s="1" t="s">
        <v>18</v>
      </c>
      <c r="G941" s="1">
        <v>2</v>
      </c>
      <c r="H941" s="1" t="s">
        <v>16</v>
      </c>
      <c r="I941" s="1" t="s">
        <v>16</v>
      </c>
      <c r="J941" s="1" t="s">
        <v>16</v>
      </c>
      <c r="K941" s="1" t="s">
        <v>17</v>
      </c>
      <c r="L941" s="1" t="s">
        <v>17</v>
      </c>
      <c r="M941" s="1" t="s">
        <v>17</v>
      </c>
      <c r="N941" s="1" t="s">
        <v>16</v>
      </c>
    </row>
    <row r="942" spans="1:14" x14ac:dyDescent="0.25">
      <c r="A942" s="9">
        <v>44257</v>
      </c>
      <c r="B942" s="1" t="s">
        <v>22</v>
      </c>
      <c r="C942" s="1">
        <v>8</v>
      </c>
      <c r="D942" s="1">
        <v>2</v>
      </c>
      <c r="E942" s="5">
        <v>62.63</v>
      </c>
      <c r="F942" s="1" t="s">
        <v>18</v>
      </c>
      <c r="G942" s="1">
        <v>2</v>
      </c>
      <c r="H942" s="1" t="s">
        <v>16</v>
      </c>
      <c r="I942" s="1" t="s">
        <v>16</v>
      </c>
      <c r="J942" s="1" t="s">
        <v>16</v>
      </c>
      <c r="K942" s="1" t="s">
        <v>17</v>
      </c>
      <c r="L942" s="1" t="s">
        <v>17</v>
      </c>
      <c r="M942" s="1" t="s">
        <v>17</v>
      </c>
      <c r="N942" s="1" t="s">
        <v>16</v>
      </c>
    </row>
    <row r="943" spans="1:14" x14ac:dyDescent="0.25">
      <c r="A943" s="9">
        <v>44257</v>
      </c>
      <c r="B943" s="1" t="s">
        <v>22</v>
      </c>
      <c r="C943" s="1">
        <v>9</v>
      </c>
      <c r="D943" s="1">
        <v>2</v>
      </c>
      <c r="E943" s="5">
        <v>56.89</v>
      </c>
      <c r="F943" s="1" t="s">
        <v>19</v>
      </c>
      <c r="G943" s="1">
        <v>2</v>
      </c>
      <c r="H943" s="1" t="s">
        <v>16</v>
      </c>
      <c r="I943" s="1" t="s">
        <v>16</v>
      </c>
      <c r="J943" s="1" t="s">
        <v>16</v>
      </c>
      <c r="K943" s="1" t="s">
        <v>17</v>
      </c>
      <c r="L943" s="1" t="s">
        <v>17</v>
      </c>
      <c r="M943" s="1" t="s">
        <v>17</v>
      </c>
      <c r="N943" s="1" t="s">
        <v>16</v>
      </c>
    </row>
    <row r="944" spans="1:14" x14ac:dyDescent="0.25">
      <c r="A944" s="9">
        <v>44257</v>
      </c>
      <c r="B944" s="1" t="s">
        <v>22</v>
      </c>
      <c r="C944" s="1">
        <v>10</v>
      </c>
      <c r="D944" s="1">
        <v>2</v>
      </c>
      <c r="E944" s="5">
        <v>52.13</v>
      </c>
      <c r="F944" s="1" t="s">
        <v>18</v>
      </c>
      <c r="G944" s="1">
        <v>2</v>
      </c>
      <c r="H944" s="1" t="s">
        <v>16</v>
      </c>
      <c r="I944" s="1" t="s">
        <v>16</v>
      </c>
      <c r="J944" s="1" t="s">
        <v>16</v>
      </c>
      <c r="K944" s="1" t="s">
        <v>17</v>
      </c>
      <c r="L944" s="1" t="s">
        <v>17</v>
      </c>
      <c r="M944" s="1" t="s">
        <v>17</v>
      </c>
      <c r="N944" s="1" t="s">
        <v>16</v>
      </c>
    </row>
    <row r="945" spans="1:14" x14ac:dyDescent="0.25">
      <c r="A945" s="9">
        <v>44257</v>
      </c>
      <c r="B945" s="1" t="s">
        <v>22</v>
      </c>
      <c r="C945" s="1">
        <v>11</v>
      </c>
      <c r="D945" s="1">
        <v>3</v>
      </c>
      <c r="E945" s="5">
        <v>72.930000000000007</v>
      </c>
      <c r="F945" s="1" t="s">
        <v>19</v>
      </c>
      <c r="G945" s="1">
        <v>2</v>
      </c>
      <c r="H945" s="1" t="s">
        <v>16</v>
      </c>
      <c r="I945" s="1" t="s">
        <v>16</v>
      </c>
      <c r="J945" s="1" t="s">
        <v>16</v>
      </c>
      <c r="K945" s="1" t="s">
        <v>17</v>
      </c>
      <c r="L945" s="1" t="s">
        <v>17</v>
      </c>
      <c r="M945" s="1" t="s">
        <v>17</v>
      </c>
      <c r="N945" s="1" t="s">
        <v>16</v>
      </c>
    </row>
    <row r="946" spans="1:14" x14ac:dyDescent="0.25">
      <c r="A946" s="9">
        <v>44257</v>
      </c>
      <c r="B946" s="1" t="s">
        <v>22</v>
      </c>
      <c r="C946" s="1">
        <v>12</v>
      </c>
      <c r="D946" s="1">
        <v>3</v>
      </c>
      <c r="E946" s="5">
        <v>62.93</v>
      </c>
      <c r="F946" s="1" t="s">
        <v>18</v>
      </c>
      <c r="G946" s="1">
        <v>2</v>
      </c>
      <c r="H946" s="1" t="s">
        <v>16</v>
      </c>
      <c r="I946" s="1" t="s">
        <v>16</v>
      </c>
      <c r="J946" s="1" t="s">
        <v>16</v>
      </c>
      <c r="K946" s="1" t="s">
        <v>17</v>
      </c>
      <c r="L946" s="1" t="s">
        <v>17</v>
      </c>
      <c r="M946" s="1" t="s">
        <v>17</v>
      </c>
      <c r="N946" s="1" t="s">
        <v>16</v>
      </c>
    </row>
    <row r="947" spans="1:14" x14ac:dyDescent="0.25">
      <c r="A947" s="9">
        <v>44257</v>
      </c>
      <c r="B947" s="1" t="s">
        <v>22</v>
      </c>
      <c r="C947" s="1">
        <v>13</v>
      </c>
      <c r="D947" s="1">
        <v>3</v>
      </c>
      <c r="E947" s="5">
        <v>66.63</v>
      </c>
      <c r="F947" s="1" t="s">
        <v>19</v>
      </c>
      <c r="G947" s="1">
        <v>2</v>
      </c>
      <c r="H947" s="1" t="s">
        <v>16</v>
      </c>
      <c r="I947" s="1" t="s">
        <v>16</v>
      </c>
      <c r="J947" s="1" t="s">
        <v>16</v>
      </c>
      <c r="K947" s="1" t="s">
        <v>17</v>
      </c>
      <c r="L947" s="1" t="s">
        <v>17</v>
      </c>
      <c r="M947" s="1" t="s">
        <v>17</v>
      </c>
      <c r="N947" s="1" t="s">
        <v>16</v>
      </c>
    </row>
    <row r="948" spans="1:14" x14ac:dyDescent="0.25">
      <c r="A948" s="9">
        <v>44257</v>
      </c>
      <c r="B948" s="1" t="s">
        <v>22</v>
      </c>
      <c r="C948" s="1">
        <v>14</v>
      </c>
      <c r="D948" s="1">
        <v>3</v>
      </c>
      <c r="E948" s="5">
        <v>71.02</v>
      </c>
      <c r="F948" s="1" t="s">
        <v>19</v>
      </c>
      <c r="G948" s="1">
        <v>2</v>
      </c>
      <c r="H948" s="1" t="s">
        <v>16</v>
      </c>
      <c r="I948" s="1" t="s">
        <v>16</v>
      </c>
      <c r="J948" s="1" t="s">
        <v>16</v>
      </c>
      <c r="K948" s="1" t="s">
        <v>17</v>
      </c>
      <c r="L948" s="1" t="s">
        <v>17</v>
      </c>
      <c r="M948" s="1" t="s">
        <v>17</v>
      </c>
      <c r="N948" s="1" t="s">
        <v>16</v>
      </c>
    </row>
    <row r="949" spans="1:14" x14ac:dyDescent="0.25">
      <c r="A949" s="9">
        <v>44257</v>
      </c>
      <c r="B949" s="1" t="s">
        <v>22</v>
      </c>
      <c r="C949" s="1">
        <v>15</v>
      </c>
      <c r="D949" s="1">
        <v>3</v>
      </c>
      <c r="E949" s="5">
        <v>46.75</v>
      </c>
      <c r="F949" s="1" t="s">
        <v>18</v>
      </c>
      <c r="G949" s="1">
        <v>2</v>
      </c>
      <c r="H949" s="1" t="s">
        <v>16</v>
      </c>
      <c r="I949" s="1" t="s">
        <v>16</v>
      </c>
      <c r="J949" s="1" t="s">
        <v>16</v>
      </c>
      <c r="K949" s="1" t="s">
        <v>17</v>
      </c>
      <c r="L949" s="1" t="s">
        <v>17</v>
      </c>
      <c r="M949" s="1" t="s">
        <v>17</v>
      </c>
      <c r="N949" s="1" t="s">
        <v>16</v>
      </c>
    </row>
    <row r="950" spans="1:14" x14ac:dyDescent="0.25">
      <c r="A950" s="9">
        <v>44292</v>
      </c>
      <c r="B950" s="1" t="s">
        <v>22</v>
      </c>
      <c r="C950" s="1">
        <v>1</v>
      </c>
      <c r="D950" s="1">
        <v>1</v>
      </c>
      <c r="E950" s="5">
        <v>63.71</v>
      </c>
      <c r="F950" s="1" t="s">
        <v>18</v>
      </c>
      <c r="G950" s="1">
        <v>2</v>
      </c>
      <c r="H950" s="1" t="s">
        <v>16</v>
      </c>
      <c r="I950" s="1" t="s">
        <v>16</v>
      </c>
      <c r="J950" s="1" t="s">
        <v>16</v>
      </c>
      <c r="K950" s="1" t="s">
        <v>21</v>
      </c>
      <c r="L950" s="1" t="s">
        <v>17</v>
      </c>
      <c r="M950" s="1" t="s">
        <v>17</v>
      </c>
      <c r="N950" s="1" t="s">
        <v>16</v>
      </c>
    </row>
    <row r="951" spans="1:14" x14ac:dyDescent="0.25">
      <c r="A951" s="9">
        <v>44292</v>
      </c>
      <c r="B951" s="1" t="s">
        <v>22</v>
      </c>
      <c r="C951" s="1">
        <v>2</v>
      </c>
      <c r="D951" s="1">
        <v>1</v>
      </c>
      <c r="E951" s="5">
        <v>52.42</v>
      </c>
      <c r="F951" s="1" t="s">
        <v>18</v>
      </c>
      <c r="G951" s="1">
        <v>2</v>
      </c>
      <c r="H951" s="1" t="s">
        <v>16</v>
      </c>
      <c r="I951" s="1" t="s">
        <v>16</v>
      </c>
      <c r="J951" s="1" t="s">
        <v>16</v>
      </c>
      <c r="K951" s="1" t="s">
        <v>17</v>
      </c>
      <c r="L951" s="1" t="s">
        <v>17</v>
      </c>
      <c r="M951" s="1" t="s">
        <v>17</v>
      </c>
      <c r="N951" s="1" t="s">
        <v>16</v>
      </c>
    </row>
    <row r="952" spans="1:14" x14ac:dyDescent="0.25">
      <c r="A952" s="9">
        <v>44292</v>
      </c>
      <c r="B952" s="1" t="s">
        <v>22</v>
      </c>
      <c r="C952" s="1">
        <v>3</v>
      </c>
      <c r="D952" s="1">
        <v>1</v>
      </c>
      <c r="E952" s="5">
        <v>47.99</v>
      </c>
      <c r="F952" s="1" t="s">
        <v>18</v>
      </c>
      <c r="G952" s="1">
        <v>2</v>
      </c>
      <c r="H952" s="1" t="s">
        <v>16</v>
      </c>
      <c r="I952" s="1" t="s">
        <v>16</v>
      </c>
      <c r="J952" s="1" t="s">
        <v>16</v>
      </c>
      <c r="K952" s="1" t="s">
        <v>17</v>
      </c>
      <c r="L952" s="1" t="s">
        <v>17</v>
      </c>
      <c r="M952" s="1" t="s">
        <v>17</v>
      </c>
      <c r="N952" s="1" t="s">
        <v>16</v>
      </c>
    </row>
    <row r="953" spans="1:14" x14ac:dyDescent="0.25">
      <c r="A953" s="9">
        <v>44292</v>
      </c>
      <c r="B953" s="1" t="s">
        <v>22</v>
      </c>
      <c r="C953" s="1">
        <v>4</v>
      </c>
      <c r="D953" s="1">
        <v>1</v>
      </c>
      <c r="E953" s="5">
        <v>56.26</v>
      </c>
      <c r="F953" s="1" t="s">
        <v>18</v>
      </c>
      <c r="G953" s="1">
        <v>2</v>
      </c>
      <c r="H953" s="1" t="s">
        <v>16</v>
      </c>
      <c r="I953" s="1" t="s">
        <v>16</v>
      </c>
      <c r="J953" s="1" t="s">
        <v>16</v>
      </c>
      <c r="K953" s="1" t="s">
        <v>17</v>
      </c>
      <c r="L953" s="1" t="s">
        <v>17</v>
      </c>
      <c r="M953" s="1" t="s">
        <v>17</v>
      </c>
      <c r="N953" s="1" t="s">
        <v>16</v>
      </c>
    </row>
    <row r="954" spans="1:14" x14ac:dyDescent="0.25">
      <c r="A954" s="9">
        <v>44292</v>
      </c>
      <c r="B954" s="1" t="s">
        <v>22</v>
      </c>
      <c r="C954" s="1">
        <v>5</v>
      </c>
      <c r="D954" s="1">
        <v>1</v>
      </c>
      <c r="E954" s="5">
        <v>49.85</v>
      </c>
      <c r="F954" s="1" t="s">
        <v>18</v>
      </c>
      <c r="G954" s="1">
        <v>2</v>
      </c>
      <c r="H954" s="1" t="s">
        <v>16</v>
      </c>
      <c r="I954" s="1" t="s">
        <v>16</v>
      </c>
      <c r="J954" s="1" t="s">
        <v>16</v>
      </c>
      <c r="K954" s="1" t="s">
        <v>17</v>
      </c>
      <c r="L954" s="1" t="s">
        <v>17</v>
      </c>
      <c r="M954" s="1" t="s">
        <v>17</v>
      </c>
      <c r="N954" s="1" t="s">
        <v>16</v>
      </c>
    </row>
    <row r="955" spans="1:14" x14ac:dyDescent="0.25">
      <c r="A955" s="9">
        <v>44292</v>
      </c>
      <c r="B955" s="1" t="s">
        <v>22</v>
      </c>
      <c r="C955" s="1">
        <v>6</v>
      </c>
      <c r="D955" s="1">
        <v>2</v>
      </c>
      <c r="E955" s="5">
        <v>62.56</v>
      </c>
      <c r="F955" s="1" t="s">
        <v>18</v>
      </c>
      <c r="G955" s="1">
        <v>2</v>
      </c>
      <c r="H955" s="1" t="s">
        <v>16</v>
      </c>
      <c r="I955" s="1" t="s">
        <v>16</v>
      </c>
      <c r="J955" s="1" t="s">
        <v>16</v>
      </c>
      <c r="K955" s="1" t="s">
        <v>17</v>
      </c>
      <c r="L955" s="1" t="s">
        <v>17</v>
      </c>
      <c r="M955" s="1" t="s">
        <v>17</v>
      </c>
      <c r="N955" s="1" t="s">
        <v>16</v>
      </c>
    </row>
    <row r="956" spans="1:14" x14ac:dyDescent="0.25">
      <c r="A956" s="9">
        <v>44292</v>
      </c>
      <c r="B956" s="1" t="s">
        <v>22</v>
      </c>
      <c r="C956" s="1">
        <v>7</v>
      </c>
      <c r="D956" s="1">
        <v>2</v>
      </c>
      <c r="E956" s="5">
        <v>83.06</v>
      </c>
      <c r="F956" s="1" t="s">
        <v>19</v>
      </c>
      <c r="G956" s="1">
        <v>2</v>
      </c>
      <c r="H956" s="1" t="s">
        <v>16</v>
      </c>
      <c r="I956" s="1" t="s">
        <v>16</v>
      </c>
      <c r="J956" s="1" t="s">
        <v>16</v>
      </c>
      <c r="K956" s="1" t="s">
        <v>17</v>
      </c>
      <c r="L956" s="1" t="s">
        <v>17</v>
      </c>
      <c r="M956" s="1" t="s">
        <v>17</v>
      </c>
      <c r="N956" s="1" t="s">
        <v>16</v>
      </c>
    </row>
    <row r="957" spans="1:14" x14ac:dyDescent="0.25">
      <c r="A957" s="9">
        <v>44292</v>
      </c>
      <c r="B957" s="1" t="s">
        <v>22</v>
      </c>
      <c r="C957" s="1">
        <v>8</v>
      </c>
      <c r="D957" s="1">
        <v>2</v>
      </c>
      <c r="E957" s="5">
        <v>52.77</v>
      </c>
      <c r="F957" s="1" t="s">
        <v>19</v>
      </c>
      <c r="G957" s="1">
        <v>2</v>
      </c>
      <c r="H957" s="1" t="s">
        <v>16</v>
      </c>
      <c r="I957" s="1" t="s">
        <v>16</v>
      </c>
      <c r="J957" s="1" t="s">
        <v>16</v>
      </c>
      <c r="K957" s="1" t="s">
        <v>21</v>
      </c>
      <c r="L957" s="1" t="s">
        <v>17</v>
      </c>
      <c r="M957" s="1" t="s">
        <v>17</v>
      </c>
      <c r="N957" s="1" t="s">
        <v>16</v>
      </c>
    </row>
    <row r="958" spans="1:14" x14ac:dyDescent="0.25">
      <c r="A958" s="9">
        <v>44292</v>
      </c>
      <c r="B958" s="1" t="s">
        <v>22</v>
      </c>
      <c r="C958" s="1">
        <v>9</v>
      </c>
      <c r="D958" s="1">
        <v>2</v>
      </c>
      <c r="E958" s="5">
        <v>66.349999999999994</v>
      </c>
      <c r="F958" s="1" t="s">
        <v>18</v>
      </c>
      <c r="G958" s="1">
        <v>2</v>
      </c>
      <c r="H958" s="1" t="s">
        <v>16</v>
      </c>
      <c r="I958" s="1" t="s">
        <v>16</v>
      </c>
      <c r="J958" s="1" t="s">
        <v>16</v>
      </c>
      <c r="K958" s="1" t="s">
        <v>17</v>
      </c>
      <c r="L958" s="1" t="s">
        <v>17</v>
      </c>
      <c r="M958" s="1" t="s">
        <v>17</v>
      </c>
      <c r="N958" s="1" t="s">
        <v>16</v>
      </c>
    </row>
    <row r="959" spans="1:14" x14ac:dyDescent="0.25">
      <c r="A959" s="9">
        <v>44292</v>
      </c>
      <c r="B959" s="1" t="s">
        <v>22</v>
      </c>
      <c r="C959" s="1">
        <v>10</v>
      </c>
      <c r="D959" s="1">
        <v>2</v>
      </c>
      <c r="E959" s="5">
        <v>52.91</v>
      </c>
      <c r="F959" s="1" t="s">
        <v>19</v>
      </c>
      <c r="G959" s="1">
        <v>2</v>
      </c>
      <c r="H959" s="1" t="s">
        <v>16</v>
      </c>
      <c r="I959" s="1" t="s">
        <v>16</v>
      </c>
      <c r="J959" s="1" t="s">
        <v>16</v>
      </c>
      <c r="K959" s="1" t="s">
        <v>17</v>
      </c>
      <c r="L959" s="1" t="s">
        <v>17</v>
      </c>
      <c r="M959" s="1" t="s">
        <v>17</v>
      </c>
      <c r="N959" s="1" t="s">
        <v>16</v>
      </c>
    </row>
    <row r="960" spans="1:14" x14ac:dyDescent="0.25">
      <c r="A960" s="9">
        <v>44292</v>
      </c>
      <c r="B960" s="1" t="s">
        <v>22</v>
      </c>
      <c r="C960" s="1">
        <v>11</v>
      </c>
      <c r="D960" s="1">
        <v>3</v>
      </c>
      <c r="E960" s="5">
        <v>61.25</v>
      </c>
      <c r="F960" s="1" t="s">
        <v>18</v>
      </c>
      <c r="G960" s="1">
        <v>2</v>
      </c>
      <c r="H960" s="1" t="s">
        <v>16</v>
      </c>
      <c r="I960" s="1" t="s">
        <v>16</v>
      </c>
      <c r="J960" s="1" t="s">
        <v>16</v>
      </c>
      <c r="K960" s="1" t="s">
        <v>21</v>
      </c>
      <c r="L960" s="1" t="s">
        <v>17</v>
      </c>
      <c r="M960" s="1" t="s">
        <v>17</v>
      </c>
      <c r="N960" s="1" t="s">
        <v>16</v>
      </c>
    </row>
    <row r="961" spans="1:14" x14ac:dyDescent="0.25">
      <c r="A961" s="9">
        <v>44292</v>
      </c>
      <c r="B961" s="1" t="s">
        <v>22</v>
      </c>
      <c r="C961" s="1">
        <v>12</v>
      </c>
      <c r="D961" s="1">
        <v>3</v>
      </c>
      <c r="E961" s="5">
        <v>70.84</v>
      </c>
      <c r="F961" s="1" t="s">
        <v>18</v>
      </c>
      <c r="G961" s="1">
        <v>2</v>
      </c>
      <c r="H961" s="1" t="s">
        <v>16</v>
      </c>
      <c r="I961" s="1" t="s">
        <v>16</v>
      </c>
      <c r="J961" s="1" t="s">
        <v>16</v>
      </c>
      <c r="K961" s="1" t="s">
        <v>17</v>
      </c>
      <c r="L961" s="1" t="s">
        <v>17</v>
      </c>
      <c r="M961" s="1" t="s">
        <v>17</v>
      </c>
      <c r="N961" s="1" t="s">
        <v>16</v>
      </c>
    </row>
    <row r="962" spans="1:14" x14ac:dyDescent="0.25">
      <c r="A962" s="9">
        <v>44292</v>
      </c>
      <c r="B962" s="1" t="s">
        <v>22</v>
      </c>
      <c r="C962" s="1">
        <v>13</v>
      </c>
      <c r="D962" s="1">
        <v>3</v>
      </c>
      <c r="E962" s="5">
        <v>56.85</v>
      </c>
      <c r="F962" s="1" t="s">
        <v>19</v>
      </c>
      <c r="G962" s="1">
        <v>2</v>
      </c>
      <c r="H962" s="1" t="s">
        <v>16</v>
      </c>
      <c r="I962" s="1" t="s">
        <v>16</v>
      </c>
      <c r="J962" s="1" t="s">
        <v>16</v>
      </c>
      <c r="K962" s="1" t="s">
        <v>21</v>
      </c>
      <c r="L962" s="1" t="s">
        <v>17</v>
      </c>
      <c r="M962" s="1" t="s">
        <v>17</v>
      </c>
      <c r="N962" s="1" t="s">
        <v>16</v>
      </c>
    </row>
    <row r="963" spans="1:14" x14ac:dyDescent="0.25">
      <c r="A963" s="9">
        <v>44292</v>
      </c>
      <c r="B963" s="1" t="s">
        <v>22</v>
      </c>
      <c r="C963" s="1">
        <v>14</v>
      </c>
      <c r="D963" s="1">
        <v>3</v>
      </c>
      <c r="E963" s="5">
        <v>56.7</v>
      </c>
      <c r="F963" s="1" t="s">
        <v>19</v>
      </c>
      <c r="G963" s="1">
        <v>2</v>
      </c>
      <c r="H963" s="1" t="s">
        <v>16</v>
      </c>
      <c r="I963" s="1" t="s">
        <v>16</v>
      </c>
      <c r="J963" s="1" t="s">
        <v>16</v>
      </c>
      <c r="K963" s="1" t="s">
        <v>21</v>
      </c>
      <c r="L963" s="1" t="s">
        <v>17</v>
      </c>
      <c r="M963" s="1" t="s">
        <v>17</v>
      </c>
      <c r="N963" s="1" t="s">
        <v>16</v>
      </c>
    </row>
    <row r="964" spans="1:14" x14ac:dyDescent="0.25">
      <c r="A964" s="9">
        <v>44292</v>
      </c>
      <c r="B964" s="1" t="s">
        <v>22</v>
      </c>
      <c r="C964" s="1">
        <v>15</v>
      </c>
      <c r="D964" s="1">
        <v>3</v>
      </c>
      <c r="E964" s="5">
        <v>49.76</v>
      </c>
      <c r="F964" s="1" t="s">
        <v>18</v>
      </c>
      <c r="G964" s="1" t="s">
        <v>16</v>
      </c>
      <c r="H964" s="1" t="s">
        <v>16</v>
      </c>
      <c r="I964" s="1" t="s">
        <v>16</v>
      </c>
      <c r="J964" s="1" t="s">
        <v>16</v>
      </c>
      <c r="K964" s="1" t="s">
        <v>24</v>
      </c>
      <c r="L964" s="1" t="s">
        <v>17</v>
      </c>
      <c r="M964" s="1" t="s">
        <v>17</v>
      </c>
      <c r="N964" s="1" t="s">
        <v>16</v>
      </c>
    </row>
    <row r="965" spans="1:14" x14ac:dyDescent="0.25">
      <c r="A965" s="9">
        <v>44320</v>
      </c>
      <c r="B965" s="1" t="s">
        <v>22</v>
      </c>
      <c r="C965" s="1">
        <v>1</v>
      </c>
      <c r="D965" s="1">
        <v>1</v>
      </c>
      <c r="E965" s="5">
        <v>59.3</v>
      </c>
      <c r="F965" s="1" t="s">
        <v>18</v>
      </c>
      <c r="G965" s="1">
        <v>2</v>
      </c>
      <c r="H965" s="1" t="s">
        <v>16</v>
      </c>
      <c r="I965" s="1" t="s">
        <v>16</v>
      </c>
      <c r="J965" s="1" t="s">
        <v>16</v>
      </c>
      <c r="K965" s="1" t="s">
        <v>17</v>
      </c>
      <c r="L965" s="1" t="s">
        <v>17</v>
      </c>
      <c r="M965" s="1" t="s">
        <v>17</v>
      </c>
      <c r="N965" s="1" t="s">
        <v>16</v>
      </c>
    </row>
    <row r="966" spans="1:14" x14ac:dyDescent="0.25">
      <c r="A966" s="9">
        <v>44320</v>
      </c>
      <c r="B966" s="1" t="s">
        <v>22</v>
      </c>
      <c r="C966" s="1">
        <v>2</v>
      </c>
      <c r="D966" s="1">
        <v>1</v>
      </c>
      <c r="E966" s="5">
        <v>49.11</v>
      </c>
      <c r="F966" s="1" t="s">
        <v>18</v>
      </c>
      <c r="G966" s="1">
        <v>2</v>
      </c>
      <c r="H966" s="1" t="s">
        <v>16</v>
      </c>
      <c r="I966" s="1" t="s">
        <v>16</v>
      </c>
      <c r="J966" s="1" t="s">
        <v>16</v>
      </c>
      <c r="K966" s="1" t="s">
        <v>21</v>
      </c>
      <c r="L966" s="1" t="s">
        <v>17</v>
      </c>
      <c r="M966" s="1" t="s">
        <v>17</v>
      </c>
      <c r="N966" s="1" t="s">
        <v>16</v>
      </c>
    </row>
    <row r="967" spans="1:14" x14ac:dyDescent="0.25">
      <c r="A967" s="9">
        <v>44320</v>
      </c>
      <c r="B967" s="1" t="s">
        <v>22</v>
      </c>
      <c r="C967" s="1">
        <v>3</v>
      </c>
      <c r="D967" s="1">
        <v>1</v>
      </c>
      <c r="E967" s="5">
        <v>62.47</v>
      </c>
      <c r="F967" s="1" t="s">
        <v>18</v>
      </c>
      <c r="G967" s="1">
        <v>2</v>
      </c>
      <c r="H967" s="1" t="s">
        <v>16</v>
      </c>
      <c r="I967" s="1" t="s">
        <v>16</v>
      </c>
      <c r="J967" s="1" t="s">
        <v>16</v>
      </c>
      <c r="K967" s="1" t="s">
        <v>17</v>
      </c>
      <c r="L967" s="1" t="s">
        <v>17</v>
      </c>
      <c r="M967" s="1" t="s">
        <v>17</v>
      </c>
      <c r="N967" s="1" t="s">
        <v>16</v>
      </c>
    </row>
    <row r="968" spans="1:14" x14ac:dyDescent="0.25">
      <c r="A968" s="9">
        <v>44320</v>
      </c>
      <c r="B968" s="1" t="s">
        <v>22</v>
      </c>
      <c r="C968" s="1">
        <v>4</v>
      </c>
      <c r="D968" s="1">
        <v>1</v>
      </c>
      <c r="E968" s="5">
        <v>44.27</v>
      </c>
      <c r="F968" s="1" t="s">
        <v>18</v>
      </c>
      <c r="G968" s="1">
        <v>2</v>
      </c>
      <c r="H968" s="1" t="s">
        <v>16</v>
      </c>
      <c r="I968" s="1" t="s">
        <v>16</v>
      </c>
      <c r="J968" s="1" t="s">
        <v>16</v>
      </c>
      <c r="K968" s="1" t="s">
        <v>17</v>
      </c>
      <c r="L968" s="1" t="s">
        <v>17</v>
      </c>
      <c r="M968" s="1" t="s">
        <v>17</v>
      </c>
      <c r="N968" s="1" t="s">
        <v>16</v>
      </c>
    </row>
    <row r="969" spans="1:14" x14ac:dyDescent="0.25">
      <c r="A969" s="9">
        <v>44320</v>
      </c>
      <c r="B969" s="1" t="s">
        <v>22</v>
      </c>
      <c r="C969" s="1">
        <v>5</v>
      </c>
      <c r="D969" s="1">
        <v>1</v>
      </c>
      <c r="E969" s="5">
        <v>59.51</v>
      </c>
      <c r="F969" s="1" t="s">
        <v>18</v>
      </c>
      <c r="G969" s="1">
        <v>2</v>
      </c>
      <c r="H969" s="1" t="s">
        <v>16</v>
      </c>
      <c r="I969" s="1" t="s">
        <v>16</v>
      </c>
      <c r="J969" s="1" t="s">
        <v>16</v>
      </c>
      <c r="K969" s="1" t="s">
        <v>17</v>
      </c>
      <c r="L969" s="1" t="s">
        <v>17</v>
      </c>
      <c r="M969" s="1" t="s">
        <v>17</v>
      </c>
      <c r="N969" s="1" t="s">
        <v>16</v>
      </c>
    </row>
    <row r="970" spans="1:14" x14ac:dyDescent="0.25">
      <c r="A970" s="9">
        <v>44320</v>
      </c>
      <c r="B970" s="1" t="s">
        <v>22</v>
      </c>
      <c r="C970" s="1">
        <v>6</v>
      </c>
      <c r="D970" s="1">
        <v>2</v>
      </c>
      <c r="E970" s="5">
        <v>53.48</v>
      </c>
      <c r="F970" s="1" t="s">
        <v>18</v>
      </c>
      <c r="G970" s="1">
        <v>2</v>
      </c>
      <c r="H970" s="1" t="s">
        <v>16</v>
      </c>
      <c r="I970" s="1" t="s">
        <v>16</v>
      </c>
      <c r="J970" s="1" t="s">
        <v>16</v>
      </c>
      <c r="K970" s="1" t="s">
        <v>17</v>
      </c>
      <c r="L970" s="1" t="s">
        <v>17</v>
      </c>
      <c r="M970" s="1" t="s">
        <v>17</v>
      </c>
      <c r="N970" s="1" t="s">
        <v>16</v>
      </c>
    </row>
    <row r="971" spans="1:14" x14ac:dyDescent="0.25">
      <c r="A971" s="9">
        <v>44320</v>
      </c>
      <c r="B971" s="1" t="s">
        <v>22</v>
      </c>
      <c r="C971" s="1">
        <v>7</v>
      </c>
      <c r="D971" s="1">
        <v>2</v>
      </c>
      <c r="E971" s="5">
        <v>58.71</v>
      </c>
      <c r="F971" s="1" t="s">
        <v>19</v>
      </c>
      <c r="G971" s="1">
        <v>2</v>
      </c>
      <c r="H971" s="1" t="s">
        <v>16</v>
      </c>
      <c r="I971" s="1" t="s">
        <v>16</v>
      </c>
      <c r="J971" s="1" t="s">
        <v>16</v>
      </c>
      <c r="K971" s="1" t="s">
        <v>17</v>
      </c>
      <c r="L971" s="1" t="s">
        <v>17</v>
      </c>
      <c r="M971" s="1" t="s">
        <v>17</v>
      </c>
      <c r="N971" s="1" t="s">
        <v>16</v>
      </c>
    </row>
    <row r="972" spans="1:14" x14ac:dyDescent="0.25">
      <c r="A972" s="9">
        <v>44320</v>
      </c>
      <c r="B972" s="1" t="s">
        <v>22</v>
      </c>
      <c r="C972" s="1">
        <v>8</v>
      </c>
      <c r="D972" s="1">
        <v>2</v>
      </c>
      <c r="E972" s="5">
        <v>53.59</v>
      </c>
      <c r="F972" s="1" t="s">
        <v>18</v>
      </c>
      <c r="G972" s="1">
        <v>2</v>
      </c>
      <c r="H972" s="1" t="s">
        <v>16</v>
      </c>
      <c r="I972" s="1" t="s">
        <v>16</v>
      </c>
      <c r="J972" s="1" t="s">
        <v>16</v>
      </c>
      <c r="K972" s="1" t="s">
        <v>17</v>
      </c>
      <c r="L972" s="1" t="s">
        <v>17</v>
      </c>
      <c r="M972" s="1" t="s">
        <v>17</v>
      </c>
      <c r="N972" s="1" t="s">
        <v>16</v>
      </c>
    </row>
    <row r="973" spans="1:14" x14ac:dyDescent="0.25">
      <c r="A973" s="9">
        <v>44320</v>
      </c>
      <c r="B973" s="1" t="s">
        <v>22</v>
      </c>
      <c r="C973" s="1">
        <v>9</v>
      </c>
      <c r="D973" s="1">
        <v>2</v>
      </c>
      <c r="E973" s="5">
        <v>47.93</v>
      </c>
      <c r="F973" s="1" t="s">
        <v>19</v>
      </c>
      <c r="G973" s="1">
        <v>1</v>
      </c>
      <c r="H973" s="1" t="s">
        <v>16</v>
      </c>
      <c r="I973" s="1" t="s">
        <v>16</v>
      </c>
      <c r="J973" s="1" t="s">
        <v>16</v>
      </c>
      <c r="K973" s="1" t="s">
        <v>17</v>
      </c>
      <c r="L973" s="1" t="s">
        <v>17</v>
      </c>
      <c r="M973" s="1" t="s">
        <v>17</v>
      </c>
      <c r="N973" s="1" t="s">
        <v>16</v>
      </c>
    </row>
    <row r="974" spans="1:14" x14ac:dyDescent="0.25">
      <c r="A974" s="9">
        <v>44320</v>
      </c>
      <c r="B974" s="1" t="s">
        <v>22</v>
      </c>
      <c r="C974" s="1">
        <v>10</v>
      </c>
      <c r="D974" s="1">
        <v>2</v>
      </c>
      <c r="E974" s="5">
        <v>53.01</v>
      </c>
      <c r="F974" s="1" t="s">
        <v>19</v>
      </c>
      <c r="G974" s="1">
        <v>2</v>
      </c>
      <c r="H974" s="1" t="s">
        <v>16</v>
      </c>
      <c r="I974" s="1" t="s">
        <v>16</v>
      </c>
      <c r="J974" s="1" t="s">
        <v>16</v>
      </c>
      <c r="K974" s="1" t="s">
        <v>17</v>
      </c>
      <c r="L974" s="1" t="s">
        <v>17</v>
      </c>
      <c r="M974" s="1" t="s">
        <v>17</v>
      </c>
      <c r="N974" s="1" t="s">
        <v>16</v>
      </c>
    </row>
    <row r="975" spans="1:14" x14ac:dyDescent="0.25">
      <c r="A975" s="9">
        <v>44320</v>
      </c>
      <c r="B975" s="1" t="s">
        <v>22</v>
      </c>
      <c r="C975" s="1">
        <v>11</v>
      </c>
      <c r="D975" s="1">
        <v>3</v>
      </c>
      <c r="E975" s="5">
        <v>48.21</v>
      </c>
      <c r="F975" s="1" t="s">
        <v>18</v>
      </c>
      <c r="G975" s="1">
        <v>2</v>
      </c>
      <c r="H975" s="1" t="s">
        <v>16</v>
      </c>
      <c r="I975" s="1" t="s">
        <v>16</v>
      </c>
      <c r="J975" s="1" t="s">
        <v>16</v>
      </c>
      <c r="K975" s="1" t="s">
        <v>17</v>
      </c>
      <c r="L975" s="1" t="s">
        <v>17</v>
      </c>
      <c r="M975" s="1" t="s">
        <v>17</v>
      </c>
      <c r="N975" s="1" t="s">
        <v>16</v>
      </c>
    </row>
    <row r="976" spans="1:14" x14ac:dyDescent="0.25">
      <c r="A976" s="9">
        <v>44320</v>
      </c>
      <c r="B976" s="1" t="s">
        <v>22</v>
      </c>
      <c r="C976" s="1">
        <v>12</v>
      </c>
      <c r="D976" s="1">
        <v>3</v>
      </c>
      <c r="E976" s="5">
        <v>57.35</v>
      </c>
      <c r="F976" s="1" t="s">
        <v>16</v>
      </c>
      <c r="G976" s="1" t="s">
        <v>16</v>
      </c>
      <c r="H976" s="1" t="s">
        <v>16</v>
      </c>
      <c r="I976" s="1" t="s">
        <v>16</v>
      </c>
      <c r="J976" s="1" t="s">
        <v>16</v>
      </c>
      <c r="K976" s="1" t="s">
        <v>17</v>
      </c>
      <c r="L976" s="1" t="s">
        <v>17</v>
      </c>
      <c r="M976" s="1" t="s">
        <v>21</v>
      </c>
      <c r="N976" s="1" t="s">
        <v>16</v>
      </c>
    </row>
    <row r="977" spans="1:14" x14ac:dyDescent="0.25">
      <c r="A977" s="9">
        <v>44320</v>
      </c>
      <c r="B977" s="1" t="s">
        <v>22</v>
      </c>
      <c r="C977" s="1">
        <v>13</v>
      </c>
      <c r="D977" s="1">
        <v>3</v>
      </c>
      <c r="E977" s="5">
        <v>33.03</v>
      </c>
      <c r="F977" s="1" t="s">
        <v>19</v>
      </c>
      <c r="G977" s="1">
        <v>2</v>
      </c>
      <c r="H977" s="1" t="s">
        <v>16</v>
      </c>
      <c r="I977" s="1" t="s">
        <v>16</v>
      </c>
      <c r="J977" s="1" t="s">
        <v>16</v>
      </c>
      <c r="K977" s="1" t="s">
        <v>17</v>
      </c>
      <c r="L977" s="1" t="s">
        <v>17</v>
      </c>
      <c r="M977" s="1" t="s">
        <v>17</v>
      </c>
      <c r="N977" s="1" t="s">
        <v>16</v>
      </c>
    </row>
    <row r="978" spans="1:14" x14ac:dyDescent="0.25">
      <c r="A978" s="9">
        <v>44320</v>
      </c>
      <c r="B978" s="1" t="s">
        <v>22</v>
      </c>
      <c r="C978" s="1">
        <v>14</v>
      </c>
      <c r="D978" s="1">
        <v>3</v>
      </c>
      <c r="E978" s="5">
        <v>45.24</v>
      </c>
      <c r="F978" s="1" t="s">
        <v>19</v>
      </c>
      <c r="G978" s="1">
        <v>2</v>
      </c>
      <c r="H978" s="1" t="s">
        <v>16</v>
      </c>
      <c r="I978" s="1" t="s">
        <v>16</v>
      </c>
      <c r="J978" s="1" t="s">
        <v>16</v>
      </c>
      <c r="K978" s="1" t="s">
        <v>17</v>
      </c>
      <c r="L978" s="1" t="s">
        <v>17</v>
      </c>
      <c r="M978" s="1" t="s">
        <v>17</v>
      </c>
      <c r="N978" s="1" t="s">
        <v>16</v>
      </c>
    </row>
    <row r="979" spans="1:14" x14ac:dyDescent="0.25">
      <c r="A979" s="9">
        <v>44320</v>
      </c>
      <c r="B979" s="1" t="s">
        <v>22</v>
      </c>
      <c r="C979" s="1">
        <v>15</v>
      </c>
      <c r="D979" s="1">
        <v>3</v>
      </c>
      <c r="E979" s="5">
        <v>65.17</v>
      </c>
      <c r="F979" s="1" t="s">
        <v>18</v>
      </c>
      <c r="G979" s="1">
        <v>2</v>
      </c>
      <c r="H979" s="1" t="s">
        <v>16</v>
      </c>
      <c r="I979" s="1" t="s">
        <v>16</v>
      </c>
      <c r="J979" s="1" t="s">
        <v>16</v>
      </c>
      <c r="K979" s="1" t="s">
        <v>17</v>
      </c>
      <c r="L979" s="1" t="s">
        <v>17</v>
      </c>
      <c r="M979" s="1" t="s">
        <v>17</v>
      </c>
      <c r="N979" s="1" t="s">
        <v>16</v>
      </c>
    </row>
    <row r="980" spans="1:14" x14ac:dyDescent="0.25">
      <c r="A980" s="9">
        <v>44354</v>
      </c>
      <c r="B980" s="1" t="s">
        <v>22</v>
      </c>
      <c r="C980" s="1">
        <v>1</v>
      </c>
      <c r="D980" s="1">
        <v>1</v>
      </c>
      <c r="E980" s="5">
        <v>63.77</v>
      </c>
      <c r="F980" s="1" t="s">
        <v>18</v>
      </c>
      <c r="G980" s="1">
        <v>3</v>
      </c>
      <c r="H980" s="1" t="s">
        <v>16</v>
      </c>
      <c r="I980" s="1" t="s">
        <v>16</v>
      </c>
      <c r="J980" s="1" t="s">
        <v>16</v>
      </c>
      <c r="K980" s="1" t="s">
        <v>17</v>
      </c>
      <c r="L980" s="1" t="s">
        <v>17</v>
      </c>
      <c r="M980" s="1" t="s">
        <v>17</v>
      </c>
      <c r="N980" s="1" t="s">
        <v>16</v>
      </c>
    </row>
    <row r="981" spans="1:14" x14ac:dyDescent="0.25">
      <c r="A981" s="9">
        <v>44354</v>
      </c>
      <c r="B981" s="1" t="s">
        <v>22</v>
      </c>
      <c r="C981" s="1">
        <v>2</v>
      </c>
      <c r="D981" s="1">
        <v>1</v>
      </c>
      <c r="E981" s="5">
        <v>49.25</v>
      </c>
      <c r="F981" s="1" t="s">
        <v>18</v>
      </c>
      <c r="G981" s="1">
        <v>2</v>
      </c>
      <c r="H981" s="1" t="s">
        <v>16</v>
      </c>
      <c r="I981" s="1" t="s">
        <v>16</v>
      </c>
      <c r="J981" s="1" t="s">
        <v>16</v>
      </c>
      <c r="K981" s="1" t="s">
        <v>17</v>
      </c>
      <c r="L981" s="1" t="s">
        <v>17</v>
      </c>
      <c r="M981" s="1" t="s">
        <v>17</v>
      </c>
      <c r="N981" s="1" t="s">
        <v>16</v>
      </c>
    </row>
    <row r="982" spans="1:14" x14ac:dyDescent="0.25">
      <c r="A982" s="9">
        <v>44354</v>
      </c>
      <c r="B982" s="1" t="s">
        <v>22</v>
      </c>
      <c r="C982" s="1">
        <v>3</v>
      </c>
      <c r="D982" s="1">
        <v>1</v>
      </c>
      <c r="E982" s="5">
        <v>62.32</v>
      </c>
      <c r="F982" s="1" t="s">
        <v>18</v>
      </c>
      <c r="G982" s="1">
        <v>1</v>
      </c>
      <c r="H982" s="1" t="s">
        <v>16</v>
      </c>
      <c r="I982" s="1" t="s">
        <v>16</v>
      </c>
      <c r="J982" s="1" t="s">
        <v>16</v>
      </c>
      <c r="K982" s="1" t="s">
        <v>17</v>
      </c>
      <c r="L982" s="1" t="s">
        <v>17</v>
      </c>
      <c r="M982" s="1" t="s">
        <v>17</v>
      </c>
      <c r="N982" s="1" t="s">
        <v>16</v>
      </c>
    </row>
    <row r="983" spans="1:14" x14ac:dyDescent="0.25">
      <c r="A983" s="9">
        <v>44354</v>
      </c>
      <c r="B983" s="1" t="s">
        <v>22</v>
      </c>
      <c r="C983" s="1">
        <v>4</v>
      </c>
      <c r="D983" s="1">
        <v>1</v>
      </c>
      <c r="E983" s="5">
        <v>54.43</v>
      </c>
      <c r="F983" s="1" t="s">
        <v>19</v>
      </c>
      <c r="G983" s="1">
        <v>2</v>
      </c>
      <c r="H983" s="1" t="s">
        <v>16</v>
      </c>
      <c r="I983" s="1" t="s">
        <v>16</v>
      </c>
      <c r="J983" s="1" t="s">
        <v>16</v>
      </c>
      <c r="K983" s="1" t="s">
        <v>17</v>
      </c>
      <c r="L983" s="1" t="s">
        <v>17</v>
      </c>
      <c r="M983" s="1" t="s">
        <v>17</v>
      </c>
      <c r="N983" s="1" t="s">
        <v>16</v>
      </c>
    </row>
    <row r="984" spans="1:14" x14ac:dyDescent="0.25">
      <c r="A984" s="9">
        <v>44354</v>
      </c>
      <c r="B984" s="1" t="s">
        <v>22</v>
      </c>
      <c r="C984" s="1">
        <v>5</v>
      </c>
      <c r="D984" s="1">
        <v>1</v>
      </c>
      <c r="E984" s="5">
        <v>51.77</v>
      </c>
      <c r="F984" s="1" t="s">
        <v>18</v>
      </c>
      <c r="G984" s="1">
        <v>2</v>
      </c>
      <c r="H984" s="1" t="s">
        <v>16</v>
      </c>
      <c r="I984" s="1" t="s">
        <v>16</v>
      </c>
      <c r="J984" s="1" t="s">
        <v>16</v>
      </c>
      <c r="K984" s="1" t="s">
        <v>17</v>
      </c>
      <c r="L984" s="1" t="s">
        <v>17</v>
      </c>
      <c r="M984" s="1" t="s">
        <v>17</v>
      </c>
      <c r="N984" s="1" t="s">
        <v>16</v>
      </c>
    </row>
    <row r="985" spans="1:14" x14ac:dyDescent="0.25">
      <c r="A985" s="9">
        <v>44354</v>
      </c>
      <c r="B985" s="1" t="s">
        <v>22</v>
      </c>
      <c r="C985" s="1">
        <v>6</v>
      </c>
      <c r="D985" s="1">
        <v>2</v>
      </c>
      <c r="E985" s="5">
        <v>52.41</v>
      </c>
      <c r="F985" s="1" t="s">
        <v>18</v>
      </c>
      <c r="G985" s="1">
        <v>2</v>
      </c>
      <c r="H985" s="1" t="s">
        <v>16</v>
      </c>
      <c r="I985" s="1" t="s">
        <v>16</v>
      </c>
      <c r="J985" s="1" t="s">
        <v>16</v>
      </c>
      <c r="K985" s="1" t="s">
        <v>17</v>
      </c>
      <c r="L985" s="1" t="s">
        <v>17</v>
      </c>
      <c r="M985" s="1" t="s">
        <v>17</v>
      </c>
      <c r="N985" s="1" t="s">
        <v>16</v>
      </c>
    </row>
    <row r="986" spans="1:14" x14ac:dyDescent="0.25">
      <c r="A986" s="9">
        <v>44354</v>
      </c>
      <c r="B986" s="1" t="s">
        <v>22</v>
      </c>
      <c r="C986" s="1">
        <v>7</v>
      </c>
      <c r="D986" s="1">
        <v>2</v>
      </c>
      <c r="E986" s="5">
        <v>57.31</v>
      </c>
      <c r="F986" s="1" t="s">
        <v>18</v>
      </c>
      <c r="G986" s="1">
        <v>2</v>
      </c>
      <c r="H986" s="1" t="s">
        <v>16</v>
      </c>
      <c r="I986" s="1" t="s">
        <v>16</v>
      </c>
      <c r="J986" s="1" t="s">
        <v>16</v>
      </c>
      <c r="K986" s="1" t="s">
        <v>17</v>
      </c>
      <c r="L986" s="1" t="s">
        <v>17</v>
      </c>
      <c r="M986" s="1" t="s">
        <v>17</v>
      </c>
      <c r="N986" s="1" t="s">
        <v>16</v>
      </c>
    </row>
    <row r="987" spans="1:14" x14ac:dyDescent="0.25">
      <c r="A987" s="9">
        <v>44354</v>
      </c>
      <c r="B987" s="1" t="s">
        <v>22</v>
      </c>
      <c r="C987" s="1">
        <v>8</v>
      </c>
      <c r="D987" s="1">
        <v>2</v>
      </c>
      <c r="E987" s="5">
        <v>56.61</v>
      </c>
      <c r="F987" s="1" t="s">
        <v>19</v>
      </c>
      <c r="G987" s="1">
        <v>2</v>
      </c>
      <c r="H987" s="1" t="s">
        <v>16</v>
      </c>
      <c r="I987" s="1" t="s">
        <v>16</v>
      </c>
      <c r="J987" s="1" t="s">
        <v>16</v>
      </c>
      <c r="K987" s="1" t="s">
        <v>17</v>
      </c>
      <c r="L987" s="1" t="s">
        <v>17</v>
      </c>
      <c r="M987" s="1" t="s">
        <v>17</v>
      </c>
      <c r="N987" s="1" t="s">
        <v>16</v>
      </c>
    </row>
    <row r="988" spans="1:14" x14ac:dyDescent="0.25">
      <c r="A988" s="9">
        <v>44354</v>
      </c>
      <c r="B988" s="1" t="s">
        <v>22</v>
      </c>
      <c r="C988" s="1">
        <v>9</v>
      </c>
      <c r="D988" s="1">
        <v>2</v>
      </c>
      <c r="E988" s="5">
        <v>55.07</v>
      </c>
      <c r="F988" s="1" t="s">
        <v>18</v>
      </c>
      <c r="G988" s="1">
        <v>2</v>
      </c>
      <c r="H988" s="1" t="s">
        <v>16</v>
      </c>
      <c r="I988" s="1" t="s">
        <v>16</v>
      </c>
      <c r="J988" s="1" t="s">
        <v>16</v>
      </c>
      <c r="K988" s="1" t="s">
        <v>17</v>
      </c>
      <c r="L988" s="1" t="s">
        <v>17</v>
      </c>
      <c r="M988" s="1" t="s">
        <v>17</v>
      </c>
      <c r="N988" s="1" t="s">
        <v>16</v>
      </c>
    </row>
    <row r="989" spans="1:14" x14ac:dyDescent="0.25">
      <c r="A989" s="9">
        <v>44354</v>
      </c>
      <c r="B989" s="1" t="s">
        <v>22</v>
      </c>
      <c r="C989" s="1">
        <v>10</v>
      </c>
      <c r="D989" s="1">
        <v>2</v>
      </c>
      <c r="E989" s="5">
        <v>63.41</v>
      </c>
      <c r="F989" s="1" t="s">
        <v>19</v>
      </c>
      <c r="G989" s="1">
        <v>2</v>
      </c>
      <c r="H989" s="1" t="s">
        <v>16</v>
      </c>
      <c r="I989" s="1" t="s">
        <v>16</v>
      </c>
      <c r="J989" s="1" t="s">
        <v>16</v>
      </c>
      <c r="K989" s="1" t="s">
        <v>17</v>
      </c>
      <c r="L989" s="1" t="s">
        <v>17</v>
      </c>
      <c r="M989" s="1" t="s">
        <v>17</v>
      </c>
      <c r="N989" s="1" t="s">
        <v>16</v>
      </c>
    </row>
    <row r="990" spans="1:14" x14ac:dyDescent="0.25">
      <c r="A990" s="9">
        <v>44354</v>
      </c>
      <c r="B990" s="1" t="s">
        <v>22</v>
      </c>
      <c r="C990" s="1">
        <v>11</v>
      </c>
      <c r="D990" s="1">
        <v>3</v>
      </c>
      <c r="E990" s="5">
        <v>74.510000000000005</v>
      </c>
      <c r="F990" s="1" t="s">
        <v>18</v>
      </c>
      <c r="G990" s="1">
        <v>2</v>
      </c>
      <c r="H990" s="1" t="s">
        <v>16</v>
      </c>
      <c r="I990" s="1" t="s">
        <v>16</v>
      </c>
      <c r="J990" s="1" t="s">
        <v>16</v>
      </c>
      <c r="K990" s="1" t="s">
        <v>17</v>
      </c>
      <c r="L990" s="1" t="s">
        <v>17</v>
      </c>
      <c r="M990" s="1" t="s">
        <v>17</v>
      </c>
      <c r="N990" s="1" t="s">
        <v>16</v>
      </c>
    </row>
    <row r="991" spans="1:14" x14ac:dyDescent="0.25">
      <c r="A991" s="9">
        <v>44354</v>
      </c>
      <c r="B991" s="1" t="s">
        <v>22</v>
      </c>
      <c r="C991" s="1">
        <v>12</v>
      </c>
      <c r="D991" s="1">
        <v>3</v>
      </c>
      <c r="E991" s="5">
        <v>53.25</v>
      </c>
      <c r="F991" s="1" t="s">
        <v>18</v>
      </c>
      <c r="G991" s="1">
        <v>2</v>
      </c>
      <c r="H991" s="1" t="s">
        <v>16</v>
      </c>
      <c r="I991" s="1" t="s">
        <v>16</v>
      </c>
      <c r="J991" s="1" t="s">
        <v>16</v>
      </c>
      <c r="K991" s="1" t="s">
        <v>17</v>
      </c>
      <c r="L991" s="1" t="s">
        <v>17</v>
      </c>
      <c r="M991" s="1" t="s">
        <v>17</v>
      </c>
      <c r="N991" s="1" t="s">
        <v>16</v>
      </c>
    </row>
    <row r="992" spans="1:14" x14ac:dyDescent="0.25">
      <c r="A992" s="9">
        <v>44354</v>
      </c>
      <c r="B992" s="1" t="s">
        <v>22</v>
      </c>
      <c r="C992" s="1">
        <v>13</v>
      </c>
      <c r="D992" s="1">
        <v>3</v>
      </c>
      <c r="E992" s="5">
        <v>65.52</v>
      </c>
      <c r="F992" s="1" t="s">
        <v>19</v>
      </c>
      <c r="G992" s="1">
        <v>2</v>
      </c>
      <c r="H992" s="1" t="s">
        <v>16</v>
      </c>
      <c r="I992" s="1" t="s">
        <v>16</v>
      </c>
      <c r="J992" s="1" t="s">
        <v>16</v>
      </c>
      <c r="K992" s="1" t="s">
        <v>17</v>
      </c>
      <c r="L992" s="1" t="s">
        <v>17</v>
      </c>
      <c r="M992" s="1" t="s">
        <v>17</v>
      </c>
      <c r="N992" s="1" t="s">
        <v>16</v>
      </c>
    </row>
    <row r="993" spans="1:14" x14ac:dyDescent="0.25">
      <c r="A993" s="9">
        <v>44354</v>
      </c>
      <c r="B993" s="1" t="s">
        <v>22</v>
      </c>
      <c r="C993" s="1">
        <v>14</v>
      </c>
      <c r="D993" s="1">
        <v>3</v>
      </c>
      <c r="E993" s="5">
        <v>46.59</v>
      </c>
      <c r="F993" s="1" t="s">
        <v>18</v>
      </c>
      <c r="G993" s="1">
        <v>2</v>
      </c>
      <c r="H993" s="1" t="s">
        <v>16</v>
      </c>
      <c r="I993" s="1" t="s">
        <v>16</v>
      </c>
      <c r="J993" s="1" t="s">
        <v>16</v>
      </c>
      <c r="K993" s="1" t="s">
        <v>17</v>
      </c>
      <c r="L993" s="1" t="s">
        <v>17</v>
      </c>
      <c r="M993" s="1" t="s">
        <v>17</v>
      </c>
      <c r="N993" s="1" t="s">
        <v>16</v>
      </c>
    </row>
    <row r="994" spans="1:14" x14ac:dyDescent="0.25">
      <c r="A994" s="9">
        <v>44354</v>
      </c>
      <c r="B994" s="1" t="s">
        <v>22</v>
      </c>
      <c r="C994" s="1">
        <v>15</v>
      </c>
      <c r="D994" s="1">
        <v>3</v>
      </c>
      <c r="E994" s="5">
        <v>51.24</v>
      </c>
      <c r="F994" s="1" t="s">
        <v>18</v>
      </c>
      <c r="G994" s="1">
        <v>2</v>
      </c>
      <c r="H994" s="1" t="s">
        <v>16</v>
      </c>
      <c r="I994" s="1" t="s">
        <v>16</v>
      </c>
      <c r="J994" s="1" t="s">
        <v>16</v>
      </c>
      <c r="K994" s="1" t="s">
        <v>17</v>
      </c>
      <c r="L994" s="1" t="s">
        <v>17</v>
      </c>
      <c r="M994" s="1" t="s">
        <v>17</v>
      </c>
      <c r="N994" s="1" t="s">
        <v>16</v>
      </c>
    </row>
    <row r="995" spans="1:14" x14ac:dyDescent="0.25">
      <c r="A995" s="9">
        <v>44389</v>
      </c>
      <c r="B995" s="1" t="s">
        <v>22</v>
      </c>
      <c r="C995" s="1">
        <v>1</v>
      </c>
      <c r="D995" s="1">
        <v>1</v>
      </c>
      <c r="E995" s="5">
        <v>66.27</v>
      </c>
      <c r="F995" s="1" t="s">
        <v>18</v>
      </c>
      <c r="G995" s="1">
        <v>2</v>
      </c>
      <c r="H995" s="1" t="s">
        <v>16</v>
      </c>
      <c r="I995" s="1" t="s">
        <v>16</v>
      </c>
      <c r="J995" s="1" t="s">
        <v>16</v>
      </c>
      <c r="K995" s="1" t="s">
        <v>21</v>
      </c>
      <c r="L995" s="1" t="s">
        <v>17</v>
      </c>
      <c r="M995" s="1" t="s">
        <v>17</v>
      </c>
      <c r="N995" s="1" t="s">
        <v>16</v>
      </c>
    </row>
    <row r="996" spans="1:14" x14ac:dyDescent="0.25">
      <c r="A996" s="9">
        <v>44389</v>
      </c>
      <c r="B996" s="1" t="s">
        <v>22</v>
      </c>
      <c r="C996" s="1">
        <v>2</v>
      </c>
      <c r="D996" s="1">
        <v>1</v>
      </c>
      <c r="E996" s="5">
        <v>61.72</v>
      </c>
      <c r="F996" s="1" t="s">
        <v>18</v>
      </c>
      <c r="G996" s="1">
        <v>2</v>
      </c>
      <c r="H996" s="1" t="s">
        <v>16</v>
      </c>
      <c r="I996" s="1" t="s">
        <v>16</v>
      </c>
      <c r="J996" s="1" t="s">
        <v>16</v>
      </c>
      <c r="K996" s="1" t="s">
        <v>17</v>
      </c>
      <c r="L996" s="1" t="s">
        <v>17</v>
      </c>
      <c r="M996" s="1" t="s">
        <v>17</v>
      </c>
      <c r="N996" s="1" t="s">
        <v>16</v>
      </c>
    </row>
    <row r="997" spans="1:14" x14ac:dyDescent="0.25">
      <c r="A997" s="9">
        <v>44389</v>
      </c>
      <c r="B997" s="1" t="s">
        <v>22</v>
      </c>
      <c r="C997" s="1">
        <v>3</v>
      </c>
      <c r="D997" s="1">
        <v>1</v>
      </c>
      <c r="E997" s="5">
        <v>73.75</v>
      </c>
      <c r="F997" s="1" t="s">
        <v>18</v>
      </c>
      <c r="G997" s="1">
        <v>2</v>
      </c>
      <c r="H997" s="1" t="s">
        <v>16</v>
      </c>
      <c r="I997" s="1" t="s">
        <v>16</v>
      </c>
      <c r="J997" s="1" t="s">
        <v>16</v>
      </c>
      <c r="K997" s="1" t="s">
        <v>21</v>
      </c>
      <c r="L997" s="1" t="s">
        <v>17</v>
      </c>
      <c r="M997" s="1" t="s">
        <v>17</v>
      </c>
      <c r="N997" s="1" t="s">
        <v>16</v>
      </c>
    </row>
    <row r="998" spans="1:14" x14ac:dyDescent="0.25">
      <c r="A998" s="9">
        <v>44389</v>
      </c>
      <c r="B998" s="1" t="s">
        <v>22</v>
      </c>
      <c r="C998" s="1">
        <v>4</v>
      </c>
      <c r="D998" s="1">
        <v>1</v>
      </c>
      <c r="E998" s="5">
        <v>67.2</v>
      </c>
      <c r="F998" s="1" t="s">
        <v>18</v>
      </c>
      <c r="G998" s="1">
        <v>2</v>
      </c>
      <c r="H998" s="1" t="s">
        <v>16</v>
      </c>
      <c r="I998" s="1" t="s">
        <v>16</v>
      </c>
      <c r="J998" s="1" t="s">
        <v>16</v>
      </c>
      <c r="K998" s="1" t="s">
        <v>17</v>
      </c>
      <c r="L998" s="1" t="s">
        <v>17</v>
      </c>
      <c r="M998" s="1" t="s">
        <v>17</v>
      </c>
      <c r="N998" s="1" t="s">
        <v>16</v>
      </c>
    </row>
    <row r="999" spans="1:14" x14ac:dyDescent="0.25">
      <c r="A999" s="9">
        <v>44389</v>
      </c>
      <c r="B999" s="1" t="s">
        <v>22</v>
      </c>
      <c r="C999" s="1">
        <v>5</v>
      </c>
      <c r="D999" s="1">
        <v>1</v>
      </c>
      <c r="E999" s="5">
        <v>78.87</v>
      </c>
      <c r="F999" s="1" t="s">
        <v>18</v>
      </c>
      <c r="G999" s="1">
        <v>2</v>
      </c>
      <c r="H999" s="1" t="s">
        <v>16</v>
      </c>
      <c r="I999" s="1" t="s">
        <v>16</v>
      </c>
      <c r="J999" s="1" t="s">
        <v>16</v>
      </c>
      <c r="K999" s="1" t="s">
        <v>17</v>
      </c>
      <c r="L999" s="1" t="s">
        <v>17</v>
      </c>
      <c r="M999" s="1" t="s">
        <v>17</v>
      </c>
      <c r="N999" s="1" t="s">
        <v>16</v>
      </c>
    </row>
    <row r="1000" spans="1:14" x14ac:dyDescent="0.25">
      <c r="A1000" s="9">
        <v>44389</v>
      </c>
      <c r="B1000" s="1" t="s">
        <v>22</v>
      </c>
      <c r="C1000" s="1">
        <v>6</v>
      </c>
      <c r="D1000" s="1">
        <v>2</v>
      </c>
      <c r="E1000" s="5">
        <v>49.38</v>
      </c>
      <c r="F1000" s="1" t="s">
        <v>18</v>
      </c>
      <c r="G1000" s="1">
        <v>2</v>
      </c>
      <c r="H1000" s="1" t="s">
        <v>16</v>
      </c>
      <c r="I1000" s="1" t="s">
        <v>16</v>
      </c>
      <c r="J1000" s="1" t="s">
        <v>16</v>
      </c>
      <c r="K1000" s="1" t="s">
        <v>17</v>
      </c>
      <c r="L1000" s="1" t="s">
        <v>17</v>
      </c>
      <c r="M1000" s="1" t="s">
        <v>17</v>
      </c>
      <c r="N1000" s="1" t="s">
        <v>16</v>
      </c>
    </row>
    <row r="1001" spans="1:14" x14ac:dyDescent="0.25">
      <c r="A1001" s="9">
        <v>44389</v>
      </c>
      <c r="B1001" s="1" t="s">
        <v>22</v>
      </c>
      <c r="C1001" s="1">
        <v>7</v>
      </c>
      <c r="D1001" s="1">
        <v>2</v>
      </c>
      <c r="E1001" s="5">
        <v>72.55</v>
      </c>
      <c r="F1001" s="1" t="s">
        <v>18</v>
      </c>
      <c r="G1001" s="1">
        <v>2</v>
      </c>
      <c r="H1001" s="1" t="s">
        <v>16</v>
      </c>
      <c r="I1001" s="1" t="s">
        <v>16</v>
      </c>
      <c r="J1001" s="1" t="s">
        <v>16</v>
      </c>
      <c r="K1001" s="1" t="s">
        <v>17</v>
      </c>
      <c r="L1001" s="1" t="s">
        <v>17</v>
      </c>
      <c r="M1001" s="1" t="s">
        <v>17</v>
      </c>
      <c r="N1001" s="1" t="s">
        <v>16</v>
      </c>
    </row>
    <row r="1002" spans="1:14" x14ac:dyDescent="0.25">
      <c r="A1002" s="9">
        <v>44389</v>
      </c>
      <c r="B1002" s="1" t="s">
        <v>22</v>
      </c>
      <c r="C1002" s="1">
        <v>8</v>
      </c>
      <c r="D1002" s="1">
        <v>2</v>
      </c>
      <c r="E1002" s="5">
        <v>68.900000000000006</v>
      </c>
      <c r="F1002" s="1" t="s">
        <v>18</v>
      </c>
      <c r="G1002" s="1">
        <v>1</v>
      </c>
      <c r="H1002" s="1" t="s">
        <v>16</v>
      </c>
      <c r="I1002" s="1" t="s">
        <v>16</v>
      </c>
      <c r="J1002" s="1" t="s">
        <v>16</v>
      </c>
      <c r="K1002" s="1" t="s">
        <v>17</v>
      </c>
      <c r="L1002" s="1" t="s">
        <v>17</v>
      </c>
      <c r="M1002" s="1" t="s">
        <v>17</v>
      </c>
      <c r="N1002" s="1" t="s">
        <v>16</v>
      </c>
    </row>
    <row r="1003" spans="1:14" x14ac:dyDescent="0.25">
      <c r="A1003" s="9">
        <v>44389</v>
      </c>
      <c r="B1003" s="1" t="s">
        <v>22</v>
      </c>
      <c r="C1003" s="1">
        <v>9</v>
      </c>
      <c r="D1003" s="1">
        <v>2</v>
      </c>
      <c r="E1003" s="5">
        <v>58.43</v>
      </c>
      <c r="F1003" s="1" t="s">
        <v>18</v>
      </c>
      <c r="G1003" s="1">
        <v>2</v>
      </c>
      <c r="H1003" s="1" t="s">
        <v>16</v>
      </c>
      <c r="I1003" s="1" t="s">
        <v>16</v>
      </c>
      <c r="J1003" s="1" t="s">
        <v>16</v>
      </c>
      <c r="K1003" s="1" t="s">
        <v>17</v>
      </c>
      <c r="L1003" s="1" t="s">
        <v>17</v>
      </c>
      <c r="M1003" s="1" t="s">
        <v>17</v>
      </c>
      <c r="N1003" s="1" t="s">
        <v>16</v>
      </c>
    </row>
    <row r="1004" spans="1:14" x14ac:dyDescent="0.25">
      <c r="A1004" s="9">
        <v>44389</v>
      </c>
      <c r="B1004" s="1" t="s">
        <v>22</v>
      </c>
      <c r="C1004" s="1">
        <v>10</v>
      </c>
      <c r="D1004" s="1">
        <v>2</v>
      </c>
      <c r="E1004" s="5">
        <v>58.2</v>
      </c>
      <c r="F1004" s="1" t="s">
        <v>18</v>
      </c>
      <c r="G1004" s="1">
        <v>2</v>
      </c>
      <c r="H1004" s="1" t="s">
        <v>16</v>
      </c>
      <c r="I1004" s="1" t="s">
        <v>16</v>
      </c>
      <c r="J1004" s="1" t="s">
        <v>16</v>
      </c>
      <c r="K1004" s="1" t="s">
        <v>17</v>
      </c>
      <c r="L1004" s="1" t="s">
        <v>17</v>
      </c>
      <c r="M1004" s="1" t="s">
        <v>17</v>
      </c>
      <c r="N1004" s="1" t="s">
        <v>16</v>
      </c>
    </row>
    <row r="1005" spans="1:14" x14ac:dyDescent="0.25">
      <c r="A1005" s="9">
        <v>44389</v>
      </c>
      <c r="B1005" s="1" t="s">
        <v>22</v>
      </c>
      <c r="C1005" s="1">
        <v>11</v>
      </c>
      <c r="D1005" s="1">
        <v>3</v>
      </c>
      <c r="E1005" s="5">
        <v>45.78</v>
      </c>
      <c r="F1005" s="1" t="s">
        <v>18</v>
      </c>
      <c r="G1005" s="1">
        <v>2</v>
      </c>
      <c r="H1005" s="1" t="s">
        <v>16</v>
      </c>
      <c r="I1005" s="1" t="s">
        <v>16</v>
      </c>
      <c r="J1005" s="1" t="s">
        <v>16</v>
      </c>
      <c r="K1005" s="1" t="s">
        <v>17</v>
      </c>
      <c r="L1005" s="1" t="s">
        <v>17</v>
      </c>
      <c r="M1005" s="1" t="s">
        <v>17</v>
      </c>
      <c r="N1005" s="1" t="s">
        <v>16</v>
      </c>
    </row>
    <row r="1006" spans="1:14" x14ac:dyDescent="0.25">
      <c r="A1006" s="9">
        <v>44389</v>
      </c>
      <c r="B1006" s="1" t="s">
        <v>22</v>
      </c>
      <c r="C1006" s="1">
        <v>12</v>
      </c>
      <c r="D1006" s="1">
        <v>3</v>
      </c>
      <c r="E1006" s="5">
        <v>61.68</v>
      </c>
      <c r="F1006" s="1" t="s">
        <v>18</v>
      </c>
      <c r="G1006" s="1">
        <v>2</v>
      </c>
      <c r="H1006" s="1" t="s">
        <v>16</v>
      </c>
      <c r="I1006" s="1" t="s">
        <v>16</v>
      </c>
      <c r="J1006" s="1" t="s">
        <v>16</v>
      </c>
      <c r="K1006" s="1" t="s">
        <v>17</v>
      </c>
      <c r="L1006" s="1" t="s">
        <v>17</v>
      </c>
      <c r="M1006" s="1" t="s">
        <v>17</v>
      </c>
      <c r="N1006" s="1" t="s">
        <v>16</v>
      </c>
    </row>
    <row r="1007" spans="1:14" x14ac:dyDescent="0.25">
      <c r="A1007" s="9">
        <v>44389</v>
      </c>
      <c r="B1007" s="1" t="s">
        <v>22</v>
      </c>
      <c r="C1007" s="1">
        <v>13</v>
      </c>
      <c r="D1007" s="1">
        <v>3</v>
      </c>
      <c r="E1007" s="5">
        <v>73.06</v>
      </c>
      <c r="F1007" s="1" t="s">
        <v>18</v>
      </c>
      <c r="G1007" s="1">
        <v>2</v>
      </c>
      <c r="H1007" s="1" t="s">
        <v>16</v>
      </c>
      <c r="I1007" s="1" t="s">
        <v>16</v>
      </c>
      <c r="J1007" s="1" t="s">
        <v>16</v>
      </c>
      <c r="K1007" s="1" t="s">
        <v>17</v>
      </c>
      <c r="L1007" s="1" t="s">
        <v>17</v>
      </c>
      <c r="M1007" s="1" t="s">
        <v>17</v>
      </c>
      <c r="N1007" s="1" t="s">
        <v>16</v>
      </c>
    </row>
    <row r="1008" spans="1:14" x14ac:dyDescent="0.25">
      <c r="A1008" s="9">
        <v>44389</v>
      </c>
      <c r="B1008" s="1" t="s">
        <v>22</v>
      </c>
      <c r="C1008" s="1">
        <v>14</v>
      </c>
      <c r="D1008" s="1">
        <v>3</v>
      </c>
      <c r="E1008" s="5">
        <v>67.680000000000007</v>
      </c>
      <c r="F1008" s="1" t="s">
        <v>18</v>
      </c>
      <c r="G1008" s="1">
        <v>2</v>
      </c>
      <c r="H1008" s="1" t="s">
        <v>16</v>
      </c>
      <c r="I1008" s="1" t="s">
        <v>16</v>
      </c>
      <c r="J1008" s="1" t="s">
        <v>16</v>
      </c>
      <c r="K1008" s="1" t="s">
        <v>17</v>
      </c>
      <c r="L1008" s="1" t="s">
        <v>17</v>
      </c>
      <c r="M1008" s="1" t="s">
        <v>17</v>
      </c>
      <c r="N1008" s="1" t="s">
        <v>16</v>
      </c>
    </row>
    <row r="1009" spans="1:14" x14ac:dyDescent="0.25">
      <c r="A1009" s="9">
        <v>44389</v>
      </c>
      <c r="B1009" s="1" t="s">
        <v>22</v>
      </c>
      <c r="C1009" s="1">
        <v>15</v>
      </c>
      <c r="D1009" s="1">
        <v>3</v>
      </c>
      <c r="E1009" s="5">
        <v>63.94</v>
      </c>
      <c r="F1009" s="1" t="s">
        <v>18</v>
      </c>
      <c r="G1009" s="1">
        <v>2</v>
      </c>
      <c r="H1009" s="1" t="s">
        <v>16</v>
      </c>
      <c r="I1009" s="1" t="s">
        <v>16</v>
      </c>
      <c r="J1009" s="1" t="s">
        <v>16</v>
      </c>
      <c r="K1009" s="1" t="s">
        <v>17</v>
      </c>
      <c r="L1009" s="1" t="s">
        <v>17</v>
      </c>
      <c r="M1009" s="1" t="s">
        <v>17</v>
      </c>
      <c r="N1009" s="1" t="s">
        <v>16</v>
      </c>
    </row>
    <row r="1010" spans="1:14" x14ac:dyDescent="0.25">
      <c r="A1010" s="9">
        <v>44411</v>
      </c>
      <c r="B1010" s="1" t="s">
        <v>22</v>
      </c>
      <c r="C1010" s="1">
        <v>1</v>
      </c>
      <c r="D1010" s="1">
        <v>1</v>
      </c>
      <c r="E1010" s="5">
        <v>52.73</v>
      </c>
      <c r="F1010" s="1" t="s">
        <v>18</v>
      </c>
      <c r="G1010" s="1">
        <v>3</v>
      </c>
      <c r="H1010" s="1" t="s">
        <v>16</v>
      </c>
      <c r="I1010" s="1" t="s">
        <v>16</v>
      </c>
      <c r="J1010" s="1" t="s">
        <v>16</v>
      </c>
      <c r="K1010" s="1" t="s">
        <v>21</v>
      </c>
      <c r="L1010" s="1" t="s">
        <v>17</v>
      </c>
      <c r="M1010" s="1" t="s">
        <v>17</v>
      </c>
      <c r="N1010" s="1" t="s">
        <v>16</v>
      </c>
    </row>
    <row r="1011" spans="1:14" x14ac:dyDescent="0.25">
      <c r="A1011" s="9">
        <v>44411</v>
      </c>
      <c r="B1011" s="1" t="s">
        <v>22</v>
      </c>
      <c r="C1011" s="1">
        <v>2</v>
      </c>
      <c r="D1011" s="1">
        <v>1</v>
      </c>
      <c r="E1011" s="5">
        <v>40.17</v>
      </c>
      <c r="F1011" s="1" t="s">
        <v>18</v>
      </c>
      <c r="G1011" s="1">
        <v>2</v>
      </c>
      <c r="H1011" s="1" t="s">
        <v>16</v>
      </c>
      <c r="I1011" s="1" t="s">
        <v>16</v>
      </c>
      <c r="J1011" s="1" t="s">
        <v>16</v>
      </c>
      <c r="K1011" s="1" t="s">
        <v>17</v>
      </c>
      <c r="L1011" s="1" t="s">
        <v>17</v>
      </c>
      <c r="M1011" s="1" t="s">
        <v>17</v>
      </c>
      <c r="N1011" s="1" t="s">
        <v>16</v>
      </c>
    </row>
    <row r="1012" spans="1:14" x14ac:dyDescent="0.25">
      <c r="A1012" s="9">
        <v>44411</v>
      </c>
      <c r="B1012" s="1" t="s">
        <v>22</v>
      </c>
      <c r="C1012" s="1">
        <v>3</v>
      </c>
      <c r="D1012" s="1">
        <v>1</v>
      </c>
      <c r="E1012" s="5">
        <v>56.57</v>
      </c>
      <c r="F1012" s="1" t="s">
        <v>18</v>
      </c>
      <c r="G1012" s="1">
        <v>3</v>
      </c>
      <c r="H1012" s="1" t="s">
        <v>16</v>
      </c>
      <c r="I1012" s="1" t="s">
        <v>16</v>
      </c>
      <c r="J1012" s="1" t="s">
        <v>16</v>
      </c>
      <c r="K1012" s="1" t="s">
        <v>17</v>
      </c>
      <c r="L1012" s="1" t="s">
        <v>17</v>
      </c>
      <c r="M1012" s="1" t="s">
        <v>17</v>
      </c>
      <c r="N1012" s="1" t="s">
        <v>16</v>
      </c>
    </row>
    <row r="1013" spans="1:14" x14ac:dyDescent="0.25">
      <c r="A1013" s="9">
        <v>44411</v>
      </c>
      <c r="B1013" s="1" t="s">
        <v>22</v>
      </c>
      <c r="C1013" s="1">
        <v>4</v>
      </c>
      <c r="D1013" s="1">
        <v>1</v>
      </c>
      <c r="E1013" s="5">
        <v>48.99</v>
      </c>
      <c r="F1013" s="1" t="s">
        <v>18</v>
      </c>
      <c r="G1013" s="1">
        <v>2</v>
      </c>
      <c r="H1013" s="1" t="s">
        <v>16</v>
      </c>
      <c r="I1013" s="1" t="s">
        <v>16</v>
      </c>
      <c r="J1013" s="1" t="s">
        <v>16</v>
      </c>
      <c r="K1013" s="1" t="s">
        <v>17</v>
      </c>
      <c r="L1013" s="1" t="s">
        <v>17</v>
      </c>
      <c r="M1013" s="1" t="s">
        <v>17</v>
      </c>
      <c r="N1013" s="1" t="s">
        <v>16</v>
      </c>
    </row>
    <row r="1014" spans="1:14" x14ac:dyDescent="0.25">
      <c r="A1014" s="9">
        <v>44411</v>
      </c>
      <c r="B1014" s="1" t="s">
        <v>22</v>
      </c>
      <c r="C1014" s="1">
        <v>5</v>
      </c>
      <c r="D1014" s="1">
        <v>1</v>
      </c>
      <c r="E1014" s="5">
        <v>59.37</v>
      </c>
      <c r="F1014" s="1" t="s">
        <v>18</v>
      </c>
      <c r="G1014" s="1">
        <v>2</v>
      </c>
      <c r="H1014" s="1" t="s">
        <v>16</v>
      </c>
      <c r="I1014" s="1" t="s">
        <v>16</v>
      </c>
      <c r="J1014" s="1" t="s">
        <v>16</v>
      </c>
      <c r="K1014" s="1" t="s">
        <v>17</v>
      </c>
      <c r="L1014" s="1" t="s">
        <v>17</v>
      </c>
      <c r="M1014" s="1" t="s">
        <v>17</v>
      </c>
      <c r="N1014" s="1" t="s">
        <v>16</v>
      </c>
    </row>
    <row r="1015" spans="1:14" x14ac:dyDescent="0.25">
      <c r="A1015" s="9">
        <v>44411</v>
      </c>
      <c r="B1015" s="1" t="s">
        <v>22</v>
      </c>
      <c r="C1015" s="1">
        <v>6</v>
      </c>
      <c r="D1015" s="1">
        <v>2</v>
      </c>
      <c r="E1015" s="5">
        <v>46.02</v>
      </c>
      <c r="F1015" s="1" t="s">
        <v>18</v>
      </c>
      <c r="G1015" s="1">
        <v>2</v>
      </c>
      <c r="H1015" s="1" t="s">
        <v>16</v>
      </c>
      <c r="I1015" s="1" t="s">
        <v>16</v>
      </c>
      <c r="J1015" s="1" t="s">
        <v>16</v>
      </c>
      <c r="K1015" s="1" t="s">
        <v>17</v>
      </c>
      <c r="L1015" s="1" t="s">
        <v>17</v>
      </c>
      <c r="M1015" s="1" t="s">
        <v>17</v>
      </c>
      <c r="N1015" s="1" t="s">
        <v>16</v>
      </c>
    </row>
    <row r="1016" spans="1:14" x14ac:dyDescent="0.25">
      <c r="A1016" s="9">
        <v>44411</v>
      </c>
      <c r="B1016" s="1" t="s">
        <v>22</v>
      </c>
      <c r="C1016" s="1">
        <v>7</v>
      </c>
      <c r="D1016" s="1">
        <v>2</v>
      </c>
      <c r="E1016" s="5">
        <v>63.29</v>
      </c>
      <c r="F1016" s="1" t="s">
        <v>18</v>
      </c>
      <c r="G1016" s="1">
        <v>2</v>
      </c>
      <c r="H1016" s="1" t="s">
        <v>16</v>
      </c>
      <c r="I1016" s="1" t="s">
        <v>16</v>
      </c>
      <c r="J1016" s="1" t="s">
        <v>16</v>
      </c>
      <c r="K1016" s="1" t="s">
        <v>17</v>
      </c>
      <c r="L1016" s="1" t="s">
        <v>17</v>
      </c>
      <c r="M1016" s="1" t="s">
        <v>17</v>
      </c>
      <c r="N1016" s="1" t="s">
        <v>16</v>
      </c>
    </row>
    <row r="1017" spans="1:14" x14ac:dyDescent="0.25">
      <c r="A1017" s="9">
        <v>44411</v>
      </c>
      <c r="B1017" s="1" t="s">
        <v>22</v>
      </c>
      <c r="C1017" s="1">
        <v>8</v>
      </c>
      <c r="D1017" s="1">
        <v>2</v>
      </c>
      <c r="E1017" s="5">
        <v>48.25</v>
      </c>
      <c r="F1017" s="1" t="s">
        <v>18</v>
      </c>
      <c r="G1017" s="1">
        <v>2</v>
      </c>
      <c r="H1017" s="1" t="s">
        <v>16</v>
      </c>
      <c r="I1017" s="1" t="s">
        <v>16</v>
      </c>
      <c r="J1017" s="1" t="s">
        <v>16</v>
      </c>
      <c r="K1017" s="1" t="s">
        <v>17</v>
      </c>
      <c r="L1017" s="1" t="s">
        <v>17</v>
      </c>
      <c r="M1017" s="1" t="s">
        <v>17</v>
      </c>
      <c r="N1017" s="1" t="s">
        <v>16</v>
      </c>
    </row>
    <row r="1018" spans="1:14" x14ac:dyDescent="0.25">
      <c r="A1018" s="9">
        <v>44411</v>
      </c>
      <c r="B1018" s="1" t="s">
        <v>22</v>
      </c>
      <c r="C1018" s="1">
        <v>9</v>
      </c>
      <c r="D1018" s="1">
        <v>2</v>
      </c>
      <c r="E1018" s="5">
        <v>60.34</v>
      </c>
      <c r="F1018" s="1" t="s">
        <v>18</v>
      </c>
      <c r="G1018" s="1">
        <v>2</v>
      </c>
      <c r="H1018" s="1" t="s">
        <v>16</v>
      </c>
      <c r="I1018" s="1" t="s">
        <v>16</v>
      </c>
      <c r="J1018" s="1" t="s">
        <v>16</v>
      </c>
      <c r="K1018" s="1" t="s">
        <v>21</v>
      </c>
      <c r="L1018" s="1" t="s">
        <v>17</v>
      </c>
      <c r="M1018" s="1" t="s">
        <v>17</v>
      </c>
      <c r="N1018" s="1" t="s">
        <v>16</v>
      </c>
    </row>
    <row r="1019" spans="1:14" x14ac:dyDescent="0.25">
      <c r="A1019" s="9">
        <v>44411</v>
      </c>
      <c r="B1019" s="1" t="s">
        <v>22</v>
      </c>
      <c r="C1019" s="1">
        <v>10</v>
      </c>
      <c r="D1019" s="1">
        <v>2</v>
      </c>
      <c r="E1019" s="5">
        <v>57.44</v>
      </c>
      <c r="F1019" s="1" t="s">
        <v>18</v>
      </c>
      <c r="G1019" s="1">
        <v>2</v>
      </c>
      <c r="H1019" s="1" t="s">
        <v>16</v>
      </c>
      <c r="I1019" s="1" t="s">
        <v>16</v>
      </c>
      <c r="J1019" s="1" t="s">
        <v>16</v>
      </c>
      <c r="K1019" s="1" t="s">
        <v>17</v>
      </c>
      <c r="L1019" s="1" t="s">
        <v>17</v>
      </c>
      <c r="M1019" s="1" t="s">
        <v>17</v>
      </c>
      <c r="N1019" s="1" t="s">
        <v>16</v>
      </c>
    </row>
    <row r="1020" spans="1:14" x14ac:dyDescent="0.25">
      <c r="A1020" s="9">
        <v>44411</v>
      </c>
      <c r="B1020" s="1" t="s">
        <v>22</v>
      </c>
      <c r="C1020" s="1">
        <v>11</v>
      </c>
      <c r="D1020" s="1">
        <v>3</v>
      </c>
      <c r="E1020" s="5">
        <v>44.87</v>
      </c>
      <c r="F1020" s="1" t="s">
        <v>18</v>
      </c>
      <c r="G1020" s="1">
        <v>2</v>
      </c>
      <c r="H1020" s="1" t="s">
        <v>16</v>
      </c>
      <c r="I1020" s="1" t="s">
        <v>16</v>
      </c>
      <c r="J1020" s="1" t="s">
        <v>16</v>
      </c>
      <c r="K1020" s="1" t="s">
        <v>17</v>
      </c>
      <c r="L1020" s="1" t="s">
        <v>17</v>
      </c>
      <c r="M1020" s="1" t="s">
        <v>17</v>
      </c>
      <c r="N1020" s="1" t="s">
        <v>16</v>
      </c>
    </row>
    <row r="1021" spans="1:14" x14ac:dyDescent="0.25">
      <c r="A1021" s="9">
        <v>44411</v>
      </c>
      <c r="B1021" s="1" t="s">
        <v>22</v>
      </c>
      <c r="C1021" s="1">
        <v>12</v>
      </c>
      <c r="D1021" s="1">
        <v>3</v>
      </c>
      <c r="E1021" s="5">
        <v>63.66</v>
      </c>
      <c r="F1021" s="1" t="s">
        <v>19</v>
      </c>
      <c r="G1021" s="1">
        <v>2</v>
      </c>
      <c r="H1021" s="1" t="s">
        <v>16</v>
      </c>
      <c r="I1021" s="1" t="s">
        <v>16</v>
      </c>
      <c r="J1021" s="1" t="s">
        <v>16</v>
      </c>
      <c r="K1021" s="1" t="s">
        <v>17</v>
      </c>
      <c r="L1021" s="1" t="s">
        <v>17</v>
      </c>
      <c r="M1021" s="1" t="s">
        <v>17</v>
      </c>
      <c r="N1021" s="1" t="s">
        <v>16</v>
      </c>
    </row>
    <row r="1022" spans="1:14" x14ac:dyDescent="0.25">
      <c r="A1022" s="9">
        <v>44411</v>
      </c>
      <c r="B1022" s="1" t="s">
        <v>22</v>
      </c>
      <c r="C1022" s="1">
        <v>13</v>
      </c>
      <c r="D1022" s="1">
        <v>3</v>
      </c>
      <c r="E1022" s="5">
        <v>53.51</v>
      </c>
      <c r="F1022" s="1" t="s">
        <v>18</v>
      </c>
      <c r="G1022" s="1">
        <v>2</v>
      </c>
      <c r="H1022" s="1" t="s">
        <v>16</v>
      </c>
      <c r="I1022" s="1" t="s">
        <v>16</v>
      </c>
      <c r="J1022" s="1" t="s">
        <v>16</v>
      </c>
      <c r="K1022" s="1" t="s">
        <v>17</v>
      </c>
      <c r="L1022" s="1" t="s">
        <v>17</v>
      </c>
      <c r="M1022" s="1" t="s">
        <v>17</v>
      </c>
      <c r="N1022" s="1" t="s">
        <v>16</v>
      </c>
    </row>
    <row r="1023" spans="1:14" x14ac:dyDescent="0.25">
      <c r="A1023" s="9">
        <v>44411</v>
      </c>
      <c r="B1023" s="1" t="s">
        <v>22</v>
      </c>
      <c r="C1023" s="1">
        <v>14</v>
      </c>
      <c r="D1023" s="1">
        <v>3</v>
      </c>
      <c r="E1023" s="5">
        <v>53.47</v>
      </c>
      <c r="F1023" s="1" t="s">
        <v>16</v>
      </c>
      <c r="G1023" s="1">
        <v>4</v>
      </c>
      <c r="H1023" s="1" t="s">
        <v>16</v>
      </c>
      <c r="I1023" s="1" t="s">
        <v>16</v>
      </c>
      <c r="J1023" s="1" t="s">
        <v>16</v>
      </c>
      <c r="K1023" s="1" t="s">
        <v>21</v>
      </c>
      <c r="L1023" s="1" t="s">
        <v>17</v>
      </c>
      <c r="M1023" s="1" t="s">
        <v>17</v>
      </c>
      <c r="N1023" s="1" t="s">
        <v>16</v>
      </c>
    </row>
    <row r="1024" spans="1:14" x14ac:dyDescent="0.25">
      <c r="A1024" s="9">
        <v>44411</v>
      </c>
      <c r="B1024" s="1" t="s">
        <v>22</v>
      </c>
      <c r="C1024" s="1">
        <v>15</v>
      </c>
      <c r="D1024" s="1">
        <v>3</v>
      </c>
      <c r="E1024" s="5">
        <v>48.11</v>
      </c>
      <c r="F1024" s="1" t="s">
        <v>18</v>
      </c>
      <c r="G1024" s="1">
        <v>2</v>
      </c>
      <c r="H1024" s="1" t="s">
        <v>16</v>
      </c>
      <c r="I1024" s="1" t="s">
        <v>16</v>
      </c>
      <c r="J1024" s="1" t="s">
        <v>16</v>
      </c>
      <c r="K1024" s="1" t="s">
        <v>17</v>
      </c>
      <c r="L1024" s="1" t="s">
        <v>17</v>
      </c>
      <c r="M1024" s="1" t="s">
        <v>17</v>
      </c>
      <c r="N1024" s="1" t="s">
        <v>16</v>
      </c>
    </row>
    <row r="1025" spans="1:14" x14ac:dyDescent="0.25">
      <c r="A1025" s="9">
        <v>44448</v>
      </c>
      <c r="B1025" s="1" t="s">
        <v>22</v>
      </c>
      <c r="C1025" s="1">
        <v>1</v>
      </c>
      <c r="D1025" s="1">
        <v>1</v>
      </c>
      <c r="E1025" s="5">
        <v>58.18</v>
      </c>
      <c r="F1025" s="1" t="s">
        <v>18</v>
      </c>
      <c r="G1025" s="1">
        <v>2</v>
      </c>
      <c r="H1025" s="1" t="s">
        <v>16</v>
      </c>
      <c r="I1025" s="1" t="s">
        <v>16</v>
      </c>
      <c r="J1025" s="1" t="s">
        <v>16</v>
      </c>
      <c r="K1025" s="1" t="s">
        <v>17</v>
      </c>
      <c r="L1025" s="1" t="s">
        <v>17</v>
      </c>
      <c r="M1025" s="1" t="s">
        <v>17</v>
      </c>
      <c r="N1025" s="1" t="s">
        <v>16</v>
      </c>
    </row>
    <row r="1026" spans="1:14" x14ac:dyDescent="0.25">
      <c r="A1026" s="9">
        <v>44448</v>
      </c>
      <c r="B1026" s="1" t="s">
        <v>22</v>
      </c>
      <c r="C1026" s="1">
        <v>2</v>
      </c>
      <c r="D1026" s="1">
        <v>1</v>
      </c>
      <c r="E1026" s="5">
        <v>54.57</v>
      </c>
      <c r="F1026" s="1" t="s">
        <v>18</v>
      </c>
      <c r="G1026" s="1">
        <v>2</v>
      </c>
      <c r="H1026" s="1" t="s">
        <v>16</v>
      </c>
      <c r="I1026" s="1" t="s">
        <v>16</v>
      </c>
      <c r="J1026" s="1" t="s">
        <v>16</v>
      </c>
      <c r="K1026" s="1" t="s">
        <v>17</v>
      </c>
      <c r="L1026" s="1" t="s">
        <v>17</v>
      </c>
      <c r="M1026" s="1" t="s">
        <v>17</v>
      </c>
      <c r="N1026" s="1" t="s">
        <v>16</v>
      </c>
    </row>
    <row r="1027" spans="1:14" x14ac:dyDescent="0.25">
      <c r="A1027" s="9">
        <v>44448</v>
      </c>
      <c r="B1027" s="1" t="s">
        <v>22</v>
      </c>
      <c r="C1027" s="1">
        <v>3</v>
      </c>
      <c r="D1027" s="1">
        <v>1</v>
      </c>
      <c r="E1027" s="5">
        <v>74.77</v>
      </c>
      <c r="F1027" s="1" t="s">
        <v>19</v>
      </c>
      <c r="G1027" s="1">
        <v>2</v>
      </c>
      <c r="H1027" s="1" t="s">
        <v>16</v>
      </c>
      <c r="I1027" s="1" t="s">
        <v>16</v>
      </c>
      <c r="J1027" s="1" t="s">
        <v>16</v>
      </c>
      <c r="K1027" s="1" t="s">
        <v>17</v>
      </c>
      <c r="L1027" s="1" t="s">
        <v>17</v>
      </c>
      <c r="M1027" s="1" t="s">
        <v>17</v>
      </c>
      <c r="N1027" s="1" t="s">
        <v>16</v>
      </c>
    </row>
    <row r="1028" spans="1:14" x14ac:dyDescent="0.25">
      <c r="A1028" s="9">
        <v>44448</v>
      </c>
      <c r="B1028" s="1" t="s">
        <v>22</v>
      </c>
      <c r="C1028" s="1">
        <v>4</v>
      </c>
      <c r="D1028" s="1">
        <v>1</v>
      </c>
      <c r="E1028" s="5">
        <v>52.08</v>
      </c>
      <c r="F1028" s="1" t="s">
        <v>18</v>
      </c>
      <c r="G1028" s="1">
        <v>2</v>
      </c>
      <c r="H1028" s="1" t="s">
        <v>16</v>
      </c>
      <c r="I1028" s="1" t="s">
        <v>16</v>
      </c>
      <c r="J1028" s="1" t="s">
        <v>16</v>
      </c>
      <c r="K1028" s="1" t="s">
        <v>17</v>
      </c>
      <c r="L1028" s="1" t="s">
        <v>17</v>
      </c>
      <c r="M1028" s="1" t="s">
        <v>17</v>
      </c>
      <c r="N1028" s="1" t="s">
        <v>16</v>
      </c>
    </row>
    <row r="1029" spans="1:14" x14ac:dyDescent="0.25">
      <c r="A1029" s="9">
        <v>44448</v>
      </c>
      <c r="B1029" s="1" t="s">
        <v>22</v>
      </c>
      <c r="C1029" s="1">
        <v>5</v>
      </c>
      <c r="D1029" s="1">
        <v>1</v>
      </c>
      <c r="E1029" s="5">
        <v>65.290000000000006</v>
      </c>
      <c r="F1029" s="1" t="s">
        <v>18</v>
      </c>
      <c r="G1029" s="1">
        <v>2</v>
      </c>
      <c r="H1029" s="1" t="s">
        <v>16</v>
      </c>
      <c r="I1029" s="1" t="s">
        <v>16</v>
      </c>
      <c r="J1029" s="1" t="s">
        <v>16</v>
      </c>
      <c r="K1029" s="1" t="s">
        <v>17</v>
      </c>
      <c r="L1029" s="1" t="s">
        <v>17</v>
      </c>
      <c r="M1029" s="1" t="s">
        <v>17</v>
      </c>
      <c r="N1029" s="1" t="s">
        <v>16</v>
      </c>
    </row>
    <row r="1030" spans="1:14" x14ac:dyDescent="0.25">
      <c r="A1030" s="9">
        <v>44448</v>
      </c>
      <c r="B1030" s="1" t="s">
        <v>22</v>
      </c>
      <c r="C1030" s="1">
        <v>6</v>
      </c>
      <c r="D1030" s="1">
        <v>2</v>
      </c>
      <c r="E1030" s="5">
        <v>55.05</v>
      </c>
      <c r="F1030" s="1" t="s">
        <v>18</v>
      </c>
      <c r="G1030" s="1">
        <v>2</v>
      </c>
      <c r="H1030" s="1" t="s">
        <v>16</v>
      </c>
      <c r="I1030" s="1" t="s">
        <v>16</v>
      </c>
      <c r="J1030" s="1" t="s">
        <v>16</v>
      </c>
      <c r="K1030" s="1" t="s">
        <v>17</v>
      </c>
      <c r="L1030" s="1" t="s">
        <v>17</v>
      </c>
      <c r="M1030" s="1" t="s">
        <v>17</v>
      </c>
      <c r="N1030" s="1" t="s">
        <v>16</v>
      </c>
    </row>
    <row r="1031" spans="1:14" x14ac:dyDescent="0.25">
      <c r="A1031" s="9">
        <v>44448</v>
      </c>
      <c r="B1031" s="1" t="s">
        <v>22</v>
      </c>
      <c r="C1031" s="1">
        <v>7</v>
      </c>
      <c r="D1031" s="1">
        <v>2</v>
      </c>
      <c r="E1031" s="5">
        <v>63.34</v>
      </c>
      <c r="F1031" s="1" t="s">
        <v>19</v>
      </c>
      <c r="G1031" s="1">
        <v>2</v>
      </c>
      <c r="H1031" s="1" t="s">
        <v>16</v>
      </c>
      <c r="I1031" s="1" t="s">
        <v>16</v>
      </c>
      <c r="J1031" s="1" t="s">
        <v>16</v>
      </c>
      <c r="K1031" s="1" t="s">
        <v>17</v>
      </c>
      <c r="L1031" s="1" t="s">
        <v>17</v>
      </c>
      <c r="M1031" s="1" t="s">
        <v>17</v>
      </c>
      <c r="N1031" s="1" t="s">
        <v>16</v>
      </c>
    </row>
    <row r="1032" spans="1:14" x14ac:dyDescent="0.25">
      <c r="A1032" s="9">
        <v>44448</v>
      </c>
      <c r="B1032" s="1" t="s">
        <v>22</v>
      </c>
      <c r="C1032" s="1">
        <v>8</v>
      </c>
      <c r="D1032" s="1">
        <v>2</v>
      </c>
      <c r="E1032" s="5">
        <v>82.94</v>
      </c>
      <c r="F1032" s="1" t="s">
        <v>18</v>
      </c>
      <c r="G1032" s="1">
        <v>2</v>
      </c>
      <c r="H1032" s="1" t="s">
        <v>16</v>
      </c>
      <c r="I1032" s="1" t="s">
        <v>16</v>
      </c>
      <c r="J1032" s="1" t="s">
        <v>16</v>
      </c>
      <c r="K1032" s="1" t="s">
        <v>17</v>
      </c>
      <c r="L1032" s="1" t="s">
        <v>17</v>
      </c>
      <c r="M1032" s="1" t="s">
        <v>17</v>
      </c>
      <c r="N1032" s="1" t="s">
        <v>16</v>
      </c>
    </row>
    <row r="1033" spans="1:14" x14ac:dyDescent="0.25">
      <c r="A1033" s="9">
        <v>44448</v>
      </c>
      <c r="B1033" s="1" t="s">
        <v>22</v>
      </c>
      <c r="C1033" s="1">
        <v>9</v>
      </c>
      <c r="D1033" s="1">
        <v>2</v>
      </c>
      <c r="E1033" s="5">
        <v>54.72</v>
      </c>
      <c r="F1033" s="1" t="s">
        <v>18</v>
      </c>
      <c r="G1033" s="1">
        <v>2</v>
      </c>
      <c r="H1033" s="1" t="s">
        <v>16</v>
      </c>
      <c r="I1033" s="1" t="s">
        <v>16</v>
      </c>
      <c r="J1033" s="1" t="s">
        <v>16</v>
      </c>
      <c r="K1033" s="1" t="s">
        <v>17</v>
      </c>
      <c r="L1033" s="1" t="s">
        <v>17</v>
      </c>
      <c r="M1033" s="1" t="s">
        <v>17</v>
      </c>
      <c r="N1033" s="1" t="s">
        <v>16</v>
      </c>
    </row>
    <row r="1034" spans="1:14" x14ac:dyDescent="0.25">
      <c r="A1034" s="9">
        <v>44448</v>
      </c>
      <c r="B1034" s="1" t="s">
        <v>22</v>
      </c>
      <c r="C1034" s="1">
        <v>10</v>
      </c>
      <c r="D1034" s="1">
        <v>2</v>
      </c>
      <c r="E1034" s="5">
        <v>49.43</v>
      </c>
      <c r="F1034" s="1" t="s">
        <v>18</v>
      </c>
      <c r="G1034" s="1">
        <v>2</v>
      </c>
      <c r="H1034" s="1" t="s">
        <v>16</v>
      </c>
      <c r="I1034" s="1" t="s">
        <v>16</v>
      </c>
      <c r="J1034" s="1" t="s">
        <v>16</v>
      </c>
      <c r="K1034" s="1" t="s">
        <v>17</v>
      </c>
      <c r="L1034" s="1" t="s">
        <v>17</v>
      </c>
      <c r="M1034" s="1" t="s">
        <v>17</v>
      </c>
      <c r="N1034" s="1" t="s">
        <v>16</v>
      </c>
    </row>
    <row r="1035" spans="1:14" x14ac:dyDescent="0.25">
      <c r="A1035" s="9">
        <v>44448</v>
      </c>
      <c r="B1035" s="1" t="s">
        <v>22</v>
      </c>
      <c r="C1035" s="1">
        <v>11</v>
      </c>
      <c r="D1035" s="1">
        <v>3</v>
      </c>
      <c r="E1035" s="5">
        <v>48.02</v>
      </c>
      <c r="F1035" s="1" t="s">
        <v>18</v>
      </c>
      <c r="G1035" s="1">
        <v>2</v>
      </c>
      <c r="H1035" s="1" t="s">
        <v>16</v>
      </c>
      <c r="I1035" s="1" t="s">
        <v>16</v>
      </c>
      <c r="J1035" s="1" t="s">
        <v>16</v>
      </c>
      <c r="K1035" s="1" t="s">
        <v>17</v>
      </c>
      <c r="L1035" s="1" t="s">
        <v>17</v>
      </c>
      <c r="M1035" s="1" t="s">
        <v>17</v>
      </c>
      <c r="N1035" s="1" t="s">
        <v>16</v>
      </c>
    </row>
    <row r="1036" spans="1:14" x14ac:dyDescent="0.25">
      <c r="A1036" s="9">
        <v>44448</v>
      </c>
      <c r="B1036" s="1" t="s">
        <v>22</v>
      </c>
      <c r="C1036" s="1">
        <v>12</v>
      </c>
      <c r="D1036" s="1">
        <v>3</v>
      </c>
      <c r="E1036" s="5">
        <v>53.56</v>
      </c>
      <c r="F1036" s="1" t="s">
        <v>19</v>
      </c>
      <c r="G1036" s="1">
        <v>2</v>
      </c>
      <c r="H1036" s="1" t="s">
        <v>16</v>
      </c>
      <c r="I1036" s="1" t="s">
        <v>16</v>
      </c>
      <c r="J1036" s="1" t="s">
        <v>16</v>
      </c>
      <c r="K1036" s="1" t="s">
        <v>17</v>
      </c>
      <c r="L1036" s="1" t="s">
        <v>17</v>
      </c>
      <c r="M1036" s="1" t="s">
        <v>17</v>
      </c>
      <c r="N1036" s="1" t="s">
        <v>16</v>
      </c>
    </row>
    <row r="1037" spans="1:14" x14ac:dyDescent="0.25">
      <c r="A1037" s="9">
        <v>44448</v>
      </c>
      <c r="B1037" s="1" t="s">
        <v>22</v>
      </c>
      <c r="C1037" s="1">
        <v>13</v>
      </c>
      <c r="D1037" s="1">
        <v>3</v>
      </c>
      <c r="E1037" s="5">
        <v>53.41</v>
      </c>
      <c r="F1037" s="1" t="s">
        <v>18</v>
      </c>
      <c r="G1037" s="1">
        <v>2</v>
      </c>
      <c r="H1037" s="1" t="s">
        <v>16</v>
      </c>
      <c r="I1037" s="1" t="s">
        <v>16</v>
      </c>
      <c r="J1037" s="1" t="s">
        <v>16</v>
      </c>
      <c r="K1037" s="1" t="s">
        <v>17</v>
      </c>
      <c r="L1037" s="1" t="s">
        <v>17</v>
      </c>
      <c r="M1037" s="1" t="s">
        <v>17</v>
      </c>
      <c r="N1037" s="1" t="s">
        <v>16</v>
      </c>
    </row>
    <row r="1038" spans="1:14" x14ac:dyDescent="0.25">
      <c r="A1038" s="9">
        <v>44448</v>
      </c>
      <c r="B1038" s="1" t="s">
        <v>22</v>
      </c>
      <c r="C1038" s="1">
        <v>14</v>
      </c>
      <c r="D1038" s="1">
        <v>3</v>
      </c>
      <c r="E1038" s="5">
        <v>57.6</v>
      </c>
      <c r="F1038" s="1" t="s">
        <v>18</v>
      </c>
      <c r="G1038" s="1">
        <v>2</v>
      </c>
      <c r="H1038" s="1" t="s">
        <v>16</v>
      </c>
      <c r="I1038" s="1" t="s">
        <v>16</v>
      </c>
      <c r="J1038" s="1" t="s">
        <v>16</v>
      </c>
      <c r="K1038" s="1" t="s">
        <v>17</v>
      </c>
      <c r="L1038" s="1" t="s">
        <v>17</v>
      </c>
      <c r="M1038" s="1" t="s">
        <v>17</v>
      </c>
      <c r="N1038" s="1" t="s">
        <v>16</v>
      </c>
    </row>
    <row r="1039" spans="1:14" x14ac:dyDescent="0.25">
      <c r="A1039" s="9">
        <v>44448</v>
      </c>
      <c r="B1039" s="1" t="s">
        <v>22</v>
      </c>
      <c r="C1039" s="1">
        <v>15</v>
      </c>
      <c r="D1039" s="1">
        <v>3</v>
      </c>
      <c r="E1039" s="5">
        <v>48.85</v>
      </c>
      <c r="F1039" s="1" t="s">
        <v>18</v>
      </c>
      <c r="G1039" s="1">
        <v>2</v>
      </c>
      <c r="H1039" s="1" t="s">
        <v>16</v>
      </c>
      <c r="I1039" s="1" t="s">
        <v>16</v>
      </c>
      <c r="J1039" s="1" t="s">
        <v>16</v>
      </c>
      <c r="K1039" s="1" t="s">
        <v>17</v>
      </c>
      <c r="L1039" s="1" t="s">
        <v>17</v>
      </c>
      <c r="M1039" s="1" t="s">
        <v>17</v>
      </c>
      <c r="N1039" s="1" t="s">
        <v>16</v>
      </c>
    </row>
    <row r="1040" spans="1:14" x14ac:dyDescent="0.25">
      <c r="A1040" s="9">
        <v>44474</v>
      </c>
      <c r="B1040" s="1" t="s">
        <v>22</v>
      </c>
      <c r="C1040" s="1">
        <v>1</v>
      </c>
      <c r="D1040" s="1">
        <v>1</v>
      </c>
      <c r="E1040" s="5">
        <v>64.8</v>
      </c>
      <c r="F1040" s="1" t="s">
        <v>18</v>
      </c>
      <c r="G1040" s="1">
        <v>2</v>
      </c>
      <c r="H1040" s="1" t="s">
        <v>16</v>
      </c>
      <c r="I1040" s="1" t="s">
        <v>16</v>
      </c>
      <c r="J1040" s="1" t="s">
        <v>16</v>
      </c>
      <c r="K1040" s="1" t="s">
        <v>17</v>
      </c>
      <c r="L1040" s="1" t="s">
        <v>17</v>
      </c>
      <c r="M1040" s="1" t="s">
        <v>17</v>
      </c>
      <c r="N1040" s="1" t="s">
        <v>16</v>
      </c>
    </row>
    <row r="1041" spans="1:14" x14ac:dyDescent="0.25">
      <c r="A1041" s="9">
        <v>44474</v>
      </c>
      <c r="B1041" s="1" t="s">
        <v>22</v>
      </c>
      <c r="C1041" s="1">
        <v>2</v>
      </c>
      <c r="D1041" s="1">
        <v>1</v>
      </c>
      <c r="E1041" s="5">
        <v>69.92</v>
      </c>
      <c r="F1041" s="1" t="s">
        <v>18</v>
      </c>
      <c r="G1041" s="1">
        <v>2</v>
      </c>
      <c r="H1041" s="1" t="s">
        <v>16</v>
      </c>
      <c r="I1041" s="1" t="s">
        <v>16</v>
      </c>
      <c r="J1041" s="1" t="s">
        <v>16</v>
      </c>
      <c r="K1041" s="1" t="s">
        <v>17</v>
      </c>
      <c r="L1041" s="1" t="s">
        <v>17</v>
      </c>
      <c r="M1041" s="1" t="s">
        <v>17</v>
      </c>
      <c r="N1041" s="1" t="s">
        <v>16</v>
      </c>
    </row>
    <row r="1042" spans="1:14" x14ac:dyDescent="0.25">
      <c r="A1042" s="9">
        <v>44474</v>
      </c>
      <c r="B1042" s="1" t="s">
        <v>22</v>
      </c>
      <c r="C1042" s="1">
        <v>3</v>
      </c>
      <c r="D1042" s="1">
        <v>1</v>
      </c>
      <c r="E1042" s="5">
        <v>54.32</v>
      </c>
      <c r="F1042" s="1" t="s">
        <v>18</v>
      </c>
      <c r="G1042" s="1">
        <v>2</v>
      </c>
      <c r="H1042" s="1" t="s">
        <v>16</v>
      </c>
      <c r="I1042" s="1" t="s">
        <v>16</v>
      </c>
      <c r="J1042" s="1" t="s">
        <v>16</v>
      </c>
      <c r="K1042" s="1" t="s">
        <v>17</v>
      </c>
      <c r="L1042" s="1" t="s">
        <v>17</v>
      </c>
      <c r="M1042" s="1" t="s">
        <v>17</v>
      </c>
      <c r="N1042" s="1" t="s">
        <v>16</v>
      </c>
    </row>
    <row r="1043" spans="1:14" x14ac:dyDescent="0.25">
      <c r="A1043" s="9">
        <v>44474</v>
      </c>
      <c r="B1043" s="1" t="s">
        <v>22</v>
      </c>
      <c r="C1043" s="1">
        <v>4</v>
      </c>
      <c r="D1043" s="1">
        <v>1</v>
      </c>
      <c r="E1043" s="5">
        <v>64.16</v>
      </c>
      <c r="F1043" s="1" t="s">
        <v>18</v>
      </c>
      <c r="G1043" s="1">
        <v>2</v>
      </c>
      <c r="H1043" s="1" t="s">
        <v>16</v>
      </c>
      <c r="I1043" s="1" t="s">
        <v>16</v>
      </c>
      <c r="J1043" s="1" t="s">
        <v>16</v>
      </c>
      <c r="K1043" s="1" t="s">
        <v>17</v>
      </c>
      <c r="L1043" s="1" t="s">
        <v>17</v>
      </c>
      <c r="M1043" s="1" t="s">
        <v>17</v>
      </c>
      <c r="N1043" s="1" t="s">
        <v>16</v>
      </c>
    </row>
    <row r="1044" spans="1:14" x14ac:dyDescent="0.25">
      <c r="A1044" s="9">
        <v>44474</v>
      </c>
      <c r="B1044" s="1" t="s">
        <v>22</v>
      </c>
      <c r="C1044" s="1">
        <v>5</v>
      </c>
      <c r="D1044" s="1">
        <v>1</v>
      </c>
      <c r="E1044" s="5">
        <v>62.26</v>
      </c>
      <c r="F1044" s="1" t="s">
        <v>18</v>
      </c>
      <c r="G1044" s="1">
        <v>2</v>
      </c>
      <c r="H1044" s="1" t="s">
        <v>16</v>
      </c>
      <c r="I1044" s="1" t="s">
        <v>16</v>
      </c>
      <c r="J1044" s="1" t="s">
        <v>16</v>
      </c>
      <c r="K1044" s="1" t="s">
        <v>17</v>
      </c>
      <c r="L1044" s="1" t="s">
        <v>17</v>
      </c>
      <c r="M1044" s="1" t="s">
        <v>17</v>
      </c>
      <c r="N1044" s="1" t="s">
        <v>16</v>
      </c>
    </row>
    <row r="1045" spans="1:14" x14ac:dyDescent="0.25">
      <c r="A1045" s="9">
        <v>44474</v>
      </c>
      <c r="B1045" s="1" t="s">
        <v>22</v>
      </c>
      <c r="C1045" s="1">
        <v>6</v>
      </c>
      <c r="D1045" s="1">
        <v>2</v>
      </c>
      <c r="E1045" s="5">
        <v>58.14</v>
      </c>
      <c r="F1045" s="1" t="s">
        <v>19</v>
      </c>
      <c r="G1045" s="1">
        <v>2</v>
      </c>
      <c r="H1045" s="1" t="s">
        <v>16</v>
      </c>
      <c r="I1045" s="1" t="s">
        <v>16</v>
      </c>
      <c r="J1045" s="1" t="s">
        <v>16</v>
      </c>
      <c r="K1045" s="1" t="s">
        <v>17</v>
      </c>
      <c r="L1045" s="1" t="s">
        <v>17</v>
      </c>
      <c r="M1045" s="1" t="s">
        <v>17</v>
      </c>
      <c r="N1045" s="1" t="s">
        <v>16</v>
      </c>
    </row>
    <row r="1046" spans="1:14" x14ac:dyDescent="0.25">
      <c r="A1046" s="9">
        <v>44474</v>
      </c>
      <c r="B1046" s="1" t="s">
        <v>22</v>
      </c>
      <c r="C1046" s="1">
        <v>7</v>
      </c>
      <c r="D1046" s="1">
        <v>2</v>
      </c>
      <c r="E1046" s="5">
        <v>43.97</v>
      </c>
      <c r="F1046" s="1" t="s">
        <v>18</v>
      </c>
      <c r="G1046" s="1">
        <v>2</v>
      </c>
      <c r="H1046" s="1" t="s">
        <v>16</v>
      </c>
      <c r="I1046" s="1" t="s">
        <v>16</v>
      </c>
      <c r="J1046" s="1" t="s">
        <v>16</v>
      </c>
      <c r="K1046" s="1" t="s">
        <v>17</v>
      </c>
      <c r="L1046" s="1" t="s">
        <v>17</v>
      </c>
      <c r="M1046" s="1" t="s">
        <v>17</v>
      </c>
      <c r="N1046" s="1" t="s">
        <v>16</v>
      </c>
    </row>
    <row r="1047" spans="1:14" x14ac:dyDescent="0.25">
      <c r="A1047" s="9">
        <v>44474</v>
      </c>
      <c r="B1047" s="1" t="s">
        <v>22</v>
      </c>
      <c r="C1047" s="1">
        <v>8</v>
      </c>
      <c r="D1047" s="1">
        <v>2</v>
      </c>
      <c r="E1047" s="5">
        <v>51.5</v>
      </c>
      <c r="F1047" s="1" t="s">
        <v>19</v>
      </c>
      <c r="G1047" s="1">
        <v>2</v>
      </c>
      <c r="H1047" s="1" t="s">
        <v>16</v>
      </c>
      <c r="I1047" s="1" t="s">
        <v>16</v>
      </c>
      <c r="J1047" s="1" t="s">
        <v>16</v>
      </c>
      <c r="K1047" s="1" t="s">
        <v>17</v>
      </c>
      <c r="L1047" s="1" t="s">
        <v>17</v>
      </c>
      <c r="M1047" s="1" t="s">
        <v>17</v>
      </c>
      <c r="N1047" s="1" t="s">
        <v>16</v>
      </c>
    </row>
    <row r="1048" spans="1:14" x14ac:dyDescent="0.25">
      <c r="A1048" s="9">
        <v>44474</v>
      </c>
      <c r="B1048" s="1" t="s">
        <v>22</v>
      </c>
      <c r="C1048" s="1">
        <v>9</v>
      </c>
      <c r="D1048" s="1">
        <v>2</v>
      </c>
      <c r="E1048" s="5">
        <v>48.77</v>
      </c>
      <c r="F1048" s="1" t="s">
        <v>19</v>
      </c>
      <c r="G1048" s="1">
        <v>2</v>
      </c>
      <c r="H1048" s="1" t="s">
        <v>16</v>
      </c>
      <c r="I1048" s="1" t="s">
        <v>16</v>
      </c>
      <c r="J1048" s="1" t="s">
        <v>16</v>
      </c>
      <c r="K1048" s="1" t="s">
        <v>17</v>
      </c>
      <c r="L1048" s="1" t="s">
        <v>17</v>
      </c>
      <c r="M1048" s="1" t="s">
        <v>17</v>
      </c>
      <c r="N1048" s="1" t="s">
        <v>16</v>
      </c>
    </row>
    <row r="1049" spans="1:14" x14ac:dyDescent="0.25">
      <c r="A1049" s="9">
        <v>44474</v>
      </c>
      <c r="B1049" s="1" t="s">
        <v>22</v>
      </c>
      <c r="C1049" s="1">
        <v>10</v>
      </c>
      <c r="D1049" s="1">
        <v>2</v>
      </c>
      <c r="E1049" s="5">
        <v>45.54</v>
      </c>
      <c r="F1049" s="1" t="s">
        <v>18</v>
      </c>
      <c r="G1049" s="1">
        <v>2</v>
      </c>
      <c r="H1049" s="1" t="s">
        <v>16</v>
      </c>
      <c r="I1049" s="1" t="s">
        <v>16</v>
      </c>
      <c r="J1049" s="1" t="s">
        <v>16</v>
      </c>
      <c r="K1049" s="1" t="s">
        <v>17</v>
      </c>
      <c r="L1049" s="1" t="s">
        <v>17</v>
      </c>
      <c r="M1049" s="1" t="s">
        <v>17</v>
      </c>
      <c r="N1049" s="1" t="s">
        <v>16</v>
      </c>
    </row>
    <row r="1050" spans="1:14" x14ac:dyDescent="0.25">
      <c r="A1050" s="9">
        <v>44474</v>
      </c>
      <c r="B1050" s="1" t="s">
        <v>22</v>
      </c>
      <c r="C1050" s="1">
        <v>11</v>
      </c>
      <c r="D1050" s="1">
        <v>3</v>
      </c>
      <c r="E1050" s="5">
        <v>64.42</v>
      </c>
      <c r="F1050" s="1" t="s">
        <v>18</v>
      </c>
      <c r="G1050" s="1">
        <v>2</v>
      </c>
      <c r="H1050" s="1" t="s">
        <v>16</v>
      </c>
      <c r="I1050" s="1" t="s">
        <v>16</v>
      </c>
      <c r="J1050" s="1" t="s">
        <v>16</v>
      </c>
      <c r="K1050" s="1" t="s">
        <v>17</v>
      </c>
      <c r="L1050" s="1" t="s">
        <v>17</v>
      </c>
      <c r="M1050" s="1" t="s">
        <v>17</v>
      </c>
      <c r="N1050" s="1" t="s">
        <v>16</v>
      </c>
    </row>
    <row r="1051" spans="1:14" x14ac:dyDescent="0.25">
      <c r="A1051" s="9">
        <v>44474</v>
      </c>
      <c r="B1051" s="1" t="s">
        <v>22</v>
      </c>
      <c r="C1051" s="1">
        <v>12</v>
      </c>
      <c r="D1051" s="1">
        <v>3</v>
      </c>
      <c r="E1051" s="5">
        <v>44.33</v>
      </c>
      <c r="F1051" s="1" t="s">
        <v>19</v>
      </c>
      <c r="G1051" s="1">
        <v>2</v>
      </c>
      <c r="H1051" s="1" t="s">
        <v>16</v>
      </c>
      <c r="I1051" s="1" t="s">
        <v>16</v>
      </c>
      <c r="J1051" s="1" t="s">
        <v>16</v>
      </c>
      <c r="K1051" s="1" t="s">
        <v>17</v>
      </c>
      <c r="L1051" s="1" t="s">
        <v>17</v>
      </c>
      <c r="M1051" s="1" t="s">
        <v>17</v>
      </c>
      <c r="N1051" s="1" t="s">
        <v>16</v>
      </c>
    </row>
    <row r="1052" spans="1:14" x14ac:dyDescent="0.25">
      <c r="A1052" s="9">
        <v>44474</v>
      </c>
      <c r="B1052" s="1" t="s">
        <v>22</v>
      </c>
      <c r="C1052" s="1">
        <v>13</v>
      </c>
      <c r="D1052" s="1">
        <v>3</v>
      </c>
      <c r="E1052" s="5">
        <v>56.49</v>
      </c>
      <c r="F1052" s="1" t="s">
        <v>18</v>
      </c>
      <c r="G1052" s="1">
        <v>2</v>
      </c>
      <c r="H1052" s="1" t="s">
        <v>16</v>
      </c>
      <c r="I1052" s="1" t="s">
        <v>16</v>
      </c>
      <c r="J1052" s="1" t="s">
        <v>16</v>
      </c>
      <c r="K1052" s="1" t="s">
        <v>17</v>
      </c>
      <c r="L1052" s="1" t="s">
        <v>17</v>
      </c>
      <c r="M1052" s="1" t="s">
        <v>17</v>
      </c>
      <c r="N1052" s="1" t="s">
        <v>16</v>
      </c>
    </row>
    <row r="1053" spans="1:14" x14ac:dyDescent="0.25">
      <c r="A1053" s="9">
        <v>44474</v>
      </c>
      <c r="B1053" s="1" t="s">
        <v>22</v>
      </c>
      <c r="C1053" s="1">
        <v>14</v>
      </c>
      <c r="D1053" s="1">
        <v>3</v>
      </c>
      <c r="E1053" s="5">
        <v>55.74</v>
      </c>
      <c r="F1053" s="1" t="s">
        <v>18</v>
      </c>
      <c r="G1053" s="1">
        <v>2</v>
      </c>
      <c r="H1053" s="1" t="s">
        <v>16</v>
      </c>
      <c r="I1053" s="1" t="s">
        <v>16</v>
      </c>
      <c r="J1053" s="1" t="s">
        <v>16</v>
      </c>
      <c r="K1053" s="1" t="s">
        <v>17</v>
      </c>
      <c r="L1053" s="1" t="s">
        <v>17</v>
      </c>
      <c r="M1053" s="1" t="s">
        <v>17</v>
      </c>
      <c r="N1053" s="1" t="s">
        <v>16</v>
      </c>
    </row>
    <row r="1054" spans="1:14" x14ac:dyDescent="0.25">
      <c r="A1054" s="9">
        <v>44474</v>
      </c>
      <c r="B1054" s="1" t="s">
        <v>22</v>
      </c>
      <c r="C1054" s="1">
        <v>15</v>
      </c>
      <c r="D1054" s="1">
        <v>3</v>
      </c>
      <c r="E1054" s="5">
        <v>63.72</v>
      </c>
      <c r="F1054" s="1" t="s">
        <v>18</v>
      </c>
      <c r="G1054" s="1">
        <v>2</v>
      </c>
      <c r="H1054" s="1" t="s">
        <v>16</v>
      </c>
      <c r="I1054" s="1" t="s">
        <v>16</v>
      </c>
      <c r="J1054" s="1" t="s">
        <v>16</v>
      </c>
      <c r="K1054" s="1" t="s">
        <v>17</v>
      </c>
      <c r="L1054" s="1" t="s">
        <v>17</v>
      </c>
      <c r="M1054" s="1" t="s">
        <v>17</v>
      </c>
      <c r="N1054" s="1" t="s">
        <v>16</v>
      </c>
    </row>
    <row r="1055" spans="1:14" x14ac:dyDescent="0.25">
      <c r="A1055" s="9">
        <v>44503</v>
      </c>
      <c r="B1055" s="1" t="s">
        <v>22</v>
      </c>
      <c r="C1055" s="1">
        <v>1</v>
      </c>
      <c r="D1055" s="1">
        <v>1</v>
      </c>
      <c r="E1055" s="5">
        <v>47.64</v>
      </c>
      <c r="F1055" s="1" t="s">
        <v>19</v>
      </c>
      <c r="G1055" s="1">
        <v>2</v>
      </c>
      <c r="H1055" s="1" t="s">
        <v>16</v>
      </c>
      <c r="I1055" s="1" t="s">
        <v>16</v>
      </c>
      <c r="J1055" s="1" t="s">
        <v>16</v>
      </c>
      <c r="K1055" s="1" t="s">
        <v>17</v>
      </c>
      <c r="L1055" s="1" t="s">
        <v>17</v>
      </c>
      <c r="M1055" s="1" t="s">
        <v>17</v>
      </c>
      <c r="N1055" s="1" t="s">
        <v>16</v>
      </c>
    </row>
    <row r="1056" spans="1:14" x14ac:dyDescent="0.25">
      <c r="A1056" s="9">
        <v>44503</v>
      </c>
      <c r="B1056" s="1" t="s">
        <v>22</v>
      </c>
      <c r="C1056" s="1">
        <v>2</v>
      </c>
      <c r="D1056" s="1">
        <v>1</v>
      </c>
      <c r="E1056" s="5">
        <v>66.11</v>
      </c>
      <c r="F1056" s="1" t="s">
        <v>18</v>
      </c>
      <c r="G1056" s="1">
        <v>2</v>
      </c>
      <c r="H1056" s="1" t="s">
        <v>16</v>
      </c>
      <c r="I1056" s="1" t="s">
        <v>16</v>
      </c>
      <c r="J1056" s="1" t="s">
        <v>16</v>
      </c>
      <c r="K1056" s="1" t="s">
        <v>17</v>
      </c>
      <c r="L1056" s="1" t="s">
        <v>17</v>
      </c>
      <c r="M1056" s="1" t="s">
        <v>17</v>
      </c>
      <c r="N1056" s="1" t="s">
        <v>16</v>
      </c>
    </row>
    <row r="1057" spans="1:14" x14ac:dyDescent="0.25">
      <c r="A1057" s="9">
        <v>44503</v>
      </c>
      <c r="B1057" s="1" t="s">
        <v>22</v>
      </c>
      <c r="C1057" s="1">
        <v>3</v>
      </c>
      <c r="D1057" s="1">
        <v>1</v>
      </c>
      <c r="E1057" s="5">
        <v>49.98</v>
      </c>
      <c r="F1057" s="1" t="s">
        <v>16</v>
      </c>
      <c r="G1057" s="1">
        <v>4</v>
      </c>
      <c r="H1057" s="1" t="s">
        <v>16</v>
      </c>
      <c r="I1057" s="1" t="s">
        <v>16</v>
      </c>
      <c r="J1057" s="1" t="s">
        <v>16</v>
      </c>
      <c r="K1057" s="1" t="s">
        <v>17</v>
      </c>
      <c r="L1057" s="1" t="s">
        <v>17</v>
      </c>
      <c r="M1057" s="1" t="s">
        <v>17</v>
      </c>
      <c r="N1057" s="1" t="s">
        <v>16</v>
      </c>
    </row>
    <row r="1058" spans="1:14" x14ac:dyDescent="0.25">
      <c r="A1058" s="9">
        <v>44503</v>
      </c>
      <c r="B1058" s="1" t="s">
        <v>22</v>
      </c>
      <c r="C1058" s="1">
        <v>4</v>
      </c>
      <c r="D1058" s="1">
        <v>1</v>
      </c>
      <c r="E1058" s="5">
        <v>51.23</v>
      </c>
      <c r="F1058" s="1" t="s">
        <v>19</v>
      </c>
      <c r="G1058" s="1">
        <v>2</v>
      </c>
      <c r="H1058" s="1" t="s">
        <v>16</v>
      </c>
      <c r="I1058" s="1" t="s">
        <v>16</v>
      </c>
      <c r="J1058" s="1" t="s">
        <v>16</v>
      </c>
      <c r="K1058" s="1" t="s">
        <v>17</v>
      </c>
      <c r="L1058" s="1" t="s">
        <v>17</v>
      </c>
      <c r="M1058" s="1" t="s">
        <v>17</v>
      </c>
      <c r="N1058" s="1" t="s">
        <v>16</v>
      </c>
    </row>
    <row r="1059" spans="1:14" x14ac:dyDescent="0.25">
      <c r="A1059" s="9">
        <v>44503</v>
      </c>
      <c r="B1059" s="1" t="s">
        <v>22</v>
      </c>
      <c r="C1059" s="1">
        <v>5</v>
      </c>
      <c r="D1059" s="1">
        <v>1</v>
      </c>
      <c r="E1059" s="5">
        <v>36.28</v>
      </c>
      <c r="F1059" s="1" t="s">
        <v>18</v>
      </c>
      <c r="G1059" s="1">
        <v>2</v>
      </c>
      <c r="H1059" s="1" t="s">
        <v>16</v>
      </c>
      <c r="I1059" s="1" t="s">
        <v>16</v>
      </c>
      <c r="J1059" s="1" t="s">
        <v>16</v>
      </c>
      <c r="K1059" s="1" t="s">
        <v>17</v>
      </c>
      <c r="L1059" s="1" t="s">
        <v>17</v>
      </c>
      <c r="M1059" s="1" t="s">
        <v>17</v>
      </c>
      <c r="N1059" s="1" t="s">
        <v>16</v>
      </c>
    </row>
    <row r="1060" spans="1:14" x14ac:dyDescent="0.25">
      <c r="A1060" s="9">
        <v>44503</v>
      </c>
      <c r="B1060" s="1" t="s">
        <v>22</v>
      </c>
      <c r="C1060" s="1">
        <v>6</v>
      </c>
      <c r="D1060" s="1">
        <v>2</v>
      </c>
      <c r="E1060" s="5">
        <v>72.87</v>
      </c>
      <c r="F1060" s="1" t="s">
        <v>18</v>
      </c>
      <c r="G1060" s="1">
        <v>2</v>
      </c>
      <c r="H1060" s="1" t="s">
        <v>16</v>
      </c>
      <c r="I1060" s="1" t="s">
        <v>16</v>
      </c>
      <c r="J1060" s="1" t="s">
        <v>16</v>
      </c>
      <c r="K1060" s="1" t="s">
        <v>17</v>
      </c>
      <c r="L1060" s="1" t="s">
        <v>17</v>
      </c>
      <c r="M1060" s="1" t="s">
        <v>17</v>
      </c>
      <c r="N1060" s="1" t="s">
        <v>16</v>
      </c>
    </row>
    <row r="1061" spans="1:14" x14ac:dyDescent="0.25">
      <c r="A1061" s="9">
        <v>44503</v>
      </c>
      <c r="B1061" s="1" t="s">
        <v>22</v>
      </c>
      <c r="C1061" s="1">
        <v>7</v>
      </c>
      <c r="D1061" s="1">
        <v>2</v>
      </c>
      <c r="E1061" s="5">
        <v>73.16</v>
      </c>
      <c r="F1061" s="1" t="s">
        <v>18</v>
      </c>
      <c r="G1061" s="1">
        <v>2</v>
      </c>
      <c r="H1061" s="1" t="s">
        <v>16</v>
      </c>
      <c r="I1061" s="1" t="s">
        <v>16</v>
      </c>
      <c r="J1061" s="1" t="s">
        <v>16</v>
      </c>
      <c r="K1061" s="1" t="s">
        <v>17</v>
      </c>
      <c r="L1061" s="1" t="s">
        <v>17</v>
      </c>
      <c r="M1061" s="1" t="s">
        <v>17</v>
      </c>
      <c r="N1061" s="1" t="s">
        <v>16</v>
      </c>
    </row>
    <row r="1062" spans="1:14" x14ac:dyDescent="0.25">
      <c r="A1062" s="9">
        <v>44503</v>
      </c>
      <c r="B1062" s="1" t="s">
        <v>22</v>
      </c>
      <c r="C1062" s="1">
        <v>8</v>
      </c>
      <c r="D1062" s="1">
        <v>2</v>
      </c>
      <c r="E1062" s="5">
        <v>60.11</v>
      </c>
      <c r="F1062" s="1" t="s">
        <v>18</v>
      </c>
      <c r="G1062" s="1">
        <v>2</v>
      </c>
      <c r="H1062" s="1" t="s">
        <v>16</v>
      </c>
      <c r="I1062" s="1" t="s">
        <v>16</v>
      </c>
      <c r="J1062" s="1" t="s">
        <v>16</v>
      </c>
      <c r="K1062" s="1" t="s">
        <v>17</v>
      </c>
      <c r="L1062" s="1" t="s">
        <v>17</v>
      </c>
      <c r="M1062" s="1" t="s">
        <v>17</v>
      </c>
      <c r="N1062" s="1" t="s">
        <v>16</v>
      </c>
    </row>
    <row r="1063" spans="1:14" x14ac:dyDescent="0.25">
      <c r="A1063" s="9">
        <v>44503</v>
      </c>
      <c r="B1063" s="1" t="s">
        <v>22</v>
      </c>
      <c r="C1063" s="1">
        <v>9</v>
      </c>
      <c r="D1063" s="1">
        <v>2</v>
      </c>
      <c r="E1063" s="5">
        <v>60.49</v>
      </c>
      <c r="F1063" s="1" t="s">
        <v>18</v>
      </c>
      <c r="G1063" s="1">
        <v>2</v>
      </c>
      <c r="H1063" s="1" t="s">
        <v>16</v>
      </c>
      <c r="I1063" s="1" t="s">
        <v>16</v>
      </c>
      <c r="J1063" s="1" t="s">
        <v>16</v>
      </c>
      <c r="K1063" s="1" t="s">
        <v>21</v>
      </c>
      <c r="L1063" s="1" t="s">
        <v>17</v>
      </c>
      <c r="M1063" s="1" t="s">
        <v>21</v>
      </c>
      <c r="N1063" s="1" t="s">
        <v>16</v>
      </c>
    </row>
    <row r="1064" spans="1:14" x14ac:dyDescent="0.25">
      <c r="A1064" s="9">
        <v>44503</v>
      </c>
      <c r="B1064" s="1" t="s">
        <v>22</v>
      </c>
      <c r="C1064" s="1">
        <v>10</v>
      </c>
      <c r="D1064" s="1">
        <v>2</v>
      </c>
      <c r="E1064" s="5">
        <v>43.31</v>
      </c>
      <c r="F1064" s="1" t="s">
        <v>19</v>
      </c>
      <c r="G1064" s="1">
        <v>2</v>
      </c>
      <c r="H1064" s="1" t="s">
        <v>16</v>
      </c>
      <c r="I1064" s="1" t="s">
        <v>16</v>
      </c>
      <c r="J1064" s="1" t="s">
        <v>16</v>
      </c>
      <c r="K1064" s="1" t="s">
        <v>21</v>
      </c>
      <c r="L1064" s="1" t="s">
        <v>17</v>
      </c>
      <c r="M1064" s="1" t="s">
        <v>17</v>
      </c>
      <c r="N1064" s="1" t="s">
        <v>16</v>
      </c>
    </row>
    <row r="1065" spans="1:14" x14ac:dyDescent="0.25">
      <c r="A1065" s="9">
        <v>44503</v>
      </c>
      <c r="B1065" s="1" t="s">
        <v>22</v>
      </c>
      <c r="C1065" s="1">
        <v>11</v>
      </c>
      <c r="D1065" s="1">
        <v>3</v>
      </c>
      <c r="E1065" s="5">
        <v>74.53</v>
      </c>
      <c r="F1065" s="1" t="s">
        <v>18</v>
      </c>
      <c r="G1065" s="1">
        <v>2</v>
      </c>
      <c r="H1065" s="1" t="s">
        <v>16</v>
      </c>
      <c r="I1065" s="1" t="s">
        <v>16</v>
      </c>
      <c r="J1065" s="1" t="s">
        <v>16</v>
      </c>
      <c r="K1065" s="1" t="s">
        <v>21</v>
      </c>
      <c r="L1065" s="1" t="s">
        <v>17</v>
      </c>
      <c r="M1065" s="1" t="s">
        <v>17</v>
      </c>
      <c r="N1065" s="1" t="s">
        <v>16</v>
      </c>
    </row>
    <row r="1066" spans="1:14" x14ac:dyDescent="0.25">
      <c r="A1066" s="9">
        <v>44503</v>
      </c>
      <c r="B1066" s="1" t="s">
        <v>22</v>
      </c>
      <c r="C1066" s="1">
        <v>12</v>
      </c>
      <c r="D1066" s="1">
        <v>3</v>
      </c>
      <c r="E1066" s="5">
        <v>63.27</v>
      </c>
      <c r="F1066" s="1" t="s">
        <v>18</v>
      </c>
      <c r="G1066" s="1">
        <v>2</v>
      </c>
      <c r="H1066" s="1" t="s">
        <v>16</v>
      </c>
      <c r="I1066" s="1" t="s">
        <v>16</v>
      </c>
      <c r="J1066" s="1" t="s">
        <v>16</v>
      </c>
      <c r="K1066" s="1" t="s">
        <v>17</v>
      </c>
      <c r="L1066" s="1" t="s">
        <v>17</v>
      </c>
      <c r="M1066" s="1" t="s">
        <v>17</v>
      </c>
      <c r="N1066" s="1" t="s">
        <v>16</v>
      </c>
    </row>
    <row r="1067" spans="1:14" x14ac:dyDescent="0.25">
      <c r="A1067" s="9">
        <v>44503</v>
      </c>
      <c r="B1067" s="1" t="s">
        <v>22</v>
      </c>
      <c r="C1067" s="1">
        <v>13</v>
      </c>
      <c r="D1067" s="1">
        <v>3</v>
      </c>
      <c r="E1067" s="5">
        <v>53.88</v>
      </c>
      <c r="F1067" s="1" t="s">
        <v>19</v>
      </c>
      <c r="G1067" s="1">
        <v>2</v>
      </c>
      <c r="H1067" s="1" t="s">
        <v>16</v>
      </c>
      <c r="I1067" s="1" t="s">
        <v>16</v>
      </c>
      <c r="J1067" s="1" t="s">
        <v>16</v>
      </c>
      <c r="K1067" s="1" t="s">
        <v>17</v>
      </c>
      <c r="L1067" s="1" t="s">
        <v>17</v>
      </c>
      <c r="M1067" s="1" t="s">
        <v>17</v>
      </c>
      <c r="N1067" s="1" t="s">
        <v>16</v>
      </c>
    </row>
    <row r="1068" spans="1:14" x14ac:dyDescent="0.25">
      <c r="A1068" s="9">
        <v>44503</v>
      </c>
      <c r="B1068" s="1" t="s">
        <v>22</v>
      </c>
      <c r="C1068" s="1">
        <v>14</v>
      </c>
      <c r="D1068" s="1">
        <v>3</v>
      </c>
      <c r="E1068" s="5">
        <v>52.62</v>
      </c>
      <c r="F1068" s="1" t="s">
        <v>18</v>
      </c>
      <c r="G1068" s="1">
        <v>2</v>
      </c>
      <c r="H1068" s="1" t="s">
        <v>16</v>
      </c>
      <c r="I1068" s="1" t="s">
        <v>16</v>
      </c>
      <c r="J1068" s="1" t="s">
        <v>16</v>
      </c>
      <c r="K1068" s="1" t="s">
        <v>17</v>
      </c>
      <c r="L1068" s="1" t="s">
        <v>17</v>
      </c>
      <c r="M1068" s="1" t="s">
        <v>17</v>
      </c>
      <c r="N1068" s="1" t="s">
        <v>16</v>
      </c>
    </row>
    <row r="1069" spans="1:14" x14ac:dyDescent="0.25">
      <c r="A1069" s="9">
        <v>44503</v>
      </c>
      <c r="B1069" s="1" t="s">
        <v>22</v>
      </c>
      <c r="C1069" s="1">
        <v>15</v>
      </c>
      <c r="D1069" s="1">
        <v>3</v>
      </c>
      <c r="E1069" s="5">
        <v>53.96</v>
      </c>
      <c r="F1069" s="1" t="s">
        <v>18</v>
      </c>
      <c r="G1069" s="1">
        <v>2</v>
      </c>
      <c r="H1069" s="1" t="s">
        <v>16</v>
      </c>
      <c r="I1069" s="1" t="s">
        <v>16</v>
      </c>
      <c r="J1069" s="1" t="s">
        <v>16</v>
      </c>
      <c r="K1069" s="1" t="s">
        <v>17</v>
      </c>
      <c r="L1069" s="1" t="s">
        <v>17</v>
      </c>
      <c r="M1069" s="1" t="s">
        <v>17</v>
      </c>
      <c r="N1069" s="1" t="s">
        <v>16</v>
      </c>
    </row>
    <row r="1070" spans="1:14" x14ac:dyDescent="0.25">
      <c r="A1070" s="9">
        <v>44537</v>
      </c>
      <c r="B1070" s="1" t="s">
        <v>22</v>
      </c>
      <c r="C1070" s="1">
        <v>1</v>
      </c>
      <c r="D1070" s="1">
        <v>1</v>
      </c>
      <c r="E1070" s="5">
        <v>37.74</v>
      </c>
      <c r="F1070" s="1" t="s">
        <v>16</v>
      </c>
      <c r="G1070" s="1">
        <v>4</v>
      </c>
      <c r="H1070" s="1" t="s">
        <v>16</v>
      </c>
      <c r="I1070" s="1" t="s">
        <v>16</v>
      </c>
      <c r="J1070" s="1" t="s">
        <v>16</v>
      </c>
      <c r="K1070" s="1" t="s">
        <v>21</v>
      </c>
      <c r="L1070" s="1" t="s">
        <v>17</v>
      </c>
      <c r="M1070" s="1" t="s">
        <v>17</v>
      </c>
      <c r="N1070" s="1" t="s">
        <v>16</v>
      </c>
    </row>
    <row r="1071" spans="1:14" x14ac:dyDescent="0.25">
      <c r="A1071" s="9">
        <v>44537</v>
      </c>
      <c r="B1071" s="1" t="s">
        <v>22</v>
      </c>
      <c r="C1071" s="1">
        <v>2</v>
      </c>
      <c r="D1071" s="1">
        <v>1</v>
      </c>
      <c r="E1071" s="5">
        <v>43.22</v>
      </c>
      <c r="F1071" s="1" t="s">
        <v>16</v>
      </c>
      <c r="G1071" s="1">
        <v>4</v>
      </c>
      <c r="H1071" s="1" t="s">
        <v>16</v>
      </c>
      <c r="I1071" s="1" t="s">
        <v>16</v>
      </c>
      <c r="J1071" s="1" t="s">
        <v>16</v>
      </c>
      <c r="K1071" s="1" t="s">
        <v>17</v>
      </c>
      <c r="L1071" s="1" t="s">
        <v>17</v>
      </c>
      <c r="M1071" s="1" t="s">
        <v>17</v>
      </c>
      <c r="N1071" s="1" t="s">
        <v>16</v>
      </c>
    </row>
    <row r="1072" spans="1:14" x14ac:dyDescent="0.25">
      <c r="A1072" s="9">
        <v>44537</v>
      </c>
      <c r="B1072" s="1" t="s">
        <v>22</v>
      </c>
      <c r="C1072" s="1">
        <v>3</v>
      </c>
      <c r="D1072" s="1">
        <v>1</v>
      </c>
      <c r="E1072" s="5">
        <v>49.84</v>
      </c>
      <c r="F1072" s="1" t="s">
        <v>16</v>
      </c>
      <c r="G1072" s="1">
        <v>4</v>
      </c>
      <c r="H1072" s="1" t="s">
        <v>16</v>
      </c>
      <c r="I1072" s="1" t="s">
        <v>16</v>
      </c>
      <c r="J1072" s="1" t="s">
        <v>16</v>
      </c>
      <c r="K1072" s="1" t="s">
        <v>17</v>
      </c>
      <c r="L1072" s="1" t="s">
        <v>17</v>
      </c>
      <c r="M1072" s="1" t="s">
        <v>17</v>
      </c>
      <c r="N1072" s="1" t="s">
        <v>16</v>
      </c>
    </row>
    <row r="1073" spans="1:14" x14ac:dyDescent="0.25">
      <c r="A1073" s="9">
        <v>44537</v>
      </c>
      <c r="B1073" s="1" t="s">
        <v>22</v>
      </c>
      <c r="C1073" s="1">
        <v>4</v>
      </c>
      <c r="D1073" s="1">
        <v>1</v>
      </c>
      <c r="E1073" s="5">
        <v>46.82</v>
      </c>
      <c r="F1073" s="1" t="s">
        <v>16</v>
      </c>
      <c r="G1073" s="1">
        <v>4</v>
      </c>
      <c r="H1073" s="1" t="s">
        <v>16</v>
      </c>
      <c r="I1073" s="1" t="s">
        <v>16</v>
      </c>
      <c r="J1073" s="1" t="s">
        <v>16</v>
      </c>
      <c r="K1073" s="1" t="s">
        <v>17</v>
      </c>
      <c r="L1073" s="1" t="s">
        <v>17</v>
      </c>
      <c r="M1073" s="1" t="s">
        <v>17</v>
      </c>
      <c r="N1073" s="1" t="s">
        <v>16</v>
      </c>
    </row>
    <row r="1074" spans="1:14" x14ac:dyDescent="0.25">
      <c r="A1074" s="9">
        <v>44537</v>
      </c>
      <c r="B1074" s="1" t="s">
        <v>22</v>
      </c>
      <c r="C1074" s="1">
        <v>5</v>
      </c>
      <c r="D1074" s="1">
        <v>1</v>
      </c>
      <c r="E1074" s="5">
        <v>64.739999999999995</v>
      </c>
      <c r="F1074" s="1" t="s">
        <v>16</v>
      </c>
      <c r="G1074" s="1">
        <v>4</v>
      </c>
      <c r="H1074" s="1" t="s">
        <v>16</v>
      </c>
      <c r="I1074" s="1" t="s">
        <v>16</v>
      </c>
      <c r="J1074" s="1" t="s">
        <v>16</v>
      </c>
      <c r="K1074" s="1" t="s">
        <v>17</v>
      </c>
      <c r="L1074" s="1" t="s">
        <v>17</v>
      </c>
      <c r="M1074" s="1" t="s">
        <v>17</v>
      </c>
      <c r="N1074" s="1" t="s">
        <v>16</v>
      </c>
    </row>
    <row r="1075" spans="1:14" x14ac:dyDescent="0.25">
      <c r="A1075" s="9">
        <v>44537</v>
      </c>
      <c r="B1075" s="1" t="s">
        <v>22</v>
      </c>
      <c r="C1075" s="1">
        <v>6</v>
      </c>
      <c r="D1075" s="1">
        <v>2</v>
      </c>
      <c r="E1075" s="5">
        <v>54.06</v>
      </c>
      <c r="F1075" s="1" t="s">
        <v>18</v>
      </c>
      <c r="G1075" s="1">
        <v>3</v>
      </c>
      <c r="H1075" s="1" t="s">
        <v>16</v>
      </c>
      <c r="I1075" s="1" t="s">
        <v>16</v>
      </c>
      <c r="J1075" s="1" t="s">
        <v>16</v>
      </c>
      <c r="K1075" s="1" t="s">
        <v>17</v>
      </c>
      <c r="L1075" s="1" t="s">
        <v>17</v>
      </c>
      <c r="M1075" s="1" t="s">
        <v>17</v>
      </c>
      <c r="N1075" s="1" t="s">
        <v>16</v>
      </c>
    </row>
    <row r="1076" spans="1:14" x14ac:dyDescent="0.25">
      <c r="A1076" s="9">
        <v>44537</v>
      </c>
      <c r="B1076" s="1" t="s">
        <v>22</v>
      </c>
      <c r="C1076" s="1">
        <v>7</v>
      </c>
      <c r="D1076" s="1">
        <v>2</v>
      </c>
      <c r="E1076" s="5">
        <v>40.47</v>
      </c>
      <c r="F1076" s="1" t="s">
        <v>16</v>
      </c>
      <c r="G1076" s="1">
        <v>4</v>
      </c>
      <c r="H1076" s="1" t="s">
        <v>16</v>
      </c>
      <c r="I1076" s="1" t="s">
        <v>16</v>
      </c>
      <c r="J1076" s="1" t="s">
        <v>16</v>
      </c>
      <c r="K1076" s="1" t="s">
        <v>17</v>
      </c>
      <c r="L1076" s="1" t="s">
        <v>17</v>
      </c>
      <c r="M1076" s="1" t="s">
        <v>17</v>
      </c>
      <c r="N1076" s="1" t="s">
        <v>16</v>
      </c>
    </row>
    <row r="1077" spans="1:14" x14ac:dyDescent="0.25">
      <c r="A1077" s="9">
        <v>44537</v>
      </c>
      <c r="B1077" s="1" t="s">
        <v>22</v>
      </c>
      <c r="C1077" s="1">
        <v>8</v>
      </c>
      <c r="D1077" s="1">
        <v>2</v>
      </c>
      <c r="E1077" s="5">
        <v>51.7</v>
      </c>
      <c r="F1077" s="1" t="s">
        <v>16</v>
      </c>
      <c r="G1077" s="1">
        <v>4</v>
      </c>
      <c r="H1077" s="1" t="s">
        <v>16</v>
      </c>
      <c r="I1077" s="1" t="s">
        <v>16</v>
      </c>
      <c r="J1077" s="1" t="s">
        <v>16</v>
      </c>
      <c r="K1077" s="1" t="s">
        <v>17</v>
      </c>
      <c r="L1077" s="1" t="s">
        <v>17</v>
      </c>
      <c r="M1077" s="1" t="s">
        <v>17</v>
      </c>
      <c r="N1077" s="1" t="s">
        <v>16</v>
      </c>
    </row>
    <row r="1078" spans="1:14" x14ac:dyDescent="0.25">
      <c r="A1078" s="9">
        <v>44537</v>
      </c>
      <c r="B1078" s="1" t="s">
        <v>22</v>
      </c>
      <c r="C1078" s="1">
        <v>9</v>
      </c>
      <c r="D1078" s="1">
        <v>2</v>
      </c>
      <c r="E1078" s="5">
        <v>44.91</v>
      </c>
      <c r="F1078" s="1" t="s">
        <v>18</v>
      </c>
      <c r="G1078" s="1">
        <v>1</v>
      </c>
      <c r="H1078" s="1" t="s">
        <v>16</v>
      </c>
      <c r="I1078" s="1" t="s">
        <v>16</v>
      </c>
      <c r="J1078" s="1" t="s">
        <v>16</v>
      </c>
      <c r="K1078" s="1" t="s">
        <v>17</v>
      </c>
      <c r="L1078" s="1" t="s">
        <v>17</v>
      </c>
      <c r="M1078" s="1" t="s">
        <v>17</v>
      </c>
      <c r="N1078" s="1" t="s">
        <v>16</v>
      </c>
    </row>
    <row r="1079" spans="1:14" x14ac:dyDescent="0.25">
      <c r="A1079" s="9">
        <v>44537</v>
      </c>
      <c r="B1079" s="1" t="s">
        <v>22</v>
      </c>
      <c r="C1079" s="1">
        <v>10</v>
      </c>
      <c r="D1079" s="1">
        <v>2</v>
      </c>
      <c r="E1079" s="5">
        <v>48.28</v>
      </c>
      <c r="F1079" s="1" t="s">
        <v>16</v>
      </c>
      <c r="G1079" s="1">
        <v>4</v>
      </c>
      <c r="H1079" s="1" t="s">
        <v>16</v>
      </c>
      <c r="I1079" s="1" t="s">
        <v>16</v>
      </c>
      <c r="J1079" s="1" t="s">
        <v>16</v>
      </c>
      <c r="K1079" s="1" t="s">
        <v>17</v>
      </c>
      <c r="L1079" s="1" t="s">
        <v>17</v>
      </c>
      <c r="M1079" s="1" t="s">
        <v>17</v>
      </c>
      <c r="N1079" s="1" t="s">
        <v>16</v>
      </c>
    </row>
    <row r="1080" spans="1:14" x14ac:dyDescent="0.25">
      <c r="A1080" s="9">
        <v>44537</v>
      </c>
      <c r="B1080" s="1" t="s">
        <v>22</v>
      </c>
      <c r="C1080" s="1">
        <v>11</v>
      </c>
      <c r="D1080" s="1">
        <v>3</v>
      </c>
      <c r="E1080" s="5">
        <v>48.06</v>
      </c>
      <c r="F1080" s="1" t="s">
        <v>19</v>
      </c>
      <c r="G1080" s="1">
        <v>2</v>
      </c>
      <c r="H1080" s="1" t="s">
        <v>16</v>
      </c>
      <c r="I1080" s="1" t="s">
        <v>16</v>
      </c>
      <c r="J1080" s="1" t="s">
        <v>16</v>
      </c>
      <c r="K1080" s="1" t="s">
        <v>17</v>
      </c>
      <c r="L1080" s="1" t="s">
        <v>17</v>
      </c>
      <c r="M1080" s="1" t="s">
        <v>17</v>
      </c>
      <c r="N1080" s="1" t="s">
        <v>16</v>
      </c>
    </row>
    <row r="1081" spans="1:14" x14ac:dyDescent="0.25">
      <c r="A1081" s="9">
        <v>44537</v>
      </c>
      <c r="B1081" s="1" t="s">
        <v>22</v>
      </c>
      <c r="C1081" s="1">
        <v>12</v>
      </c>
      <c r="D1081" s="1">
        <v>3</v>
      </c>
      <c r="E1081" s="5">
        <v>71.25</v>
      </c>
      <c r="F1081" s="1" t="s">
        <v>18</v>
      </c>
      <c r="G1081" s="1">
        <v>1</v>
      </c>
      <c r="H1081" s="1" t="s">
        <v>16</v>
      </c>
      <c r="I1081" s="1" t="s">
        <v>16</v>
      </c>
      <c r="J1081" s="1" t="s">
        <v>16</v>
      </c>
      <c r="K1081" s="1" t="s">
        <v>21</v>
      </c>
      <c r="L1081" s="1" t="s">
        <v>17</v>
      </c>
      <c r="M1081" s="1" t="s">
        <v>17</v>
      </c>
      <c r="N1081" s="1" t="s">
        <v>16</v>
      </c>
    </row>
    <row r="1082" spans="1:14" x14ac:dyDescent="0.25">
      <c r="A1082" s="9">
        <v>44537</v>
      </c>
      <c r="B1082" s="1" t="s">
        <v>22</v>
      </c>
      <c r="C1082" s="1">
        <v>13</v>
      </c>
      <c r="D1082" s="1">
        <v>3</v>
      </c>
      <c r="E1082" s="5">
        <v>44.38</v>
      </c>
      <c r="F1082" s="1" t="s">
        <v>18</v>
      </c>
      <c r="G1082" s="1">
        <v>1</v>
      </c>
      <c r="H1082" s="1" t="s">
        <v>16</v>
      </c>
      <c r="I1082" s="1" t="s">
        <v>16</v>
      </c>
      <c r="J1082" s="1" t="s">
        <v>16</v>
      </c>
      <c r="K1082" s="1" t="s">
        <v>17</v>
      </c>
      <c r="L1082" s="1" t="s">
        <v>17</v>
      </c>
      <c r="M1082" s="1" t="s">
        <v>17</v>
      </c>
      <c r="N1082" s="1" t="s">
        <v>16</v>
      </c>
    </row>
    <row r="1083" spans="1:14" x14ac:dyDescent="0.25">
      <c r="A1083" s="9">
        <v>44537</v>
      </c>
      <c r="B1083" s="1" t="s">
        <v>22</v>
      </c>
      <c r="C1083" s="1">
        <v>14</v>
      </c>
      <c r="D1083" s="1">
        <v>3</v>
      </c>
      <c r="E1083" s="5">
        <v>36.880000000000003</v>
      </c>
      <c r="F1083" s="1" t="s">
        <v>18</v>
      </c>
      <c r="G1083" s="1">
        <v>2</v>
      </c>
      <c r="H1083" s="1" t="s">
        <v>16</v>
      </c>
      <c r="I1083" s="1" t="s">
        <v>16</v>
      </c>
      <c r="J1083" s="1" t="s">
        <v>16</v>
      </c>
      <c r="K1083" s="1" t="s">
        <v>17</v>
      </c>
      <c r="L1083" s="1" t="s">
        <v>17</v>
      </c>
      <c r="M1083" s="1" t="s">
        <v>17</v>
      </c>
      <c r="N1083" s="1" t="s">
        <v>16</v>
      </c>
    </row>
    <row r="1084" spans="1:14" x14ac:dyDescent="0.25">
      <c r="A1084" s="9">
        <v>44537</v>
      </c>
      <c r="B1084" s="1" t="s">
        <v>22</v>
      </c>
      <c r="C1084" s="1">
        <v>15</v>
      </c>
      <c r="D1084" s="1">
        <v>3</v>
      </c>
      <c r="E1084" s="5">
        <v>51.77</v>
      </c>
      <c r="F1084" s="1" t="s">
        <v>19</v>
      </c>
      <c r="G1084" s="1">
        <v>2</v>
      </c>
      <c r="H1084" s="1" t="s">
        <v>16</v>
      </c>
      <c r="I1084" s="1" t="s">
        <v>16</v>
      </c>
      <c r="J1084" s="1" t="s">
        <v>16</v>
      </c>
      <c r="K1084" s="1" t="s">
        <v>17</v>
      </c>
      <c r="L1084" s="1" t="s">
        <v>17</v>
      </c>
      <c r="M1084" s="1" t="s">
        <v>17</v>
      </c>
      <c r="N1084" s="1" t="s">
        <v>16</v>
      </c>
    </row>
    <row r="1085" spans="1:14" x14ac:dyDescent="0.25">
      <c r="A1085" s="9">
        <v>44573</v>
      </c>
      <c r="B1085" s="1" t="s">
        <v>22</v>
      </c>
      <c r="C1085" s="1">
        <v>1</v>
      </c>
      <c r="D1085" s="1">
        <v>1</v>
      </c>
      <c r="E1085" s="5">
        <v>61.89</v>
      </c>
      <c r="F1085" s="1" t="s">
        <v>16</v>
      </c>
      <c r="G1085" s="1">
        <v>4</v>
      </c>
      <c r="H1085" s="1" t="s">
        <v>16</v>
      </c>
      <c r="I1085" s="1" t="s">
        <v>16</v>
      </c>
      <c r="J1085" s="1" t="s">
        <v>16</v>
      </c>
      <c r="K1085" s="1" t="s">
        <v>21</v>
      </c>
      <c r="L1085" s="1" t="s">
        <v>17</v>
      </c>
      <c r="M1085" s="1" t="s">
        <v>17</v>
      </c>
      <c r="N1085" s="1" t="s">
        <v>16</v>
      </c>
    </row>
    <row r="1086" spans="1:14" x14ac:dyDescent="0.25">
      <c r="A1086" s="9">
        <v>44573</v>
      </c>
      <c r="B1086" s="1" t="s">
        <v>22</v>
      </c>
      <c r="C1086" s="1">
        <v>2</v>
      </c>
      <c r="D1086" s="1">
        <v>1</v>
      </c>
      <c r="E1086" s="5">
        <v>45.21</v>
      </c>
      <c r="F1086" s="1" t="s">
        <v>16</v>
      </c>
      <c r="G1086" s="1">
        <v>4</v>
      </c>
      <c r="H1086" s="1" t="s">
        <v>16</v>
      </c>
      <c r="I1086" s="1" t="s">
        <v>16</v>
      </c>
      <c r="J1086" s="1" t="s">
        <v>16</v>
      </c>
      <c r="K1086" s="1" t="s">
        <v>17</v>
      </c>
      <c r="L1086" s="1" t="s">
        <v>17</v>
      </c>
      <c r="M1086" s="1" t="s">
        <v>17</v>
      </c>
      <c r="N1086" s="1" t="s">
        <v>16</v>
      </c>
    </row>
    <row r="1087" spans="1:14" x14ac:dyDescent="0.25">
      <c r="A1087" s="9">
        <v>44573</v>
      </c>
      <c r="B1087" s="1" t="s">
        <v>22</v>
      </c>
      <c r="C1087" s="1">
        <v>3</v>
      </c>
      <c r="D1087" s="1">
        <v>1</v>
      </c>
      <c r="E1087" s="5">
        <v>48.22</v>
      </c>
      <c r="F1087" s="1" t="s">
        <v>16</v>
      </c>
      <c r="G1087" s="1">
        <v>4</v>
      </c>
      <c r="H1087" s="1" t="s">
        <v>16</v>
      </c>
      <c r="I1087" s="1" t="s">
        <v>16</v>
      </c>
      <c r="J1087" s="1" t="s">
        <v>16</v>
      </c>
      <c r="K1087" s="1" t="s">
        <v>17</v>
      </c>
      <c r="L1087" s="1" t="s">
        <v>17</v>
      </c>
      <c r="M1087" s="1" t="s">
        <v>21</v>
      </c>
      <c r="N1087" s="1" t="s">
        <v>16</v>
      </c>
    </row>
    <row r="1088" spans="1:14" x14ac:dyDescent="0.25">
      <c r="A1088" s="9">
        <v>44573</v>
      </c>
      <c r="B1088" s="1" t="s">
        <v>22</v>
      </c>
      <c r="C1088" s="1">
        <v>4</v>
      </c>
      <c r="D1088" s="1">
        <v>1</v>
      </c>
      <c r="E1088" s="5">
        <v>45.09</v>
      </c>
      <c r="F1088" s="1" t="s">
        <v>16</v>
      </c>
      <c r="G1088" s="1">
        <v>4</v>
      </c>
      <c r="H1088" s="1" t="s">
        <v>16</v>
      </c>
      <c r="I1088" s="1" t="s">
        <v>16</v>
      </c>
      <c r="J1088" s="1" t="s">
        <v>16</v>
      </c>
      <c r="K1088" s="1" t="s">
        <v>17</v>
      </c>
      <c r="L1088" s="1" t="s">
        <v>17</v>
      </c>
      <c r="M1088" s="1" t="s">
        <v>17</v>
      </c>
      <c r="N1088" s="1" t="s">
        <v>16</v>
      </c>
    </row>
    <row r="1089" spans="1:14" x14ac:dyDescent="0.25">
      <c r="A1089" s="9">
        <v>44573</v>
      </c>
      <c r="B1089" s="1" t="s">
        <v>22</v>
      </c>
      <c r="C1089" s="1">
        <v>5</v>
      </c>
      <c r="D1089" s="1">
        <v>1</v>
      </c>
      <c r="E1089" s="5">
        <v>51.23</v>
      </c>
      <c r="F1089" s="1" t="s">
        <v>16</v>
      </c>
      <c r="G1089" s="1">
        <v>4</v>
      </c>
      <c r="H1089" s="1" t="s">
        <v>16</v>
      </c>
      <c r="I1089" s="1" t="s">
        <v>16</v>
      </c>
      <c r="J1089" s="1" t="s">
        <v>16</v>
      </c>
      <c r="K1089" s="1" t="s">
        <v>17</v>
      </c>
      <c r="L1089" s="1" t="s">
        <v>17</v>
      </c>
      <c r="M1089" s="1" t="s">
        <v>17</v>
      </c>
      <c r="N1089" s="1" t="s">
        <v>16</v>
      </c>
    </row>
    <row r="1090" spans="1:14" x14ac:dyDescent="0.25">
      <c r="A1090" s="9">
        <v>44573</v>
      </c>
      <c r="B1090" s="1" t="s">
        <v>22</v>
      </c>
      <c r="C1090" s="1">
        <v>6</v>
      </c>
      <c r="D1090" s="1">
        <v>2</v>
      </c>
      <c r="E1090" s="5">
        <v>54.63</v>
      </c>
      <c r="F1090" s="1" t="s">
        <v>19</v>
      </c>
      <c r="G1090" s="1">
        <v>3</v>
      </c>
      <c r="H1090" s="1" t="s">
        <v>16</v>
      </c>
      <c r="I1090" s="1" t="s">
        <v>16</v>
      </c>
      <c r="J1090" s="1" t="s">
        <v>16</v>
      </c>
      <c r="K1090" s="1" t="s">
        <v>17</v>
      </c>
      <c r="L1090" s="1" t="s">
        <v>17</v>
      </c>
      <c r="M1090" s="1" t="s">
        <v>17</v>
      </c>
      <c r="N1090" s="1" t="s">
        <v>16</v>
      </c>
    </row>
    <row r="1091" spans="1:14" x14ac:dyDescent="0.25">
      <c r="A1091" s="9">
        <v>44573</v>
      </c>
      <c r="B1091" s="1" t="s">
        <v>22</v>
      </c>
      <c r="C1091" s="1">
        <v>7</v>
      </c>
      <c r="D1091" s="1">
        <v>2</v>
      </c>
      <c r="E1091" s="5">
        <v>58.28</v>
      </c>
      <c r="F1091" s="1" t="s">
        <v>18</v>
      </c>
      <c r="G1091" s="1">
        <v>1</v>
      </c>
      <c r="H1091" s="1" t="s">
        <v>16</v>
      </c>
      <c r="I1091" s="1" t="s">
        <v>16</v>
      </c>
      <c r="J1091" s="1" t="s">
        <v>16</v>
      </c>
      <c r="K1091" s="1" t="s">
        <v>21</v>
      </c>
      <c r="L1091" s="1" t="s">
        <v>17</v>
      </c>
      <c r="M1091" s="1" t="s">
        <v>17</v>
      </c>
      <c r="N1091" s="1" t="s">
        <v>16</v>
      </c>
    </row>
    <row r="1092" spans="1:14" x14ac:dyDescent="0.25">
      <c r="A1092" s="9">
        <v>44573</v>
      </c>
      <c r="B1092" s="1" t="s">
        <v>22</v>
      </c>
      <c r="C1092" s="1">
        <v>8</v>
      </c>
      <c r="D1092" s="1">
        <v>2</v>
      </c>
      <c r="E1092" s="5">
        <v>51.91</v>
      </c>
      <c r="F1092" s="1" t="s">
        <v>16</v>
      </c>
      <c r="G1092" s="1">
        <v>4</v>
      </c>
      <c r="H1092" s="1" t="s">
        <v>16</v>
      </c>
      <c r="I1092" s="1" t="s">
        <v>16</v>
      </c>
      <c r="J1092" s="1" t="s">
        <v>16</v>
      </c>
      <c r="K1092" s="1" t="s">
        <v>17</v>
      </c>
      <c r="L1092" s="1" t="s">
        <v>17</v>
      </c>
      <c r="M1092" s="1" t="s">
        <v>17</v>
      </c>
      <c r="N1092" s="1" t="s">
        <v>16</v>
      </c>
    </row>
    <row r="1093" spans="1:14" x14ac:dyDescent="0.25">
      <c r="A1093" s="9">
        <v>44573</v>
      </c>
      <c r="B1093" s="1" t="s">
        <v>22</v>
      </c>
      <c r="C1093" s="1">
        <v>9</v>
      </c>
      <c r="D1093" s="1">
        <v>2</v>
      </c>
      <c r="E1093" s="5">
        <v>51.75</v>
      </c>
      <c r="F1093" s="1" t="s">
        <v>16</v>
      </c>
      <c r="G1093" s="1">
        <v>4</v>
      </c>
      <c r="H1093" s="1" t="s">
        <v>16</v>
      </c>
      <c r="I1093" s="1" t="s">
        <v>16</v>
      </c>
      <c r="J1093" s="1" t="s">
        <v>16</v>
      </c>
      <c r="K1093" s="1" t="s">
        <v>21</v>
      </c>
      <c r="L1093" s="1" t="s">
        <v>17</v>
      </c>
      <c r="M1093" s="1" t="s">
        <v>17</v>
      </c>
      <c r="N1093" s="1" t="s">
        <v>16</v>
      </c>
    </row>
    <row r="1094" spans="1:14" x14ac:dyDescent="0.25">
      <c r="A1094" s="9">
        <v>44573</v>
      </c>
      <c r="B1094" s="1" t="s">
        <v>22</v>
      </c>
      <c r="C1094" s="1">
        <v>10</v>
      </c>
      <c r="D1094" s="1">
        <v>2</v>
      </c>
      <c r="E1094" s="5">
        <v>45.14</v>
      </c>
      <c r="F1094" s="1" t="s">
        <v>18</v>
      </c>
      <c r="G1094" s="1">
        <v>3</v>
      </c>
      <c r="H1094" s="1" t="s">
        <v>16</v>
      </c>
      <c r="I1094" s="1" t="s">
        <v>16</v>
      </c>
      <c r="J1094" s="1" t="s">
        <v>16</v>
      </c>
      <c r="K1094" s="1" t="s">
        <v>21</v>
      </c>
      <c r="L1094" s="1" t="s">
        <v>17</v>
      </c>
      <c r="M1094" s="1" t="s">
        <v>17</v>
      </c>
      <c r="N1094" s="1" t="s">
        <v>16</v>
      </c>
    </row>
    <row r="1095" spans="1:14" x14ac:dyDescent="0.25">
      <c r="A1095" s="9">
        <v>44573</v>
      </c>
      <c r="B1095" s="1" t="s">
        <v>22</v>
      </c>
      <c r="C1095" s="1">
        <v>11</v>
      </c>
      <c r="D1095" s="1">
        <v>3</v>
      </c>
      <c r="E1095" s="5">
        <v>55.36</v>
      </c>
      <c r="F1095" s="1" t="s">
        <v>18</v>
      </c>
      <c r="G1095" s="1">
        <v>3</v>
      </c>
      <c r="H1095" s="1" t="s">
        <v>16</v>
      </c>
      <c r="I1095" s="1" t="s">
        <v>16</v>
      </c>
      <c r="J1095" s="1" t="s">
        <v>16</v>
      </c>
      <c r="K1095" s="1" t="s">
        <v>17</v>
      </c>
      <c r="L1095" s="1" t="s">
        <v>17</v>
      </c>
      <c r="M1095" s="1" t="s">
        <v>17</v>
      </c>
      <c r="N1095" s="1" t="s">
        <v>16</v>
      </c>
    </row>
    <row r="1096" spans="1:14" x14ac:dyDescent="0.25">
      <c r="A1096" s="9">
        <v>44573</v>
      </c>
      <c r="B1096" s="1" t="s">
        <v>22</v>
      </c>
      <c r="C1096" s="1">
        <v>12</v>
      </c>
      <c r="D1096" s="1">
        <v>3</v>
      </c>
      <c r="E1096" s="5">
        <v>46.7</v>
      </c>
      <c r="F1096" s="1" t="s">
        <v>18</v>
      </c>
      <c r="G1096" s="1">
        <v>2</v>
      </c>
      <c r="H1096" s="1" t="s">
        <v>16</v>
      </c>
      <c r="I1096" s="1" t="s">
        <v>16</v>
      </c>
      <c r="J1096" s="1" t="s">
        <v>16</v>
      </c>
      <c r="K1096" s="1" t="s">
        <v>17</v>
      </c>
      <c r="L1096" s="1" t="s">
        <v>17</v>
      </c>
      <c r="M1096" s="1" t="s">
        <v>17</v>
      </c>
      <c r="N1096" s="1" t="s">
        <v>16</v>
      </c>
    </row>
    <row r="1097" spans="1:14" x14ac:dyDescent="0.25">
      <c r="A1097" s="9">
        <v>44573</v>
      </c>
      <c r="B1097" s="1" t="s">
        <v>22</v>
      </c>
      <c r="C1097" s="1">
        <v>13</v>
      </c>
      <c r="D1097" s="1">
        <v>3</v>
      </c>
      <c r="E1097" s="5">
        <v>42.37</v>
      </c>
      <c r="F1097" s="1" t="s">
        <v>18</v>
      </c>
      <c r="G1097" s="1">
        <v>1</v>
      </c>
      <c r="H1097" s="1" t="s">
        <v>16</v>
      </c>
      <c r="I1097" s="1" t="s">
        <v>16</v>
      </c>
      <c r="J1097" s="1" t="s">
        <v>16</v>
      </c>
      <c r="K1097" s="1" t="s">
        <v>17</v>
      </c>
      <c r="L1097" s="1" t="s">
        <v>17</v>
      </c>
      <c r="M1097" s="1" t="s">
        <v>17</v>
      </c>
      <c r="N1097" s="1" t="s">
        <v>16</v>
      </c>
    </row>
    <row r="1098" spans="1:14" x14ac:dyDescent="0.25">
      <c r="A1098" s="9">
        <v>44573</v>
      </c>
      <c r="B1098" s="1" t="s">
        <v>22</v>
      </c>
      <c r="C1098" s="1">
        <v>14</v>
      </c>
      <c r="D1098" s="1">
        <v>3</v>
      </c>
      <c r="E1098" s="5">
        <v>37.130000000000003</v>
      </c>
      <c r="F1098" s="1" t="s">
        <v>19</v>
      </c>
      <c r="G1098" s="1">
        <v>2</v>
      </c>
      <c r="H1098" s="1" t="s">
        <v>16</v>
      </c>
      <c r="I1098" s="1" t="s">
        <v>16</v>
      </c>
      <c r="J1098" s="1" t="s">
        <v>16</v>
      </c>
      <c r="K1098" s="1" t="s">
        <v>17</v>
      </c>
      <c r="L1098" s="1" t="s">
        <v>17</v>
      </c>
      <c r="M1098" s="1" t="s">
        <v>21</v>
      </c>
      <c r="N1098" s="1" t="s">
        <v>16</v>
      </c>
    </row>
    <row r="1099" spans="1:14" x14ac:dyDescent="0.25">
      <c r="A1099" s="9">
        <v>44573</v>
      </c>
      <c r="B1099" s="1" t="s">
        <v>22</v>
      </c>
      <c r="C1099" s="1">
        <v>15</v>
      </c>
      <c r="D1099" s="1">
        <v>3</v>
      </c>
      <c r="E1099" s="5">
        <v>41.93</v>
      </c>
      <c r="F1099" s="1" t="s">
        <v>16</v>
      </c>
      <c r="G1099" s="1">
        <v>4</v>
      </c>
      <c r="H1099" s="1" t="s">
        <v>16</v>
      </c>
      <c r="I1099" s="1" t="s">
        <v>16</v>
      </c>
      <c r="J1099" s="1" t="s">
        <v>16</v>
      </c>
      <c r="K1099" s="1" t="s">
        <v>17</v>
      </c>
      <c r="L1099" s="1" t="s">
        <v>17</v>
      </c>
      <c r="M1099" s="1" t="s">
        <v>17</v>
      </c>
      <c r="N1099" s="1" t="s">
        <v>16</v>
      </c>
    </row>
    <row r="1100" spans="1:14" x14ac:dyDescent="0.25">
      <c r="A1100" s="9">
        <v>44601</v>
      </c>
      <c r="B1100" s="1" t="s">
        <v>22</v>
      </c>
      <c r="C1100" s="1">
        <v>1</v>
      </c>
      <c r="D1100" s="1">
        <v>1</v>
      </c>
      <c r="E1100" s="5">
        <v>39.18</v>
      </c>
      <c r="F1100" s="1" t="s">
        <v>16</v>
      </c>
      <c r="G1100" s="1">
        <v>4</v>
      </c>
      <c r="H1100" s="1" t="s">
        <v>16</v>
      </c>
      <c r="I1100" s="1" t="s">
        <v>16</v>
      </c>
      <c r="J1100" s="1" t="s">
        <v>16</v>
      </c>
      <c r="K1100" s="1" t="s">
        <v>21</v>
      </c>
      <c r="L1100" s="1" t="s">
        <v>17</v>
      </c>
      <c r="M1100" s="1" t="s">
        <v>17</v>
      </c>
      <c r="N1100" s="1" t="s">
        <v>16</v>
      </c>
    </row>
    <row r="1101" spans="1:14" x14ac:dyDescent="0.25">
      <c r="A1101" s="9">
        <v>44601</v>
      </c>
      <c r="B1101" s="1" t="s">
        <v>22</v>
      </c>
      <c r="C1101" s="1">
        <v>2</v>
      </c>
      <c r="D1101" s="1">
        <v>1</v>
      </c>
      <c r="E1101" s="5">
        <v>40.72</v>
      </c>
      <c r="F1101" s="1" t="s">
        <v>16</v>
      </c>
      <c r="G1101" s="1">
        <v>4</v>
      </c>
      <c r="H1101" s="1" t="s">
        <v>16</v>
      </c>
      <c r="I1101" s="1" t="s">
        <v>16</v>
      </c>
      <c r="J1101" s="1" t="s">
        <v>16</v>
      </c>
      <c r="K1101" s="1" t="s">
        <v>21</v>
      </c>
      <c r="L1101" s="1" t="s">
        <v>17</v>
      </c>
      <c r="M1101" s="1" t="s">
        <v>17</v>
      </c>
      <c r="N1101" s="1" t="s">
        <v>16</v>
      </c>
    </row>
    <row r="1102" spans="1:14" x14ac:dyDescent="0.25">
      <c r="A1102" s="9">
        <v>44601</v>
      </c>
      <c r="B1102" s="1" t="s">
        <v>22</v>
      </c>
      <c r="C1102" s="1">
        <v>3</v>
      </c>
      <c r="D1102" s="1">
        <v>1</v>
      </c>
      <c r="E1102" s="5">
        <v>42.89</v>
      </c>
      <c r="F1102" s="1" t="s">
        <v>18</v>
      </c>
      <c r="G1102" s="1">
        <v>2</v>
      </c>
      <c r="H1102" s="1" t="s">
        <v>16</v>
      </c>
      <c r="I1102" s="1" t="s">
        <v>16</v>
      </c>
      <c r="J1102" s="1" t="s">
        <v>16</v>
      </c>
      <c r="K1102" s="1" t="s">
        <v>17</v>
      </c>
      <c r="L1102" s="1" t="s">
        <v>17</v>
      </c>
      <c r="M1102" s="1" t="s">
        <v>17</v>
      </c>
      <c r="N1102" s="1" t="s">
        <v>16</v>
      </c>
    </row>
    <row r="1103" spans="1:14" x14ac:dyDescent="0.25">
      <c r="A1103" s="9">
        <v>44601</v>
      </c>
      <c r="B1103" s="1" t="s">
        <v>22</v>
      </c>
      <c r="C1103" s="1">
        <v>4</v>
      </c>
      <c r="D1103" s="1">
        <v>1</v>
      </c>
      <c r="E1103" s="5">
        <v>52.82</v>
      </c>
      <c r="F1103" s="1" t="s">
        <v>18</v>
      </c>
      <c r="G1103" s="1">
        <v>1</v>
      </c>
      <c r="H1103" s="1" t="s">
        <v>16</v>
      </c>
      <c r="I1103" s="1" t="s">
        <v>16</v>
      </c>
      <c r="J1103" s="1" t="s">
        <v>16</v>
      </c>
      <c r="K1103" s="1" t="s">
        <v>21</v>
      </c>
      <c r="L1103" s="1" t="s">
        <v>17</v>
      </c>
      <c r="M1103" s="1" t="s">
        <v>17</v>
      </c>
      <c r="N1103" s="1" t="s">
        <v>16</v>
      </c>
    </row>
    <row r="1104" spans="1:14" x14ac:dyDescent="0.25">
      <c r="A1104" s="9">
        <v>44601</v>
      </c>
      <c r="B1104" s="1" t="s">
        <v>22</v>
      </c>
      <c r="C1104" s="1">
        <v>5</v>
      </c>
      <c r="D1104" s="1">
        <v>1</v>
      </c>
      <c r="E1104" s="5">
        <v>44.02</v>
      </c>
      <c r="F1104" s="1" t="s">
        <v>16</v>
      </c>
      <c r="G1104" s="1">
        <v>4</v>
      </c>
      <c r="H1104" s="1" t="s">
        <v>16</v>
      </c>
      <c r="I1104" s="1" t="s">
        <v>16</v>
      </c>
      <c r="J1104" s="1" t="s">
        <v>16</v>
      </c>
      <c r="K1104" s="1" t="s">
        <v>17</v>
      </c>
      <c r="L1104" s="1" t="s">
        <v>17</v>
      </c>
      <c r="M1104" s="1" t="s">
        <v>17</v>
      </c>
      <c r="N1104" s="1" t="s">
        <v>16</v>
      </c>
    </row>
    <row r="1105" spans="1:14" x14ac:dyDescent="0.25">
      <c r="A1105" s="9">
        <v>44601</v>
      </c>
      <c r="B1105" s="1" t="s">
        <v>22</v>
      </c>
      <c r="C1105" s="1">
        <v>6</v>
      </c>
      <c r="D1105" s="1">
        <v>2</v>
      </c>
      <c r="E1105" s="5">
        <v>69.52</v>
      </c>
      <c r="F1105" s="1" t="s">
        <v>16</v>
      </c>
      <c r="G1105" s="1">
        <v>4</v>
      </c>
      <c r="H1105" s="1" t="s">
        <v>16</v>
      </c>
      <c r="I1105" s="1" t="s">
        <v>16</v>
      </c>
      <c r="J1105" s="1" t="s">
        <v>16</v>
      </c>
      <c r="K1105" s="1" t="s">
        <v>17</v>
      </c>
      <c r="L1105" s="1" t="s">
        <v>17</v>
      </c>
      <c r="M1105" s="1" t="s">
        <v>21</v>
      </c>
      <c r="N1105" s="1" t="s">
        <v>16</v>
      </c>
    </row>
    <row r="1106" spans="1:14" x14ac:dyDescent="0.25">
      <c r="A1106" s="9">
        <v>44601</v>
      </c>
      <c r="B1106" s="1" t="s">
        <v>22</v>
      </c>
      <c r="C1106" s="1">
        <v>7</v>
      </c>
      <c r="D1106" s="1">
        <v>2</v>
      </c>
      <c r="E1106" s="5">
        <v>49.57</v>
      </c>
      <c r="F1106" s="1" t="s">
        <v>16</v>
      </c>
      <c r="G1106" s="1">
        <v>4</v>
      </c>
      <c r="H1106" s="1" t="s">
        <v>16</v>
      </c>
      <c r="I1106" s="1" t="s">
        <v>16</v>
      </c>
      <c r="J1106" s="1" t="s">
        <v>16</v>
      </c>
      <c r="K1106" s="1" t="s">
        <v>17</v>
      </c>
      <c r="L1106" s="1" t="s">
        <v>17</v>
      </c>
      <c r="M1106" s="1" t="s">
        <v>21</v>
      </c>
      <c r="N1106" s="1" t="s">
        <v>16</v>
      </c>
    </row>
    <row r="1107" spans="1:14" x14ac:dyDescent="0.25">
      <c r="A1107" s="9">
        <v>44601</v>
      </c>
      <c r="B1107" s="1" t="s">
        <v>22</v>
      </c>
      <c r="C1107" s="1">
        <v>8</v>
      </c>
      <c r="D1107" s="1">
        <v>2</v>
      </c>
      <c r="E1107" s="5">
        <v>55.55</v>
      </c>
      <c r="F1107" s="1" t="s">
        <v>18</v>
      </c>
      <c r="G1107" s="1">
        <v>2</v>
      </c>
      <c r="H1107" s="1" t="s">
        <v>16</v>
      </c>
      <c r="I1107" s="1" t="s">
        <v>16</v>
      </c>
      <c r="J1107" s="1" t="s">
        <v>16</v>
      </c>
      <c r="K1107" s="1" t="s">
        <v>17</v>
      </c>
      <c r="L1107" s="1" t="s">
        <v>17</v>
      </c>
      <c r="M1107" s="1" t="s">
        <v>17</v>
      </c>
      <c r="N1107" s="1" t="s">
        <v>16</v>
      </c>
    </row>
    <row r="1108" spans="1:14" x14ac:dyDescent="0.25">
      <c r="A1108" s="9">
        <v>44601</v>
      </c>
      <c r="B1108" s="1" t="s">
        <v>22</v>
      </c>
      <c r="C1108" s="1">
        <v>9</v>
      </c>
      <c r="D1108" s="1">
        <v>2</v>
      </c>
      <c r="E1108" s="5">
        <v>58.38</v>
      </c>
      <c r="F1108" s="1" t="s">
        <v>18</v>
      </c>
      <c r="G1108" s="1">
        <v>1</v>
      </c>
      <c r="H1108" s="1" t="s">
        <v>16</v>
      </c>
      <c r="I1108" s="1" t="s">
        <v>16</v>
      </c>
      <c r="J1108" s="1" t="s">
        <v>16</v>
      </c>
      <c r="K1108" s="1" t="s">
        <v>21</v>
      </c>
      <c r="L1108" s="1" t="s">
        <v>17</v>
      </c>
      <c r="M1108" s="1" t="s">
        <v>17</v>
      </c>
      <c r="N1108" s="1" t="s">
        <v>16</v>
      </c>
    </row>
    <row r="1109" spans="1:14" x14ac:dyDescent="0.25">
      <c r="A1109" s="9">
        <v>44601</v>
      </c>
      <c r="B1109" s="1" t="s">
        <v>22</v>
      </c>
      <c r="C1109" s="1">
        <v>10</v>
      </c>
      <c r="D1109" s="1">
        <v>2</v>
      </c>
      <c r="E1109" s="5">
        <v>55.22</v>
      </c>
      <c r="F1109" s="1" t="s">
        <v>18</v>
      </c>
      <c r="G1109" s="1">
        <v>1</v>
      </c>
      <c r="H1109" s="1" t="s">
        <v>16</v>
      </c>
      <c r="I1109" s="1" t="s">
        <v>16</v>
      </c>
      <c r="J1109" s="1" t="s">
        <v>16</v>
      </c>
      <c r="K1109" s="1" t="s">
        <v>17</v>
      </c>
      <c r="L1109" s="1" t="s">
        <v>17</v>
      </c>
      <c r="M1109" s="1" t="s">
        <v>17</v>
      </c>
      <c r="N1109" s="1" t="s">
        <v>16</v>
      </c>
    </row>
    <row r="1110" spans="1:14" x14ac:dyDescent="0.25">
      <c r="A1110" s="9">
        <v>44601</v>
      </c>
      <c r="B1110" s="1" t="s">
        <v>22</v>
      </c>
      <c r="C1110" s="1">
        <v>11</v>
      </c>
      <c r="D1110" s="1">
        <v>3</v>
      </c>
      <c r="E1110" s="5">
        <v>39.520000000000003</v>
      </c>
      <c r="F1110" s="1" t="s">
        <v>18</v>
      </c>
      <c r="G1110" s="1">
        <v>1</v>
      </c>
      <c r="H1110" s="1" t="s">
        <v>16</v>
      </c>
      <c r="I1110" s="1" t="s">
        <v>16</v>
      </c>
      <c r="J1110" s="1" t="s">
        <v>16</v>
      </c>
      <c r="K1110" s="1" t="s">
        <v>17</v>
      </c>
      <c r="L1110" s="1" t="s">
        <v>17</v>
      </c>
      <c r="M1110" s="1" t="s">
        <v>17</v>
      </c>
      <c r="N1110" s="1" t="s">
        <v>16</v>
      </c>
    </row>
    <row r="1111" spans="1:14" x14ac:dyDescent="0.25">
      <c r="A1111" s="9">
        <v>44601</v>
      </c>
      <c r="B1111" s="1" t="s">
        <v>22</v>
      </c>
      <c r="C1111" s="1">
        <v>12</v>
      </c>
      <c r="D1111" s="1">
        <v>3</v>
      </c>
      <c r="E1111" s="5">
        <v>52.84</v>
      </c>
      <c r="F1111" s="1" t="s">
        <v>18</v>
      </c>
      <c r="G1111" s="1">
        <v>1</v>
      </c>
      <c r="H1111" s="1" t="s">
        <v>16</v>
      </c>
      <c r="I1111" s="1" t="s">
        <v>16</v>
      </c>
      <c r="J1111" s="1" t="s">
        <v>16</v>
      </c>
      <c r="K1111" s="1" t="s">
        <v>21</v>
      </c>
      <c r="L1111" s="1" t="s">
        <v>17</v>
      </c>
      <c r="M1111" s="1" t="s">
        <v>17</v>
      </c>
      <c r="N1111" s="1" t="s">
        <v>16</v>
      </c>
    </row>
    <row r="1112" spans="1:14" x14ac:dyDescent="0.25">
      <c r="A1112" s="9">
        <v>44601</v>
      </c>
      <c r="B1112" s="1" t="s">
        <v>22</v>
      </c>
      <c r="C1112" s="1">
        <v>13</v>
      </c>
      <c r="D1112" s="1">
        <v>3</v>
      </c>
      <c r="E1112" s="5">
        <v>47.72</v>
      </c>
      <c r="F1112" s="1" t="s">
        <v>18</v>
      </c>
      <c r="G1112" s="1">
        <v>2</v>
      </c>
      <c r="H1112" s="1" t="s">
        <v>16</v>
      </c>
      <c r="I1112" s="1" t="s">
        <v>16</v>
      </c>
      <c r="J1112" s="1" t="s">
        <v>16</v>
      </c>
      <c r="K1112" s="1" t="s">
        <v>17</v>
      </c>
      <c r="L1112" s="1" t="s">
        <v>17</v>
      </c>
      <c r="M1112" s="1" t="s">
        <v>17</v>
      </c>
      <c r="N1112" s="1" t="s">
        <v>16</v>
      </c>
    </row>
    <row r="1113" spans="1:14" x14ac:dyDescent="0.25">
      <c r="A1113" s="9">
        <v>44601</v>
      </c>
      <c r="B1113" s="1" t="s">
        <v>22</v>
      </c>
      <c r="C1113" s="1">
        <v>14</v>
      </c>
      <c r="D1113" s="1">
        <v>3</v>
      </c>
      <c r="E1113" s="5">
        <v>50.69</v>
      </c>
      <c r="F1113" s="1" t="s">
        <v>19</v>
      </c>
      <c r="G1113" s="1">
        <v>1</v>
      </c>
      <c r="H1113" s="1" t="s">
        <v>16</v>
      </c>
      <c r="I1113" s="1" t="s">
        <v>16</v>
      </c>
      <c r="J1113" s="1" t="s">
        <v>16</v>
      </c>
      <c r="K1113" s="1" t="s">
        <v>17</v>
      </c>
      <c r="L1113" s="1" t="s">
        <v>17</v>
      </c>
      <c r="M1113" s="1" t="s">
        <v>17</v>
      </c>
      <c r="N1113" s="1" t="s">
        <v>16</v>
      </c>
    </row>
    <row r="1114" spans="1:14" x14ac:dyDescent="0.25">
      <c r="A1114" s="9">
        <v>44601</v>
      </c>
      <c r="B1114" s="1" t="s">
        <v>22</v>
      </c>
      <c r="C1114" s="1">
        <v>15</v>
      </c>
      <c r="D1114" s="1">
        <v>3</v>
      </c>
      <c r="E1114" s="5">
        <v>42.7</v>
      </c>
      <c r="F1114" s="1" t="s">
        <v>16</v>
      </c>
      <c r="G1114" s="1">
        <v>4</v>
      </c>
      <c r="H1114" s="1" t="s">
        <v>16</v>
      </c>
      <c r="I1114" s="1" t="s">
        <v>16</v>
      </c>
      <c r="J1114" s="1" t="s">
        <v>16</v>
      </c>
      <c r="K1114" s="1" t="s">
        <v>17</v>
      </c>
      <c r="L1114" s="1" t="s">
        <v>17</v>
      </c>
      <c r="M1114" s="1" t="s">
        <v>17</v>
      </c>
      <c r="N1114" s="1" t="s">
        <v>16</v>
      </c>
    </row>
    <row r="1115" spans="1:14" x14ac:dyDescent="0.25">
      <c r="A1115" s="9">
        <v>44629</v>
      </c>
      <c r="B1115" s="1" t="s">
        <v>22</v>
      </c>
      <c r="C1115" s="1">
        <v>1</v>
      </c>
      <c r="D1115" s="1">
        <v>1</v>
      </c>
      <c r="E1115" s="5">
        <v>67.69</v>
      </c>
      <c r="F1115" s="1" t="s">
        <v>16</v>
      </c>
      <c r="G1115" s="1" t="s">
        <v>16</v>
      </c>
      <c r="H1115" s="1" t="s">
        <v>16</v>
      </c>
      <c r="I1115" s="1" t="s">
        <v>16</v>
      </c>
      <c r="J1115" s="1" t="s">
        <v>16</v>
      </c>
      <c r="K1115" s="1" t="s">
        <v>17</v>
      </c>
      <c r="L1115" s="1" t="s">
        <v>17</v>
      </c>
      <c r="M1115" s="1" t="s">
        <v>21</v>
      </c>
      <c r="N1115" s="1" t="s">
        <v>16</v>
      </c>
    </row>
    <row r="1116" spans="1:14" x14ac:dyDescent="0.25">
      <c r="A1116" s="9">
        <v>44629</v>
      </c>
      <c r="B1116" s="1" t="s">
        <v>22</v>
      </c>
      <c r="C1116" s="1">
        <v>2</v>
      </c>
      <c r="D1116" s="1">
        <v>1</v>
      </c>
      <c r="E1116" s="5">
        <v>61.8</v>
      </c>
      <c r="F1116" s="1" t="s">
        <v>16</v>
      </c>
      <c r="G1116" s="1">
        <v>4</v>
      </c>
      <c r="H1116" s="1" t="s">
        <v>16</v>
      </c>
      <c r="I1116" s="1" t="s">
        <v>16</v>
      </c>
      <c r="J1116" s="1" t="s">
        <v>16</v>
      </c>
      <c r="K1116" s="1" t="s">
        <v>21</v>
      </c>
      <c r="L1116" s="1" t="s">
        <v>17</v>
      </c>
      <c r="M1116" s="1" t="s">
        <v>17</v>
      </c>
      <c r="N1116" s="1" t="s">
        <v>16</v>
      </c>
    </row>
    <row r="1117" spans="1:14" x14ac:dyDescent="0.25">
      <c r="A1117" s="9">
        <v>44629</v>
      </c>
      <c r="B1117" s="1" t="s">
        <v>22</v>
      </c>
      <c r="C1117" s="1">
        <v>3</v>
      </c>
      <c r="D1117" s="1">
        <v>1</v>
      </c>
      <c r="E1117" s="5">
        <v>48.33</v>
      </c>
      <c r="F1117" s="1" t="s">
        <v>19</v>
      </c>
      <c r="G1117" s="1">
        <v>2</v>
      </c>
      <c r="H1117" s="1" t="s">
        <v>16</v>
      </c>
      <c r="I1117" s="1" t="s">
        <v>16</v>
      </c>
      <c r="J1117" s="1" t="s">
        <v>16</v>
      </c>
      <c r="K1117" s="1" t="s">
        <v>17</v>
      </c>
      <c r="L1117" s="1" t="s">
        <v>17</v>
      </c>
      <c r="M1117" s="1" t="s">
        <v>17</v>
      </c>
      <c r="N1117" s="1" t="s">
        <v>16</v>
      </c>
    </row>
    <row r="1118" spans="1:14" x14ac:dyDescent="0.25">
      <c r="A1118" s="9">
        <v>44629</v>
      </c>
      <c r="B1118" s="1" t="s">
        <v>22</v>
      </c>
      <c r="C1118" s="1">
        <v>4</v>
      </c>
      <c r="D1118" s="1">
        <v>1</v>
      </c>
      <c r="E1118" s="5">
        <v>46.72</v>
      </c>
      <c r="F1118" s="1" t="s">
        <v>16</v>
      </c>
      <c r="G1118" s="1">
        <v>4</v>
      </c>
      <c r="H1118" s="1" t="s">
        <v>16</v>
      </c>
      <c r="I1118" s="1" t="s">
        <v>16</v>
      </c>
      <c r="J1118" s="1" t="s">
        <v>16</v>
      </c>
      <c r="K1118" s="1" t="s">
        <v>17</v>
      </c>
      <c r="L1118" s="1" t="s">
        <v>17</v>
      </c>
      <c r="M1118" s="1" t="s">
        <v>17</v>
      </c>
      <c r="N1118" s="1" t="s">
        <v>16</v>
      </c>
    </row>
    <row r="1119" spans="1:14" x14ac:dyDescent="0.25">
      <c r="A1119" s="9">
        <v>44629</v>
      </c>
      <c r="B1119" s="1" t="s">
        <v>22</v>
      </c>
      <c r="C1119" s="1">
        <v>5</v>
      </c>
      <c r="D1119" s="1">
        <v>1</v>
      </c>
      <c r="E1119" s="5">
        <v>47.72</v>
      </c>
      <c r="F1119" s="1" t="s">
        <v>18</v>
      </c>
      <c r="G1119" s="1">
        <v>2</v>
      </c>
      <c r="H1119" s="1" t="s">
        <v>16</v>
      </c>
      <c r="I1119" s="1" t="s">
        <v>16</v>
      </c>
      <c r="J1119" s="1" t="s">
        <v>16</v>
      </c>
      <c r="K1119" s="1" t="s">
        <v>21</v>
      </c>
      <c r="L1119" s="1" t="s">
        <v>17</v>
      </c>
      <c r="M1119" s="1" t="s">
        <v>17</v>
      </c>
      <c r="N1119" s="1" t="s">
        <v>16</v>
      </c>
    </row>
    <row r="1120" spans="1:14" x14ac:dyDescent="0.25">
      <c r="A1120" s="9">
        <v>44629</v>
      </c>
      <c r="B1120" s="1" t="s">
        <v>22</v>
      </c>
      <c r="C1120" s="1">
        <v>6</v>
      </c>
      <c r="D1120" s="1">
        <v>2</v>
      </c>
      <c r="E1120" s="5">
        <v>40.119999999999997</v>
      </c>
      <c r="F1120" s="1" t="s">
        <v>19</v>
      </c>
      <c r="G1120" s="1">
        <v>2</v>
      </c>
      <c r="H1120" s="1" t="s">
        <v>16</v>
      </c>
      <c r="I1120" s="1" t="s">
        <v>16</v>
      </c>
      <c r="J1120" s="1" t="s">
        <v>16</v>
      </c>
      <c r="K1120" s="1" t="s">
        <v>17</v>
      </c>
      <c r="L1120" s="1" t="s">
        <v>17</v>
      </c>
      <c r="M1120" s="1" t="s">
        <v>17</v>
      </c>
      <c r="N1120" s="1" t="s">
        <v>16</v>
      </c>
    </row>
    <row r="1121" spans="1:14" x14ac:dyDescent="0.25">
      <c r="A1121" s="9">
        <v>44629</v>
      </c>
      <c r="B1121" s="1" t="s">
        <v>22</v>
      </c>
      <c r="C1121" s="1">
        <v>7</v>
      </c>
      <c r="D1121" s="1">
        <v>2</v>
      </c>
      <c r="E1121" s="5">
        <v>46.2</v>
      </c>
      <c r="F1121" s="1" t="s">
        <v>16</v>
      </c>
      <c r="G1121" s="1">
        <v>4</v>
      </c>
      <c r="H1121" s="1" t="s">
        <v>16</v>
      </c>
      <c r="I1121" s="1" t="s">
        <v>16</v>
      </c>
      <c r="J1121" s="1" t="s">
        <v>16</v>
      </c>
      <c r="K1121" s="1" t="s">
        <v>21</v>
      </c>
      <c r="L1121" s="1" t="s">
        <v>17</v>
      </c>
      <c r="M1121" s="1" t="s">
        <v>17</v>
      </c>
      <c r="N1121" s="1" t="s">
        <v>16</v>
      </c>
    </row>
    <row r="1122" spans="1:14" x14ac:dyDescent="0.25">
      <c r="A1122" s="9">
        <v>44629</v>
      </c>
      <c r="B1122" s="1" t="s">
        <v>22</v>
      </c>
      <c r="C1122" s="1">
        <v>8</v>
      </c>
      <c r="D1122" s="1">
        <v>2</v>
      </c>
      <c r="E1122" s="5">
        <v>36.06</v>
      </c>
      <c r="F1122" s="1" t="s">
        <v>18</v>
      </c>
      <c r="G1122" s="1">
        <v>2</v>
      </c>
      <c r="H1122" s="1" t="s">
        <v>16</v>
      </c>
      <c r="I1122" s="1" t="s">
        <v>16</v>
      </c>
      <c r="J1122" s="1" t="s">
        <v>16</v>
      </c>
      <c r="K1122" s="1" t="s">
        <v>17</v>
      </c>
      <c r="L1122" s="1" t="s">
        <v>17</v>
      </c>
      <c r="M1122" s="1" t="s">
        <v>17</v>
      </c>
      <c r="N1122" s="1" t="s">
        <v>16</v>
      </c>
    </row>
    <row r="1123" spans="1:14" x14ac:dyDescent="0.25">
      <c r="A1123" s="9">
        <v>44629</v>
      </c>
      <c r="B1123" s="1" t="s">
        <v>22</v>
      </c>
      <c r="C1123" s="1">
        <v>9</v>
      </c>
      <c r="D1123" s="1">
        <v>2</v>
      </c>
      <c r="E1123" s="5">
        <v>16.010000000000002</v>
      </c>
      <c r="F1123" s="1" t="s">
        <v>18</v>
      </c>
      <c r="G1123" s="1">
        <v>2</v>
      </c>
      <c r="H1123" s="1" t="s">
        <v>16</v>
      </c>
      <c r="I1123" s="1" t="s">
        <v>16</v>
      </c>
      <c r="J1123" s="1" t="s">
        <v>16</v>
      </c>
      <c r="K1123" s="1" t="s">
        <v>17</v>
      </c>
      <c r="L1123" s="1" t="s">
        <v>17</v>
      </c>
      <c r="M1123" s="1" t="s">
        <v>17</v>
      </c>
      <c r="N1123" s="1" t="s">
        <v>16</v>
      </c>
    </row>
    <row r="1124" spans="1:14" x14ac:dyDescent="0.25">
      <c r="A1124" s="9">
        <v>44629</v>
      </c>
      <c r="B1124" s="1" t="s">
        <v>22</v>
      </c>
      <c r="C1124" s="1">
        <v>10</v>
      </c>
      <c r="D1124" s="1">
        <v>2</v>
      </c>
      <c r="E1124" s="5">
        <v>58.43</v>
      </c>
      <c r="F1124" s="1" t="s">
        <v>19</v>
      </c>
      <c r="G1124" s="1">
        <v>2</v>
      </c>
      <c r="H1124" s="1" t="s">
        <v>16</v>
      </c>
      <c r="I1124" s="1" t="s">
        <v>16</v>
      </c>
      <c r="J1124" s="1" t="s">
        <v>16</v>
      </c>
      <c r="K1124" s="1" t="s">
        <v>17</v>
      </c>
      <c r="L1124" s="1" t="s">
        <v>17</v>
      </c>
      <c r="M1124" s="1" t="s">
        <v>17</v>
      </c>
      <c r="N1124" s="1" t="s">
        <v>16</v>
      </c>
    </row>
    <row r="1125" spans="1:14" x14ac:dyDescent="0.25">
      <c r="A1125" s="9">
        <v>44629</v>
      </c>
      <c r="B1125" s="1" t="s">
        <v>22</v>
      </c>
      <c r="C1125" s="1">
        <v>11</v>
      </c>
      <c r="D1125" s="1">
        <v>3</v>
      </c>
      <c r="E1125" s="5">
        <v>63.18</v>
      </c>
      <c r="F1125" s="1" t="s">
        <v>18</v>
      </c>
      <c r="G1125" s="1">
        <v>2</v>
      </c>
      <c r="H1125" s="1" t="s">
        <v>16</v>
      </c>
      <c r="I1125" s="1" t="s">
        <v>16</v>
      </c>
      <c r="J1125" s="1" t="s">
        <v>16</v>
      </c>
      <c r="K1125" s="1" t="s">
        <v>17</v>
      </c>
      <c r="L1125" s="1" t="s">
        <v>17</v>
      </c>
      <c r="M1125" s="1" t="s">
        <v>17</v>
      </c>
      <c r="N1125" s="1" t="s">
        <v>16</v>
      </c>
    </row>
    <row r="1126" spans="1:14" x14ac:dyDescent="0.25">
      <c r="A1126" s="9">
        <v>44629</v>
      </c>
      <c r="B1126" s="1" t="s">
        <v>22</v>
      </c>
      <c r="C1126" s="1">
        <v>12</v>
      </c>
      <c r="D1126" s="1">
        <v>3</v>
      </c>
      <c r="E1126" s="5">
        <v>37.97</v>
      </c>
      <c r="F1126" s="1" t="s">
        <v>19</v>
      </c>
      <c r="G1126" s="1">
        <v>2</v>
      </c>
      <c r="H1126" s="1" t="s">
        <v>16</v>
      </c>
      <c r="I1126" s="1" t="s">
        <v>16</v>
      </c>
      <c r="J1126" s="1" t="s">
        <v>16</v>
      </c>
      <c r="K1126" s="1" t="s">
        <v>17</v>
      </c>
      <c r="L1126" s="1" t="s">
        <v>17</v>
      </c>
      <c r="M1126" s="1" t="s">
        <v>17</v>
      </c>
      <c r="N1126" s="1" t="s">
        <v>16</v>
      </c>
    </row>
    <row r="1127" spans="1:14" x14ac:dyDescent="0.25">
      <c r="A1127" s="9">
        <v>44629</v>
      </c>
      <c r="B1127" s="1" t="s">
        <v>22</v>
      </c>
      <c r="C1127" s="1">
        <v>13</v>
      </c>
      <c r="D1127" s="1">
        <v>3</v>
      </c>
      <c r="E1127" s="5">
        <v>45.04</v>
      </c>
      <c r="F1127" s="1" t="s">
        <v>18</v>
      </c>
      <c r="G1127" s="1">
        <v>2</v>
      </c>
      <c r="H1127" s="1" t="s">
        <v>16</v>
      </c>
      <c r="I1127" s="1" t="s">
        <v>16</v>
      </c>
      <c r="J1127" s="1" t="s">
        <v>16</v>
      </c>
      <c r="K1127" s="1" t="s">
        <v>17</v>
      </c>
      <c r="L1127" s="1" t="s">
        <v>17</v>
      </c>
      <c r="M1127" s="1" t="s">
        <v>17</v>
      </c>
      <c r="N1127" s="1" t="s">
        <v>16</v>
      </c>
    </row>
    <row r="1128" spans="1:14" x14ac:dyDescent="0.25">
      <c r="A1128" s="9">
        <v>44629</v>
      </c>
      <c r="B1128" s="1" t="s">
        <v>22</v>
      </c>
      <c r="C1128" s="1">
        <v>14</v>
      </c>
      <c r="D1128" s="1">
        <v>3</v>
      </c>
      <c r="E1128" s="5">
        <v>57.37</v>
      </c>
      <c r="F1128" s="1" t="s">
        <v>18</v>
      </c>
      <c r="G1128" s="1">
        <v>2</v>
      </c>
      <c r="H1128" s="1" t="s">
        <v>16</v>
      </c>
      <c r="I1128" s="1" t="s">
        <v>16</v>
      </c>
      <c r="J1128" s="1" t="s">
        <v>16</v>
      </c>
      <c r="K1128" s="1" t="s">
        <v>17</v>
      </c>
      <c r="L1128" s="1" t="s">
        <v>17</v>
      </c>
      <c r="M1128" s="1" t="s">
        <v>17</v>
      </c>
      <c r="N1128" s="1" t="s">
        <v>16</v>
      </c>
    </row>
    <row r="1129" spans="1:14" x14ac:dyDescent="0.25">
      <c r="A1129" s="9">
        <v>44629</v>
      </c>
      <c r="B1129" s="1" t="s">
        <v>22</v>
      </c>
      <c r="C1129" s="1">
        <v>15</v>
      </c>
      <c r="D1129" s="1">
        <v>3</v>
      </c>
      <c r="E1129" s="5">
        <v>36.340000000000003</v>
      </c>
      <c r="F1129" s="1" t="s">
        <v>18</v>
      </c>
      <c r="G1129" s="1">
        <v>2</v>
      </c>
      <c r="H1129" s="1" t="s">
        <v>16</v>
      </c>
      <c r="I1129" s="1" t="s">
        <v>16</v>
      </c>
      <c r="J1129" s="1" t="s">
        <v>16</v>
      </c>
      <c r="K1129" s="1" t="s">
        <v>17</v>
      </c>
      <c r="L1129" s="1" t="s">
        <v>17</v>
      </c>
      <c r="M1129" s="1" t="s">
        <v>17</v>
      </c>
      <c r="N1129" s="1" t="s">
        <v>16</v>
      </c>
    </row>
    <row r="1130" spans="1:14" x14ac:dyDescent="0.25">
      <c r="A1130" s="9">
        <v>44656</v>
      </c>
      <c r="B1130" s="1" t="s">
        <v>22</v>
      </c>
      <c r="C1130" s="1">
        <v>1</v>
      </c>
      <c r="D1130" s="1">
        <v>1</v>
      </c>
      <c r="E1130" s="5">
        <v>58.51</v>
      </c>
      <c r="F1130" s="1" t="s">
        <v>18</v>
      </c>
      <c r="G1130" s="1">
        <v>2</v>
      </c>
      <c r="H1130" s="1" t="s">
        <v>16</v>
      </c>
      <c r="I1130" s="1" t="s">
        <v>16</v>
      </c>
      <c r="J1130" s="1" t="s">
        <v>16</v>
      </c>
      <c r="K1130" s="1" t="s">
        <v>17</v>
      </c>
      <c r="L1130" s="1" t="s">
        <v>17</v>
      </c>
      <c r="M1130" s="1" t="s">
        <v>17</v>
      </c>
      <c r="N1130" s="1" t="s">
        <v>16</v>
      </c>
    </row>
    <row r="1131" spans="1:14" x14ac:dyDescent="0.25">
      <c r="A1131" s="9">
        <v>44656</v>
      </c>
      <c r="B1131" s="1" t="s">
        <v>22</v>
      </c>
      <c r="C1131" s="1">
        <v>2</v>
      </c>
      <c r="D1131" s="1">
        <v>1</v>
      </c>
      <c r="E1131" s="5">
        <v>58.12</v>
      </c>
      <c r="F1131" s="1" t="s">
        <v>18</v>
      </c>
      <c r="G1131" s="1">
        <v>2</v>
      </c>
      <c r="H1131" s="1" t="s">
        <v>16</v>
      </c>
      <c r="I1131" s="1" t="s">
        <v>16</v>
      </c>
      <c r="J1131" s="1" t="s">
        <v>16</v>
      </c>
      <c r="K1131" s="1" t="s">
        <v>17</v>
      </c>
      <c r="L1131" s="1" t="s">
        <v>17</v>
      </c>
      <c r="M1131" s="1" t="s">
        <v>17</v>
      </c>
      <c r="N1131" s="1" t="s">
        <v>16</v>
      </c>
    </row>
    <row r="1132" spans="1:14" x14ac:dyDescent="0.25">
      <c r="A1132" s="9">
        <v>44656</v>
      </c>
      <c r="B1132" s="1" t="s">
        <v>22</v>
      </c>
      <c r="C1132" s="1">
        <v>3</v>
      </c>
      <c r="D1132" s="1">
        <v>1</v>
      </c>
      <c r="E1132" s="5">
        <v>47.05</v>
      </c>
      <c r="F1132" s="1" t="s">
        <v>18</v>
      </c>
      <c r="G1132" s="1">
        <v>2</v>
      </c>
      <c r="H1132" s="1" t="s">
        <v>16</v>
      </c>
      <c r="I1132" s="1" t="s">
        <v>16</v>
      </c>
      <c r="J1132" s="1" t="s">
        <v>16</v>
      </c>
      <c r="K1132" s="1" t="s">
        <v>17</v>
      </c>
      <c r="L1132" s="1" t="s">
        <v>17</v>
      </c>
      <c r="M1132" s="1" t="s">
        <v>17</v>
      </c>
      <c r="N1132" s="1" t="s">
        <v>16</v>
      </c>
    </row>
    <row r="1133" spans="1:14" x14ac:dyDescent="0.25">
      <c r="A1133" s="9">
        <v>44656</v>
      </c>
      <c r="B1133" s="1" t="s">
        <v>22</v>
      </c>
      <c r="C1133" s="1">
        <v>4</v>
      </c>
      <c r="D1133" s="1">
        <v>1</v>
      </c>
      <c r="E1133" s="5">
        <v>75.319999999999993</v>
      </c>
      <c r="F1133" s="1" t="s">
        <v>16</v>
      </c>
      <c r="G1133" s="1">
        <v>4</v>
      </c>
      <c r="H1133" s="1" t="s">
        <v>16</v>
      </c>
      <c r="I1133" s="1" t="s">
        <v>16</v>
      </c>
      <c r="J1133" s="1" t="s">
        <v>16</v>
      </c>
      <c r="K1133" s="1" t="s">
        <v>21</v>
      </c>
      <c r="L1133" s="1" t="s">
        <v>17</v>
      </c>
      <c r="M1133" s="1" t="s">
        <v>17</v>
      </c>
      <c r="N1133" s="1" t="s">
        <v>16</v>
      </c>
    </row>
    <row r="1134" spans="1:14" x14ac:dyDescent="0.25">
      <c r="A1134" s="9">
        <v>44656</v>
      </c>
      <c r="B1134" s="1" t="s">
        <v>22</v>
      </c>
      <c r="C1134" s="1">
        <v>5</v>
      </c>
      <c r="D1134" s="1">
        <v>1</v>
      </c>
      <c r="E1134" s="5">
        <v>52.65</v>
      </c>
      <c r="F1134" s="1" t="s">
        <v>18</v>
      </c>
      <c r="G1134" s="1">
        <v>2</v>
      </c>
      <c r="H1134" s="1" t="s">
        <v>16</v>
      </c>
      <c r="I1134" s="1" t="s">
        <v>16</v>
      </c>
      <c r="J1134" s="1" t="s">
        <v>16</v>
      </c>
      <c r="K1134" s="1" t="s">
        <v>17</v>
      </c>
      <c r="L1134" s="1" t="s">
        <v>17</v>
      </c>
      <c r="M1134" s="1" t="s">
        <v>17</v>
      </c>
      <c r="N1134" s="1" t="s">
        <v>16</v>
      </c>
    </row>
    <row r="1135" spans="1:14" x14ac:dyDescent="0.25">
      <c r="A1135" s="9">
        <v>44656</v>
      </c>
      <c r="B1135" s="1" t="s">
        <v>22</v>
      </c>
      <c r="C1135" s="1">
        <v>6</v>
      </c>
      <c r="D1135" s="1">
        <v>2</v>
      </c>
      <c r="E1135" s="5">
        <v>79.69</v>
      </c>
      <c r="F1135" s="1" t="s">
        <v>18</v>
      </c>
      <c r="G1135" s="1">
        <v>1</v>
      </c>
      <c r="H1135" s="1" t="s">
        <v>16</v>
      </c>
      <c r="I1135" s="1" t="s">
        <v>16</v>
      </c>
      <c r="J1135" s="1" t="s">
        <v>16</v>
      </c>
      <c r="K1135" s="1" t="s">
        <v>17</v>
      </c>
      <c r="L1135" s="1" t="s">
        <v>17</v>
      </c>
      <c r="M1135" s="1" t="s">
        <v>17</v>
      </c>
      <c r="N1135" s="1" t="s">
        <v>16</v>
      </c>
    </row>
    <row r="1136" spans="1:14" x14ac:dyDescent="0.25">
      <c r="A1136" s="9">
        <v>44656</v>
      </c>
      <c r="B1136" s="1" t="s">
        <v>22</v>
      </c>
      <c r="C1136" s="1">
        <v>7</v>
      </c>
      <c r="D1136" s="1">
        <v>2</v>
      </c>
      <c r="E1136" s="5">
        <v>65.349999999999994</v>
      </c>
      <c r="F1136" s="1" t="s">
        <v>18</v>
      </c>
      <c r="G1136" s="1">
        <v>2</v>
      </c>
      <c r="H1136" s="1" t="s">
        <v>16</v>
      </c>
      <c r="I1136" s="1" t="s">
        <v>16</v>
      </c>
      <c r="J1136" s="1" t="s">
        <v>16</v>
      </c>
      <c r="K1136" s="1" t="s">
        <v>17</v>
      </c>
      <c r="L1136" s="1" t="s">
        <v>17</v>
      </c>
      <c r="M1136" s="1" t="s">
        <v>17</v>
      </c>
      <c r="N1136" s="1" t="s">
        <v>16</v>
      </c>
    </row>
    <row r="1137" spans="1:14" x14ac:dyDescent="0.25">
      <c r="A1137" s="9">
        <v>44656</v>
      </c>
      <c r="B1137" s="1" t="s">
        <v>22</v>
      </c>
      <c r="C1137" s="1">
        <v>8</v>
      </c>
      <c r="D1137" s="1">
        <v>2</v>
      </c>
      <c r="E1137" s="5">
        <v>55.36</v>
      </c>
      <c r="F1137" s="1" t="s">
        <v>18</v>
      </c>
      <c r="G1137" s="1">
        <v>2</v>
      </c>
      <c r="H1137" s="1" t="s">
        <v>16</v>
      </c>
      <c r="I1137" s="1" t="s">
        <v>16</v>
      </c>
      <c r="J1137" s="1" t="s">
        <v>16</v>
      </c>
      <c r="K1137" s="1" t="s">
        <v>17</v>
      </c>
      <c r="L1137" s="1" t="s">
        <v>17</v>
      </c>
      <c r="M1137" s="1" t="s">
        <v>17</v>
      </c>
      <c r="N1137" s="1" t="s">
        <v>16</v>
      </c>
    </row>
    <row r="1138" spans="1:14" x14ac:dyDescent="0.25">
      <c r="A1138" s="9">
        <v>44656</v>
      </c>
      <c r="B1138" s="1" t="s">
        <v>22</v>
      </c>
      <c r="C1138" s="1">
        <v>9</v>
      </c>
      <c r="D1138" s="1">
        <v>2</v>
      </c>
      <c r="E1138" s="5">
        <v>49.2</v>
      </c>
      <c r="F1138" s="1" t="s">
        <v>16</v>
      </c>
      <c r="G1138" s="1">
        <v>4</v>
      </c>
      <c r="H1138" s="1" t="s">
        <v>16</v>
      </c>
      <c r="I1138" s="1" t="s">
        <v>16</v>
      </c>
      <c r="J1138" s="1" t="s">
        <v>16</v>
      </c>
      <c r="K1138" s="1" t="s">
        <v>17</v>
      </c>
      <c r="L1138" s="1" t="s">
        <v>17</v>
      </c>
      <c r="M1138" s="1" t="s">
        <v>17</v>
      </c>
      <c r="N1138" s="1" t="s">
        <v>16</v>
      </c>
    </row>
    <row r="1139" spans="1:14" x14ac:dyDescent="0.25">
      <c r="A1139" s="9">
        <v>44656</v>
      </c>
      <c r="B1139" s="1" t="s">
        <v>22</v>
      </c>
      <c r="C1139" s="1">
        <v>10</v>
      </c>
      <c r="D1139" s="1">
        <v>2</v>
      </c>
      <c r="E1139" s="5">
        <v>49.64</v>
      </c>
      <c r="F1139" s="1" t="s">
        <v>18</v>
      </c>
      <c r="G1139" s="1">
        <v>3</v>
      </c>
      <c r="H1139" s="1" t="s">
        <v>16</v>
      </c>
      <c r="I1139" s="1" t="s">
        <v>16</v>
      </c>
      <c r="J1139" s="1" t="s">
        <v>16</v>
      </c>
      <c r="K1139" s="1" t="s">
        <v>17</v>
      </c>
      <c r="L1139" s="1" t="s">
        <v>17</v>
      </c>
      <c r="M1139" s="1" t="s">
        <v>17</v>
      </c>
      <c r="N1139" s="1" t="s">
        <v>16</v>
      </c>
    </row>
    <row r="1140" spans="1:14" x14ac:dyDescent="0.25">
      <c r="A1140" s="9">
        <v>44656</v>
      </c>
      <c r="B1140" s="1" t="s">
        <v>22</v>
      </c>
      <c r="C1140" s="1">
        <v>11</v>
      </c>
      <c r="D1140" s="1">
        <v>3</v>
      </c>
      <c r="E1140" s="5">
        <v>76.27</v>
      </c>
      <c r="F1140" s="1" t="s">
        <v>16</v>
      </c>
      <c r="G1140" s="1" t="s">
        <v>16</v>
      </c>
      <c r="H1140" s="1" t="s">
        <v>16</v>
      </c>
      <c r="I1140" s="1" t="s">
        <v>16</v>
      </c>
      <c r="J1140" s="1" t="s">
        <v>16</v>
      </c>
      <c r="K1140" s="1" t="s">
        <v>20</v>
      </c>
      <c r="L1140" s="1" t="s">
        <v>17</v>
      </c>
      <c r="M1140" s="1" t="s">
        <v>17</v>
      </c>
      <c r="N1140" s="1" t="s">
        <v>16</v>
      </c>
    </row>
    <row r="1141" spans="1:14" x14ac:dyDescent="0.25">
      <c r="A1141" s="9">
        <v>44656</v>
      </c>
      <c r="B1141" s="1" t="s">
        <v>22</v>
      </c>
      <c r="C1141" s="1">
        <v>12</v>
      </c>
      <c r="D1141" s="1">
        <v>3</v>
      </c>
      <c r="E1141" s="5">
        <v>67.709999999999994</v>
      </c>
      <c r="F1141" s="1" t="s">
        <v>18</v>
      </c>
      <c r="G1141" s="1">
        <v>2</v>
      </c>
      <c r="H1141" s="1" t="s">
        <v>16</v>
      </c>
      <c r="I1141" s="1" t="s">
        <v>16</v>
      </c>
      <c r="J1141" s="1" t="s">
        <v>16</v>
      </c>
      <c r="K1141" s="1" t="s">
        <v>17</v>
      </c>
      <c r="L1141" s="1" t="s">
        <v>17</v>
      </c>
      <c r="M1141" s="1" t="s">
        <v>17</v>
      </c>
      <c r="N1141" s="1" t="s">
        <v>16</v>
      </c>
    </row>
    <row r="1142" spans="1:14" x14ac:dyDescent="0.25">
      <c r="A1142" s="9">
        <v>44656</v>
      </c>
      <c r="B1142" s="1" t="s">
        <v>22</v>
      </c>
      <c r="C1142" s="1">
        <v>13</v>
      </c>
      <c r="D1142" s="1">
        <v>3</v>
      </c>
      <c r="E1142" s="5">
        <v>74.599999999999994</v>
      </c>
      <c r="F1142" s="1" t="s">
        <v>18</v>
      </c>
      <c r="G1142" s="1">
        <v>2</v>
      </c>
      <c r="H1142" s="1" t="s">
        <v>16</v>
      </c>
      <c r="I1142" s="1" t="s">
        <v>16</v>
      </c>
      <c r="J1142" s="1" t="s">
        <v>16</v>
      </c>
      <c r="K1142" s="1" t="s">
        <v>21</v>
      </c>
      <c r="L1142" s="1" t="s">
        <v>17</v>
      </c>
      <c r="M1142" s="1" t="s">
        <v>17</v>
      </c>
      <c r="N1142" s="1" t="s">
        <v>16</v>
      </c>
    </row>
    <row r="1143" spans="1:14" x14ac:dyDescent="0.25">
      <c r="A1143" s="9">
        <v>44656</v>
      </c>
      <c r="B1143" s="1" t="s">
        <v>22</v>
      </c>
      <c r="C1143" s="1">
        <v>14</v>
      </c>
      <c r="D1143" s="1">
        <v>3</v>
      </c>
      <c r="E1143" s="5">
        <v>67.489999999999995</v>
      </c>
      <c r="F1143" s="1" t="s">
        <v>18</v>
      </c>
      <c r="G1143" s="1">
        <v>2</v>
      </c>
      <c r="H1143" s="1" t="s">
        <v>16</v>
      </c>
      <c r="I1143" s="1" t="s">
        <v>16</v>
      </c>
      <c r="J1143" s="1" t="s">
        <v>16</v>
      </c>
      <c r="K1143" s="1" t="s">
        <v>17</v>
      </c>
      <c r="L1143" s="1" t="s">
        <v>17</v>
      </c>
      <c r="M1143" s="1" t="s">
        <v>17</v>
      </c>
      <c r="N1143" s="1" t="s">
        <v>16</v>
      </c>
    </row>
    <row r="1144" spans="1:14" x14ac:dyDescent="0.25">
      <c r="A1144" s="9">
        <v>44656</v>
      </c>
      <c r="B1144" s="1" t="s">
        <v>22</v>
      </c>
      <c r="C1144" s="1">
        <v>15</v>
      </c>
      <c r="D1144" s="1">
        <v>3</v>
      </c>
      <c r="E1144" s="5">
        <v>53.47</v>
      </c>
      <c r="F1144" s="1" t="s">
        <v>18</v>
      </c>
      <c r="G1144" s="1">
        <v>2</v>
      </c>
      <c r="H1144" s="1" t="s">
        <v>16</v>
      </c>
      <c r="I1144" s="1" t="s">
        <v>16</v>
      </c>
      <c r="J1144" s="1" t="s">
        <v>16</v>
      </c>
      <c r="K1144" s="1" t="s">
        <v>17</v>
      </c>
      <c r="L1144" s="1" t="s">
        <v>17</v>
      </c>
      <c r="M1144" s="1" t="s">
        <v>17</v>
      </c>
      <c r="N1144" s="1" t="s">
        <v>16</v>
      </c>
    </row>
    <row r="1145" spans="1:14" x14ac:dyDescent="0.25">
      <c r="A1145" s="9">
        <v>44684</v>
      </c>
      <c r="B1145" s="1" t="s">
        <v>22</v>
      </c>
      <c r="C1145" s="1">
        <v>1</v>
      </c>
      <c r="D1145" s="1">
        <v>1</v>
      </c>
      <c r="E1145" s="5">
        <v>72.239999999999995</v>
      </c>
      <c r="F1145" s="1" t="s">
        <v>18</v>
      </c>
      <c r="G1145" s="1">
        <v>2</v>
      </c>
      <c r="H1145" s="1" t="s">
        <v>16</v>
      </c>
      <c r="I1145" s="1" t="s">
        <v>16</v>
      </c>
      <c r="J1145" s="1" t="s">
        <v>16</v>
      </c>
      <c r="K1145" s="1" t="s">
        <v>17</v>
      </c>
      <c r="L1145" s="1" t="s">
        <v>17</v>
      </c>
      <c r="M1145" s="1" t="s">
        <v>17</v>
      </c>
      <c r="N1145" s="1" t="s">
        <v>16</v>
      </c>
    </row>
    <row r="1146" spans="1:14" x14ac:dyDescent="0.25">
      <c r="A1146" s="9">
        <v>44684</v>
      </c>
      <c r="B1146" s="1" t="s">
        <v>22</v>
      </c>
      <c r="C1146" s="1">
        <v>2</v>
      </c>
      <c r="D1146" s="1">
        <v>1</v>
      </c>
      <c r="E1146" s="5">
        <v>44.27</v>
      </c>
      <c r="F1146" s="1" t="s">
        <v>18</v>
      </c>
      <c r="G1146" s="1">
        <v>2</v>
      </c>
      <c r="H1146" s="1" t="s">
        <v>16</v>
      </c>
      <c r="I1146" s="1" t="s">
        <v>16</v>
      </c>
      <c r="J1146" s="1" t="s">
        <v>16</v>
      </c>
      <c r="K1146" s="1" t="s">
        <v>17</v>
      </c>
      <c r="L1146" s="1" t="s">
        <v>17</v>
      </c>
      <c r="M1146" s="1" t="s">
        <v>17</v>
      </c>
      <c r="N1146" s="1" t="s">
        <v>16</v>
      </c>
    </row>
    <row r="1147" spans="1:14" x14ac:dyDescent="0.25">
      <c r="A1147" s="9">
        <v>44684</v>
      </c>
      <c r="B1147" s="1" t="s">
        <v>22</v>
      </c>
      <c r="C1147" s="1">
        <v>3</v>
      </c>
      <c r="D1147" s="1">
        <v>1</v>
      </c>
      <c r="E1147" s="5">
        <v>47.24</v>
      </c>
      <c r="F1147" s="1" t="s">
        <v>18</v>
      </c>
      <c r="G1147" s="1">
        <v>2</v>
      </c>
      <c r="H1147" s="1" t="s">
        <v>16</v>
      </c>
      <c r="I1147" s="1" t="s">
        <v>16</v>
      </c>
      <c r="J1147" s="1" t="s">
        <v>16</v>
      </c>
      <c r="K1147" s="1" t="s">
        <v>21</v>
      </c>
      <c r="L1147" s="1" t="s">
        <v>17</v>
      </c>
      <c r="M1147" s="1" t="s">
        <v>17</v>
      </c>
      <c r="N1147" s="1" t="s">
        <v>16</v>
      </c>
    </row>
    <row r="1148" spans="1:14" x14ac:dyDescent="0.25">
      <c r="A1148" s="9">
        <v>44684</v>
      </c>
      <c r="B1148" s="1" t="s">
        <v>22</v>
      </c>
      <c r="C1148" s="1">
        <v>4</v>
      </c>
      <c r="D1148" s="1">
        <v>1</v>
      </c>
      <c r="E1148" s="5">
        <v>55.49</v>
      </c>
      <c r="F1148" s="1" t="s">
        <v>16</v>
      </c>
      <c r="G1148" s="1">
        <v>4</v>
      </c>
      <c r="H1148" s="1" t="s">
        <v>16</v>
      </c>
      <c r="I1148" s="1" t="s">
        <v>16</v>
      </c>
      <c r="J1148" s="1" t="s">
        <v>16</v>
      </c>
      <c r="K1148" s="1" t="s">
        <v>17</v>
      </c>
      <c r="L1148" s="1" t="s">
        <v>17</v>
      </c>
      <c r="M1148" s="1" t="s">
        <v>17</v>
      </c>
      <c r="N1148" s="1" t="s">
        <v>16</v>
      </c>
    </row>
    <row r="1149" spans="1:14" x14ac:dyDescent="0.25">
      <c r="A1149" s="9">
        <v>44684</v>
      </c>
      <c r="B1149" s="1" t="s">
        <v>22</v>
      </c>
      <c r="C1149" s="1">
        <v>5</v>
      </c>
      <c r="D1149" s="1">
        <v>1</v>
      </c>
      <c r="E1149" s="5">
        <v>44.85</v>
      </c>
      <c r="F1149" s="1" t="s">
        <v>18</v>
      </c>
      <c r="G1149" s="1">
        <v>2</v>
      </c>
      <c r="H1149" s="1" t="s">
        <v>16</v>
      </c>
      <c r="I1149" s="1" t="s">
        <v>16</v>
      </c>
      <c r="J1149" s="1" t="s">
        <v>16</v>
      </c>
      <c r="K1149" s="1" t="s">
        <v>17</v>
      </c>
      <c r="L1149" s="1" t="s">
        <v>17</v>
      </c>
      <c r="M1149" s="1" t="s">
        <v>21</v>
      </c>
      <c r="N1149" s="1" t="s">
        <v>16</v>
      </c>
    </row>
    <row r="1150" spans="1:14" x14ac:dyDescent="0.25">
      <c r="A1150" s="9">
        <v>44684</v>
      </c>
      <c r="B1150" s="1" t="s">
        <v>22</v>
      </c>
      <c r="C1150" s="1">
        <v>6</v>
      </c>
      <c r="D1150" s="1">
        <v>2</v>
      </c>
      <c r="E1150" s="5">
        <v>74.319999999999993</v>
      </c>
      <c r="F1150" s="1" t="s">
        <v>18</v>
      </c>
      <c r="G1150" s="1">
        <v>2</v>
      </c>
      <c r="H1150" s="1" t="s">
        <v>16</v>
      </c>
      <c r="I1150" s="1" t="s">
        <v>16</v>
      </c>
      <c r="J1150" s="1" t="s">
        <v>16</v>
      </c>
      <c r="K1150" s="1" t="s">
        <v>17</v>
      </c>
      <c r="L1150" s="1" t="s">
        <v>17</v>
      </c>
      <c r="M1150" s="1" t="s">
        <v>17</v>
      </c>
      <c r="N1150" s="1" t="s">
        <v>16</v>
      </c>
    </row>
    <row r="1151" spans="1:14" x14ac:dyDescent="0.25">
      <c r="A1151" s="9">
        <v>44684</v>
      </c>
      <c r="B1151" s="1" t="s">
        <v>22</v>
      </c>
      <c r="C1151" s="1">
        <v>7</v>
      </c>
      <c r="D1151" s="1">
        <v>2</v>
      </c>
      <c r="E1151" s="5">
        <v>60.03</v>
      </c>
      <c r="F1151" s="1" t="s">
        <v>18</v>
      </c>
      <c r="G1151" s="1">
        <v>1</v>
      </c>
      <c r="H1151" s="1" t="s">
        <v>16</v>
      </c>
      <c r="I1151" s="1" t="s">
        <v>16</v>
      </c>
      <c r="J1151" s="1" t="s">
        <v>16</v>
      </c>
      <c r="K1151" s="1" t="s">
        <v>17</v>
      </c>
      <c r="L1151" s="1" t="s">
        <v>17</v>
      </c>
      <c r="M1151" s="1" t="s">
        <v>17</v>
      </c>
      <c r="N1151" s="1" t="s">
        <v>16</v>
      </c>
    </row>
    <row r="1152" spans="1:14" x14ac:dyDescent="0.25">
      <c r="A1152" s="9">
        <v>44684</v>
      </c>
      <c r="B1152" s="1" t="s">
        <v>22</v>
      </c>
      <c r="C1152" s="1">
        <v>8</v>
      </c>
      <c r="D1152" s="1">
        <v>2</v>
      </c>
      <c r="E1152" s="5">
        <v>55.7</v>
      </c>
      <c r="F1152" s="1" t="s">
        <v>19</v>
      </c>
      <c r="G1152" s="1">
        <v>2</v>
      </c>
      <c r="H1152" s="1" t="s">
        <v>16</v>
      </c>
      <c r="I1152" s="1" t="s">
        <v>16</v>
      </c>
      <c r="J1152" s="1" t="s">
        <v>16</v>
      </c>
      <c r="K1152" s="1" t="s">
        <v>17</v>
      </c>
      <c r="L1152" s="1" t="s">
        <v>17</v>
      </c>
      <c r="M1152" s="1" t="s">
        <v>17</v>
      </c>
      <c r="N1152" s="1" t="s">
        <v>16</v>
      </c>
    </row>
    <row r="1153" spans="1:14" x14ac:dyDescent="0.25">
      <c r="A1153" s="9">
        <v>44684</v>
      </c>
      <c r="B1153" s="1" t="s">
        <v>22</v>
      </c>
      <c r="C1153" s="1">
        <v>9</v>
      </c>
      <c r="D1153" s="1">
        <v>2</v>
      </c>
      <c r="E1153" s="5">
        <v>51.58</v>
      </c>
      <c r="F1153" s="1" t="s">
        <v>19</v>
      </c>
      <c r="G1153" s="1">
        <v>2</v>
      </c>
      <c r="H1153" s="1" t="s">
        <v>16</v>
      </c>
      <c r="I1153" s="1" t="s">
        <v>16</v>
      </c>
      <c r="J1153" s="1" t="s">
        <v>16</v>
      </c>
      <c r="K1153" s="1" t="s">
        <v>17</v>
      </c>
      <c r="L1153" s="1" t="s">
        <v>17</v>
      </c>
      <c r="M1153" s="1" t="s">
        <v>17</v>
      </c>
      <c r="N1153" s="1" t="s">
        <v>16</v>
      </c>
    </row>
    <row r="1154" spans="1:14" x14ac:dyDescent="0.25">
      <c r="A1154" s="9">
        <v>44684</v>
      </c>
      <c r="B1154" s="1" t="s">
        <v>22</v>
      </c>
      <c r="C1154" s="1">
        <v>10</v>
      </c>
      <c r="D1154" s="1">
        <v>2</v>
      </c>
      <c r="E1154" s="5">
        <v>59.69</v>
      </c>
      <c r="F1154" s="1" t="s">
        <v>16</v>
      </c>
      <c r="G1154" s="1">
        <v>4</v>
      </c>
      <c r="H1154" s="1" t="s">
        <v>16</v>
      </c>
      <c r="I1154" s="1" t="s">
        <v>16</v>
      </c>
      <c r="J1154" s="1" t="s">
        <v>16</v>
      </c>
      <c r="K1154" s="1" t="s">
        <v>17</v>
      </c>
      <c r="L1154" s="1" t="s">
        <v>17</v>
      </c>
      <c r="M1154" s="1" t="s">
        <v>17</v>
      </c>
      <c r="N1154" s="1" t="s">
        <v>16</v>
      </c>
    </row>
    <row r="1155" spans="1:14" x14ac:dyDescent="0.25">
      <c r="A1155" s="9">
        <v>44684</v>
      </c>
      <c r="B1155" s="1" t="s">
        <v>22</v>
      </c>
      <c r="C1155" s="1">
        <v>11</v>
      </c>
      <c r="D1155" s="1">
        <v>3</v>
      </c>
      <c r="E1155" s="5">
        <v>51.32</v>
      </c>
      <c r="F1155" s="1" t="s">
        <v>18</v>
      </c>
      <c r="G1155" s="1">
        <v>2</v>
      </c>
      <c r="H1155" s="1" t="s">
        <v>16</v>
      </c>
      <c r="I1155" s="1" t="s">
        <v>16</v>
      </c>
      <c r="J1155" s="1" t="s">
        <v>16</v>
      </c>
      <c r="K1155" s="1" t="s">
        <v>17</v>
      </c>
      <c r="L1155" s="1" t="s">
        <v>17</v>
      </c>
      <c r="M1155" s="1" t="s">
        <v>17</v>
      </c>
      <c r="N1155" s="1" t="s">
        <v>16</v>
      </c>
    </row>
    <row r="1156" spans="1:14" x14ac:dyDescent="0.25">
      <c r="A1156" s="9">
        <v>44684</v>
      </c>
      <c r="B1156" s="1" t="s">
        <v>22</v>
      </c>
      <c r="C1156" s="1">
        <v>12</v>
      </c>
      <c r="D1156" s="1">
        <v>3</v>
      </c>
      <c r="E1156" s="5">
        <v>55.01</v>
      </c>
      <c r="F1156" s="1" t="s">
        <v>18</v>
      </c>
      <c r="G1156" s="1">
        <v>3</v>
      </c>
      <c r="H1156" s="1" t="s">
        <v>16</v>
      </c>
      <c r="I1156" s="1" t="s">
        <v>16</v>
      </c>
      <c r="J1156" s="1" t="s">
        <v>16</v>
      </c>
      <c r="K1156" s="1" t="s">
        <v>17</v>
      </c>
      <c r="L1156" s="1" t="s">
        <v>17</v>
      </c>
      <c r="M1156" s="1" t="s">
        <v>17</v>
      </c>
      <c r="N1156" s="1" t="s">
        <v>16</v>
      </c>
    </row>
    <row r="1157" spans="1:14" x14ac:dyDescent="0.25">
      <c r="A1157" s="9">
        <v>44684</v>
      </c>
      <c r="B1157" s="1" t="s">
        <v>22</v>
      </c>
      <c r="C1157" s="1">
        <v>13</v>
      </c>
      <c r="D1157" s="1">
        <v>3</v>
      </c>
      <c r="E1157" s="5">
        <v>41.14</v>
      </c>
      <c r="F1157" s="1" t="s">
        <v>18</v>
      </c>
      <c r="G1157" s="1">
        <v>3</v>
      </c>
      <c r="H1157" s="1" t="s">
        <v>16</v>
      </c>
      <c r="I1157" s="1" t="s">
        <v>16</v>
      </c>
      <c r="J1157" s="1" t="s">
        <v>16</v>
      </c>
      <c r="K1157" s="1" t="s">
        <v>17</v>
      </c>
      <c r="L1157" s="1" t="s">
        <v>17</v>
      </c>
      <c r="M1157" s="1" t="s">
        <v>17</v>
      </c>
      <c r="N1157" s="1" t="s">
        <v>16</v>
      </c>
    </row>
    <row r="1158" spans="1:14" x14ac:dyDescent="0.25">
      <c r="A1158" s="9">
        <v>44684</v>
      </c>
      <c r="B1158" s="1" t="s">
        <v>22</v>
      </c>
      <c r="C1158" s="1">
        <v>14</v>
      </c>
      <c r="D1158" s="1">
        <v>3</v>
      </c>
      <c r="E1158" s="5">
        <v>45.61</v>
      </c>
      <c r="F1158" s="1" t="s">
        <v>18</v>
      </c>
      <c r="G1158" s="1">
        <v>2</v>
      </c>
      <c r="H1158" s="1" t="s">
        <v>16</v>
      </c>
      <c r="I1158" s="1" t="s">
        <v>16</v>
      </c>
      <c r="J1158" s="1" t="s">
        <v>16</v>
      </c>
      <c r="K1158" s="1" t="s">
        <v>17</v>
      </c>
      <c r="L1158" s="1" t="s">
        <v>17</v>
      </c>
      <c r="M1158" s="1" t="s">
        <v>17</v>
      </c>
      <c r="N1158" s="1" t="s">
        <v>16</v>
      </c>
    </row>
    <row r="1159" spans="1:14" x14ac:dyDescent="0.25">
      <c r="A1159" s="9">
        <v>44684</v>
      </c>
      <c r="B1159" s="1" t="s">
        <v>22</v>
      </c>
      <c r="C1159" s="1">
        <v>15</v>
      </c>
      <c r="D1159" s="1">
        <v>3</v>
      </c>
      <c r="E1159" s="5">
        <v>34.590000000000003</v>
      </c>
      <c r="F1159" s="1" t="s">
        <v>19</v>
      </c>
      <c r="G1159" s="1">
        <v>2</v>
      </c>
      <c r="H1159" s="1" t="s">
        <v>16</v>
      </c>
      <c r="I1159" s="1" t="s">
        <v>16</v>
      </c>
      <c r="J1159" s="1" t="s">
        <v>16</v>
      </c>
      <c r="K1159" s="1" t="s">
        <v>17</v>
      </c>
      <c r="L1159" s="1" t="s">
        <v>17</v>
      </c>
      <c r="M1159" s="1" t="s">
        <v>17</v>
      </c>
      <c r="N1159" s="1" t="s">
        <v>16</v>
      </c>
    </row>
    <row r="1160" spans="1:14" x14ac:dyDescent="0.25">
      <c r="A1160" s="9">
        <v>44720</v>
      </c>
      <c r="B1160" s="1" t="s">
        <v>22</v>
      </c>
      <c r="C1160" s="1">
        <v>1</v>
      </c>
      <c r="D1160" s="1">
        <v>1</v>
      </c>
      <c r="E1160" s="5">
        <v>37.9</v>
      </c>
      <c r="F1160" s="1" t="s">
        <v>18</v>
      </c>
      <c r="G1160" s="1">
        <v>2</v>
      </c>
      <c r="H1160" s="1" t="s">
        <v>16</v>
      </c>
      <c r="I1160" s="1" t="s">
        <v>16</v>
      </c>
      <c r="J1160" s="1" t="s">
        <v>16</v>
      </c>
      <c r="K1160" s="1" t="s">
        <v>17</v>
      </c>
      <c r="L1160" s="1" t="s">
        <v>17</v>
      </c>
      <c r="M1160" s="1" t="s">
        <v>17</v>
      </c>
      <c r="N1160" s="1" t="s">
        <v>16</v>
      </c>
    </row>
    <row r="1161" spans="1:14" x14ac:dyDescent="0.25">
      <c r="A1161" s="9">
        <v>44720</v>
      </c>
      <c r="B1161" s="1" t="s">
        <v>22</v>
      </c>
      <c r="C1161" s="1">
        <v>2</v>
      </c>
      <c r="D1161" s="1">
        <v>1</v>
      </c>
      <c r="E1161" s="5">
        <v>49.14</v>
      </c>
      <c r="F1161" s="1" t="s">
        <v>19</v>
      </c>
      <c r="G1161" s="1">
        <v>2</v>
      </c>
      <c r="H1161" s="1" t="s">
        <v>16</v>
      </c>
      <c r="I1161" s="1" t="s">
        <v>16</v>
      </c>
      <c r="J1161" s="1" t="s">
        <v>16</v>
      </c>
      <c r="K1161" s="1" t="s">
        <v>17</v>
      </c>
      <c r="L1161" s="1" t="s">
        <v>17</v>
      </c>
      <c r="M1161" s="1" t="s">
        <v>17</v>
      </c>
      <c r="N1161" s="1" t="s">
        <v>16</v>
      </c>
    </row>
    <row r="1162" spans="1:14" x14ac:dyDescent="0.25">
      <c r="A1162" s="9">
        <v>44720</v>
      </c>
      <c r="B1162" s="1" t="s">
        <v>22</v>
      </c>
      <c r="C1162" s="1">
        <v>3</v>
      </c>
      <c r="D1162" s="1">
        <v>1</v>
      </c>
      <c r="E1162" s="5">
        <v>49.65</v>
      </c>
      <c r="F1162" s="1" t="s">
        <v>19</v>
      </c>
      <c r="G1162" s="1">
        <v>2</v>
      </c>
      <c r="H1162" s="1" t="s">
        <v>16</v>
      </c>
      <c r="I1162" s="1" t="s">
        <v>16</v>
      </c>
      <c r="J1162" s="1" t="s">
        <v>16</v>
      </c>
      <c r="K1162" s="1" t="s">
        <v>17</v>
      </c>
      <c r="L1162" s="1" t="s">
        <v>17</v>
      </c>
      <c r="M1162" s="1" t="s">
        <v>17</v>
      </c>
      <c r="N1162" s="1" t="s">
        <v>16</v>
      </c>
    </row>
    <row r="1163" spans="1:14" x14ac:dyDescent="0.25">
      <c r="A1163" s="9">
        <v>44720</v>
      </c>
      <c r="B1163" s="1" t="s">
        <v>22</v>
      </c>
      <c r="C1163" s="1">
        <v>4</v>
      </c>
      <c r="D1163" s="1">
        <v>1</v>
      </c>
      <c r="E1163" s="5">
        <v>53.32</v>
      </c>
      <c r="F1163" s="1" t="s">
        <v>18</v>
      </c>
      <c r="G1163" s="1">
        <v>2</v>
      </c>
      <c r="H1163" s="1" t="s">
        <v>16</v>
      </c>
      <c r="I1163" s="1" t="s">
        <v>16</v>
      </c>
      <c r="J1163" s="1" t="s">
        <v>16</v>
      </c>
      <c r="K1163" s="1" t="s">
        <v>17</v>
      </c>
      <c r="L1163" s="1" t="s">
        <v>17</v>
      </c>
      <c r="M1163" s="1" t="s">
        <v>17</v>
      </c>
      <c r="N1163" s="1" t="s">
        <v>16</v>
      </c>
    </row>
    <row r="1164" spans="1:14" x14ac:dyDescent="0.25">
      <c r="A1164" s="9">
        <v>44720</v>
      </c>
      <c r="B1164" s="1" t="s">
        <v>22</v>
      </c>
      <c r="C1164" s="1">
        <v>5</v>
      </c>
      <c r="D1164" s="1">
        <v>1</v>
      </c>
      <c r="E1164" s="5">
        <v>49.99</v>
      </c>
      <c r="F1164" s="1" t="s">
        <v>18</v>
      </c>
      <c r="G1164" s="1">
        <v>2</v>
      </c>
      <c r="H1164" s="1" t="s">
        <v>16</v>
      </c>
      <c r="I1164" s="1" t="s">
        <v>16</v>
      </c>
      <c r="J1164" s="1" t="s">
        <v>16</v>
      </c>
      <c r="K1164" s="1" t="s">
        <v>17</v>
      </c>
      <c r="L1164" s="1" t="s">
        <v>17</v>
      </c>
      <c r="M1164" s="1" t="s">
        <v>17</v>
      </c>
      <c r="N1164" s="1" t="s">
        <v>16</v>
      </c>
    </row>
    <row r="1165" spans="1:14" x14ac:dyDescent="0.25">
      <c r="A1165" s="9">
        <v>44720</v>
      </c>
      <c r="B1165" s="1" t="s">
        <v>22</v>
      </c>
      <c r="C1165" s="1">
        <v>6</v>
      </c>
      <c r="D1165" s="1">
        <v>2</v>
      </c>
      <c r="E1165" s="5">
        <v>67.88</v>
      </c>
      <c r="F1165" s="1" t="s">
        <v>16</v>
      </c>
      <c r="G1165" s="1" t="s">
        <v>16</v>
      </c>
      <c r="H1165" s="1" t="s">
        <v>16</v>
      </c>
      <c r="I1165" s="1" t="s">
        <v>16</v>
      </c>
      <c r="J1165" s="1" t="s">
        <v>16</v>
      </c>
      <c r="K1165" s="1" t="s">
        <v>17</v>
      </c>
      <c r="L1165" s="1" t="s">
        <v>17</v>
      </c>
      <c r="M1165" s="1" t="s">
        <v>21</v>
      </c>
      <c r="N1165" s="1" t="s">
        <v>16</v>
      </c>
    </row>
    <row r="1166" spans="1:14" x14ac:dyDescent="0.25">
      <c r="A1166" s="9">
        <v>44720</v>
      </c>
      <c r="B1166" s="1" t="s">
        <v>22</v>
      </c>
      <c r="C1166" s="1">
        <v>7</v>
      </c>
      <c r="D1166" s="1">
        <v>2</v>
      </c>
      <c r="E1166" s="5">
        <v>54.65</v>
      </c>
      <c r="F1166" s="1" t="s">
        <v>19</v>
      </c>
      <c r="G1166" s="1">
        <v>2</v>
      </c>
      <c r="H1166" s="1" t="s">
        <v>16</v>
      </c>
      <c r="I1166" s="1" t="s">
        <v>16</v>
      </c>
      <c r="J1166" s="1" t="s">
        <v>16</v>
      </c>
      <c r="K1166" s="1" t="s">
        <v>17</v>
      </c>
      <c r="L1166" s="1" t="s">
        <v>17</v>
      </c>
      <c r="M1166" s="1" t="s">
        <v>17</v>
      </c>
      <c r="N1166" s="1" t="s">
        <v>16</v>
      </c>
    </row>
    <row r="1167" spans="1:14" x14ac:dyDescent="0.25">
      <c r="A1167" s="9">
        <v>44720</v>
      </c>
      <c r="B1167" s="1" t="s">
        <v>22</v>
      </c>
      <c r="C1167" s="1">
        <v>8</v>
      </c>
      <c r="D1167" s="1">
        <v>2</v>
      </c>
      <c r="E1167" s="5">
        <v>48.38</v>
      </c>
      <c r="F1167" s="1" t="s">
        <v>18</v>
      </c>
      <c r="G1167" s="1">
        <v>2</v>
      </c>
      <c r="H1167" s="1" t="s">
        <v>16</v>
      </c>
      <c r="I1167" s="1" t="s">
        <v>16</v>
      </c>
      <c r="J1167" s="1" t="s">
        <v>16</v>
      </c>
      <c r="K1167" s="1" t="s">
        <v>17</v>
      </c>
      <c r="L1167" s="1" t="s">
        <v>17</v>
      </c>
      <c r="M1167" s="1" t="s">
        <v>17</v>
      </c>
      <c r="N1167" s="1" t="s">
        <v>16</v>
      </c>
    </row>
    <row r="1168" spans="1:14" x14ac:dyDescent="0.25">
      <c r="A1168" s="9">
        <v>44720</v>
      </c>
      <c r="B1168" s="1" t="s">
        <v>22</v>
      </c>
      <c r="C1168" s="1">
        <v>9</v>
      </c>
      <c r="D1168" s="1">
        <v>2</v>
      </c>
      <c r="E1168" s="5">
        <v>49.11</v>
      </c>
      <c r="F1168" s="1" t="s">
        <v>18</v>
      </c>
      <c r="G1168" s="1">
        <v>2</v>
      </c>
      <c r="H1168" s="1" t="s">
        <v>16</v>
      </c>
      <c r="I1168" s="1" t="s">
        <v>16</v>
      </c>
      <c r="J1168" s="1" t="s">
        <v>16</v>
      </c>
      <c r="K1168" s="1" t="s">
        <v>17</v>
      </c>
      <c r="L1168" s="1" t="s">
        <v>17</v>
      </c>
      <c r="M1168" s="1" t="s">
        <v>17</v>
      </c>
      <c r="N1168" s="1" t="s">
        <v>16</v>
      </c>
    </row>
    <row r="1169" spans="1:14" x14ac:dyDescent="0.25">
      <c r="A1169" s="9">
        <v>44720</v>
      </c>
      <c r="B1169" s="1" t="s">
        <v>22</v>
      </c>
      <c r="C1169" s="1">
        <v>10</v>
      </c>
      <c r="D1169" s="1">
        <v>2</v>
      </c>
      <c r="E1169" s="5">
        <v>46.25</v>
      </c>
      <c r="F1169" s="1" t="s">
        <v>19</v>
      </c>
      <c r="G1169" s="1">
        <v>2</v>
      </c>
      <c r="H1169" s="1" t="s">
        <v>16</v>
      </c>
      <c r="I1169" s="1" t="s">
        <v>16</v>
      </c>
      <c r="J1169" s="1" t="s">
        <v>16</v>
      </c>
      <c r="K1169" s="1" t="s">
        <v>17</v>
      </c>
      <c r="L1169" s="1" t="s">
        <v>17</v>
      </c>
      <c r="M1169" s="1" t="s">
        <v>17</v>
      </c>
      <c r="N1169" s="1" t="s">
        <v>16</v>
      </c>
    </row>
    <row r="1170" spans="1:14" x14ac:dyDescent="0.25">
      <c r="A1170" s="9">
        <v>44720</v>
      </c>
      <c r="B1170" s="1" t="s">
        <v>22</v>
      </c>
      <c r="C1170" s="1">
        <v>11</v>
      </c>
      <c r="D1170" s="1">
        <v>3</v>
      </c>
      <c r="E1170" s="5">
        <v>57.44</v>
      </c>
      <c r="F1170" s="1" t="s">
        <v>18</v>
      </c>
      <c r="G1170" s="1">
        <v>2</v>
      </c>
      <c r="H1170" s="1" t="s">
        <v>16</v>
      </c>
      <c r="I1170" s="1" t="s">
        <v>16</v>
      </c>
      <c r="J1170" s="1" t="s">
        <v>16</v>
      </c>
      <c r="K1170" s="1" t="s">
        <v>21</v>
      </c>
      <c r="L1170" s="1" t="s">
        <v>17</v>
      </c>
      <c r="M1170" s="1" t="s">
        <v>17</v>
      </c>
      <c r="N1170" s="1" t="s">
        <v>16</v>
      </c>
    </row>
    <row r="1171" spans="1:14" x14ac:dyDescent="0.25">
      <c r="A1171" s="9">
        <v>44720</v>
      </c>
      <c r="B1171" s="1" t="s">
        <v>22</v>
      </c>
      <c r="C1171" s="1">
        <v>12</v>
      </c>
      <c r="D1171" s="1">
        <v>3</v>
      </c>
      <c r="E1171" s="5">
        <v>48.13</v>
      </c>
      <c r="F1171" s="1" t="s">
        <v>18</v>
      </c>
      <c r="G1171" s="1">
        <v>2</v>
      </c>
      <c r="H1171" s="1" t="s">
        <v>16</v>
      </c>
      <c r="I1171" s="1" t="s">
        <v>16</v>
      </c>
      <c r="J1171" s="1" t="s">
        <v>16</v>
      </c>
      <c r="K1171" s="1" t="s">
        <v>17</v>
      </c>
      <c r="L1171" s="1" t="s">
        <v>17</v>
      </c>
      <c r="M1171" s="1" t="s">
        <v>17</v>
      </c>
      <c r="N1171" s="1" t="s">
        <v>16</v>
      </c>
    </row>
    <row r="1172" spans="1:14" x14ac:dyDescent="0.25">
      <c r="A1172" s="9">
        <v>44720</v>
      </c>
      <c r="B1172" s="1" t="s">
        <v>22</v>
      </c>
      <c r="C1172" s="1">
        <v>13</v>
      </c>
      <c r="D1172" s="1">
        <v>3</v>
      </c>
      <c r="E1172" s="5">
        <v>50.49</v>
      </c>
      <c r="F1172" s="1" t="s">
        <v>18</v>
      </c>
      <c r="G1172" s="1">
        <v>2</v>
      </c>
      <c r="H1172" s="1" t="s">
        <v>16</v>
      </c>
      <c r="I1172" s="1" t="s">
        <v>16</v>
      </c>
      <c r="J1172" s="1" t="s">
        <v>16</v>
      </c>
      <c r="K1172" s="1" t="s">
        <v>21</v>
      </c>
      <c r="L1172" s="1" t="s">
        <v>17</v>
      </c>
      <c r="M1172" s="1" t="s">
        <v>17</v>
      </c>
      <c r="N1172" s="1" t="s">
        <v>16</v>
      </c>
    </row>
    <row r="1173" spans="1:14" x14ac:dyDescent="0.25">
      <c r="A1173" s="9">
        <v>44720</v>
      </c>
      <c r="B1173" s="1" t="s">
        <v>22</v>
      </c>
      <c r="C1173" s="1">
        <v>14</v>
      </c>
      <c r="D1173" s="1">
        <v>3</v>
      </c>
      <c r="E1173" s="5">
        <v>39.64</v>
      </c>
      <c r="F1173" s="1" t="s">
        <v>18</v>
      </c>
      <c r="G1173" s="1">
        <v>2</v>
      </c>
      <c r="H1173" s="1" t="s">
        <v>16</v>
      </c>
      <c r="I1173" s="1" t="s">
        <v>16</v>
      </c>
      <c r="J1173" s="1" t="s">
        <v>16</v>
      </c>
      <c r="K1173" s="1" t="s">
        <v>17</v>
      </c>
      <c r="L1173" s="1" t="s">
        <v>17</v>
      </c>
      <c r="M1173" s="1" t="s">
        <v>17</v>
      </c>
      <c r="N1173" s="1" t="s">
        <v>16</v>
      </c>
    </row>
    <row r="1174" spans="1:14" x14ac:dyDescent="0.25">
      <c r="A1174" s="9">
        <v>44720</v>
      </c>
      <c r="B1174" s="1" t="s">
        <v>22</v>
      </c>
      <c r="C1174" s="1">
        <v>15</v>
      </c>
      <c r="D1174" s="1">
        <v>3</v>
      </c>
      <c r="E1174" s="5">
        <v>52.43</v>
      </c>
      <c r="F1174" s="1" t="s">
        <v>18</v>
      </c>
      <c r="G1174" s="1">
        <v>2</v>
      </c>
      <c r="H1174" s="1" t="s">
        <v>16</v>
      </c>
      <c r="I1174" s="1" t="s">
        <v>16</v>
      </c>
      <c r="J1174" s="1" t="s">
        <v>16</v>
      </c>
      <c r="K1174" s="1" t="s">
        <v>17</v>
      </c>
      <c r="L1174" s="1" t="s">
        <v>17</v>
      </c>
      <c r="M1174" s="1" t="s">
        <v>17</v>
      </c>
      <c r="N1174" s="1" t="s">
        <v>16</v>
      </c>
    </row>
    <row r="1175" spans="1:14" x14ac:dyDescent="0.25">
      <c r="A1175" s="9">
        <v>44747</v>
      </c>
      <c r="B1175" s="1" t="s">
        <v>22</v>
      </c>
      <c r="C1175" s="1">
        <v>1</v>
      </c>
      <c r="D1175" s="1">
        <v>1</v>
      </c>
      <c r="E1175" s="5">
        <v>54.46</v>
      </c>
      <c r="F1175" s="1" t="s">
        <v>18</v>
      </c>
      <c r="G1175" s="1">
        <v>2</v>
      </c>
      <c r="H1175" s="1" t="s">
        <v>16</v>
      </c>
      <c r="I1175" s="1" t="s">
        <v>16</v>
      </c>
      <c r="J1175" s="1" t="s">
        <v>16</v>
      </c>
      <c r="K1175" s="1" t="s">
        <v>17</v>
      </c>
      <c r="L1175" s="1" t="s">
        <v>17</v>
      </c>
      <c r="M1175" s="1" t="s">
        <v>17</v>
      </c>
      <c r="N1175" s="1" t="s">
        <v>16</v>
      </c>
    </row>
    <row r="1176" spans="1:14" x14ac:dyDescent="0.25">
      <c r="A1176" s="9">
        <v>44747</v>
      </c>
      <c r="B1176" s="1" t="s">
        <v>22</v>
      </c>
      <c r="C1176" s="1">
        <v>2</v>
      </c>
      <c r="D1176" s="1">
        <v>1</v>
      </c>
      <c r="E1176" s="5">
        <v>51.25</v>
      </c>
      <c r="F1176" s="1" t="s">
        <v>18</v>
      </c>
      <c r="G1176" s="1">
        <v>2</v>
      </c>
      <c r="H1176" s="1" t="s">
        <v>16</v>
      </c>
      <c r="I1176" s="1" t="s">
        <v>16</v>
      </c>
      <c r="J1176" s="1" t="s">
        <v>16</v>
      </c>
      <c r="K1176" s="1" t="s">
        <v>17</v>
      </c>
      <c r="L1176" s="1" t="s">
        <v>17</v>
      </c>
      <c r="M1176" s="1" t="s">
        <v>17</v>
      </c>
      <c r="N1176" s="1" t="s">
        <v>16</v>
      </c>
    </row>
    <row r="1177" spans="1:14" x14ac:dyDescent="0.25">
      <c r="A1177" s="9">
        <v>44747</v>
      </c>
      <c r="B1177" s="1" t="s">
        <v>22</v>
      </c>
      <c r="C1177" s="1">
        <v>3</v>
      </c>
      <c r="D1177" s="1">
        <v>1</v>
      </c>
      <c r="E1177" s="5">
        <v>53.32</v>
      </c>
      <c r="F1177" s="1" t="s">
        <v>18</v>
      </c>
      <c r="G1177" s="1">
        <v>2</v>
      </c>
      <c r="H1177" s="1" t="s">
        <v>16</v>
      </c>
      <c r="I1177" s="1" t="s">
        <v>16</v>
      </c>
      <c r="J1177" s="1" t="s">
        <v>16</v>
      </c>
      <c r="K1177" s="1" t="s">
        <v>21</v>
      </c>
      <c r="L1177" s="1" t="s">
        <v>17</v>
      </c>
      <c r="M1177" s="1" t="s">
        <v>17</v>
      </c>
      <c r="N1177" s="1" t="s">
        <v>16</v>
      </c>
    </row>
    <row r="1178" spans="1:14" x14ac:dyDescent="0.25">
      <c r="A1178" s="9">
        <v>44747</v>
      </c>
      <c r="B1178" s="1" t="s">
        <v>22</v>
      </c>
      <c r="C1178" s="1">
        <v>4</v>
      </c>
      <c r="D1178" s="1">
        <v>1</v>
      </c>
      <c r="E1178" s="5">
        <v>38.200000000000003</v>
      </c>
      <c r="F1178" s="1" t="s">
        <v>18</v>
      </c>
      <c r="G1178" s="1">
        <v>2</v>
      </c>
      <c r="H1178" s="1" t="s">
        <v>16</v>
      </c>
      <c r="I1178" s="1" t="s">
        <v>16</v>
      </c>
      <c r="J1178" s="1" t="s">
        <v>16</v>
      </c>
      <c r="K1178" s="1" t="s">
        <v>17</v>
      </c>
      <c r="L1178" s="1" t="s">
        <v>17</v>
      </c>
      <c r="M1178" s="1" t="s">
        <v>17</v>
      </c>
      <c r="N1178" s="1" t="s">
        <v>16</v>
      </c>
    </row>
    <row r="1179" spans="1:14" x14ac:dyDescent="0.25">
      <c r="A1179" s="9">
        <v>44747</v>
      </c>
      <c r="B1179" s="1" t="s">
        <v>22</v>
      </c>
      <c r="C1179" s="1">
        <v>5</v>
      </c>
      <c r="D1179" s="1">
        <v>1</v>
      </c>
      <c r="E1179" s="5">
        <v>54.21</v>
      </c>
      <c r="F1179" s="1" t="s">
        <v>18</v>
      </c>
      <c r="G1179" s="1">
        <v>2</v>
      </c>
      <c r="H1179" s="1" t="s">
        <v>16</v>
      </c>
      <c r="I1179" s="1" t="s">
        <v>16</v>
      </c>
      <c r="J1179" s="1" t="s">
        <v>16</v>
      </c>
      <c r="K1179" s="1" t="s">
        <v>17</v>
      </c>
      <c r="L1179" s="1" t="s">
        <v>17</v>
      </c>
      <c r="M1179" s="1" t="s">
        <v>17</v>
      </c>
      <c r="N1179" s="1" t="s">
        <v>16</v>
      </c>
    </row>
    <row r="1180" spans="1:14" x14ac:dyDescent="0.25">
      <c r="A1180" s="9">
        <v>44747</v>
      </c>
      <c r="B1180" s="1" t="s">
        <v>22</v>
      </c>
      <c r="C1180" s="1">
        <v>6</v>
      </c>
      <c r="D1180" s="1">
        <v>2</v>
      </c>
      <c r="E1180" s="5">
        <v>68.260000000000005</v>
      </c>
      <c r="F1180" s="1" t="s">
        <v>18</v>
      </c>
      <c r="G1180" s="1">
        <v>2</v>
      </c>
      <c r="H1180" s="1" t="s">
        <v>16</v>
      </c>
      <c r="I1180" s="1" t="s">
        <v>16</v>
      </c>
      <c r="J1180" s="1" t="s">
        <v>16</v>
      </c>
      <c r="K1180" s="1" t="s">
        <v>17</v>
      </c>
      <c r="L1180" s="1" t="s">
        <v>17</v>
      </c>
      <c r="M1180" s="1" t="s">
        <v>17</v>
      </c>
      <c r="N1180" s="1" t="s">
        <v>16</v>
      </c>
    </row>
    <row r="1181" spans="1:14" x14ac:dyDescent="0.25">
      <c r="A1181" s="9">
        <v>44747</v>
      </c>
      <c r="B1181" s="1" t="s">
        <v>22</v>
      </c>
      <c r="C1181" s="1">
        <v>7</v>
      </c>
      <c r="D1181" s="1">
        <v>2</v>
      </c>
      <c r="E1181" s="5">
        <v>41.91</v>
      </c>
      <c r="F1181" s="1" t="s">
        <v>18</v>
      </c>
      <c r="G1181" s="1">
        <v>2</v>
      </c>
      <c r="H1181" s="1" t="s">
        <v>16</v>
      </c>
      <c r="I1181" s="1" t="s">
        <v>16</v>
      </c>
      <c r="J1181" s="1" t="s">
        <v>16</v>
      </c>
      <c r="K1181" s="1" t="s">
        <v>20</v>
      </c>
      <c r="L1181" s="1" t="s">
        <v>17</v>
      </c>
      <c r="M1181" s="1" t="s">
        <v>17</v>
      </c>
      <c r="N1181" s="1" t="s">
        <v>16</v>
      </c>
    </row>
    <row r="1182" spans="1:14" x14ac:dyDescent="0.25">
      <c r="A1182" s="9">
        <v>44747</v>
      </c>
      <c r="B1182" s="1" t="s">
        <v>22</v>
      </c>
      <c r="C1182" s="1">
        <v>8</v>
      </c>
      <c r="D1182" s="1">
        <v>2</v>
      </c>
      <c r="E1182" s="5">
        <v>60.38</v>
      </c>
      <c r="F1182" s="1" t="s">
        <v>19</v>
      </c>
      <c r="G1182" s="1">
        <v>2</v>
      </c>
      <c r="H1182" s="1" t="s">
        <v>16</v>
      </c>
      <c r="I1182" s="1" t="s">
        <v>16</v>
      </c>
      <c r="J1182" s="1" t="s">
        <v>16</v>
      </c>
      <c r="K1182" s="1" t="s">
        <v>17</v>
      </c>
      <c r="L1182" s="1" t="s">
        <v>17</v>
      </c>
      <c r="M1182" s="1" t="s">
        <v>17</v>
      </c>
      <c r="N1182" s="1" t="s">
        <v>16</v>
      </c>
    </row>
    <row r="1183" spans="1:14" x14ac:dyDescent="0.25">
      <c r="A1183" s="9">
        <v>44747</v>
      </c>
      <c r="B1183" s="1" t="s">
        <v>22</v>
      </c>
      <c r="C1183" s="1">
        <v>9</v>
      </c>
      <c r="D1183" s="1">
        <v>2</v>
      </c>
      <c r="E1183" s="5">
        <v>42.37</v>
      </c>
      <c r="F1183" s="1" t="s">
        <v>16</v>
      </c>
      <c r="G1183" s="1" t="s">
        <v>16</v>
      </c>
      <c r="H1183" s="1" t="s">
        <v>16</v>
      </c>
      <c r="I1183" s="1" t="s">
        <v>16</v>
      </c>
      <c r="J1183" s="1" t="s">
        <v>16</v>
      </c>
      <c r="K1183" s="1" t="s">
        <v>17</v>
      </c>
      <c r="L1183" s="1" t="s">
        <v>21</v>
      </c>
      <c r="M1183" s="1" t="s">
        <v>17</v>
      </c>
      <c r="N1183" s="1" t="s">
        <v>16</v>
      </c>
    </row>
    <row r="1184" spans="1:14" x14ac:dyDescent="0.25">
      <c r="A1184" s="9">
        <v>44747</v>
      </c>
      <c r="B1184" s="1" t="s">
        <v>22</v>
      </c>
      <c r="C1184" s="1">
        <v>10</v>
      </c>
      <c r="D1184" s="1">
        <v>2</v>
      </c>
      <c r="E1184" s="5">
        <v>36.42</v>
      </c>
      <c r="F1184" s="1" t="s">
        <v>18</v>
      </c>
      <c r="G1184" s="1">
        <v>2</v>
      </c>
      <c r="H1184" s="1" t="s">
        <v>16</v>
      </c>
      <c r="I1184" s="1" t="s">
        <v>16</v>
      </c>
      <c r="J1184" s="1" t="s">
        <v>16</v>
      </c>
      <c r="K1184" s="1" t="s">
        <v>21</v>
      </c>
      <c r="L1184" s="1" t="s">
        <v>17</v>
      </c>
      <c r="M1184" s="1" t="s">
        <v>17</v>
      </c>
      <c r="N1184" s="1" t="s">
        <v>16</v>
      </c>
    </row>
    <row r="1185" spans="1:14" x14ac:dyDescent="0.25">
      <c r="A1185" s="9">
        <v>44747</v>
      </c>
      <c r="B1185" s="1" t="s">
        <v>22</v>
      </c>
      <c r="C1185" s="1">
        <v>11</v>
      </c>
      <c r="D1185" s="1">
        <v>3</v>
      </c>
      <c r="E1185" s="5">
        <v>55.95</v>
      </c>
      <c r="F1185" s="1" t="s">
        <v>18</v>
      </c>
      <c r="G1185" s="1">
        <v>2</v>
      </c>
      <c r="H1185" s="1" t="s">
        <v>16</v>
      </c>
      <c r="I1185" s="1" t="s">
        <v>16</v>
      </c>
      <c r="J1185" s="1" t="s">
        <v>16</v>
      </c>
      <c r="K1185" s="1" t="s">
        <v>17</v>
      </c>
      <c r="L1185" s="1" t="s">
        <v>17</v>
      </c>
      <c r="M1185" s="1" t="s">
        <v>17</v>
      </c>
      <c r="N1185" s="1" t="s">
        <v>16</v>
      </c>
    </row>
    <row r="1186" spans="1:14" x14ac:dyDescent="0.25">
      <c r="A1186" s="9">
        <v>44747</v>
      </c>
      <c r="B1186" s="1" t="s">
        <v>22</v>
      </c>
      <c r="C1186" s="1">
        <v>12</v>
      </c>
      <c r="D1186" s="1">
        <v>3</v>
      </c>
      <c r="E1186" s="5">
        <v>48.28</v>
      </c>
      <c r="F1186" s="1" t="s">
        <v>18</v>
      </c>
      <c r="G1186" s="1">
        <v>2</v>
      </c>
      <c r="H1186" s="1" t="s">
        <v>16</v>
      </c>
      <c r="I1186" s="1" t="s">
        <v>16</v>
      </c>
      <c r="J1186" s="1" t="s">
        <v>16</v>
      </c>
      <c r="K1186" s="1" t="s">
        <v>17</v>
      </c>
      <c r="L1186" s="1" t="s">
        <v>17</v>
      </c>
      <c r="M1186" s="1" t="s">
        <v>17</v>
      </c>
      <c r="N1186" s="1" t="s">
        <v>16</v>
      </c>
    </row>
    <row r="1187" spans="1:14" x14ac:dyDescent="0.25">
      <c r="A1187" s="9">
        <v>44747</v>
      </c>
      <c r="B1187" s="1" t="s">
        <v>22</v>
      </c>
      <c r="C1187" s="1">
        <v>13</v>
      </c>
      <c r="D1187" s="1">
        <v>3</v>
      </c>
      <c r="E1187" s="5">
        <v>39.44</v>
      </c>
      <c r="F1187" s="1" t="s">
        <v>18</v>
      </c>
      <c r="G1187" s="1">
        <v>2</v>
      </c>
      <c r="H1187" s="1" t="s">
        <v>16</v>
      </c>
      <c r="I1187" s="1" t="s">
        <v>16</v>
      </c>
      <c r="J1187" s="1" t="s">
        <v>16</v>
      </c>
      <c r="K1187" s="1" t="s">
        <v>17</v>
      </c>
      <c r="L1187" s="1" t="s">
        <v>17</v>
      </c>
      <c r="M1187" s="1" t="s">
        <v>17</v>
      </c>
      <c r="N1187" s="1" t="s">
        <v>16</v>
      </c>
    </row>
    <row r="1188" spans="1:14" x14ac:dyDescent="0.25">
      <c r="A1188" s="9">
        <v>44747</v>
      </c>
      <c r="B1188" s="1" t="s">
        <v>22</v>
      </c>
      <c r="C1188" s="1">
        <v>14</v>
      </c>
      <c r="D1188" s="1">
        <v>3</v>
      </c>
      <c r="E1188" s="5">
        <v>52.28</v>
      </c>
      <c r="F1188" s="1" t="s">
        <v>18</v>
      </c>
      <c r="G1188" s="1">
        <v>2</v>
      </c>
      <c r="H1188" s="1" t="s">
        <v>16</v>
      </c>
      <c r="I1188" s="1" t="s">
        <v>16</v>
      </c>
      <c r="J1188" s="1" t="s">
        <v>16</v>
      </c>
      <c r="K1188" s="1" t="s">
        <v>17</v>
      </c>
      <c r="L1188" s="1" t="s">
        <v>17</v>
      </c>
      <c r="M1188" s="1" t="s">
        <v>17</v>
      </c>
      <c r="N1188" s="1" t="s">
        <v>16</v>
      </c>
    </row>
    <row r="1189" spans="1:14" x14ac:dyDescent="0.25">
      <c r="A1189" s="9">
        <v>44747</v>
      </c>
      <c r="B1189" s="1" t="s">
        <v>22</v>
      </c>
      <c r="C1189" s="1">
        <v>15</v>
      </c>
      <c r="D1189" s="1">
        <v>3</v>
      </c>
      <c r="E1189" s="5">
        <v>43.14</v>
      </c>
      <c r="F1189" s="1" t="s">
        <v>19</v>
      </c>
      <c r="G1189" s="1">
        <v>2</v>
      </c>
      <c r="H1189" s="1" t="s">
        <v>16</v>
      </c>
      <c r="I1189" s="1" t="s">
        <v>16</v>
      </c>
      <c r="J1189" s="1" t="s">
        <v>16</v>
      </c>
      <c r="K1189" s="1" t="s">
        <v>17</v>
      </c>
      <c r="L1189" s="1" t="s">
        <v>17</v>
      </c>
      <c r="M1189" s="1" t="s">
        <v>17</v>
      </c>
      <c r="N1189" s="1" t="s">
        <v>16</v>
      </c>
    </row>
    <row r="1190" spans="1:14" x14ac:dyDescent="0.25">
      <c r="A1190" s="9">
        <v>44775</v>
      </c>
      <c r="B1190" s="1" t="s">
        <v>22</v>
      </c>
      <c r="C1190" s="1">
        <v>1</v>
      </c>
      <c r="D1190" s="1">
        <v>1</v>
      </c>
      <c r="E1190" s="5">
        <v>48.19</v>
      </c>
      <c r="F1190" s="1" t="s">
        <v>19</v>
      </c>
      <c r="G1190" s="1">
        <v>2</v>
      </c>
      <c r="H1190" s="1" t="s">
        <v>16</v>
      </c>
      <c r="I1190" s="1" t="s">
        <v>16</v>
      </c>
      <c r="J1190" s="1" t="s">
        <v>16</v>
      </c>
      <c r="K1190" s="1" t="s">
        <v>17</v>
      </c>
      <c r="L1190" s="1" t="s">
        <v>17</v>
      </c>
      <c r="M1190" s="1" t="s">
        <v>17</v>
      </c>
      <c r="N1190" s="1" t="s">
        <v>16</v>
      </c>
    </row>
    <row r="1191" spans="1:14" x14ac:dyDescent="0.25">
      <c r="A1191" s="9">
        <v>44775</v>
      </c>
      <c r="B1191" s="1" t="s">
        <v>22</v>
      </c>
      <c r="C1191" s="1">
        <v>2</v>
      </c>
      <c r="D1191" s="1">
        <v>1</v>
      </c>
      <c r="E1191" s="5">
        <v>46.27</v>
      </c>
      <c r="F1191" s="1" t="s">
        <v>18</v>
      </c>
      <c r="G1191" s="1">
        <v>2</v>
      </c>
      <c r="H1191" s="1" t="s">
        <v>16</v>
      </c>
      <c r="I1191" s="1" t="s">
        <v>16</v>
      </c>
      <c r="J1191" s="1" t="s">
        <v>16</v>
      </c>
      <c r="K1191" s="1" t="s">
        <v>21</v>
      </c>
      <c r="L1191" s="1" t="s">
        <v>17</v>
      </c>
      <c r="M1191" s="1" t="s">
        <v>17</v>
      </c>
      <c r="N1191" s="1" t="s">
        <v>16</v>
      </c>
    </row>
    <row r="1192" spans="1:14" x14ac:dyDescent="0.25">
      <c r="A1192" s="9">
        <v>44775</v>
      </c>
      <c r="B1192" s="1" t="s">
        <v>22</v>
      </c>
      <c r="C1192" s="1">
        <v>3</v>
      </c>
      <c r="D1192" s="1">
        <v>1</v>
      </c>
      <c r="E1192" s="5">
        <v>20.04</v>
      </c>
      <c r="F1192" s="1" t="s">
        <v>18</v>
      </c>
      <c r="G1192" s="1">
        <v>2</v>
      </c>
      <c r="H1192" s="1" t="s">
        <v>16</v>
      </c>
      <c r="I1192" s="1" t="s">
        <v>16</v>
      </c>
      <c r="J1192" s="1" t="s">
        <v>16</v>
      </c>
      <c r="K1192" s="1" t="s">
        <v>17</v>
      </c>
      <c r="L1192" s="1" t="s">
        <v>17</v>
      </c>
      <c r="M1192" s="1" t="s">
        <v>17</v>
      </c>
      <c r="N1192" s="1" t="s">
        <v>16</v>
      </c>
    </row>
    <row r="1193" spans="1:14" x14ac:dyDescent="0.25">
      <c r="A1193" s="9">
        <v>44775</v>
      </c>
      <c r="B1193" s="1" t="s">
        <v>22</v>
      </c>
      <c r="C1193" s="1">
        <v>4</v>
      </c>
      <c r="D1193" s="1">
        <v>1</v>
      </c>
      <c r="E1193" s="5">
        <v>47.31</v>
      </c>
      <c r="F1193" s="1" t="s">
        <v>19</v>
      </c>
      <c r="G1193" s="1">
        <v>2</v>
      </c>
      <c r="H1193" s="1" t="s">
        <v>16</v>
      </c>
      <c r="I1193" s="1" t="s">
        <v>16</v>
      </c>
      <c r="J1193" s="1" t="s">
        <v>16</v>
      </c>
      <c r="K1193" s="1" t="s">
        <v>17</v>
      </c>
      <c r="L1193" s="1" t="s">
        <v>17</v>
      </c>
      <c r="M1193" s="1" t="s">
        <v>17</v>
      </c>
      <c r="N1193" s="1" t="s">
        <v>16</v>
      </c>
    </row>
    <row r="1194" spans="1:14" x14ac:dyDescent="0.25">
      <c r="A1194" s="9">
        <v>44775</v>
      </c>
      <c r="B1194" s="1" t="s">
        <v>22</v>
      </c>
      <c r="C1194" s="1">
        <v>5</v>
      </c>
      <c r="D1194" s="1">
        <v>1</v>
      </c>
      <c r="E1194" s="5">
        <v>45.31</v>
      </c>
      <c r="F1194" s="1" t="s">
        <v>18</v>
      </c>
      <c r="G1194" s="1">
        <v>2</v>
      </c>
      <c r="H1194" s="1" t="s">
        <v>16</v>
      </c>
      <c r="I1194" s="1" t="s">
        <v>16</v>
      </c>
      <c r="J1194" s="1" t="s">
        <v>16</v>
      </c>
      <c r="K1194" s="1" t="s">
        <v>17</v>
      </c>
      <c r="L1194" s="1" t="s">
        <v>17</v>
      </c>
      <c r="M1194" s="1" t="s">
        <v>17</v>
      </c>
      <c r="N1194" s="1" t="s">
        <v>16</v>
      </c>
    </row>
    <row r="1195" spans="1:14" x14ac:dyDescent="0.25">
      <c r="A1195" s="9">
        <v>44775</v>
      </c>
      <c r="B1195" s="1" t="s">
        <v>22</v>
      </c>
      <c r="C1195" s="1">
        <v>6</v>
      </c>
      <c r="D1195" s="1">
        <v>2</v>
      </c>
      <c r="E1195" s="5">
        <v>48.69</v>
      </c>
      <c r="F1195" s="1" t="s">
        <v>18</v>
      </c>
      <c r="G1195" s="1">
        <v>2</v>
      </c>
      <c r="H1195" s="1" t="s">
        <v>16</v>
      </c>
      <c r="I1195" s="1" t="s">
        <v>16</v>
      </c>
      <c r="J1195" s="1" t="s">
        <v>16</v>
      </c>
      <c r="K1195" s="1" t="s">
        <v>17</v>
      </c>
      <c r="L1195" s="1" t="s">
        <v>17</v>
      </c>
      <c r="M1195" s="1" t="s">
        <v>17</v>
      </c>
      <c r="N1195" s="1" t="s">
        <v>16</v>
      </c>
    </row>
    <row r="1196" spans="1:14" x14ac:dyDescent="0.25">
      <c r="A1196" s="9">
        <v>44775</v>
      </c>
      <c r="B1196" s="1" t="s">
        <v>22</v>
      </c>
      <c r="C1196" s="1">
        <v>7</v>
      </c>
      <c r="D1196" s="1">
        <v>2</v>
      </c>
      <c r="E1196" s="5">
        <v>43.95</v>
      </c>
      <c r="F1196" s="1" t="s">
        <v>19</v>
      </c>
      <c r="G1196" s="1">
        <v>2</v>
      </c>
      <c r="H1196" s="1" t="s">
        <v>16</v>
      </c>
      <c r="I1196" s="1" t="s">
        <v>16</v>
      </c>
      <c r="J1196" s="1" t="s">
        <v>16</v>
      </c>
      <c r="K1196" s="1" t="s">
        <v>17</v>
      </c>
      <c r="L1196" s="1" t="s">
        <v>17</v>
      </c>
      <c r="M1196" s="1" t="s">
        <v>17</v>
      </c>
      <c r="N1196" s="1" t="s">
        <v>16</v>
      </c>
    </row>
    <row r="1197" spans="1:14" x14ac:dyDescent="0.25">
      <c r="A1197" s="9">
        <v>44775</v>
      </c>
      <c r="B1197" s="1" t="s">
        <v>22</v>
      </c>
      <c r="C1197" s="1">
        <v>8</v>
      </c>
      <c r="D1197" s="1">
        <v>2</v>
      </c>
      <c r="E1197" s="5">
        <v>70.989999999999995</v>
      </c>
      <c r="F1197" s="1" t="s">
        <v>18</v>
      </c>
      <c r="G1197" s="1">
        <v>2</v>
      </c>
      <c r="H1197" s="1" t="s">
        <v>16</v>
      </c>
      <c r="I1197" s="1" t="s">
        <v>16</v>
      </c>
      <c r="J1197" s="1" t="s">
        <v>16</v>
      </c>
      <c r="K1197" s="1" t="s">
        <v>17</v>
      </c>
      <c r="L1197" s="1" t="s">
        <v>17</v>
      </c>
      <c r="M1197" s="1" t="s">
        <v>17</v>
      </c>
      <c r="N1197" s="1" t="s">
        <v>16</v>
      </c>
    </row>
    <row r="1198" spans="1:14" x14ac:dyDescent="0.25">
      <c r="A1198" s="9">
        <v>44775</v>
      </c>
      <c r="B1198" s="1" t="s">
        <v>22</v>
      </c>
      <c r="C1198" s="1">
        <v>9</v>
      </c>
      <c r="D1198" s="1">
        <v>2</v>
      </c>
      <c r="E1198" s="5">
        <v>46.99</v>
      </c>
      <c r="F1198" s="1" t="s">
        <v>19</v>
      </c>
      <c r="G1198" s="1">
        <v>2</v>
      </c>
      <c r="H1198" s="1" t="s">
        <v>16</v>
      </c>
      <c r="I1198" s="1" t="s">
        <v>16</v>
      </c>
      <c r="J1198" s="1" t="s">
        <v>16</v>
      </c>
      <c r="K1198" s="1" t="s">
        <v>17</v>
      </c>
      <c r="L1198" s="1" t="s">
        <v>17</v>
      </c>
      <c r="M1198" s="1" t="s">
        <v>17</v>
      </c>
      <c r="N1198" s="1" t="s">
        <v>16</v>
      </c>
    </row>
    <row r="1199" spans="1:14" x14ac:dyDescent="0.25">
      <c r="A1199" s="9">
        <v>44775</v>
      </c>
      <c r="B1199" s="1" t="s">
        <v>22</v>
      </c>
      <c r="C1199" s="1">
        <v>10</v>
      </c>
      <c r="D1199" s="1">
        <v>2</v>
      </c>
      <c r="E1199" s="5">
        <v>59.34</v>
      </c>
      <c r="F1199" s="1" t="s">
        <v>19</v>
      </c>
      <c r="G1199" s="1">
        <v>2</v>
      </c>
      <c r="H1199" s="1" t="s">
        <v>16</v>
      </c>
      <c r="I1199" s="1" t="s">
        <v>16</v>
      </c>
      <c r="J1199" s="1" t="s">
        <v>16</v>
      </c>
      <c r="K1199" s="1" t="s">
        <v>17</v>
      </c>
      <c r="L1199" s="1" t="s">
        <v>17</v>
      </c>
      <c r="M1199" s="1" t="s">
        <v>17</v>
      </c>
      <c r="N1199" s="1" t="s">
        <v>16</v>
      </c>
    </row>
    <row r="1200" spans="1:14" x14ac:dyDescent="0.25">
      <c r="A1200" s="9">
        <v>44775</v>
      </c>
      <c r="B1200" s="1" t="s">
        <v>22</v>
      </c>
      <c r="C1200" s="1">
        <v>11</v>
      </c>
      <c r="D1200" s="1">
        <v>3</v>
      </c>
      <c r="E1200" s="5">
        <v>46.37</v>
      </c>
      <c r="F1200" s="1" t="s">
        <v>19</v>
      </c>
      <c r="G1200" s="1">
        <v>2</v>
      </c>
      <c r="H1200" s="1" t="s">
        <v>16</v>
      </c>
      <c r="I1200" s="1" t="s">
        <v>16</v>
      </c>
      <c r="J1200" s="1" t="s">
        <v>16</v>
      </c>
      <c r="K1200" s="1" t="s">
        <v>17</v>
      </c>
      <c r="L1200" s="1" t="s">
        <v>17</v>
      </c>
      <c r="M1200" s="1" t="s">
        <v>17</v>
      </c>
      <c r="N1200" s="1" t="s">
        <v>16</v>
      </c>
    </row>
    <row r="1201" spans="1:14" x14ac:dyDescent="0.25">
      <c r="A1201" s="9">
        <v>44775</v>
      </c>
      <c r="B1201" s="1" t="s">
        <v>22</v>
      </c>
      <c r="C1201" s="1">
        <v>12</v>
      </c>
      <c r="D1201" s="1">
        <v>3</v>
      </c>
      <c r="E1201" s="5">
        <v>66.16</v>
      </c>
      <c r="F1201" s="1" t="s">
        <v>18</v>
      </c>
      <c r="G1201" s="1">
        <v>2</v>
      </c>
      <c r="H1201" s="1" t="s">
        <v>16</v>
      </c>
      <c r="I1201" s="1" t="s">
        <v>16</v>
      </c>
      <c r="J1201" s="1" t="s">
        <v>16</v>
      </c>
      <c r="K1201" s="1" t="s">
        <v>17</v>
      </c>
      <c r="L1201" s="1" t="s">
        <v>17</v>
      </c>
      <c r="M1201" s="1" t="s">
        <v>17</v>
      </c>
      <c r="N1201" s="1" t="s">
        <v>16</v>
      </c>
    </row>
    <row r="1202" spans="1:14" x14ac:dyDescent="0.25">
      <c r="A1202" s="9">
        <v>44775</v>
      </c>
      <c r="B1202" s="1" t="s">
        <v>22</v>
      </c>
      <c r="C1202" s="1">
        <v>13</v>
      </c>
      <c r="D1202" s="1">
        <v>3</v>
      </c>
      <c r="E1202" s="5">
        <v>49.8</v>
      </c>
      <c r="F1202" s="1" t="s">
        <v>18</v>
      </c>
      <c r="G1202" s="1">
        <v>2</v>
      </c>
      <c r="H1202" s="1" t="s">
        <v>16</v>
      </c>
      <c r="I1202" s="1" t="s">
        <v>16</v>
      </c>
      <c r="J1202" s="1" t="s">
        <v>16</v>
      </c>
      <c r="K1202" s="1" t="s">
        <v>17</v>
      </c>
      <c r="L1202" s="1" t="s">
        <v>17</v>
      </c>
      <c r="M1202" s="1" t="s">
        <v>17</v>
      </c>
      <c r="N1202" s="1" t="s">
        <v>16</v>
      </c>
    </row>
    <row r="1203" spans="1:14" x14ac:dyDescent="0.25">
      <c r="A1203" s="9">
        <v>44775</v>
      </c>
      <c r="B1203" s="1" t="s">
        <v>22</v>
      </c>
      <c r="C1203" s="1">
        <v>14</v>
      </c>
      <c r="D1203" s="1">
        <v>3</v>
      </c>
      <c r="E1203" s="5">
        <v>50.33</v>
      </c>
      <c r="F1203" s="1" t="s">
        <v>19</v>
      </c>
      <c r="G1203" s="1">
        <v>2</v>
      </c>
      <c r="H1203" s="1" t="s">
        <v>16</v>
      </c>
      <c r="I1203" s="1" t="s">
        <v>16</v>
      </c>
      <c r="J1203" s="1" t="s">
        <v>16</v>
      </c>
      <c r="K1203" s="1" t="s">
        <v>17</v>
      </c>
      <c r="L1203" s="1" t="s">
        <v>17</v>
      </c>
      <c r="M1203" s="1" t="s">
        <v>17</v>
      </c>
      <c r="N1203" s="1" t="s">
        <v>16</v>
      </c>
    </row>
    <row r="1204" spans="1:14" x14ac:dyDescent="0.25">
      <c r="A1204" s="9">
        <v>44775</v>
      </c>
      <c r="B1204" s="1" t="s">
        <v>22</v>
      </c>
      <c r="C1204" s="1">
        <v>15</v>
      </c>
      <c r="D1204" s="1">
        <v>3</v>
      </c>
      <c r="E1204" s="5">
        <v>47.03</v>
      </c>
      <c r="F1204" s="1" t="s">
        <v>19</v>
      </c>
      <c r="G1204" s="1">
        <v>2</v>
      </c>
      <c r="H1204" s="1" t="s">
        <v>16</v>
      </c>
      <c r="I1204" s="1" t="s">
        <v>16</v>
      </c>
      <c r="J1204" s="1" t="s">
        <v>16</v>
      </c>
      <c r="K1204" s="1" t="s">
        <v>17</v>
      </c>
      <c r="L1204" s="1" t="s">
        <v>17</v>
      </c>
      <c r="M1204" s="1" t="s">
        <v>17</v>
      </c>
      <c r="N1204" s="1" t="s">
        <v>16</v>
      </c>
    </row>
    <row r="1205" spans="1:14" x14ac:dyDescent="0.25">
      <c r="A1205" s="9">
        <v>44811</v>
      </c>
      <c r="B1205" s="1" t="s">
        <v>22</v>
      </c>
      <c r="C1205" s="1">
        <v>1</v>
      </c>
      <c r="D1205" s="1">
        <v>1</v>
      </c>
      <c r="E1205" s="5">
        <v>61.22</v>
      </c>
      <c r="F1205" s="1" t="s">
        <v>18</v>
      </c>
      <c r="G1205" s="1">
        <v>2</v>
      </c>
      <c r="H1205" s="1" t="s">
        <v>16</v>
      </c>
      <c r="I1205" s="1" t="s">
        <v>16</v>
      </c>
      <c r="J1205" s="1" t="s">
        <v>16</v>
      </c>
      <c r="K1205" s="1" t="s">
        <v>21</v>
      </c>
      <c r="L1205" s="1" t="s">
        <v>17</v>
      </c>
      <c r="M1205" s="1" t="s">
        <v>17</v>
      </c>
      <c r="N1205" s="1" t="s">
        <v>16</v>
      </c>
    </row>
    <row r="1206" spans="1:14" x14ac:dyDescent="0.25">
      <c r="A1206" s="9">
        <v>44811</v>
      </c>
      <c r="B1206" s="1" t="s">
        <v>22</v>
      </c>
      <c r="C1206" s="1">
        <v>2</v>
      </c>
      <c r="D1206" s="1">
        <v>1</v>
      </c>
      <c r="E1206" s="5">
        <v>49.38</v>
      </c>
      <c r="F1206" s="1" t="s">
        <v>18</v>
      </c>
      <c r="G1206" s="1">
        <v>2</v>
      </c>
      <c r="H1206" s="1" t="s">
        <v>16</v>
      </c>
      <c r="I1206" s="1" t="s">
        <v>16</v>
      </c>
      <c r="J1206" s="1" t="s">
        <v>16</v>
      </c>
      <c r="K1206" s="1" t="s">
        <v>17</v>
      </c>
      <c r="L1206" s="1" t="s">
        <v>17</v>
      </c>
      <c r="M1206" s="1" t="s">
        <v>17</v>
      </c>
      <c r="N1206" s="1" t="s">
        <v>16</v>
      </c>
    </row>
    <row r="1207" spans="1:14" x14ac:dyDescent="0.25">
      <c r="A1207" s="9">
        <v>44811</v>
      </c>
      <c r="B1207" s="1" t="s">
        <v>22</v>
      </c>
      <c r="C1207" s="1">
        <v>3</v>
      </c>
      <c r="D1207" s="1">
        <v>1</v>
      </c>
      <c r="E1207" s="5">
        <v>44</v>
      </c>
      <c r="F1207" s="1" t="s">
        <v>18</v>
      </c>
      <c r="G1207" s="1">
        <v>2</v>
      </c>
      <c r="H1207" s="1" t="s">
        <v>16</v>
      </c>
      <c r="I1207" s="1" t="s">
        <v>16</v>
      </c>
      <c r="J1207" s="1" t="s">
        <v>16</v>
      </c>
      <c r="K1207" s="1" t="s">
        <v>17</v>
      </c>
      <c r="L1207" s="1" t="s">
        <v>17</v>
      </c>
      <c r="M1207" s="1" t="s">
        <v>17</v>
      </c>
      <c r="N1207" s="1" t="s">
        <v>16</v>
      </c>
    </row>
    <row r="1208" spans="1:14" x14ac:dyDescent="0.25">
      <c r="A1208" s="9">
        <v>44811</v>
      </c>
      <c r="B1208" s="1" t="s">
        <v>22</v>
      </c>
      <c r="C1208" s="1">
        <v>4</v>
      </c>
      <c r="D1208" s="1">
        <v>1</v>
      </c>
      <c r="E1208" s="5">
        <v>52.01</v>
      </c>
      <c r="F1208" s="1" t="s">
        <v>18</v>
      </c>
      <c r="G1208" s="1">
        <v>2</v>
      </c>
      <c r="H1208" s="1" t="s">
        <v>16</v>
      </c>
      <c r="I1208" s="1" t="s">
        <v>16</v>
      </c>
      <c r="J1208" s="1" t="s">
        <v>16</v>
      </c>
      <c r="K1208" s="1" t="s">
        <v>17</v>
      </c>
      <c r="L1208" s="1" t="s">
        <v>17</v>
      </c>
      <c r="M1208" s="1" t="s">
        <v>17</v>
      </c>
      <c r="N1208" s="1" t="s">
        <v>16</v>
      </c>
    </row>
    <row r="1209" spans="1:14" x14ac:dyDescent="0.25">
      <c r="A1209" s="9">
        <v>44811</v>
      </c>
      <c r="B1209" s="1" t="s">
        <v>22</v>
      </c>
      <c r="C1209" s="1">
        <v>5</v>
      </c>
      <c r="D1209" s="1">
        <v>1</v>
      </c>
      <c r="E1209" s="5">
        <v>30.06</v>
      </c>
      <c r="F1209" s="1" t="s">
        <v>19</v>
      </c>
      <c r="G1209" s="1">
        <v>2</v>
      </c>
      <c r="H1209" s="1" t="s">
        <v>16</v>
      </c>
      <c r="I1209" s="1" t="s">
        <v>16</v>
      </c>
      <c r="J1209" s="1" t="s">
        <v>16</v>
      </c>
      <c r="K1209" s="1" t="s">
        <v>17</v>
      </c>
      <c r="L1209" s="1" t="s">
        <v>17</v>
      </c>
      <c r="M1209" s="1" t="s">
        <v>17</v>
      </c>
      <c r="N1209" s="1" t="s">
        <v>16</v>
      </c>
    </row>
    <row r="1210" spans="1:14" x14ac:dyDescent="0.25">
      <c r="A1210" s="9">
        <v>44811</v>
      </c>
      <c r="B1210" s="1" t="s">
        <v>22</v>
      </c>
      <c r="C1210" s="1">
        <v>6</v>
      </c>
      <c r="D1210" s="1">
        <v>2</v>
      </c>
      <c r="E1210" s="5">
        <v>34.44</v>
      </c>
      <c r="F1210" s="1" t="s">
        <v>18</v>
      </c>
      <c r="G1210" s="1">
        <v>2</v>
      </c>
      <c r="H1210" s="1" t="s">
        <v>16</v>
      </c>
      <c r="I1210" s="1" t="s">
        <v>16</v>
      </c>
      <c r="J1210" s="1" t="s">
        <v>16</v>
      </c>
      <c r="K1210" s="1" t="s">
        <v>17</v>
      </c>
      <c r="L1210" s="1" t="s">
        <v>17</v>
      </c>
      <c r="M1210" s="1" t="s">
        <v>17</v>
      </c>
      <c r="N1210" s="1" t="s">
        <v>16</v>
      </c>
    </row>
    <row r="1211" spans="1:14" x14ac:dyDescent="0.25">
      <c r="A1211" s="9">
        <v>44811</v>
      </c>
      <c r="B1211" s="1" t="s">
        <v>22</v>
      </c>
      <c r="C1211" s="1">
        <v>7</v>
      </c>
      <c r="D1211" s="1">
        <v>2</v>
      </c>
      <c r="E1211" s="5">
        <v>45.31</v>
      </c>
      <c r="F1211" s="1" t="s">
        <v>18</v>
      </c>
      <c r="G1211" s="1">
        <v>2</v>
      </c>
      <c r="H1211" s="1" t="s">
        <v>16</v>
      </c>
      <c r="I1211" s="1" t="s">
        <v>16</v>
      </c>
      <c r="J1211" s="1" t="s">
        <v>16</v>
      </c>
      <c r="K1211" s="1" t="s">
        <v>17</v>
      </c>
      <c r="L1211" s="1" t="s">
        <v>17</v>
      </c>
      <c r="M1211" s="1" t="s">
        <v>17</v>
      </c>
      <c r="N1211" s="1" t="s">
        <v>16</v>
      </c>
    </row>
    <row r="1212" spans="1:14" x14ac:dyDescent="0.25">
      <c r="A1212" s="9">
        <v>44811</v>
      </c>
      <c r="B1212" s="1" t="s">
        <v>22</v>
      </c>
      <c r="C1212" s="1">
        <v>8</v>
      </c>
      <c r="D1212" s="1">
        <v>2</v>
      </c>
      <c r="E1212" s="5">
        <v>56.23</v>
      </c>
      <c r="F1212" s="1" t="s">
        <v>18</v>
      </c>
      <c r="G1212" s="1">
        <v>2</v>
      </c>
      <c r="H1212" s="1" t="s">
        <v>16</v>
      </c>
      <c r="I1212" s="1" t="s">
        <v>16</v>
      </c>
      <c r="J1212" s="1" t="s">
        <v>16</v>
      </c>
      <c r="K1212" s="1" t="s">
        <v>17</v>
      </c>
      <c r="L1212" s="1" t="s">
        <v>17</v>
      </c>
      <c r="M1212" s="1" t="s">
        <v>17</v>
      </c>
      <c r="N1212" s="1" t="s">
        <v>16</v>
      </c>
    </row>
    <row r="1213" spans="1:14" x14ac:dyDescent="0.25">
      <c r="A1213" s="9">
        <v>44811</v>
      </c>
      <c r="B1213" s="1" t="s">
        <v>22</v>
      </c>
      <c r="C1213" s="1">
        <v>9</v>
      </c>
      <c r="D1213" s="1">
        <v>2</v>
      </c>
      <c r="E1213" s="5">
        <v>45.06</v>
      </c>
      <c r="F1213" s="1" t="s">
        <v>18</v>
      </c>
      <c r="G1213" s="1">
        <v>2</v>
      </c>
      <c r="H1213" s="1" t="s">
        <v>16</v>
      </c>
      <c r="I1213" s="1" t="s">
        <v>16</v>
      </c>
      <c r="J1213" s="1" t="s">
        <v>16</v>
      </c>
      <c r="K1213" s="1" t="s">
        <v>17</v>
      </c>
      <c r="L1213" s="1" t="s">
        <v>17</v>
      </c>
      <c r="M1213" s="1" t="s">
        <v>17</v>
      </c>
      <c r="N1213" s="1" t="s">
        <v>16</v>
      </c>
    </row>
    <row r="1214" spans="1:14" x14ac:dyDescent="0.25">
      <c r="A1214" s="9">
        <v>44811</v>
      </c>
      <c r="B1214" s="1" t="s">
        <v>22</v>
      </c>
      <c r="C1214" s="1">
        <v>10</v>
      </c>
      <c r="D1214" s="1">
        <v>2</v>
      </c>
      <c r="E1214" s="5">
        <v>54.66</v>
      </c>
      <c r="F1214" s="1" t="s">
        <v>19</v>
      </c>
      <c r="G1214" s="1">
        <v>2</v>
      </c>
      <c r="H1214" s="1" t="s">
        <v>16</v>
      </c>
      <c r="I1214" s="1" t="s">
        <v>16</v>
      </c>
      <c r="J1214" s="1" t="s">
        <v>16</v>
      </c>
      <c r="K1214" s="1" t="s">
        <v>17</v>
      </c>
      <c r="L1214" s="1" t="s">
        <v>17</v>
      </c>
      <c r="M1214" s="1" t="s">
        <v>17</v>
      </c>
      <c r="N1214" s="1" t="s">
        <v>16</v>
      </c>
    </row>
    <row r="1215" spans="1:14" x14ac:dyDescent="0.25">
      <c r="A1215" s="9">
        <v>44811</v>
      </c>
      <c r="B1215" s="1" t="s">
        <v>22</v>
      </c>
      <c r="C1215" s="1">
        <v>11</v>
      </c>
      <c r="D1215" s="1">
        <v>3</v>
      </c>
      <c r="E1215" s="5">
        <v>65.59</v>
      </c>
      <c r="F1215" s="1" t="s">
        <v>18</v>
      </c>
      <c r="G1215" s="1">
        <v>2</v>
      </c>
      <c r="H1215" s="1" t="s">
        <v>16</v>
      </c>
      <c r="I1215" s="1" t="s">
        <v>16</v>
      </c>
      <c r="J1215" s="1" t="s">
        <v>16</v>
      </c>
      <c r="K1215" s="1" t="s">
        <v>21</v>
      </c>
      <c r="L1215" s="1" t="s">
        <v>17</v>
      </c>
      <c r="M1215" s="1" t="s">
        <v>17</v>
      </c>
      <c r="N1215" s="1" t="s">
        <v>16</v>
      </c>
    </row>
    <row r="1216" spans="1:14" x14ac:dyDescent="0.25">
      <c r="A1216" s="9">
        <v>44811</v>
      </c>
      <c r="B1216" s="1" t="s">
        <v>22</v>
      </c>
      <c r="C1216" s="1">
        <v>12</v>
      </c>
      <c r="D1216" s="1">
        <v>3</v>
      </c>
      <c r="E1216" s="5">
        <v>49.23</v>
      </c>
      <c r="F1216" s="1" t="s">
        <v>18</v>
      </c>
      <c r="G1216" s="1">
        <v>2</v>
      </c>
      <c r="H1216" s="1" t="s">
        <v>16</v>
      </c>
      <c r="I1216" s="1" t="s">
        <v>16</v>
      </c>
      <c r="J1216" s="1" t="s">
        <v>16</v>
      </c>
      <c r="K1216" s="1" t="s">
        <v>17</v>
      </c>
      <c r="L1216" s="1" t="s">
        <v>17</v>
      </c>
      <c r="M1216" s="1" t="s">
        <v>17</v>
      </c>
      <c r="N1216" s="1" t="s">
        <v>16</v>
      </c>
    </row>
    <row r="1217" spans="1:14" x14ac:dyDescent="0.25">
      <c r="A1217" s="9">
        <v>44811</v>
      </c>
      <c r="B1217" s="1" t="s">
        <v>22</v>
      </c>
      <c r="C1217" s="1">
        <v>13</v>
      </c>
      <c r="D1217" s="1">
        <v>3</v>
      </c>
      <c r="E1217" s="5">
        <v>43.44</v>
      </c>
      <c r="F1217" s="1" t="s">
        <v>18</v>
      </c>
      <c r="G1217" s="1">
        <v>2</v>
      </c>
      <c r="H1217" s="1" t="s">
        <v>16</v>
      </c>
      <c r="I1217" s="1" t="s">
        <v>16</v>
      </c>
      <c r="J1217" s="1" t="s">
        <v>16</v>
      </c>
      <c r="K1217" s="1" t="s">
        <v>17</v>
      </c>
      <c r="L1217" s="1" t="s">
        <v>17</v>
      </c>
      <c r="M1217" s="1" t="s">
        <v>17</v>
      </c>
      <c r="N1217" s="1" t="s">
        <v>16</v>
      </c>
    </row>
    <row r="1218" spans="1:14" x14ac:dyDescent="0.25">
      <c r="A1218" s="9">
        <v>44811</v>
      </c>
      <c r="B1218" s="1" t="s">
        <v>22</v>
      </c>
      <c r="C1218" s="1">
        <v>14</v>
      </c>
      <c r="D1218" s="1">
        <v>3</v>
      </c>
      <c r="E1218" s="5">
        <v>31.73</v>
      </c>
      <c r="F1218" s="1" t="s">
        <v>19</v>
      </c>
      <c r="G1218" s="1">
        <v>2</v>
      </c>
      <c r="H1218" s="1" t="s">
        <v>16</v>
      </c>
      <c r="I1218" s="1" t="s">
        <v>16</v>
      </c>
      <c r="J1218" s="1" t="s">
        <v>16</v>
      </c>
      <c r="K1218" s="1" t="s">
        <v>17</v>
      </c>
      <c r="L1218" s="1" t="s">
        <v>17</v>
      </c>
      <c r="M1218" s="1" t="s">
        <v>17</v>
      </c>
      <c r="N1218" s="1" t="s">
        <v>16</v>
      </c>
    </row>
    <row r="1219" spans="1:14" x14ac:dyDescent="0.25">
      <c r="A1219" s="9">
        <v>44811</v>
      </c>
      <c r="B1219" s="1" t="s">
        <v>22</v>
      </c>
      <c r="C1219" s="1">
        <v>15</v>
      </c>
      <c r="D1219" s="1">
        <v>3</v>
      </c>
      <c r="E1219" s="5">
        <v>46.58</v>
      </c>
      <c r="F1219" s="1" t="s">
        <v>18</v>
      </c>
      <c r="G1219" s="1">
        <v>2</v>
      </c>
      <c r="H1219" s="1" t="s">
        <v>16</v>
      </c>
      <c r="I1219" s="1" t="s">
        <v>16</v>
      </c>
      <c r="J1219" s="1" t="s">
        <v>16</v>
      </c>
      <c r="K1219" s="1" t="s">
        <v>17</v>
      </c>
      <c r="L1219" s="1" t="s">
        <v>17</v>
      </c>
      <c r="M1219" s="1" t="s">
        <v>17</v>
      </c>
      <c r="N1219" s="1" t="s">
        <v>16</v>
      </c>
    </row>
    <row r="1220" spans="1:14" x14ac:dyDescent="0.25">
      <c r="A1220" s="9">
        <v>44844</v>
      </c>
      <c r="B1220" s="1" t="s">
        <v>22</v>
      </c>
      <c r="C1220" s="1">
        <v>1</v>
      </c>
      <c r="D1220" s="1">
        <v>1</v>
      </c>
      <c r="E1220" s="5">
        <v>43.71</v>
      </c>
      <c r="F1220" s="1" t="s">
        <v>18</v>
      </c>
      <c r="G1220" s="1">
        <v>2</v>
      </c>
      <c r="H1220" s="1" t="s">
        <v>16</v>
      </c>
      <c r="I1220" s="1" t="s">
        <v>16</v>
      </c>
      <c r="J1220" s="1" t="s">
        <v>16</v>
      </c>
      <c r="K1220" s="1" t="s">
        <v>17</v>
      </c>
      <c r="L1220" s="1" t="s">
        <v>17</v>
      </c>
      <c r="M1220" s="1" t="s">
        <v>17</v>
      </c>
      <c r="N1220" s="1" t="s">
        <v>16</v>
      </c>
    </row>
    <row r="1221" spans="1:14" x14ac:dyDescent="0.25">
      <c r="A1221" s="9">
        <v>44844</v>
      </c>
      <c r="B1221" s="1" t="s">
        <v>22</v>
      </c>
      <c r="C1221" s="1">
        <v>2</v>
      </c>
      <c r="D1221" s="1">
        <v>1</v>
      </c>
      <c r="E1221" s="5">
        <v>54.37</v>
      </c>
      <c r="F1221" s="1" t="s">
        <v>18</v>
      </c>
      <c r="G1221" s="1">
        <v>3</v>
      </c>
      <c r="H1221" s="1" t="s">
        <v>16</v>
      </c>
      <c r="I1221" s="1" t="s">
        <v>16</v>
      </c>
      <c r="J1221" s="1" t="s">
        <v>16</v>
      </c>
      <c r="K1221" s="1" t="s">
        <v>21</v>
      </c>
      <c r="L1221" s="1" t="s">
        <v>17</v>
      </c>
      <c r="M1221" s="1" t="s">
        <v>17</v>
      </c>
      <c r="N1221" s="1" t="s">
        <v>16</v>
      </c>
    </row>
    <row r="1222" spans="1:14" x14ac:dyDescent="0.25">
      <c r="A1222" s="9">
        <v>44844</v>
      </c>
      <c r="B1222" s="1" t="s">
        <v>22</v>
      </c>
      <c r="C1222" s="1">
        <v>3</v>
      </c>
      <c r="D1222" s="1">
        <v>1</v>
      </c>
      <c r="E1222" s="5">
        <v>50.12</v>
      </c>
      <c r="F1222" s="1" t="s">
        <v>18</v>
      </c>
      <c r="G1222" s="1">
        <v>2</v>
      </c>
      <c r="H1222" s="1" t="s">
        <v>16</v>
      </c>
      <c r="I1222" s="1" t="s">
        <v>16</v>
      </c>
      <c r="J1222" s="1" t="s">
        <v>16</v>
      </c>
      <c r="K1222" s="1" t="s">
        <v>17</v>
      </c>
      <c r="L1222" s="1" t="s">
        <v>17</v>
      </c>
      <c r="M1222" s="1" t="s">
        <v>17</v>
      </c>
      <c r="N1222" s="1" t="s">
        <v>16</v>
      </c>
    </row>
    <row r="1223" spans="1:14" x14ac:dyDescent="0.25">
      <c r="A1223" s="9">
        <v>44844</v>
      </c>
      <c r="B1223" s="1" t="s">
        <v>22</v>
      </c>
      <c r="C1223" s="1">
        <v>4</v>
      </c>
      <c r="D1223" s="1">
        <v>1</v>
      </c>
      <c r="E1223" s="5">
        <v>40.869999999999997</v>
      </c>
      <c r="F1223" s="1" t="s">
        <v>18</v>
      </c>
      <c r="G1223" s="1">
        <v>2</v>
      </c>
      <c r="H1223" s="1" t="s">
        <v>16</v>
      </c>
      <c r="I1223" s="1" t="s">
        <v>16</v>
      </c>
      <c r="J1223" s="1" t="s">
        <v>16</v>
      </c>
      <c r="K1223" s="1" t="s">
        <v>17</v>
      </c>
      <c r="L1223" s="1" t="s">
        <v>17</v>
      </c>
      <c r="M1223" s="1" t="s">
        <v>17</v>
      </c>
      <c r="N1223" s="1" t="s">
        <v>16</v>
      </c>
    </row>
    <row r="1224" spans="1:14" x14ac:dyDescent="0.25">
      <c r="A1224" s="9">
        <v>44844</v>
      </c>
      <c r="B1224" s="1" t="s">
        <v>22</v>
      </c>
      <c r="C1224" s="1">
        <v>5</v>
      </c>
      <c r="D1224" s="1">
        <v>1</v>
      </c>
      <c r="E1224" s="5">
        <v>51.96</v>
      </c>
      <c r="F1224" s="1" t="s">
        <v>18</v>
      </c>
      <c r="G1224" s="1">
        <v>2</v>
      </c>
      <c r="H1224" s="1" t="s">
        <v>16</v>
      </c>
      <c r="I1224" s="1" t="s">
        <v>16</v>
      </c>
      <c r="J1224" s="1" t="s">
        <v>16</v>
      </c>
      <c r="K1224" s="1" t="s">
        <v>17</v>
      </c>
      <c r="L1224" s="1" t="s">
        <v>17</v>
      </c>
      <c r="M1224" s="1" t="s">
        <v>17</v>
      </c>
      <c r="N1224" s="1" t="s">
        <v>16</v>
      </c>
    </row>
    <row r="1225" spans="1:14" x14ac:dyDescent="0.25">
      <c r="A1225" s="9">
        <v>44844</v>
      </c>
      <c r="B1225" s="1" t="s">
        <v>22</v>
      </c>
      <c r="C1225" s="1">
        <v>6</v>
      </c>
      <c r="D1225" s="1">
        <v>2</v>
      </c>
      <c r="E1225" s="5">
        <v>41.87</v>
      </c>
      <c r="F1225" s="1" t="s">
        <v>18</v>
      </c>
      <c r="G1225" s="1">
        <v>2</v>
      </c>
      <c r="H1225" s="1" t="s">
        <v>16</v>
      </c>
      <c r="I1225" s="1" t="s">
        <v>16</v>
      </c>
      <c r="J1225" s="1" t="s">
        <v>16</v>
      </c>
      <c r="K1225" s="1" t="s">
        <v>17</v>
      </c>
      <c r="L1225" s="1" t="s">
        <v>17</v>
      </c>
      <c r="M1225" s="1" t="s">
        <v>17</v>
      </c>
      <c r="N1225" s="1" t="s">
        <v>16</v>
      </c>
    </row>
    <row r="1226" spans="1:14" x14ac:dyDescent="0.25">
      <c r="A1226" s="9">
        <v>44844</v>
      </c>
      <c r="B1226" s="1" t="s">
        <v>22</v>
      </c>
      <c r="C1226" s="1">
        <v>7</v>
      </c>
      <c r="D1226" s="1">
        <v>2</v>
      </c>
      <c r="E1226" s="5">
        <v>53.95</v>
      </c>
      <c r="F1226" s="1" t="s">
        <v>18</v>
      </c>
      <c r="G1226" s="1">
        <v>2</v>
      </c>
      <c r="H1226" s="1" t="s">
        <v>16</v>
      </c>
      <c r="I1226" s="1" t="s">
        <v>16</v>
      </c>
      <c r="J1226" s="1" t="s">
        <v>16</v>
      </c>
      <c r="K1226" s="1" t="s">
        <v>17</v>
      </c>
      <c r="L1226" s="1" t="s">
        <v>17</v>
      </c>
      <c r="M1226" s="1" t="s">
        <v>17</v>
      </c>
      <c r="N1226" s="1" t="s">
        <v>16</v>
      </c>
    </row>
    <row r="1227" spans="1:14" x14ac:dyDescent="0.25">
      <c r="A1227" s="9">
        <v>44844</v>
      </c>
      <c r="B1227" s="1" t="s">
        <v>22</v>
      </c>
      <c r="C1227" s="1">
        <v>8</v>
      </c>
      <c r="D1227" s="1">
        <v>2</v>
      </c>
      <c r="E1227" s="5">
        <v>74.13</v>
      </c>
      <c r="F1227" s="1" t="s">
        <v>18</v>
      </c>
      <c r="G1227" s="1">
        <v>2</v>
      </c>
      <c r="H1227" s="1" t="s">
        <v>16</v>
      </c>
      <c r="I1227" s="1" t="s">
        <v>16</v>
      </c>
      <c r="J1227" s="1" t="s">
        <v>16</v>
      </c>
      <c r="K1227" s="1" t="s">
        <v>17</v>
      </c>
      <c r="L1227" s="1" t="s">
        <v>17</v>
      </c>
      <c r="M1227" s="1" t="s">
        <v>17</v>
      </c>
      <c r="N1227" s="1" t="s">
        <v>16</v>
      </c>
    </row>
    <row r="1228" spans="1:14" x14ac:dyDescent="0.25">
      <c r="A1228" s="9">
        <v>44844</v>
      </c>
      <c r="B1228" s="1" t="s">
        <v>22</v>
      </c>
      <c r="C1228" s="1">
        <v>9</v>
      </c>
      <c r="D1228" s="1">
        <v>2</v>
      </c>
      <c r="E1228" s="5">
        <v>40.549999999999997</v>
      </c>
      <c r="F1228" s="1" t="s">
        <v>18</v>
      </c>
      <c r="G1228" s="1">
        <v>2</v>
      </c>
      <c r="H1228" s="1" t="s">
        <v>16</v>
      </c>
      <c r="I1228" s="1" t="s">
        <v>16</v>
      </c>
      <c r="J1228" s="1" t="s">
        <v>16</v>
      </c>
      <c r="K1228" s="1" t="s">
        <v>17</v>
      </c>
      <c r="L1228" s="1" t="s">
        <v>17</v>
      </c>
      <c r="M1228" s="1" t="s">
        <v>17</v>
      </c>
      <c r="N1228" s="1" t="s">
        <v>16</v>
      </c>
    </row>
    <row r="1229" spans="1:14" x14ac:dyDescent="0.25">
      <c r="A1229" s="9">
        <v>44844</v>
      </c>
      <c r="B1229" s="1" t="s">
        <v>22</v>
      </c>
      <c r="C1229" s="1">
        <v>10</v>
      </c>
      <c r="D1229" s="1">
        <v>2</v>
      </c>
      <c r="E1229" s="5">
        <v>49.13</v>
      </c>
      <c r="F1229" s="1" t="s">
        <v>18</v>
      </c>
      <c r="G1229" s="1">
        <v>2</v>
      </c>
      <c r="H1229" s="1" t="s">
        <v>16</v>
      </c>
      <c r="I1229" s="1" t="s">
        <v>16</v>
      </c>
      <c r="J1229" s="1" t="s">
        <v>16</v>
      </c>
      <c r="K1229" s="1" t="s">
        <v>17</v>
      </c>
      <c r="L1229" s="1" t="s">
        <v>17</v>
      </c>
      <c r="M1229" s="1" t="s">
        <v>17</v>
      </c>
      <c r="N1229" s="1" t="s">
        <v>16</v>
      </c>
    </row>
    <row r="1230" spans="1:14" x14ac:dyDescent="0.25">
      <c r="A1230" s="9">
        <v>44844</v>
      </c>
      <c r="B1230" s="1" t="s">
        <v>22</v>
      </c>
      <c r="C1230" s="1">
        <v>11</v>
      </c>
      <c r="D1230" s="1">
        <v>3</v>
      </c>
      <c r="E1230" s="5">
        <v>58.04</v>
      </c>
      <c r="F1230" s="1" t="s">
        <v>18</v>
      </c>
      <c r="G1230" s="1">
        <v>2</v>
      </c>
      <c r="H1230" s="1" t="s">
        <v>16</v>
      </c>
      <c r="I1230" s="1" t="s">
        <v>16</v>
      </c>
      <c r="J1230" s="1" t="s">
        <v>16</v>
      </c>
      <c r="K1230" s="1" t="s">
        <v>17</v>
      </c>
      <c r="L1230" s="1" t="s">
        <v>17</v>
      </c>
      <c r="M1230" s="1" t="s">
        <v>17</v>
      </c>
      <c r="N1230" s="1" t="s">
        <v>16</v>
      </c>
    </row>
    <row r="1231" spans="1:14" x14ac:dyDescent="0.25">
      <c r="A1231" s="9">
        <v>44844</v>
      </c>
      <c r="B1231" s="1" t="s">
        <v>22</v>
      </c>
      <c r="C1231" s="1">
        <v>12</v>
      </c>
      <c r="D1231" s="1">
        <v>3</v>
      </c>
      <c r="E1231" s="5">
        <v>50.54</v>
      </c>
      <c r="F1231" s="1" t="s">
        <v>18</v>
      </c>
      <c r="G1231" s="1">
        <v>2</v>
      </c>
      <c r="H1231" s="1" t="s">
        <v>16</v>
      </c>
      <c r="I1231" s="1" t="s">
        <v>16</v>
      </c>
      <c r="J1231" s="1" t="s">
        <v>16</v>
      </c>
      <c r="K1231" s="1" t="s">
        <v>17</v>
      </c>
      <c r="L1231" s="1" t="s">
        <v>17</v>
      </c>
      <c r="M1231" s="1" t="s">
        <v>17</v>
      </c>
      <c r="N1231" s="1" t="s">
        <v>16</v>
      </c>
    </row>
    <row r="1232" spans="1:14" x14ac:dyDescent="0.25">
      <c r="A1232" s="9">
        <v>44844</v>
      </c>
      <c r="B1232" s="1" t="s">
        <v>22</v>
      </c>
      <c r="C1232" s="1">
        <v>13</v>
      </c>
      <c r="D1232" s="1">
        <v>3</v>
      </c>
      <c r="E1232" s="5">
        <v>75.19</v>
      </c>
      <c r="F1232" s="1" t="s">
        <v>18</v>
      </c>
      <c r="G1232" s="1">
        <v>2</v>
      </c>
      <c r="H1232" s="1" t="s">
        <v>16</v>
      </c>
      <c r="I1232" s="1" t="s">
        <v>16</v>
      </c>
      <c r="J1232" s="1" t="s">
        <v>16</v>
      </c>
      <c r="K1232" s="1" t="s">
        <v>17</v>
      </c>
      <c r="L1232" s="1" t="s">
        <v>17</v>
      </c>
      <c r="M1232" s="1" t="s">
        <v>17</v>
      </c>
      <c r="N1232" s="1" t="s">
        <v>16</v>
      </c>
    </row>
    <row r="1233" spans="1:14" x14ac:dyDescent="0.25">
      <c r="A1233" s="9">
        <v>44844</v>
      </c>
      <c r="B1233" s="1" t="s">
        <v>22</v>
      </c>
      <c r="C1233" s="1">
        <v>14</v>
      </c>
      <c r="D1233" s="1">
        <v>3</v>
      </c>
      <c r="E1233" s="5">
        <v>61.03</v>
      </c>
      <c r="F1233" s="1" t="s">
        <v>18</v>
      </c>
      <c r="G1233" s="1">
        <v>2</v>
      </c>
      <c r="H1233" s="1" t="s">
        <v>16</v>
      </c>
      <c r="I1233" s="1" t="s">
        <v>16</v>
      </c>
      <c r="J1233" s="1" t="s">
        <v>16</v>
      </c>
      <c r="K1233" s="1" t="s">
        <v>17</v>
      </c>
      <c r="L1233" s="1" t="s">
        <v>17</v>
      </c>
      <c r="M1233" s="1" t="s">
        <v>17</v>
      </c>
      <c r="N1233" s="1" t="s">
        <v>16</v>
      </c>
    </row>
    <row r="1234" spans="1:14" x14ac:dyDescent="0.25">
      <c r="A1234" s="9">
        <v>44844</v>
      </c>
      <c r="B1234" s="1" t="s">
        <v>22</v>
      </c>
      <c r="C1234" s="1">
        <v>15</v>
      </c>
      <c r="D1234" s="1">
        <v>3</v>
      </c>
      <c r="E1234" s="5">
        <v>59.58</v>
      </c>
      <c r="F1234" s="1" t="s">
        <v>18</v>
      </c>
      <c r="G1234" s="1">
        <v>2</v>
      </c>
      <c r="H1234" s="1" t="s">
        <v>16</v>
      </c>
      <c r="I1234" s="1" t="s">
        <v>16</v>
      </c>
      <c r="J1234" s="1" t="s">
        <v>16</v>
      </c>
      <c r="K1234" s="1" t="s">
        <v>17</v>
      </c>
      <c r="L1234" s="1" t="s">
        <v>17</v>
      </c>
      <c r="M1234" s="1" t="s">
        <v>17</v>
      </c>
      <c r="N1234" s="1" t="s">
        <v>16</v>
      </c>
    </row>
    <row r="1235" spans="1:14" x14ac:dyDescent="0.25">
      <c r="A1235" s="9">
        <v>44879</v>
      </c>
      <c r="B1235" s="1" t="s">
        <v>22</v>
      </c>
      <c r="C1235" s="1">
        <v>1</v>
      </c>
      <c r="D1235" s="1">
        <v>1</v>
      </c>
      <c r="E1235" s="5">
        <v>43.47</v>
      </c>
      <c r="F1235" s="1" t="s">
        <v>18</v>
      </c>
      <c r="G1235" s="1">
        <v>2</v>
      </c>
      <c r="H1235" s="1" t="s">
        <v>16</v>
      </c>
      <c r="I1235" s="1" t="s">
        <v>16</v>
      </c>
      <c r="J1235" s="1" t="s">
        <v>16</v>
      </c>
      <c r="K1235" s="1" t="s">
        <v>17</v>
      </c>
      <c r="L1235" s="1" t="s">
        <v>17</v>
      </c>
      <c r="M1235" s="1" t="s">
        <v>17</v>
      </c>
      <c r="N1235" s="1" t="s">
        <v>16</v>
      </c>
    </row>
    <row r="1236" spans="1:14" x14ac:dyDescent="0.25">
      <c r="A1236" s="9">
        <v>44879</v>
      </c>
      <c r="B1236" s="1" t="s">
        <v>22</v>
      </c>
      <c r="C1236" s="1">
        <v>2</v>
      </c>
      <c r="D1236" s="1">
        <v>1</v>
      </c>
      <c r="E1236" s="5">
        <v>46</v>
      </c>
      <c r="F1236" s="1" t="s">
        <v>18</v>
      </c>
      <c r="G1236" s="1">
        <v>3</v>
      </c>
      <c r="H1236" s="1" t="s">
        <v>16</v>
      </c>
      <c r="I1236" s="1" t="s">
        <v>16</v>
      </c>
      <c r="J1236" s="1" t="s">
        <v>16</v>
      </c>
      <c r="K1236" s="1" t="s">
        <v>17</v>
      </c>
      <c r="L1236" s="1" t="s">
        <v>17</v>
      </c>
      <c r="M1236" s="1" t="s">
        <v>17</v>
      </c>
      <c r="N1236" s="1" t="s">
        <v>16</v>
      </c>
    </row>
    <row r="1237" spans="1:14" x14ac:dyDescent="0.25">
      <c r="A1237" s="9">
        <v>44879</v>
      </c>
      <c r="B1237" s="1" t="s">
        <v>22</v>
      </c>
      <c r="C1237" s="1">
        <v>3</v>
      </c>
      <c r="D1237" s="1">
        <v>1</v>
      </c>
      <c r="E1237" s="5">
        <v>47.73</v>
      </c>
      <c r="F1237" s="1" t="s">
        <v>19</v>
      </c>
      <c r="G1237" s="1">
        <v>2</v>
      </c>
      <c r="H1237" s="1" t="s">
        <v>16</v>
      </c>
      <c r="I1237" s="1" t="s">
        <v>16</v>
      </c>
      <c r="J1237" s="1" t="s">
        <v>16</v>
      </c>
      <c r="K1237" s="1" t="s">
        <v>17</v>
      </c>
      <c r="L1237" s="1" t="s">
        <v>17</v>
      </c>
      <c r="M1237" s="1" t="s">
        <v>17</v>
      </c>
      <c r="N1237" s="1" t="s">
        <v>16</v>
      </c>
    </row>
    <row r="1238" spans="1:14" x14ac:dyDescent="0.25">
      <c r="A1238" s="9">
        <v>44879</v>
      </c>
      <c r="B1238" s="1" t="s">
        <v>22</v>
      </c>
      <c r="C1238" s="1">
        <v>4</v>
      </c>
      <c r="D1238" s="1">
        <v>1</v>
      </c>
      <c r="E1238" s="5">
        <v>55.32</v>
      </c>
      <c r="F1238" s="1" t="s">
        <v>18</v>
      </c>
      <c r="G1238" s="1">
        <v>2</v>
      </c>
      <c r="H1238" s="1" t="s">
        <v>16</v>
      </c>
      <c r="I1238" s="1" t="s">
        <v>16</v>
      </c>
      <c r="J1238" s="1" t="s">
        <v>16</v>
      </c>
      <c r="K1238" s="1" t="s">
        <v>17</v>
      </c>
      <c r="L1238" s="1" t="s">
        <v>17</v>
      </c>
      <c r="M1238" s="1" t="s">
        <v>17</v>
      </c>
      <c r="N1238" s="1" t="s">
        <v>16</v>
      </c>
    </row>
    <row r="1239" spans="1:14" x14ac:dyDescent="0.25">
      <c r="A1239" s="9">
        <v>44879</v>
      </c>
      <c r="B1239" s="1" t="s">
        <v>22</v>
      </c>
      <c r="C1239" s="1">
        <v>5</v>
      </c>
      <c r="D1239" s="1">
        <v>1</v>
      </c>
      <c r="E1239" s="5">
        <v>60.1</v>
      </c>
      <c r="F1239" s="1" t="s">
        <v>18</v>
      </c>
      <c r="G1239" s="1">
        <v>2</v>
      </c>
      <c r="H1239" s="1" t="s">
        <v>16</v>
      </c>
      <c r="I1239" s="1" t="s">
        <v>16</v>
      </c>
      <c r="J1239" s="1" t="s">
        <v>16</v>
      </c>
      <c r="K1239" s="1" t="s">
        <v>17</v>
      </c>
      <c r="L1239" s="1" t="s">
        <v>17</v>
      </c>
      <c r="M1239" s="1" t="s">
        <v>17</v>
      </c>
      <c r="N1239" s="1" t="s">
        <v>16</v>
      </c>
    </row>
    <row r="1240" spans="1:14" x14ac:dyDescent="0.25">
      <c r="A1240" s="9">
        <v>44879</v>
      </c>
      <c r="B1240" s="1" t="s">
        <v>22</v>
      </c>
      <c r="C1240" s="1">
        <v>6</v>
      </c>
      <c r="D1240" s="1">
        <v>2</v>
      </c>
      <c r="E1240" s="5">
        <v>45.11</v>
      </c>
      <c r="F1240" s="1" t="s">
        <v>18</v>
      </c>
      <c r="G1240" s="1">
        <v>2</v>
      </c>
      <c r="H1240" s="1" t="s">
        <v>16</v>
      </c>
      <c r="I1240" s="1" t="s">
        <v>16</v>
      </c>
      <c r="J1240" s="1" t="s">
        <v>16</v>
      </c>
      <c r="K1240" s="1" t="s">
        <v>17</v>
      </c>
      <c r="L1240" s="1" t="s">
        <v>17</v>
      </c>
      <c r="M1240" s="1" t="s">
        <v>17</v>
      </c>
      <c r="N1240" s="1" t="s">
        <v>16</v>
      </c>
    </row>
    <row r="1241" spans="1:14" x14ac:dyDescent="0.25">
      <c r="A1241" s="9">
        <v>44879</v>
      </c>
      <c r="B1241" s="1" t="s">
        <v>22</v>
      </c>
      <c r="C1241" s="1">
        <v>7</v>
      </c>
      <c r="D1241" s="1">
        <v>2</v>
      </c>
      <c r="E1241" s="5">
        <v>45.87</v>
      </c>
      <c r="F1241" s="1" t="s">
        <v>18</v>
      </c>
      <c r="G1241" s="1">
        <v>2</v>
      </c>
      <c r="H1241" s="1" t="s">
        <v>16</v>
      </c>
      <c r="I1241" s="1" t="s">
        <v>16</v>
      </c>
      <c r="J1241" s="1" t="s">
        <v>16</v>
      </c>
      <c r="K1241" s="1" t="s">
        <v>17</v>
      </c>
      <c r="L1241" s="1" t="s">
        <v>17</v>
      </c>
      <c r="M1241" s="1" t="s">
        <v>17</v>
      </c>
      <c r="N1241" s="1" t="s">
        <v>16</v>
      </c>
    </row>
    <row r="1242" spans="1:14" x14ac:dyDescent="0.25">
      <c r="A1242" s="9">
        <v>44879</v>
      </c>
      <c r="B1242" s="1" t="s">
        <v>22</v>
      </c>
      <c r="C1242" s="1">
        <v>8</v>
      </c>
      <c r="D1242" s="1">
        <v>2</v>
      </c>
      <c r="E1242" s="5">
        <v>55.88</v>
      </c>
      <c r="F1242" s="1" t="s">
        <v>18</v>
      </c>
      <c r="G1242" s="1">
        <v>2</v>
      </c>
      <c r="H1242" s="1" t="s">
        <v>16</v>
      </c>
      <c r="I1242" s="1" t="s">
        <v>16</v>
      </c>
      <c r="J1242" s="1" t="s">
        <v>16</v>
      </c>
      <c r="K1242" s="1" t="s">
        <v>17</v>
      </c>
      <c r="L1242" s="1" t="s">
        <v>17</v>
      </c>
      <c r="M1242" s="1" t="s">
        <v>17</v>
      </c>
      <c r="N1242" s="1" t="s">
        <v>16</v>
      </c>
    </row>
    <row r="1243" spans="1:14" x14ac:dyDescent="0.25">
      <c r="A1243" s="9">
        <v>44879</v>
      </c>
      <c r="B1243" s="1" t="s">
        <v>22</v>
      </c>
      <c r="C1243" s="1">
        <v>9</v>
      </c>
      <c r="D1243" s="1">
        <v>2</v>
      </c>
      <c r="E1243" s="5">
        <v>46.31</v>
      </c>
      <c r="F1243" s="1" t="s">
        <v>18</v>
      </c>
      <c r="G1243" s="1">
        <v>2</v>
      </c>
      <c r="H1243" s="1" t="s">
        <v>16</v>
      </c>
      <c r="I1243" s="1" t="s">
        <v>16</v>
      </c>
      <c r="J1243" s="1" t="s">
        <v>16</v>
      </c>
      <c r="K1243" s="1" t="s">
        <v>17</v>
      </c>
      <c r="L1243" s="1" t="s">
        <v>17</v>
      </c>
      <c r="M1243" s="1" t="s">
        <v>17</v>
      </c>
      <c r="N1243" s="1" t="s">
        <v>16</v>
      </c>
    </row>
    <row r="1244" spans="1:14" x14ac:dyDescent="0.25">
      <c r="A1244" s="9">
        <v>44879</v>
      </c>
      <c r="B1244" s="1" t="s">
        <v>22</v>
      </c>
      <c r="C1244" s="1">
        <v>10</v>
      </c>
      <c r="D1244" s="1">
        <v>2</v>
      </c>
      <c r="E1244" s="5">
        <v>61.75</v>
      </c>
      <c r="F1244" s="1" t="s">
        <v>18</v>
      </c>
      <c r="G1244" s="1">
        <v>2</v>
      </c>
      <c r="H1244" s="1" t="s">
        <v>16</v>
      </c>
      <c r="I1244" s="1" t="s">
        <v>16</v>
      </c>
      <c r="J1244" s="1" t="s">
        <v>16</v>
      </c>
      <c r="K1244" s="1" t="s">
        <v>17</v>
      </c>
      <c r="L1244" s="1" t="s">
        <v>17</v>
      </c>
      <c r="M1244" s="1" t="s">
        <v>17</v>
      </c>
      <c r="N1244" s="1" t="s">
        <v>16</v>
      </c>
    </row>
    <row r="1245" spans="1:14" x14ac:dyDescent="0.25">
      <c r="A1245" s="9">
        <v>44879</v>
      </c>
      <c r="B1245" s="1" t="s">
        <v>22</v>
      </c>
      <c r="C1245" s="1">
        <v>11</v>
      </c>
      <c r="D1245" s="1">
        <v>3</v>
      </c>
      <c r="E1245" s="5">
        <v>42.56</v>
      </c>
      <c r="F1245" s="1" t="s">
        <v>18</v>
      </c>
      <c r="G1245" s="1">
        <v>2</v>
      </c>
      <c r="H1245" s="1" t="s">
        <v>16</v>
      </c>
      <c r="I1245" s="1" t="s">
        <v>16</v>
      </c>
      <c r="J1245" s="1" t="s">
        <v>16</v>
      </c>
      <c r="K1245" s="1" t="s">
        <v>17</v>
      </c>
      <c r="L1245" s="1" t="s">
        <v>17</v>
      </c>
      <c r="M1245" s="1" t="s">
        <v>17</v>
      </c>
      <c r="N1245" s="1" t="s">
        <v>16</v>
      </c>
    </row>
    <row r="1246" spans="1:14" x14ac:dyDescent="0.25">
      <c r="A1246" s="9">
        <v>44879</v>
      </c>
      <c r="B1246" s="1" t="s">
        <v>22</v>
      </c>
      <c r="C1246" s="1">
        <v>12</v>
      </c>
      <c r="D1246" s="1">
        <v>3</v>
      </c>
      <c r="E1246" s="5">
        <v>51.16</v>
      </c>
      <c r="F1246" s="1" t="s">
        <v>18</v>
      </c>
      <c r="G1246" s="1">
        <v>2</v>
      </c>
      <c r="H1246" s="1" t="s">
        <v>16</v>
      </c>
      <c r="I1246" s="1" t="s">
        <v>16</v>
      </c>
      <c r="J1246" s="1" t="s">
        <v>16</v>
      </c>
      <c r="K1246" s="1" t="s">
        <v>17</v>
      </c>
      <c r="L1246" s="1" t="s">
        <v>17</v>
      </c>
      <c r="M1246" s="1" t="s">
        <v>17</v>
      </c>
      <c r="N1246" s="1" t="s">
        <v>16</v>
      </c>
    </row>
    <row r="1247" spans="1:14" x14ac:dyDescent="0.25">
      <c r="A1247" s="9">
        <v>44879</v>
      </c>
      <c r="B1247" s="1" t="s">
        <v>22</v>
      </c>
      <c r="C1247" s="1">
        <v>13</v>
      </c>
      <c r="D1247" s="1">
        <v>3</v>
      </c>
      <c r="E1247" s="5">
        <v>56.39</v>
      </c>
      <c r="F1247" s="1" t="s">
        <v>18</v>
      </c>
      <c r="G1247" s="1">
        <v>2</v>
      </c>
      <c r="H1247" s="1" t="s">
        <v>16</v>
      </c>
      <c r="I1247" s="1" t="s">
        <v>16</v>
      </c>
      <c r="J1247" s="1" t="s">
        <v>16</v>
      </c>
      <c r="K1247" s="1" t="s">
        <v>17</v>
      </c>
      <c r="L1247" s="1" t="s">
        <v>17</v>
      </c>
      <c r="M1247" s="1" t="s">
        <v>17</v>
      </c>
      <c r="N1247" s="1" t="s">
        <v>16</v>
      </c>
    </row>
    <row r="1248" spans="1:14" x14ac:dyDescent="0.25">
      <c r="A1248" s="9">
        <v>44879</v>
      </c>
      <c r="B1248" s="1" t="s">
        <v>22</v>
      </c>
      <c r="C1248" s="1">
        <v>14</v>
      </c>
      <c r="D1248" s="1">
        <v>3</v>
      </c>
      <c r="E1248" s="5">
        <v>50.94</v>
      </c>
      <c r="F1248" s="1" t="s">
        <v>18</v>
      </c>
      <c r="G1248" s="1">
        <v>2</v>
      </c>
      <c r="H1248" s="1" t="s">
        <v>16</v>
      </c>
      <c r="I1248" s="1" t="s">
        <v>16</v>
      </c>
      <c r="J1248" s="1" t="s">
        <v>16</v>
      </c>
      <c r="K1248" s="1" t="s">
        <v>17</v>
      </c>
      <c r="L1248" s="1" t="s">
        <v>17</v>
      </c>
      <c r="M1248" s="1" t="s">
        <v>17</v>
      </c>
      <c r="N1248" s="1" t="s">
        <v>16</v>
      </c>
    </row>
    <row r="1249" spans="1:14" x14ac:dyDescent="0.25">
      <c r="A1249" s="9">
        <v>44879</v>
      </c>
      <c r="B1249" s="1" t="s">
        <v>22</v>
      </c>
      <c r="C1249" s="1">
        <v>15</v>
      </c>
      <c r="D1249" s="1">
        <v>3</v>
      </c>
      <c r="E1249" s="5">
        <v>83.02</v>
      </c>
      <c r="F1249" s="1" t="s">
        <v>18</v>
      </c>
      <c r="G1249" s="1">
        <v>2</v>
      </c>
      <c r="H1249" s="1" t="s">
        <v>16</v>
      </c>
      <c r="I1249" s="1" t="s">
        <v>16</v>
      </c>
      <c r="J1249" s="1" t="s">
        <v>16</v>
      </c>
      <c r="K1249" s="1" t="s">
        <v>17</v>
      </c>
      <c r="L1249" s="1" t="s">
        <v>17</v>
      </c>
      <c r="M1249" s="1" t="s">
        <v>17</v>
      </c>
      <c r="N1249" s="1" t="s">
        <v>16</v>
      </c>
    </row>
    <row r="1250" spans="1:14" x14ac:dyDescent="0.25">
      <c r="A1250" s="9">
        <v>44901</v>
      </c>
      <c r="B1250" s="1" t="s">
        <v>22</v>
      </c>
      <c r="C1250" s="1">
        <v>1</v>
      </c>
      <c r="D1250" s="1">
        <v>1</v>
      </c>
      <c r="E1250" s="5">
        <v>33.18</v>
      </c>
      <c r="F1250" s="1" t="s">
        <v>18</v>
      </c>
      <c r="G1250" s="1">
        <v>2</v>
      </c>
      <c r="H1250" s="1" t="s">
        <v>16</v>
      </c>
      <c r="I1250" s="1" t="s">
        <v>16</v>
      </c>
      <c r="J1250" s="1" t="s">
        <v>16</v>
      </c>
      <c r="K1250" s="1" t="s">
        <v>17</v>
      </c>
      <c r="L1250" s="1" t="s">
        <v>17</v>
      </c>
      <c r="M1250" s="1" t="s">
        <v>17</v>
      </c>
      <c r="N1250" s="1" t="s">
        <v>16</v>
      </c>
    </row>
    <row r="1251" spans="1:14" x14ac:dyDescent="0.25">
      <c r="A1251" s="9">
        <v>44901</v>
      </c>
      <c r="B1251" s="1" t="s">
        <v>22</v>
      </c>
      <c r="C1251" s="1">
        <v>2</v>
      </c>
      <c r="D1251" s="1">
        <v>1</v>
      </c>
      <c r="E1251" s="5">
        <v>32.130000000000003</v>
      </c>
      <c r="F1251" s="1" t="s">
        <v>16</v>
      </c>
      <c r="G1251" s="1">
        <v>4</v>
      </c>
      <c r="H1251" s="1" t="s">
        <v>16</v>
      </c>
      <c r="I1251" s="1" t="s">
        <v>16</v>
      </c>
      <c r="J1251" s="1" t="s">
        <v>16</v>
      </c>
      <c r="K1251" s="1" t="s">
        <v>17</v>
      </c>
      <c r="L1251" s="1" t="s">
        <v>17</v>
      </c>
      <c r="M1251" s="1" t="s">
        <v>17</v>
      </c>
      <c r="N1251" s="1" t="s">
        <v>16</v>
      </c>
    </row>
    <row r="1252" spans="1:14" x14ac:dyDescent="0.25">
      <c r="A1252" s="9">
        <v>44901</v>
      </c>
      <c r="B1252" s="1" t="s">
        <v>22</v>
      </c>
      <c r="C1252" s="1">
        <v>3</v>
      </c>
      <c r="D1252" s="1">
        <v>1</v>
      </c>
      <c r="E1252" s="5">
        <v>36.75</v>
      </c>
      <c r="F1252" s="1" t="s">
        <v>18</v>
      </c>
      <c r="G1252" s="1">
        <v>3</v>
      </c>
      <c r="H1252" s="1" t="s">
        <v>16</v>
      </c>
      <c r="I1252" s="1" t="s">
        <v>16</v>
      </c>
      <c r="J1252" s="1" t="s">
        <v>16</v>
      </c>
      <c r="K1252" s="1" t="s">
        <v>17</v>
      </c>
      <c r="L1252" s="1" t="s">
        <v>17</v>
      </c>
      <c r="M1252" s="1" t="s">
        <v>17</v>
      </c>
      <c r="N1252" s="1" t="s">
        <v>16</v>
      </c>
    </row>
    <row r="1253" spans="1:14" x14ac:dyDescent="0.25">
      <c r="A1253" s="9">
        <v>44901</v>
      </c>
      <c r="B1253" s="1" t="s">
        <v>22</v>
      </c>
      <c r="C1253" s="1">
        <v>4</v>
      </c>
      <c r="D1253" s="1">
        <v>1</v>
      </c>
      <c r="E1253" s="5">
        <v>29.5</v>
      </c>
      <c r="F1253" s="1" t="s">
        <v>16</v>
      </c>
      <c r="G1253" s="1">
        <v>4</v>
      </c>
      <c r="H1253" s="1" t="s">
        <v>16</v>
      </c>
      <c r="I1253" s="1" t="s">
        <v>16</v>
      </c>
      <c r="J1253" s="1" t="s">
        <v>16</v>
      </c>
      <c r="K1253" s="1" t="s">
        <v>17</v>
      </c>
      <c r="L1253" s="1" t="s">
        <v>17</v>
      </c>
      <c r="M1253" s="1" t="s">
        <v>21</v>
      </c>
      <c r="N1253" s="1" t="s">
        <v>16</v>
      </c>
    </row>
    <row r="1254" spans="1:14" x14ac:dyDescent="0.25">
      <c r="A1254" s="9">
        <v>44901</v>
      </c>
      <c r="B1254" s="1" t="s">
        <v>22</v>
      </c>
      <c r="C1254" s="1">
        <v>5</v>
      </c>
      <c r="D1254" s="1">
        <v>1</v>
      </c>
      <c r="E1254" s="5">
        <v>42.4</v>
      </c>
      <c r="F1254" s="1" t="s">
        <v>19</v>
      </c>
      <c r="G1254" s="1">
        <v>3</v>
      </c>
      <c r="H1254" s="1" t="s">
        <v>16</v>
      </c>
      <c r="I1254" s="1" t="s">
        <v>16</v>
      </c>
      <c r="J1254" s="1" t="s">
        <v>16</v>
      </c>
      <c r="K1254" s="1" t="s">
        <v>17</v>
      </c>
      <c r="L1254" s="1" t="s">
        <v>17</v>
      </c>
      <c r="M1254" s="1" t="s">
        <v>17</v>
      </c>
      <c r="N1254" s="1" t="s">
        <v>16</v>
      </c>
    </row>
    <row r="1255" spans="1:14" x14ac:dyDescent="0.25">
      <c r="A1255" s="9">
        <v>44901</v>
      </c>
      <c r="B1255" s="1" t="s">
        <v>22</v>
      </c>
      <c r="C1255" s="1">
        <v>6</v>
      </c>
      <c r="D1255" s="1">
        <v>2</v>
      </c>
      <c r="E1255" s="5">
        <v>50.26</v>
      </c>
      <c r="F1255" s="1" t="s">
        <v>16</v>
      </c>
      <c r="G1255" s="1" t="s">
        <v>16</v>
      </c>
      <c r="H1255" s="1" t="s">
        <v>16</v>
      </c>
      <c r="I1255" s="1" t="s">
        <v>16</v>
      </c>
      <c r="J1255" s="1" t="s">
        <v>16</v>
      </c>
      <c r="K1255" s="1" t="s">
        <v>17</v>
      </c>
      <c r="L1255" s="1" t="s">
        <v>21</v>
      </c>
      <c r="M1255" s="1" t="s">
        <v>17</v>
      </c>
      <c r="N1255" s="1" t="s">
        <v>16</v>
      </c>
    </row>
    <row r="1256" spans="1:14" x14ac:dyDescent="0.25">
      <c r="A1256" s="9">
        <v>44901</v>
      </c>
      <c r="B1256" s="1" t="s">
        <v>22</v>
      </c>
      <c r="C1256" s="1">
        <v>7</v>
      </c>
      <c r="D1256" s="1">
        <v>2</v>
      </c>
      <c r="E1256" s="5">
        <v>55.73</v>
      </c>
      <c r="F1256" s="1" t="s">
        <v>18</v>
      </c>
      <c r="G1256" s="1">
        <v>2</v>
      </c>
      <c r="H1256" s="1" t="s">
        <v>16</v>
      </c>
      <c r="I1256" s="1" t="s">
        <v>16</v>
      </c>
      <c r="J1256" s="1" t="s">
        <v>16</v>
      </c>
      <c r="K1256" s="1" t="s">
        <v>17</v>
      </c>
      <c r="L1256" s="1" t="s">
        <v>17</v>
      </c>
      <c r="M1256" s="1" t="s">
        <v>17</v>
      </c>
      <c r="N1256" s="1" t="s">
        <v>16</v>
      </c>
    </row>
    <row r="1257" spans="1:14" x14ac:dyDescent="0.25">
      <c r="A1257" s="9">
        <v>44901</v>
      </c>
      <c r="B1257" s="1" t="s">
        <v>22</v>
      </c>
      <c r="C1257" s="1">
        <v>8</v>
      </c>
      <c r="D1257" s="1">
        <v>2</v>
      </c>
      <c r="E1257" s="5">
        <v>47.48</v>
      </c>
      <c r="F1257" s="1" t="s">
        <v>16</v>
      </c>
      <c r="G1257" s="1" t="s">
        <v>16</v>
      </c>
      <c r="H1257" s="1" t="s">
        <v>16</v>
      </c>
      <c r="I1257" s="1" t="s">
        <v>16</v>
      </c>
      <c r="J1257" s="1" t="s">
        <v>16</v>
      </c>
      <c r="K1257" s="1" t="s">
        <v>20</v>
      </c>
      <c r="L1257" s="1" t="s">
        <v>17</v>
      </c>
      <c r="M1257" s="1" t="s">
        <v>17</v>
      </c>
      <c r="N1257" s="1" t="s">
        <v>16</v>
      </c>
    </row>
    <row r="1258" spans="1:14" x14ac:dyDescent="0.25">
      <c r="A1258" s="9">
        <v>44901</v>
      </c>
      <c r="B1258" s="1" t="s">
        <v>22</v>
      </c>
      <c r="C1258" s="1">
        <v>9</v>
      </c>
      <c r="D1258" s="1">
        <v>2</v>
      </c>
      <c r="E1258" s="5">
        <v>35.68</v>
      </c>
      <c r="F1258" s="1" t="s">
        <v>18</v>
      </c>
      <c r="G1258" s="1">
        <v>2</v>
      </c>
      <c r="H1258" s="1" t="s">
        <v>16</v>
      </c>
      <c r="I1258" s="1" t="s">
        <v>16</v>
      </c>
      <c r="J1258" s="1" t="s">
        <v>16</v>
      </c>
      <c r="K1258" s="1" t="s">
        <v>17</v>
      </c>
      <c r="L1258" s="1" t="s">
        <v>17</v>
      </c>
      <c r="M1258" s="1" t="s">
        <v>17</v>
      </c>
      <c r="N1258" s="1" t="s">
        <v>16</v>
      </c>
    </row>
    <row r="1259" spans="1:14" x14ac:dyDescent="0.25">
      <c r="A1259" s="9">
        <v>44901</v>
      </c>
      <c r="B1259" s="1" t="s">
        <v>22</v>
      </c>
      <c r="C1259" s="1">
        <v>10</v>
      </c>
      <c r="D1259" s="1">
        <v>2</v>
      </c>
      <c r="E1259" s="5">
        <v>48.37</v>
      </c>
      <c r="F1259" s="1" t="s">
        <v>16</v>
      </c>
      <c r="G1259" s="1">
        <v>4</v>
      </c>
      <c r="H1259" s="1" t="s">
        <v>16</v>
      </c>
      <c r="I1259" s="1" t="s">
        <v>16</v>
      </c>
      <c r="J1259" s="1" t="s">
        <v>16</v>
      </c>
      <c r="K1259" s="1" t="s">
        <v>17</v>
      </c>
      <c r="L1259" s="1" t="s">
        <v>17</v>
      </c>
      <c r="M1259" s="1" t="s">
        <v>17</v>
      </c>
      <c r="N1259" s="1" t="s">
        <v>16</v>
      </c>
    </row>
    <row r="1260" spans="1:14" x14ac:dyDescent="0.25">
      <c r="A1260" s="9">
        <v>44901</v>
      </c>
      <c r="B1260" s="1" t="s">
        <v>22</v>
      </c>
      <c r="C1260" s="1">
        <v>11</v>
      </c>
      <c r="D1260" s="1">
        <v>3</v>
      </c>
      <c r="E1260" s="5">
        <v>39.94</v>
      </c>
      <c r="F1260" s="1" t="s">
        <v>18</v>
      </c>
      <c r="G1260" s="1">
        <v>2</v>
      </c>
      <c r="H1260" s="1" t="s">
        <v>16</v>
      </c>
      <c r="I1260" s="1" t="s">
        <v>16</v>
      </c>
      <c r="J1260" s="1" t="s">
        <v>16</v>
      </c>
      <c r="K1260" s="1" t="s">
        <v>17</v>
      </c>
      <c r="L1260" s="1" t="s">
        <v>17</v>
      </c>
      <c r="M1260" s="1" t="s">
        <v>17</v>
      </c>
      <c r="N1260" s="1" t="s">
        <v>16</v>
      </c>
    </row>
    <row r="1261" spans="1:14" x14ac:dyDescent="0.25">
      <c r="A1261" s="9">
        <v>44901</v>
      </c>
      <c r="B1261" s="1" t="s">
        <v>22</v>
      </c>
      <c r="C1261" s="1">
        <v>12</v>
      </c>
      <c r="D1261" s="1">
        <v>3</v>
      </c>
      <c r="E1261" s="5">
        <v>32.590000000000003</v>
      </c>
      <c r="F1261" s="1" t="s">
        <v>18</v>
      </c>
      <c r="G1261" s="1">
        <v>2</v>
      </c>
      <c r="H1261" s="1" t="s">
        <v>16</v>
      </c>
      <c r="I1261" s="1" t="s">
        <v>16</v>
      </c>
      <c r="J1261" s="1" t="s">
        <v>16</v>
      </c>
      <c r="K1261" s="1" t="s">
        <v>17</v>
      </c>
      <c r="L1261" s="1" t="s">
        <v>17</v>
      </c>
      <c r="M1261" s="1" t="s">
        <v>17</v>
      </c>
      <c r="N1261" s="1" t="s">
        <v>16</v>
      </c>
    </row>
    <row r="1262" spans="1:14" x14ac:dyDescent="0.25">
      <c r="A1262" s="9">
        <v>44901</v>
      </c>
      <c r="B1262" s="1" t="s">
        <v>22</v>
      </c>
      <c r="C1262" s="1">
        <v>13</v>
      </c>
      <c r="D1262" s="1">
        <v>3</v>
      </c>
      <c r="E1262" s="5">
        <v>56.46</v>
      </c>
      <c r="F1262" s="1" t="s">
        <v>19</v>
      </c>
      <c r="G1262" s="1">
        <v>2</v>
      </c>
      <c r="H1262" s="1" t="s">
        <v>16</v>
      </c>
      <c r="I1262" s="1" t="s">
        <v>16</v>
      </c>
      <c r="J1262" s="1" t="s">
        <v>16</v>
      </c>
      <c r="K1262" s="1" t="s">
        <v>17</v>
      </c>
      <c r="L1262" s="1" t="s">
        <v>17</v>
      </c>
      <c r="M1262" s="1" t="s">
        <v>17</v>
      </c>
      <c r="N1262" s="1" t="s">
        <v>16</v>
      </c>
    </row>
    <row r="1263" spans="1:14" x14ac:dyDescent="0.25">
      <c r="A1263" s="9">
        <v>44901</v>
      </c>
      <c r="B1263" s="1" t="s">
        <v>22</v>
      </c>
      <c r="C1263" s="1">
        <v>14</v>
      </c>
      <c r="D1263" s="1">
        <v>3</v>
      </c>
      <c r="E1263" s="5">
        <v>56.93</v>
      </c>
      <c r="F1263" s="1" t="s">
        <v>18</v>
      </c>
      <c r="G1263" s="1">
        <v>2</v>
      </c>
      <c r="H1263" s="1" t="s">
        <v>16</v>
      </c>
      <c r="I1263" s="1" t="s">
        <v>16</v>
      </c>
      <c r="J1263" s="1" t="s">
        <v>16</v>
      </c>
      <c r="K1263" s="1" t="s">
        <v>17</v>
      </c>
      <c r="L1263" s="1" t="s">
        <v>17</v>
      </c>
      <c r="M1263" s="1" t="s">
        <v>17</v>
      </c>
      <c r="N1263" s="1" t="s">
        <v>16</v>
      </c>
    </row>
    <row r="1264" spans="1:14" x14ac:dyDescent="0.25">
      <c r="A1264" s="9">
        <v>44901</v>
      </c>
      <c r="B1264" s="1" t="s">
        <v>22</v>
      </c>
      <c r="C1264" s="1">
        <v>15</v>
      </c>
      <c r="D1264" s="1">
        <v>3</v>
      </c>
      <c r="E1264" s="5">
        <v>48.34</v>
      </c>
      <c r="F1264" s="1" t="s">
        <v>19</v>
      </c>
      <c r="G1264" s="1">
        <v>2</v>
      </c>
      <c r="H1264" s="1" t="s">
        <v>16</v>
      </c>
      <c r="I1264" s="1" t="s">
        <v>16</v>
      </c>
      <c r="J1264" s="1" t="s">
        <v>16</v>
      </c>
      <c r="K1264" s="1" t="s">
        <v>17</v>
      </c>
      <c r="L1264" s="1" t="s">
        <v>17</v>
      </c>
      <c r="M1264" s="1" t="s">
        <v>17</v>
      </c>
      <c r="N1264" s="1" t="s">
        <v>16</v>
      </c>
    </row>
    <row r="1265" spans="1:14" x14ac:dyDescent="0.25">
      <c r="A1265" s="9">
        <v>44930</v>
      </c>
      <c r="B1265" s="1" t="s">
        <v>22</v>
      </c>
      <c r="C1265" s="1">
        <v>1</v>
      </c>
      <c r="D1265" s="1">
        <v>1</v>
      </c>
      <c r="E1265" s="5">
        <v>55.79</v>
      </c>
      <c r="F1265" s="1" t="s">
        <v>18</v>
      </c>
      <c r="G1265" s="1">
        <v>3</v>
      </c>
      <c r="H1265" s="1" t="s">
        <v>16</v>
      </c>
      <c r="I1265" s="1" t="s">
        <v>16</v>
      </c>
      <c r="J1265" s="1" t="s">
        <v>16</v>
      </c>
      <c r="K1265" s="1" t="s">
        <v>17</v>
      </c>
      <c r="L1265" s="1" t="s">
        <v>17</v>
      </c>
      <c r="M1265" s="1" t="s">
        <v>17</v>
      </c>
      <c r="N1265" s="1" t="s">
        <v>16</v>
      </c>
    </row>
    <row r="1266" spans="1:14" x14ac:dyDescent="0.25">
      <c r="A1266" s="9">
        <v>44930</v>
      </c>
      <c r="B1266" s="1" t="s">
        <v>22</v>
      </c>
      <c r="C1266" s="1">
        <v>2</v>
      </c>
      <c r="D1266" s="1">
        <v>1</v>
      </c>
      <c r="E1266" s="5">
        <v>60.07</v>
      </c>
      <c r="F1266" s="1" t="s">
        <v>16</v>
      </c>
      <c r="G1266" s="1">
        <v>4</v>
      </c>
      <c r="H1266" s="1" t="s">
        <v>16</v>
      </c>
      <c r="I1266" s="1" t="s">
        <v>16</v>
      </c>
      <c r="J1266" s="1" t="s">
        <v>16</v>
      </c>
      <c r="K1266" s="1" t="s">
        <v>17</v>
      </c>
      <c r="L1266" s="1" t="s">
        <v>17</v>
      </c>
      <c r="M1266" s="1" t="s">
        <v>17</v>
      </c>
      <c r="N1266" s="1" t="s">
        <v>16</v>
      </c>
    </row>
    <row r="1267" spans="1:14" x14ac:dyDescent="0.25">
      <c r="A1267" s="9">
        <v>44930</v>
      </c>
      <c r="B1267" s="1" t="s">
        <v>22</v>
      </c>
      <c r="C1267" s="1">
        <v>3</v>
      </c>
      <c r="D1267" s="1">
        <v>1</v>
      </c>
      <c r="E1267" s="5">
        <v>52.48</v>
      </c>
      <c r="F1267" s="1" t="s">
        <v>16</v>
      </c>
      <c r="G1267" s="1">
        <v>4</v>
      </c>
      <c r="H1267" s="1" t="s">
        <v>16</v>
      </c>
      <c r="I1267" s="1" t="s">
        <v>16</v>
      </c>
      <c r="J1267" s="1" t="s">
        <v>16</v>
      </c>
      <c r="K1267" s="1" t="s">
        <v>17</v>
      </c>
      <c r="L1267" s="1" t="s">
        <v>17</v>
      </c>
      <c r="M1267" s="1" t="s">
        <v>17</v>
      </c>
      <c r="N1267" s="1" t="s">
        <v>16</v>
      </c>
    </row>
    <row r="1268" spans="1:14" x14ac:dyDescent="0.25">
      <c r="A1268" s="9">
        <v>44930</v>
      </c>
      <c r="B1268" s="1" t="s">
        <v>22</v>
      </c>
      <c r="C1268" s="1">
        <v>4</v>
      </c>
      <c r="D1268" s="1">
        <v>1</v>
      </c>
      <c r="E1268" s="5">
        <v>35.47</v>
      </c>
      <c r="F1268" s="1" t="s">
        <v>18</v>
      </c>
      <c r="G1268" s="1">
        <v>3</v>
      </c>
      <c r="H1268" s="1" t="s">
        <v>16</v>
      </c>
      <c r="I1268" s="1" t="s">
        <v>16</v>
      </c>
      <c r="J1268" s="1" t="s">
        <v>16</v>
      </c>
      <c r="K1268" s="1" t="s">
        <v>17</v>
      </c>
      <c r="L1268" s="1" t="s">
        <v>17</v>
      </c>
      <c r="M1268" s="1" t="s">
        <v>17</v>
      </c>
      <c r="N1268" s="1" t="s">
        <v>16</v>
      </c>
    </row>
    <row r="1269" spans="1:14" x14ac:dyDescent="0.25">
      <c r="A1269" s="9">
        <v>44930</v>
      </c>
      <c r="B1269" s="1" t="s">
        <v>22</v>
      </c>
      <c r="C1269" s="1">
        <v>5</v>
      </c>
      <c r="D1269" s="1">
        <v>1</v>
      </c>
      <c r="E1269" s="5">
        <v>40.42</v>
      </c>
      <c r="F1269" s="1" t="s">
        <v>16</v>
      </c>
      <c r="G1269" s="1">
        <v>4</v>
      </c>
      <c r="H1269" s="1" t="s">
        <v>16</v>
      </c>
      <c r="I1269" s="1" t="s">
        <v>16</v>
      </c>
      <c r="J1269" s="1" t="s">
        <v>16</v>
      </c>
      <c r="K1269" s="1" t="s">
        <v>21</v>
      </c>
      <c r="L1269" s="1" t="s">
        <v>17</v>
      </c>
      <c r="M1269" s="1" t="s">
        <v>17</v>
      </c>
      <c r="N1269" s="1" t="s">
        <v>16</v>
      </c>
    </row>
    <row r="1270" spans="1:14" x14ac:dyDescent="0.25">
      <c r="A1270" s="9">
        <v>44930</v>
      </c>
      <c r="B1270" s="1" t="s">
        <v>22</v>
      </c>
      <c r="C1270" s="1">
        <v>6</v>
      </c>
      <c r="D1270" s="1">
        <v>2</v>
      </c>
      <c r="E1270" s="5">
        <v>54.48</v>
      </c>
      <c r="F1270" s="1" t="s">
        <v>18</v>
      </c>
      <c r="G1270" s="1">
        <v>3</v>
      </c>
      <c r="H1270" s="1" t="s">
        <v>16</v>
      </c>
      <c r="I1270" s="1" t="s">
        <v>16</v>
      </c>
      <c r="J1270" s="1" t="s">
        <v>16</v>
      </c>
      <c r="K1270" s="1" t="s">
        <v>17</v>
      </c>
      <c r="L1270" s="1" t="s">
        <v>17</v>
      </c>
      <c r="M1270" s="1" t="s">
        <v>17</v>
      </c>
      <c r="N1270" s="1" t="s">
        <v>16</v>
      </c>
    </row>
    <row r="1271" spans="1:14" x14ac:dyDescent="0.25">
      <c r="A1271" s="9">
        <v>44930</v>
      </c>
      <c r="B1271" s="1" t="s">
        <v>22</v>
      </c>
      <c r="C1271" s="1">
        <v>7</v>
      </c>
      <c r="D1271" s="1">
        <v>2</v>
      </c>
      <c r="E1271" s="5">
        <v>54.49</v>
      </c>
      <c r="F1271" s="1" t="s">
        <v>18</v>
      </c>
      <c r="G1271" s="1">
        <v>1</v>
      </c>
      <c r="H1271" s="1" t="s">
        <v>16</v>
      </c>
      <c r="I1271" s="1" t="s">
        <v>16</v>
      </c>
      <c r="J1271" s="1" t="s">
        <v>16</v>
      </c>
      <c r="K1271" s="1" t="s">
        <v>17</v>
      </c>
      <c r="L1271" s="1" t="s">
        <v>17</v>
      </c>
      <c r="M1271" s="1" t="s">
        <v>17</v>
      </c>
      <c r="N1271" s="1" t="s">
        <v>16</v>
      </c>
    </row>
    <row r="1272" spans="1:14" x14ac:dyDescent="0.25">
      <c r="A1272" s="9">
        <v>44930</v>
      </c>
      <c r="B1272" s="1" t="s">
        <v>22</v>
      </c>
      <c r="C1272" s="1">
        <v>8</v>
      </c>
      <c r="D1272" s="1">
        <v>2</v>
      </c>
      <c r="E1272" s="5">
        <v>50.1</v>
      </c>
      <c r="F1272" s="1" t="s">
        <v>18</v>
      </c>
      <c r="G1272" s="1">
        <v>1</v>
      </c>
      <c r="H1272" s="1" t="s">
        <v>16</v>
      </c>
      <c r="I1272" s="1" t="s">
        <v>16</v>
      </c>
      <c r="J1272" s="1" t="s">
        <v>16</v>
      </c>
      <c r="K1272" s="1" t="s">
        <v>21</v>
      </c>
      <c r="L1272" s="1" t="s">
        <v>17</v>
      </c>
      <c r="M1272" s="1" t="s">
        <v>17</v>
      </c>
      <c r="N1272" s="1" t="s">
        <v>16</v>
      </c>
    </row>
    <row r="1273" spans="1:14" x14ac:dyDescent="0.25">
      <c r="A1273" s="9">
        <v>44930</v>
      </c>
      <c r="B1273" s="1" t="s">
        <v>22</v>
      </c>
      <c r="C1273" s="1">
        <v>9</v>
      </c>
      <c r="D1273" s="1">
        <v>2</v>
      </c>
      <c r="E1273" s="5">
        <v>44.99</v>
      </c>
      <c r="F1273" s="1" t="s">
        <v>16</v>
      </c>
      <c r="G1273" s="1">
        <v>4</v>
      </c>
      <c r="H1273" s="1" t="s">
        <v>16</v>
      </c>
      <c r="I1273" s="1" t="s">
        <v>16</v>
      </c>
      <c r="J1273" s="1" t="s">
        <v>16</v>
      </c>
      <c r="K1273" s="1" t="s">
        <v>17</v>
      </c>
      <c r="L1273" s="1" t="s">
        <v>17</v>
      </c>
      <c r="M1273" s="1" t="s">
        <v>17</v>
      </c>
      <c r="N1273" s="1" t="s">
        <v>16</v>
      </c>
    </row>
    <row r="1274" spans="1:14" x14ac:dyDescent="0.25">
      <c r="A1274" s="9">
        <v>44930</v>
      </c>
      <c r="B1274" s="1" t="s">
        <v>22</v>
      </c>
      <c r="C1274" s="1">
        <v>10</v>
      </c>
      <c r="D1274" s="1">
        <v>2</v>
      </c>
      <c r="E1274" s="5">
        <v>68.73</v>
      </c>
      <c r="F1274" s="1" t="s">
        <v>16</v>
      </c>
      <c r="G1274" s="1" t="s">
        <v>16</v>
      </c>
      <c r="H1274" s="1" t="s">
        <v>16</v>
      </c>
      <c r="I1274" s="1" t="s">
        <v>16</v>
      </c>
      <c r="J1274" s="1" t="s">
        <v>16</v>
      </c>
      <c r="K1274" s="1" t="s">
        <v>17</v>
      </c>
      <c r="L1274" s="1" t="s">
        <v>17</v>
      </c>
      <c r="M1274" s="1" t="s">
        <v>17</v>
      </c>
      <c r="N1274" s="1" t="s">
        <v>16</v>
      </c>
    </row>
    <row r="1275" spans="1:14" x14ac:dyDescent="0.25">
      <c r="A1275" s="9">
        <v>44930</v>
      </c>
      <c r="B1275" s="1" t="s">
        <v>22</v>
      </c>
      <c r="C1275" s="1">
        <v>11</v>
      </c>
      <c r="D1275" s="1">
        <v>3</v>
      </c>
      <c r="E1275" s="5">
        <v>69</v>
      </c>
      <c r="F1275" s="1" t="s">
        <v>16</v>
      </c>
      <c r="G1275" s="1" t="s">
        <v>16</v>
      </c>
      <c r="H1275" s="1" t="s">
        <v>16</v>
      </c>
      <c r="I1275" s="1" t="s">
        <v>16</v>
      </c>
      <c r="J1275" s="1" t="s">
        <v>16</v>
      </c>
      <c r="K1275" s="1" t="s">
        <v>17</v>
      </c>
      <c r="L1275" s="1" t="s">
        <v>17</v>
      </c>
      <c r="M1275" s="1" t="s">
        <v>17</v>
      </c>
      <c r="N1275" s="1" t="s">
        <v>16</v>
      </c>
    </row>
    <row r="1276" spans="1:14" x14ac:dyDescent="0.25">
      <c r="A1276" s="9">
        <v>44930</v>
      </c>
      <c r="B1276" s="1" t="s">
        <v>22</v>
      </c>
      <c r="C1276" s="1">
        <v>12</v>
      </c>
      <c r="D1276" s="1">
        <v>3</v>
      </c>
      <c r="E1276" s="5">
        <v>40.909999999999997</v>
      </c>
      <c r="F1276" s="1" t="s">
        <v>16</v>
      </c>
      <c r="G1276" s="1">
        <v>4</v>
      </c>
      <c r="H1276" s="1" t="s">
        <v>16</v>
      </c>
      <c r="I1276" s="1" t="s">
        <v>16</v>
      </c>
      <c r="J1276" s="1" t="s">
        <v>16</v>
      </c>
      <c r="K1276" s="1" t="s">
        <v>17</v>
      </c>
      <c r="L1276" s="1" t="s">
        <v>17</v>
      </c>
      <c r="M1276" s="1" t="s">
        <v>17</v>
      </c>
      <c r="N1276" s="1" t="s">
        <v>16</v>
      </c>
    </row>
    <row r="1277" spans="1:14" x14ac:dyDescent="0.25">
      <c r="A1277" s="9">
        <v>44930</v>
      </c>
      <c r="B1277" s="1" t="s">
        <v>22</v>
      </c>
      <c r="C1277" s="1">
        <v>13</v>
      </c>
      <c r="D1277" s="1">
        <v>3</v>
      </c>
      <c r="E1277" s="5">
        <v>35.79</v>
      </c>
      <c r="F1277" s="1" t="s">
        <v>18</v>
      </c>
      <c r="G1277" s="1">
        <v>2</v>
      </c>
      <c r="H1277" s="1" t="s">
        <v>16</v>
      </c>
      <c r="I1277" s="1" t="s">
        <v>16</v>
      </c>
      <c r="J1277" s="1" t="s">
        <v>16</v>
      </c>
      <c r="K1277" s="1" t="s">
        <v>17</v>
      </c>
      <c r="L1277" s="1" t="s">
        <v>17</v>
      </c>
      <c r="M1277" s="1" t="s">
        <v>17</v>
      </c>
      <c r="N1277" s="1" t="s">
        <v>16</v>
      </c>
    </row>
    <row r="1278" spans="1:14" x14ac:dyDescent="0.25">
      <c r="A1278" s="9">
        <v>44930</v>
      </c>
      <c r="B1278" s="1" t="s">
        <v>22</v>
      </c>
      <c r="C1278" s="1">
        <v>14</v>
      </c>
      <c r="D1278" s="1">
        <v>3</v>
      </c>
      <c r="E1278" s="5">
        <v>45.86</v>
      </c>
      <c r="F1278" s="1" t="s">
        <v>19</v>
      </c>
      <c r="G1278" s="1">
        <v>2</v>
      </c>
      <c r="H1278" s="1" t="s">
        <v>16</v>
      </c>
      <c r="I1278" s="1" t="s">
        <v>16</v>
      </c>
      <c r="J1278" s="1" t="s">
        <v>16</v>
      </c>
      <c r="K1278" s="1" t="s">
        <v>17</v>
      </c>
      <c r="L1278" s="1" t="s">
        <v>17</v>
      </c>
      <c r="M1278" s="1" t="s">
        <v>17</v>
      </c>
      <c r="N1278" s="1" t="s">
        <v>16</v>
      </c>
    </row>
    <row r="1279" spans="1:14" x14ac:dyDescent="0.25">
      <c r="A1279" s="9">
        <v>44930</v>
      </c>
      <c r="B1279" s="1" t="s">
        <v>22</v>
      </c>
      <c r="C1279" s="1">
        <v>15</v>
      </c>
      <c r="D1279" s="1">
        <v>3</v>
      </c>
      <c r="E1279" s="5">
        <v>53.16</v>
      </c>
      <c r="F1279" s="1" t="s">
        <v>18</v>
      </c>
      <c r="G1279" s="1">
        <v>1</v>
      </c>
      <c r="H1279" s="1" t="s">
        <v>16</v>
      </c>
      <c r="I1279" s="1" t="s">
        <v>16</v>
      </c>
      <c r="J1279" s="1" t="s">
        <v>16</v>
      </c>
      <c r="K1279" s="1" t="s">
        <v>17</v>
      </c>
      <c r="L1279" s="1" t="s">
        <v>17</v>
      </c>
      <c r="M1279" s="1" t="s">
        <v>17</v>
      </c>
      <c r="N1279" s="1" t="s">
        <v>16</v>
      </c>
    </row>
    <row r="1280" spans="1:14" x14ac:dyDescent="0.25">
      <c r="A1280" s="9">
        <v>44964</v>
      </c>
      <c r="B1280" s="1" t="s">
        <v>22</v>
      </c>
      <c r="C1280" s="1">
        <v>1</v>
      </c>
      <c r="D1280" s="1">
        <v>1</v>
      </c>
      <c r="E1280" s="5">
        <v>42.24</v>
      </c>
      <c r="F1280" s="1" t="s">
        <v>16</v>
      </c>
      <c r="G1280" s="1">
        <v>4</v>
      </c>
      <c r="H1280" s="1" t="s">
        <v>16</v>
      </c>
      <c r="I1280" s="1" t="s">
        <v>16</v>
      </c>
      <c r="J1280" s="1" t="s">
        <v>16</v>
      </c>
      <c r="K1280" s="1" t="s">
        <v>17</v>
      </c>
      <c r="L1280" s="1" t="s">
        <v>17</v>
      </c>
      <c r="M1280" s="1" t="s">
        <v>17</v>
      </c>
      <c r="N1280" s="1" t="s">
        <v>16</v>
      </c>
    </row>
    <row r="1281" spans="1:14" x14ac:dyDescent="0.25">
      <c r="A1281" s="9">
        <v>44964</v>
      </c>
      <c r="B1281" s="1" t="s">
        <v>22</v>
      </c>
      <c r="C1281" s="1">
        <v>2</v>
      </c>
      <c r="D1281" s="1">
        <v>1</v>
      </c>
      <c r="E1281" s="5">
        <v>46.67</v>
      </c>
      <c r="F1281" s="1" t="s">
        <v>16</v>
      </c>
      <c r="G1281" s="1">
        <v>4</v>
      </c>
      <c r="H1281" s="1" t="s">
        <v>16</v>
      </c>
      <c r="I1281" s="1" t="s">
        <v>16</v>
      </c>
      <c r="J1281" s="1" t="s">
        <v>16</v>
      </c>
      <c r="K1281" s="1" t="s">
        <v>17</v>
      </c>
      <c r="L1281" s="1" t="s">
        <v>17</v>
      </c>
      <c r="M1281" s="1" t="s">
        <v>17</v>
      </c>
      <c r="N1281" s="1" t="s">
        <v>16</v>
      </c>
    </row>
    <row r="1282" spans="1:14" x14ac:dyDescent="0.25">
      <c r="A1282" s="9">
        <v>44964</v>
      </c>
      <c r="B1282" s="1" t="s">
        <v>22</v>
      </c>
      <c r="C1282" s="1">
        <v>3</v>
      </c>
      <c r="D1282" s="1">
        <v>1</v>
      </c>
      <c r="E1282" s="5">
        <v>41.58</v>
      </c>
      <c r="F1282" s="1" t="s">
        <v>18</v>
      </c>
      <c r="G1282" s="1">
        <v>1</v>
      </c>
      <c r="H1282" s="1" t="s">
        <v>16</v>
      </c>
      <c r="I1282" s="1" t="s">
        <v>16</v>
      </c>
      <c r="J1282" s="1" t="s">
        <v>16</v>
      </c>
      <c r="K1282" s="1" t="s">
        <v>21</v>
      </c>
      <c r="L1282" s="1" t="s">
        <v>17</v>
      </c>
      <c r="M1282" s="1" t="s">
        <v>17</v>
      </c>
      <c r="N1282" s="1" t="s">
        <v>16</v>
      </c>
    </row>
    <row r="1283" spans="1:14" x14ac:dyDescent="0.25">
      <c r="A1283" s="9">
        <v>44964</v>
      </c>
      <c r="B1283" s="1" t="s">
        <v>22</v>
      </c>
      <c r="C1283" s="1">
        <v>4</v>
      </c>
      <c r="D1283" s="1">
        <v>1</v>
      </c>
      <c r="E1283" s="5">
        <v>49.73</v>
      </c>
      <c r="F1283" s="1" t="s">
        <v>18</v>
      </c>
      <c r="G1283" s="1">
        <v>1</v>
      </c>
      <c r="H1283" s="1" t="s">
        <v>16</v>
      </c>
      <c r="I1283" s="1" t="s">
        <v>16</v>
      </c>
      <c r="J1283" s="1" t="s">
        <v>16</v>
      </c>
      <c r="K1283" s="1" t="s">
        <v>17</v>
      </c>
      <c r="L1283" s="1" t="s">
        <v>17</v>
      </c>
      <c r="M1283" s="1" t="s">
        <v>17</v>
      </c>
      <c r="N1283" s="1" t="s">
        <v>16</v>
      </c>
    </row>
    <row r="1284" spans="1:14" x14ac:dyDescent="0.25">
      <c r="A1284" s="9">
        <v>44964</v>
      </c>
      <c r="B1284" s="1" t="s">
        <v>22</v>
      </c>
      <c r="C1284" s="1">
        <v>5</v>
      </c>
      <c r="D1284" s="1">
        <v>1</v>
      </c>
      <c r="E1284" s="5">
        <v>47.71</v>
      </c>
      <c r="F1284" s="1" t="s">
        <v>16</v>
      </c>
      <c r="G1284" s="1" t="s">
        <v>16</v>
      </c>
      <c r="H1284" s="1" t="s">
        <v>16</v>
      </c>
      <c r="I1284" s="1" t="s">
        <v>16</v>
      </c>
      <c r="J1284" s="1" t="s">
        <v>16</v>
      </c>
      <c r="K1284" s="1" t="s">
        <v>20</v>
      </c>
      <c r="L1284" s="1" t="s">
        <v>17</v>
      </c>
      <c r="M1284" s="1" t="s">
        <v>21</v>
      </c>
      <c r="N1284" s="1" t="s">
        <v>16</v>
      </c>
    </row>
    <row r="1285" spans="1:14" x14ac:dyDescent="0.25">
      <c r="A1285" s="9">
        <v>44964</v>
      </c>
      <c r="B1285" s="1" t="s">
        <v>22</v>
      </c>
      <c r="C1285" s="1">
        <v>6</v>
      </c>
      <c r="D1285" s="1">
        <v>2</v>
      </c>
      <c r="E1285" s="5">
        <v>66.62</v>
      </c>
      <c r="F1285" s="1" t="s">
        <v>16</v>
      </c>
      <c r="G1285" s="1" t="s">
        <v>16</v>
      </c>
      <c r="H1285" s="1" t="s">
        <v>16</v>
      </c>
      <c r="I1285" s="1" t="s">
        <v>16</v>
      </c>
      <c r="J1285" s="1" t="s">
        <v>16</v>
      </c>
      <c r="K1285" s="1" t="s">
        <v>17</v>
      </c>
      <c r="L1285" s="1" t="s">
        <v>17</v>
      </c>
      <c r="M1285" s="1" t="s">
        <v>21</v>
      </c>
      <c r="N1285" s="1" t="s">
        <v>16</v>
      </c>
    </row>
    <row r="1286" spans="1:14" x14ac:dyDescent="0.25">
      <c r="A1286" s="9">
        <v>44964</v>
      </c>
      <c r="B1286" s="1" t="s">
        <v>22</v>
      </c>
      <c r="C1286" s="1">
        <v>7</v>
      </c>
      <c r="D1286" s="1">
        <v>2</v>
      </c>
      <c r="E1286" s="5">
        <v>55.62</v>
      </c>
      <c r="F1286" s="1" t="s">
        <v>16</v>
      </c>
      <c r="G1286" s="1" t="s">
        <v>16</v>
      </c>
      <c r="H1286" s="1" t="s">
        <v>16</v>
      </c>
      <c r="I1286" s="1" t="s">
        <v>16</v>
      </c>
      <c r="J1286" s="1" t="s">
        <v>16</v>
      </c>
      <c r="K1286" s="1" t="s">
        <v>17</v>
      </c>
      <c r="L1286" s="1" t="s">
        <v>17</v>
      </c>
      <c r="M1286" s="1" t="s">
        <v>21</v>
      </c>
      <c r="N1286" s="1" t="s">
        <v>16</v>
      </c>
    </row>
    <row r="1287" spans="1:14" x14ac:dyDescent="0.25">
      <c r="A1287" s="9">
        <v>44964</v>
      </c>
      <c r="B1287" s="1" t="s">
        <v>22</v>
      </c>
      <c r="C1287" s="1">
        <v>8</v>
      </c>
      <c r="D1287" s="1">
        <v>2</v>
      </c>
      <c r="E1287" s="5">
        <v>57.71</v>
      </c>
      <c r="F1287" s="1" t="s">
        <v>16</v>
      </c>
      <c r="G1287" s="1" t="s">
        <v>16</v>
      </c>
      <c r="H1287" s="1" t="s">
        <v>16</v>
      </c>
      <c r="I1287" s="1" t="s">
        <v>16</v>
      </c>
      <c r="J1287" s="1" t="s">
        <v>16</v>
      </c>
      <c r="K1287" s="1" t="s">
        <v>17</v>
      </c>
      <c r="L1287" s="1" t="s">
        <v>17</v>
      </c>
      <c r="M1287" s="1" t="s">
        <v>21</v>
      </c>
      <c r="N1287" s="1" t="s">
        <v>16</v>
      </c>
    </row>
    <row r="1288" spans="1:14" x14ac:dyDescent="0.25">
      <c r="A1288" s="9">
        <v>44964</v>
      </c>
      <c r="B1288" s="1" t="s">
        <v>22</v>
      </c>
      <c r="C1288" s="1">
        <v>9</v>
      </c>
      <c r="D1288" s="1">
        <v>2</v>
      </c>
      <c r="E1288" s="5">
        <v>57.24</v>
      </c>
      <c r="F1288" s="1" t="s">
        <v>18</v>
      </c>
      <c r="G1288" s="1">
        <v>2</v>
      </c>
      <c r="H1288" s="1" t="s">
        <v>16</v>
      </c>
      <c r="I1288" s="1" t="s">
        <v>16</v>
      </c>
      <c r="J1288" s="1" t="s">
        <v>16</v>
      </c>
      <c r="K1288" s="1" t="s">
        <v>21</v>
      </c>
      <c r="L1288" s="1" t="s">
        <v>17</v>
      </c>
      <c r="M1288" s="1" t="s">
        <v>21</v>
      </c>
      <c r="N1288" s="1" t="s">
        <v>16</v>
      </c>
    </row>
    <row r="1289" spans="1:14" x14ac:dyDescent="0.25">
      <c r="A1289" s="9">
        <v>44964</v>
      </c>
      <c r="B1289" s="1" t="s">
        <v>22</v>
      </c>
      <c r="C1289" s="1">
        <v>10</v>
      </c>
      <c r="D1289" s="1">
        <v>2</v>
      </c>
      <c r="E1289" s="5">
        <v>53.88</v>
      </c>
      <c r="F1289" s="1" t="s">
        <v>16</v>
      </c>
      <c r="G1289" s="1" t="s">
        <v>16</v>
      </c>
      <c r="H1289" s="1" t="s">
        <v>16</v>
      </c>
      <c r="I1289" s="1" t="s">
        <v>16</v>
      </c>
      <c r="J1289" s="1" t="s">
        <v>16</v>
      </c>
      <c r="K1289" s="1" t="s">
        <v>17</v>
      </c>
      <c r="L1289" s="1" t="s">
        <v>17</v>
      </c>
      <c r="M1289" s="1" t="s">
        <v>17</v>
      </c>
      <c r="N1289" s="1" t="s">
        <v>16</v>
      </c>
    </row>
    <row r="1290" spans="1:14" x14ac:dyDescent="0.25">
      <c r="A1290" s="9">
        <v>44964</v>
      </c>
      <c r="B1290" s="1" t="s">
        <v>22</v>
      </c>
      <c r="C1290" s="1">
        <v>11</v>
      </c>
      <c r="D1290" s="1">
        <v>3</v>
      </c>
      <c r="E1290" s="5">
        <v>51.17</v>
      </c>
      <c r="F1290" s="1" t="s">
        <v>18</v>
      </c>
      <c r="G1290" s="1">
        <v>1</v>
      </c>
      <c r="H1290" s="1" t="s">
        <v>16</v>
      </c>
      <c r="I1290" s="1" t="s">
        <v>16</v>
      </c>
      <c r="J1290" s="1" t="s">
        <v>16</v>
      </c>
      <c r="K1290" s="1" t="s">
        <v>17</v>
      </c>
      <c r="L1290" s="1" t="s">
        <v>17</v>
      </c>
      <c r="M1290" s="1" t="s">
        <v>17</v>
      </c>
      <c r="N1290" s="1" t="s">
        <v>16</v>
      </c>
    </row>
    <row r="1291" spans="1:14" x14ac:dyDescent="0.25">
      <c r="A1291" s="9">
        <v>44964</v>
      </c>
      <c r="B1291" s="1" t="s">
        <v>22</v>
      </c>
      <c r="C1291" s="1">
        <v>12</v>
      </c>
      <c r="D1291" s="1">
        <v>3</v>
      </c>
      <c r="E1291" s="5">
        <v>35.5</v>
      </c>
      <c r="F1291" s="1" t="s">
        <v>19</v>
      </c>
      <c r="G1291" s="1">
        <v>2</v>
      </c>
      <c r="H1291" s="1" t="s">
        <v>16</v>
      </c>
      <c r="I1291" s="1" t="s">
        <v>16</v>
      </c>
      <c r="J1291" s="1" t="s">
        <v>16</v>
      </c>
      <c r="K1291" s="1" t="s">
        <v>17</v>
      </c>
      <c r="L1291" s="1" t="s">
        <v>17</v>
      </c>
      <c r="M1291" s="1" t="s">
        <v>17</v>
      </c>
      <c r="N1291" s="1" t="s">
        <v>16</v>
      </c>
    </row>
    <row r="1292" spans="1:14" x14ac:dyDescent="0.25">
      <c r="A1292" s="9">
        <v>44964</v>
      </c>
      <c r="B1292" s="1" t="s">
        <v>22</v>
      </c>
      <c r="C1292" s="1">
        <v>13</v>
      </c>
      <c r="D1292" s="1">
        <v>3</v>
      </c>
      <c r="E1292" s="5">
        <v>41.91</v>
      </c>
      <c r="F1292" s="1" t="s">
        <v>18</v>
      </c>
      <c r="G1292" s="1">
        <v>1</v>
      </c>
      <c r="H1292" s="1" t="s">
        <v>16</v>
      </c>
      <c r="I1292" s="1" t="s">
        <v>16</v>
      </c>
      <c r="J1292" s="1" t="s">
        <v>16</v>
      </c>
      <c r="K1292" s="1" t="s">
        <v>17</v>
      </c>
      <c r="L1292" s="1" t="s">
        <v>17</v>
      </c>
      <c r="M1292" s="1" t="s">
        <v>21</v>
      </c>
      <c r="N1292" s="1" t="s">
        <v>16</v>
      </c>
    </row>
    <row r="1293" spans="1:14" x14ac:dyDescent="0.25">
      <c r="A1293" s="9">
        <v>44964</v>
      </c>
      <c r="B1293" s="1" t="s">
        <v>22</v>
      </c>
      <c r="C1293" s="1">
        <v>14</v>
      </c>
      <c r="D1293" s="1">
        <v>3</v>
      </c>
      <c r="E1293" s="5">
        <v>46.65</v>
      </c>
      <c r="F1293" s="1" t="s">
        <v>18</v>
      </c>
      <c r="G1293" s="1">
        <v>2</v>
      </c>
      <c r="H1293" s="1" t="s">
        <v>16</v>
      </c>
      <c r="I1293" s="1" t="s">
        <v>16</v>
      </c>
      <c r="J1293" s="1" t="s">
        <v>16</v>
      </c>
      <c r="K1293" s="1" t="s">
        <v>17</v>
      </c>
      <c r="L1293" s="1" t="s">
        <v>17</v>
      </c>
      <c r="M1293" s="1" t="s">
        <v>17</v>
      </c>
      <c r="N1293" s="1" t="s">
        <v>16</v>
      </c>
    </row>
    <row r="1294" spans="1:14" x14ac:dyDescent="0.25">
      <c r="A1294" s="9">
        <v>44964</v>
      </c>
      <c r="B1294" s="1" t="s">
        <v>22</v>
      </c>
      <c r="C1294" s="1">
        <v>15</v>
      </c>
      <c r="D1294" s="1">
        <v>3</v>
      </c>
      <c r="E1294" s="5">
        <v>49.19</v>
      </c>
      <c r="F1294" s="1" t="s">
        <v>18</v>
      </c>
      <c r="G1294" s="1">
        <v>2</v>
      </c>
      <c r="H1294" s="1" t="s">
        <v>16</v>
      </c>
      <c r="I1294" s="1" t="s">
        <v>16</v>
      </c>
      <c r="J1294" s="1" t="s">
        <v>16</v>
      </c>
      <c r="K1294" s="1" t="s">
        <v>17</v>
      </c>
      <c r="L1294" s="1" t="s">
        <v>17</v>
      </c>
      <c r="M1294" s="1" t="s">
        <v>17</v>
      </c>
      <c r="N1294" s="1" t="s">
        <v>16</v>
      </c>
    </row>
    <row r="1295" spans="1:14" x14ac:dyDescent="0.25">
      <c r="A1295" s="9">
        <v>44993</v>
      </c>
      <c r="B1295" s="1" t="s">
        <v>22</v>
      </c>
      <c r="C1295" s="1">
        <v>1</v>
      </c>
      <c r="D1295" s="1">
        <v>1</v>
      </c>
      <c r="E1295" s="5">
        <v>50.09</v>
      </c>
      <c r="F1295" s="1" t="s">
        <v>18</v>
      </c>
      <c r="G1295" s="1">
        <v>1</v>
      </c>
      <c r="H1295" s="1" t="s">
        <v>16</v>
      </c>
      <c r="I1295" s="1" t="s">
        <v>16</v>
      </c>
      <c r="J1295" s="1" t="s">
        <v>16</v>
      </c>
      <c r="K1295" s="1" t="s">
        <v>17</v>
      </c>
      <c r="L1295" s="1" t="s">
        <v>17</v>
      </c>
      <c r="M1295" s="1" t="s">
        <v>17</v>
      </c>
      <c r="N1295" s="1" t="s">
        <v>16</v>
      </c>
    </row>
    <row r="1296" spans="1:14" x14ac:dyDescent="0.25">
      <c r="A1296" s="9">
        <v>44993</v>
      </c>
      <c r="B1296" s="1" t="s">
        <v>22</v>
      </c>
      <c r="C1296" s="1">
        <v>2</v>
      </c>
      <c r="D1296" s="1">
        <v>1</v>
      </c>
      <c r="E1296" s="5">
        <v>56.7</v>
      </c>
      <c r="F1296" s="1" t="s">
        <v>18</v>
      </c>
      <c r="G1296" s="1">
        <v>2</v>
      </c>
      <c r="H1296" s="1" t="s">
        <v>16</v>
      </c>
      <c r="I1296" s="1" t="s">
        <v>16</v>
      </c>
      <c r="J1296" s="1" t="s">
        <v>16</v>
      </c>
      <c r="K1296" s="1" t="s">
        <v>17</v>
      </c>
      <c r="L1296" s="1" t="s">
        <v>17</v>
      </c>
      <c r="M1296" s="1" t="s">
        <v>17</v>
      </c>
      <c r="N1296" s="1" t="s">
        <v>16</v>
      </c>
    </row>
    <row r="1297" spans="1:14" x14ac:dyDescent="0.25">
      <c r="A1297" s="9">
        <v>44993</v>
      </c>
      <c r="B1297" s="1" t="s">
        <v>22</v>
      </c>
      <c r="C1297" s="1">
        <v>3</v>
      </c>
      <c r="D1297" s="1">
        <v>1</v>
      </c>
      <c r="E1297" s="5">
        <v>44.01</v>
      </c>
      <c r="F1297" s="1" t="s">
        <v>18</v>
      </c>
      <c r="G1297" s="1">
        <v>1</v>
      </c>
      <c r="H1297" s="1" t="s">
        <v>16</v>
      </c>
      <c r="I1297" s="1" t="s">
        <v>16</v>
      </c>
      <c r="J1297" s="1" t="s">
        <v>16</v>
      </c>
      <c r="K1297" s="1" t="s">
        <v>17</v>
      </c>
      <c r="L1297" s="1" t="s">
        <v>17</v>
      </c>
      <c r="M1297" s="1" t="s">
        <v>17</v>
      </c>
      <c r="N1297" s="1" t="s">
        <v>16</v>
      </c>
    </row>
    <row r="1298" spans="1:14" x14ac:dyDescent="0.25">
      <c r="A1298" s="9">
        <v>44993</v>
      </c>
      <c r="B1298" s="1" t="s">
        <v>22</v>
      </c>
      <c r="C1298" s="1">
        <v>4</v>
      </c>
      <c r="D1298" s="1">
        <v>1</v>
      </c>
      <c r="E1298" s="5">
        <v>52.35</v>
      </c>
      <c r="F1298" s="1" t="s">
        <v>18</v>
      </c>
      <c r="G1298" s="1">
        <v>2</v>
      </c>
      <c r="H1298" s="1" t="s">
        <v>16</v>
      </c>
      <c r="I1298" s="1" t="s">
        <v>16</v>
      </c>
      <c r="J1298" s="1" t="s">
        <v>16</v>
      </c>
      <c r="K1298" s="1" t="s">
        <v>17</v>
      </c>
      <c r="L1298" s="1" t="s">
        <v>17</v>
      </c>
      <c r="M1298" s="1" t="s">
        <v>17</v>
      </c>
      <c r="N1298" s="1" t="s">
        <v>16</v>
      </c>
    </row>
    <row r="1299" spans="1:14" x14ac:dyDescent="0.25">
      <c r="A1299" s="9">
        <v>44993</v>
      </c>
      <c r="B1299" s="1" t="s">
        <v>22</v>
      </c>
      <c r="C1299" s="1">
        <v>5</v>
      </c>
      <c r="D1299" s="1">
        <v>1</v>
      </c>
      <c r="E1299" s="5">
        <v>48.13</v>
      </c>
      <c r="F1299" s="1" t="s">
        <v>19</v>
      </c>
      <c r="G1299" s="1">
        <v>2</v>
      </c>
      <c r="H1299" s="1" t="s">
        <v>16</v>
      </c>
      <c r="I1299" s="1" t="s">
        <v>16</v>
      </c>
      <c r="J1299" s="1" t="s">
        <v>16</v>
      </c>
      <c r="K1299" s="1" t="s">
        <v>17</v>
      </c>
      <c r="L1299" s="1" t="s">
        <v>17</v>
      </c>
      <c r="M1299" s="1" t="s">
        <v>17</v>
      </c>
      <c r="N1299" s="1" t="s">
        <v>16</v>
      </c>
    </row>
    <row r="1300" spans="1:14" x14ac:dyDescent="0.25">
      <c r="A1300" s="9">
        <v>44993</v>
      </c>
      <c r="B1300" s="1" t="s">
        <v>22</v>
      </c>
      <c r="C1300" s="1">
        <v>6</v>
      </c>
      <c r="D1300" s="1">
        <v>2</v>
      </c>
      <c r="E1300" s="5">
        <v>48.84</v>
      </c>
      <c r="F1300" s="1" t="s">
        <v>19</v>
      </c>
      <c r="G1300" s="1">
        <v>2</v>
      </c>
      <c r="H1300" s="1" t="s">
        <v>16</v>
      </c>
      <c r="I1300" s="1" t="s">
        <v>16</v>
      </c>
      <c r="J1300" s="1" t="s">
        <v>16</v>
      </c>
      <c r="K1300" s="1" t="s">
        <v>17</v>
      </c>
      <c r="L1300" s="1" t="s">
        <v>17</v>
      </c>
      <c r="M1300" s="1" t="s">
        <v>17</v>
      </c>
      <c r="N1300" s="1" t="s">
        <v>16</v>
      </c>
    </row>
    <row r="1301" spans="1:14" x14ac:dyDescent="0.25">
      <c r="A1301" s="9">
        <v>44993</v>
      </c>
      <c r="B1301" s="1" t="s">
        <v>22</v>
      </c>
      <c r="C1301" s="1">
        <v>7</v>
      </c>
      <c r="D1301" s="1">
        <v>2</v>
      </c>
      <c r="E1301" s="5">
        <v>40.06</v>
      </c>
      <c r="F1301" s="1" t="s">
        <v>19</v>
      </c>
      <c r="G1301" s="1">
        <v>2</v>
      </c>
      <c r="H1301" s="1" t="s">
        <v>16</v>
      </c>
      <c r="I1301" s="1" t="s">
        <v>16</v>
      </c>
      <c r="J1301" s="1" t="s">
        <v>16</v>
      </c>
      <c r="K1301" s="1" t="s">
        <v>17</v>
      </c>
      <c r="L1301" s="1" t="s">
        <v>17</v>
      </c>
      <c r="M1301" s="1" t="s">
        <v>17</v>
      </c>
      <c r="N1301" s="1" t="s">
        <v>16</v>
      </c>
    </row>
    <row r="1302" spans="1:14" x14ac:dyDescent="0.25">
      <c r="A1302" s="9">
        <v>44993</v>
      </c>
      <c r="B1302" s="1" t="s">
        <v>22</v>
      </c>
      <c r="C1302" s="1">
        <v>8</v>
      </c>
      <c r="D1302" s="1">
        <v>2</v>
      </c>
      <c r="E1302" s="5">
        <v>49.24</v>
      </c>
      <c r="F1302" s="1" t="s">
        <v>18</v>
      </c>
      <c r="G1302" s="1">
        <v>2</v>
      </c>
      <c r="H1302" s="1" t="s">
        <v>16</v>
      </c>
      <c r="I1302" s="1" t="s">
        <v>16</v>
      </c>
      <c r="J1302" s="1" t="s">
        <v>16</v>
      </c>
      <c r="K1302" s="1" t="s">
        <v>17</v>
      </c>
      <c r="L1302" s="1" t="s">
        <v>17</v>
      </c>
      <c r="M1302" s="1" t="s">
        <v>17</v>
      </c>
      <c r="N1302" s="1" t="s">
        <v>16</v>
      </c>
    </row>
    <row r="1303" spans="1:14" x14ac:dyDescent="0.25">
      <c r="A1303" s="9">
        <v>44993</v>
      </c>
      <c r="B1303" s="1" t="s">
        <v>22</v>
      </c>
      <c r="C1303" s="1">
        <v>9</v>
      </c>
      <c r="D1303" s="1">
        <v>2</v>
      </c>
      <c r="E1303" s="5">
        <v>63.69</v>
      </c>
      <c r="F1303" s="1" t="s">
        <v>19</v>
      </c>
      <c r="G1303" s="1">
        <v>2</v>
      </c>
      <c r="H1303" s="1" t="s">
        <v>16</v>
      </c>
      <c r="I1303" s="1" t="s">
        <v>16</v>
      </c>
      <c r="J1303" s="1" t="s">
        <v>16</v>
      </c>
      <c r="K1303" s="1" t="s">
        <v>17</v>
      </c>
      <c r="L1303" s="1" t="s">
        <v>17</v>
      </c>
      <c r="M1303" s="1" t="s">
        <v>17</v>
      </c>
      <c r="N1303" s="1" t="s">
        <v>16</v>
      </c>
    </row>
    <row r="1304" spans="1:14" x14ac:dyDescent="0.25">
      <c r="A1304" s="9">
        <v>44993</v>
      </c>
      <c r="B1304" s="1" t="s">
        <v>22</v>
      </c>
      <c r="C1304" s="1">
        <v>10</v>
      </c>
      <c r="D1304" s="1">
        <v>2</v>
      </c>
      <c r="E1304" s="5">
        <v>43.52</v>
      </c>
      <c r="F1304" s="1" t="s">
        <v>19</v>
      </c>
      <c r="G1304" s="1">
        <v>2</v>
      </c>
      <c r="H1304" s="1" t="s">
        <v>16</v>
      </c>
      <c r="I1304" s="1" t="s">
        <v>16</v>
      </c>
      <c r="J1304" s="1" t="s">
        <v>16</v>
      </c>
      <c r="K1304" s="1" t="s">
        <v>17</v>
      </c>
      <c r="L1304" s="1" t="s">
        <v>17</v>
      </c>
      <c r="M1304" s="1" t="s">
        <v>17</v>
      </c>
      <c r="N1304" s="1" t="s">
        <v>16</v>
      </c>
    </row>
    <row r="1305" spans="1:14" x14ac:dyDescent="0.25">
      <c r="A1305" s="9">
        <v>44993</v>
      </c>
      <c r="B1305" s="1" t="s">
        <v>22</v>
      </c>
      <c r="C1305" s="1">
        <v>11</v>
      </c>
      <c r="D1305" s="1">
        <v>3</v>
      </c>
      <c r="E1305" s="5">
        <v>60.05</v>
      </c>
      <c r="F1305" s="1" t="s">
        <v>18</v>
      </c>
      <c r="G1305" s="1">
        <v>2</v>
      </c>
      <c r="H1305" s="1" t="s">
        <v>16</v>
      </c>
      <c r="I1305" s="1" t="s">
        <v>16</v>
      </c>
      <c r="J1305" s="1" t="s">
        <v>16</v>
      </c>
      <c r="K1305" s="1" t="s">
        <v>17</v>
      </c>
      <c r="L1305" s="1" t="s">
        <v>17</v>
      </c>
      <c r="M1305" s="1" t="s">
        <v>17</v>
      </c>
      <c r="N1305" s="1" t="s">
        <v>16</v>
      </c>
    </row>
    <row r="1306" spans="1:14" x14ac:dyDescent="0.25">
      <c r="A1306" s="9">
        <v>44993</v>
      </c>
      <c r="B1306" s="1" t="s">
        <v>22</v>
      </c>
      <c r="C1306" s="1">
        <v>12</v>
      </c>
      <c r="D1306" s="1">
        <v>3</v>
      </c>
      <c r="E1306" s="5">
        <v>65.67</v>
      </c>
      <c r="F1306" s="1" t="s">
        <v>18</v>
      </c>
      <c r="G1306" s="1">
        <v>2</v>
      </c>
      <c r="H1306" s="1" t="s">
        <v>16</v>
      </c>
      <c r="I1306" s="1" t="s">
        <v>16</v>
      </c>
      <c r="J1306" s="1" t="s">
        <v>16</v>
      </c>
      <c r="K1306" s="1" t="s">
        <v>17</v>
      </c>
      <c r="L1306" s="1" t="s">
        <v>17</v>
      </c>
      <c r="M1306" s="1" t="s">
        <v>17</v>
      </c>
      <c r="N1306" s="1" t="s">
        <v>16</v>
      </c>
    </row>
    <row r="1307" spans="1:14" x14ac:dyDescent="0.25">
      <c r="A1307" s="9">
        <v>44993</v>
      </c>
      <c r="B1307" s="1" t="s">
        <v>22</v>
      </c>
      <c r="C1307" s="1">
        <v>13</v>
      </c>
      <c r="D1307" s="1">
        <v>3</v>
      </c>
      <c r="E1307" s="5">
        <v>53.07</v>
      </c>
      <c r="F1307" s="1" t="s">
        <v>19</v>
      </c>
      <c r="G1307" s="1">
        <v>2</v>
      </c>
      <c r="H1307" s="1" t="s">
        <v>16</v>
      </c>
      <c r="I1307" s="1" t="s">
        <v>16</v>
      </c>
      <c r="J1307" s="1" t="s">
        <v>16</v>
      </c>
      <c r="K1307" s="1" t="s">
        <v>17</v>
      </c>
      <c r="L1307" s="1" t="s">
        <v>17</v>
      </c>
      <c r="M1307" s="1" t="s">
        <v>17</v>
      </c>
      <c r="N1307" s="1" t="s">
        <v>16</v>
      </c>
    </row>
    <row r="1308" spans="1:14" x14ac:dyDescent="0.25">
      <c r="A1308" s="9">
        <v>44993</v>
      </c>
      <c r="B1308" s="1" t="s">
        <v>22</v>
      </c>
      <c r="C1308" s="1">
        <v>14</v>
      </c>
      <c r="D1308" s="1">
        <v>3</v>
      </c>
      <c r="E1308" s="5">
        <v>59.04</v>
      </c>
      <c r="F1308" s="1" t="s">
        <v>18</v>
      </c>
      <c r="G1308" s="1">
        <v>2</v>
      </c>
      <c r="H1308" s="1" t="s">
        <v>16</v>
      </c>
      <c r="I1308" s="1" t="s">
        <v>16</v>
      </c>
      <c r="J1308" s="1" t="s">
        <v>16</v>
      </c>
      <c r="K1308" s="1" t="s">
        <v>17</v>
      </c>
      <c r="L1308" s="1" t="s">
        <v>17</v>
      </c>
      <c r="M1308" s="1" t="s">
        <v>17</v>
      </c>
      <c r="N1308" s="1" t="s">
        <v>16</v>
      </c>
    </row>
    <row r="1309" spans="1:14" x14ac:dyDescent="0.25">
      <c r="A1309" s="9">
        <v>44993</v>
      </c>
      <c r="B1309" s="1" t="s">
        <v>22</v>
      </c>
      <c r="C1309" s="1">
        <v>15</v>
      </c>
      <c r="D1309" s="1">
        <v>3</v>
      </c>
      <c r="E1309" s="5">
        <v>32.99</v>
      </c>
      <c r="F1309" s="1" t="s">
        <v>19</v>
      </c>
      <c r="G1309" s="1">
        <v>2</v>
      </c>
      <c r="H1309" s="1" t="s">
        <v>16</v>
      </c>
      <c r="I1309" s="1" t="s">
        <v>16</v>
      </c>
      <c r="J1309" s="1" t="s">
        <v>16</v>
      </c>
      <c r="K1309" s="1" t="s">
        <v>17</v>
      </c>
      <c r="L1309" s="1" t="s">
        <v>17</v>
      </c>
      <c r="M1309" s="1" t="s">
        <v>17</v>
      </c>
      <c r="N1309" s="1" t="s">
        <v>16</v>
      </c>
    </row>
    <row r="1310" spans="1:14" x14ac:dyDescent="0.25">
      <c r="A1310" s="9">
        <v>45020</v>
      </c>
      <c r="B1310" s="1" t="s">
        <v>22</v>
      </c>
      <c r="C1310" s="1">
        <v>1</v>
      </c>
      <c r="D1310" s="1">
        <v>1</v>
      </c>
      <c r="E1310" s="5">
        <v>29.29</v>
      </c>
      <c r="F1310" s="1" t="s">
        <v>16</v>
      </c>
      <c r="G1310" s="1">
        <v>4</v>
      </c>
      <c r="H1310" s="1" t="s">
        <v>16</v>
      </c>
      <c r="I1310" s="1" t="s">
        <v>16</v>
      </c>
      <c r="J1310" s="1" t="s">
        <v>16</v>
      </c>
      <c r="K1310" s="1" t="s">
        <v>17</v>
      </c>
      <c r="L1310" s="1" t="s">
        <v>17</v>
      </c>
      <c r="M1310" s="1" t="s">
        <v>17</v>
      </c>
      <c r="N1310" s="1" t="s">
        <v>16</v>
      </c>
    </row>
    <row r="1311" spans="1:14" x14ac:dyDescent="0.25">
      <c r="A1311" s="9">
        <v>45020</v>
      </c>
      <c r="B1311" s="1" t="s">
        <v>22</v>
      </c>
      <c r="C1311" s="1">
        <v>2</v>
      </c>
      <c r="D1311" s="1">
        <v>1</v>
      </c>
      <c r="E1311" s="5">
        <v>44.88</v>
      </c>
      <c r="F1311" s="1" t="s">
        <v>18</v>
      </c>
      <c r="G1311" s="1">
        <v>2</v>
      </c>
      <c r="H1311" s="1" t="s">
        <v>16</v>
      </c>
      <c r="I1311" s="1" t="s">
        <v>16</v>
      </c>
      <c r="J1311" s="1" t="s">
        <v>16</v>
      </c>
      <c r="K1311" s="1" t="s">
        <v>21</v>
      </c>
      <c r="L1311" s="1" t="s">
        <v>17</v>
      </c>
      <c r="M1311" s="1" t="s">
        <v>17</v>
      </c>
      <c r="N1311" s="1" t="s">
        <v>16</v>
      </c>
    </row>
    <row r="1312" spans="1:14" x14ac:dyDescent="0.25">
      <c r="A1312" s="9">
        <v>45020</v>
      </c>
      <c r="B1312" s="1" t="s">
        <v>22</v>
      </c>
      <c r="C1312" s="1">
        <v>3</v>
      </c>
      <c r="D1312" s="1">
        <v>1</v>
      </c>
      <c r="E1312" s="5">
        <v>46.37</v>
      </c>
      <c r="F1312" s="1" t="s">
        <v>18</v>
      </c>
      <c r="G1312" s="1">
        <v>2</v>
      </c>
      <c r="H1312" s="1" t="s">
        <v>16</v>
      </c>
      <c r="I1312" s="1" t="s">
        <v>16</v>
      </c>
      <c r="J1312" s="1" t="s">
        <v>16</v>
      </c>
      <c r="K1312" s="1" t="s">
        <v>17</v>
      </c>
      <c r="L1312" s="1" t="s">
        <v>17</v>
      </c>
      <c r="M1312" s="1" t="s">
        <v>17</v>
      </c>
      <c r="N1312" s="1" t="s">
        <v>16</v>
      </c>
    </row>
    <row r="1313" spans="1:14" x14ac:dyDescent="0.25">
      <c r="A1313" s="9">
        <v>45020</v>
      </c>
      <c r="B1313" s="1" t="s">
        <v>22</v>
      </c>
      <c r="C1313" s="1">
        <v>4</v>
      </c>
      <c r="D1313" s="1">
        <v>1</v>
      </c>
      <c r="E1313" s="5">
        <v>56.57</v>
      </c>
      <c r="F1313" s="1" t="s">
        <v>18</v>
      </c>
      <c r="G1313" s="1">
        <v>2</v>
      </c>
      <c r="H1313" s="1" t="s">
        <v>16</v>
      </c>
      <c r="I1313" s="1" t="s">
        <v>16</v>
      </c>
      <c r="J1313" s="1" t="s">
        <v>16</v>
      </c>
      <c r="K1313" s="1" t="s">
        <v>17</v>
      </c>
      <c r="L1313" s="1" t="s">
        <v>17</v>
      </c>
      <c r="M1313" s="1" t="s">
        <v>17</v>
      </c>
      <c r="N1313" s="1" t="s">
        <v>16</v>
      </c>
    </row>
    <row r="1314" spans="1:14" x14ac:dyDescent="0.25">
      <c r="A1314" s="9">
        <v>45020</v>
      </c>
      <c r="B1314" s="1" t="s">
        <v>22</v>
      </c>
      <c r="C1314" s="1">
        <v>5</v>
      </c>
      <c r="D1314" s="1">
        <v>1</v>
      </c>
      <c r="E1314" s="5">
        <v>48.72</v>
      </c>
      <c r="F1314" s="1" t="s">
        <v>18</v>
      </c>
      <c r="G1314" s="1">
        <v>2</v>
      </c>
      <c r="H1314" s="1" t="s">
        <v>16</v>
      </c>
      <c r="I1314" s="1" t="s">
        <v>16</v>
      </c>
      <c r="J1314" s="1" t="s">
        <v>16</v>
      </c>
      <c r="K1314" s="1" t="s">
        <v>17</v>
      </c>
      <c r="L1314" s="1" t="s">
        <v>17</v>
      </c>
      <c r="M1314" s="1" t="s">
        <v>17</v>
      </c>
      <c r="N1314" s="1" t="s">
        <v>16</v>
      </c>
    </row>
    <row r="1315" spans="1:14" x14ac:dyDescent="0.25">
      <c r="A1315" s="9">
        <v>45020</v>
      </c>
      <c r="B1315" s="1" t="s">
        <v>22</v>
      </c>
      <c r="C1315" s="1">
        <v>6</v>
      </c>
      <c r="D1315" s="1">
        <v>2</v>
      </c>
      <c r="E1315" s="5">
        <v>43.57</v>
      </c>
      <c r="F1315" s="1" t="s">
        <v>18</v>
      </c>
      <c r="G1315" s="1">
        <v>2</v>
      </c>
      <c r="H1315" s="1" t="s">
        <v>16</v>
      </c>
      <c r="I1315" s="1" t="s">
        <v>16</v>
      </c>
      <c r="J1315" s="1" t="s">
        <v>16</v>
      </c>
      <c r="K1315" s="1" t="s">
        <v>17</v>
      </c>
      <c r="L1315" s="1" t="s">
        <v>17</v>
      </c>
      <c r="M1315" s="1" t="s">
        <v>17</v>
      </c>
      <c r="N1315" s="1" t="s">
        <v>16</v>
      </c>
    </row>
    <row r="1316" spans="1:14" x14ac:dyDescent="0.25">
      <c r="A1316" s="9">
        <v>45020</v>
      </c>
      <c r="B1316" s="1" t="s">
        <v>22</v>
      </c>
      <c r="C1316" s="1">
        <v>7</v>
      </c>
      <c r="D1316" s="1">
        <v>2</v>
      </c>
      <c r="E1316" s="5">
        <v>41.02</v>
      </c>
      <c r="F1316" s="1" t="s">
        <v>19</v>
      </c>
      <c r="G1316" s="1">
        <v>2</v>
      </c>
      <c r="H1316" s="1" t="s">
        <v>16</v>
      </c>
      <c r="I1316" s="1" t="s">
        <v>16</v>
      </c>
      <c r="J1316" s="1" t="s">
        <v>16</v>
      </c>
      <c r="K1316" s="1" t="s">
        <v>21</v>
      </c>
      <c r="L1316" s="1" t="s">
        <v>17</v>
      </c>
      <c r="M1316" s="1" t="s">
        <v>17</v>
      </c>
      <c r="N1316" s="1" t="s">
        <v>16</v>
      </c>
    </row>
    <row r="1317" spans="1:14" x14ac:dyDescent="0.25">
      <c r="A1317" s="9">
        <v>45020</v>
      </c>
      <c r="B1317" s="1" t="s">
        <v>22</v>
      </c>
      <c r="C1317" s="1">
        <v>8</v>
      </c>
      <c r="D1317" s="1">
        <v>2</v>
      </c>
      <c r="E1317" s="5">
        <v>69.34</v>
      </c>
      <c r="F1317" s="1" t="s">
        <v>19</v>
      </c>
      <c r="G1317" s="1">
        <v>2</v>
      </c>
      <c r="H1317" s="1" t="s">
        <v>16</v>
      </c>
      <c r="I1317" s="1" t="s">
        <v>16</v>
      </c>
      <c r="J1317" s="1" t="s">
        <v>16</v>
      </c>
      <c r="K1317" s="1" t="s">
        <v>17</v>
      </c>
      <c r="L1317" s="1" t="s">
        <v>17</v>
      </c>
      <c r="M1317" s="1" t="s">
        <v>17</v>
      </c>
      <c r="N1317" s="1" t="s">
        <v>16</v>
      </c>
    </row>
    <row r="1318" spans="1:14" x14ac:dyDescent="0.25">
      <c r="A1318" s="9">
        <v>45020</v>
      </c>
      <c r="B1318" s="1" t="s">
        <v>22</v>
      </c>
      <c r="C1318" s="1">
        <v>9</v>
      </c>
      <c r="D1318" s="1">
        <v>2</v>
      </c>
      <c r="E1318" s="5">
        <v>55.07</v>
      </c>
      <c r="F1318" s="1" t="s">
        <v>18</v>
      </c>
      <c r="G1318" s="1">
        <v>2</v>
      </c>
      <c r="H1318" s="1" t="s">
        <v>16</v>
      </c>
      <c r="I1318" s="1" t="s">
        <v>16</v>
      </c>
      <c r="J1318" s="1" t="s">
        <v>16</v>
      </c>
      <c r="K1318" s="1" t="s">
        <v>17</v>
      </c>
      <c r="L1318" s="1" t="s">
        <v>17</v>
      </c>
      <c r="M1318" s="1" t="s">
        <v>17</v>
      </c>
      <c r="N1318" s="1" t="s">
        <v>16</v>
      </c>
    </row>
    <row r="1319" spans="1:14" x14ac:dyDescent="0.25">
      <c r="A1319" s="9">
        <v>45020</v>
      </c>
      <c r="B1319" s="1" t="s">
        <v>22</v>
      </c>
      <c r="C1319" s="1">
        <v>10</v>
      </c>
      <c r="D1319" s="1">
        <v>2</v>
      </c>
      <c r="E1319" s="5">
        <v>70.37</v>
      </c>
      <c r="F1319" s="1" t="s">
        <v>18</v>
      </c>
      <c r="G1319" s="1">
        <v>2</v>
      </c>
      <c r="H1319" s="1" t="s">
        <v>16</v>
      </c>
      <c r="I1319" s="1" t="s">
        <v>16</v>
      </c>
      <c r="J1319" s="1" t="s">
        <v>16</v>
      </c>
      <c r="K1319" s="1" t="s">
        <v>17</v>
      </c>
      <c r="L1319" s="1" t="s">
        <v>17</v>
      </c>
      <c r="M1319" s="1" t="s">
        <v>21</v>
      </c>
      <c r="N1319" s="1" t="s">
        <v>16</v>
      </c>
    </row>
    <row r="1320" spans="1:14" x14ac:dyDescent="0.25">
      <c r="A1320" s="9">
        <v>45020</v>
      </c>
      <c r="B1320" s="1" t="s">
        <v>22</v>
      </c>
      <c r="C1320" s="1">
        <v>11</v>
      </c>
      <c r="D1320" s="1">
        <v>3</v>
      </c>
      <c r="E1320" s="5">
        <v>73.5</v>
      </c>
      <c r="F1320" s="1" t="s">
        <v>18</v>
      </c>
      <c r="G1320" s="1">
        <v>2</v>
      </c>
      <c r="H1320" s="1" t="s">
        <v>16</v>
      </c>
      <c r="I1320" s="1" t="s">
        <v>16</v>
      </c>
      <c r="J1320" s="1" t="s">
        <v>16</v>
      </c>
      <c r="K1320" s="1" t="s">
        <v>17</v>
      </c>
      <c r="L1320" s="1" t="s">
        <v>17</v>
      </c>
      <c r="M1320" s="1" t="s">
        <v>17</v>
      </c>
      <c r="N1320" s="1" t="s">
        <v>16</v>
      </c>
    </row>
    <row r="1321" spans="1:14" x14ac:dyDescent="0.25">
      <c r="A1321" s="9">
        <v>45020</v>
      </c>
      <c r="B1321" s="1" t="s">
        <v>22</v>
      </c>
      <c r="C1321" s="1">
        <v>12</v>
      </c>
      <c r="D1321" s="1">
        <v>3</v>
      </c>
      <c r="E1321" s="5">
        <v>77.09</v>
      </c>
      <c r="F1321" s="1" t="s">
        <v>18</v>
      </c>
      <c r="G1321" s="1">
        <v>2</v>
      </c>
      <c r="H1321" s="1" t="s">
        <v>16</v>
      </c>
      <c r="I1321" s="1" t="s">
        <v>16</v>
      </c>
      <c r="J1321" s="1" t="s">
        <v>16</v>
      </c>
      <c r="K1321" s="1" t="s">
        <v>17</v>
      </c>
      <c r="L1321" s="1" t="s">
        <v>17</v>
      </c>
      <c r="M1321" s="1" t="s">
        <v>17</v>
      </c>
      <c r="N1321" s="1" t="s">
        <v>16</v>
      </c>
    </row>
    <row r="1322" spans="1:14" x14ac:dyDescent="0.25">
      <c r="A1322" s="9">
        <v>45020</v>
      </c>
      <c r="B1322" s="1" t="s">
        <v>22</v>
      </c>
      <c r="C1322" s="1">
        <v>13</v>
      </c>
      <c r="D1322" s="1">
        <v>3</v>
      </c>
      <c r="E1322" s="5">
        <v>61.37</v>
      </c>
      <c r="F1322" s="1" t="s">
        <v>16</v>
      </c>
      <c r="G1322" s="1">
        <v>4</v>
      </c>
      <c r="H1322" s="1" t="s">
        <v>16</v>
      </c>
      <c r="I1322" s="1" t="s">
        <v>16</v>
      </c>
      <c r="J1322" s="1" t="s">
        <v>16</v>
      </c>
      <c r="K1322" s="1" t="s">
        <v>17</v>
      </c>
      <c r="L1322" s="1" t="s">
        <v>17</v>
      </c>
      <c r="M1322" s="1" t="s">
        <v>17</v>
      </c>
      <c r="N1322" s="1" t="s">
        <v>16</v>
      </c>
    </row>
    <row r="1323" spans="1:14" x14ac:dyDescent="0.25">
      <c r="A1323" s="9">
        <v>45020</v>
      </c>
      <c r="B1323" s="1" t="s">
        <v>22</v>
      </c>
      <c r="C1323" s="1">
        <v>14</v>
      </c>
      <c r="D1323" s="1">
        <v>3</v>
      </c>
      <c r="E1323" s="5">
        <v>44.57</v>
      </c>
      <c r="F1323" s="1" t="s">
        <v>19</v>
      </c>
      <c r="G1323" s="1">
        <v>2</v>
      </c>
      <c r="H1323" s="1" t="s">
        <v>16</v>
      </c>
      <c r="I1323" s="1" t="s">
        <v>16</v>
      </c>
      <c r="J1323" s="1" t="s">
        <v>16</v>
      </c>
      <c r="K1323" s="1" t="s">
        <v>17</v>
      </c>
      <c r="L1323" s="1" t="s">
        <v>17</v>
      </c>
      <c r="M1323" s="1" t="s">
        <v>17</v>
      </c>
      <c r="N1323" s="1" t="s">
        <v>16</v>
      </c>
    </row>
    <row r="1324" spans="1:14" x14ac:dyDescent="0.25">
      <c r="A1324" s="9">
        <v>45020</v>
      </c>
      <c r="B1324" s="1" t="s">
        <v>22</v>
      </c>
      <c r="C1324" s="1">
        <v>15</v>
      </c>
      <c r="D1324" s="1">
        <v>3</v>
      </c>
      <c r="E1324" s="5">
        <v>63.63</v>
      </c>
      <c r="F1324" s="1" t="s">
        <v>19</v>
      </c>
      <c r="G1324" s="1">
        <v>2</v>
      </c>
      <c r="H1324" s="1" t="s">
        <v>16</v>
      </c>
      <c r="I1324" s="1" t="s">
        <v>16</v>
      </c>
      <c r="J1324" s="1" t="s">
        <v>16</v>
      </c>
      <c r="K1324" s="1" t="s">
        <v>17</v>
      </c>
      <c r="L1324" s="1" t="s">
        <v>17</v>
      </c>
      <c r="M1324" s="1" t="s">
        <v>21</v>
      </c>
      <c r="N1324" s="1" t="s">
        <v>16</v>
      </c>
    </row>
    <row r="1325" spans="1:14" x14ac:dyDescent="0.25">
      <c r="A1325" s="9">
        <v>45048</v>
      </c>
      <c r="B1325" s="1" t="s">
        <v>22</v>
      </c>
      <c r="C1325" s="1">
        <v>1</v>
      </c>
      <c r="D1325" s="1">
        <v>1</v>
      </c>
      <c r="E1325" s="5">
        <v>29.29</v>
      </c>
      <c r="F1325" s="1" t="s">
        <v>18</v>
      </c>
      <c r="G1325" s="1">
        <v>2</v>
      </c>
      <c r="H1325" s="1" t="s">
        <v>16</v>
      </c>
      <c r="I1325" s="1" t="s">
        <v>16</v>
      </c>
      <c r="J1325" s="1" t="s">
        <v>16</v>
      </c>
      <c r="K1325" s="1" t="s">
        <v>17</v>
      </c>
      <c r="L1325" s="1" t="s">
        <v>17</v>
      </c>
      <c r="M1325" s="1" t="s">
        <v>17</v>
      </c>
      <c r="N1325" s="1" t="s">
        <v>16</v>
      </c>
    </row>
    <row r="1326" spans="1:14" x14ac:dyDescent="0.25">
      <c r="A1326" s="9">
        <v>45048</v>
      </c>
      <c r="B1326" s="1" t="s">
        <v>22</v>
      </c>
      <c r="C1326" s="1">
        <v>2</v>
      </c>
      <c r="D1326" s="1">
        <v>1</v>
      </c>
      <c r="E1326" s="5">
        <v>44.88</v>
      </c>
      <c r="F1326" s="1" t="s">
        <v>18</v>
      </c>
      <c r="G1326" s="1">
        <v>2</v>
      </c>
      <c r="H1326" s="1" t="s">
        <v>16</v>
      </c>
      <c r="I1326" s="1" t="s">
        <v>16</v>
      </c>
      <c r="J1326" s="1" t="s">
        <v>16</v>
      </c>
      <c r="K1326" s="1" t="s">
        <v>17</v>
      </c>
      <c r="L1326" s="1" t="s">
        <v>17</v>
      </c>
      <c r="M1326" s="1" t="s">
        <v>17</v>
      </c>
      <c r="N1326" s="1" t="s">
        <v>16</v>
      </c>
    </row>
    <row r="1327" spans="1:14" x14ac:dyDescent="0.25">
      <c r="A1327" s="9">
        <v>45048</v>
      </c>
      <c r="B1327" s="1" t="s">
        <v>22</v>
      </c>
      <c r="C1327" s="1">
        <v>3</v>
      </c>
      <c r="D1327" s="1">
        <v>1</v>
      </c>
      <c r="E1327" s="5">
        <v>46.37</v>
      </c>
      <c r="F1327" s="1" t="s">
        <v>19</v>
      </c>
      <c r="G1327" s="1">
        <v>2</v>
      </c>
      <c r="H1327" s="1" t="s">
        <v>16</v>
      </c>
      <c r="I1327" s="1" t="s">
        <v>16</v>
      </c>
      <c r="J1327" s="1" t="s">
        <v>16</v>
      </c>
      <c r="K1327" s="1" t="s">
        <v>17</v>
      </c>
      <c r="L1327" s="1" t="s">
        <v>17</v>
      </c>
      <c r="M1327" s="1" t="s">
        <v>17</v>
      </c>
      <c r="N1327" s="1" t="s">
        <v>16</v>
      </c>
    </row>
    <row r="1328" spans="1:14" x14ac:dyDescent="0.25">
      <c r="A1328" s="9">
        <v>45048</v>
      </c>
      <c r="B1328" s="1" t="s">
        <v>22</v>
      </c>
      <c r="C1328" s="1">
        <v>4</v>
      </c>
      <c r="D1328" s="1">
        <v>1</v>
      </c>
      <c r="E1328" s="5">
        <v>56.57</v>
      </c>
      <c r="F1328" s="1" t="s">
        <v>16</v>
      </c>
      <c r="G1328" s="1" t="s">
        <v>16</v>
      </c>
      <c r="H1328" s="1" t="s">
        <v>16</v>
      </c>
      <c r="I1328" s="1" t="s">
        <v>16</v>
      </c>
      <c r="J1328" s="1" t="s">
        <v>16</v>
      </c>
      <c r="K1328" s="1" t="s">
        <v>17</v>
      </c>
      <c r="L1328" s="1" t="s">
        <v>21</v>
      </c>
      <c r="M1328" s="1" t="s">
        <v>17</v>
      </c>
      <c r="N1328" s="1" t="s">
        <v>16</v>
      </c>
    </row>
    <row r="1329" spans="1:14" x14ac:dyDescent="0.25">
      <c r="A1329" s="9">
        <v>45048</v>
      </c>
      <c r="B1329" s="1" t="s">
        <v>22</v>
      </c>
      <c r="C1329" s="1">
        <v>5</v>
      </c>
      <c r="D1329" s="1">
        <v>1</v>
      </c>
      <c r="E1329" s="5">
        <v>48.72</v>
      </c>
      <c r="F1329" s="1" t="s">
        <v>19</v>
      </c>
      <c r="G1329" s="1">
        <v>2</v>
      </c>
      <c r="H1329" s="1" t="s">
        <v>16</v>
      </c>
      <c r="I1329" s="1" t="s">
        <v>16</v>
      </c>
      <c r="J1329" s="1" t="s">
        <v>16</v>
      </c>
      <c r="K1329" s="1" t="s">
        <v>17</v>
      </c>
      <c r="L1329" s="1" t="s">
        <v>17</v>
      </c>
      <c r="M1329" s="1" t="s">
        <v>17</v>
      </c>
      <c r="N1329" s="1" t="s">
        <v>16</v>
      </c>
    </row>
    <row r="1330" spans="1:14" x14ac:dyDescent="0.25">
      <c r="A1330" s="9">
        <v>45048</v>
      </c>
      <c r="B1330" s="1" t="s">
        <v>22</v>
      </c>
      <c r="C1330" s="1">
        <v>6</v>
      </c>
      <c r="D1330" s="1">
        <v>2</v>
      </c>
      <c r="E1330" s="5">
        <v>43.57</v>
      </c>
      <c r="F1330" s="1" t="s">
        <v>18</v>
      </c>
      <c r="G1330" s="1">
        <v>2</v>
      </c>
      <c r="H1330" s="1" t="s">
        <v>16</v>
      </c>
      <c r="I1330" s="1" t="s">
        <v>16</v>
      </c>
      <c r="J1330" s="1" t="s">
        <v>16</v>
      </c>
      <c r="K1330" s="1" t="s">
        <v>17</v>
      </c>
      <c r="L1330" s="1" t="s">
        <v>17</v>
      </c>
      <c r="M1330" s="1" t="s">
        <v>17</v>
      </c>
      <c r="N1330" s="1" t="s">
        <v>16</v>
      </c>
    </row>
    <row r="1331" spans="1:14" x14ac:dyDescent="0.25">
      <c r="A1331" s="9">
        <v>45048</v>
      </c>
      <c r="B1331" s="1" t="s">
        <v>22</v>
      </c>
      <c r="C1331" s="1">
        <v>7</v>
      </c>
      <c r="D1331" s="1">
        <v>2</v>
      </c>
      <c r="E1331" s="5">
        <v>41.02</v>
      </c>
      <c r="F1331" s="1" t="s">
        <v>18</v>
      </c>
      <c r="G1331" s="1">
        <v>2</v>
      </c>
      <c r="H1331" s="1" t="s">
        <v>16</v>
      </c>
      <c r="I1331" s="1" t="s">
        <v>16</v>
      </c>
      <c r="J1331" s="1" t="s">
        <v>16</v>
      </c>
      <c r="K1331" s="1" t="s">
        <v>17</v>
      </c>
      <c r="L1331" s="1" t="s">
        <v>17</v>
      </c>
      <c r="M1331" s="1" t="s">
        <v>17</v>
      </c>
      <c r="N1331" s="1" t="s">
        <v>16</v>
      </c>
    </row>
    <row r="1332" spans="1:14" x14ac:dyDescent="0.25">
      <c r="A1332" s="9">
        <v>45048</v>
      </c>
      <c r="B1332" s="1" t="s">
        <v>22</v>
      </c>
      <c r="C1332" s="1">
        <v>8</v>
      </c>
      <c r="D1332" s="1">
        <v>2</v>
      </c>
      <c r="E1332" s="5">
        <v>69.34</v>
      </c>
      <c r="F1332" s="1" t="s">
        <v>19</v>
      </c>
      <c r="G1332" s="1">
        <v>2</v>
      </c>
      <c r="H1332" s="1" t="s">
        <v>16</v>
      </c>
      <c r="I1332" s="1" t="s">
        <v>16</v>
      </c>
      <c r="J1332" s="1" t="s">
        <v>16</v>
      </c>
      <c r="K1332" s="1" t="s">
        <v>17</v>
      </c>
      <c r="L1332" s="1" t="s">
        <v>17</v>
      </c>
      <c r="M1332" s="1" t="s">
        <v>17</v>
      </c>
      <c r="N1332" s="1" t="s">
        <v>16</v>
      </c>
    </row>
    <row r="1333" spans="1:14" x14ac:dyDescent="0.25">
      <c r="A1333" s="9">
        <v>45048</v>
      </c>
      <c r="B1333" s="1" t="s">
        <v>22</v>
      </c>
      <c r="C1333" s="1">
        <v>9</v>
      </c>
      <c r="D1333" s="1">
        <v>2</v>
      </c>
      <c r="E1333" s="5">
        <v>55.07</v>
      </c>
      <c r="F1333" s="1" t="s">
        <v>18</v>
      </c>
      <c r="G1333" s="1">
        <v>2</v>
      </c>
      <c r="H1333" s="1" t="s">
        <v>16</v>
      </c>
      <c r="I1333" s="1" t="s">
        <v>16</v>
      </c>
      <c r="J1333" s="1" t="s">
        <v>16</v>
      </c>
      <c r="K1333" s="1" t="s">
        <v>17</v>
      </c>
      <c r="L1333" s="1" t="s">
        <v>17</v>
      </c>
      <c r="M1333" s="1" t="s">
        <v>17</v>
      </c>
      <c r="N1333" s="1" t="s">
        <v>16</v>
      </c>
    </row>
    <row r="1334" spans="1:14" x14ac:dyDescent="0.25">
      <c r="A1334" s="9">
        <v>45048</v>
      </c>
      <c r="B1334" s="1" t="s">
        <v>22</v>
      </c>
      <c r="C1334" s="1">
        <v>10</v>
      </c>
      <c r="D1334" s="1">
        <v>2</v>
      </c>
      <c r="E1334" s="5">
        <v>70.37</v>
      </c>
      <c r="F1334" s="1" t="s">
        <v>16</v>
      </c>
      <c r="G1334" s="1">
        <v>4</v>
      </c>
      <c r="H1334" s="1" t="s">
        <v>16</v>
      </c>
      <c r="I1334" s="1" t="s">
        <v>16</v>
      </c>
      <c r="J1334" s="1" t="s">
        <v>16</v>
      </c>
      <c r="K1334" s="1" t="s">
        <v>17</v>
      </c>
      <c r="L1334" s="1" t="s">
        <v>17</v>
      </c>
      <c r="M1334" s="1" t="s">
        <v>17</v>
      </c>
      <c r="N1334" s="1" t="s">
        <v>16</v>
      </c>
    </row>
    <row r="1335" spans="1:14" x14ac:dyDescent="0.25">
      <c r="A1335" s="9">
        <v>45048</v>
      </c>
      <c r="B1335" s="1" t="s">
        <v>22</v>
      </c>
      <c r="C1335" s="1">
        <v>11</v>
      </c>
      <c r="D1335" s="1">
        <v>3</v>
      </c>
      <c r="E1335" s="5">
        <v>73.5</v>
      </c>
      <c r="F1335" s="1" t="s">
        <v>18</v>
      </c>
      <c r="G1335" s="1">
        <v>2</v>
      </c>
      <c r="H1335" s="1" t="s">
        <v>16</v>
      </c>
      <c r="I1335" s="1" t="s">
        <v>16</v>
      </c>
      <c r="J1335" s="1" t="s">
        <v>16</v>
      </c>
      <c r="K1335" s="1" t="s">
        <v>17</v>
      </c>
      <c r="L1335" s="1" t="s">
        <v>17</v>
      </c>
      <c r="M1335" s="1" t="s">
        <v>17</v>
      </c>
      <c r="N1335" s="1" t="s">
        <v>16</v>
      </c>
    </row>
    <row r="1336" spans="1:14" x14ac:dyDescent="0.25">
      <c r="A1336" s="9">
        <v>45048</v>
      </c>
      <c r="B1336" s="1" t="s">
        <v>22</v>
      </c>
      <c r="C1336" s="1">
        <v>12</v>
      </c>
      <c r="D1336" s="1">
        <v>3</v>
      </c>
      <c r="E1336" s="5">
        <v>77.09</v>
      </c>
      <c r="F1336" s="1" t="s">
        <v>19</v>
      </c>
      <c r="G1336" s="1">
        <v>2</v>
      </c>
      <c r="H1336" s="1" t="s">
        <v>16</v>
      </c>
      <c r="I1336" s="1" t="s">
        <v>16</v>
      </c>
      <c r="J1336" s="1" t="s">
        <v>16</v>
      </c>
      <c r="K1336" s="1" t="s">
        <v>17</v>
      </c>
      <c r="L1336" s="1" t="s">
        <v>17</v>
      </c>
      <c r="M1336" s="1" t="s">
        <v>17</v>
      </c>
      <c r="N1336" s="1" t="s">
        <v>16</v>
      </c>
    </row>
    <row r="1337" spans="1:14" x14ac:dyDescent="0.25">
      <c r="A1337" s="9">
        <v>45048</v>
      </c>
      <c r="B1337" s="1" t="s">
        <v>22</v>
      </c>
      <c r="C1337" s="1">
        <v>13</v>
      </c>
      <c r="D1337" s="1">
        <v>3</v>
      </c>
      <c r="E1337" s="5">
        <v>61.37</v>
      </c>
      <c r="F1337" s="1" t="s">
        <v>19</v>
      </c>
      <c r="G1337" s="1">
        <v>2</v>
      </c>
      <c r="H1337" s="1" t="s">
        <v>16</v>
      </c>
      <c r="I1337" s="1" t="s">
        <v>16</v>
      </c>
      <c r="J1337" s="1" t="s">
        <v>16</v>
      </c>
      <c r="K1337" s="1" t="s">
        <v>17</v>
      </c>
      <c r="L1337" s="1" t="s">
        <v>17</v>
      </c>
      <c r="M1337" s="1" t="s">
        <v>17</v>
      </c>
      <c r="N1337" s="1" t="s">
        <v>16</v>
      </c>
    </row>
    <row r="1338" spans="1:14" x14ac:dyDescent="0.25">
      <c r="A1338" s="9">
        <v>45048</v>
      </c>
      <c r="B1338" s="1" t="s">
        <v>22</v>
      </c>
      <c r="C1338" s="1">
        <v>14</v>
      </c>
      <c r="D1338" s="1">
        <v>3</v>
      </c>
      <c r="E1338" s="5">
        <v>44.57</v>
      </c>
      <c r="F1338" s="1" t="s">
        <v>18</v>
      </c>
      <c r="G1338" s="1">
        <v>2</v>
      </c>
      <c r="H1338" s="1" t="s">
        <v>16</v>
      </c>
      <c r="I1338" s="1" t="s">
        <v>16</v>
      </c>
      <c r="J1338" s="1" t="s">
        <v>16</v>
      </c>
      <c r="K1338" s="1" t="s">
        <v>17</v>
      </c>
      <c r="L1338" s="1" t="s">
        <v>17</v>
      </c>
      <c r="M1338" s="1" t="s">
        <v>17</v>
      </c>
      <c r="N1338" s="1" t="s">
        <v>16</v>
      </c>
    </row>
    <row r="1339" spans="1:14" x14ac:dyDescent="0.25">
      <c r="A1339" s="9">
        <v>45048</v>
      </c>
      <c r="B1339" s="1" t="s">
        <v>22</v>
      </c>
      <c r="C1339" s="1">
        <v>15</v>
      </c>
      <c r="D1339" s="1">
        <v>3</v>
      </c>
      <c r="E1339" s="5">
        <v>63.63</v>
      </c>
      <c r="F1339" s="1" t="s">
        <v>18</v>
      </c>
      <c r="G1339" s="1">
        <v>2</v>
      </c>
      <c r="H1339" s="1" t="s">
        <v>16</v>
      </c>
      <c r="I1339" s="1" t="s">
        <v>16</v>
      </c>
      <c r="J1339" s="1" t="s">
        <v>16</v>
      </c>
      <c r="K1339" s="1" t="s">
        <v>17</v>
      </c>
      <c r="L1339" s="1" t="s">
        <v>17</v>
      </c>
      <c r="M1339" s="1" t="s">
        <v>17</v>
      </c>
      <c r="N1339" s="1" t="s">
        <v>16</v>
      </c>
    </row>
    <row r="1340" spans="1:14" x14ac:dyDescent="0.25">
      <c r="A1340" s="9">
        <v>45083</v>
      </c>
      <c r="B1340" s="1" t="s">
        <v>22</v>
      </c>
      <c r="C1340" s="1">
        <v>1</v>
      </c>
      <c r="D1340" s="1">
        <v>1</v>
      </c>
      <c r="E1340" s="5">
        <v>68.09</v>
      </c>
      <c r="F1340" s="1" t="s">
        <v>16</v>
      </c>
      <c r="G1340" s="1" t="s">
        <v>16</v>
      </c>
      <c r="H1340" s="1" t="s">
        <v>16</v>
      </c>
      <c r="I1340" s="1" t="s">
        <v>16</v>
      </c>
      <c r="J1340" s="1" t="s">
        <v>16</v>
      </c>
      <c r="K1340" s="1" t="s">
        <v>17</v>
      </c>
      <c r="L1340" s="1" t="s">
        <v>17</v>
      </c>
      <c r="M1340" s="1" t="s">
        <v>17</v>
      </c>
      <c r="N1340" s="1" t="s">
        <v>16</v>
      </c>
    </row>
    <row r="1341" spans="1:14" x14ac:dyDescent="0.25">
      <c r="A1341" s="9">
        <v>45083</v>
      </c>
      <c r="B1341" s="1" t="s">
        <v>22</v>
      </c>
      <c r="C1341" s="1">
        <v>2</v>
      </c>
      <c r="D1341" s="1">
        <v>1</v>
      </c>
      <c r="E1341" s="5">
        <v>51.99</v>
      </c>
      <c r="F1341" s="1" t="s">
        <v>18</v>
      </c>
      <c r="G1341" s="1">
        <v>2</v>
      </c>
      <c r="H1341" s="1" t="s">
        <v>16</v>
      </c>
      <c r="I1341" s="1" t="s">
        <v>16</v>
      </c>
      <c r="J1341" s="1" t="s">
        <v>16</v>
      </c>
      <c r="K1341" s="1" t="s">
        <v>17</v>
      </c>
      <c r="L1341" s="1" t="s">
        <v>17</v>
      </c>
      <c r="M1341" s="1" t="s">
        <v>17</v>
      </c>
      <c r="N1341" s="1" t="s">
        <v>16</v>
      </c>
    </row>
    <row r="1342" spans="1:14" x14ac:dyDescent="0.25">
      <c r="A1342" s="9">
        <v>45083</v>
      </c>
      <c r="B1342" s="1" t="s">
        <v>22</v>
      </c>
      <c r="C1342" s="1">
        <v>3</v>
      </c>
      <c r="D1342" s="1">
        <v>1</v>
      </c>
      <c r="E1342" s="5">
        <v>40.119999999999997</v>
      </c>
      <c r="F1342" s="1" t="s">
        <v>18</v>
      </c>
      <c r="G1342" s="1">
        <v>2</v>
      </c>
      <c r="H1342" s="1" t="s">
        <v>16</v>
      </c>
      <c r="I1342" s="1" t="s">
        <v>16</v>
      </c>
      <c r="J1342" s="1" t="s">
        <v>16</v>
      </c>
      <c r="K1342" s="1" t="s">
        <v>17</v>
      </c>
      <c r="L1342" s="1" t="s">
        <v>17</v>
      </c>
      <c r="M1342" s="1" t="s">
        <v>17</v>
      </c>
      <c r="N1342" s="1" t="s">
        <v>16</v>
      </c>
    </row>
    <row r="1343" spans="1:14" x14ac:dyDescent="0.25">
      <c r="A1343" s="9">
        <v>45083</v>
      </c>
      <c r="B1343" s="1" t="s">
        <v>22</v>
      </c>
      <c r="C1343" s="1">
        <v>4</v>
      </c>
      <c r="D1343" s="1">
        <v>1</v>
      </c>
      <c r="E1343" s="5">
        <v>44.46</v>
      </c>
      <c r="F1343" s="1" t="s">
        <v>18</v>
      </c>
      <c r="G1343" s="1">
        <v>2</v>
      </c>
      <c r="H1343" s="1" t="s">
        <v>16</v>
      </c>
      <c r="I1343" s="1" t="s">
        <v>16</v>
      </c>
      <c r="J1343" s="1" t="s">
        <v>16</v>
      </c>
      <c r="K1343" s="1" t="s">
        <v>17</v>
      </c>
      <c r="L1343" s="1" t="s">
        <v>17</v>
      </c>
      <c r="M1343" s="1" t="s">
        <v>17</v>
      </c>
      <c r="N1343" s="1" t="s">
        <v>16</v>
      </c>
    </row>
    <row r="1344" spans="1:14" x14ac:dyDescent="0.25">
      <c r="A1344" s="9">
        <v>45083</v>
      </c>
      <c r="B1344" s="1" t="s">
        <v>22</v>
      </c>
      <c r="C1344" s="1">
        <v>5</v>
      </c>
      <c r="D1344" s="1">
        <v>1</v>
      </c>
      <c r="E1344" s="5">
        <v>46.12</v>
      </c>
      <c r="F1344" s="1" t="s">
        <v>18</v>
      </c>
      <c r="G1344" s="1">
        <v>2</v>
      </c>
      <c r="H1344" s="1" t="s">
        <v>16</v>
      </c>
      <c r="I1344" s="1" t="s">
        <v>16</v>
      </c>
      <c r="J1344" s="1" t="s">
        <v>16</v>
      </c>
      <c r="K1344" s="1" t="s">
        <v>17</v>
      </c>
      <c r="L1344" s="1" t="s">
        <v>17</v>
      </c>
      <c r="M1344" s="1" t="s">
        <v>17</v>
      </c>
      <c r="N1344" s="1" t="s">
        <v>16</v>
      </c>
    </row>
    <row r="1345" spans="1:14" x14ac:dyDescent="0.25">
      <c r="A1345" s="9">
        <v>45083</v>
      </c>
      <c r="B1345" s="1" t="s">
        <v>22</v>
      </c>
      <c r="C1345" s="1">
        <v>6</v>
      </c>
      <c r="D1345" s="1">
        <v>2</v>
      </c>
      <c r="E1345" s="5">
        <v>47.35</v>
      </c>
      <c r="F1345" s="1" t="s">
        <v>18</v>
      </c>
      <c r="G1345" s="1">
        <v>2</v>
      </c>
      <c r="H1345" s="1" t="s">
        <v>16</v>
      </c>
      <c r="I1345" s="1" t="s">
        <v>16</v>
      </c>
      <c r="J1345" s="1" t="s">
        <v>16</v>
      </c>
      <c r="K1345" s="1" t="s">
        <v>17</v>
      </c>
      <c r="L1345" s="1" t="s">
        <v>17</v>
      </c>
      <c r="M1345" s="1" t="s">
        <v>17</v>
      </c>
      <c r="N1345" s="1" t="s">
        <v>16</v>
      </c>
    </row>
    <row r="1346" spans="1:14" x14ac:dyDescent="0.25">
      <c r="A1346" s="9">
        <v>45083</v>
      </c>
      <c r="B1346" s="1" t="s">
        <v>22</v>
      </c>
      <c r="C1346" s="1">
        <v>7</v>
      </c>
      <c r="D1346" s="1">
        <v>2</v>
      </c>
      <c r="E1346" s="5">
        <v>32.68</v>
      </c>
      <c r="F1346" s="1" t="s">
        <v>19</v>
      </c>
      <c r="G1346" s="1">
        <v>2</v>
      </c>
      <c r="H1346" s="1" t="s">
        <v>16</v>
      </c>
      <c r="I1346" s="1" t="s">
        <v>16</v>
      </c>
      <c r="J1346" s="1" t="s">
        <v>16</v>
      </c>
      <c r="K1346" s="1" t="s">
        <v>21</v>
      </c>
      <c r="L1346" s="1" t="s">
        <v>17</v>
      </c>
      <c r="M1346" s="1" t="s">
        <v>17</v>
      </c>
      <c r="N1346" s="1" t="s">
        <v>16</v>
      </c>
    </row>
    <row r="1347" spans="1:14" x14ac:dyDescent="0.25">
      <c r="A1347" s="9">
        <v>45083</v>
      </c>
      <c r="B1347" s="1" t="s">
        <v>22</v>
      </c>
      <c r="C1347" s="1">
        <v>8</v>
      </c>
      <c r="D1347" s="1">
        <v>2</v>
      </c>
      <c r="E1347" s="5">
        <v>56.36</v>
      </c>
      <c r="F1347" s="1" t="s">
        <v>18</v>
      </c>
      <c r="G1347" s="1">
        <v>2</v>
      </c>
      <c r="H1347" s="1" t="s">
        <v>16</v>
      </c>
      <c r="I1347" s="1" t="s">
        <v>16</v>
      </c>
      <c r="J1347" s="1" t="s">
        <v>16</v>
      </c>
      <c r="K1347" s="1" t="s">
        <v>17</v>
      </c>
      <c r="L1347" s="1" t="s">
        <v>17</v>
      </c>
      <c r="M1347" s="1" t="s">
        <v>17</v>
      </c>
      <c r="N1347" s="1" t="s">
        <v>16</v>
      </c>
    </row>
    <row r="1348" spans="1:14" x14ac:dyDescent="0.25">
      <c r="A1348" s="9">
        <v>45083</v>
      </c>
      <c r="B1348" s="1" t="s">
        <v>22</v>
      </c>
      <c r="C1348" s="1">
        <v>9</v>
      </c>
      <c r="D1348" s="1">
        <v>2</v>
      </c>
      <c r="E1348" s="5">
        <v>34.46</v>
      </c>
      <c r="F1348" s="1" t="s">
        <v>19</v>
      </c>
      <c r="G1348" s="1">
        <v>2</v>
      </c>
      <c r="H1348" s="1" t="s">
        <v>16</v>
      </c>
      <c r="I1348" s="1" t="s">
        <v>16</v>
      </c>
      <c r="J1348" s="1" t="s">
        <v>16</v>
      </c>
      <c r="K1348" s="1" t="s">
        <v>17</v>
      </c>
      <c r="L1348" s="1" t="s">
        <v>17</v>
      </c>
      <c r="M1348" s="1" t="s">
        <v>17</v>
      </c>
      <c r="N1348" s="1" t="s">
        <v>16</v>
      </c>
    </row>
    <row r="1349" spans="1:14" x14ac:dyDescent="0.25">
      <c r="A1349" s="9">
        <v>45083</v>
      </c>
      <c r="B1349" s="1" t="s">
        <v>22</v>
      </c>
      <c r="C1349" s="1">
        <v>10</v>
      </c>
      <c r="D1349" s="1">
        <v>2</v>
      </c>
      <c r="E1349" s="5">
        <v>72.430000000000007</v>
      </c>
      <c r="F1349" s="1" t="s">
        <v>16</v>
      </c>
      <c r="G1349" s="1" t="s">
        <v>16</v>
      </c>
      <c r="H1349" s="1" t="s">
        <v>16</v>
      </c>
      <c r="I1349" s="1" t="s">
        <v>16</v>
      </c>
      <c r="J1349" s="1" t="s">
        <v>16</v>
      </c>
      <c r="K1349" s="1" t="s">
        <v>17</v>
      </c>
      <c r="L1349" s="1" t="s">
        <v>17</v>
      </c>
      <c r="M1349" s="1" t="s">
        <v>17</v>
      </c>
      <c r="N1349" s="1" t="s">
        <v>16</v>
      </c>
    </row>
    <row r="1350" spans="1:14" x14ac:dyDescent="0.25">
      <c r="A1350" s="9">
        <v>45083</v>
      </c>
      <c r="B1350" s="1" t="s">
        <v>22</v>
      </c>
      <c r="C1350" s="1">
        <v>11</v>
      </c>
      <c r="D1350" s="1">
        <v>3</v>
      </c>
      <c r="E1350" s="5">
        <v>73.040000000000006</v>
      </c>
      <c r="F1350" s="1" t="s">
        <v>18</v>
      </c>
      <c r="G1350" s="1">
        <v>2</v>
      </c>
      <c r="H1350" s="1" t="s">
        <v>16</v>
      </c>
      <c r="I1350" s="1" t="s">
        <v>16</v>
      </c>
      <c r="J1350" s="1" t="s">
        <v>16</v>
      </c>
      <c r="K1350" s="1" t="s">
        <v>17</v>
      </c>
      <c r="L1350" s="1" t="s">
        <v>17</v>
      </c>
      <c r="M1350" s="1" t="s">
        <v>17</v>
      </c>
      <c r="N1350" s="1" t="s">
        <v>16</v>
      </c>
    </row>
    <row r="1351" spans="1:14" x14ac:dyDescent="0.25">
      <c r="A1351" s="9">
        <v>45083</v>
      </c>
      <c r="B1351" s="1" t="s">
        <v>22</v>
      </c>
      <c r="C1351" s="1">
        <v>12</v>
      </c>
      <c r="D1351" s="1">
        <v>3</v>
      </c>
      <c r="E1351" s="5">
        <v>66.760000000000005</v>
      </c>
      <c r="F1351" s="1" t="s">
        <v>18</v>
      </c>
      <c r="G1351" s="1">
        <v>2</v>
      </c>
      <c r="H1351" s="1" t="s">
        <v>16</v>
      </c>
      <c r="I1351" s="1" t="s">
        <v>16</v>
      </c>
      <c r="J1351" s="1" t="s">
        <v>16</v>
      </c>
      <c r="K1351" s="1" t="s">
        <v>17</v>
      </c>
      <c r="L1351" s="1" t="s">
        <v>17</v>
      </c>
      <c r="M1351" s="1" t="s">
        <v>17</v>
      </c>
      <c r="N1351" s="1" t="s">
        <v>16</v>
      </c>
    </row>
    <row r="1352" spans="1:14" x14ac:dyDescent="0.25">
      <c r="A1352" s="9">
        <v>45083</v>
      </c>
      <c r="B1352" s="1" t="s">
        <v>22</v>
      </c>
      <c r="C1352" s="1">
        <v>13</v>
      </c>
      <c r="D1352" s="1">
        <v>3</v>
      </c>
      <c r="E1352" s="5">
        <v>54.84</v>
      </c>
      <c r="F1352" s="1" t="s">
        <v>18</v>
      </c>
      <c r="G1352" s="1">
        <v>2</v>
      </c>
      <c r="H1352" s="1" t="s">
        <v>16</v>
      </c>
      <c r="I1352" s="1" t="s">
        <v>16</v>
      </c>
      <c r="J1352" s="1" t="s">
        <v>16</v>
      </c>
      <c r="K1352" s="1" t="s">
        <v>17</v>
      </c>
      <c r="L1352" s="1" t="s">
        <v>17</v>
      </c>
      <c r="M1352" s="1" t="s">
        <v>17</v>
      </c>
      <c r="N1352" s="1" t="s">
        <v>16</v>
      </c>
    </row>
    <row r="1353" spans="1:14" x14ac:dyDescent="0.25">
      <c r="A1353" s="9">
        <v>45083</v>
      </c>
      <c r="B1353" s="1" t="s">
        <v>22</v>
      </c>
      <c r="C1353" s="1">
        <v>14</v>
      </c>
      <c r="D1353" s="1">
        <v>3</v>
      </c>
      <c r="E1353" s="5">
        <v>53.59</v>
      </c>
      <c r="F1353" s="1" t="s">
        <v>19</v>
      </c>
      <c r="G1353" s="1">
        <v>2</v>
      </c>
      <c r="H1353" s="1" t="s">
        <v>16</v>
      </c>
      <c r="I1353" s="1" t="s">
        <v>16</v>
      </c>
      <c r="J1353" s="1" t="s">
        <v>16</v>
      </c>
      <c r="K1353" s="1" t="s">
        <v>17</v>
      </c>
      <c r="L1353" s="1" t="s">
        <v>17</v>
      </c>
      <c r="M1353" s="1" t="s">
        <v>17</v>
      </c>
      <c r="N1353" s="1" t="s">
        <v>16</v>
      </c>
    </row>
    <row r="1354" spans="1:14" x14ac:dyDescent="0.25">
      <c r="A1354" s="9">
        <v>45083</v>
      </c>
      <c r="B1354" s="1" t="s">
        <v>22</v>
      </c>
      <c r="C1354" s="1">
        <v>15</v>
      </c>
      <c r="D1354" s="1">
        <v>3</v>
      </c>
      <c r="E1354" s="5">
        <v>53.72</v>
      </c>
      <c r="F1354" s="1" t="s">
        <v>19</v>
      </c>
      <c r="G1354" s="1">
        <v>2</v>
      </c>
      <c r="H1354" s="1" t="s">
        <v>16</v>
      </c>
      <c r="I1354" s="1" t="s">
        <v>16</v>
      </c>
      <c r="J1354" s="1" t="s">
        <v>16</v>
      </c>
      <c r="K1354" s="1" t="s">
        <v>17</v>
      </c>
      <c r="L1354" s="1" t="s">
        <v>17</v>
      </c>
      <c r="M1354" s="1" t="s">
        <v>17</v>
      </c>
      <c r="N1354" s="1" t="s">
        <v>16</v>
      </c>
    </row>
    <row r="1355" spans="1:14" x14ac:dyDescent="0.25">
      <c r="A1355" s="9">
        <v>45112</v>
      </c>
      <c r="B1355" s="1" t="s">
        <v>22</v>
      </c>
      <c r="C1355" s="1">
        <v>1</v>
      </c>
      <c r="D1355" s="1">
        <v>1</v>
      </c>
      <c r="E1355" s="5">
        <v>44.65</v>
      </c>
      <c r="F1355" s="1" t="s">
        <v>19</v>
      </c>
      <c r="G1355" s="1">
        <v>2</v>
      </c>
      <c r="H1355" s="1" t="s">
        <v>16</v>
      </c>
      <c r="I1355" s="1" t="s">
        <v>16</v>
      </c>
      <c r="J1355" s="1" t="s">
        <v>16</v>
      </c>
      <c r="K1355" s="1" t="s">
        <v>21</v>
      </c>
      <c r="L1355" s="1" t="s">
        <v>17</v>
      </c>
      <c r="M1355" s="1" t="s">
        <v>17</v>
      </c>
      <c r="N1355" s="1" t="s">
        <v>16</v>
      </c>
    </row>
    <row r="1356" spans="1:14" x14ac:dyDescent="0.25">
      <c r="A1356" s="9">
        <v>45112</v>
      </c>
      <c r="B1356" s="1" t="s">
        <v>22</v>
      </c>
      <c r="C1356" s="1">
        <v>2</v>
      </c>
      <c r="D1356" s="1">
        <v>1</v>
      </c>
      <c r="E1356" s="5">
        <v>37.880000000000003</v>
      </c>
      <c r="F1356" s="1" t="s">
        <v>18</v>
      </c>
      <c r="G1356" s="1">
        <v>2</v>
      </c>
      <c r="H1356" s="1" t="s">
        <v>16</v>
      </c>
      <c r="I1356" s="1" t="s">
        <v>16</v>
      </c>
      <c r="J1356" s="1" t="s">
        <v>16</v>
      </c>
      <c r="K1356" s="1" t="s">
        <v>17</v>
      </c>
      <c r="L1356" s="1" t="s">
        <v>17</v>
      </c>
      <c r="M1356" s="1" t="s">
        <v>17</v>
      </c>
      <c r="N1356" s="1" t="s">
        <v>16</v>
      </c>
    </row>
    <row r="1357" spans="1:14" x14ac:dyDescent="0.25">
      <c r="A1357" s="9">
        <v>45112</v>
      </c>
      <c r="B1357" s="1" t="s">
        <v>22</v>
      </c>
      <c r="C1357" s="1">
        <v>3</v>
      </c>
      <c r="D1357" s="1">
        <v>1</v>
      </c>
      <c r="E1357" s="5">
        <v>51.33</v>
      </c>
      <c r="F1357" s="1" t="s">
        <v>19</v>
      </c>
      <c r="G1357" s="1">
        <v>2</v>
      </c>
      <c r="H1357" s="1" t="s">
        <v>16</v>
      </c>
      <c r="I1357" s="1" t="s">
        <v>16</v>
      </c>
      <c r="J1357" s="1" t="s">
        <v>16</v>
      </c>
      <c r="K1357" s="1" t="s">
        <v>17</v>
      </c>
      <c r="L1357" s="1" t="s">
        <v>17</v>
      </c>
      <c r="M1357" s="1" t="s">
        <v>17</v>
      </c>
      <c r="N1357" s="1" t="s">
        <v>16</v>
      </c>
    </row>
    <row r="1358" spans="1:14" x14ac:dyDescent="0.25">
      <c r="A1358" s="9">
        <v>45112</v>
      </c>
      <c r="B1358" s="1" t="s">
        <v>22</v>
      </c>
      <c r="C1358" s="1">
        <v>4</v>
      </c>
      <c r="D1358" s="1">
        <v>1</v>
      </c>
      <c r="E1358" s="5">
        <v>37.369999999999997</v>
      </c>
      <c r="F1358" s="1" t="s">
        <v>18</v>
      </c>
      <c r="G1358" s="1">
        <v>2</v>
      </c>
      <c r="H1358" s="1" t="s">
        <v>16</v>
      </c>
      <c r="I1358" s="1" t="s">
        <v>16</v>
      </c>
      <c r="J1358" s="1" t="s">
        <v>16</v>
      </c>
      <c r="K1358" s="1" t="s">
        <v>17</v>
      </c>
      <c r="L1358" s="1" t="s">
        <v>17</v>
      </c>
      <c r="M1358" s="1" t="s">
        <v>17</v>
      </c>
      <c r="N1358" s="1" t="s">
        <v>16</v>
      </c>
    </row>
    <row r="1359" spans="1:14" x14ac:dyDescent="0.25">
      <c r="A1359" s="9">
        <v>45112</v>
      </c>
      <c r="B1359" s="1" t="s">
        <v>22</v>
      </c>
      <c r="C1359" s="1">
        <v>5</v>
      </c>
      <c r="D1359" s="1">
        <v>1</v>
      </c>
      <c r="E1359" s="5">
        <v>38.85</v>
      </c>
      <c r="F1359" s="1" t="s">
        <v>19</v>
      </c>
      <c r="G1359" s="1">
        <v>2</v>
      </c>
      <c r="H1359" s="1" t="s">
        <v>16</v>
      </c>
      <c r="I1359" s="1" t="s">
        <v>16</v>
      </c>
      <c r="J1359" s="1" t="s">
        <v>16</v>
      </c>
      <c r="K1359" s="1" t="s">
        <v>17</v>
      </c>
      <c r="L1359" s="1" t="s">
        <v>17</v>
      </c>
      <c r="M1359" s="1" t="s">
        <v>17</v>
      </c>
      <c r="N1359" s="1" t="s">
        <v>16</v>
      </c>
    </row>
    <row r="1360" spans="1:14" x14ac:dyDescent="0.25">
      <c r="A1360" s="9">
        <v>45112</v>
      </c>
      <c r="B1360" s="1" t="s">
        <v>22</v>
      </c>
      <c r="C1360" s="1">
        <v>6</v>
      </c>
      <c r="D1360" s="1">
        <v>2</v>
      </c>
      <c r="E1360" s="5">
        <v>41.65</v>
      </c>
      <c r="F1360" s="1" t="s">
        <v>18</v>
      </c>
      <c r="G1360" s="1">
        <v>2</v>
      </c>
      <c r="H1360" s="1" t="s">
        <v>16</v>
      </c>
      <c r="I1360" s="1" t="s">
        <v>16</v>
      </c>
      <c r="J1360" s="1" t="s">
        <v>16</v>
      </c>
      <c r="K1360" s="1" t="s">
        <v>17</v>
      </c>
      <c r="L1360" s="1" t="s">
        <v>17</v>
      </c>
      <c r="M1360" s="1" t="s">
        <v>17</v>
      </c>
      <c r="N1360" s="1" t="s">
        <v>16</v>
      </c>
    </row>
    <row r="1361" spans="1:14" x14ac:dyDescent="0.25">
      <c r="A1361" s="9">
        <v>45112</v>
      </c>
      <c r="B1361" s="1" t="s">
        <v>22</v>
      </c>
      <c r="C1361" s="1">
        <v>7</v>
      </c>
      <c r="D1361" s="1">
        <v>2</v>
      </c>
      <c r="E1361" s="5">
        <v>48.4</v>
      </c>
      <c r="F1361" s="1" t="s">
        <v>19</v>
      </c>
      <c r="G1361" s="1">
        <v>2</v>
      </c>
      <c r="H1361" s="1" t="s">
        <v>16</v>
      </c>
      <c r="I1361" s="1" t="s">
        <v>16</v>
      </c>
      <c r="J1361" s="1" t="s">
        <v>16</v>
      </c>
      <c r="K1361" s="1" t="s">
        <v>17</v>
      </c>
      <c r="L1361" s="1" t="s">
        <v>17</v>
      </c>
      <c r="M1361" s="1" t="s">
        <v>17</v>
      </c>
      <c r="N1361" s="1" t="s">
        <v>16</v>
      </c>
    </row>
    <row r="1362" spans="1:14" x14ac:dyDescent="0.25">
      <c r="A1362" s="9">
        <v>45112</v>
      </c>
      <c r="B1362" s="1" t="s">
        <v>22</v>
      </c>
      <c r="C1362" s="1">
        <v>8</v>
      </c>
      <c r="D1362" s="1">
        <v>2</v>
      </c>
      <c r="E1362" s="5">
        <v>51.43</v>
      </c>
      <c r="F1362" s="1" t="s">
        <v>18</v>
      </c>
      <c r="G1362" s="1">
        <v>2</v>
      </c>
      <c r="H1362" s="1" t="s">
        <v>16</v>
      </c>
      <c r="I1362" s="1" t="s">
        <v>16</v>
      </c>
      <c r="J1362" s="1" t="s">
        <v>16</v>
      </c>
      <c r="K1362" s="1" t="s">
        <v>17</v>
      </c>
      <c r="L1362" s="1" t="s">
        <v>17</v>
      </c>
      <c r="M1362" s="1" t="s">
        <v>17</v>
      </c>
      <c r="N1362" s="1" t="s">
        <v>16</v>
      </c>
    </row>
    <row r="1363" spans="1:14" x14ac:dyDescent="0.25">
      <c r="A1363" s="9">
        <v>45112</v>
      </c>
      <c r="B1363" s="1" t="s">
        <v>22</v>
      </c>
      <c r="C1363" s="1">
        <v>9</v>
      </c>
      <c r="D1363" s="1">
        <v>2</v>
      </c>
      <c r="E1363" s="5">
        <v>37.97</v>
      </c>
      <c r="F1363" s="1" t="s">
        <v>19</v>
      </c>
      <c r="G1363" s="1">
        <v>2</v>
      </c>
      <c r="H1363" s="1" t="s">
        <v>16</v>
      </c>
      <c r="I1363" s="1" t="s">
        <v>16</v>
      </c>
      <c r="J1363" s="1" t="s">
        <v>16</v>
      </c>
      <c r="K1363" s="1" t="s">
        <v>17</v>
      </c>
      <c r="L1363" s="1" t="s">
        <v>17</v>
      </c>
      <c r="M1363" s="1" t="s">
        <v>17</v>
      </c>
      <c r="N1363" s="1" t="s">
        <v>16</v>
      </c>
    </row>
    <row r="1364" spans="1:14" x14ac:dyDescent="0.25">
      <c r="A1364" s="9">
        <v>45112</v>
      </c>
      <c r="B1364" s="1" t="s">
        <v>22</v>
      </c>
      <c r="C1364" s="1">
        <v>10</v>
      </c>
      <c r="D1364" s="1">
        <v>2</v>
      </c>
      <c r="E1364" s="5">
        <v>32.07</v>
      </c>
      <c r="F1364" s="1" t="s">
        <v>18</v>
      </c>
      <c r="G1364" s="1">
        <v>2</v>
      </c>
      <c r="H1364" s="1" t="s">
        <v>16</v>
      </c>
      <c r="I1364" s="1" t="s">
        <v>16</v>
      </c>
      <c r="J1364" s="1" t="s">
        <v>16</v>
      </c>
      <c r="K1364" s="1" t="s">
        <v>17</v>
      </c>
      <c r="L1364" s="1" t="s">
        <v>17</v>
      </c>
      <c r="M1364" s="1" t="s">
        <v>17</v>
      </c>
      <c r="N1364" s="1" t="s">
        <v>16</v>
      </c>
    </row>
    <row r="1365" spans="1:14" x14ac:dyDescent="0.25">
      <c r="A1365" s="9">
        <v>45112</v>
      </c>
      <c r="B1365" s="1" t="s">
        <v>22</v>
      </c>
      <c r="C1365" s="1">
        <v>11</v>
      </c>
      <c r="D1365" s="1">
        <v>3</v>
      </c>
      <c r="E1365" s="5">
        <v>58.26</v>
      </c>
      <c r="F1365" s="1" t="s">
        <v>18</v>
      </c>
      <c r="G1365" s="1">
        <v>2</v>
      </c>
      <c r="H1365" s="1" t="s">
        <v>16</v>
      </c>
      <c r="I1365" s="1" t="s">
        <v>16</v>
      </c>
      <c r="J1365" s="1" t="s">
        <v>16</v>
      </c>
      <c r="K1365" s="1" t="s">
        <v>17</v>
      </c>
      <c r="L1365" s="1" t="s">
        <v>17</v>
      </c>
      <c r="M1365" s="1" t="s">
        <v>17</v>
      </c>
      <c r="N1365" s="1" t="s">
        <v>16</v>
      </c>
    </row>
    <row r="1366" spans="1:14" x14ac:dyDescent="0.25">
      <c r="A1366" s="9">
        <v>45112</v>
      </c>
      <c r="B1366" s="1" t="s">
        <v>22</v>
      </c>
      <c r="C1366" s="1">
        <v>12</v>
      </c>
      <c r="D1366" s="1">
        <v>3</v>
      </c>
      <c r="E1366" s="5">
        <v>49.53</v>
      </c>
      <c r="F1366" s="1" t="s">
        <v>19</v>
      </c>
      <c r="G1366" s="1">
        <v>2</v>
      </c>
      <c r="H1366" s="1" t="s">
        <v>16</v>
      </c>
      <c r="I1366" s="1" t="s">
        <v>16</v>
      </c>
      <c r="J1366" s="1" t="s">
        <v>16</v>
      </c>
      <c r="K1366" s="1" t="s">
        <v>17</v>
      </c>
      <c r="L1366" s="1" t="s">
        <v>17</v>
      </c>
      <c r="M1366" s="1" t="s">
        <v>17</v>
      </c>
      <c r="N1366" s="1" t="s">
        <v>16</v>
      </c>
    </row>
    <row r="1367" spans="1:14" x14ac:dyDescent="0.25">
      <c r="A1367" s="9">
        <v>45112</v>
      </c>
      <c r="B1367" s="1" t="s">
        <v>22</v>
      </c>
      <c r="C1367" s="1">
        <v>13</v>
      </c>
      <c r="D1367" s="1">
        <v>3</v>
      </c>
      <c r="E1367" s="5">
        <v>48.97</v>
      </c>
      <c r="F1367" s="1" t="s">
        <v>19</v>
      </c>
      <c r="G1367" s="1">
        <v>2</v>
      </c>
      <c r="H1367" s="1" t="s">
        <v>16</v>
      </c>
      <c r="I1367" s="1" t="s">
        <v>16</v>
      </c>
      <c r="J1367" s="1" t="s">
        <v>16</v>
      </c>
      <c r="K1367" s="1" t="s">
        <v>17</v>
      </c>
      <c r="L1367" s="1" t="s">
        <v>17</v>
      </c>
      <c r="M1367" s="1" t="s">
        <v>17</v>
      </c>
      <c r="N1367" s="1" t="s">
        <v>16</v>
      </c>
    </row>
    <row r="1368" spans="1:14" x14ac:dyDescent="0.25">
      <c r="A1368" s="9">
        <v>45112</v>
      </c>
      <c r="B1368" s="1" t="s">
        <v>22</v>
      </c>
      <c r="C1368" s="1">
        <v>14</v>
      </c>
      <c r="D1368" s="1">
        <v>3</v>
      </c>
      <c r="E1368" s="5">
        <v>47.8</v>
      </c>
      <c r="F1368" s="1" t="s">
        <v>18</v>
      </c>
      <c r="G1368" s="1">
        <v>1</v>
      </c>
      <c r="H1368" s="1" t="s">
        <v>16</v>
      </c>
      <c r="I1368" s="1" t="s">
        <v>16</v>
      </c>
      <c r="J1368" s="1" t="s">
        <v>16</v>
      </c>
      <c r="K1368" s="1" t="s">
        <v>17</v>
      </c>
      <c r="L1368" s="1" t="s">
        <v>17</v>
      </c>
      <c r="M1368" s="1" t="s">
        <v>17</v>
      </c>
      <c r="N1368" s="1" t="s">
        <v>16</v>
      </c>
    </row>
    <row r="1369" spans="1:14" x14ac:dyDescent="0.25">
      <c r="A1369" s="9">
        <v>45112</v>
      </c>
      <c r="B1369" s="1" t="s">
        <v>22</v>
      </c>
      <c r="C1369" s="1">
        <v>15</v>
      </c>
      <c r="D1369" s="1">
        <v>3</v>
      </c>
      <c r="E1369" s="5">
        <v>48.27</v>
      </c>
      <c r="F1369" s="1" t="s">
        <v>18</v>
      </c>
      <c r="G1369" s="1">
        <v>2</v>
      </c>
      <c r="H1369" s="1" t="s">
        <v>16</v>
      </c>
      <c r="I1369" s="1" t="s">
        <v>16</v>
      </c>
      <c r="J1369" s="1" t="s">
        <v>16</v>
      </c>
      <c r="K1369" s="1" t="s">
        <v>17</v>
      </c>
      <c r="L1369" s="1" t="s">
        <v>17</v>
      </c>
      <c r="M1369" s="1" t="s">
        <v>17</v>
      </c>
      <c r="N1369" s="1" t="s">
        <v>16</v>
      </c>
    </row>
    <row r="1370" spans="1:14" x14ac:dyDescent="0.25">
      <c r="A1370" s="9">
        <v>45140</v>
      </c>
      <c r="B1370" s="1" t="s">
        <v>22</v>
      </c>
      <c r="C1370" s="1">
        <v>1</v>
      </c>
      <c r="D1370" s="1">
        <v>1</v>
      </c>
      <c r="E1370" s="5">
        <v>41.1</v>
      </c>
      <c r="F1370" s="1" t="s">
        <v>19</v>
      </c>
      <c r="G1370" s="1">
        <v>2</v>
      </c>
      <c r="H1370" s="1" t="s">
        <v>16</v>
      </c>
      <c r="I1370" s="1" t="s">
        <v>16</v>
      </c>
      <c r="J1370" s="1" t="s">
        <v>16</v>
      </c>
      <c r="K1370" s="1" t="s">
        <v>17</v>
      </c>
      <c r="L1370" s="1" t="s">
        <v>17</v>
      </c>
      <c r="M1370" s="1" t="s">
        <v>17</v>
      </c>
      <c r="N1370" s="1" t="s">
        <v>16</v>
      </c>
    </row>
    <row r="1371" spans="1:14" x14ac:dyDescent="0.25">
      <c r="A1371" s="9">
        <v>45140</v>
      </c>
      <c r="B1371" s="1" t="s">
        <v>22</v>
      </c>
      <c r="C1371" s="1">
        <v>2</v>
      </c>
      <c r="D1371" s="1">
        <v>1</v>
      </c>
      <c r="E1371" s="5">
        <v>49.89</v>
      </c>
      <c r="F1371" s="1" t="s">
        <v>18</v>
      </c>
      <c r="G1371" s="1">
        <v>2</v>
      </c>
      <c r="H1371" s="1" t="s">
        <v>16</v>
      </c>
      <c r="I1371" s="1" t="s">
        <v>16</v>
      </c>
      <c r="J1371" s="1" t="s">
        <v>16</v>
      </c>
      <c r="K1371" s="1" t="s">
        <v>17</v>
      </c>
      <c r="L1371" s="1" t="s">
        <v>17</v>
      </c>
      <c r="M1371" s="1" t="s">
        <v>17</v>
      </c>
      <c r="N1371" s="1" t="s">
        <v>16</v>
      </c>
    </row>
    <row r="1372" spans="1:14" x14ac:dyDescent="0.25">
      <c r="A1372" s="9">
        <v>45140</v>
      </c>
      <c r="B1372" s="1" t="s">
        <v>22</v>
      </c>
      <c r="C1372" s="1">
        <v>3</v>
      </c>
      <c r="D1372" s="1">
        <v>1</v>
      </c>
      <c r="E1372" s="5">
        <v>40.1</v>
      </c>
      <c r="F1372" s="1" t="s">
        <v>19</v>
      </c>
      <c r="G1372" s="1">
        <v>2</v>
      </c>
      <c r="H1372" s="1" t="s">
        <v>16</v>
      </c>
      <c r="I1372" s="1" t="s">
        <v>16</v>
      </c>
      <c r="J1372" s="1" t="s">
        <v>16</v>
      </c>
      <c r="K1372" s="1" t="s">
        <v>17</v>
      </c>
      <c r="L1372" s="1" t="s">
        <v>17</v>
      </c>
      <c r="M1372" s="1" t="s">
        <v>17</v>
      </c>
      <c r="N1372" s="1" t="s">
        <v>16</v>
      </c>
    </row>
    <row r="1373" spans="1:14" x14ac:dyDescent="0.25">
      <c r="A1373" s="9">
        <v>45140</v>
      </c>
      <c r="B1373" s="1" t="s">
        <v>22</v>
      </c>
      <c r="C1373" s="1">
        <v>4</v>
      </c>
      <c r="D1373" s="1">
        <v>1</v>
      </c>
      <c r="E1373" s="5">
        <v>59.92</v>
      </c>
      <c r="F1373" s="1" t="s">
        <v>18</v>
      </c>
      <c r="G1373" s="1">
        <v>2</v>
      </c>
      <c r="H1373" s="1" t="s">
        <v>16</v>
      </c>
      <c r="I1373" s="1" t="s">
        <v>16</v>
      </c>
      <c r="J1373" s="1" t="s">
        <v>16</v>
      </c>
      <c r="K1373" s="1" t="s">
        <v>21</v>
      </c>
      <c r="L1373" s="1" t="s">
        <v>17</v>
      </c>
      <c r="M1373" s="1" t="s">
        <v>17</v>
      </c>
      <c r="N1373" s="1" t="s">
        <v>16</v>
      </c>
    </row>
    <row r="1374" spans="1:14" x14ac:dyDescent="0.25">
      <c r="A1374" s="9">
        <v>45140</v>
      </c>
      <c r="B1374" s="1" t="s">
        <v>22</v>
      </c>
      <c r="C1374" s="1">
        <v>5</v>
      </c>
      <c r="D1374" s="1">
        <v>1</v>
      </c>
      <c r="E1374" s="5">
        <v>58.87</v>
      </c>
      <c r="F1374" s="1" t="s">
        <v>18</v>
      </c>
      <c r="G1374" s="1">
        <v>2</v>
      </c>
      <c r="H1374" s="1" t="s">
        <v>16</v>
      </c>
      <c r="I1374" s="1" t="s">
        <v>16</v>
      </c>
      <c r="J1374" s="1" t="s">
        <v>16</v>
      </c>
      <c r="K1374" s="1" t="s">
        <v>17</v>
      </c>
      <c r="L1374" s="1" t="s">
        <v>17</v>
      </c>
      <c r="M1374" s="1" t="s">
        <v>17</v>
      </c>
      <c r="N1374" s="1" t="s">
        <v>16</v>
      </c>
    </row>
    <row r="1375" spans="1:14" x14ac:dyDescent="0.25">
      <c r="A1375" s="9">
        <v>45140</v>
      </c>
      <c r="B1375" s="1" t="s">
        <v>22</v>
      </c>
      <c r="C1375" s="1">
        <v>6</v>
      </c>
      <c r="D1375" s="1">
        <v>2</v>
      </c>
      <c r="E1375" s="5">
        <v>50.51</v>
      </c>
      <c r="F1375" s="1" t="s">
        <v>18</v>
      </c>
      <c r="G1375" s="1">
        <v>2</v>
      </c>
      <c r="H1375" s="1" t="s">
        <v>16</v>
      </c>
      <c r="I1375" s="1" t="s">
        <v>16</v>
      </c>
      <c r="J1375" s="1" t="s">
        <v>16</v>
      </c>
      <c r="K1375" s="1" t="s">
        <v>17</v>
      </c>
      <c r="L1375" s="1" t="s">
        <v>17</v>
      </c>
      <c r="M1375" s="1" t="s">
        <v>17</v>
      </c>
      <c r="N1375" s="1" t="s">
        <v>16</v>
      </c>
    </row>
    <row r="1376" spans="1:14" x14ac:dyDescent="0.25">
      <c r="A1376" s="9">
        <v>45140</v>
      </c>
      <c r="B1376" s="1" t="s">
        <v>22</v>
      </c>
      <c r="C1376" s="1">
        <v>7</v>
      </c>
      <c r="D1376" s="1">
        <v>2</v>
      </c>
      <c r="E1376" s="5">
        <v>46.25</v>
      </c>
      <c r="F1376" s="1" t="s">
        <v>19</v>
      </c>
      <c r="G1376" s="1">
        <v>2</v>
      </c>
      <c r="H1376" s="1" t="s">
        <v>16</v>
      </c>
      <c r="I1376" s="1" t="s">
        <v>16</v>
      </c>
      <c r="J1376" s="1" t="s">
        <v>16</v>
      </c>
      <c r="K1376" s="1" t="s">
        <v>21</v>
      </c>
      <c r="L1376" s="1" t="s">
        <v>17</v>
      </c>
      <c r="M1376" s="1" t="s">
        <v>17</v>
      </c>
      <c r="N1376" s="1" t="s">
        <v>16</v>
      </c>
    </row>
    <row r="1377" spans="1:14" x14ac:dyDescent="0.25">
      <c r="A1377" s="9">
        <v>45140</v>
      </c>
      <c r="B1377" s="1" t="s">
        <v>22</v>
      </c>
      <c r="C1377" s="1">
        <v>8</v>
      </c>
      <c r="D1377" s="1">
        <v>2</v>
      </c>
      <c r="E1377" s="5">
        <v>48.01</v>
      </c>
      <c r="F1377" s="1" t="s">
        <v>18</v>
      </c>
      <c r="G1377" s="1">
        <v>2</v>
      </c>
      <c r="H1377" s="1" t="s">
        <v>16</v>
      </c>
      <c r="I1377" s="1" t="s">
        <v>16</v>
      </c>
      <c r="J1377" s="1" t="s">
        <v>16</v>
      </c>
      <c r="K1377" s="1" t="s">
        <v>21</v>
      </c>
      <c r="L1377" s="1" t="s">
        <v>17</v>
      </c>
      <c r="M1377" s="1" t="s">
        <v>17</v>
      </c>
      <c r="N1377" s="1" t="s">
        <v>16</v>
      </c>
    </row>
    <row r="1378" spans="1:14" x14ac:dyDescent="0.25">
      <c r="A1378" s="9">
        <v>45140</v>
      </c>
      <c r="B1378" s="1" t="s">
        <v>22</v>
      </c>
      <c r="C1378" s="1">
        <v>9</v>
      </c>
      <c r="D1378" s="1">
        <v>2</v>
      </c>
      <c r="E1378" s="5">
        <v>43.93</v>
      </c>
      <c r="F1378" s="1" t="s">
        <v>18</v>
      </c>
      <c r="G1378" s="1">
        <v>2</v>
      </c>
      <c r="H1378" s="1" t="s">
        <v>16</v>
      </c>
      <c r="I1378" s="1" t="s">
        <v>16</v>
      </c>
      <c r="J1378" s="1" t="s">
        <v>16</v>
      </c>
      <c r="K1378" s="1" t="s">
        <v>17</v>
      </c>
      <c r="L1378" s="1" t="s">
        <v>17</v>
      </c>
      <c r="M1378" s="1" t="s">
        <v>17</v>
      </c>
      <c r="N1378" s="1" t="s">
        <v>16</v>
      </c>
    </row>
    <row r="1379" spans="1:14" x14ac:dyDescent="0.25">
      <c r="A1379" s="9">
        <v>45140</v>
      </c>
      <c r="B1379" s="1" t="s">
        <v>22</v>
      </c>
      <c r="C1379" s="1">
        <v>10</v>
      </c>
      <c r="D1379" s="1">
        <v>2</v>
      </c>
      <c r="E1379" s="5">
        <v>52.59</v>
      </c>
      <c r="F1379" s="1" t="s">
        <v>18</v>
      </c>
      <c r="G1379" s="1">
        <v>2</v>
      </c>
      <c r="H1379" s="1" t="s">
        <v>16</v>
      </c>
      <c r="I1379" s="1" t="s">
        <v>16</v>
      </c>
      <c r="J1379" s="1" t="s">
        <v>16</v>
      </c>
      <c r="K1379" s="1" t="s">
        <v>17</v>
      </c>
      <c r="L1379" s="1" t="s">
        <v>17</v>
      </c>
      <c r="M1379" s="1" t="s">
        <v>17</v>
      </c>
      <c r="N1379" s="1" t="s">
        <v>16</v>
      </c>
    </row>
    <row r="1380" spans="1:14" x14ac:dyDescent="0.25">
      <c r="A1380" s="9">
        <v>45140</v>
      </c>
      <c r="B1380" s="1" t="s">
        <v>22</v>
      </c>
      <c r="C1380" s="1">
        <v>11</v>
      </c>
      <c r="D1380" s="1">
        <v>3</v>
      </c>
      <c r="E1380" s="5">
        <v>31.91</v>
      </c>
      <c r="F1380" s="1" t="s">
        <v>19</v>
      </c>
      <c r="G1380" s="1">
        <v>2</v>
      </c>
      <c r="H1380" s="1" t="s">
        <v>16</v>
      </c>
      <c r="I1380" s="1" t="s">
        <v>16</v>
      </c>
      <c r="J1380" s="1" t="s">
        <v>16</v>
      </c>
      <c r="K1380" s="1" t="s">
        <v>17</v>
      </c>
      <c r="L1380" s="1" t="s">
        <v>17</v>
      </c>
      <c r="M1380" s="1" t="s">
        <v>17</v>
      </c>
      <c r="N1380" s="1" t="s">
        <v>16</v>
      </c>
    </row>
    <row r="1381" spans="1:14" x14ac:dyDescent="0.25">
      <c r="A1381" s="9">
        <v>45140</v>
      </c>
      <c r="B1381" s="1" t="s">
        <v>22</v>
      </c>
      <c r="C1381" s="1">
        <v>12</v>
      </c>
      <c r="D1381" s="1">
        <v>3</v>
      </c>
      <c r="E1381" s="5">
        <v>50.96</v>
      </c>
      <c r="F1381" s="1" t="s">
        <v>18</v>
      </c>
      <c r="G1381" s="1">
        <v>2</v>
      </c>
      <c r="H1381" s="1" t="s">
        <v>16</v>
      </c>
      <c r="I1381" s="1" t="s">
        <v>16</v>
      </c>
      <c r="J1381" s="1" t="s">
        <v>16</v>
      </c>
      <c r="K1381" s="1" t="s">
        <v>17</v>
      </c>
      <c r="L1381" s="1" t="s">
        <v>17</v>
      </c>
      <c r="M1381" s="1" t="s">
        <v>17</v>
      </c>
      <c r="N1381" s="1" t="s">
        <v>16</v>
      </c>
    </row>
    <row r="1382" spans="1:14" x14ac:dyDescent="0.25">
      <c r="A1382" s="9">
        <v>45140</v>
      </c>
      <c r="B1382" s="1" t="s">
        <v>22</v>
      </c>
      <c r="C1382" s="1">
        <v>13</v>
      </c>
      <c r="D1382" s="1">
        <v>3</v>
      </c>
      <c r="E1382" s="5">
        <v>55.77</v>
      </c>
      <c r="F1382" s="1" t="s">
        <v>18</v>
      </c>
      <c r="G1382" s="1">
        <v>2</v>
      </c>
      <c r="H1382" s="1" t="s">
        <v>16</v>
      </c>
      <c r="I1382" s="1" t="s">
        <v>16</v>
      </c>
      <c r="J1382" s="1" t="s">
        <v>16</v>
      </c>
      <c r="K1382" s="1" t="s">
        <v>17</v>
      </c>
      <c r="L1382" s="1" t="s">
        <v>17</v>
      </c>
      <c r="M1382" s="1" t="s">
        <v>17</v>
      </c>
      <c r="N1382" s="1" t="s">
        <v>16</v>
      </c>
    </row>
    <row r="1383" spans="1:14" x14ac:dyDescent="0.25">
      <c r="A1383" s="9">
        <v>45140</v>
      </c>
      <c r="B1383" s="1" t="s">
        <v>22</v>
      </c>
      <c r="C1383" s="1">
        <v>14</v>
      </c>
      <c r="D1383" s="1">
        <v>3</v>
      </c>
      <c r="E1383" s="5">
        <v>49.32</v>
      </c>
      <c r="F1383" s="1" t="s">
        <v>18</v>
      </c>
      <c r="G1383" s="1">
        <v>2</v>
      </c>
      <c r="H1383" s="1" t="s">
        <v>16</v>
      </c>
      <c r="I1383" s="1" t="s">
        <v>16</v>
      </c>
      <c r="J1383" s="1" t="s">
        <v>16</v>
      </c>
      <c r="K1383" s="1" t="s">
        <v>17</v>
      </c>
      <c r="L1383" s="1" t="s">
        <v>17</v>
      </c>
      <c r="M1383" s="1" t="s">
        <v>17</v>
      </c>
      <c r="N1383" s="1" t="s">
        <v>16</v>
      </c>
    </row>
    <row r="1384" spans="1:14" x14ac:dyDescent="0.25">
      <c r="A1384" s="9">
        <v>45140</v>
      </c>
      <c r="B1384" s="1" t="s">
        <v>22</v>
      </c>
      <c r="C1384" s="1">
        <v>15</v>
      </c>
      <c r="D1384" s="1">
        <v>3</v>
      </c>
      <c r="E1384" s="5">
        <v>54.37</v>
      </c>
      <c r="F1384" s="1" t="s">
        <v>19</v>
      </c>
      <c r="G1384" s="1">
        <v>2</v>
      </c>
      <c r="H1384" s="1" t="s">
        <v>16</v>
      </c>
      <c r="I1384" s="1" t="s">
        <v>16</v>
      </c>
      <c r="J1384" s="1" t="s">
        <v>16</v>
      </c>
      <c r="K1384" s="1" t="s">
        <v>17</v>
      </c>
      <c r="L1384" s="1" t="s">
        <v>17</v>
      </c>
      <c r="M1384" s="1" t="s">
        <v>17</v>
      </c>
      <c r="N1384" s="1" t="s">
        <v>16</v>
      </c>
    </row>
    <row r="1385" spans="1:14" x14ac:dyDescent="0.25">
      <c r="A1385" s="9">
        <v>45175</v>
      </c>
      <c r="B1385" s="1" t="s">
        <v>22</v>
      </c>
      <c r="C1385" s="1">
        <v>1</v>
      </c>
      <c r="D1385" s="1">
        <v>1</v>
      </c>
      <c r="E1385" s="5">
        <v>47.95</v>
      </c>
      <c r="F1385" s="1" t="s">
        <v>18</v>
      </c>
      <c r="G1385" s="1">
        <v>2</v>
      </c>
      <c r="H1385" s="1" t="s">
        <v>16</v>
      </c>
      <c r="I1385" s="1" t="s">
        <v>16</v>
      </c>
      <c r="J1385" s="1" t="s">
        <v>16</v>
      </c>
      <c r="K1385" s="1" t="s">
        <v>17</v>
      </c>
      <c r="L1385" s="1" t="s">
        <v>17</v>
      </c>
      <c r="M1385" s="1" t="s">
        <v>17</v>
      </c>
      <c r="N1385" s="1" t="s">
        <v>16</v>
      </c>
    </row>
    <row r="1386" spans="1:14" x14ac:dyDescent="0.25">
      <c r="A1386" s="9">
        <v>45175</v>
      </c>
      <c r="B1386" s="1" t="s">
        <v>22</v>
      </c>
      <c r="C1386" s="1">
        <v>2</v>
      </c>
      <c r="D1386" s="1">
        <v>1</v>
      </c>
      <c r="E1386" s="5">
        <v>41.47</v>
      </c>
      <c r="F1386" s="1" t="s">
        <v>19</v>
      </c>
      <c r="G1386" s="1">
        <v>2</v>
      </c>
      <c r="H1386" s="1" t="s">
        <v>16</v>
      </c>
      <c r="I1386" s="1" t="s">
        <v>16</v>
      </c>
      <c r="J1386" s="1" t="s">
        <v>16</v>
      </c>
      <c r="K1386" s="1" t="s">
        <v>17</v>
      </c>
      <c r="L1386" s="1" t="s">
        <v>17</v>
      </c>
      <c r="M1386" s="1" t="s">
        <v>17</v>
      </c>
      <c r="N1386" s="1" t="s">
        <v>16</v>
      </c>
    </row>
    <row r="1387" spans="1:14" x14ac:dyDescent="0.25">
      <c r="A1387" s="9">
        <v>45175</v>
      </c>
      <c r="B1387" s="1" t="s">
        <v>22</v>
      </c>
      <c r="C1387" s="1">
        <v>3</v>
      </c>
      <c r="D1387" s="1">
        <v>1</v>
      </c>
      <c r="E1387" s="5">
        <v>49.08</v>
      </c>
      <c r="F1387" s="1" t="s">
        <v>19</v>
      </c>
      <c r="G1387" s="1">
        <v>2</v>
      </c>
      <c r="H1387" s="1" t="s">
        <v>16</v>
      </c>
      <c r="I1387" s="1" t="s">
        <v>16</v>
      </c>
      <c r="J1387" s="1" t="s">
        <v>16</v>
      </c>
      <c r="K1387" s="1" t="s">
        <v>17</v>
      </c>
      <c r="L1387" s="1" t="s">
        <v>17</v>
      </c>
      <c r="M1387" s="1" t="s">
        <v>17</v>
      </c>
      <c r="N1387" s="1" t="s">
        <v>16</v>
      </c>
    </row>
    <row r="1388" spans="1:14" x14ac:dyDescent="0.25">
      <c r="A1388" s="9">
        <v>45175</v>
      </c>
      <c r="B1388" s="1" t="s">
        <v>22</v>
      </c>
      <c r="C1388" s="1">
        <v>4</v>
      </c>
      <c r="D1388" s="1">
        <v>1</v>
      </c>
      <c r="E1388" s="5">
        <v>54.23</v>
      </c>
      <c r="F1388" s="1" t="s">
        <v>18</v>
      </c>
      <c r="G1388" s="1">
        <v>2</v>
      </c>
      <c r="H1388" s="1" t="s">
        <v>16</v>
      </c>
      <c r="I1388" s="1" t="s">
        <v>16</v>
      </c>
      <c r="J1388" s="1" t="s">
        <v>16</v>
      </c>
      <c r="K1388" s="1" t="s">
        <v>17</v>
      </c>
      <c r="L1388" s="1" t="s">
        <v>17</v>
      </c>
      <c r="M1388" s="1" t="s">
        <v>17</v>
      </c>
      <c r="N1388" s="1" t="s">
        <v>16</v>
      </c>
    </row>
    <row r="1389" spans="1:14" x14ac:dyDescent="0.25">
      <c r="A1389" s="9">
        <v>45175</v>
      </c>
      <c r="B1389" s="1" t="s">
        <v>22</v>
      </c>
      <c r="C1389" s="1">
        <v>5</v>
      </c>
      <c r="D1389" s="1">
        <v>1</v>
      </c>
      <c r="E1389" s="5">
        <v>44.29</v>
      </c>
      <c r="F1389" s="1" t="s">
        <v>18</v>
      </c>
      <c r="G1389" s="1">
        <v>2</v>
      </c>
      <c r="H1389" s="1" t="s">
        <v>16</v>
      </c>
      <c r="I1389" s="1" t="s">
        <v>16</v>
      </c>
      <c r="J1389" s="1" t="s">
        <v>16</v>
      </c>
      <c r="K1389" s="1" t="s">
        <v>17</v>
      </c>
      <c r="L1389" s="1" t="s">
        <v>17</v>
      </c>
      <c r="M1389" s="1" t="s">
        <v>17</v>
      </c>
      <c r="N1389" s="1" t="s">
        <v>16</v>
      </c>
    </row>
    <row r="1390" spans="1:14" x14ac:dyDescent="0.25">
      <c r="A1390" s="9">
        <v>45175</v>
      </c>
      <c r="B1390" s="1" t="s">
        <v>22</v>
      </c>
      <c r="C1390" s="1">
        <v>6</v>
      </c>
      <c r="D1390" s="1">
        <v>2</v>
      </c>
      <c r="E1390" s="5">
        <v>43.91</v>
      </c>
      <c r="F1390" s="1" t="s">
        <v>19</v>
      </c>
      <c r="G1390" s="1">
        <v>2</v>
      </c>
      <c r="H1390" s="1" t="s">
        <v>16</v>
      </c>
      <c r="I1390" s="1" t="s">
        <v>16</v>
      </c>
      <c r="J1390" s="1" t="s">
        <v>16</v>
      </c>
      <c r="K1390" s="1" t="s">
        <v>17</v>
      </c>
      <c r="L1390" s="1" t="s">
        <v>17</v>
      </c>
      <c r="M1390" s="1" t="s">
        <v>17</v>
      </c>
      <c r="N1390" s="1" t="s">
        <v>16</v>
      </c>
    </row>
    <row r="1391" spans="1:14" x14ac:dyDescent="0.25">
      <c r="A1391" s="9">
        <v>45175</v>
      </c>
      <c r="B1391" s="1" t="s">
        <v>22</v>
      </c>
      <c r="C1391" s="1">
        <v>7</v>
      </c>
      <c r="D1391" s="1">
        <v>2</v>
      </c>
      <c r="E1391" s="5">
        <v>44.53</v>
      </c>
      <c r="F1391" s="1" t="s">
        <v>18</v>
      </c>
      <c r="G1391" s="1">
        <v>2</v>
      </c>
      <c r="H1391" s="1" t="s">
        <v>16</v>
      </c>
      <c r="I1391" s="1" t="s">
        <v>16</v>
      </c>
      <c r="J1391" s="1" t="s">
        <v>16</v>
      </c>
      <c r="K1391" s="1" t="s">
        <v>17</v>
      </c>
      <c r="L1391" s="1" t="s">
        <v>17</v>
      </c>
      <c r="M1391" s="1" t="s">
        <v>17</v>
      </c>
      <c r="N1391" s="1" t="s">
        <v>16</v>
      </c>
    </row>
    <row r="1392" spans="1:14" x14ac:dyDescent="0.25">
      <c r="A1392" s="9">
        <v>45175</v>
      </c>
      <c r="B1392" s="1" t="s">
        <v>22</v>
      </c>
      <c r="C1392" s="1">
        <v>8</v>
      </c>
      <c r="D1392" s="1">
        <v>2</v>
      </c>
      <c r="E1392" s="5">
        <v>64.06</v>
      </c>
      <c r="F1392" s="1" t="s">
        <v>19</v>
      </c>
      <c r="G1392" s="1">
        <v>2</v>
      </c>
      <c r="H1392" s="1" t="s">
        <v>16</v>
      </c>
      <c r="I1392" s="1" t="s">
        <v>16</v>
      </c>
      <c r="J1392" s="1" t="s">
        <v>16</v>
      </c>
      <c r="K1392" s="1" t="s">
        <v>17</v>
      </c>
      <c r="L1392" s="1" t="s">
        <v>17</v>
      </c>
      <c r="M1392" s="1" t="s">
        <v>17</v>
      </c>
      <c r="N1392" s="1" t="s">
        <v>16</v>
      </c>
    </row>
    <row r="1393" spans="1:14" x14ac:dyDescent="0.25">
      <c r="A1393" s="9">
        <v>45175</v>
      </c>
      <c r="B1393" s="1" t="s">
        <v>22</v>
      </c>
      <c r="C1393" s="1">
        <v>9</v>
      </c>
      <c r="D1393" s="1">
        <v>2</v>
      </c>
      <c r="E1393" s="5">
        <v>39.340000000000003</v>
      </c>
      <c r="F1393" s="1" t="s">
        <v>19</v>
      </c>
      <c r="G1393" s="1">
        <v>2</v>
      </c>
      <c r="H1393" s="1" t="s">
        <v>16</v>
      </c>
      <c r="I1393" s="1" t="s">
        <v>16</v>
      </c>
      <c r="J1393" s="1" t="s">
        <v>16</v>
      </c>
      <c r="K1393" s="1" t="s">
        <v>17</v>
      </c>
      <c r="L1393" s="1" t="s">
        <v>17</v>
      </c>
      <c r="M1393" s="1" t="s">
        <v>17</v>
      </c>
      <c r="N1393" s="1" t="s">
        <v>16</v>
      </c>
    </row>
    <row r="1394" spans="1:14" x14ac:dyDescent="0.25">
      <c r="A1394" s="9">
        <v>45175</v>
      </c>
      <c r="B1394" s="1" t="s">
        <v>22</v>
      </c>
      <c r="C1394" s="1">
        <v>10</v>
      </c>
      <c r="D1394" s="1">
        <v>2</v>
      </c>
      <c r="E1394" s="5">
        <v>40.58</v>
      </c>
      <c r="F1394" s="1" t="s">
        <v>18</v>
      </c>
      <c r="G1394" s="1">
        <v>2</v>
      </c>
      <c r="H1394" s="1" t="s">
        <v>16</v>
      </c>
      <c r="I1394" s="1" t="s">
        <v>16</v>
      </c>
      <c r="J1394" s="1" t="s">
        <v>16</v>
      </c>
      <c r="K1394" s="1" t="s">
        <v>17</v>
      </c>
      <c r="L1394" s="1" t="s">
        <v>17</v>
      </c>
      <c r="M1394" s="1" t="s">
        <v>17</v>
      </c>
      <c r="N1394" s="1" t="s">
        <v>16</v>
      </c>
    </row>
    <row r="1395" spans="1:14" x14ac:dyDescent="0.25">
      <c r="A1395" s="9">
        <v>45175</v>
      </c>
      <c r="B1395" s="1" t="s">
        <v>22</v>
      </c>
      <c r="C1395" s="1">
        <v>11</v>
      </c>
      <c r="D1395" s="1">
        <v>3</v>
      </c>
      <c r="E1395" s="5">
        <v>57.37</v>
      </c>
      <c r="F1395" s="1" t="s">
        <v>19</v>
      </c>
      <c r="G1395" s="1">
        <v>2</v>
      </c>
      <c r="H1395" s="1" t="s">
        <v>16</v>
      </c>
      <c r="I1395" s="1" t="s">
        <v>16</v>
      </c>
      <c r="J1395" s="1" t="s">
        <v>16</v>
      </c>
      <c r="K1395" s="1" t="s">
        <v>17</v>
      </c>
      <c r="L1395" s="1" t="s">
        <v>17</v>
      </c>
      <c r="M1395" s="1" t="s">
        <v>17</v>
      </c>
      <c r="N1395" s="1" t="s">
        <v>16</v>
      </c>
    </row>
    <row r="1396" spans="1:14" x14ac:dyDescent="0.25">
      <c r="A1396" s="9">
        <v>45175</v>
      </c>
      <c r="B1396" s="1" t="s">
        <v>22</v>
      </c>
      <c r="C1396" s="1">
        <v>12</v>
      </c>
      <c r="D1396" s="1">
        <v>3</v>
      </c>
      <c r="E1396" s="5">
        <v>61.95</v>
      </c>
      <c r="F1396" s="1" t="s">
        <v>19</v>
      </c>
      <c r="G1396" s="1">
        <v>2</v>
      </c>
      <c r="H1396" s="1" t="s">
        <v>16</v>
      </c>
      <c r="I1396" s="1" t="s">
        <v>16</v>
      </c>
      <c r="J1396" s="1" t="s">
        <v>16</v>
      </c>
      <c r="K1396" s="1" t="s">
        <v>17</v>
      </c>
      <c r="L1396" s="1" t="s">
        <v>17</v>
      </c>
      <c r="M1396" s="1" t="s">
        <v>17</v>
      </c>
      <c r="N1396" s="1" t="s">
        <v>16</v>
      </c>
    </row>
    <row r="1397" spans="1:14" x14ac:dyDescent="0.25">
      <c r="A1397" s="9">
        <v>45175</v>
      </c>
      <c r="B1397" s="1" t="s">
        <v>22</v>
      </c>
      <c r="C1397" s="1">
        <v>13</v>
      </c>
      <c r="D1397" s="1">
        <v>3</v>
      </c>
      <c r="E1397" s="5">
        <v>57.22</v>
      </c>
      <c r="F1397" s="1" t="s">
        <v>18</v>
      </c>
      <c r="G1397" s="1">
        <v>2</v>
      </c>
      <c r="H1397" s="1" t="s">
        <v>16</v>
      </c>
      <c r="I1397" s="1" t="s">
        <v>16</v>
      </c>
      <c r="J1397" s="1" t="s">
        <v>16</v>
      </c>
      <c r="K1397" s="1" t="s">
        <v>17</v>
      </c>
      <c r="L1397" s="1" t="s">
        <v>17</v>
      </c>
      <c r="M1397" s="1" t="s">
        <v>17</v>
      </c>
      <c r="N1397" s="1" t="s">
        <v>16</v>
      </c>
    </row>
    <row r="1398" spans="1:14" x14ac:dyDescent="0.25">
      <c r="A1398" s="9">
        <v>45175</v>
      </c>
      <c r="B1398" s="1" t="s">
        <v>22</v>
      </c>
      <c r="C1398" s="1">
        <v>14</v>
      </c>
      <c r="D1398" s="1">
        <v>3</v>
      </c>
      <c r="E1398" s="5">
        <v>35.42</v>
      </c>
      <c r="F1398" s="1" t="s">
        <v>19</v>
      </c>
      <c r="G1398" s="1">
        <v>2</v>
      </c>
      <c r="H1398" s="1" t="s">
        <v>16</v>
      </c>
      <c r="I1398" s="1" t="s">
        <v>16</v>
      </c>
      <c r="J1398" s="1" t="s">
        <v>16</v>
      </c>
      <c r="K1398" s="1" t="s">
        <v>17</v>
      </c>
      <c r="L1398" s="1" t="s">
        <v>17</v>
      </c>
      <c r="M1398" s="1" t="s">
        <v>17</v>
      </c>
      <c r="N1398" s="1" t="s">
        <v>16</v>
      </c>
    </row>
    <row r="1399" spans="1:14" x14ac:dyDescent="0.25">
      <c r="A1399" s="9">
        <v>45175</v>
      </c>
      <c r="B1399" s="1" t="s">
        <v>22</v>
      </c>
      <c r="C1399" s="1">
        <v>15</v>
      </c>
      <c r="D1399" s="1">
        <v>3</v>
      </c>
      <c r="E1399" s="5">
        <v>60.64</v>
      </c>
      <c r="F1399" s="1" t="s">
        <v>16</v>
      </c>
      <c r="G1399" s="1" t="s">
        <v>16</v>
      </c>
      <c r="H1399" s="1" t="s">
        <v>16</v>
      </c>
      <c r="I1399" s="1" t="s">
        <v>16</v>
      </c>
      <c r="J1399" s="1" t="s">
        <v>16</v>
      </c>
      <c r="K1399" s="1" t="s">
        <v>17</v>
      </c>
      <c r="L1399" s="1" t="s">
        <v>21</v>
      </c>
      <c r="M1399" s="1" t="s">
        <v>17</v>
      </c>
      <c r="N1399" s="1" t="s">
        <v>16</v>
      </c>
    </row>
    <row r="1400" spans="1:14" x14ac:dyDescent="0.25">
      <c r="A1400" s="9">
        <v>45202</v>
      </c>
      <c r="B1400" s="1" t="s">
        <v>22</v>
      </c>
      <c r="C1400" s="1">
        <v>1</v>
      </c>
      <c r="D1400" s="1">
        <v>1</v>
      </c>
      <c r="E1400" s="5">
        <v>42.28</v>
      </c>
      <c r="F1400" s="1" t="s">
        <v>19</v>
      </c>
      <c r="G1400" s="1">
        <v>2</v>
      </c>
      <c r="H1400" s="1" t="s">
        <v>16</v>
      </c>
      <c r="I1400" s="1" t="s">
        <v>16</v>
      </c>
      <c r="J1400" s="1" t="s">
        <v>16</v>
      </c>
      <c r="K1400" s="1" t="s">
        <v>17</v>
      </c>
      <c r="L1400" s="1" t="s">
        <v>17</v>
      </c>
      <c r="M1400" s="1" t="s">
        <v>17</v>
      </c>
      <c r="N1400" s="1" t="s">
        <v>16</v>
      </c>
    </row>
    <row r="1401" spans="1:14" x14ac:dyDescent="0.25">
      <c r="A1401" s="9">
        <v>45202</v>
      </c>
      <c r="B1401" s="1" t="s">
        <v>22</v>
      </c>
      <c r="C1401" s="1">
        <v>2</v>
      </c>
      <c r="D1401" s="1">
        <v>1</v>
      </c>
      <c r="E1401" s="5">
        <v>66.72</v>
      </c>
      <c r="F1401" s="1" t="s">
        <v>18</v>
      </c>
      <c r="G1401" s="1">
        <v>2</v>
      </c>
      <c r="H1401" s="1" t="s">
        <v>16</v>
      </c>
      <c r="I1401" s="1" t="s">
        <v>16</v>
      </c>
      <c r="J1401" s="1" t="s">
        <v>16</v>
      </c>
      <c r="K1401" s="1" t="s">
        <v>17</v>
      </c>
      <c r="L1401" s="1" t="s">
        <v>17</v>
      </c>
      <c r="M1401" s="1" t="s">
        <v>17</v>
      </c>
      <c r="N1401" s="1" t="s">
        <v>16</v>
      </c>
    </row>
    <row r="1402" spans="1:14" x14ac:dyDescent="0.25">
      <c r="A1402" s="9">
        <v>45202</v>
      </c>
      <c r="B1402" s="1" t="s">
        <v>22</v>
      </c>
      <c r="C1402" s="1">
        <v>3</v>
      </c>
      <c r="D1402" s="1">
        <v>1</v>
      </c>
      <c r="E1402" s="5">
        <v>58.78</v>
      </c>
      <c r="F1402" s="1" t="s">
        <v>18</v>
      </c>
      <c r="G1402" s="1">
        <v>2</v>
      </c>
      <c r="H1402" s="1" t="s">
        <v>16</v>
      </c>
      <c r="I1402" s="1" t="s">
        <v>16</v>
      </c>
      <c r="J1402" s="1" t="s">
        <v>16</v>
      </c>
      <c r="K1402" s="1" t="s">
        <v>17</v>
      </c>
      <c r="L1402" s="1" t="s">
        <v>17</v>
      </c>
      <c r="M1402" s="1" t="s">
        <v>17</v>
      </c>
      <c r="N1402" s="1" t="s">
        <v>16</v>
      </c>
    </row>
    <row r="1403" spans="1:14" x14ac:dyDescent="0.25">
      <c r="A1403" s="9">
        <v>45202</v>
      </c>
      <c r="B1403" s="1" t="s">
        <v>22</v>
      </c>
      <c r="C1403" s="1">
        <v>4</v>
      </c>
      <c r="D1403" s="1">
        <v>1</v>
      </c>
      <c r="E1403" s="5">
        <v>47.9</v>
      </c>
      <c r="F1403" s="1" t="s">
        <v>18</v>
      </c>
      <c r="G1403" s="1">
        <v>2</v>
      </c>
      <c r="H1403" s="1" t="s">
        <v>16</v>
      </c>
      <c r="I1403" s="1" t="s">
        <v>16</v>
      </c>
      <c r="J1403" s="1" t="s">
        <v>16</v>
      </c>
      <c r="K1403" s="1" t="s">
        <v>17</v>
      </c>
      <c r="L1403" s="1" t="s">
        <v>17</v>
      </c>
      <c r="M1403" s="1" t="s">
        <v>17</v>
      </c>
      <c r="N1403" s="1" t="s">
        <v>16</v>
      </c>
    </row>
    <row r="1404" spans="1:14" x14ac:dyDescent="0.25">
      <c r="A1404" s="9">
        <v>45202</v>
      </c>
      <c r="B1404" s="1" t="s">
        <v>22</v>
      </c>
      <c r="C1404" s="1">
        <v>5</v>
      </c>
      <c r="D1404" s="1">
        <v>1</v>
      </c>
      <c r="E1404" s="5">
        <v>46.64</v>
      </c>
      <c r="F1404" s="1" t="s">
        <v>18</v>
      </c>
      <c r="G1404" s="1">
        <v>2</v>
      </c>
      <c r="H1404" s="1" t="s">
        <v>16</v>
      </c>
      <c r="I1404" s="1" t="s">
        <v>16</v>
      </c>
      <c r="J1404" s="1" t="s">
        <v>16</v>
      </c>
      <c r="K1404" s="1" t="s">
        <v>17</v>
      </c>
      <c r="L1404" s="1" t="s">
        <v>17</v>
      </c>
      <c r="M1404" s="1" t="s">
        <v>17</v>
      </c>
      <c r="N1404" s="1" t="s">
        <v>16</v>
      </c>
    </row>
    <row r="1405" spans="1:14" x14ac:dyDescent="0.25">
      <c r="A1405" s="9">
        <v>45202</v>
      </c>
      <c r="B1405" s="1" t="s">
        <v>22</v>
      </c>
      <c r="C1405" s="1">
        <v>6</v>
      </c>
      <c r="D1405" s="1">
        <v>2</v>
      </c>
      <c r="E1405" s="5">
        <v>63.68</v>
      </c>
      <c r="F1405" s="1" t="s">
        <v>18</v>
      </c>
      <c r="G1405" s="1">
        <v>2</v>
      </c>
      <c r="H1405" s="1" t="s">
        <v>16</v>
      </c>
      <c r="I1405" s="1" t="s">
        <v>16</v>
      </c>
      <c r="J1405" s="1" t="s">
        <v>16</v>
      </c>
      <c r="K1405" s="1" t="s">
        <v>21</v>
      </c>
      <c r="L1405" s="1" t="s">
        <v>17</v>
      </c>
      <c r="M1405" s="1" t="s">
        <v>17</v>
      </c>
      <c r="N1405" s="1" t="s">
        <v>16</v>
      </c>
    </row>
    <row r="1406" spans="1:14" x14ac:dyDescent="0.25">
      <c r="A1406" s="9">
        <v>45202</v>
      </c>
      <c r="B1406" s="1" t="s">
        <v>22</v>
      </c>
      <c r="C1406" s="1">
        <v>7</v>
      </c>
      <c r="D1406" s="1">
        <v>2</v>
      </c>
      <c r="E1406" s="5">
        <v>54.22</v>
      </c>
      <c r="F1406" s="1" t="s">
        <v>18</v>
      </c>
      <c r="G1406" s="1">
        <v>2</v>
      </c>
      <c r="H1406" s="1" t="s">
        <v>16</v>
      </c>
      <c r="I1406" s="1" t="s">
        <v>16</v>
      </c>
      <c r="J1406" s="1" t="s">
        <v>16</v>
      </c>
      <c r="K1406" s="1" t="s">
        <v>17</v>
      </c>
      <c r="L1406" s="1" t="s">
        <v>17</v>
      </c>
      <c r="M1406" s="1" t="s">
        <v>17</v>
      </c>
      <c r="N1406" s="1" t="s">
        <v>16</v>
      </c>
    </row>
    <row r="1407" spans="1:14" x14ac:dyDescent="0.25">
      <c r="A1407" s="9">
        <v>45202</v>
      </c>
      <c r="B1407" s="1" t="s">
        <v>22</v>
      </c>
      <c r="C1407" s="1">
        <v>8</v>
      </c>
      <c r="D1407" s="1">
        <v>2</v>
      </c>
      <c r="E1407" s="5">
        <v>51.21</v>
      </c>
      <c r="F1407" s="1" t="s">
        <v>18</v>
      </c>
      <c r="G1407" s="1">
        <v>2</v>
      </c>
      <c r="H1407" s="1" t="s">
        <v>16</v>
      </c>
      <c r="I1407" s="1" t="s">
        <v>16</v>
      </c>
      <c r="J1407" s="1" t="s">
        <v>16</v>
      </c>
      <c r="K1407" s="1" t="s">
        <v>17</v>
      </c>
      <c r="L1407" s="1" t="s">
        <v>17</v>
      </c>
      <c r="M1407" s="1" t="s">
        <v>17</v>
      </c>
      <c r="N1407" s="1" t="s">
        <v>16</v>
      </c>
    </row>
    <row r="1408" spans="1:14" x14ac:dyDescent="0.25">
      <c r="A1408" s="9">
        <v>45202</v>
      </c>
      <c r="B1408" s="1" t="s">
        <v>22</v>
      </c>
      <c r="C1408" s="1">
        <v>9</v>
      </c>
      <c r="D1408" s="1">
        <v>2</v>
      </c>
      <c r="E1408" s="5">
        <v>44.1</v>
      </c>
      <c r="F1408" s="1" t="s">
        <v>18</v>
      </c>
      <c r="G1408" s="1">
        <v>2</v>
      </c>
      <c r="H1408" s="1" t="s">
        <v>16</v>
      </c>
      <c r="I1408" s="1" t="s">
        <v>16</v>
      </c>
      <c r="J1408" s="1" t="s">
        <v>16</v>
      </c>
      <c r="K1408" s="1" t="s">
        <v>21</v>
      </c>
      <c r="L1408" s="1" t="s">
        <v>17</v>
      </c>
      <c r="M1408" s="1" t="s">
        <v>17</v>
      </c>
      <c r="N1408" s="1" t="s">
        <v>16</v>
      </c>
    </row>
    <row r="1409" spans="1:14" x14ac:dyDescent="0.25">
      <c r="A1409" s="9">
        <v>45202</v>
      </c>
      <c r="B1409" s="1" t="s">
        <v>22</v>
      </c>
      <c r="C1409" s="1">
        <v>10</v>
      </c>
      <c r="D1409" s="1">
        <v>2</v>
      </c>
      <c r="E1409" s="5">
        <v>56.73</v>
      </c>
      <c r="F1409" s="1" t="s">
        <v>18</v>
      </c>
      <c r="G1409" s="1">
        <v>2</v>
      </c>
      <c r="H1409" s="1" t="s">
        <v>16</v>
      </c>
      <c r="I1409" s="1" t="s">
        <v>16</v>
      </c>
      <c r="J1409" s="1" t="s">
        <v>16</v>
      </c>
      <c r="K1409" s="1" t="s">
        <v>17</v>
      </c>
      <c r="L1409" s="1" t="s">
        <v>17</v>
      </c>
      <c r="M1409" s="1" t="s">
        <v>17</v>
      </c>
      <c r="N1409" s="1" t="s">
        <v>16</v>
      </c>
    </row>
    <row r="1410" spans="1:14" x14ac:dyDescent="0.25">
      <c r="A1410" s="9">
        <v>45202</v>
      </c>
      <c r="B1410" s="1" t="s">
        <v>22</v>
      </c>
      <c r="C1410" s="1">
        <v>11</v>
      </c>
      <c r="D1410" s="1">
        <v>3</v>
      </c>
      <c r="E1410" s="5">
        <v>71.989999999999995</v>
      </c>
      <c r="F1410" s="1" t="s">
        <v>18</v>
      </c>
      <c r="G1410" s="1">
        <v>2</v>
      </c>
      <c r="H1410" s="1" t="s">
        <v>16</v>
      </c>
      <c r="I1410" s="1" t="s">
        <v>16</v>
      </c>
      <c r="J1410" s="1" t="s">
        <v>16</v>
      </c>
      <c r="K1410" s="1" t="s">
        <v>17</v>
      </c>
      <c r="L1410" s="1" t="s">
        <v>17</v>
      </c>
      <c r="M1410" s="1" t="s">
        <v>17</v>
      </c>
      <c r="N1410" s="1" t="s">
        <v>16</v>
      </c>
    </row>
    <row r="1411" spans="1:14" x14ac:dyDescent="0.25">
      <c r="A1411" s="9">
        <v>45202</v>
      </c>
      <c r="B1411" s="1" t="s">
        <v>22</v>
      </c>
      <c r="C1411" s="1">
        <v>12</v>
      </c>
      <c r="D1411" s="1">
        <v>3</v>
      </c>
      <c r="E1411" s="5">
        <v>68.7</v>
      </c>
      <c r="F1411" s="1" t="s">
        <v>19</v>
      </c>
      <c r="G1411" s="1">
        <v>2</v>
      </c>
      <c r="H1411" s="1" t="s">
        <v>16</v>
      </c>
      <c r="I1411" s="1" t="s">
        <v>16</v>
      </c>
      <c r="J1411" s="1" t="s">
        <v>16</v>
      </c>
      <c r="K1411" s="1" t="s">
        <v>17</v>
      </c>
      <c r="L1411" s="1" t="s">
        <v>17</v>
      </c>
      <c r="M1411" s="1" t="s">
        <v>17</v>
      </c>
      <c r="N1411" s="1" t="s">
        <v>16</v>
      </c>
    </row>
    <row r="1412" spans="1:14" x14ac:dyDescent="0.25">
      <c r="A1412" s="9">
        <v>45202</v>
      </c>
      <c r="B1412" s="1" t="s">
        <v>22</v>
      </c>
      <c r="C1412" s="1">
        <v>13</v>
      </c>
      <c r="D1412" s="1">
        <v>3</v>
      </c>
      <c r="E1412" s="5">
        <v>71.06</v>
      </c>
      <c r="F1412" s="1" t="s">
        <v>19</v>
      </c>
      <c r="G1412" s="1">
        <v>2</v>
      </c>
      <c r="H1412" s="1" t="s">
        <v>16</v>
      </c>
      <c r="I1412" s="1" t="s">
        <v>16</v>
      </c>
      <c r="J1412" s="1" t="s">
        <v>16</v>
      </c>
      <c r="K1412" s="1" t="s">
        <v>17</v>
      </c>
      <c r="L1412" s="1" t="s">
        <v>17</v>
      </c>
      <c r="M1412" s="1" t="s">
        <v>17</v>
      </c>
      <c r="N1412" s="1" t="s">
        <v>16</v>
      </c>
    </row>
    <row r="1413" spans="1:14" x14ac:dyDescent="0.25">
      <c r="A1413" s="9">
        <v>45202</v>
      </c>
      <c r="B1413" s="1" t="s">
        <v>22</v>
      </c>
      <c r="C1413" s="1">
        <v>14</v>
      </c>
      <c r="D1413" s="1">
        <v>3</v>
      </c>
      <c r="E1413" s="5">
        <v>73.62</v>
      </c>
      <c r="F1413" s="1" t="s">
        <v>18</v>
      </c>
      <c r="G1413" s="1">
        <v>2</v>
      </c>
      <c r="H1413" s="1" t="s">
        <v>16</v>
      </c>
      <c r="I1413" s="1" t="s">
        <v>16</v>
      </c>
      <c r="J1413" s="1" t="s">
        <v>16</v>
      </c>
      <c r="K1413" s="1" t="s">
        <v>17</v>
      </c>
      <c r="L1413" s="1" t="s">
        <v>17</v>
      </c>
      <c r="M1413" s="1" t="s">
        <v>17</v>
      </c>
      <c r="N1413" s="1" t="s">
        <v>16</v>
      </c>
    </row>
    <row r="1414" spans="1:14" x14ac:dyDescent="0.25">
      <c r="A1414" s="9">
        <v>45202</v>
      </c>
      <c r="B1414" s="1" t="s">
        <v>22</v>
      </c>
      <c r="C1414" s="1">
        <v>15</v>
      </c>
      <c r="D1414" s="1">
        <v>3</v>
      </c>
      <c r="E1414" s="5">
        <v>81.99</v>
      </c>
      <c r="F1414" s="1" t="s">
        <v>18</v>
      </c>
      <c r="G1414" s="1">
        <v>2</v>
      </c>
      <c r="H1414" s="1" t="s">
        <v>16</v>
      </c>
      <c r="I1414" s="1" t="s">
        <v>16</v>
      </c>
      <c r="J1414" s="1" t="s">
        <v>16</v>
      </c>
      <c r="K1414" s="1" t="s">
        <v>21</v>
      </c>
      <c r="L1414" s="1" t="s">
        <v>17</v>
      </c>
      <c r="M1414" s="1" t="s">
        <v>17</v>
      </c>
      <c r="N1414" s="1" t="s">
        <v>16</v>
      </c>
    </row>
    <row r="1415" spans="1:14" x14ac:dyDescent="0.25">
      <c r="A1415" s="9">
        <v>45237</v>
      </c>
      <c r="B1415" s="1" t="s">
        <v>22</v>
      </c>
      <c r="C1415" s="1">
        <v>1</v>
      </c>
      <c r="D1415" s="1">
        <v>1</v>
      </c>
      <c r="E1415" s="5">
        <v>42.49</v>
      </c>
      <c r="F1415" s="1" t="s">
        <v>18</v>
      </c>
      <c r="G1415" s="1">
        <v>2</v>
      </c>
      <c r="H1415" s="1" t="s">
        <v>16</v>
      </c>
      <c r="I1415" s="1" t="s">
        <v>16</v>
      </c>
      <c r="J1415" s="1" t="s">
        <v>16</v>
      </c>
      <c r="K1415" s="1" t="s">
        <v>21</v>
      </c>
      <c r="L1415" s="1" t="s">
        <v>17</v>
      </c>
      <c r="M1415" s="1" t="s">
        <v>17</v>
      </c>
      <c r="N1415" s="1" t="s">
        <v>16</v>
      </c>
    </row>
    <row r="1416" spans="1:14" x14ac:dyDescent="0.25">
      <c r="A1416" s="9">
        <v>45237</v>
      </c>
      <c r="B1416" s="1" t="s">
        <v>22</v>
      </c>
      <c r="C1416" s="1">
        <v>2</v>
      </c>
      <c r="D1416" s="1">
        <v>1</v>
      </c>
      <c r="E1416" s="5">
        <v>32.1</v>
      </c>
      <c r="F1416" s="1" t="s">
        <v>16</v>
      </c>
      <c r="G1416" s="1">
        <v>4</v>
      </c>
      <c r="H1416" s="1" t="s">
        <v>16</v>
      </c>
      <c r="I1416" s="1" t="s">
        <v>16</v>
      </c>
      <c r="J1416" s="1" t="s">
        <v>16</v>
      </c>
      <c r="K1416" s="1" t="s">
        <v>17</v>
      </c>
      <c r="L1416" s="1" t="s">
        <v>17</v>
      </c>
      <c r="M1416" s="1" t="s">
        <v>17</v>
      </c>
      <c r="N1416" s="1" t="s">
        <v>16</v>
      </c>
    </row>
    <row r="1417" spans="1:14" x14ac:dyDescent="0.25">
      <c r="A1417" s="9">
        <v>45237</v>
      </c>
      <c r="B1417" s="1" t="s">
        <v>22</v>
      </c>
      <c r="C1417" s="1">
        <v>3</v>
      </c>
      <c r="D1417" s="1">
        <v>1</v>
      </c>
      <c r="E1417" s="5">
        <v>35.93</v>
      </c>
      <c r="F1417" s="1" t="s">
        <v>18</v>
      </c>
      <c r="G1417" s="1">
        <v>2</v>
      </c>
      <c r="H1417" s="1" t="s">
        <v>16</v>
      </c>
      <c r="I1417" s="1" t="s">
        <v>16</v>
      </c>
      <c r="J1417" s="1" t="s">
        <v>16</v>
      </c>
      <c r="K1417" s="1" t="s">
        <v>17</v>
      </c>
      <c r="L1417" s="1" t="s">
        <v>17</v>
      </c>
      <c r="M1417" s="1" t="s">
        <v>17</v>
      </c>
      <c r="N1417" s="1" t="s">
        <v>16</v>
      </c>
    </row>
    <row r="1418" spans="1:14" x14ac:dyDescent="0.25">
      <c r="A1418" s="9">
        <v>45237</v>
      </c>
      <c r="B1418" s="1" t="s">
        <v>22</v>
      </c>
      <c r="C1418" s="1">
        <v>4</v>
      </c>
      <c r="D1418" s="1">
        <v>1</v>
      </c>
      <c r="E1418" s="5">
        <v>44.23</v>
      </c>
      <c r="F1418" s="1" t="s">
        <v>18</v>
      </c>
      <c r="G1418" s="1">
        <v>2</v>
      </c>
      <c r="H1418" s="1" t="s">
        <v>16</v>
      </c>
      <c r="I1418" s="1" t="s">
        <v>16</v>
      </c>
      <c r="J1418" s="1" t="s">
        <v>16</v>
      </c>
      <c r="K1418" s="1" t="s">
        <v>17</v>
      </c>
      <c r="L1418" s="1" t="s">
        <v>17</v>
      </c>
      <c r="M1418" s="1" t="s">
        <v>17</v>
      </c>
      <c r="N1418" s="1" t="s">
        <v>16</v>
      </c>
    </row>
    <row r="1419" spans="1:14" x14ac:dyDescent="0.25">
      <c r="A1419" s="9">
        <v>45237</v>
      </c>
      <c r="B1419" s="1" t="s">
        <v>22</v>
      </c>
      <c r="C1419" s="1">
        <v>5</v>
      </c>
      <c r="D1419" s="1">
        <v>1</v>
      </c>
      <c r="E1419" s="5">
        <v>32.76</v>
      </c>
      <c r="F1419" s="1" t="s">
        <v>19</v>
      </c>
      <c r="G1419" s="1">
        <v>2</v>
      </c>
      <c r="H1419" s="1" t="s">
        <v>16</v>
      </c>
      <c r="I1419" s="1" t="s">
        <v>16</v>
      </c>
      <c r="J1419" s="1" t="s">
        <v>16</v>
      </c>
      <c r="K1419" s="1" t="s">
        <v>17</v>
      </c>
      <c r="L1419" s="1" t="s">
        <v>17</v>
      </c>
      <c r="M1419" s="1" t="s">
        <v>17</v>
      </c>
      <c r="N1419" s="1" t="s">
        <v>16</v>
      </c>
    </row>
    <row r="1420" spans="1:14" x14ac:dyDescent="0.25">
      <c r="A1420" s="9">
        <v>45237</v>
      </c>
      <c r="B1420" s="1" t="s">
        <v>22</v>
      </c>
      <c r="C1420" s="1">
        <v>6</v>
      </c>
      <c r="D1420" s="1">
        <v>2</v>
      </c>
      <c r="E1420" s="5">
        <v>34.18</v>
      </c>
      <c r="F1420" s="1" t="s">
        <v>18</v>
      </c>
      <c r="G1420" s="1">
        <v>2</v>
      </c>
      <c r="H1420" s="1" t="s">
        <v>16</v>
      </c>
      <c r="I1420" s="1" t="s">
        <v>16</v>
      </c>
      <c r="J1420" s="1" t="s">
        <v>16</v>
      </c>
      <c r="K1420" s="1" t="s">
        <v>17</v>
      </c>
      <c r="L1420" s="1" t="s">
        <v>17</v>
      </c>
      <c r="M1420" s="1" t="s">
        <v>17</v>
      </c>
      <c r="N1420" s="1" t="s">
        <v>16</v>
      </c>
    </row>
    <row r="1421" spans="1:14" x14ac:dyDescent="0.25">
      <c r="A1421" s="9">
        <v>45237</v>
      </c>
      <c r="B1421" s="1" t="s">
        <v>22</v>
      </c>
      <c r="C1421" s="1">
        <v>7</v>
      </c>
      <c r="D1421" s="1">
        <v>2</v>
      </c>
      <c r="E1421" s="5">
        <v>56.28</v>
      </c>
      <c r="F1421" s="1" t="s">
        <v>19</v>
      </c>
      <c r="G1421" s="1">
        <v>2</v>
      </c>
      <c r="H1421" s="1" t="s">
        <v>16</v>
      </c>
      <c r="I1421" s="1" t="s">
        <v>16</v>
      </c>
      <c r="J1421" s="1" t="s">
        <v>16</v>
      </c>
      <c r="K1421" s="1" t="s">
        <v>17</v>
      </c>
      <c r="L1421" s="1" t="s">
        <v>17</v>
      </c>
      <c r="M1421" s="1" t="s">
        <v>17</v>
      </c>
      <c r="N1421" s="1" t="s">
        <v>16</v>
      </c>
    </row>
    <row r="1422" spans="1:14" x14ac:dyDescent="0.25">
      <c r="A1422" s="9">
        <v>45237</v>
      </c>
      <c r="B1422" s="1" t="s">
        <v>22</v>
      </c>
      <c r="C1422" s="1">
        <v>8</v>
      </c>
      <c r="D1422" s="1">
        <v>2</v>
      </c>
      <c r="E1422" s="5">
        <v>43.38</v>
      </c>
      <c r="F1422" s="1" t="s">
        <v>18</v>
      </c>
      <c r="G1422" s="1">
        <v>2</v>
      </c>
      <c r="H1422" s="1" t="s">
        <v>16</v>
      </c>
      <c r="I1422" s="1" t="s">
        <v>16</v>
      </c>
      <c r="J1422" s="1" t="s">
        <v>16</v>
      </c>
      <c r="K1422" s="1" t="s">
        <v>17</v>
      </c>
      <c r="L1422" s="1" t="s">
        <v>17</v>
      </c>
      <c r="M1422" s="1" t="s">
        <v>17</v>
      </c>
      <c r="N1422" s="1" t="s">
        <v>16</v>
      </c>
    </row>
    <row r="1423" spans="1:14" x14ac:dyDescent="0.25">
      <c r="A1423" s="9">
        <v>45237</v>
      </c>
      <c r="B1423" s="1" t="s">
        <v>22</v>
      </c>
      <c r="C1423" s="1">
        <v>9</v>
      </c>
      <c r="D1423" s="1">
        <v>2</v>
      </c>
      <c r="E1423" s="5">
        <v>54.59</v>
      </c>
      <c r="F1423" s="1" t="s">
        <v>18</v>
      </c>
      <c r="G1423" s="1">
        <v>2</v>
      </c>
      <c r="H1423" s="1" t="s">
        <v>16</v>
      </c>
      <c r="I1423" s="1" t="s">
        <v>16</v>
      </c>
      <c r="J1423" s="1" t="s">
        <v>16</v>
      </c>
      <c r="K1423" s="1" t="s">
        <v>17</v>
      </c>
      <c r="L1423" s="1" t="s">
        <v>17</v>
      </c>
      <c r="M1423" s="1" t="s">
        <v>17</v>
      </c>
      <c r="N1423" s="1" t="s">
        <v>16</v>
      </c>
    </row>
    <row r="1424" spans="1:14" x14ac:dyDescent="0.25">
      <c r="A1424" s="9">
        <v>45237</v>
      </c>
      <c r="B1424" s="1" t="s">
        <v>22</v>
      </c>
      <c r="C1424" s="1">
        <v>10</v>
      </c>
      <c r="D1424" s="1">
        <v>2</v>
      </c>
      <c r="E1424" s="5">
        <v>37.83</v>
      </c>
      <c r="F1424" s="1" t="s">
        <v>19</v>
      </c>
      <c r="G1424" s="1">
        <v>2</v>
      </c>
      <c r="H1424" s="1" t="s">
        <v>16</v>
      </c>
      <c r="I1424" s="1" t="s">
        <v>16</v>
      </c>
      <c r="J1424" s="1" t="s">
        <v>16</v>
      </c>
      <c r="K1424" s="1" t="s">
        <v>17</v>
      </c>
      <c r="L1424" s="1" t="s">
        <v>17</v>
      </c>
      <c r="M1424" s="1" t="s">
        <v>17</v>
      </c>
      <c r="N1424" s="1" t="s">
        <v>16</v>
      </c>
    </row>
    <row r="1425" spans="1:14" x14ac:dyDescent="0.25">
      <c r="A1425" s="9">
        <v>45237</v>
      </c>
      <c r="B1425" s="1" t="s">
        <v>22</v>
      </c>
      <c r="C1425" s="1">
        <v>11</v>
      </c>
      <c r="D1425" s="1">
        <v>3</v>
      </c>
      <c r="E1425" s="5">
        <v>57.91</v>
      </c>
      <c r="F1425" s="1" t="s">
        <v>19</v>
      </c>
      <c r="G1425" s="1">
        <v>2</v>
      </c>
      <c r="H1425" s="1" t="s">
        <v>16</v>
      </c>
      <c r="I1425" s="1" t="s">
        <v>16</v>
      </c>
      <c r="J1425" s="1" t="s">
        <v>16</v>
      </c>
      <c r="K1425" s="1" t="s">
        <v>17</v>
      </c>
      <c r="L1425" s="1" t="s">
        <v>17</v>
      </c>
      <c r="M1425" s="1" t="s">
        <v>17</v>
      </c>
      <c r="N1425" s="1" t="s">
        <v>16</v>
      </c>
    </row>
    <row r="1426" spans="1:14" x14ac:dyDescent="0.25">
      <c r="A1426" s="9">
        <v>45237</v>
      </c>
      <c r="B1426" s="1" t="s">
        <v>22</v>
      </c>
      <c r="C1426" s="1">
        <v>12</v>
      </c>
      <c r="D1426" s="1">
        <v>3</v>
      </c>
      <c r="E1426" s="5">
        <v>57.12</v>
      </c>
      <c r="F1426" s="1" t="s">
        <v>16</v>
      </c>
      <c r="G1426" s="1" t="s">
        <v>16</v>
      </c>
      <c r="H1426" s="1" t="s">
        <v>16</v>
      </c>
      <c r="I1426" s="1" t="s">
        <v>16</v>
      </c>
      <c r="J1426" s="1" t="s">
        <v>16</v>
      </c>
      <c r="K1426" s="1" t="s">
        <v>17</v>
      </c>
      <c r="L1426" s="1" t="s">
        <v>21</v>
      </c>
      <c r="M1426" s="1" t="s">
        <v>17</v>
      </c>
      <c r="N1426" s="1" t="s">
        <v>16</v>
      </c>
    </row>
    <row r="1427" spans="1:14" x14ac:dyDescent="0.25">
      <c r="A1427" s="9">
        <v>45237</v>
      </c>
      <c r="B1427" s="1" t="s">
        <v>22</v>
      </c>
      <c r="C1427" s="1">
        <v>13</v>
      </c>
      <c r="D1427" s="1">
        <v>3</v>
      </c>
      <c r="E1427" s="5">
        <v>37.15</v>
      </c>
      <c r="F1427" s="1" t="s">
        <v>19</v>
      </c>
      <c r="G1427" s="1">
        <v>2</v>
      </c>
      <c r="H1427" s="1" t="s">
        <v>16</v>
      </c>
      <c r="I1427" s="1" t="s">
        <v>16</v>
      </c>
      <c r="J1427" s="1" t="s">
        <v>16</v>
      </c>
      <c r="K1427" s="1" t="s">
        <v>17</v>
      </c>
      <c r="L1427" s="1" t="s">
        <v>17</v>
      </c>
      <c r="M1427" s="1" t="s">
        <v>17</v>
      </c>
      <c r="N1427" s="1" t="s">
        <v>16</v>
      </c>
    </row>
    <row r="1428" spans="1:14" x14ac:dyDescent="0.25">
      <c r="A1428" s="9">
        <v>45237</v>
      </c>
      <c r="B1428" s="1" t="s">
        <v>22</v>
      </c>
      <c r="C1428" s="1">
        <v>14</v>
      </c>
      <c r="D1428" s="1">
        <v>3</v>
      </c>
      <c r="E1428" s="5">
        <v>63.14</v>
      </c>
      <c r="F1428" s="1" t="s">
        <v>18</v>
      </c>
      <c r="G1428" s="1">
        <v>2</v>
      </c>
      <c r="H1428" s="1" t="s">
        <v>16</v>
      </c>
      <c r="I1428" s="1" t="s">
        <v>16</v>
      </c>
      <c r="J1428" s="1" t="s">
        <v>16</v>
      </c>
      <c r="K1428" s="1" t="s">
        <v>17</v>
      </c>
      <c r="L1428" s="1" t="s">
        <v>17</v>
      </c>
      <c r="M1428" s="1" t="s">
        <v>17</v>
      </c>
      <c r="N1428" s="1" t="s">
        <v>16</v>
      </c>
    </row>
    <row r="1429" spans="1:14" x14ac:dyDescent="0.25">
      <c r="A1429" s="9">
        <v>45237</v>
      </c>
      <c r="B1429" s="1" t="s">
        <v>22</v>
      </c>
      <c r="C1429" s="1">
        <v>15</v>
      </c>
      <c r="D1429" s="1">
        <v>3</v>
      </c>
      <c r="E1429" s="5">
        <v>66.17</v>
      </c>
      <c r="F1429" s="1" t="s">
        <v>18</v>
      </c>
      <c r="G1429" s="1">
        <v>2</v>
      </c>
      <c r="H1429" s="1" t="s">
        <v>16</v>
      </c>
      <c r="I1429" s="1" t="s">
        <v>16</v>
      </c>
      <c r="J1429" s="1" t="s">
        <v>16</v>
      </c>
      <c r="K1429" s="1" t="s">
        <v>17</v>
      </c>
      <c r="L1429" s="1" t="s">
        <v>17</v>
      </c>
      <c r="M1429" s="1" t="s">
        <v>17</v>
      </c>
      <c r="N1429" s="1" t="s">
        <v>16</v>
      </c>
    </row>
    <row r="1430" spans="1:14" x14ac:dyDescent="0.25">
      <c r="A1430" s="9">
        <v>45265</v>
      </c>
      <c r="B1430" s="1" t="s">
        <v>22</v>
      </c>
      <c r="C1430" s="1">
        <v>1</v>
      </c>
      <c r="D1430" s="1">
        <v>1</v>
      </c>
      <c r="E1430" s="5">
        <v>49.83</v>
      </c>
      <c r="F1430" s="1" t="s">
        <v>16</v>
      </c>
      <c r="G1430" s="1">
        <v>4</v>
      </c>
      <c r="H1430" s="1" t="s">
        <v>16</v>
      </c>
      <c r="I1430" s="1" t="s">
        <v>16</v>
      </c>
      <c r="J1430" s="1" t="s">
        <v>16</v>
      </c>
      <c r="K1430" s="1" t="s">
        <v>21</v>
      </c>
      <c r="L1430" s="1" t="s">
        <v>17</v>
      </c>
      <c r="M1430" s="1" t="s">
        <v>17</v>
      </c>
      <c r="N1430" s="1" t="s">
        <v>16</v>
      </c>
    </row>
    <row r="1431" spans="1:14" x14ac:dyDescent="0.25">
      <c r="A1431" s="9">
        <v>45265</v>
      </c>
      <c r="B1431" s="1" t="s">
        <v>22</v>
      </c>
      <c r="C1431" s="1">
        <v>2</v>
      </c>
      <c r="D1431" s="1">
        <v>1</v>
      </c>
      <c r="E1431" s="5">
        <v>43.45</v>
      </c>
      <c r="F1431" s="1" t="s">
        <v>16</v>
      </c>
      <c r="G1431" s="1">
        <v>4</v>
      </c>
      <c r="H1431" s="1" t="s">
        <v>16</v>
      </c>
      <c r="I1431" s="1" t="s">
        <v>16</v>
      </c>
      <c r="J1431" s="1" t="s">
        <v>16</v>
      </c>
      <c r="K1431" s="1" t="s">
        <v>17</v>
      </c>
      <c r="L1431" s="1" t="s">
        <v>17</v>
      </c>
      <c r="M1431" s="1" t="s">
        <v>17</v>
      </c>
      <c r="N1431" s="1" t="s">
        <v>16</v>
      </c>
    </row>
    <row r="1432" spans="1:14" x14ac:dyDescent="0.25">
      <c r="A1432" s="9">
        <v>45265</v>
      </c>
      <c r="B1432" s="1" t="s">
        <v>22</v>
      </c>
      <c r="C1432" s="1">
        <v>3</v>
      </c>
      <c r="D1432" s="1">
        <v>1</v>
      </c>
      <c r="E1432" s="5">
        <v>42.38</v>
      </c>
      <c r="F1432" s="1" t="s">
        <v>16</v>
      </c>
      <c r="G1432" s="1">
        <v>4</v>
      </c>
      <c r="H1432" s="1" t="s">
        <v>16</v>
      </c>
      <c r="I1432" s="1" t="s">
        <v>16</v>
      </c>
      <c r="J1432" s="1" t="s">
        <v>16</v>
      </c>
      <c r="K1432" s="1" t="s">
        <v>17</v>
      </c>
      <c r="L1432" s="1" t="s">
        <v>17</v>
      </c>
      <c r="M1432" s="1" t="s">
        <v>17</v>
      </c>
      <c r="N1432" s="1" t="s">
        <v>16</v>
      </c>
    </row>
    <row r="1433" spans="1:14" x14ac:dyDescent="0.25">
      <c r="A1433" s="9">
        <v>45265</v>
      </c>
      <c r="B1433" s="1" t="s">
        <v>22</v>
      </c>
      <c r="C1433" s="1">
        <v>4</v>
      </c>
      <c r="D1433" s="1">
        <v>1</v>
      </c>
      <c r="E1433" s="5">
        <v>40.89</v>
      </c>
      <c r="F1433" s="1" t="s">
        <v>16</v>
      </c>
      <c r="G1433" s="1">
        <v>4</v>
      </c>
      <c r="H1433" s="1" t="s">
        <v>16</v>
      </c>
      <c r="I1433" s="1" t="s">
        <v>16</v>
      </c>
      <c r="J1433" s="1" t="s">
        <v>16</v>
      </c>
      <c r="K1433" s="1" t="s">
        <v>17</v>
      </c>
      <c r="L1433" s="1" t="s">
        <v>17</v>
      </c>
      <c r="M1433" s="1" t="s">
        <v>17</v>
      </c>
      <c r="N1433" s="1" t="s">
        <v>16</v>
      </c>
    </row>
    <row r="1434" spans="1:14" x14ac:dyDescent="0.25">
      <c r="A1434" s="9">
        <v>45265</v>
      </c>
      <c r="B1434" s="1" t="s">
        <v>22</v>
      </c>
      <c r="C1434" s="1">
        <v>5</v>
      </c>
      <c r="D1434" s="1">
        <v>1</v>
      </c>
      <c r="E1434" s="5">
        <v>36.47</v>
      </c>
      <c r="F1434" s="1" t="s">
        <v>16</v>
      </c>
      <c r="G1434" s="1">
        <v>4</v>
      </c>
      <c r="H1434" s="1" t="s">
        <v>16</v>
      </c>
      <c r="I1434" s="1" t="s">
        <v>16</v>
      </c>
      <c r="J1434" s="1" t="s">
        <v>16</v>
      </c>
      <c r="K1434" s="1" t="s">
        <v>17</v>
      </c>
      <c r="L1434" s="1" t="s">
        <v>17</v>
      </c>
      <c r="M1434" s="1" t="s">
        <v>17</v>
      </c>
      <c r="N1434" s="1" t="s">
        <v>16</v>
      </c>
    </row>
    <row r="1435" spans="1:14" x14ac:dyDescent="0.25">
      <c r="A1435" s="9">
        <v>45265</v>
      </c>
      <c r="B1435" s="1" t="s">
        <v>22</v>
      </c>
      <c r="C1435" s="1">
        <v>6</v>
      </c>
      <c r="D1435" s="1">
        <v>2</v>
      </c>
      <c r="E1435" s="5">
        <v>42.02</v>
      </c>
      <c r="F1435" s="1" t="s">
        <v>18</v>
      </c>
      <c r="G1435" s="1">
        <v>2</v>
      </c>
      <c r="H1435" s="1" t="s">
        <v>16</v>
      </c>
      <c r="I1435" s="1" t="s">
        <v>16</v>
      </c>
      <c r="J1435" s="1" t="s">
        <v>16</v>
      </c>
      <c r="K1435" s="1" t="s">
        <v>21</v>
      </c>
      <c r="L1435" s="1" t="s">
        <v>17</v>
      </c>
      <c r="M1435" s="1" t="s">
        <v>17</v>
      </c>
      <c r="N1435" s="1" t="s">
        <v>16</v>
      </c>
    </row>
    <row r="1436" spans="1:14" x14ac:dyDescent="0.25">
      <c r="A1436" s="9">
        <v>45265</v>
      </c>
      <c r="B1436" s="1" t="s">
        <v>22</v>
      </c>
      <c r="C1436" s="1">
        <v>7</v>
      </c>
      <c r="D1436" s="1">
        <v>2</v>
      </c>
      <c r="E1436" s="5">
        <v>48.97</v>
      </c>
      <c r="F1436" s="1" t="s">
        <v>16</v>
      </c>
      <c r="G1436" s="1">
        <v>4</v>
      </c>
      <c r="H1436" s="1" t="s">
        <v>16</v>
      </c>
      <c r="I1436" s="1" t="s">
        <v>16</v>
      </c>
      <c r="J1436" s="1" t="s">
        <v>16</v>
      </c>
      <c r="K1436" s="1" t="s">
        <v>17</v>
      </c>
      <c r="L1436" s="1" t="s">
        <v>17</v>
      </c>
      <c r="M1436" s="1" t="s">
        <v>17</v>
      </c>
      <c r="N1436" s="1" t="s">
        <v>16</v>
      </c>
    </row>
    <row r="1437" spans="1:14" x14ac:dyDescent="0.25">
      <c r="A1437" s="9">
        <v>45265</v>
      </c>
      <c r="B1437" s="1" t="s">
        <v>22</v>
      </c>
      <c r="C1437" s="1">
        <v>8</v>
      </c>
      <c r="D1437" s="1">
        <v>2</v>
      </c>
      <c r="E1437" s="5">
        <v>46.27</v>
      </c>
      <c r="F1437" s="1" t="s">
        <v>18</v>
      </c>
      <c r="G1437" s="1">
        <v>2</v>
      </c>
      <c r="H1437" s="1" t="s">
        <v>16</v>
      </c>
      <c r="I1437" s="1" t="s">
        <v>16</v>
      </c>
      <c r="J1437" s="1" t="s">
        <v>16</v>
      </c>
      <c r="K1437" s="1" t="s">
        <v>17</v>
      </c>
      <c r="L1437" s="1" t="s">
        <v>17</v>
      </c>
      <c r="M1437" s="1" t="s">
        <v>17</v>
      </c>
      <c r="N1437" s="1" t="s">
        <v>16</v>
      </c>
    </row>
    <row r="1438" spans="1:14" x14ac:dyDescent="0.25">
      <c r="A1438" s="9">
        <v>45265</v>
      </c>
      <c r="B1438" s="1" t="s">
        <v>22</v>
      </c>
      <c r="C1438" s="1">
        <v>9</v>
      </c>
      <c r="D1438" s="1">
        <v>2</v>
      </c>
      <c r="E1438" s="5">
        <v>36.9</v>
      </c>
      <c r="F1438" s="1" t="s">
        <v>19</v>
      </c>
      <c r="G1438" s="1">
        <v>2</v>
      </c>
      <c r="H1438" s="1" t="s">
        <v>16</v>
      </c>
      <c r="I1438" s="1" t="s">
        <v>16</v>
      </c>
      <c r="J1438" s="1" t="s">
        <v>16</v>
      </c>
      <c r="K1438" s="1" t="s">
        <v>17</v>
      </c>
      <c r="L1438" s="1" t="s">
        <v>17</v>
      </c>
      <c r="M1438" s="1" t="s">
        <v>17</v>
      </c>
      <c r="N1438" s="1" t="s">
        <v>16</v>
      </c>
    </row>
    <row r="1439" spans="1:14" x14ac:dyDescent="0.25">
      <c r="A1439" s="9">
        <v>45265</v>
      </c>
      <c r="B1439" s="1" t="s">
        <v>22</v>
      </c>
      <c r="C1439" s="1">
        <v>10</v>
      </c>
      <c r="D1439" s="1">
        <v>2</v>
      </c>
      <c r="E1439" s="5">
        <v>38.35</v>
      </c>
      <c r="F1439" s="1" t="s">
        <v>16</v>
      </c>
      <c r="G1439" s="1" t="s">
        <v>16</v>
      </c>
      <c r="H1439" s="1" t="s">
        <v>16</v>
      </c>
      <c r="I1439" s="1" t="s">
        <v>16</v>
      </c>
      <c r="J1439" s="1" t="s">
        <v>16</v>
      </c>
      <c r="K1439" s="1" t="s">
        <v>17</v>
      </c>
      <c r="L1439" s="1" t="s">
        <v>21</v>
      </c>
      <c r="M1439" s="1" t="s">
        <v>17</v>
      </c>
      <c r="N1439" s="1" t="s">
        <v>16</v>
      </c>
    </row>
    <row r="1440" spans="1:14" x14ac:dyDescent="0.25">
      <c r="A1440" s="9">
        <v>45265</v>
      </c>
      <c r="B1440" s="1" t="s">
        <v>22</v>
      </c>
      <c r="C1440" s="1">
        <v>11</v>
      </c>
      <c r="D1440" s="1">
        <v>3</v>
      </c>
      <c r="E1440" s="5">
        <v>75.88</v>
      </c>
      <c r="F1440" s="1" t="s">
        <v>19</v>
      </c>
      <c r="G1440" s="1">
        <v>2</v>
      </c>
      <c r="H1440" s="1" t="s">
        <v>16</v>
      </c>
      <c r="I1440" s="1" t="s">
        <v>16</v>
      </c>
      <c r="J1440" s="1" t="s">
        <v>16</v>
      </c>
      <c r="K1440" s="1" t="s">
        <v>17</v>
      </c>
      <c r="L1440" s="1" t="s">
        <v>17</v>
      </c>
      <c r="M1440" s="1" t="s">
        <v>17</v>
      </c>
      <c r="N1440" s="1" t="s">
        <v>16</v>
      </c>
    </row>
    <row r="1441" spans="1:14" x14ac:dyDescent="0.25">
      <c r="A1441" s="9">
        <v>45265</v>
      </c>
      <c r="B1441" s="1" t="s">
        <v>22</v>
      </c>
      <c r="C1441" s="1">
        <v>12</v>
      </c>
      <c r="D1441" s="1">
        <v>3</v>
      </c>
      <c r="E1441" s="5">
        <v>44.5</v>
      </c>
      <c r="F1441" s="1" t="s">
        <v>19</v>
      </c>
      <c r="G1441" s="1">
        <v>2</v>
      </c>
      <c r="H1441" s="1" t="s">
        <v>16</v>
      </c>
      <c r="I1441" s="1" t="s">
        <v>16</v>
      </c>
      <c r="J1441" s="1" t="s">
        <v>16</v>
      </c>
      <c r="K1441" s="1" t="s">
        <v>17</v>
      </c>
      <c r="L1441" s="1" t="s">
        <v>17</v>
      </c>
      <c r="M1441" s="1" t="s">
        <v>17</v>
      </c>
      <c r="N1441" s="1" t="s">
        <v>16</v>
      </c>
    </row>
    <row r="1442" spans="1:14" x14ac:dyDescent="0.25">
      <c r="A1442" s="9">
        <v>45265</v>
      </c>
      <c r="B1442" s="1" t="s">
        <v>22</v>
      </c>
      <c r="C1442" s="1">
        <v>13</v>
      </c>
      <c r="D1442" s="1">
        <v>3</v>
      </c>
      <c r="E1442" s="5">
        <v>72.64</v>
      </c>
      <c r="F1442" s="1" t="s">
        <v>16</v>
      </c>
      <c r="G1442" s="1">
        <v>4</v>
      </c>
      <c r="H1442" s="1" t="s">
        <v>16</v>
      </c>
      <c r="I1442" s="1" t="s">
        <v>16</v>
      </c>
      <c r="J1442" s="1" t="s">
        <v>16</v>
      </c>
      <c r="K1442" s="1" t="s">
        <v>21</v>
      </c>
      <c r="L1442" s="1" t="s">
        <v>17</v>
      </c>
      <c r="M1442" s="1" t="s">
        <v>17</v>
      </c>
      <c r="N1442" s="1" t="s">
        <v>16</v>
      </c>
    </row>
    <row r="1443" spans="1:14" x14ac:dyDescent="0.25">
      <c r="A1443" s="9">
        <v>45265</v>
      </c>
      <c r="B1443" s="1" t="s">
        <v>22</v>
      </c>
      <c r="C1443" s="1">
        <v>14</v>
      </c>
      <c r="D1443" s="1">
        <v>3</v>
      </c>
      <c r="E1443" s="5">
        <v>44.17</v>
      </c>
      <c r="F1443" s="1" t="s">
        <v>16</v>
      </c>
      <c r="G1443" s="1">
        <v>4</v>
      </c>
      <c r="H1443" s="1" t="s">
        <v>16</v>
      </c>
      <c r="I1443" s="1" t="s">
        <v>16</v>
      </c>
      <c r="J1443" s="1" t="s">
        <v>16</v>
      </c>
      <c r="K1443" s="1" t="s">
        <v>21</v>
      </c>
      <c r="L1443" s="1" t="s">
        <v>17</v>
      </c>
      <c r="M1443" s="1" t="s">
        <v>17</v>
      </c>
      <c r="N1443" s="1" t="s">
        <v>16</v>
      </c>
    </row>
    <row r="1444" spans="1:14" x14ac:dyDescent="0.25">
      <c r="A1444" s="9">
        <v>45265</v>
      </c>
      <c r="B1444" s="1" t="s">
        <v>22</v>
      </c>
      <c r="C1444" s="1">
        <v>15</v>
      </c>
      <c r="D1444" s="1">
        <v>3</v>
      </c>
      <c r="E1444" s="5">
        <v>32.36</v>
      </c>
      <c r="F1444" s="1" t="s">
        <v>16</v>
      </c>
      <c r="G1444" s="1">
        <v>4</v>
      </c>
      <c r="H1444" s="1" t="s">
        <v>16</v>
      </c>
      <c r="I1444" s="1" t="s">
        <v>16</v>
      </c>
      <c r="J1444" s="1" t="s">
        <v>16</v>
      </c>
      <c r="K1444" s="1" t="s">
        <v>17</v>
      </c>
      <c r="L1444" s="1" t="s">
        <v>17</v>
      </c>
      <c r="M1444" s="1" t="s">
        <v>17</v>
      </c>
      <c r="N1444" s="1" t="s">
        <v>16</v>
      </c>
    </row>
    <row r="1445" spans="1:14" x14ac:dyDescent="0.25">
      <c r="A1445" s="9">
        <v>45294</v>
      </c>
      <c r="B1445" s="1" t="s">
        <v>22</v>
      </c>
      <c r="C1445" s="1">
        <v>1</v>
      </c>
      <c r="D1445" s="1">
        <v>1</v>
      </c>
      <c r="E1445" s="5">
        <v>36.04</v>
      </c>
      <c r="F1445" s="1" t="s">
        <v>16</v>
      </c>
      <c r="G1445" s="1">
        <v>4</v>
      </c>
      <c r="H1445" s="1" t="s">
        <v>16</v>
      </c>
      <c r="I1445" s="1" t="s">
        <v>16</v>
      </c>
      <c r="J1445" s="1" t="s">
        <v>16</v>
      </c>
      <c r="K1445" s="1" t="s">
        <v>17</v>
      </c>
      <c r="L1445" s="1" t="s">
        <v>17</v>
      </c>
      <c r="M1445" s="1" t="s">
        <v>17</v>
      </c>
      <c r="N1445" s="1" t="s">
        <v>16</v>
      </c>
    </row>
    <row r="1446" spans="1:14" x14ac:dyDescent="0.25">
      <c r="A1446" s="9">
        <v>45294</v>
      </c>
      <c r="B1446" s="1" t="s">
        <v>22</v>
      </c>
      <c r="C1446" s="1">
        <v>2</v>
      </c>
      <c r="D1446" s="1">
        <v>1</v>
      </c>
      <c r="E1446" s="5">
        <v>48.17</v>
      </c>
      <c r="F1446" s="1" t="s">
        <v>16</v>
      </c>
      <c r="G1446" s="1">
        <v>4</v>
      </c>
      <c r="H1446" s="1" t="s">
        <v>16</v>
      </c>
      <c r="I1446" s="1" t="s">
        <v>16</v>
      </c>
      <c r="J1446" s="1" t="s">
        <v>16</v>
      </c>
      <c r="K1446" s="1" t="s">
        <v>17</v>
      </c>
      <c r="L1446" s="1" t="s">
        <v>17</v>
      </c>
      <c r="M1446" s="1" t="s">
        <v>21</v>
      </c>
      <c r="N1446" s="1" t="s">
        <v>16</v>
      </c>
    </row>
    <row r="1447" spans="1:14" x14ac:dyDescent="0.25">
      <c r="A1447" s="9">
        <v>45294</v>
      </c>
      <c r="B1447" s="1" t="s">
        <v>22</v>
      </c>
      <c r="C1447" s="1">
        <v>3</v>
      </c>
      <c r="D1447" s="1">
        <v>1</v>
      </c>
      <c r="E1447" s="5">
        <v>36.340000000000003</v>
      </c>
      <c r="F1447" s="1" t="s">
        <v>16</v>
      </c>
      <c r="G1447" s="1" t="s">
        <v>16</v>
      </c>
      <c r="H1447" s="1" t="s">
        <v>16</v>
      </c>
      <c r="I1447" s="1" t="s">
        <v>16</v>
      </c>
      <c r="J1447" s="1" t="s">
        <v>16</v>
      </c>
      <c r="K1447" s="1" t="s">
        <v>17</v>
      </c>
      <c r="L1447" s="1" t="s">
        <v>17</v>
      </c>
      <c r="M1447" s="1" t="s">
        <v>21</v>
      </c>
      <c r="N1447" s="1" t="s">
        <v>16</v>
      </c>
    </row>
    <row r="1448" spans="1:14" x14ac:dyDescent="0.25">
      <c r="A1448" s="9">
        <v>45294</v>
      </c>
      <c r="B1448" s="1" t="s">
        <v>22</v>
      </c>
      <c r="C1448" s="1">
        <v>4</v>
      </c>
      <c r="D1448" s="1">
        <v>1</v>
      </c>
      <c r="E1448" s="5">
        <v>26.5</v>
      </c>
      <c r="F1448" s="1" t="s">
        <v>16</v>
      </c>
      <c r="G1448" s="1" t="s">
        <v>16</v>
      </c>
      <c r="H1448" s="1" t="s">
        <v>16</v>
      </c>
      <c r="I1448" s="1" t="s">
        <v>16</v>
      </c>
      <c r="J1448" s="1" t="s">
        <v>16</v>
      </c>
      <c r="K1448" s="1" t="s">
        <v>17</v>
      </c>
      <c r="L1448" s="1" t="s">
        <v>17</v>
      </c>
      <c r="M1448" s="1" t="s">
        <v>21</v>
      </c>
      <c r="N1448" s="1" t="s">
        <v>16</v>
      </c>
    </row>
    <row r="1449" spans="1:14" x14ac:dyDescent="0.25">
      <c r="A1449" s="9">
        <v>45294</v>
      </c>
      <c r="B1449" s="1" t="s">
        <v>22</v>
      </c>
      <c r="C1449" s="1">
        <v>5</v>
      </c>
      <c r="D1449" s="1">
        <v>1</v>
      </c>
      <c r="E1449" s="5">
        <v>51.4</v>
      </c>
      <c r="F1449" s="1" t="s">
        <v>18</v>
      </c>
      <c r="G1449" s="1">
        <v>3</v>
      </c>
      <c r="H1449" s="1" t="s">
        <v>16</v>
      </c>
      <c r="I1449" s="1" t="s">
        <v>16</v>
      </c>
      <c r="J1449" s="1" t="s">
        <v>16</v>
      </c>
      <c r="K1449" s="1" t="s">
        <v>17</v>
      </c>
      <c r="L1449" s="1" t="s">
        <v>17</v>
      </c>
      <c r="M1449" s="1" t="s">
        <v>17</v>
      </c>
      <c r="N1449" s="1" t="s">
        <v>16</v>
      </c>
    </row>
    <row r="1450" spans="1:14" x14ac:dyDescent="0.25">
      <c r="A1450" s="9">
        <v>45294</v>
      </c>
      <c r="B1450" s="1" t="s">
        <v>22</v>
      </c>
      <c r="C1450" s="1">
        <v>6</v>
      </c>
      <c r="D1450" s="1">
        <v>2</v>
      </c>
      <c r="E1450" s="5">
        <v>63.25</v>
      </c>
      <c r="F1450" s="1" t="s">
        <v>18</v>
      </c>
      <c r="G1450" s="1">
        <v>2</v>
      </c>
      <c r="H1450" s="1" t="s">
        <v>16</v>
      </c>
      <c r="I1450" s="1" t="s">
        <v>16</v>
      </c>
      <c r="J1450" s="1" t="s">
        <v>16</v>
      </c>
      <c r="K1450" s="1" t="s">
        <v>17</v>
      </c>
      <c r="L1450" s="1" t="s">
        <v>17</v>
      </c>
      <c r="M1450" s="1" t="s">
        <v>17</v>
      </c>
      <c r="N1450" s="1" t="s">
        <v>16</v>
      </c>
    </row>
    <row r="1451" spans="1:14" x14ac:dyDescent="0.25">
      <c r="A1451" s="9">
        <v>45294</v>
      </c>
      <c r="B1451" s="1" t="s">
        <v>22</v>
      </c>
      <c r="C1451" s="1">
        <v>7</v>
      </c>
      <c r="D1451" s="1">
        <v>2</v>
      </c>
      <c r="E1451" s="5">
        <v>55.08</v>
      </c>
      <c r="F1451" s="1" t="s">
        <v>19</v>
      </c>
      <c r="G1451" s="1">
        <v>2</v>
      </c>
      <c r="H1451" s="1" t="s">
        <v>16</v>
      </c>
      <c r="I1451" s="1" t="s">
        <v>16</v>
      </c>
      <c r="J1451" s="1" t="s">
        <v>16</v>
      </c>
      <c r="K1451" s="1" t="s">
        <v>17</v>
      </c>
      <c r="L1451" s="1" t="s">
        <v>17</v>
      </c>
      <c r="M1451" s="1" t="s">
        <v>17</v>
      </c>
      <c r="N1451" s="1" t="s">
        <v>16</v>
      </c>
    </row>
    <row r="1452" spans="1:14" x14ac:dyDescent="0.25">
      <c r="A1452" s="9">
        <v>45294</v>
      </c>
      <c r="B1452" s="1" t="s">
        <v>22</v>
      </c>
      <c r="C1452" s="1">
        <v>8</v>
      </c>
      <c r="D1452" s="1">
        <v>2</v>
      </c>
      <c r="E1452" s="5">
        <v>67.959999999999994</v>
      </c>
      <c r="F1452" s="1" t="s">
        <v>18</v>
      </c>
      <c r="G1452" s="1">
        <v>1</v>
      </c>
      <c r="H1452" s="1" t="s">
        <v>16</v>
      </c>
      <c r="I1452" s="1" t="s">
        <v>16</v>
      </c>
      <c r="J1452" s="1" t="s">
        <v>16</v>
      </c>
      <c r="K1452" s="1" t="s">
        <v>17</v>
      </c>
      <c r="L1452" s="1" t="s">
        <v>17</v>
      </c>
      <c r="M1452" s="1" t="s">
        <v>17</v>
      </c>
      <c r="N1452" s="1" t="s">
        <v>16</v>
      </c>
    </row>
    <row r="1453" spans="1:14" x14ac:dyDescent="0.25">
      <c r="A1453" s="9">
        <v>45294</v>
      </c>
      <c r="B1453" s="1" t="s">
        <v>22</v>
      </c>
      <c r="C1453" s="1">
        <v>9</v>
      </c>
      <c r="D1453" s="1">
        <v>2</v>
      </c>
      <c r="E1453" s="5">
        <v>28.92</v>
      </c>
      <c r="F1453" s="1" t="s">
        <v>16</v>
      </c>
      <c r="G1453" s="1" t="s">
        <v>16</v>
      </c>
      <c r="H1453" s="1" t="s">
        <v>16</v>
      </c>
      <c r="I1453" s="1" t="s">
        <v>16</v>
      </c>
      <c r="J1453" s="1" t="s">
        <v>16</v>
      </c>
      <c r="K1453" s="1" t="s">
        <v>17</v>
      </c>
      <c r="L1453" s="1" t="s">
        <v>17</v>
      </c>
      <c r="M1453" s="1" t="s">
        <v>21</v>
      </c>
      <c r="N1453" s="1" t="s">
        <v>16</v>
      </c>
    </row>
    <row r="1454" spans="1:14" x14ac:dyDescent="0.25">
      <c r="A1454" s="9">
        <v>45294</v>
      </c>
      <c r="B1454" s="1" t="s">
        <v>22</v>
      </c>
      <c r="C1454" s="1">
        <v>10</v>
      </c>
      <c r="D1454" s="1">
        <v>2</v>
      </c>
      <c r="E1454" s="5">
        <v>58.86</v>
      </c>
      <c r="F1454" s="1" t="s">
        <v>19</v>
      </c>
      <c r="G1454" s="1">
        <v>2</v>
      </c>
      <c r="H1454" s="1" t="s">
        <v>16</v>
      </c>
      <c r="I1454" s="1" t="s">
        <v>16</v>
      </c>
      <c r="J1454" s="1" t="s">
        <v>16</v>
      </c>
      <c r="K1454" s="1" t="s">
        <v>17</v>
      </c>
      <c r="L1454" s="1" t="s">
        <v>17</v>
      </c>
      <c r="M1454" s="1" t="s">
        <v>17</v>
      </c>
      <c r="N1454" s="1" t="s">
        <v>16</v>
      </c>
    </row>
    <row r="1455" spans="1:14" x14ac:dyDescent="0.25">
      <c r="A1455" s="9">
        <v>45294</v>
      </c>
      <c r="B1455" s="1" t="s">
        <v>22</v>
      </c>
      <c r="C1455" s="1">
        <v>11</v>
      </c>
      <c r="D1455" s="1">
        <v>3</v>
      </c>
      <c r="E1455" s="5">
        <v>38.909999999999997</v>
      </c>
      <c r="F1455" s="1" t="s">
        <v>19</v>
      </c>
      <c r="G1455" s="1">
        <v>2</v>
      </c>
      <c r="H1455" s="1" t="s">
        <v>16</v>
      </c>
      <c r="I1455" s="1" t="s">
        <v>16</v>
      </c>
      <c r="J1455" s="1" t="s">
        <v>16</v>
      </c>
      <c r="K1455" s="1" t="s">
        <v>17</v>
      </c>
      <c r="L1455" s="1" t="s">
        <v>17</v>
      </c>
      <c r="M1455" s="1" t="s">
        <v>17</v>
      </c>
      <c r="N1455" s="1" t="s">
        <v>16</v>
      </c>
    </row>
    <row r="1456" spans="1:14" x14ac:dyDescent="0.25">
      <c r="A1456" s="9">
        <v>45294</v>
      </c>
      <c r="B1456" s="1" t="s">
        <v>22</v>
      </c>
      <c r="C1456" s="1">
        <v>12</v>
      </c>
      <c r="D1456" s="1">
        <v>3</v>
      </c>
      <c r="E1456" s="5">
        <v>34.229999999999997</v>
      </c>
      <c r="F1456" s="1" t="s">
        <v>19</v>
      </c>
      <c r="G1456" s="1">
        <v>2</v>
      </c>
      <c r="H1456" s="1" t="s">
        <v>16</v>
      </c>
      <c r="I1456" s="1" t="s">
        <v>16</v>
      </c>
      <c r="J1456" s="1" t="s">
        <v>16</v>
      </c>
      <c r="K1456" s="1" t="s">
        <v>17</v>
      </c>
      <c r="L1456" s="1" t="s">
        <v>17</v>
      </c>
      <c r="M1456" s="1" t="s">
        <v>17</v>
      </c>
      <c r="N1456" s="1" t="s">
        <v>16</v>
      </c>
    </row>
    <row r="1457" spans="1:14" x14ac:dyDescent="0.25">
      <c r="A1457" s="9">
        <v>45294</v>
      </c>
      <c r="B1457" s="1" t="s">
        <v>22</v>
      </c>
      <c r="C1457" s="1">
        <v>13</v>
      </c>
      <c r="D1457" s="1">
        <v>3</v>
      </c>
      <c r="E1457" s="5">
        <v>49.56</v>
      </c>
      <c r="F1457" s="1" t="s">
        <v>16</v>
      </c>
      <c r="G1457" s="1">
        <v>4</v>
      </c>
      <c r="H1457" s="1" t="s">
        <v>16</v>
      </c>
      <c r="I1457" s="1" t="s">
        <v>16</v>
      </c>
      <c r="J1457" s="1" t="s">
        <v>16</v>
      </c>
      <c r="K1457" s="1" t="s">
        <v>17</v>
      </c>
      <c r="L1457" s="1" t="s">
        <v>17</v>
      </c>
      <c r="M1457" s="1" t="s">
        <v>17</v>
      </c>
      <c r="N1457" s="1" t="s">
        <v>16</v>
      </c>
    </row>
    <row r="1458" spans="1:14" x14ac:dyDescent="0.25">
      <c r="A1458" s="9">
        <v>45294</v>
      </c>
      <c r="B1458" s="1" t="s">
        <v>22</v>
      </c>
      <c r="C1458" s="1">
        <v>14</v>
      </c>
      <c r="D1458" s="1">
        <v>3</v>
      </c>
      <c r="E1458" s="5">
        <v>52.96</v>
      </c>
      <c r="F1458" s="1" t="s">
        <v>16</v>
      </c>
      <c r="G1458" s="1">
        <v>4</v>
      </c>
      <c r="H1458" s="1" t="s">
        <v>16</v>
      </c>
      <c r="I1458" s="1" t="s">
        <v>16</v>
      </c>
      <c r="J1458" s="1" t="s">
        <v>16</v>
      </c>
      <c r="K1458" s="1" t="s">
        <v>17</v>
      </c>
      <c r="L1458" s="1" t="s">
        <v>17</v>
      </c>
      <c r="M1458" s="1" t="s">
        <v>17</v>
      </c>
      <c r="N1458" s="1" t="s">
        <v>16</v>
      </c>
    </row>
    <row r="1459" spans="1:14" x14ac:dyDescent="0.25">
      <c r="A1459" s="9">
        <v>45294</v>
      </c>
      <c r="B1459" s="1" t="s">
        <v>22</v>
      </c>
      <c r="C1459" s="1">
        <v>15</v>
      </c>
      <c r="D1459" s="1">
        <v>3</v>
      </c>
      <c r="E1459" s="5">
        <v>61.65</v>
      </c>
      <c r="F1459" s="1" t="s">
        <v>18</v>
      </c>
      <c r="G1459" s="1">
        <v>2</v>
      </c>
      <c r="H1459" s="1" t="s">
        <v>16</v>
      </c>
      <c r="I1459" s="1" t="s">
        <v>16</v>
      </c>
      <c r="J1459" s="1" t="s">
        <v>16</v>
      </c>
      <c r="K1459" s="1" t="s">
        <v>17</v>
      </c>
      <c r="L1459" s="1" t="s">
        <v>17</v>
      </c>
      <c r="M1459" s="1" t="s">
        <v>17</v>
      </c>
      <c r="N1459" s="1" t="s">
        <v>16</v>
      </c>
    </row>
    <row r="1460" spans="1:14" x14ac:dyDescent="0.25">
      <c r="A1460" s="9">
        <v>45334</v>
      </c>
      <c r="B1460" s="1" t="s">
        <v>22</v>
      </c>
      <c r="C1460" s="1">
        <v>1</v>
      </c>
      <c r="D1460" s="1">
        <v>1</v>
      </c>
      <c r="E1460" s="5">
        <v>63.27</v>
      </c>
      <c r="F1460" s="1" t="s">
        <v>18</v>
      </c>
      <c r="G1460" s="1">
        <v>3</v>
      </c>
      <c r="H1460" s="1" t="s">
        <v>16</v>
      </c>
      <c r="I1460" s="1" t="s">
        <v>16</v>
      </c>
      <c r="J1460" s="1" t="s">
        <v>16</v>
      </c>
      <c r="K1460" s="1" t="s">
        <v>17</v>
      </c>
      <c r="L1460" s="1" t="s">
        <v>17</v>
      </c>
      <c r="M1460" s="1" t="s">
        <v>17</v>
      </c>
      <c r="N1460" s="1" t="s">
        <v>16</v>
      </c>
    </row>
    <row r="1461" spans="1:14" x14ac:dyDescent="0.25">
      <c r="A1461" s="9">
        <v>45334</v>
      </c>
      <c r="B1461" s="1" t="s">
        <v>22</v>
      </c>
      <c r="C1461" s="1">
        <v>2</v>
      </c>
      <c r="D1461" s="1">
        <v>1</v>
      </c>
      <c r="E1461" s="5">
        <v>54.91</v>
      </c>
      <c r="F1461" s="1" t="s">
        <v>19</v>
      </c>
      <c r="G1461" s="1">
        <v>1</v>
      </c>
      <c r="H1461" s="1" t="s">
        <v>16</v>
      </c>
      <c r="I1461" s="1" t="s">
        <v>16</v>
      </c>
      <c r="J1461" s="1" t="s">
        <v>16</v>
      </c>
      <c r="K1461" s="1" t="s">
        <v>17</v>
      </c>
      <c r="L1461" s="1" t="s">
        <v>17</v>
      </c>
      <c r="M1461" s="1" t="s">
        <v>17</v>
      </c>
      <c r="N1461" s="1" t="s">
        <v>16</v>
      </c>
    </row>
    <row r="1462" spans="1:14" x14ac:dyDescent="0.25">
      <c r="A1462" s="9">
        <v>45334</v>
      </c>
      <c r="B1462" s="1" t="s">
        <v>22</v>
      </c>
      <c r="C1462" s="1">
        <v>3</v>
      </c>
      <c r="D1462" s="1">
        <v>1</v>
      </c>
      <c r="E1462" s="5">
        <v>59.63</v>
      </c>
      <c r="F1462" s="1" t="s">
        <v>18</v>
      </c>
      <c r="G1462" s="1">
        <v>2</v>
      </c>
      <c r="H1462" s="1" t="s">
        <v>16</v>
      </c>
      <c r="I1462" s="1" t="s">
        <v>16</v>
      </c>
      <c r="J1462" s="1" t="s">
        <v>16</v>
      </c>
      <c r="K1462" s="1" t="s">
        <v>17</v>
      </c>
      <c r="L1462" s="1" t="s">
        <v>17</v>
      </c>
      <c r="M1462" s="1" t="s">
        <v>17</v>
      </c>
      <c r="N1462" s="1" t="s">
        <v>16</v>
      </c>
    </row>
    <row r="1463" spans="1:14" x14ac:dyDescent="0.25">
      <c r="A1463" s="9">
        <v>45334</v>
      </c>
      <c r="B1463" s="1" t="s">
        <v>22</v>
      </c>
      <c r="C1463" s="1">
        <v>4</v>
      </c>
      <c r="D1463" s="1">
        <v>1</v>
      </c>
      <c r="E1463" s="5">
        <v>50.48</v>
      </c>
      <c r="F1463" s="1" t="s">
        <v>18</v>
      </c>
      <c r="G1463" s="1">
        <v>1</v>
      </c>
      <c r="H1463" s="1" t="s">
        <v>16</v>
      </c>
      <c r="I1463" s="1" t="s">
        <v>16</v>
      </c>
      <c r="J1463" s="1" t="s">
        <v>16</v>
      </c>
      <c r="K1463" s="1" t="s">
        <v>17</v>
      </c>
      <c r="L1463" s="1" t="s">
        <v>17</v>
      </c>
      <c r="M1463" s="1" t="s">
        <v>17</v>
      </c>
      <c r="N1463" s="1" t="s">
        <v>16</v>
      </c>
    </row>
    <row r="1464" spans="1:14" x14ac:dyDescent="0.25">
      <c r="A1464" s="9">
        <v>45334</v>
      </c>
      <c r="B1464" s="1" t="s">
        <v>22</v>
      </c>
      <c r="C1464" s="1">
        <v>5</v>
      </c>
      <c r="D1464" s="1">
        <v>1</v>
      </c>
      <c r="E1464" s="5">
        <v>54.77</v>
      </c>
      <c r="F1464" s="1" t="s">
        <v>18</v>
      </c>
      <c r="G1464" s="1">
        <v>3</v>
      </c>
      <c r="H1464" s="1" t="s">
        <v>16</v>
      </c>
      <c r="I1464" s="1" t="s">
        <v>16</v>
      </c>
      <c r="J1464" s="1" t="s">
        <v>16</v>
      </c>
      <c r="K1464" s="1" t="s">
        <v>17</v>
      </c>
      <c r="L1464" s="1" t="s">
        <v>17</v>
      </c>
      <c r="M1464" s="1" t="s">
        <v>17</v>
      </c>
      <c r="N1464" s="1" t="s">
        <v>16</v>
      </c>
    </row>
    <row r="1465" spans="1:14" x14ac:dyDescent="0.25">
      <c r="A1465" s="9">
        <v>45334</v>
      </c>
      <c r="B1465" s="1" t="s">
        <v>22</v>
      </c>
      <c r="C1465" s="1">
        <v>6</v>
      </c>
      <c r="D1465" s="1">
        <v>2</v>
      </c>
      <c r="E1465" s="5">
        <v>65.67</v>
      </c>
      <c r="F1465" s="1" t="s">
        <v>16</v>
      </c>
      <c r="G1465" s="1">
        <v>4</v>
      </c>
      <c r="H1465" s="1" t="s">
        <v>16</v>
      </c>
      <c r="I1465" s="1" t="s">
        <v>16</v>
      </c>
      <c r="J1465" s="1" t="s">
        <v>16</v>
      </c>
      <c r="K1465" s="1" t="s">
        <v>17</v>
      </c>
      <c r="L1465" s="1" t="s">
        <v>17</v>
      </c>
      <c r="M1465" s="1" t="s">
        <v>17</v>
      </c>
      <c r="N1465" s="1" t="s">
        <v>16</v>
      </c>
    </row>
    <row r="1466" spans="1:14" x14ac:dyDescent="0.25">
      <c r="A1466" s="9">
        <v>45334</v>
      </c>
      <c r="B1466" s="1" t="s">
        <v>22</v>
      </c>
      <c r="C1466" s="1">
        <v>7</v>
      </c>
      <c r="D1466" s="1">
        <v>2</v>
      </c>
      <c r="E1466" s="5">
        <v>55.42</v>
      </c>
      <c r="F1466" s="1" t="s">
        <v>19</v>
      </c>
      <c r="G1466" s="1">
        <v>2</v>
      </c>
      <c r="H1466" s="1" t="s">
        <v>16</v>
      </c>
      <c r="I1466" s="1" t="s">
        <v>16</v>
      </c>
      <c r="J1466" s="1" t="s">
        <v>16</v>
      </c>
      <c r="K1466" s="1" t="s">
        <v>17</v>
      </c>
      <c r="L1466" s="1" t="s">
        <v>17</v>
      </c>
      <c r="M1466" s="1" t="s">
        <v>17</v>
      </c>
      <c r="N1466" s="1" t="s">
        <v>16</v>
      </c>
    </row>
    <row r="1467" spans="1:14" x14ac:dyDescent="0.25">
      <c r="A1467" s="9">
        <v>45334</v>
      </c>
      <c r="B1467" s="1" t="s">
        <v>22</v>
      </c>
      <c r="C1467" s="1">
        <v>8</v>
      </c>
      <c r="D1467" s="1">
        <v>2</v>
      </c>
      <c r="E1467" s="5">
        <v>44.36</v>
      </c>
      <c r="F1467" s="1" t="s">
        <v>18</v>
      </c>
      <c r="G1467" s="1">
        <v>2</v>
      </c>
      <c r="H1467" s="1" t="s">
        <v>16</v>
      </c>
      <c r="I1467" s="1" t="s">
        <v>16</v>
      </c>
      <c r="J1467" s="1" t="s">
        <v>16</v>
      </c>
      <c r="K1467" s="1" t="s">
        <v>17</v>
      </c>
      <c r="L1467" s="1" t="s">
        <v>17</v>
      </c>
      <c r="M1467" s="1" t="s">
        <v>17</v>
      </c>
      <c r="N1467" s="1" t="s">
        <v>16</v>
      </c>
    </row>
    <row r="1468" spans="1:14" x14ac:dyDescent="0.25">
      <c r="A1468" s="9">
        <v>45334</v>
      </c>
      <c r="B1468" s="1" t="s">
        <v>22</v>
      </c>
      <c r="C1468" s="1">
        <v>9</v>
      </c>
      <c r="D1468" s="1">
        <v>2</v>
      </c>
      <c r="E1468" s="5">
        <v>73.790000000000006</v>
      </c>
      <c r="F1468" s="1" t="s">
        <v>18</v>
      </c>
      <c r="G1468" s="1">
        <v>2</v>
      </c>
      <c r="H1468" s="1" t="s">
        <v>16</v>
      </c>
      <c r="I1468" s="1" t="s">
        <v>16</v>
      </c>
      <c r="J1468" s="1" t="s">
        <v>16</v>
      </c>
      <c r="K1468" s="1" t="s">
        <v>17</v>
      </c>
      <c r="L1468" s="1" t="s">
        <v>17</v>
      </c>
      <c r="M1468" s="1" t="s">
        <v>17</v>
      </c>
      <c r="N1468" s="1" t="s">
        <v>16</v>
      </c>
    </row>
    <row r="1469" spans="1:14" x14ac:dyDescent="0.25">
      <c r="A1469" s="9">
        <v>45334</v>
      </c>
      <c r="B1469" s="1" t="s">
        <v>22</v>
      </c>
      <c r="C1469" s="1">
        <v>10</v>
      </c>
      <c r="D1469" s="1">
        <v>2</v>
      </c>
      <c r="E1469" s="5">
        <v>50.94</v>
      </c>
      <c r="F1469" s="1" t="s">
        <v>16</v>
      </c>
      <c r="G1469" s="1">
        <v>4</v>
      </c>
      <c r="H1469" s="1" t="s">
        <v>16</v>
      </c>
      <c r="I1469" s="1" t="s">
        <v>16</v>
      </c>
      <c r="J1469" s="1" t="s">
        <v>16</v>
      </c>
      <c r="K1469" s="1" t="s">
        <v>17</v>
      </c>
      <c r="L1469" s="1" t="s">
        <v>17</v>
      </c>
      <c r="M1469" s="1" t="s">
        <v>17</v>
      </c>
      <c r="N1469" s="1" t="s">
        <v>16</v>
      </c>
    </row>
    <row r="1470" spans="1:14" x14ac:dyDescent="0.25">
      <c r="A1470" s="9">
        <v>45334</v>
      </c>
      <c r="B1470" s="1" t="s">
        <v>22</v>
      </c>
      <c r="C1470" s="1">
        <v>11</v>
      </c>
      <c r="D1470" s="1">
        <v>3</v>
      </c>
      <c r="E1470" s="5">
        <v>81.819999999999993</v>
      </c>
      <c r="F1470" s="1" t="s">
        <v>18</v>
      </c>
      <c r="G1470" s="1">
        <v>2</v>
      </c>
      <c r="H1470" s="1" t="s">
        <v>16</v>
      </c>
      <c r="I1470" s="1" t="s">
        <v>16</v>
      </c>
      <c r="J1470" s="1" t="s">
        <v>16</v>
      </c>
      <c r="K1470" s="1" t="s">
        <v>17</v>
      </c>
      <c r="L1470" s="1" t="s">
        <v>17</v>
      </c>
      <c r="M1470" s="1" t="s">
        <v>17</v>
      </c>
      <c r="N1470" s="1" t="s">
        <v>16</v>
      </c>
    </row>
    <row r="1471" spans="1:14" x14ac:dyDescent="0.25">
      <c r="A1471" s="9">
        <v>45334</v>
      </c>
      <c r="B1471" s="1" t="s">
        <v>22</v>
      </c>
      <c r="C1471" s="1">
        <v>12</v>
      </c>
      <c r="D1471" s="1">
        <v>3</v>
      </c>
      <c r="E1471" s="5">
        <v>88.81</v>
      </c>
      <c r="F1471" s="1" t="s">
        <v>18</v>
      </c>
      <c r="G1471" s="1">
        <v>2</v>
      </c>
      <c r="H1471" s="1" t="s">
        <v>16</v>
      </c>
      <c r="I1471" s="1" t="s">
        <v>16</v>
      </c>
      <c r="J1471" s="1" t="s">
        <v>16</v>
      </c>
      <c r="K1471" s="1" t="s">
        <v>17</v>
      </c>
      <c r="L1471" s="1" t="s">
        <v>17</v>
      </c>
      <c r="M1471" s="1" t="s">
        <v>17</v>
      </c>
      <c r="N1471" s="1" t="s">
        <v>16</v>
      </c>
    </row>
    <row r="1472" spans="1:14" x14ac:dyDescent="0.25">
      <c r="A1472" s="9">
        <v>45334</v>
      </c>
      <c r="B1472" s="1" t="s">
        <v>22</v>
      </c>
      <c r="C1472" s="1">
        <v>13</v>
      </c>
      <c r="D1472" s="1">
        <v>3</v>
      </c>
      <c r="E1472" s="5">
        <v>90.52</v>
      </c>
      <c r="F1472" s="1" t="s">
        <v>18</v>
      </c>
      <c r="G1472" s="1">
        <v>2</v>
      </c>
      <c r="H1472" s="1" t="s">
        <v>16</v>
      </c>
      <c r="I1472" s="1" t="s">
        <v>16</v>
      </c>
      <c r="J1472" s="1" t="s">
        <v>16</v>
      </c>
      <c r="K1472" s="1" t="s">
        <v>17</v>
      </c>
      <c r="L1472" s="1" t="s">
        <v>17</v>
      </c>
      <c r="M1472" s="1" t="s">
        <v>17</v>
      </c>
      <c r="N1472" s="1" t="s">
        <v>16</v>
      </c>
    </row>
    <row r="1473" spans="1:14" x14ac:dyDescent="0.25">
      <c r="A1473" s="9">
        <v>45334</v>
      </c>
      <c r="B1473" s="1" t="s">
        <v>22</v>
      </c>
      <c r="C1473" s="1">
        <v>14</v>
      </c>
      <c r="D1473" s="1">
        <v>3</v>
      </c>
      <c r="E1473" s="5">
        <v>48.15</v>
      </c>
      <c r="F1473" s="1" t="s">
        <v>18</v>
      </c>
      <c r="G1473" s="1">
        <v>1</v>
      </c>
      <c r="H1473" s="1" t="s">
        <v>16</v>
      </c>
      <c r="I1473" s="1" t="s">
        <v>16</v>
      </c>
      <c r="J1473" s="1" t="s">
        <v>16</v>
      </c>
      <c r="K1473" s="1" t="s">
        <v>17</v>
      </c>
      <c r="L1473" s="1" t="s">
        <v>17</v>
      </c>
      <c r="M1473" s="1" t="s">
        <v>17</v>
      </c>
      <c r="N1473" s="1" t="s">
        <v>16</v>
      </c>
    </row>
    <row r="1474" spans="1:14" x14ac:dyDescent="0.25">
      <c r="A1474" s="9">
        <v>45334</v>
      </c>
      <c r="B1474" s="1" t="s">
        <v>22</v>
      </c>
      <c r="C1474" s="1">
        <v>15</v>
      </c>
      <c r="D1474" s="1">
        <v>3</v>
      </c>
      <c r="E1474" s="5">
        <v>56.95</v>
      </c>
      <c r="F1474" s="1" t="s">
        <v>18</v>
      </c>
      <c r="G1474" s="1">
        <v>2</v>
      </c>
      <c r="H1474" s="1" t="s">
        <v>16</v>
      </c>
      <c r="I1474" s="1" t="s">
        <v>16</v>
      </c>
      <c r="J1474" s="1" t="s">
        <v>16</v>
      </c>
      <c r="K1474" s="1" t="s">
        <v>17</v>
      </c>
      <c r="L1474" s="1" t="s">
        <v>17</v>
      </c>
      <c r="M1474" s="1" t="s">
        <v>17</v>
      </c>
      <c r="N1474" s="1" t="s">
        <v>16</v>
      </c>
    </row>
    <row r="1475" spans="1:14" x14ac:dyDescent="0.25">
      <c r="A1475" s="9">
        <v>45357</v>
      </c>
      <c r="B1475" s="1" t="s">
        <v>22</v>
      </c>
      <c r="C1475" s="1">
        <v>1</v>
      </c>
      <c r="D1475" s="1">
        <v>1</v>
      </c>
      <c r="E1475" s="5">
        <v>61.06</v>
      </c>
      <c r="F1475" s="1" t="s">
        <v>19</v>
      </c>
      <c r="G1475" s="1">
        <v>2</v>
      </c>
      <c r="H1475" s="1" t="s">
        <v>16</v>
      </c>
      <c r="I1475" s="1" t="s">
        <v>16</v>
      </c>
      <c r="J1475" s="1" t="s">
        <v>16</v>
      </c>
      <c r="K1475" s="1" t="s">
        <v>17</v>
      </c>
      <c r="L1475" s="1" t="s">
        <v>17</v>
      </c>
      <c r="M1475" s="1" t="s">
        <v>17</v>
      </c>
      <c r="N1475" s="1" t="s">
        <v>16</v>
      </c>
    </row>
    <row r="1476" spans="1:14" x14ac:dyDescent="0.25">
      <c r="A1476" s="9">
        <v>45357</v>
      </c>
      <c r="B1476" s="1" t="s">
        <v>22</v>
      </c>
      <c r="C1476" s="1">
        <v>2</v>
      </c>
      <c r="D1476" s="1">
        <v>1</v>
      </c>
      <c r="E1476" s="5">
        <v>54.87</v>
      </c>
      <c r="F1476" s="1" t="s">
        <v>16</v>
      </c>
      <c r="G1476" s="1" t="s">
        <v>16</v>
      </c>
      <c r="H1476" s="1" t="s">
        <v>16</v>
      </c>
      <c r="I1476" s="1" t="s">
        <v>16</v>
      </c>
      <c r="J1476" s="1" t="s">
        <v>16</v>
      </c>
      <c r="K1476" s="1" t="s">
        <v>25</v>
      </c>
      <c r="L1476" s="1" t="s">
        <v>17</v>
      </c>
      <c r="M1476" s="1" t="s">
        <v>17</v>
      </c>
      <c r="N1476" s="1" t="s">
        <v>16</v>
      </c>
    </row>
    <row r="1477" spans="1:14" x14ac:dyDescent="0.25">
      <c r="A1477" s="9">
        <v>45357</v>
      </c>
      <c r="B1477" s="1" t="s">
        <v>22</v>
      </c>
      <c r="C1477" s="1">
        <v>3</v>
      </c>
      <c r="D1477" s="1">
        <v>1</v>
      </c>
      <c r="E1477" s="5">
        <v>77.150000000000006</v>
      </c>
      <c r="F1477" s="1" t="s">
        <v>19</v>
      </c>
      <c r="G1477" s="1">
        <v>2</v>
      </c>
      <c r="H1477" s="1" t="s">
        <v>16</v>
      </c>
      <c r="I1477" s="1" t="s">
        <v>16</v>
      </c>
      <c r="J1477" s="1" t="s">
        <v>16</v>
      </c>
      <c r="K1477" s="1" t="s">
        <v>17</v>
      </c>
      <c r="L1477" s="1" t="s">
        <v>17</v>
      </c>
      <c r="M1477" s="1" t="s">
        <v>17</v>
      </c>
      <c r="N1477" s="1" t="s">
        <v>16</v>
      </c>
    </row>
    <row r="1478" spans="1:14" x14ac:dyDescent="0.25">
      <c r="A1478" s="9">
        <v>45357</v>
      </c>
      <c r="B1478" s="1" t="s">
        <v>22</v>
      </c>
      <c r="C1478" s="1">
        <v>4</v>
      </c>
      <c r="D1478" s="1">
        <v>1</v>
      </c>
      <c r="E1478" s="5">
        <v>62.13</v>
      </c>
      <c r="F1478" s="1" t="s">
        <v>16</v>
      </c>
      <c r="G1478" s="1">
        <v>4</v>
      </c>
      <c r="H1478" s="1" t="s">
        <v>16</v>
      </c>
      <c r="I1478" s="1" t="s">
        <v>16</v>
      </c>
      <c r="J1478" s="1" t="s">
        <v>16</v>
      </c>
      <c r="K1478" s="1" t="s">
        <v>17</v>
      </c>
      <c r="L1478" s="1" t="s">
        <v>17</v>
      </c>
      <c r="M1478" s="1" t="s">
        <v>17</v>
      </c>
      <c r="N1478" s="1" t="s">
        <v>16</v>
      </c>
    </row>
    <row r="1479" spans="1:14" x14ac:dyDescent="0.25">
      <c r="A1479" s="9">
        <v>45357</v>
      </c>
      <c r="B1479" s="1" t="s">
        <v>22</v>
      </c>
      <c r="C1479" s="1">
        <v>5</v>
      </c>
      <c r="D1479" s="1">
        <v>1</v>
      </c>
      <c r="E1479" s="5">
        <v>42.72</v>
      </c>
      <c r="F1479" s="1" t="s">
        <v>18</v>
      </c>
      <c r="G1479" s="1">
        <v>2</v>
      </c>
      <c r="H1479" s="1" t="s">
        <v>16</v>
      </c>
      <c r="I1479" s="1" t="s">
        <v>16</v>
      </c>
      <c r="J1479" s="1" t="s">
        <v>16</v>
      </c>
      <c r="K1479" s="1" t="s">
        <v>17</v>
      </c>
      <c r="L1479" s="1" t="s">
        <v>17</v>
      </c>
      <c r="M1479" s="1" t="s">
        <v>17</v>
      </c>
      <c r="N1479" s="1" t="s">
        <v>16</v>
      </c>
    </row>
    <row r="1480" spans="1:14" x14ac:dyDescent="0.25">
      <c r="A1480" s="9">
        <v>45357</v>
      </c>
      <c r="B1480" s="1" t="s">
        <v>22</v>
      </c>
      <c r="C1480" s="1">
        <v>6</v>
      </c>
      <c r="D1480" s="1">
        <v>2</v>
      </c>
      <c r="E1480" s="5">
        <v>78.11</v>
      </c>
      <c r="F1480" s="1" t="s">
        <v>18</v>
      </c>
      <c r="G1480" s="1">
        <v>2</v>
      </c>
      <c r="H1480" s="1" t="s">
        <v>16</v>
      </c>
      <c r="I1480" s="1" t="s">
        <v>16</v>
      </c>
      <c r="J1480" s="1" t="s">
        <v>16</v>
      </c>
      <c r="K1480" s="1" t="s">
        <v>17</v>
      </c>
      <c r="L1480" s="1" t="s">
        <v>17</v>
      </c>
      <c r="M1480" s="1" t="s">
        <v>17</v>
      </c>
      <c r="N1480" s="1" t="s">
        <v>16</v>
      </c>
    </row>
    <row r="1481" spans="1:14" x14ac:dyDescent="0.25">
      <c r="A1481" s="9">
        <v>45357</v>
      </c>
      <c r="B1481" s="1" t="s">
        <v>22</v>
      </c>
      <c r="C1481" s="1">
        <v>7</v>
      </c>
      <c r="D1481" s="1">
        <v>2</v>
      </c>
      <c r="E1481" s="5">
        <v>45</v>
      </c>
      <c r="F1481" s="1" t="s">
        <v>18</v>
      </c>
      <c r="G1481" s="1">
        <v>2</v>
      </c>
      <c r="H1481" s="1" t="s">
        <v>16</v>
      </c>
      <c r="I1481" s="1" t="s">
        <v>16</v>
      </c>
      <c r="J1481" s="1" t="s">
        <v>16</v>
      </c>
      <c r="K1481" s="1" t="s">
        <v>17</v>
      </c>
      <c r="L1481" s="1" t="s">
        <v>17</v>
      </c>
      <c r="M1481" s="1" t="s">
        <v>17</v>
      </c>
      <c r="N1481" s="1" t="s">
        <v>16</v>
      </c>
    </row>
    <row r="1482" spans="1:14" x14ac:dyDescent="0.25">
      <c r="A1482" s="9">
        <v>45357</v>
      </c>
      <c r="B1482" s="1" t="s">
        <v>22</v>
      </c>
      <c r="C1482" s="1">
        <v>8</v>
      </c>
      <c r="D1482" s="1">
        <v>2</v>
      </c>
      <c r="E1482" s="5">
        <v>55.11</v>
      </c>
      <c r="F1482" s="1" t="s">
        <v>18</v>
      </c>
      <c r="G1482" s="1">
        <v>2</v>
      </c>
      <c r="H1482" s="1" t="s">
        <v>16</v>
      </c>
      <c r="I1482" s="1" t="s">
        <v>16</v>
      </c>
      <c r="J1482" s="1" t="s">
        <v>16</v>
      </c>
      <c r="K1482" s="1" t="s">
        <v>17</v>
      </c>
      <c r="L1482" s="1" t="s">
        <v>17</v>
      </c>
      <c r="M1482" s="1" t="s">
        <v>17</v>
      </c>
      <c r="N1482" s="1" t="s">
        <v>16</v>
      </c>
    </row>
    <row r="1483" spans="1:14" x14ac:dyDescent="0.25">
      <c r="A1483" s="9">
        <v>45357</v>
      </c>
      <c r="B1483" s="1" t="s">
        <v>22</v>
      </c>
      <c r="C1483" s="1">
        <v>9</v>
      </c>
      <c r="D1483" s="1">
        <v>2</v>
      </c>
      <c r="E1483" s="5">
        <v>41</v>
      </c>
      <c r="F1483" s="1" t="s">
        <v>19</v>
      </c>
      <c r="G1483" s="1">
        <v>2</v>
      </c>
      <c r="H1483" s="1" t="s">
        <v>16</v>
      </c>
      <c r="I1483" s="1" t="s">
        <v>16</v>
      </c>
      <c r="J1483" s="1" t="s">
        <v>16</v>
      </c>
      <c r="K1483" s="1" t="s">
        <v>17</v>
      </c>
      <c r="L1483" s="1" t="s">
        <v>17</v>
      </c>
      <c r="M1483" s="1" t="s">
        <v>17</v>
      </c>
      <c r="N1483" s="1" t="s">
        <v>16</v>
      </c>
    </row>
    <row r="1484" spans="1:14" x14ac:dyDescent="0.25">
      <c r="A1484" s="9">
        <v>45357</v>
      </c>
      <c r="B1484" s="1" t="s">
        <v>22</v>
      </c>
      <c r="C1484" s="1">
        <v>10</v>
      </c>
      <c r="D1484" s="1">
        <v>2</v>
      </c>
      <c r="E1484" s="5">
        <v>37.68</v>
      </c>
      <c r="F1484" s="1" t="s">
        <v>19</v>
      </c>
      <c r="G1484" s="1">
        <v>2</v>
      </c>
      <c r="H1484" s="1" t="s">
        <v>16</v>
      </c>
      <c r="I1484" s="1" t="s">
        <v>16</v>
      </c>
      <c r="J1484" s="1" t="s">
        <v>16</v>
      </c>
      <c r="K1484" s="1" t="s">
        <v>17</v>
      </c>
      <c r="L1484" s="1" t="s">
        <v>17</v>
      </c>
      <c r="M1484" s="1" t="s">
        <v>17</v>
      </c>
      <c r="N1484" s="1" t="s">
        <v>16</v>
      </c>
    </row>
    <row r="1485" spans="1:14" x14ac:dyDescent="0.25">
      <c r="A1485" s="9">
        <v>45357</v>
      </c>
      <c r="B1485" s="1" t="s">
        <v>22</v>
      </c>
      <c r="C1485" s="1">
        <v>11</v>
      </c>
      <c r="D1485" s="1">
        <v>3</v>
      </c>
      <c r="E1485" s="5">
        <v>54.35</v>
      </c>
      <c r="F1485" s="1" t="s">
        <v>19</v>
      </c>
      <c r="G1485" s="1">
        <v>2</v>
      </c>
      <c r="H1485" s="1" t="s">
        <v>16</v>
      </c>
      <c r="I1485" s="1" t="s">
        <v>16</v>
      </c>
      <c r="J1485" s="1" t="s">
        <v>16</v>
      </c>
      <c r="K1485" s="1" t="s">
        <v>17</v>
      </c>
      <c r="L1485" s="1" t="s">
        <v>17</v>
      </c>
      <c r="M1485" s="1" t="s">
        <v>17</v>
      </c>
      <c r="N1485" s="1" t="s">
        <v>16</v>
      </c>
    </row>
    <row r="1486" spans="1:14" x14ac:dyDescent="0.25">
      <c r="A1486" s="9">
        <v>45357</v>
      </c>
      <c r="B1486" s="1" t="s">
        <v>22</v>
      </c>
      <c r="C1486" s="1">
        <v>12</v>
      </c>
      <c r="D1486" s="1">
        <v>3</v>
      </c>
      <c r="E1486" s="5">
        <v>51.28</v>
      </c>
      <c r="F1486" s="1" t="s">
        <v>18</v>
      </c>
      <c r="G1486" s="1">
        <v>2</v>
      </c>
      <c r="H1486" s="1" t="s">
        <v>16</v>
      </c>
      <c r="I1486" s="1" t="s">
        <v>16</v>
      </c>
      <c r="J1486" s="1" t="s">
        <v>16</v>
      </c>
      <c r="K1486" s="1" t="s">
        <v>17</v>
      </c>
      <c r="L1486" s="1" t="s">
        <v>17</v>
      </c>
      <c r="M1486" s="1" t="s">
        <v>17</v>
      </c>
      <c r="N1486" s="1" t="s">
        <v>16</v>
      </c>
    </row>
    <row r="1487" spans="1:14" x14ac:dyDescent="0.25">
      <c r="A1487" s="9">
        <v>45357</v>
      </c>
      <c r="B1487" s="1" t="s">
        <v>22</v>
      </c>
      <c r="C1487" s="1">
        <v>13</v>
      </c>
      <c r="D1487" s="1">
        <v>3</v>
      </c>
      <c r="E1487" s="5">
        <v>35.85</v>
      </c>
      <c r="F1487" s="1" t="s">
        <v>18</v>
      </c>
      <c r="G1487" s="1">
        <v>1</v>
      </c>
      <c r="H1487" s="1" t="s">
        <v>16</v>
      </c>
      <c r="I1487" s="1" t="s">
        <v>16</v>
      </c>
      <c r="J1487" s="1" t="s">
        <v>16</v>
      </c>
      <c r="K1487" s="1" t="s">
        <v>17</v>
      </c>
      <c r="L1487" s="1" t="s">
        <v>17</v>
      </c>
      <c r="M1487" s="1" t="s">
        <v>17</v>
      </c>
      <c r="N1487" s="1" t="s">
        <v>16</v>
      </c>
    </row>
    <row r="1488" spans="1:14" x14ac:dyDescent="0.25">
      <c r="A1488" s="9">
        <v>45357</v>
      </c>
      <c r="B1488" s="1" t="s">
        <v>22</v>
      </c>
      <c r="C1488" s="1">
        <v>14</v>
      </c>
      <c r="D1488" s="1">
        <v>3</v>
      </c>
      <c r="E1488" s="5">
        <v>54.04</v>
      </c>
      <c r="F1488" s="1" t="s">
        <v>18</v>
      </c>
      <c r="G1488" s="1">
        <v>2</v>
      </c>
      <c r="H1488" s="1" t="s">
        <v>16</v>
      </c>
      <c r="I1488" s="1" t="s">
        <v>16</v>
      </c>
      <c r="J1488" s="1" t="s">
        <v>16</v>
      </c>
      <c r="K1488" s="1" t="s">
        <v>17</v>
      </c>
      <c r="L1488" s="1" t="s">
        <v>17</v>
      </c>
      <c r="M1488" s="1" t="s">
        <v>17</v>
      </c>
      <c r="N1488" s="1" t="s">
        <v>16</v>
      </c>
    </row>
    <row r="1489" spans="1:14" x14ac:dyDescent="0.25">
      <c r="A1489" s="9">
        <v>45357</v>
      </c>
      <c r="B1489" s="1" t="s">
        <v>22</v>
      </c>
      <c r="C1489" s="1">
        <v>15</v>
      </c>
      <c r="D1489" s="1">
        <v>3</v>
      </c>
      <c r="E1489" s="5">
        <v>84.08</v>
      </c>
      <c r="F1489" s="1" t="s">
        <v>18</v>
      </c>
      <c r="G1489" s="1">
        <v>2</v>
      </c>
      <c r="H1489" s="1" t="s">
        <v>16</v>
      </c>
      <c r="I1489" s="1" t="s">
        <v>16</v>
      </c>
      <c r="J1489" s="1" t="s">
        <v>16</v>
      </c>
      <c r="K1489" s="1" t="s">
        <v>17</v>
      </c>
      <c r="L1489" s="1" t="s">
        <v>17</v>
      </c>
      <c r="M1489" s="1" t="s">
        <v>17</v>
      </c>
      <c r="N1489" s="1" t="s">
        <v>16</v>
      </c>
    </row>
    <row r="1490" spans="1:14" x14ac:dyDescent="0.25">
      <c r="A1490" s="9">
        <v>45391</v>
      </c>
      <c r="B1490" s="1" t="s">
        <v>22</v>
      </c>
      <c r="C1490" s="1">
        <v>1</v>
      </c>
      <c r="D1490" s="1">
        <v>1</v>
      </c>
      <c r="E1490" s="5">
        <v>56.1</v>
      </c>
      <c r="F1490" s="1" t="s">
        <v>18</v>
      </c>
      <c r="G1490" s="1">
        <v>2</v>
      </c>
      <c r="H1490" s="1" t="s">
        <v>16</v>
      </c>
      <c r="I1490" s="1" t="s">
        <v>16</v>
      </c>
      <c r="J1490" s="1" t="s">
        <v>16</v>
      </c>
      <c r="K1490" s="1" t="s">
        <v>21</v>
      </c>
      <c r="L1490" s="1" t="s">
        <v>17</v>
      </c>
      <c r="M1490" s="1" t="s">
        <v>17</v>
      </c>
      <c r="N1490" s="1" t="s">
        <v>16</v>
      </c>
    </row>
    <row r="1491" spans="1:14" x14ac:dyDescent="0.25">
      <c r="A1491" s="9">
        <v>45391</v>
      </c>
      <c r="B1491" s="1" t="s">
        <v>22</v>
      </c>
      <c r="C1491" s="1">
        <v>2</v>
      </c>
      <c r="D1491" s="1">
        <v>1</v>
      </c>
      <c r="E1491" s="5">
        <v>46.75</v>
      </c>
      <c r="F1491" s="1" t="s">
        <v>19</v>
      </c>
      <c r="G1491" s="1">
        <v>2</v>
      </c>
      <c r="H1491" s="1" t="s">
        <v>16</v>
      </c>
      <c r="I1491" s="1" t="s">
        <v>16</v>
      </c>
      <c r="J1491" s="1" t="s">
        <v>16</v>
      </c>
      <c r="K1491" s="1" t="s">
        <v>17</v>
      </c>
      <c r="L1491" s="1" t="s">
        <v>17</v>
      </c>
      <c r="M1491" s="1" t="s">
        <v>17</v>
      </c>
      <c r="N1491" s="1" t="s">
        <v>16</v>
      </c>
    </row>
    <row r="1492" spans="1:14" x14ac:dyDescent="0.25">
      <c r="A1492" s="9">
        <v>45391</v>
      </c>
      <c r="B1492" s="1" t="s">
        <v>22</v>
      </c>
      <c r="C1492" s="1">
        <v>3</v>
      </c>
      <c r="D1492" s="1">
        <v>1</v>
      </c>
      <c r="E1492" s="5">
        <v>48.32</v>
      </c>
      <c r="F1492" s="1" t="s">
        <v>18</v>
      </c>
      <c r="G1492" s="1">
        <v>2</v>
      </c>
      <c r="H1492" s="1" t="s">
        <v>16</v>
      </c>
      <c r="I1492" s="1" t="s">
        <v>16</v>
      </c>
      <c r="J1492" s="1" t="s">
        <v>16</v>
      </c>
      <c r="K1492" s="1" t="s">
        <v>17</v>
      </c>
      <c r="L1492" s="1" t="s">
        <v>17</v>
      </c>
      <c r="M1492" s="1" t="s">
        <v>17</v>
      </c>
      <c r="N1492" s="1" t="s">
        <v>16</v>
      </c>
    </row>
    <row r="1493" spans="1:14" x14ac:dyDescent="0.25">
      <c r="A1493" s="9">
        <v>45391</v>
      </c>
      <c r="B1493" s="1" t="s">
        <v>22</v>
      </c>
      <c r="C1493" s="1">
        <v>4</v>
      </c>
      <c r="D1493" s="1">
        <v>1</v>
      </c>
      <c r="E1493" s="5">
        <v>39.630000000000003</v>
      </c>
      <c r="F1493" s="1" t="s">
        <v>16</v>
      </c>
      <c r="G1493" s="1">
        <v>4</v>
      </c>
      <c r="H1493" s="1" t="s">
        <v>16</v>
      </c>
      <c r="I1493" s="1" t="s">
        <v>16</v>
      </c>
      <c r="J1493" s="1" t="s">
        <v>16</v>
      </c>
      <c r="K1493" s="1" t="s">
        <v>17</v>
      </c>
      <c r="L1493" s="1" t="s">
        <v>17</v>
      </c>
      <c r="M1493" s="1" t="s">
        <v>17</v>
      </c>
      <c r="N1493" s="1" t="s">
        <v>16</v>
      </c>
    </row>
    <row r="1494" spans="1:14" x14ac:dyDescent="0.25">
      <c r="A1494" s="9">
        <v>45391</v>
      </c>
      <c r="B1494" s="1" t="s">
        <v>22</v>
      </c>
      <c r="C1494" s="1">
        <v>5</v>
      </c>
      <c r="D1494" s="1">
        <v>1</v>
      </c>
      <c r="E1494" s="5">
        <v>44.06</v>
      </c>
      <c r="F1494" s="1" t="s">
        <v>16</v>
      </c>
      <c r="G1494" s="1">
        <v>4</v>
      </c>
      <c r="H1494" s="1" t="s">
        <v>16</v>
      </c>
      <c r="I1494" s="1" t="s">
        <v>16</v>
      </c>
      <c r="J1494" s="1" t="s">
        <v>16</v>
      </c>
      <c r="K1494" s="1" t="s">
        <v>17</v>
      </c>
      <c r="L1494" s="1" t="s">
        <v>17</v>
      </c>
      <c r="M1494" s="1" t="s">
        <v>17</v>
      </c>
      <c r="N1494" s="1" t="s">
        <v>16</v>
      </c>
    </row>
    <row r="1495" spans="1:14" x14ac:dyDescent="0.25">
      <c r="A1495" s="9">
        <v>45391</v>
      </c>
      <c r="B1495" s="1" t="s">
        <v>22</v>
      </c>
      <c r="C1495" s="1">
        <v>6</v>
      </c>
      <c r="D1495" s="1">
        <v>2</v>
      </c>
      <c r="E1495" s="5">
        <v>59.26</v>
      </c>
      <c r="F1495" s="1" t="s">
        <v>18</v>
      </c>
      <c r="G1495" s="1">
        <v>2</v>
      </c>
      <c r="H1495" s="1" t="s">
        <v>16</v>
      </c>
      <c r="I1495" s="1" t="s">
        <v>16</v>
      </c>
      <c r="J1495" s="1" t="s">
        <v>16</v>
      </c>
      <c r="K1495" s="1" t="s">
        <v>17</v>
      </c>
      <c r="L1495" s="1" t="s">
        <v>17</v>
      </c>
      <c r="M1495" s="1" t="s">
        <v>17</v>
      </c>
      <c r="N1495" s="1" t="s">
        <v>16</v>
      </c>
    </row>
    <row r="1496" spans="1:14" x14ac:dyDescent="0.25">
      <c r="A1496" s="9">
        <v>45391</v>
      </c>
      <c r="B1496" s="1" t="s">
        <v>22</v>
      </c>
      <c r="C1496" s="1">
        <v>7</v>
      </c>
      <c r="D1496" s="1">
        <v>2</v>
      </c>
      <c r="E1496" s="5">
        <v>47.77</v>
      </c>
      <c r="F1496" s="1" t="s">
        <v>19</v>
      </c>
      <c r="G1496" s="1">
        <v>2</v>
      </c>
      <c r="H1496" s="1" t="s">
        <v>16</v>
      </c>
      <c r="I1496" s="1" t="s">
        <v>16</v>
      </c>
      <c r="J1496" s="1" t="s">
        <v>16</v>
      </c>
      <c r="K1496" s="1" t="s">
        <v>17</v>
      </c>
      <c r="L1496" s="1" t="s">
        <v>17</v>
      </c>
      <c r="M1496" s="1" t="s">
        <v>17</v>
      </c>
      <c r="N1496" s="1" t="s">
        <v>16</v>
      </c>
    </row>
    <row r="1497" spans="1:14" x14ac:dyDescent="0.25">
      <c r="A1497" s="9">
        <v>45391</v>
      </c>
      <c r="B1497" s="1" t="s">
        <v>22</v>
      </c>
      <c r="C1497" s="1">
        <v>8</v>
      </c>
      <c r="D1497" s="1">
        <v>2</v>
      </c>
      <c r="E1497" s="5">
        <v>49.5</v>
      </c>
      <c r="F1497" s="1" t="s">
        <v>18</v>
      </c>
      <c r="G1497" s="1">
        <v>2</v>
      </c>
      <c r="H1497" s="1" t="s">
        <v>16</v>
      </c>
      <c r="I1497" s="1" t="s">
        <v>16</v>
      </c>
      <c r="J1497" s="1" t="s">
        <v>16</v>
      </c>
      <c r="K1497" s="1" t="s">
        <v>17</v>
      </c>
      <c r="L1497" s="1" t="s">
        <v>17</v>
      </c>
      <c r="M1497" s="1" t="s">
        <v>17</v>
      </c>
      <c r="N1497" s="1" t="s">
        <v>16</v>
      </c>
    </row>
    <row r="1498" spans="1:14" x14ac:dyDescent="0.25">
      <c r="A1498" s="9">
        <v>45391</v>
      </c>
      <c r="B1498" s="1" t="s">
        <v>22</v>
      </c>
      <c r="C1498" s="1">
        <v>9</v>
      </c>
      <c r="D1498" s="1">
        <v>2</v>
      </c>
      <c r="E1498" s="5">
        <v>53.05</v>
      </c>
      <c r="F1498" s="1" t="s">
        <v>19</v>
      </c>
      <c r="G1498" s="1">
        <v>2</v>
      </c>
      <c r="H1498" s="1" t="s">
        <v>16</v>
      </c>
      <c r="I1498" s="1" t="s">
        <v>16</v>
      </c>
      <c r="J1498" s="1" t="s">
        <v>16</v>
      </c>
      <c r="K1498" s="1" t="s">
        <v>17</v>
      </c>
      <c r="L1498" s="1" t="s">
        <v>17</v>
      </c>
      <c r="M1498" s="1" t="s">
        <v>17</v>
      </c>
      <c r="N1498" s="1" t="s">
        <v>16</v>
      </c>
    </row>
    <row r="1499" spans="1:14" x14ac:dyDescent="0.25">
      <c r="A1499" s="9">
        <v>45391</v>
      </c>
      <c r="B1499" s="1" t="s">
        <v>22</v>
      </c>
      <c r="C1499" s="1">
        <v>10</v>
      </c>
      <c r="D1499" s="1">
        <v>2</v>
      </c>
      <c r="E1499" s="5">
        <v>44.1</v>
      </c>
      <c r="F1499" s="1" t="s">
        <v>19</v>
      </c>
      <c r="G1499" s="1">
        <v>2</v>
      </c>
      <c r="H1499" s="1" t="s">
        <v>16</v>
      </c>
      <c r="I1499" s="1" t="s">
        <v>16</v>
      </c>
      <c r="J1499" s="1" t="s">
        <v>16</v>
      </c>
      <c r="K1499" s="1" t="s">
        <v>21</v>
      </c>
      <c r="L1499" s="1" t="s">
        <v>17</v>
      </c>
      <c r="M1499" s="1" t="s">
        <v>17</v>
      </c>
      <c r="N1499" s="1" t="s">
        <v>16</v>
      </c>
    </row>
    <row r="1500" spans="1:14" x14ac:dyDescent="0.25">
      <c r="A1500" s="9">
        <v>45391</v>
      </c>
      <c r="B1500" s="1" t="s">
        <v>22</v>
      </c>
      <c r="C1500" s="1">
        <v>11</v>
      </c>
      <c r="D1500" s="1">
        <v>3</v>
      </c>
      <c r="E1500" s="5">
        <v>38.51</v>
      </c>
      <c r="F1500" s="1" t="s">
        <v>18</v>
      </c>
      <c r="G1500" s="1">
        <v>2</v>
      </c>
      <c r="H1500" s="1" t="s">
        <v>16</v>
      </c>
      <c r="I1500" s="1" t="s">
        <v>16</v>
      </c>
      <c r="J1500" s="1" t="s">
        <v>16</v>
      </c>
      <c r="K1500" s="1" t="s">
        <v>17</v>
      </c>
      <c r="L1500" s="1" t="s">
        <v>17</v>
      </c>
      <c r="M1500" s="1" t="s">
        <v>17</v>
      </c>
      <c r="N1500" s="1" t="s">
        <v>16</v>
      </c>
    </row>
    <row r="1501" spans="1:14" x14ac:dyDescent="0.25">
      <c r="A1501" s="9">
        <v>45391</v>
      </c>
      <c r="B1501" s="1" t="s">
        <v>22</v>
      </c>
      <c r="C1501" s="1">
        <v>12</v>
      </c>
      <c r="D1501" s="1">
        <v>3</v>
      </c>
      <c r="E1501" s="5">
        <v>47.56</v>
      </c>
      <c r="F1501" s="1" t="s">
        <v>18</v>
      </c>
      <c r="G1501" s="1">
        <v>2</v>
      </c>
      <c r="H1501" s="1" t="s">
        <v>16</v>
      </c>
      <c r="I1501" s="1" t="s">
        <v>16</v>
      </c>
      <c r="J1501" s="1" t="s">
        <v>16</v>
      </c>
      <c r="K1501" s="1" t="s">
        <v>17</v>
      </c>
      <c r="L1501" s="1" t="s">
        <v>17</v>
      </c>
      <c r="M1501" s="1" t="s">
        <v>17</v>
      </c>
      <c r="N1501" s="1" t="s">
        <v>16</v>
      </c>
    </row>
    <row r="1502" spans="1:14" x14ac:dyDescent="0.25">
      <c r="A1502" s="9">
        <v>45391</v>
      </c>
      <c r="B1502" s="1" t="s">
        <v>22</v>
      </c>
      <c r="C1502" s="1">
        <v>13</v>
      </c>
      <c r="D1502" s="1">
        <v>3</v>
      </c>
      <c r="E1502" s="5">
        <v>42.77</v>
      </c>
      <c r="F1502" s="1" t="s">
        <v>18</v>
      </c>
      <c r="G1502" s="1">
        <v>2</v>
      </c>
      <c r="H1502" s="1" t="s">
        <v>16</v>
      </c>
      <c r="I1502" s="1" t="s">
        <v>16</v>
      </c>
      <c r="J1502" s="1" t="s">
        <v>16</v>
      </c>
      <c r="K1502" s="1" t="s">
        <v>21</v>
      </c>
      <c r="L1502" s="1" t="s">
        <v>17</v>
      </c>
      <c r="M1502" s="1" t="s">
        <v>17</v>
      </c>
      <c r="N1502" s="1" t="s">
        <v>16</v>
      </c>
    </row>
    <row r="1503" spans="1:14" x14ac:dyDescent="0.25">
      <c r="A1503" s="9">
        <v>45391</v>
      </c>
      <c r="B1503" s="1" t="s">
        <v>22</v>
      </c>
      <c r="C1503" s="1">
        <v>14</v>
      </c>
      <c r="D1503" s="1">
        <v>3</v>
      </c>
      <c r="E1503" s="5">
        <v>49.83</v>
      </c>
      <c r="F1503" s="1" t="s">
        <v>18</v>
      </c>
      <c r="G1503" s="1">
        <v>2</v>
      </c>
      <c r="H1503" s="1" t="s">
        <v>16</v>
      </c>
      <c r="I1503" s="1" t="s">
        <v>16</v>
      </c>
      <c r="J1503" s="1" t="s">
        <v>16</v>
      </c>
      <c r="K1503" s="1" t="s">
        <v>17</v>
      </c>
      <c r="L1503" s="1" t="s">
        <v>17</v>
      </c>
      <c r="M1503" s="1" t="s">
        <v>17</v>
      </c>
      <c r="N1503" s="1" t="s">
        <v>16</v>
      </c>
    </row>
    <row r="1504" spans="1:14" x14ac:dyDescent="0.25">
      <c r="A1504" s="9">
        <v>45391</v>
      </c>
      <c r="B1504" s="1" t="s">
        <v>22</v>
      </c>
      <c r="C1504" s="1">
        <v>15</v>
      </c>
      <c r="D1504" s="1">
        <v>3</v>
      </c>
      <c r="E1504" s="5">
        <v>35.700000000000003</v>
      </c>
      <c r="F1504" s="1" t="s">
        <v>19</v>
      </c>
      <c r="G1504" s="1">
        <v>2</v>
      </c>
      <c r="H1504" s="1" t="s">
        <v>16</v>
      </c>
      <c r="I1504" s="1" t="s">
        <v>16</v>
      </c>
      <c r="J1504" s="1" t="s">
        <v>16</v>
      </c>
      <c r="K1504" s="1" t="s">
        <v>17</v>
      </c>
      <c r="L1504" s="1" t="s">
        <v>17</v>
      </c>
      <c r="M1504" s="1" t="s">
        <v>17</v>
      </c>
      <c r="N1504" s="1" t="s">
        <v>16</v>
      </c>
    </row>
    <row r="1505" spans="1:14" x14ac:dyDescent="0.25">
      <c r="A1505" s="9">
        <v>45418</v>
      </c>
      <c r="B1505" s="1" t="str">
        <f>IFERROR(VLOOKUP(MID(INDEX(Database_dermo!$A:$I, MATCH($N1505, Database_dermo!$A:$A, 0), 2),20,3),Notes!A$1:C$9,3,TRUE), "Not Found")</f>
        <v>LX-N</v>
      </c>
      <c r="C1505" s="1" t="str">
        <f>IFERROR(RIGHT(INDEX(Database_dermo!$A:$I, MATCH($N1505, Database_dermo!$A:$A, 0), 1),2), "Not Found")</f>
        <v>01</v>
      </c>
      <c r="D1505" s="1">
        <f>IFERROR(VLOOKUP(MID(INDEX(Database_dermo!$A:$I, MATCH($N1505, Database_dermo!$A:$A, 0), 2),20,3),Notes!A$1:C$9,2,TRUE), "Not Found")</f>
        <v>1</v>
      </c>
      <c r="E1505" s="1">
        <f>IFERROR(INDEX(Database_dermo!$A:$I, MATCH($N1505, Database_dermo!$A:$A, 0), 3), "Not Found")</f>
        <v>66.599999999999994</v>
      </c>
      <c r="F1505" s="1" t="str">
        <f>IFERROR(INDEX(Database_repro!$A:$F, MATCH($N1505, Database_repro!$A:$A, 0), 3), "Not Found")</f>
        <v>F</v>
      </c>
      <c r="G1505" s="1">
        <f>IFERROR(INDEX(Database_repro!$A:$F, MATCH($N1505, Database_repro!$A:$A, 0), 4), "Not Found")</f>
        <v>2</v>
      </c>
      <c r="H1505" s="1" t="s">
        <v>16</v>
      </c>
      <c r="I1505" s="1" t="s">
        <v>16</v>
      </c>
      <c r="J1505" s="1" t="s">
        <v>16</v>
      </c>
      <c r="K1505" s="1" t="str">
        <f>IFERROR(INDEX(Database_repro!$A:$F, MATCH($N1505, Database_repro!$A:$A, 0), 5), "Not Found")</f>
        <v>Yes</v>
      </c>
      <c r="L1505" s="4" t="s">
        <v>17</v>
      </c>
      <c r="M1505" s="1" t="str">
        <f>IFERROR(IF(INDEX(Database_repro!$A:$F, MATCH($N1505, Database_repro!$A:$A, 0), 6)="N","No",IF(INDEX(Database_repro!$A:$F, MATCH($N1505, Database_repro!$A:$A, 0), 6)="Y","Yes","Z")), "Not Found")</f>
        <v>No</v>
      </c>
      <c r="N1505" t="s">
        <v>58</v>
      </c>
    </row>
    <row r="1506" spans="1:14" x14ac:dyDescent="0.25">
      <c r="A1506" s="9">
        <v>45418</v>
      </c>
      <c r="B1506" s="1" t="str">
        <f>IFERROR(VLOOKUP(MID(INDEX(Database_dermo!$A:$I, MATCH($N1506, Database_dermo!$A:$A, 0), 2),20,3),Notes!A$1:C$9,3,TRUE), "Not Found")</f>
        <v>LX-N</v>
      </c>
      <c r="C1506" s="1" t="str">
        <f>IFERROR(RIGHT(INDEX(Database_dermo!$A:$I, MATCH($N1506, Database_dermo!$A:$A, 0), 1),2), "Not Found")</f>
        <v>02</v>
      </c>
      <c r="D1506" s="1">
        <f>IFERROR(VLOOKUP(MID(INDEX(Database_dermo!$A:$I, MATCH($N1506, Database_dermo!$A:$A, 0), 2),20,3),Notes!A$1:C$9,2,TRUE), "Not Found")</f>
        <v>1</v>
      </c>
      <c r="E1506" s="1">
        <f>IFERROR(INDEX(Database_dermo!$A:$I, MATCH($N1506, Database_dermo!$A:$A, 0), 3), "Not Found")</f>
        <v>69.069999999999993</v>
      </c>
      <c r="F1506" s="1" t="str">
        <f>IFERROR(INDEX(Database_repro!$A:$F, MATCH($N1506, Database_repro!$A:$A, 0), 3), "Not Found")</f>
        <v>F</v>
      </c>
      <c r="G1506" s="1">
        <f>IFERROR(INDEX(Database_repro!$A:$F, MATCH($N1506, Database_repro!$A:$A, 0), 4), "Not Found")</f>
        <v>2</v>
      </c>
      <c r="H1506" s="1" t="s">
        <v>16</v>
      </c>
      <c r="I1506" s="1" t="s">
        <v>16</v>
      </c>
      <c r="J1506" s="1" t="s">
        <v>16</v>
      </c>
      <c r="K1506" s="1" t="str">
        <f>IFERROR(INDEX(Database_repro!$A:$F, MATCH($N1506, Database_repro!$A:$A, 0), 5), "Not Found")</f>
        <v>No</v>
      </c>
      <c r="L1506" s="4" t="s">
        <v>17</v>
      </c>
      <c r="M1506" s="1" t="str">
        <f>IFERROR(IF(INDEX(Database_repro!$A:$F, MATCH($N1506, Database_repro!$A:$A, 0), 6)="N","No",IF(INDEX(Database_repro!$A:$F, MATCH($N1506, Database_repro!$A:$A, 0), 6)="Y","Yes","Z")), "Not Found")</f>
        <v>No</v>
      </c>
      <c r="N1506" t="s">
        <v>64</v>
      </c>
    </row>
    <row r="1507" spans="1:14" x14ac:dyDescent="0.25">
      <c r="A1507" s="9">
        <v>45418</v>
      </c>
      <c r="B1507" s="1" t="str">
        <f>IFERROR(VLOOKUP(MID(INDEX(Database_dermo!$A:$I, MATCH($N1507, Database_dermo!$A:$A, 0), 2),20,3),Notes!A$1:C$9,3,TRUE), "Not Found")</f>
        <v>LX-N</v>
      </c>
      <c r="C1507" s="1" t="str">
        <f>IFERROR(RIGHT(INDEX(Database_dermo!$A:$I, MATCH($N1507, Database_dermo!$A:$A, 0), 1),2), "Not Found")</f>
        <v>03</v>
      </c>
      <c r="D1507" s="1">
        <f>IFERROR(VLOOKUP(MID(INDEX(Database_dermo!$A:$I, MATCH($N1507, Database_dermo!$A:$A, 0), 2),20,3),Notes!A$1:C$9,2,TRUE), "Not Found")</f>
        <v>1</v>
      </c>
      <c r="E1507" s="1">
        <f>IFERROR(INDEX(Database_dermo!$A:$I, MATCH($N1507, Database_dermo!$A:$A, 0), 3), "Not Found")</f>
        <v>59.71</v>
      </c>
      <c r="F1507" s="1" t="str">
        <f>IFERROR(INDEX(Database_repro!$A:$F, MATCH($N1507, Database_repro!$A:$A, 0), 3), "Not Found")</f>
        <v>M</v>
      </c>
      <c r="G1507" s="1">
        <f>IFERROR(INDEX(Database_repro!$A:$F, MATCH($N1507, Database_repro!$A:$A, 0), 4), "Not Found")</f>
        <v>2</v>
      </c>
      <c r="H1507" s="1" t="s">
        <v>16</v>
      </c>
      <c r="I1507" s="1" t="s">
        <v>16</v>
      </c>
      <c r="J1507" s="1" t="s">
        <v>16</v>
      </c>
      <c r="K1507" s="1" t="str">
        <f>IFERROR(INDEX(Database_repro!$A:$F, MATCH($N1507, Database_repro!$A:$A, 0), 5), "Not Found")</f>
        <v>Yes</v>
      </c>
      <c r="L1507" s="4" t="s">
        <v>17</v>
      </c>
      <c r="M1507" s="1" t="str">
        <f>IFERROR(IF(INDEX(Database_repro!$A:$F, MATCH($N1507, Database_repro!$A:$A, 0), 6)="N","No",IF(INDEX(Database_repro!$A:$F, MATCH($N1507, Database_repro!$A:$A, 0), 6)="Y","Yes","Z")), "Not Found")</f>
        <v>No</v>
      </c>
      <c r="N1507" t="s">
        <v>65</v>
      </c>
    </row>
    <row r="1508" spans="1:14" x14ac:dyDescent="0.25">
      <c r="A1508" s="9">
        <v>45418</v>
      </c>
      <c r="B1508" s="1" t="str">
        <f>IFERROR(VLOOKUP(MID(INDEX(Database_dermo!$A:$I, MATCH($N1508, Database_dermo!$A:$A, 0), 2),20,3),Notes!A$1:C$9,3,TRUE), "Not Found")</f>
        <v>LX-N</v>
      </c>
      <c r="C1508" s="1" t="str">
        <f>IFERROR(RIGHT(INDEX(Database_dermo!$A:$I, MATCH($N1508, Database_dermo!$A:$A, 0), 1),2), "Not Found")</f>
        <v>04</v>
      </c>
      <c r="D1508" s="1">
        <f>IFERROR(VLOOKUP(MID(INDEX(Database_dermo!$A:$I, MATCH($N1508, Database_dermo!$A:$A, 0), 2),20,3),Notes!A$1:C$9,2,TRUE), "Not Found")</f>
        <v>1</v>
      </c>
      <c r="E1508" s="1">
        <f>IFERROR(INDEX(Database_dermo!$A:$I, MATCH($N1508, Database_dermo!$A:$A, 0), 3), "Not Found")</f>
        <v>38.619999999999997</v>
      </c>
      <c r="F1508" s="1" t="str">
        <f>IFERROR(INDEX(Database_repro!$A:$F, MATCH($N1508, Database_repro!$A:$A, 0), 3), "Not Found")</f>
        <v>M</v>
      </c>
      <c r="G1508" s="1">
        <f>IFERROR(INDEX(Database_repro!$A:$F, MATCH($N1508, Database_repro!$A:$A, 0), 4), "Not Found")</f>
        <v>2</v>
      </c>
      <c r="H1508" s="1" t="s">
        <v>16</v>
      </c>
      <c r="I1508" s="1" t="s">
        <v>16</v>
      </c>
      <c r="J1508" s="1" t="s">
        <v>16</v>
      </c>
      <c r="K1508" s="1" t="str">
        <f>IFERROR(INDEX(Database_repro!$A:$F, MATCH($N1508, Database_repro!$A:$A, 0), 5), "Not Found")</f>
        <v>Yes</v>
      </c>
      <c r="L1508" s="4" t="s">
        <v>17</v>
      </c>
      <c r="M1508" s="1" t="str">
        <f>IFERROR(IF(INDEX(Database_repro!$A:$F, MATCH($N1508, Database_repro!$A:$A, 0), 6)="N","No",IF(INDEX(Database_repro!$A:$F, MATCH($N1508, Database_repro!$A:$A, 0), 6)="Y","Yes","Z")), "Not Found")</f>
        <v>No</v>
      </c>
      <c r="N1508" t="s">
        <v>66</v>
      </c>
    </row>
    <row r="1509" spans="1:14" x14ac:dyDescent="0.25">
      <c r="A1509" s="9">
        <v>45418</v>
      </c>
      <c r="B1509" s="1" t="str">
        <f>IFERROR(VLOOKUP(MID(INDEX(Database_dermo!$A:$I, MATCH($N1509, Database_dermo!$A:$A, 0), 2),20,3),Notes!A$1:C$9,3,TRUE), "Not Found")</f>
        <v>LX-N</v>
      </c>
      <c r="C1509" s="1" t="str">
        <f>IFERROR(RIGHT(INDEX(Database_dermo!$A:$I, MATCH($N1509, Database_dermo!$A:$A, 0), 1),2), "Not Found")</f>
        <v>05</v>
      </c>
      <c r="D1509" s="1">
        <f>IFERROR(VLOOKUP(MID(INDEX(Database_dermo!$A:$I, MATCH($N1509, Database_dermo!$A:$A, 0), 2),20,3),Notes!A$1:C$9,2,TRUE), "Not Found")</f>
        <v>1</v>
      </c>
      <c r="E1509" s="1">
        <f>IFERROR(INDEX(Database_dermo!$A:$I, MATCH($N1509, Database_dermo!$A:$A, 0), 3), "Not Found")</f>
        <v>33.44</v>
      </c>
      <c r="F1509" s="1" t="str">
        <f>IFERROR(INDEX(Database_repro!$A:$F, MATCH($N1509, Database_repro!$A:$A, 0), 3), "Not Found")</f>
        <v>M</v>
      </c>
      <c r="G1509" s="1">
        <f>IFERROR(INDEX(Database_repro!$A:$F, MATCH($N1509, Database_repro!$A:$A, 0), 4), "Not Found")</f>
        <v>2</v>
      </c>
      <c r="H1509" s="1" t="s">
        <v>16</v>
      </c>
      <c r="I1509" s="1" t="s">
        <v>16</v>
      </c>
      <c r="J1509" s="1" t="s">
        <v>16</v>
      </c>
      <c r="K1509" s="1" t="str">
        <f>IFERROR(INDEX(Database_repro!$A:$F, MATCH($N1509, Database_repro!$A:$A, 0), 5), "Not Found")</f>
        <v>No</v>
      </c>
      <c r="L1509" s="4" t="s">
        <v>17</v>
      </c>
      <c r="M1509" s="1" t="str">
        <f>IFERROR(IF(INDEX(Database_repro!$A:$F, MATCH($N1509, Database_repro!$A:$A, 0), 6)="N","No",IF(INDEX(Database_repro!$A:$F, MATCH($N1509, Database_repro!$A:$A, 0), 6)="Y","Yes","Z")), "Not Found")</f>
        <v>No</v>
      </c>
      <c r="N1509" t="s">
        <v>67</v>
      </c>
    </row>
    <row r="1510" spans="1:14" x14ac:dyDescent="0.25">
      <c r="A1510" s="9">
        <v>45418</v>
      </c>
      <c r="B1510" s="1" t="str">
        <f>IFERROR(VLOOKUP(MID(INDEX(Database_dermo!$A:$I, MATCH($N1510, Database_dermo!$A:$A, 0), 2),20,3),Notes!A$1:C$9,3,TRUE), "Not Found")</f>
        <v>LX-N</v>
      </c>
      <c r="C1510" s="1" t="str">
        <f>IFERROR(RIGHT(INDEX(Database_dermo!$A:$I, MATCH($N1510, Database_dermo!$A:$A, 0), 1),2), "Not Found")</f>
        <v>06</v>
      </c>
      <c r="D1510" s="1">
        <f>IFERROR(VLOOKUP(MID(INDEX(Database_dermo!$A:$I, MATCH($N1510, Database_dermo!$A:$A, 0), 2),20,3),Notes!A$1:C$9,2,TRUE), "Not Found")</f>
        <v>2</v>
      </c>
      <c r="E1510" s="1">
        <f>IFERROR(INDEX(Database_dermo!$A:$I, MATCH($N1510, Database_dermo!$A:$A, 0), 3), "Not Found")</f>
        <v>44.37</v>
      </c>
      <c r="F1510" s="1" t="str">
        <f>IFERROR(INDEX(Database_repro!$A:$F, MATCH($N1510, Database_repro!$A:$A, 0), 3), "Not Found")</f>
        <v>F</v>
      </c>
      <c r="G1510" s="1">
        <f>IFERROR(INDEX(Database_repro!$A:$F, MATCH($N1510, Database_repro!$A:$A, 0), 4), "Not Found")</f>
        <v>2</v>
      </c>
      <c r="H1510" s="1" t="s">
        <v>16</v>
      </c>
      <c r="I1510" s="1" t="s">
        <v>16</v>
      </c>
      <c r="J1510" s="1" t="s">
        <v>16</v>
      </c>
      <c r="K1510" s="1" t="str">
        <f>IFERROR(INDEX(Database_repro!$A:$F, MATCH($N1510, Database_repro!$A:$A, 0), 5), "Not Found")</f>
        <v>No</v>
      </c>
      <c r="L1510" s="4" t="s">
        <v>17</v>
      </c>
      <c r="M1510" s="1" t="str">
        <f>IFERROR(IF(INDEX(Database_repro!$A:$F, MATCH($N1510, Database_repro!$A:$A, 0), 6)="N","No",IF(INDEX(Database_repro!$A:$F, MATCH($N1510, Database_repro!$A:$A, 0), 6)="Y","Yes","Z")), "Not Found")</f>
        <v>No</v>
      </c>
      <c r="N1510" t="s">
        <v>68</v>
      </c>
    </row>
    <row r="1511" spans="1:14" x14ac:dyDescent="0.25">
      <c r="A1511" s="9">
        <v>45418</v>
      </c>
      <c r="B1511" s="1" t="str">
        <f>IFERROR(VLOOKUP(MID(INDEX(Database_dermo!$A:$I, MATCH($N1511, Database_dermo!$A:$A, 0), 2),20,3),Notes!A$1:C$9,3,TRUE), "Not Found")</f>
        <v>LX-N</v>
      </c>
      <c r="C1511" s="1" t="str">
        <f>IFERROR(RIGHT(INDEX(Database_dermo!$A:$I, MATCH($N1511, Database_dermo!$A:$A, 0), 1),2), "Not Found")</f>
        <v>07</v>
      </c>
      <c r="D1511" s="1">
        <f>IFERROR(VLOOKUP(MID(INDEX(Database_dermo!$A:$I, MATCH($N1511, Database_dermo!$A:$A, 0), 2),20,3),Notes!A$1:C$9,2,TRUE), "Not Found")</f>
        <v>2</v>
      </c>
      <c r="E1511" s="1">
        <f>IFERROR(INDEX(Database_dermo!$A:$I, MATCH($N1511, Database_dermo!$A:$A, 0), 3), "Not Found")</f>
        <v>47.51</v>
      </c>
      <c r="F1511" s="1" t="str">
        <f>IFERROR(INDEX(Database_repro!$A:$F, MATCH($N1511, Database_repro!$A:$A, 0), 3), "Not Found")</f>
        <v>F</v>
      </c>
      <c r="G1511" s="1">
        <f>IFERROR(INDEX(Database_repro!$A:$F, MATCH($N1511, Database_repro!$A:$A, 0), 4), "Not Found")</f>
        <v>2</v>
      </c>
      <c r="H1511" s="1" t="s">
        <v>16</v>
      </c>
      <c r="I1511" s="1" t="s">
        <v>16</v>
      </c>
      <c r="J1511" s="1" t="s">
        <v>16</v>
      </c>
      <c r="K1511" s="1" t="str">
        <f>IFERROR(INDEX(Database_repro!$A:$F, MATCH($N1511, Database_repro!$A:$A, 0), 5), "Not Found")</f>
        <v>No</v>
      </c>
      <c r="L1511" s="4" t="s">
        <v>17</v>
      </c>
      <c r="M1511" s="1" t="str">
        <f>IFERROR(IF(INDEX(Database_repro!$A:$F, MATCH($N1511, Database_repro!$A:$A, 0), 6)="N","No",IF(INDEX(Database_repro!$A:$F, MATCH($N1511, Database_repro!$A:$A, 0), 6)="Y","Yes","Z")), "Not Found")</f>
        <v>No</v>
      </c>
      <c r="N1511" t="s">
        <v>71</v>
      </c>
    </row>
    <row r="1512" spans="1:14" x14ac:dyDescent="0.25">
      <c r="A1512" s="9">
        <v>45418</v>
      </c>
      <c r="B1512" s="1" t="str">
        <f>IFERROR(VLOOKUP(MID(INDEX(Database_dermo!$A:$I, MATCH($N1512, Database_dermo!$A:$A, 0), 2),20,3),Notes!A$1:C$9,3,TRUE), "Not Found")</f>
        <v>LX-N</v>
      </c>
      <c r="C1512" s="1" t="str">
        <f>IFERROR(RIGHT(INDEX(Database_dermo!$A:$I, MATCH($N1512, Database_dermo!$A:$A, 0), 1),2), "Not Found")</f>
        <v>08</v>
      </c>
      <c r="D1512" s="1">
        <f>IFERROR(VLOOKUP(MID(INDEX(Database_dermo!$A:$I, MATCH($N1512, Database_dermo!$A:$A, 0), 2),20,3),Notes!A$1:C$9,2,TRUE), "Not Found")</f>
        <v>2</v>
      </c>
      <c r="E1512" s="1">
        <f>IFERROR(INDEX(Database_dermo!$A:$I, MATCH($N1512, Database_dermo!$A:$A, 0), 3), "Not Found")</f>
        <v>42.9</v>
      </c>
      <c r="F1512" s="1" t="str">
        <f>IFERROR(INDEX(Database_repro!$A:$F, MATCH($N1512, Database_repro!$A:$A, 0), 3), "Not Found")</f>
        <v>M</v>
      </c>
      <c r="G1512" s="1">
        <f>IFERROR(INDEX(Database_repro!$A:$F, MATCH($N1512, Database_repro!$A:$A, 0), 4), "Not Found")</f>
        <v>2</v>
      </c>
      <c r="H1512" s="1" t="s">
        <v>16</v>
      </c>
      <c r="I1512" s="1" t="s">
        <v>16</v>
      </c>
      <c r="J1512" s="1" t="s">
        <v>16</v>
      </c>
      <c r="K1512" s="1" t="str">
        <f>IFERROR(INDEX(Database_repro!$A:$F, MATCH($N1512, Database_repro!$A:$A, 0), 5), "Not Found")</f>
        <v>No</v>
      </c>
      <c r="L1512" s="4" t="s">
        <v>17</v>
      </c>
      <c r="M1512" s="1" t="str">
        <f>IFERROR(IF(INDEX(Database_repro!$A:$F, MATCH($N1512, Database_repro!$A:$A, 0), 6)="N","No",IF(INDEX(Database_repro!$A:$F, MATCH($N1512, Database_repro!$A:$A, 0), 6)="Y","Yes","Z")), "Not Found")</f>
        <v>No</v>
      </c>
      <c r="N1512" t="s">
        <v>72</v>
      </c>
    </row>
    <row r="1513" spans="1:14" x14ac:dyDescent="0.25">
      <c r="A1513" s="9">
        <v>45418</v>
      </c>
      <c r="B1513" s="1" t="str">
        <f>IFERROR(VLOOKUP(MID(INDEX(Database_dermo!$A:$I, MATCH($N1513, Database_dermo!$A:$A, 0), 2),20,3),Notes!A$1:C$9,3,TRUE), "Not Found")</f>
        <v>LX-N</v>
      </c>
      <c r="C1513" s="1" t="str">
        <f>IFERROR(RIGHT(INDEX(Database_dermo!$A:$I, MATCH($N1513, Database_dermo!$A:$A, 0), 1),2), "Not Found")</f>
        <v>09</v>
      </c>
      <c r="D1513" s="1">
        <f>IFERROR(VLOOKUP(MID(INDEX(Database_dermo!$A:$I, MATCH($N1513, Database_dermo!$A:$A, 0), 2),20,3),Notes!A$1:C$9,2,TRUE), "Not Found")</f>
        <v>2</v>
      </c>
      <c r="E1513" s="1">
        <f>IFERROR(INDEX(Database_dermo!$A:$I, MATCH($N1513, Database_dermo!$A:$A, 0), 3), "Not Found")</f>
        <v>63.69</v>
      </c>
      <c r="F1513" s="1" t="str">
        <f>IFERROR(INDEX(Database_repro!$A:$F, MATCH($N1513, Database_repro!$A:$A, 0), 3), "Not Found")</f>
        <v>Z</v>
      </c>
      <c r="G1513" s="1">
        <f>IFERROR(INDEX(Database_repro!$A:$F, MATCH($N1513, Database_repro!$A:$A, 0), 4), "Not Found")</f>
        <v>4</v>
      </c>
      <c r="H1513" s="1" t="s">
        <v>16</v>
      </c>
      <c r="I1513" s="1" t="s">
        <v>16</v>
      </c>
      <c r="J1513" s="1" t="s">
        <v>16</v>
      </c>
      <c r="K1513" s="1" t="str">
        <f>IFERROR(INDEX(Database_repro!$A:$F, MATCH($N1513, Database_repro!$A:$A, 0), 5), "Not Found")</f>
        <v>Yes</v>
      </c>
      <c r="L1513" s="4" t="s">
        <v>17</v>
      </c>
      <c r="M1513" s="1" t="str">
        <f>IFERROR(IF(INDEX(Database_repro!$A:$F, MATCH($N1513, Database_repro!$A:$A, 0), 6)="N","No",IF(INDEX(Database_repro!$A:$F, MATCH($N1513, Database_repro!$A:$A, 0), 6)="Y","Yes","Z")), "Not Found")</f>
        <v>No</v>
      </c>
      <c r="N1513" t="s">
        <v>73</v>
      </c>
    </row>
    <row r="1514" spans="1:14" x14ac:dyDescent="0.25">
      <c r="A1514" s="9">
        <v>45418</v>
      </c>
      <c r="B1514" s="1" t="str">
        <f>IFERROR(VLOOKUP(MID(INDEX(Database_dermo!$A:$I, MATCH($N1514, Database_dermo!$A:$A, 0), 2),20,3),Notes!A$1:C$9,3,TRUE), "Not Found")</f>
        <v>LX-N</v>
      </c>
      <c r="C1514" s="1" t="str">
        <f>IFERROR(RIGHT(INDEX(Database_dermo!$A:$I, MATCH($N1514, Database_dermo!$A:$A, 0), 1),2), "Not Found")</f>
        <v>10</v>
      </c>
      <c r="D1514" s="1">
        <f>IFERROR(VLOOKUP(MID(INDEX(Database_dermo!$A:$I, MATCH($N1514, Database_dermo!$A:$A, 0), 2),20,3),Notes!A$1:C$9,2,TRUE), "Not Found")</f>
        <v>2</v>
      </c>
      <c r="E1514" s="1">
        <f>IFERROR(INDEX(Database_dermo!$A:$I, MATCH($N1514, Database_dermo!$A:$A, 0), 3), "Not Found")</f>
        <v>49.96</v>
      </c>
      <c r="F1514" s="1" t="str">
        <f>IFERROR(INDEX(Database_repro!$A:$F, MATCH($N1514, Database_repro!$A:$A, 0), 3), "Not Found")</f>
        <v>Z</v>
      </c>
      <c r="G1514" s="1">
        <f>IFERROR(INDEX(Database_repro!$A:$F, MATCH($N1514, Database_repro!$A:$A, 0), 4), "Not Found")</f>
        <v>4</v>
      </c>
      <c r="H1514" s="1" t="s">
        <v>16</v>
      </c>
      <c r="I1514" s="1" t="s">
        <v>16</v>
      </c>
      <c r="J1514" s="1" t="s">
        <v>16</v>
      </c>
      <c r="K1514" s="1" t="str">
        <f>IFERROR(INDEX(Database_repro!$A:$F, MATCH($N1514, Database_repro!$A:$A, 0), 5), "Not Found")</f>
        <v>Yes</v>
      </c>
      <c r="L1514" s="4" t="s">
        <v>17</v>
      </c>
      <c r="M1514" s="1" t="str">
        <f>IFERROR(IF(INDEX(Database_repro!$A:$F, MATCH($N1514, Database_repro!$A:$A, 0), 6)="N","No",IF(INDEX(Database_repro!$A:$F, MATCH($N1514, Database_repro!$A:$A, 0), 6)="Y","Yes","Z")), "Not Found")</f>
        <v>No</v>
      </c>
      <c r="N1514" t="s">
        <v>75</v>
      </c>
    </row>
    <row r="1515" spans="1:14" x14ac:dyDescent="0.25">
      <c r="A1515" s="9">
        <v>45418</v>
      </c>
      <c r="B1515" s="1" t="str">
        <f>IFERROR(VLOOKUP(MID(INDEX(Database_dermo!$A:$I, MATCH($N1515, Database_dermo!$A:$A, 0), 2),20,3),Notes!A$1:C$9,3,TRUE), "Not Found")</f>
        <v>LX-N</v>
      </c>
      <c r="C1515" s="1" t="str">
        <f>IFERROR(RIGHT(INDEX(Database_dermo!$A:$I, MATCH($N1515, Database_dermo!$A:$A, 0), 1),2), "Not Found")</f>
        <v>11</v>
      </c>
      <c r="D1515" s="1">
        <f>IFERROR(VLOOKUP(MID(INDEX(Database_dermo!$A:$I, MATCH($N1515, Database_dermo!$A:$A, 0), 2),20,3),Notes!A$1:C$9,2,TRUE), "Not Found")</f>
        <v>3</v>
      </c>
      <c r="E1515" s="1">
        <f>IFERROR(INDEX(Database_dermo!$A:$I, MATCH($N1515, Database_dermo!$A:$A, 0), 3), "Not Found")</f>
        <v>53.12</v>
      </c>
      <c r="F1515" s="1" t="str">
        <f>IFERROR(INDEX(Database_repro!$A:$F, MATCH($N1515, Database_repro!$A:$A, 0), 3), "Not Found")</f>
        <v>M</v>
      </c>
      <c r="G1515" s="1">
        <f>IFERROR(INDEX(Database_repro!$A:$F, MATCH($N1515, Database_repro!$A:$A, 0), 4), "Not Found")</f>
        <v>2</v>
      </c>
      <c r="H1515" s="1" t="s">
        <v>16</v>
      </c>
      <c r="I1515" s="1" t="s">
        <v>16</v>
      </c>
      <c r="J1515" s="1" t="s">
        <v>16</v>
      </c>
      <c r="K1515" s="1" t="str">
        <f>IFERROR(INDEX(Database_repro!$A:$F, MATCH($N1515, Database_repro!$A:$A, 0), 5), "Not Found")</f>
        <v>No</v>
      </c>
      <c r="L1515" s="4" t="s">
        <v>17</v>
      </c>
      <c r="M1515" s="1" t="str">
        <f>IFERROR(IF(INDEX(Database_repro!$A:$F, MATCH($N1515, Database_repro!$A:$A, 0), 6)="N","No",IF(INDEX(Database_repro!$A:$F, MATCH($N1515, Database_repro!$A:$A, 0), 6)="Y","Yes","Z")), "Not Found")</f>
        <v>No</v>
      </c>
      <c r="N1515" t="s">
        <v>77</v>
      </c>
    </row>
    <row r="1516" spans="1:14" x14ac:dyDescent="0.25">
      <c r="A1516" s="9">
        <v>45418</v>
      </c>
      <c r="B1516" s="1" t="str">
        <f>IFERROR(VLOOKUP(MID(INDEX(Database_dermo!$A:$I, MATCH($N1516, Database_dermo!$A:$A, 0), 2),20,3),Notes!A$1:C$9,3,TRUE), "Not Found")</f>
        <v>LX-N</v>
      </c>
      <c r="C1516" s="1" t="str">
        <f>IFERROR(RIGHT(INDEX(Database_dermo!$A:$I, MATCH($N1516, Database_dermo!$A:$A, 0), 1),2), "Not Found")</f>
        <v>12</v>
      </c>
      <c r="D1516" s="1">
        <f>IFERROR(VLOOKUP(MID(INDEX(Database_dermo!$A:$I, MATCH($N1516, Database_dermo!$A:$A, 0), 2),20,3),Notes!A$1:C$9,2,TRUE), "Not Found")</f>
        <v>3</v>
      </c>
      <c r="E1516" s="1">
        <f>IFERROR(INDEX(Database_dermo!$A:$I, MATCH($N1516, Database_dermo!$A:$A, 0), 3), "Not Found")</f>
        <v>50.64</v>
      </c>
      <c r="F1516" s="1" t="str">
        <f>IFERROR(INDEX(Database_repro!$A:$F, MATCH($N1516, Database_repro!$A:$A, 0), 3), "Not Found")</f>
        <v>F</v>
      </c>
      <c r="G1516" s="1">
        <f>IFERROR(INDEX(Database_repro!$A:$F, MATCH($N1516, Database_repro!$A:$A, 0), 4), "Not Found")</f>
        <v>2</v>
      </c>
      <c r="H1516" s="1" t="s">
        <v>16</v>
      </c>
      <c r="I1516" s="1" t="s">
        <v>16</v>
      </c>
      <c r="J1516" s="1" t="s">
        <v>16</v>
      </c>
      <c r="K1516" s="1" t="str">
        <f>IFERROR(INDEX(Database_repro!$A:$F, MATCH($N1516, Database_repro!$A:$A, 0), 5), "Not Found")</f>
        <v>No</v>
      </c>
      <c r="L1516" s="4" t="s">
        <v>17</v>
      </c>
      <c r="M1516" s="1" t="str">
        <f>IFERROR(IF(INDEX(Database_repro!$A:$F, MATCH($N1516, Database_repro!$A:$A, 0), 6)="N","No",IF(INDEX(Database_repro!$A:$F, MATCH($N1516, Database_repro!$A:$A, 0), 6)="Y","Yes","Z")), "Not Found")</f>
        <v>No</v>
      </c>
      <c r="N1516" t="s">
        <v>79</v>
      </c>
    </row>
    <row r="1517" spans="1:14" x14ac:dyDescent="0.25">
      <c r="A1517" s="9">
        <v>45418</v>
      </c>
      <c r="B1517" s="1" t="str">
        <f>IFERROR(VLOOKUP(MID(INDEX(Database_dermo!$A:$I, MATCH($N1517, Database_dermo!$A:$A, 0), 2),20,3),Notes!A$1:C$9,3,TRUE), "Not Found")</f>
        <v>LX-N</v>
      </c>
      <c r="C1517" s="1" t="str">
        <f>IFERROR(RIGHT(INDEX(Database_dermo!$A:$I, MATCH($N1517, Database_dermo!$A:$A, 0), 1),2), "Not Found")</f>
        <v>13</v>
      </c>
      <c r="D1517" s="1">
        <f>IFERROR(VLOOKUP(MID(INDEX(Database_dermo!$A:$I, MATCH($N1517, Database_dermo!$A:$A, 0), 2),20,3),Notes!A$1:C$9,2,TRUE), "Not Found")</f>
        <v>3</v>
      </c>
      <c r="E1517" s="1">
        <f>IFERROR(INDEX(Database_dermo!$A:$I, MATCH($N1517, Database_dermo!$A:$A, 0), 3), "Not Found")</f>
        <v>48.4</v>
      </c>
      <c r="F1517" s="1" t="str">
        <f>IFERROR(INDEX(Database_repro!$A:$F, MATCH($N1517, Database_repro!$A:$A, 0), 3), "Not Found")</f>
        <v>F</v>
      </c>
      <c r="G1517" s="1">
        <f>IFERROR(INDEX(Database_repro!$A:$F, MATCH($N1517, Database_repro!$A:$A, 0), 4), "Not Found")</f>
        <v>2</v>
      </c>
      <c r="H1517" s="1" t="s">
        <v>16</v>
      </c>
      <c r="I1517" s="1" t="s">
        <v>16</v>
      </c>
      <c r="J1517" s="1" t="s">
        <v>16</v>
      </c>
      <c r="K1517" s="1" t="str">
        <f>IFERROR(INDEX(Database_repro!$A:$F, MATCH($N1517, Database_repro!$A:$A, 0), 5), "Not Found")</f>
        <v>No</v>
      </c>
      <c r="L1517" s="4" t="s">
        <v>17</v>
      </c>
      <c r="M1517" s="1" t="str">
        <f>IFERROR(IF(INDEX(Database_repro!$A:$F, MATCH($N1517, Database_repro!$A:$A, 0), 6)="N","No",IF(INDEX(Database_repro!$A:$F, MATCH($N1517, Database_repro!$A:$A, 0), 6)="Y","Yes","Z")), "Not Found")</f>
        <v>No</v>
      </c>
      <c r="N1517" t="s">
        <v>80</v>
      </c>
    </row>
    <row r="1518" spans="1:14" x14ac:dyDescent="0.25">
      <c r="A1518" s="9">
        <v>45418</v>
      </c>
      <c r="B1518" s="1" t="str">
        <f>IFERROR(VLOOKUP(MID(INDEX(Database_dermo!$A:$I, MATCH($N1518, Database_dermo!$A:$A, 0), 2),20,3),Notes!A$1:C$9,3,TRUE), "Not Found")</f>
        <v>LX-N</v>
      </c>
      <c r="C1518" s="1" t="str">
        <f>IFERROR(RIGHT(INDEX(Database_dermo!$A:$I, MATCH($N1518, Database_dermo!$A:$A, 0), 1),2), "Not Found")</f>
        <v>14</v>
      </c>
      <c r="D1518" s="1">
        <f>IFERROR(VLOOKUP(MID(INDEX(Database_dermo!$A:$I, MATCH($N1518, Database_dermo!$A:$A, 0), 2),20,3),Notes!A$1:C$9,2,TRUE), "Not Found")</f>
        <v>3</v>
      </c>
      <c r="E1518" s="1">
        <f>IFERROR(INDEX(Database_dermo!$A:$I, MATCH($N1518, Database_dermo!$A:$A, 0), 3), "Not Found")</f>
        <v>36.880000000000003</v>
      </c>
      <c r="F1518" s="1" t="str">
        <f>IFERROR(INDEX(Database_repro!$A:$F, MATCH($N1518, Database_repro!$A:$A, 0), 3), "Not Found")</f>
        <v>F</v>
      </c>
      <c r="G1518" s="1">
        <f>IFERROR(INDEX(Database_repro!$A:$F, MATCH($N1518, Database_repro!$A:$A, 0), 4), "Not Found")</f>
        <v>2</v>
      </c>
      <c r="H1518" s="1" t="s">
        <v>16</v>
      </c>
      <c r="I1518" s="1" t="s">
        <v>16</v>
      </c>
      <c r="J1518" s="1" t="s">
        <v>16</v>
      </c>
      <c r="K1518" s="1" t="str">
        <f>IFERROR(INDEX(Database_repro!$A:$F, MATCH($N1518, Database_repro!$A:$A, 0), 5), "Not Found")</f>
        <v>No</v>
      </c>
      <c r="L1518" s="4" t="s">
        <v>17</v>
      </c>
      <c r="M1518" s="1" t="str">
        <f>IFERROR(IF(INDEX(Database_repro!$A:$F, MATCH($N1518, Database_repro!$A:$A, 0), 6)="N","No",IF(INDEX(Database_repro!$A:$F, MATCH($N1518, Database_repro!$A:$A, 0), 6)="Y","Yes","Z")), "Not Found")</f>
        <v>No</v>
      </c>
      <c r="N1518" t="s">
        <v>81</v>
      </c>
    </row>
    <row r="1519" spans="1:14" x14ac:dyDescent="0.25">
      <c r="A1519" s="9">
        <v>45418</v>
      </c>
      <c r="B1519" s="1" t="str">
        <f>IFERROR(VLOOKUP(MID(INDEX(Database_dermo!$A:$I, MATCH($N1519, Database_dermo!$A:$A, 0), 2),20,3),Notes!A$1:C$9,3,TRUE), "Not Found")</f>
        <v>LX-N</v>
      </c>
      <c r="C1519" s="1" t="str">
        <f>IFERROR(RIGHT(INDEX(Database_dermo!$A:$I, MATCH($N1519, Database_dermo!$A:$A, 0), 1),2), "Not Found")</f>
        <v>15</v>
      </c>
      <c r="D1519" s="1">
        <f>IFERROR(VLOOKUP(MID(INDEX(Database_dermo!$A:$I, MATCH($N1519, Database_dermo!$A:$A, 0), 2),20,3),Notes!A$1:C$9,2,TRUE), "Not Found")</f>
        <v>3</v>
      </c>
      <c r="E1519" s="1">
        <f>IFERROR(INDEX(Database_dermo!$A:$I, MATCH($N1519, Database_dermo!$A:$A, 0), 3), "Not Found")</f>
        <v>50.56</v>
      </c>
      <c r="F1519" s="1" t="str">
        <f>IFERROR(INDEX(Database_repro!$A:$F, MATCH($N1519, Database_repro!$A:$A, 0), 3), "Not Found")</f>
        <v>M</v>
      </c>
      <c r="G1519" s="1">
        <f>IFERROR(INDEX(Database_repro!$A:$F, MATCH($N1519, Database_repro!$A:$A, 0), 4), "Not Found")</f>
        <v>2</v>
      </c>
      <c r="H1519" s="1" t="s">
        <v>16</v>
      </c>
      <c r="I1519" s="1" t="s">
        <v>16</v>
      </c>
      <c r="J1519" s="1" t="s">
        <v>16</v>
      </c>
      <c r="K1519" s="1" t="str">
        <f>IFERROR(INDEX(Database_repro!$A:$F, MATCH($N1519, Database_repro!$A:$A, 0), 5), "Not Found")</f>
        <v>No</v>
      </c>
      <c r="L1519" s="4" t="s">
        <v>17</v>
      </c>
      <c r="M1519" s="1" t="str">
        <f>IFERROR(IF(INDEX(Database_repro!$A:$F, MATCH($N1519, Database_repro!$A:$A, 0), 6)="N","No",IF(INDEX(Database_repro!$A:$F, MATCH($N1519, Database_repro!$A:$A, 0), 6)="Y","Yes","Z")), "Not Found")</f>
        <v>No</v>
      </c>
      <c r="N1519" t="s">
        <v>82</v>
      </c>
    </row>
    <row r="1520" spans="1:14" x14ac:dyDescent="0.25">
      <c r="A1520" s="9">
        <v>45446</v>
      </c>
      <c r="B1520" s="1" t="str">
        <f>IFERROR(VLOOKUP(MID(INDEX(Database_dermo!$A:$I, MATCH($N1520, Database_dermo!$A:$A, 0), 2),20,3),Notes!A$1:C$9,3,TRUE), "Not Found")</f>
        <v>LX-N</v>
      </c>
      <c r="C1520" s="1" t="str">
        <f>IFERROR(RIGHT(INDEX(Database_dermo!$A:$I, MATCH($N1520, Database_dermo!$A:$A, 0), 1),2), "Not Found")</f>
        <v>01</v>
      </c>
      <c r="D1520" s="1">
        <f>IFERROR(VLOOKUP(MID(INDEX(Database_dermo!$A:$I, MATCH($N1520, Database_dermo!$A:$A, 0), 2),20,3),Notes!A$1:C$9,2,TRUE), "Not Found")</f>
        <v>1</v>
      </c>
      <c r="E1520" s="1">
        <f>IFERROR(INDEX(Database_dermo!$A:$I, MATCH($N1520, Database_dermo!$A:$A, 0), 3), "Not Found")</f>
        <v>43.56</v>
      </c>
      <c r="F1520" s="1" t="str">
        <f>IFERROR(INDEX(Database_repro!$A:$F, MATCH($N1520, Database_repro!$A:$A, 0), 3), "Not Found")</f>
        <v>F</v>
      </c>
      <c r="G1520" s="1">
        <f>IFERROR(INDEX(Database_repro!$A:$F, MATCH($N1520, Database_repro!$A:$A, 0), 4), "Not Found")</f>
        <v>2</v>
      </c>
      <c r="H1520" s="1" t="s">
        <v>16</v>
      </c>
      <c r="I1520" s="1" t="s">
        <v>16</v>
      </c>
      <c r="J1520" s="1" t="s">
        <v>16</v>
      </c>
      <c r="K1520" s="1" t="str">
        <f>IFERROR(INDEX(Database_repro!$A:$F, MATCH($N1520, Database_repro!$A:$A, 0), 5), "Not Found")</f>
        <v>No</v>
      </c>
      <c r="L1520" s="4" t="s">
        <v>17</v>
      </c>
      <c r="M1520" s="1" t="str">
        <f>IFERROR(IF(INDEX(Database_repro!$A:$F, MATCH($N1520, Database_repro!$A:$A, 0), 6)="N","No",IF(INDEX(Database_repro!$A:$F, MATCH($N1520, Database_repro!$A:$A, 0), 6)="Y","Yes","Z")), "Not Found")</f>
        <v>No</v>
      </c>
      <c r="N1520" t="s">
        <v>83</v>
      </c>
    </row>
    <row r="1521" spans="1:14" x14ac:dyDescent="0.25">
      <c r="A1521" s="9">
        <v>45446</v>
      </c>
      <c r="B1521" s="1" t="str">
        <f>IFERROR(VLOOKUP(MID(INDEX(Database_dermo!$A:$I, MATCH($N1521, Database_dermo!$A:$A, 0), 2),20,3),Notes!A$1:C$9,3,TRUE), "Not Found")</f>
        <v>LX-N</v>
      </c>
      <c r="C1521" s="1" t="str">
        <f>IFERROR(RIGHT(INDEX(Database_dermo!$A:$I, MATCH($N1521, Database_dermo!$A:$A, 0), 1),2), "Not Found")</f>
        <v>02</v>
      </c>
      <c r="D1521" s="1">
        <f>IFERROR(VLOOKUP(MID(INDEX(Database_dermo!$A:$I, MATCH($N1521, Database_dermo!$A:$A, 0), 2),20,3),Notes!A$1:C$9,2,TRUE), "Not Found")</f>
        <v>1</v>
      </c>
      <c r="E1521" s="1">
        <f>IFERROR(INDEX(Database_dermo!$A:$I, MATCH($N1521, Database_dermo!$A:$A, 0), 3), "Not Found")</f>
        <v>32.17</v>
      </c>
      <c r="F1521" s="1" t="str">
        <f>IFERROR(INDEX(Database_repro!$A:$F, MATCH($N1521, Database_repro!$A:$A, 0), 3), "Not Found")</f>
        <v>M</v>
      </c>
      <c r="G1521" s="1">
        <f>IFERROR(INDEX(Database_repro!$A:$F, MATCH($N1521, Database_repro!$A:$A, 0), 4), "Not Found")</f>
        <v>2</v>
      </c>
      <c r="H1521" s="1" t="s">
        <v>16</v>
      </c>
      <c r="I1521" s="1" t="s">
        <v>16</v>
      </c>
      <c r="J1521" s="1" t="s">
        <v>16</v>
      </c>
      <c r="K1521" s="1" t="str">
        <f>IFERROR(INDEX(Database_repro!$A:$F, MATCH($N1521, Database_repro!$A:$A, 0), 5), "Not Found")</f>
        <v>No</v>
      </c>
      <c r="L1521" s="4" t="s">
        <v>17</v>
      </c>
      <c r="M1521" s="1" t="str">
        <f>IFERROR(IF(INDEX(Database_repro!$A:$F, MATCH($N1521, Database_repro!$A:$A, 0), 6)="N","No",IF(INDEX(Database_repro!$A:$F, MATCH($N1521, Database_repro!$A:$A, 0), 6)="Y","Yes","Z")), "Not Found")</f>
        <v>No</v>
      </c>
      <c r="N1521" t="s">
        <v>86</v>
      </c>
    </row>
    <row r="1522" spans="1:14" x14ac:dyDescent="0.25">
      <c r="A1522" s="9">
        <v>45446</v>
      </c>
      <c r="B1522" s="1" t="str">
        <f>IFERROR(VLOOKUP(MID(INDEX(Database_dermo!$A:$I, MATCH($N1522, Database_dermo!$A:$A, 0), 2),20,3),Notes!A$1:C$9,3,TRUE), "Not Found")</f>
        <v>LX-N</v>
      </c>
      <c r="C1522" s="1" t="str">
        <f>IFERROR(RIGHT(INDEX(Database_dermo!$A:$I, MATCH($N1522, Database_dermo!$A:$A, 0), 1),2), "Not Found")</f>
        <v>03</v>
      </c>
      <c r="D1522" s="1">
        <f>IFERROR(VLOOKUP(MID(INDEX(Database_dermo!$A:$I, MATCH($N1522, Database_dermo!$A:$A, 0), 2),20,3),Notes!A$1:C$9,2,TRUE), "Not Found")</f>
        <v>1</v>
      </c>
      <c r="E1522" s="1">
        <f>IFERROR(INDEX(Database_dermo!$A:$I, MATCH($N1522, Database_dermo!$A:$A, 0), 3), "Not Found")</f>
        <v>36.57</v>
      </c>
      <c r="F1522" s="1" t="str">
        <f>IFERROR(INDEX(Database_repro!$A:$F, MATCH($N1522, Database_repro!$A:$A, 0), 3), "Not Found")</f>
        <v>F</v>
      </c>
      <c r="G1522" s="1">
        <f>IFERROR(INDEX(Database_repro!$A:$F, MATCH($N1522, Database_repro!$A:$A, 0), 4), "Not Found")</f>
        <v>2</v>
      </c>
      <c r="H1522" s="1" t="s">
        <v>16</v>
      </c>
      <c r="I1522" s="1" t="s">
        <v>16</v>
      </c>
      <c r="J1522" s="1" t="s">
        <v>16</v>
      </c>
      <c r="K1522" s="1" t="str">
        <f>IFERROR(INDEX(Database_repro!$A:$F, MATCH($N1522, Database_repro!$A:$A, 0), 5), "Not Found")</f>
        <v>No</v>
      </c>
      <c r="L1522" s="4" t="s">
        <v>17</v>
      </c>
      <c r="M1522" s="1" t="str">
        <f>IFERROR(IF(INDEX(Database_repro!$A:$F, MATCH($N1522, Database_repro!$A:$A, 0), 6)="N","No",IF(INDEX(Database_repro!$A:$F, MATCH($N1522, Database_repro!$A:$A, 0), 6)="Y","Yes","Z")), "Not Found")</f>
        <v>No</v>
      </c>
      <c r="N1522" t="s">
        <v>88</v>
      </c>
    </row>
    <row r="1523" spans="1:14" x14ac:dyDescent="0.25">
      <c r="A1523" s="9">
        <v>45446</v>
      </c>
      <c r="B1523" s="1" t="str">
        <f>IFERROR(VLOOKUP(MID(INDEX(Database_dermo!$A:$I, MATCH($N1523, Database_dermo!$A:$A, 0), 2),20,3),Notes!A$1:C$9,3,TRUE), "Not Found")</f>
        <v>LX-N</v>
      </c>
      <c r="C1523" s="1" t="str">
        <f>IFERROR(RIGHT(INDEX(Database_dermo!$A:$I, MATCH($N1523, Database_dermo!$A:$A, 0), 1),2), "Not Found")</f>
        <v>04</v>
      </c>
      <c r="D1523" s="1">
        <f>IFERROR(VLOOKUP(MID(INDEX(Database_dermo!$A:$I, MATCH($N1523, Database_dermo!$A:$A, 0), 2),20,3),Notes!A$1:C$9,2,TRUE), "Not Found")</f>
        <v>1</v>
      </c>
      <c r="E1523" s="1">
        <f>IFERROR(INDEX(Database_dermo!$A:$I, MATCH($N1523, Database_dermo!$A:$A, 0), 3), "Not Found")</f>
        <v>43.82</v>
      </c>
      <c r="F1523" s="1" t="str">
        <f>IFERROR(INDEX(Database_repro!$A:$F, MATCH($N1523, Database_repro!$A:$A, 0), 3), "Not Found")</f>
        <v>M</v>
      </c>
      <c r="G1523" s="1">
        <f>IFERROR(INDEX(Database_repro!$A:$F, MATCH($N1523, Database_repro!$A:$A, 0), 4), "Not Found")</f>
        <v>2</v>
      </c>
      <c r="H1523" s="1" t="s">
        <v>16</v>
      </c>
      <c r="I1523" s="1" t="s">
        <v>16</v>
      </c>
      <c r="J1523" s="1" t="s">
        <v>16</v>
      </c>
      <c r="K1523" s="1" t="str">
        <f>IFERROR(INDEX(Database_repro!$A:$F, MATCH($N1523, Database_repro!$A:$A, 0), 5), "Not Found")</f>
        <v>Yes</v>
      </c>
      <c r="L1523" s="4" t="s">
        <v>17</v>
      </c>
      <c r="M1523" s="1" t="str">
        <f>IFERROR(IF(INDEX(Database_repro!$A:$F, MATCH($N1523, Database_repro!$A:$A, 0), 6)="N","No",IF(INDEX(Database_repro!$A:$F, MATCH($N1523, Database_repro!$A:$A, 0), 6)="Y","Yes","Z")), "Not Found")</f>
        <v>No</v>
      </c>
      <c r="N1523" t="s">
        <v>89</v>
      </c>
    </row>
    <row r="1524" spans="1:14" x14ac:dyDescent="0.25">
      <c r="A1524" s="9">
        <v>45446</v>
      </c>
      <c r="B1524" s="1" t="str">
        <f>IFERROR(VLOOKUP(MID(INDEX(Database_dermo!$A:$I, MATCH($N1524, Database_dermo!$A:$A, 0), 2),20,3),Notes!A$1:C$9,3,TRUE), "Not Found")</f>
        <v>LX-N</v>
      </c>
      <c r="C1524" s="1" t="str">
        <f>IFERROR(RIGHT(INDEX(Database_dermo!$A:$I, MATCH($N1524, Database_dermo!$A:$A, 0), 1),2), "Not Found")</f>
        <v>05</v>
      </c>
      <c r="D1524" s="1">
        <f>IFERROR(VLOOKUP(MID(INDEX(Database_dermo!$A:$I, MATCH($N1524, Database_dermo!$A:$A, 0), 2),20,3),Notes!A$1:C$9,2,TRUE), "Not Found")</f>
        <v>1</v>
      </c>
      <c r="E1524" s="1">
        <f>IFERROR(INDEX(Database_dermo!$A:$I, MATCH($N1524, Database_dermo!$A:$A, 0), 3), "Not Found")</f>
        <v>52.81</v>
      </c>
      <c r="F1524" s="1" t="str">
        <f>IFERROR(INDEX(Database_repro!$A:$F, MATCH($N1524, Database_repro!$A:$A, 0), 3), "Not Found")</f>
        <v>F</v>
      </c>
      <c r="G1524" s="1">
        <f>IFERROR(INDEX(Database_repro!$A:$F, MATCH($N1524, Database_repro!$A:$A, 0), 4), "Not Found")</f>
        <v>2</v>
      </c>
      <c r="H1524" s="1" t="s">
        <v>16</v>
      </c>
      <c r="I1524" s="1" t="s">
        <v>16</v>
      </c>
      <c r="J1524" s="1" t="s">
        <v>16</v>
      </c>
      <c r="K1524" s="1" t="str">
        <f>IFERROR(INDEX(Database_repro!$A:$F, MATCH($N1524, Database_repro!$A:$A, 0), 5), "Not Found")</f>
        <v>No</v>
      </c>
      <c r="L1524" s="4" t="s">
        <v>17</v>
      </c>
      <c r="M1524" s="1" t="str">
        <f>IFERROR(IF(INDEX(Database_repro!$A:$F, MATCH($N1524, Database_repro!$A:$A, 0), 6)="N","No",IF(INDEX(Database_repro!$A:$F, MATCH($N1524, Database_repro!$A:$A, 0), 6)="Y","Yes","Z")), "Not Found")</f>
        <v>No</v>
      </c>
      <c r="N1524" t="s">
        <v>90</v>
      </c>
    </row>
    <row r="1525" spans="1:14" x14ac:dyDescent="0.25">
      <c r="A1525" s="9">
        <v>45446</v>
      </c>
      <c r="B1525" s="1" t="str">
        <f>IFERROR(VLOOKUP(MID(INDEX(Database_dermo!$A:$I, MATCH($N1525, Database_dermo!$A:$A, 0), 2),20,3),Notes!A$1:C$9,3,TRUE), "Not Found")</f>
        <v>LX-N</v>
      </c>
      <c r="C1525" s="1" t="str">
        <f>IFERROR(RIGHT(INDEX(Database_dermo!$A:$I, MATCH($N1525, Database_dermo!$A:$A, 0), 1),2), "Not Found")</f>
        <v>06</v>
      </c>
      <c r="D1525" s="1">
        <f>IFERROR(VLOOKUP(MID(INDEX(Database_dermo!$A:$I, MATCH($N1525, Database_dermo!$A:$A, 0), 2),20,3),Notes!A$1:C$9,2,TRUE), "Not Found")</f>
        <v>2</v>
      </c>
      <c r="E1525" s="1">
        <f>IFERROR(INDEX(Database_dermo!$A:$I, MATCH($N1525, Database_dermo!$A:$A, 0), 3), "Not Found")</f>
        <v>53.39</v>
      </c>
      <c r="F1525" s="1" t="str">
        <f>IFERROR(INDEX(Database_repro!$A:$F, MATCH($N1525, Database_repro!$A:$A, 0), 3), "Not Found")</f>
        <v>M</v>
      </c>
      <c r="G1525" s="1">
        <f>IFERROR(INDEX(Database_repro!$A:$F, MATCH($N1525, Database_repro!$A:$A, 0), 4), "Not Found")</f>
        <v>2</v>
      </c>
      <c r="H1525" s="1" t="s">
        <v>16</v>
      </c>
      <c r="I1525" s="1" t="s">
        <v>16</v>
      </c>
      <c r="J1525" s="1" t="s">
        <v>16</v>
      </c>
      <c r="K1525" s="1" t="str">
        <f>IFERROR(INDEX(Database_repro!$A:$F, MATCH($N1525, Database_repro!$A:$A, 0), 5), "Not Found")</f>
        <v>Yes</v>
      </c>
      <c r="L1525" s="4" t="s">
        <v>17</v>
      </c>
      <c r="M1525" s="1" t="str">
        <f>IFERROR(IF(INDEX(Database_repro!$A:$F, MATCH($N1525, Database_repro!$A:$A, 0), 6)="N","No",IF(INDEX(Database_repro!$A:$F, MATCH($N1525, Database_repro!$A:$A, 0), 6)="Y","Yes","Z")), "Not Found")</f>
        <v>No</v>
      </c>
      <c r="N1525" t="s">
        <v>91</v>
      </c>
    </row>
    <row r="1526" spans="1:14" x14ac:dyDescent="0.25">
      <c r="A1526" s="9">
        <v>45446</v>
      </c>
      <c r="B1526" s="1" t="str">
        <f>IFERROR(VLOOKUP(MID(INDEX(Database_dermo!$A:$I, MATCH($N1526, Database_dermo!$A:$A, 0), 2),20,3),Notes!A$1:C$9,3,TRUE), "Not Found")</f>
        <v>LX-N</v>
      </c>
      <c r="C1526" s="1" t="str">
        <f>IFERROR(RIGHT(INDEX(Database_dermo!$A:$I, MATCH($N1526, Database_dermo!$A:$A, 0), 1),2), "Not Found")</f>
        <v>07</v>
      </c>
      <c r="D1526" s="1">
        <f>IFERROR(VLOOKUP(MID(INDEX(Database_dermo!$A:$I, MATCH($N1526, Database_dermo!$A:$A, 0), 2),20,3),Notes!A$1:C$9,2,TRUE), "Not Found")</f>
        <v>2</v>
      </c>
      <c r="E1526" s="1">
        <f>IFERROR(INDEX(Database_dermo!$A:$I, MATCH($N1526, Database_dermo!$A:$A, 0), 3), "Not Found")</f>
        <v>51.36</v>
      </c>
      <c r="F1526" s="1" t="str">
        <f>IFERROR(INDEX(Database_repro!$A:$F, MATCH($N1526, Database_repro!$A:$A, 0), 3), "Not Found")</f>
        <v>F</v>
      </c>
      <c r="G1526" s="1">
        <f>IFERROR(INDEX(Database_repro!$A:$F, MATCH($N1526, Database_repro!$A:$A, 0), 4), "Not Found")</f>
        <v>2</v>
      </c>
      <c r="H1526" s="1" t="s">
        <v>16</v>
      </c>
      <c r="I1526" s="1" t="s">
        <v>16</v>
      </c>
      <c r="J1526" s="1" t="s">
        <v>16</v>
      </c>
      <c r="K1526" s="1" t="str">
        <f>IFERROR(INDEX(Database_repro!$A:$F, MATCH($N1526, Database_repro!$A:$A, 0), 5), "Not Found")</f>
        <v>No</v>
      </c>
      <c r="L1526" s="4" t="s">
        <v>17</v>
      </c>
      <c r="M1526" s="1" t="str">
        <f>IFERROR(IF(INDEX(Database_repro!$A:$F, MATCH($N1526, Database_repro!$A:$A, 0), 6)="N","No",IF(INDEX(Database_repro!$A:$F, MATCH($N1526, Database_repro!$A:$A, 0), 6)="Y","Yes","Z")), "Not Found")</f>
        <v>No</v>
      </c>
      <c r="N1526" t="s">
        <v>93</v>
      </c>
    </row>
    <row r="1527" spans="1:14" x14ac:dyDescent="0.25">
      <c r="A1527" s="9">
        <v>45446</v>
      </c>
      <c r="B1527" s="1" t="str">
        <f>IFERROR(VLOOKUP(MID(INDEX(Database_dermo!$A:$I, MATCH($N1527, Database_dermo!$A:$A, 0), 2),20,3),Notes!A$1:C$9,3,TRUE), "Not Found")</f>
        <v>LX-N</v>
      </c>
      <c r="C1527" s="1" t="str">
        <f>IFERROR(RIGHT(INDEX(Database_dermo!$A:$I, MATCH($N1527, Database_dermo!$A:$A, 0), 1),2), "Not Found")</f>
        <v>08</v>
      </c>
      <c r="D1527" s="1">
        <f>IFERROR(VLOOKUP(MID(INDEX(Database_dermo!$A:$I, MATCH($N1527, Database_dermo!$A:$A, 0), 2),20,3),Notes!A$1:C$9,2,TRUE), "Not Found")</f>
        <v>2</v>
      </c>
      <c r="E1527" s="1">
        <f>IFERROR(INDEX(Database_dermo!$A:$I, MATCH($N1527, Database_dermo!$A:$A, 0), 3), "Not Found")</f>
        <v>49.6</v>
      </c>
      <c r="F1527" s="1" t="str">
        <f>IFERROR(INDEX(Database_repro!$A:$F, MATCH($N1527, Database_repro!$A:$A, 0), 3), "Not Found")</f>
        <v>M</v>
      </c>
      <c r="G1527" s="1">
        <f>IFERROR(INDEX(Database_repro!$A:$F, MATCH($N1527, Database_repro!$A:$A, 0), 4), "Not Found")</f>
        <v>3</v>
      </c>
      <c r="H1527" s="1" t="s">
        <v>16</v>
      </c>
      <c r="I1527" s="1" t="s">
        <v>16</v>
      </c>
      <c r="J1527" s="1" t="s">
        <v>16</v>
      </c>
      <c r="K1527" s="1" t="str">
        <f>IFERROR(INDEX(Database_repro!$A:$F, MATCH($N1527, Database_repro!$A:$A, 0), 5), "Not Found")</f>
        <v>No</v>
      </c>
      <c r="L1527" s="4" t="s">
        <v>17</v>
      </c>
      <c r="M1527" s="1" t="str">
        <f>IFERROR(IF(INDEX(Database_repro!$A:$F, MATCH($N1527, Database_repro!$A:$A, 0), 6)="N","No",IF(INDEX(Database_repro!$A:$F, MATCH($N1527, Database_repro!$A:$A, 0), 6)="Y","Yes","Z")), "Not Found")</f>
        <v>No</v>
      </c>
      <c r="N1527" t="s">
        <v>94</v>
      </c>
    </row>
    <row r="1528" spans="1:14" x14ac:dyDescent="0.25">
      <c r="A1528" s="9">
        <v>45446</v>
      </c>
      <c r="B1528" s="1" t="str">
        <f>IFERROR(VLOOKUP(MID(INDEX(Database_dermo!$A:$I, MATCH($N1528, Database_dermo!$A:$A, 0), 2),20,3),Notes!A$1:C$9,3,TRUE), "Not Found")</f>
        <v>LX-N</v>
      </c>
      <c r="C1528" s="1" t="str">
        <f>IFERROR(RIGHT(INDEX(Database_dermo!$A:$I, MATCH($N1528, Database_dermo!$A:$A, 0), 1),2), "Not Found")</f>
        <v>09</v>
      </c>
      <c r="D1528" s="1">
        <f>IFERROR(VLOOKUP(MID(INDEX(Database_dermo!$A:$I, MATCH($N1528, Database_dermo!$A:$A, 0), 2),20,3),Notes!A$1:C$9,2,TRUE), "Not Found")</f>
        <v>2</v>
      </c>
      <c r="E1528" s="1">
        <f>IFERROR(INDEX(Database_dermo!$A:$I, MATCH($N1528, Database_dermo!$A:$A, 0), 3), "Not Found")</f>
        <v>54.95</v>
      </c>
      <c r="F1528" s="1" t="str">
        <f>IFERROR(INDEX(Database_repro!$A:$F, MATCH($N1528, Database_repro!$A:$A, 0), 3), "Not Found")</f>
        <v>F</v>
      </c>
      <c r="G1528" s="1">
        <f>IFERROR(INDEX(Database_repro!$A:$F, MATCH($N1528, Database_repro!$A:$A, 0), 4), "Not Found")</f>
        <v>2</v>
      </c>
      <c r="H1528" s="1" t="s">
        <v>16</v>
      </c>
      <c r="I1528" s="1" t="s">
        <v>16</v>
      </c>
      <c r="J1528" s="1" t="s">
        <v>16</v>
      </c>
      <c r="K1528" s="1" t="str">
        <f>IFERROR(INDEX(Database_repro!$A:$F, MATCH($N1528, Database_repro!$A:$A, 0), 5), "Not Found")</f>
        <v>No</v>
      </c>
      <c r="L1528" s="4" t="s">
        <v>17</v>
      </c>
      <c r="M1528" s="1" t="str">
        <f>IFERROR(IF(INDEX(Database_repro!$A:$F, MATCH($N1528, Database_repro!$A:$A, 0), 6)="N","No",IF(INDEX(Database_repro!$A:$F, MATCH($N1528, Database_repro!$A:$A, 0), 6)="Y","Yes","Z")), "Not Found")</f>
        <v>No</v>
      </c>
      <c r="N1528" t="s">
        <v>96</v>
      </c>
    </row>
    <row r="1529" spans="1:14" x14ac:dyDescent="0.25">
      <c r="A1529" s="9">
        <v>45446</v>
      </c>
      <c r="B1529" s="1" t="str">
        <f>IFERROR(VLOOKUP(MID(INDEX(Database_dermo!$A:$I, MATCH($N1529, Database_dermo!$A:$A, 0), 2),20,3),Notes!A$1:C$9,3,TRUE), "Not Found")</f>
        <v>LX-N</v>
      </c>
      <c r="C1529" s="1" t="str">
        <f>IFERROR(RIGHT(INDEX(Database_dermo!$A:$I, MATCH($N1529, Database_dermo!$A:$A, 0), 1),2), "Not Found")</f>
        <v>10</v>
      </c>
      <c r="D1529" s="1">
        <f>IFERROR(VLOOKUP(MID(INDEX(Database_dermo!$A:$I, MATCH($N1529, Database_dermo!$A:$A, 0), 2),20,3),Notes!A$1:C$9,2,TRUE), "Not Found")</f>
        <v>2</v>
      </c>
      <c r="E1529" s="1">
        <f>IFERROR(INDEX(Database_dermo!$A:$I, MATCH($N1529, Database_dermo!$A:$A, 0), 3), "Not Found")</f>
        <v>56.46</v>
      </c>
      <c r="F1529" s="1" t="str">
        <f>IFERROR(INDEX(Database_repro!$A:$F, MATCH($N1529, Database_repro!$A:$A, 0), 3), "Not Found")</f>
        <v>F</v>
      </c>
      <c r="G1529" s="1">
        <f>IFERROR(INDEX(Database_repro!$A:$F, MATCH($N1529, Database_repro!$A:$A, 0), 4), "Not Found")</f>
        <v>2</v>
      </c>
      <c r="H1529" s="1" t="s">
        <v>16</v>
      </c>
      <c r="I1529" s="1" t="s">
        <v>16</v>
      </c>
      <c r="J1529" s="1" t="s">
        <v>16</v>
      </c>
      <c r="K1529" s="1" t="str">
        <f>IFERROR(INDEX(Database_repro!$A:$F, MATCH($N1529, Database_repro!$A:$A, 0), 5), "Not Found")</f>
        <v>Yes</v>
      </c>
      <c r="L1529" s="4" t="s">
        <v>17</v>
      </c>
      <c r="M1529" s="1" t="str">
        <f>IFERROR(IF(INDEX(Database_repro!$A:$F, MATCH($N1529, Database_repro!$A:$A, 0), 6)="N","No",IF(INDEX(Database_repro!$A:$F, MATCH($N1529, Database_repro!$A:$A, 0), 6)="Y","Yes","Z")), "Not Found")</f>
        <v>No</v>
      </c>
      <c r="N1529" t="s">
        <v>97</v>
      </c>
    </row>
    <row r="1530" spans="1:14" x14ac:dyDescent="0.25">
      <c r="A1530" s="9">
        <v>45446</v>
      </c>
      <c r="B1530" s="1" t="str">
        <f>IFERROR(VLOOKUP(MID(INDEX(Database_dermo!$A:$I, MATCH($N1530, Database_dermo!$A:$A, 0), 2),20,3),Notes!A$1:C$9,3,TRUE), "Not Found")</f>
        <v>LX-N</v>
      </c>
      <c r="C1530" s="1" t="str">
        <f>IFERROR(RIGHT(INDEX(Database_dermo!$A:$I, MATCH($N1530, Database_dermo!$A:$A, 0), 1),2), "Not Found")</f>
        <v>11</v>
      </c>
      <c r="D1530" s="1">
        <f>IFERROR(VLOOKUP(MID(INDEX(Database_dermo!$A:$I, MATCH($N1530, Database_dermo!$A:$A, 0), 2),20,3),Notes!A$1:C$9,2,TRUE), "Not Found")</f>
        <v>3</v>
      </c>
      <c r="E1530" s="1">
        <f>IFERROR(INDEX(Database_dermo!$A:$I, MATCH($N1530, Database_dermo!$A:$A, 0), 3), "Not Found")</f>
        <v>58.34</v>
      </c>
      <c r="F1530" s="1" t="str">
        <f>IFERROR(INDEX(Database_repro!$A:$F, MATCH($N1530, Database_repro!$A:$A, 0), 3), "Not Found")</f>
        <v>F</v>
      </c>
      <c r="G1530" s="1">
        <f>IFERROR(INDEX(Database_repro!$A:$F, MATCH($N1530, Database_repro!$A:$A, 0), 4), "Not Found")</f>
        <v>2</v>
      </c>
      <c r="H1530" s="1" t="s">
        <v>16</v>
      </c>
      <c r="I1530" s="1" t="s">
        <v>16</v>
      </c>
      <c r="J1530" s="1" t="s">
        <v>16</v>
      </c>
      <c r="K1530" s="1" t="str">
        <f>IFERROR(INDEX(Database_repro!$A:$F, MATCH($N1530, Database_repro!$A:$A, 0), 5), "Not Found")</f>
        <v>No</v>
      </c>
      <c r="L1530" s="4" t="s">
        <v>17</v>
      </c>
      <c r="M1530" s="1" t="str">
        <f>IFERROR(IF(INDEX(Database_repro!$A:$F, MATCH($N1530, Database_repro!$A:$A, 0), 6)="N","No",IF(INDEX(Database_repro!$A:$F, MATCH($N1530, Database_repro!$A:$A, 0), 6)="Y","Yes","Z")), "Not Found")</f>
        <v>No</v>
      </c>
      <c r="N1530" t="s">
        <v>98</v>
      </c>
    </row>
    <row r="1531" spans="1:14" x14ac:dyDescent="0.25">
      <c r="A1531" s="9">
        <v>45446</v>
      </c>
      <c r="B1531" s="1" t="str">
        <f>IFERROR(VLOOKUP(MID(INDEX(Database_dermo!$A:$I, MATCH($N1531, Database_dermo!$A:$A, 0), 2),20,3),Notes!A$1:C$9,3,TRUE), "Not Found")</f>
        <v>LX-N</v>
      </c>
      <c r="C1531" s="1" t="str">
        <f>IFERROR(RIGHT(INDEX(Database_dermo!$A:$I, MATCH($N1531, Database_dermo!$A:$A, 0), 1),2), "Not Found")</f>
        <v>12</v>
      </c>
      <c r="D1531" s="1">
        <f>IFERROR(VLOOKUP(MID(INDEX(Database_dermo!$A:$I, MATCH($N1531, Database_dermo!$A:$A, 0), 2),20,3),Notes!A$1:C$9,2,TRUE), "Not Found")</f>
        <v>3</v>
      </c>
      <c r="E1531" s="1">
        <f>IFERROR(INDEX(Database_dermo!$A:$I, MATCH($N1531, Database_dermo!$A:$A, 0), 3), "Not Found")</f>
        <v>46.4</v>
      </c>
      <c r="F1531" s="1" t="str">
        <f>IFERROR(INDEX(Database_repro!$A:$F, MATCH($N1531, Database_repro!$A:$A, 0), 3), "Not Found")</f>
        <v>M</v>
      </c>
      <c r="G1531" s="1">
        <f>IFERROR(INDEX(Database_repro!$A:$F, MATCH($N1531, Database_repro!$A:$A, 0), 4), "Not Found")</f>
        <v>2</v>
      </c>
      <c r="H1531" s="1" t="s">
        <v>16</v>
      </c>
      <c r="I1531" s="1" t="s">
        <v>16</v>
      </c>
      <c r="J1531" s="1" t="s">
        <v>16</v>
      </c>
      <c r="K1531" s="1" t="str">
        <f>IFERROR(INDEX(Database_repro!$A:$F, MATCH($N1531, Database_repro!$A:$A, 0), 5), "Not Found")</f>
        <v>No</v>
      </c>
      <c r="L1531" s="4" t="s">
        <v>17</v>
      </c>
      <c r="M1531" s="1" t="str">
        <f>IFERROR(IF(INDEX(Database_repro!$A:$F, MATCH($N1531, Database_repro!$A:$A, 0), 6)="N","No",IF(INDEX(Database_repro!$A:$F, MATCH($N1531, Database_repro!$A:$A, 0), 6)="Y","Yes","Z")), "Not Found")</f>
        <v>No</v>
      </c>
      <c r="N1531" t="s">
        <v>100</v>
      </c>
    </row>
    <row r="1532" spans="1:14" x14ac:dyDescent="0.25">
      <c r="A1532" s="9">
        <v>45446</v>
      </c>
      <c r="B1532" s="1" t="str">
        <f>IFERROR(VLOOKUP(MID(INDEX(Database_dermo!$A:$I, MATCH($N1532, Database_dermo!$A:$A, 0), 2),20,3),Notes!A$1:C$9,3,TRUE), "Not Found")</f>
        <v>LX-N</v>
      </c>
      <c r="C1532" s="1" t="str">
        <f>IFERROR(RIGHT(INDEX(Database_dermo!$A:$I, MATCH($N1532, Database_dermo!$A:$A, 0), 1),2), "Not Found")</f>
        <v>13</v>
      </c>
      <c r="D1532" s="1">
        <f>IFERROR(VLOOKUP(MID(INDEX(Database_dermo!$A:$I, MATCH($N1532, Database_dermo!$A:$A, 0), 2),20,3),Notes!A$1:C$9,2,TRUE), "Not Found")</f>
        <v>3</v>
      </c>
      <c r="E1532" s="1">
        <f>IFERROR(INDEX(Database_dermo!$A:$I, MATCH($N1532, Database_dermo!$A:$A, 0), 3), "Not Found")</f>
        <v>52.94</v>
      </c>
      <c r="F1532" s="1" t="str">
        <f>IFERROR(INDEX(Database_repro!$A:$F, MATCH($N1532, Database_repro!$A:$A, 0), 3), "Not Found")</f>
        <v>F</v>
      </c>
      <c r="G1532" s="1">
        <f>IFERROR(INDEX(Database_repro!$A:$F, MATCH($N1532, Database_repro!$A:$A, 0), 4), "Not Found")</f>
        <v>2</v>
      </c>
      <c r="H1532" s="1" t="s">
        <v>16</v>
      </c>
      <c r="I1532" s="1" t="s">
        <v>16</v>
      </c>
      <c r="J1532" s="1" t="s">
        <v>16</v>
      </c>
      <c r="K1532" s="1" t="str">
        <f>IFERROR(INDEX(Database_repro!$A:$F, MATCH($N1532, Database_repro!$A:$A, 0), 5), "Not Found")</f>
        <v>Yes</v>
      </c>
      <c r="L1532" s="4" t="s">
        <v>17</v>
      </c>
      <c r="M1532" s="1" t="str">
        <f>IFERROR(IF(INDEX(Database_repro!$A:$F, MATCH($N1532, Database_repro!$A:$A, 0), 6)="N","No",IF(INDEX(Database_repro!$A:$F, MATCH($N1532, Database_repro!$A:$A, 0), 6)="Y","Yes","Z")), "Not Found")</f>
        <v>No</v>
      </c>
      <c r="N1532" t="s">
        <v>101</v>
      </c>
    </row>
    <row r="1533" spans="1:14" x14ac:dyDescent="0.25">
      <c r="A1533" s="9">
        <v>45446</v>
      </c>
      <c r="B1533" s="1" t="str">
        <f>IFERROR(VLOOKUP(MID(INDEX(Database_dermo!$A:$I, MATCH($N1533, Database_dermo!$A:$A, 0), 2),20,3),Notes!A$1:C$9,3,TRUE), "Not Found")</f>
        <v>LX-N</v>
      </c>
      <c r="C1533" s="1" t="str">
        <f>IFERROR(RIGHT(INDEX(Database_dermo!$A:$I, MATCH($N1533, Database_dermo!$A:$A, 0), 1),2), "Not Found")</f>
        <v>14</v>
      </c>
      <c r="D1533" s="1">
        <f>IFERROR(VLOOKUP(MID(INDEX(Database_dermo!$A:$I, MATCH($N1533, Database_dermo!$A:$A, 0), 2),20,3),Notes!A$1:C$9,2,TRUE), "Not Found")</f>
        <v>3</v>
      </c>
      <c r="E1533" s="1">
        <f>IFERROR(INDEX(Database_dermo!$A:$I, MATCH($N1533, Database_dermo!$A:$A, 0), 3), "Not Found")</f>
        <v>45.4</v>
      </c>
      <c r="F1533" s="1" t="str">
        <f>IFERROR(INDEX(Database_repro!$A:$F, MATCH($N1533, Database_repro!$A:$A, 0), 3), "Not Found")</f>
        <v>F</v>
      </c>
      <c r="G1533" s="1">
        <f>IFERROR(INDEX(Database_repro!$A:$F, MATCH($N1533, Database_repro!$A:$A, 0), 4), "Not Found")</f>
        <v>2</v>
      </c>
      <c r="H1533" s="1" t="s">
        <v>16</v>
      </c>
      <c r="I1533" s="1" t="s">
        <v>16</v>
      </c>
      <c r="J1533" s="1" t="s">
        <v>16</v>
      </c>
      <c r="K1533" s="1" t="str">
        <f>IFERROR(INDEX(Database_repro!$A:$F, MATCH($N1533, Database_repro!$A:$A, 0), 5), "Not Found")</f>
        <v>No</v>
      </c>
      <c r="L1533" s="4" t="s">
        <v>17</v>
      </c>
      <c r="M1533" s="1" t="str">
        <f>IFERROR(IF(INDEX(Database_repro!$A:$F, MATCH($N1533, Database_repro!$A:$A, 0), 6)="N","No",IF(INDEX(Database_repro!$A:$F, MATCH($N1533, Database_repro!$A:$A, 0), 6)="Y","Yes","Z")), "Not Found")</f>
        <v>No</v>
      </c>
      <c r="N1533" t="s">
        <v>102</v>
      </c>
    </row>
    <row r="1534" spans="1:14" x14ac:dyDescent="0.25">
      <c r="A1534" s="9">
        <v>45446</v>
      </c>
      <c r="B1534" s="1" t="str">
        <f>IFERROR(VLOOKUP(MID(INDEX(Database_dermo!$A:$I, MATCH($N1534, Database_dermo!$A:$A, 0), 2),20,3),Notes!A$1:C$9,3,TRUE), "Not Found")</f>
        <v>LX-N</v>
      </c>
      <c r="C1534" s="1" t="str">
        <f>IFERROR(RIGHT(INDEX(Database_dermo!$A:$I, MATCH($N1534, Database_dermo!$A:$A, 0), 1),2), "Not Found")</f>
        <v>15</v>
      </c>
      <c r="D1534" s="1">
        <f>IFERROR(VLOOKUP(MID(INDEX(Database_dermo!$A:$I, MATCH($N1534, Database_dermo!$A:$A, 0), 2),20,3),Notes!A$1:C$9,2,TRUE), "Not Found")</f>
        <v>3</v>
      </c>
      <c r="E1534" s="1">
        <f>IFERROR(INDEX(Database_dermo!$A:$I, MATCH($N1534, Database_dermo!$A:$A, 0), 3), "Not Found")</f>
        <v>39.020000000000003</v>
      </c>
      <c r="F1534" s="1" t="str">
        <f>IFERROR(INDEX(Database_repro!$A:$F, MATCH($N1534, Database_repro!$A:$A, 0), 3), "Not Found")</f>
        <v>F</v>
      </c>
      <c r="G1534" s="1">
        <f>IFERROR(INDEX(Database_repro!$A:$F, MATCH($N1534, Database_repro!$A:$A, 0), 4), "Not Found")</f>
        <v>2</v>
      </c>
      <c r="H1534" s="1" t="s">
        <v>16</v>
      </c>
      <c r="I1534" s="1" t="s">
        <v>16</v>
      </c>
      <c r="J1534" s="1" t="s">
        <v>16</v>
      </c>
      <c r="K1534" s="1" t="str">
        <f>IFERROR(INDEX(Database_repro!$A:$F, MATCH($N1534, Database_repro!$A:$A, 0), 5), "Not Found")</f>
        <v>No</v>
      </c>
      <c r="L1534" s="4" t="s">
        <v>17</v>
      </c>
      <c r="M1534" s="1" t="str">
        <f>IFERROR(IF(INDEX(Database_repro!$A:$F, MATCH($N1534, Database_repro!$A:$A, 0), 6)="N","No",IF(INDEX(Database_repro!$A:$F, MATCH($N1534, Database_repro!$A:$A, 0), 6)="Y","Yes","Z")), "Not Found")</f>
        <v>No</v>
      </c>
      <c r="N1534" t="s">
        <v>103</v>
      </c>
    </row>
    <row r="1535" spans="1:14" x14ac:dyDescent="0.25">
      <c r="A1535" s="9">
        <v>45482</v>
      </c>
      <c r="B1535" s="1" t="str">
        <f>IFERROR(VLOOKUP(MID(INDEX(Database_dermo!$A:$I, MATCH($N1535, Database_dermo!$A:$A, 0), 2),20,3),Notes!A$1:C$9,3,TRUE), "Not Found")</f>
        <v>LX-N</v>
      </c>
      <c r="C1535" s="1" t="str">
        <f>IFERROR(RIGHT(INDEX(Database_dermo!$A:$I, MATCH($N1535, Database_dermo!$A:$A, 0), 1),2), "Not Found")</f>
        <v>01</v>
      </c>
      <c r="D1535" s="1">
        <f>IFERROR(VLOOKUP(MID(INDEX(Database_dermo!$A:$I, MATCH($N1535, Database_dermo!$A:$A, 0), 2),20,3),Notes!A$1:C$9,2,TRUE), "Not Found")</f>
        <v>1</v>
      </c>
      <c r="E1535" s="1">
        <f>IFERROR(INDEX(Database_dermo!$A:$I, MATCH($N1535, Database_dermo!$A:$A, 0), 3), "Not Found")</f>
        <v>54.3</v>
      </c>
      <c r="F1535" s="1" t="str">
        <f>IFERROR(INDEX(Database_repro!$A:$F, MATCH($N1535, Database_repro!$A:$A, 0), 3), "Not Found")</f>
        <v>M</v>
      </c>
      <c r="G1535" s="1">
        <f>IFERROR(INDEX(Database_repro!$A:$F, MATCH($N1535, Database_repro!$A:$A, 0), 4), "Not Found")</f>
        <v>2</v>
      </c>
      <c r="H1535" s="1" t="s">
        <v>16</v>
      </c>
      <c r="I1535" s="1" t="s">
        <v>16</v>
      </c>
      <c r="J1535" s="1" t="s">
        <v>16</v>
      </c>
      <c r="K1535" s="1" t="str">
        <f>IFERROR(INDEX(Database_repro!$A:$F, MATCH($N1535, Database_repro!$A:$A, 0), 5), "Not Found")</f>
        <v>No</v>
      </c>
      <c r="L1535" s="4" t="s">
        <v>17</v>
      </c>
      <c r="M1535" s="1" t="str">
        <f>IFERROR(IF(INDEX(Database_repro!$A:$F, MATCH($N1535, Database_repro!$A:$A, 0), 6)="N","No",IF(INDEX(Database_repro!$A:$F, MATCH($N1535, Database_repro!$A:$A, 0), 6)="Y","Yes","Z")), "Not Found")</f>
        <v>No</v>
      </c>
      <c r="N1535" t="s">
        <v>104</v>
      </c>
    </row>
    <row r="1536" spans="1:14" x14ac:dyDescent="0.25">
      <c r="A1536" s="9">
        <v>45482</v>
      </c>
      <c r="B1536" s="1" t="str">
        <f>IFERROR(VLOOKUP(MID(INDEX(Database_dermo!$A:$I, MATCH($N1536, Database_dermo!$A:$A, 0), 2),20,3),Notes!A$1:C$9,3,TRUE), "Not Found")</f>
        <v>LX-N</v>
      </c>
      <c r="C1536" s="1" t="str">
        <f>IFERROR(RIGHT(INDEX(Database_dermo!$A:$I, MATCH($N1536, Database_dermo!$A:$A, 0), 1),2), "Not Found")</f>
        <v>02</v>
      </c>
      <c r="D1536" s="1">
        <f>IFERROR(VLOOKUP(MID(INDEX(Database_dermo!$A:$I, MATCH($N1536, Database_dermo!$A:$A, 0), 2),20,3),Notes!A$1:C$9,2,TRUE), "Not Found")</f>
        <v>1</v>
      </c>
      <c r="E1536" s="1">
        <f>IFERROR(INDEX(Database_dermo!$A:$I, MATCH($N1536, Database_dermo!$A:$A, 0), 3), "Not Found")</f>
        <v>55.01</v>
      </c>
      <c r="F1536" s="1" t="str">
        <f>IFERROR(INDEX(Database_repro!$A:$F, MATCH($N1536, Database_repro!$A:$A, 0), 3), "Not Found")</f>
        <v>F</v>
      </c>
      <c r="G1536" s="1">
        <f>IFERROR(INDEX(Database_repro!$A:$F, MATCH($N1536, Database_repro!$A:$A, 0), 4), "Not Found")</f>
        <v>2</v>
      </c>
      <c r="H1536" s="1" t="s">
        <v>16</v>
      </c>
      <c r="I1536" s="1" t="s">
        <v>16</v>
      </c>
      <c r="J1536" s="1" t="s">
        <v>16</v>
      </c>
      <c r="K1536" s="1" t="str">
        <f>IFERROR(INDEX(Database_repro!$A:$F, MATCH($N1536, Database_repro!$A:$A, 0), 5), "Not Found")</f>
        <v>No</v>
      </c>
      <c r="L1536" s="4" t="s">
        <v>17</v>
      </c>
      <c r="M1536" s="1" t="str">
        <f>IFERROR(IF(INDEX(Database_repro!$A:$F, MATCH($N1536, Database_repro!$A:$A, 0), 6)="N","No",IF(INDEX(Database_repro!$A:$F, MATCH($N1536, Database_repro!$A:$A, 0), 6)="Y","Yes","Z")), "Not Found")</f>
        <v>No</v>
      </c>
      <c r="N1536" t="s">
        <v>107</v>
      </c>
    </row>
    <row r="1537" spans="1:14" x14ac:dyDescent="0.25">
      <c r="A1537" s="9">
        <v>45482</v>
      </c>
      <c r="B1537" s="1" t="str">
        <f>IFERROR(VLOOKUP(MID(INDEX(Database_dermo!$A:$I, MATCH($N1537, Database_dermo!$A:$A, 0), 2),20,3),Notes!A$1:C$9,3,TRUE), "Not Found")</f>
        <v>LX-N</v>
      </c>
      <c r="C1537" s="1" t="str">
        <f>IFERROR(RIGHT(INDEX(Database_dermo!$A:$I, MATCH($N1537, Database_dermo!$A:$A, 0), 1),2), "Not Found")</f>
        <v>03</v>
      </c>
      <c r="D1537" s="1">
        <f>IFERROR(VLOOKUP(MID(INDEX(Database_dermo!$A:$I, MATCH($N1537, Database_dermo!$A:$A, 0), 2),20,3),Notes!A$1:C$9,2,TRUE), "Not Found")</f>
        <v>1</v>
      </c>
      <c r="E1537" s="1">
        <f>IFERROR(INDEX(Database_dermo!$A:$I, MATCH($N1537, Database_dermo!$A:$A, 0), 3), "Not Found")</f>
        <v>47.13</v>
      </c>
      <c r="F1537" s="1" t="str">
        <f>IFERROR(INDEX(Database_repro!$A:$F, MATCH($N1537, Database_repro!$A:$A, 0), 3), "Not Found")</f>
        <v>F</v>
      </c>
      <c r="G1537" s="1">
        <f>IFERROR(INDEX(Database_repro!$A:$F, MATCH($N1537, Database_repro!$A:$A, 0), 4), "Not Found")</f>
        <v>2</v>
      </c>
      <c r="H1537" s="1" t="s">
        <v>16</v>
      </c>
      <c r="I1537" s="1" t="s">
        <v>16</v>
      </c>
      <c r="J1537" s="1" t="s">
        <v>16</v>
      </c>
      <c r="K1537" s="1" t="str">
        <f>IFERROR(INDEX(Database_repro!$A:$F, MATCH($N1537, Database_repro!$A:$A, 0), 5), "Not Found")</f>
        <v>No</v>
      </c>
      <c r="L1537" s="4" t="s">
        <v>17</v>
      </c>
      <c r="M1537" s="1" t="str">
        <f>IFERROR(IF(INDEX(Database_repro!$A:$F, MATCH($N1537, Database_repro!$A:$A, 0), 6)="N","No",IF(INDEX(Database_repro!$A:$F, MATCH($N1537, Database_repro!$A:$A, 0), 6)="Y","Yes","Z")), "Not Found")</f>
        <v>No</v>
      </c>
      <c r="N1537" t="s">
        <v>108</v>
      </c>
    </row>
    <row r="1538" spans="1:14" x14ac:dyDescent="0.25">
      <c r="A1538" s="9">
        <v>45482</v>
      </c>
      <c r="B1538" s="1" t="str">
        <f>IFERROR(VLOOKUP(MID(INDEX(Database_dermo!$A:$I, MATCH($N1538, Database_dermo!$A:$A, 0), 2),20,3),Notes!A$1:C$9,3,TRUE), "Not Found")</f>
        <v>LX-N</v>
      </c>
      <c r="C1538" s="1" t="str">
        <f>IFERROR(RIGHT(INDEX(Database_dermo!$A:$I, MATCH($N1538, Database_dermo!$A:$A, 0), 1),2), "Not Found")</f>
        <v>04</v>
      </c>
      <c r="D1538" s="1">
        <f>IFERROR(VLOOKUP(MID(INDEX(Database_dermo!$A:$I, MATCH($N1538, Database_dermo!$A:$A, 0), 2),20,3),Notes!A$1:C$9,2,TRUE), "Not Found")</f>
        <v>1</v>
      </c>
      <c r="E1538" s="1">
        <f>IFERROR(INDEX(Database_dermo!$A:$I, MATCH($N1538, Database_dermo!$A:$A, 0), 3), "Not Found")</f>
        <v>46.65</v>
      </c>
      <c r="F1538" s="1" t="str">
        <f>IFERROR(INDEX(Database_repro!$A:$F, MATCH($N1538, Database_repro!$A:$A, 0), 3), "Not Found")</f>
        <v>F</v>
      </c>
      <c r="G1538" s="1">
        <f>IFERROR(INDEX(Database_repro!$A:$F, MATCH($N1538, Database_repro!$A:$A, 0), 4), "Not Found")</f>
        <v>2</v>
      </c>
      <c r="H1538" s="1" t="s">
        <v>16</v>
      </c>
      <c r="I1538" s="1" t="s">
        <v>16</v>
      </c>
      <c r="J1538" s="1" t="s">
        <v>16</v>
      </c>
      <c r="K1538" s="1" t="str">
        <f>IFERROR(INDEX(Database_repro!$A:$F, MATCH($N1538, Database_repro!$A:$A, 0), 5), "Not Found")</f>
        <v>No</v>
      </c>
      <c r="L1538" s="4" t="s">
        <v>17</v>
      </c>
      <c r="M1538" s="1" t="str">
        <f>IFERROR(IF(INDEX(Database_repro!$A:$F, MATCH($N1538, Database_repro!$A:$A, 0), 6)="N","No",IF(INDEX(Database_repro!$A:$F, MATCH($N1538, Database_repro!$A:$A, 0), 6)="Y","Yes","Z")), "Not Found")</f>
        <v>No</v>
      </c>
      <c r="N1538" t="s">
        <v>109</v>
      </c>
    </row>
    <row r="1539" spans="1:14" x14ac:dyDescent="0.25">
      <c r="A1539" s="9">
        <v>45482</v>
      </c>
      <c r="B1539" s="1" t="str">
        <f>IFERROR(VLOOKUP(MID(INDEX(Database_dermo!$A:$I, MATCH($N1539, Database_dermo!$A:$A, 0), 2),20,3),Notes!A$1:C$9,3,TRUE), "Not Found")</f>
        <v>LX-N</v>
      </c>
      <c r="C1539" s="1" t="str">
        <f>IFERROR(RIGHT(INDEX(Database_dermo!$A:$I, MATCH($N1539, Database_dermo!$A:$A, 0), 1),2), "Not Found")</f>
        <v>05</v>
      </c>
      <c r="D1539" s="1">
        <f>IFERROR(VLOOKUP(MID(INDEX(Database_dermo!$A:$I, MATCH($N1539, Database_dermo!$A:$A, 0), 2),20,3),Notes!A$1:C$9,2,TRUE), "Not Found")</f>
        <v>1</v>
      </c>
      <c r="E1539" s="1">
        <f>IFERROR(INDEX(Database_dermo!$A:$I, MATCH($N1539, Database_dermo!$A:$A, 0), 3), "Not Found")</f>
        <v>51.05</v>
      </c>
      <c r="F1539" s="1" t="str">
        <f>IFERROR(INDEX(Database_repro!$A:$F, MATCH($N1539, Database_repro!$A:$A, 0), 3), "Not Found")</f>
        <v>F</v>
      </c>
      <c r="G1539" s="1">
        <f>IFERROR(INDEX(Database_repro!$A:$F, MATCH($N1539, Database_repro!$A:$A, 0), 4), "Not Found")</f>
        <v>2</v>
      </c>
      <c r="H1539" s="1" t="s">
        <v>16</v>
      </c>
      <c r="I1539" s="1" t="s">
        <v>16</v>
      </c>
      <c r="J1539" s="1" t="s">
        <v>16</v>
      </c>
      <c r="K1539" s="1" t="str">
        <f>IFERROR(INDEX(Database_repro!$A:$F, MATCH($N1539, Database_repro!$A:$A, 0), 5), "Not Found")</f>
        <v>No</v>
      </c>
      <c r="L1539" s="4" t="s">
        <v>17</v>
      </c>
      <c r="M1539" s="1" t="str">
        <f>IFERROR(IF(INDEX(Database_repro!$A:$F, MATCH($N1539, Database_repro!$A:$A, 0), 6)="N","No",IF(INDEX(Database_repro!$A:$F, MATCH($N1539, Database_repro!$A:$A, 0), 6)="Y","Yes","Z")), "Not Found")</f>
        <v>No</v>
      </c>
      <c r="N1539" t="s">
        <v>111</v>
      </c>
    </row>
    <row r="1540" spans="1:14" x14ac:dyDescent="0.25">
      <c r="A1540" s="9">
        <v>45482</v>
      </c>
      <c r="B1540" s="1" t="str">
        <f>IFERROR(VLOOKUP(MID(INDEX(Database_dermo!$A:$I, MATCH($N1540, Database_dermo!$A:$A, 0), 2),20,3),Notes!A$1:C$9,3,TRUE), "Not Found")</f>
        <v>LX-N</v>
      </c>
      <c r="C1540" s="1" t="str">
        <f>IFERROR(RIGHT(INDEX(Database_dermo!$A:$I, MATCH($N1540, Database_dermo!$A:$A, 0), 1),2), "Not Found")</f>
        <v>06</v>
      </c>
      <c r="D1540" s="1">
        <f>IFERROR(VLOOKUP(MID(INDEX(Database_dermo!$A:$I, MATCH($N1540, Database_dermo!$A:$A, 0), 2),20,3),Notes!A$1:C$9,2,TRUE), "Not Found")</f>
        <v>2</v>
      </c>
      <c r="E1540" s="1">
        <f>IFERROR(INDEX(Database_dermo!$A:$I, MATCH($N1540, Database_dermo!$A:$A, 0), 3), "Not Found")</f>
        <v>39.5</v>
      </c>
      <c r="F1540" s="1" t="str">
        <f>IFERROR(INDEX(Database_repro!$A:$F, MATCH($N1540, Database_repro!$A:$A, 0), 3), "Not Found")</f>
        <v>M</v>
      </c>
      <c r="G1540" s="1">
        <f>IFERROR(INDEX(Database_repro!$A:$F, MATCH($N1540, Database_repro!$A:$A, 0), 4), "Not Found")</f>
        <v>2</v>
      </c>
      <c r="H1540" s="1" t="s">
        <v>16</v>
      </c>
      <c r="I1540" s="1" t="s">
        <v>16</v>
      </c>
      <c r="J1540" s="1" t="s">
        <v>16</v>
      </c>
      <c r="K1540" s="1" t="str">
        <f>IFERROR(INDEX(Database_repro!$A:$F, MATCH($N1540, Database_repro!$A:$A, 0), 5), "Not Found")</f>
        <v>No</v>
      </c>
      <c r="L1540" s="4" t="s">
        <v>17</v>
      </c>
      <c r="M1540" s="1" t="str">
        <f>IFERROR(IF(INDEX(Database_repro!$A:$F, MATCH($N1540, Database_repro!$A:$A, 0), 6)="N","No",IF(INDEX(Database_repro!$A:$F, MATCH($N1540, Database_repro!$A:$A, 0), 6)="Y","Yes","Z")), "Not Found")</f>
        <v>No</v>
      </c>
      <c r="N1540" t="s">
        <v>112</v>
      </c>
    </row>
    <row r="1541" spans="1:14" x14ac:dyDescent="0.25">
      <c r="A1541" s="9">
        <v>45482</v>
      </c>
      <c r="B1541" s="1" t="str">
        <f>IFERROR(VLOOKUP(MID(INDEX(Database_dermo!$A:$I, MATCH($N1541, Database_dermo!$A:$A, 0), 2),20,3),Notes!A$1:C$9,3,TRUE), "Not Found")</f>
        <v>LX-N</v>
      </c>
      <c r="C1541" s="1" t="str">
        <f>IFERROR(RIGHT(INDEX(Database_dermo!$A:$I, MATCH($N1541, Database_dermo!$A:$A, 0), 1),2), "Not Found")</f>
        <v>07</v>
      </c>
      <c r="D1541" s="1">
        <f>IFERROR(VLOOKUP(MID(INDEX(Database_dermo!$A:$I, MATCH($N1541, Database_dermo!$A:$A, 0), 2),20,3),Notes!A$1:C$9,2,TRUE), "Not Found")</f>
        <v>2</v>
      </c>
      <c r="E1541" s="1">
        <f>IFERROR(INDEX(Database_dermo!$A:$I, MATCH($N1541, Database_dermo!$A:$A, 0), 3), "Not Found")</f>
        <v>42.72</v>
      </c>
      <c r="F1541" s="1" t="str">
        <f>IFERROR(INDEX(Database_repro!$A:$F, MATCH($N1541, Database_repro!$A:$A, 0), 3), "Not Found")</f>
        <v>F</v>
      </c>
      <c r="G1541" s="1">
        <f>IFERROR(INDEX(Database_repro!$A:$F, MATCH($N1541, Database_repro!$A:$A, 0), 4), "Not Found")</f>
        <v>2</v>
      </c>
      <c r="H1541" s="1" t="s">
        <v>16</v>
      </c>
      <c r="I1541" s="1" t="s">
        <v>16</v>
      </c>
      <c r="J1541" s="1" t="s">
        <v>16</v>
      </c>
      <c r="K1541" s="1" t="str">
        <f>IFERROR(INDEX(Database_repro!$A:$F, MATCH($N1541, Database_repro!$A:$A, 0), 5), "Not Found")</f>
        <v>Yes</v>
      </c>
      <c r="L1541" s="4" t="s">
        <v>17</v>
      </c>
      <c r="M1541" s="1" t="str">
        <f>IFERROR(IF(INDEX(Database_repro!$A:$F, MATCH($N1541, Database_repro!$A:$A, 0), 6)="N","No",IF(INDEX(Database_repro!$A:$F, MATCH($N1541, Database_repro!$A:$A, 0), 6)="Y","Yes","Z")), "Not Found")</f>
        <v>No</v>
      </c>
      <c r="N1541" t="s">
        <v>114</v>
      </c>
    </row>
    <row r="1542" spans="1:14" x14ac:dyDescent="0.25">
      <c r="A1542" s="9">
        <v>45482</v>
      </c>
      <c r="B1542" s="1" t="str">
        <f>IFERROR(VLOOKUP(MID(INDEX(Database_dermo!$A:$I, MATCH($N1542, Database_dermo!$A:$A, 0), 2),20,3),Notes!A$1:C$9,3,TRUE), "Not Found")</f>
        <v>LX-N</v>
      </c>
      <c r="C1542" s="1" t="str">
        <f>IFERROR(RIGHT(INDEX(Database_dermo!$A:$I, MATCH($N1542, Database_dermo!$A:$A, 0), 1),2), "Not Found")</f>
        <v>08</v>
      </c>
      <c r="D1542" s="1">
        <f>IFERROR(VLOOKUP(MID(INDEX(Database_dermo!$A:$I, MATCH($N1542, Database_dermo!$A:$A, 0), 2),20,3),Notes!A$1:C$9,2,TRUE), "Not Found")</f>
        <v>2</v>
      </c>
      <c r="E1542" s="1">
        <f>IFERROR(INDEX(Database_dermo!$A:$I, MATCH($N1542, Database_dermo!$A:$A, 0), 3), "Not Found")</f>
        <v>40.119999999999997</v>
      </c>
      <c r="F1542" s="1" t="str">
        <f>IFERROR(INDEX(Database_repro!$A:$F, MATCH($N1542, Database_repro!$A:$A, 0), 3), "Not Found")</f>
        <v>M</v>
      </c>
      <c r="G1542" s="1">
        <f>IFERROR(INDEX(Database_repro!$A:$F, MATCH($N1542, Database_repro!$A:$A, 0), 4), "Not Found")</f>
        <v>2</v>
      </c>
      <c r="H1542" s="1" t="s">
        <v>16</v>
      </c>
      <c r="I1542" s="1" t="s">
        <v>16</v>
      </c>
      <c r="J1542" s="1" t="s">
        <v>16</v>
      </c>
      <c r="K1542" s="1" t="str">
        <f>IFERROR(INDEX(Database_repro!$A:$F, MATCH($N1542, Database_repro!$A:$A, 0), 5), "Not Found")</f>
        <v>No</v>
      </c>
      <c r="L1542" s="4" t="s">
        <v>17</v>
      </c>
      <c r="M1542" s="1" t="str">
        <f>IFERROR(IF(INDEX(Database_repro!$A:$F, MATCH($N1542, Database_repro!$A:$A, 0), 6)="N","No",IF(INDEX(Database_repro!$A:$F, MATCH($N1542, Database_repro!$A:$A, 0), 6)="Y","Yes","Z")), "Not Found")</f>
        <v>No</v>
      </c>
      <c r="N1542" t="s">
        <v>116</v>
      </c>
    </row>
    <row r="1543" spans="1:14" x14ac:dyDescent="0.25">
      <c r="A1543" s="9">
        <v>45482</v>
      </c>
      <c r="B1543" s="1" t="str">
        <f>IFERROR(VLOOKUP(MID(INDEX(Database_dermo!$A:$I, MATCH($N1543, Database_dermo!$A:$A, 0), 2),20,3),Notes!A$1:C$9,3,TRUE), "Not Found")</f>
        <v>LX-N</v>
      </c>
      <c r="C1543" s="1" t="str">
        <f>IFERROR(RIGHT(INDEX(Database_dermo!$A:$I, MATCH($N1543, Database_dermo!$A:$A, 0), 1),2), "Not Found")</f>
        <v>09</v>
      </c>
      <c r="D1543" s="1">
        <f>IFERROR(VLOOKUP(MID(INDEX(Database_dermo!$A:$I, MATCH($N1543, Database_dermo!$A:$A, 0), 2),20,3),Notes!A$1:C$9,2,TRUE), "Not Found")</f>
        <v>2</v>
      </c>
      <c r="E1543" s="1">
        <f>IFERROR(INDEX(Database_dermo!$A:$I, MATCH($N1543, Database_dermo!$A:$A, 0), 3), "Not Found")</f>
        <v>56.3</v>
      </c>
      <c r="F1543" s="1" t="str">
        <f>IFERROR(INDEX(Database_repro!$A:$F, MATCH($N1543, Database_repro!$A:$A, 0), 3), "Not Found")</f>
        <v>F</v>
      </c>
      <c r="G1543" s="1">
        <f>IFERROR(INDEX(Database_repro!$A:$F, MATCH($N1543, Database_repro!$A:$A, 0), 4), "Not Found")</f>
        <v>2</v>
      </c>
      <c r="H1543" s="1" t="s">
        <v>16</v>
      </c>
      <c r="I1543" s="1" t="s">
        <v>16</v>
      </c>
      <c r="J1543" s="1" t="s">
        <v>16</v>
      </c>
      <c r="K1543" s="1" t="str">
        <f>IFERROR(INDEX(Database_repro!$A:$F, MATCH($N1543, Database_repro!$A:$A, 0), 5), "Not Found")</f>
        <v>Yes</v>
      </c>
      <c r="L1543" s="4" t="s">
        <v>17</v>
      </c>
      <c r="M1543" s="1" t="str">
        <f>IFERROR(IF(INDEX(Database_repro!$A:$F, MATCH($N1543, Database_repro!$A:$A, 0), 6)="N","No",IF(INDEX(Database_repro!$A:$F, MATCH($N1543, Database_repro!$A:$A, 0), 6)="Y","Yes","Z")), "Not Found")</f>
        <v>No</v>
      </c>
      <c r="N1543" t="s">
        <v>117</v>
      </c>
    </row>
    <row r="1544" spans="1:14" x14ac:dyDescent="0.25">
      <c r="A1544" s="9">
        <v>45482</v>
      </c>
      <c r="B1544" s="1" t="str">
        <f>IFERROR(VLOOKUP(MID(INDEX(Database_dermo!$A:$I, MATCH($N1544, Database_dermo!$A:$A, 0), 2),20,3),Notes!A$1:C$9,3,TRUE), "Not Found")</f>
        <v>LX-N</v>
      </c>
      <c r="C1544" s="1" t="str">
        <f>IFERROR(RIGHT(INDEX(Database_dermo!$A:$I, MATCH($N1544, Database_dermo!$A:$A, 0), 1),2), "Not Found")</f>
        <v>10</v>
      </c>
      <c r="D1544" s="1">
        <f>IFERROR(VLOOKUP(MID(INDEX(Database_dermo!$A:$I, MATCH($N1544, Database_dermo!$A:$A, 0), 2),20,3),Notes!A$1:C$9,2,TRUE), "Not Found")</f>
        <v>2</v>
      </c>
      <c r="E1544" s="1">
        <f>IFERROR(INDEX(Database_dermo!$A:$I, MATCH($N1544, Database_dermo!$A:$A, 0), 3), "Not Found")</f>
        <v>48.4</v>
      </c>
      <c r="F1544" s="1" t="str">
        <f>IFERROR(INDEX(Database_repro!$A:$F, MATCH($N1544, Database_repro!$A:$A, 0), 3), "Not Found")</f>
        <v>F</v>
      </c>
      <c r="G1544" s="1">
        <f>IFERROR(INDEX(Database_repro!$A:$F, MATCH($N1544, Database_repro!$A:$A, 0), 4), "Not Found")</f>
        <v>2</v>
      </c>
      <c r="H1544" s="1" t="s">
        <v>16</v>
      </c>
      <c r="I1544" s="1" t="s">
        <v>16</v>
      </c>
      <c r="J1544" s="1" t="s">
        <v>16</v>
      </c>
      <c r="K1544" s="1" t="str">
        <f>IFERROR(INDEX(Database_repro!$A:$F, MATCH($N1544, Database_repro!$A:$A, 0), 5), "Not Found")</f>
        <v>Yes</v>
      </c>
      <c r="L1544" s="4" t="s">
        <v>17</v>
      </c>
      <c r="M1544" s="1" t="str">
        <f>IFERROR(IF(INDEX(Database_repro!$A:$F, MATCH($N1544, Database_repro!$A:$A, 0), 6)="N","No",IF(INDEX(Database_repro!$A:$F, MATCH($N1544, Database_repro!$A:$A, 0), 6)="Y","Yes","Z")), "Not Found")</f>
        <v>No</v>
      </c>
      <c r="N1544" t="s">
        <v>118</v>
      </c>
    </row>
    <row r="1545" spans="1:14" x14ac:dyDescent="0.25">
      <c r="A1545" s="9">
        <v>45482</v>
      </c>
      <c r="B1545" s="1" t="str">
        <f>IFERROR(VLOOKUP(MID(INDEX(Database_dermo!$A:$I, MATCH($N1545, Database_dermo!$A:$A, 0), 2),20,3),Notes!A$1:C$9,3,TRUE), "Not Found")</f>
        <v>LX-N</v>
      </c>
      <c r="C1545" s="1" t="str">
        <f>IFERROR(RIGHT(INDEX(Database_dermo!$A:$I, MATCH($N1545, Database_dermo!$A:$A, 0), 1),2), "Not Found")</f>
        <v>11</v>
      </c>
      <c r="D1545" s="1">
        <f>IFERROR(VLOOKUP(MID(INDEX(Database_dermo!$A:$I, MATCH($N1545, Database_dermo!$A:$A, 0), 2),20,3),Notes!A$1:C$9,2,TRUE), "Not Found")</f>
        <v>3</v>
      </c>
      <c r="E1545" s="1">
        <f>IFERROR(INDEX(Database_dermo!$A:$I, MATCH($N1545, Database_dermo!$A:$A, 0), 3), "Not Found")</f>
        <v>44.15</v>
      </c>
      <c r="F1545" s="1" t="str">
        <f>IFERROR(INDEX(Database_repro!$A:$F, MATCH($N1545, Database_repro!$A:$A, 0), 3), "Not Found")</f>
        <v>M</v>
      </c>
      <c r="G1545" s="1">
        <f>IFERROR(INDEX(Database_repro!$A:$F, MATCH($N1545, Database_repro!$A:$A, 0), 4), "Not Found")</f>
        <v>2</v>
      </c>
      <c r="H1545" s="1" t="s">
        <v>16</v>
      </c>
      <c r="I1545" s="1" t="s">
        <v>16</v>
      </c>
      <c r="J1545" s="1" t="s">
        <v>16</v>
      </c>
      <c r="K1545" s="1" t="str">
        <f>IFERROR(INDEX(Database_repro!$A:$F, MATCH($N1545, Database_repro!$A:$A, 0), 5), "Not Found")</f>
        <v>No</v>
      </c>
      <c r="L1545" s="4" t="s">
        <v>17</v>
      </c>
      <c r="M1545" s="1" t="str">
        <f>IFERROR(IF(INDEX(Database_repro!$A:$F, MATCH($N1545, Database_repro!$A:$A, 0), 6)="N","No",IF(INDEX(Database_repro!$A:$F, MATCH($N1545, Database_repro!$A:$A, 0), 6)="Y","Yes","Z")), "Not Found")</f>
        <v>No</v>
      </c>
      <c r="N1545" t="s">
        <v>119</v>
      </c>
    </row>
    <row r="1546" spans="1:14" x14ac:dyDescent="0.25">
      <c r="A1546" s="9">
        <v>45482</v>
      </c>
      <c r="B1546" s="1" t="str">
        <f>IFERROR(VLOOKUP(MID(INDEX(Database_dermo!$A:$I, MATCH($N1546, Database_dermo!$A:$A, 0), 2),20,3),Notes!A$1:C$9,3,TRUE), "Not Found")</f>
        <v>LX-N</v>
      </c>
      <c r="C1546" s="1" t="str">
        <f>IFERROR(RIGHT(INDEX(Database_dermo!$A:$I, MATCH($N1546, Database_dermo!$A:$A, 0), 1),2), "Not Found")</f>
        <v>12</v>
      </c>
      <c r="D1546" s="1">
        <f>IFERROR(VLOOKUP(MID(INDEX(Database_dermo!$A:$I, MATCH($N1546, Database_dermo!$A:$A, 0), 2),20,3),Notes!A$1:C$9,2,TRUE), "Not Found")</f>
        <v>3</v>
      </c>
      <c r="E1546" s="1">
        <f>IFERROR(INDEX(Database_dermo!$A:$I, MATCH($N1546, Database_dermo!$A:$A, 0), 3), "Not Found")</f>
        <v>38.97</v>
      </c>
      <c r="F1546" s="1" t="str">
        <f>IFERROR(INDEX(Database_repro!$A:$F, MATCH($N1546, Database_repro!$A:$A, 0), 3), "Not Found")</f>
        <v>F</v>
      </c>
      <c r="G1546" s="1">
        <f>IFERROR(INDEX(Database_repro!$A:$F, MATCH($N1546, Database_repro!$A:$A, 0), 4), "Not Found")</f>
        <v>2</v>
      </c>
      <c r="H1546" s="1" t="s">
        <v>16</v>
      </c>
      <c r="I1546" s="1" t="s">
        <v>16</v>
      </c>
      <c r="J1546" s="1" t="s">
        <v>16</v>
      </c>
      <c r="K1546" s="1" t="str">
        <f>IFERROR(INDEX(Database_repro!$A:$F, MATCH($N1546, Database_repro!$A:$A, 0), 5), "Not Found")</f>
        <v>No</v>
      </c>
      <c r="L1546" s="4" t="s">
        <v>17</v>
      </c>
      <c r="M1546" s="1" t="str">
        <f>IFERROR(IF(INDEX(Database_repro!$A:$F, MATCH($N1546, Database_repro!$A:$A, 0), 6)="N","No",IF(INDEX(Database_repro!$A:$F, MATCH($N1546, Database_repro!$A:$A, 0), 6)="Y","Yes","Z")), "Not Found")</f>
        <v>No</v>
      </c>
      <c r="N1546" t="s">
        <v>121</v>
      </c>
    </row>
    <row r="1547" spans="1:14" x14ac:dyDescent="0.25">
      <c r="A1547" s="9">
        <v>45482</v>
      </c>
      <c r="B1547" s="1" t="str">
        <f>IFERROR(VLOOKUP(MID(INDEX(Database_dermo!$A:$I, MATCH($N1547, Database_dermo!$A:$A, 0), 2),20,3),Notes!A$1:C$9,3,TRUE), "Not Found")</f>
        <v>LX-N</v>
      </c>
      <c r="C1547" s="1" t="str">
        <f>IFERROR(RIGHT(INDEX(Database_dermo!$A:$I, MATCH($N1547, Database_dermo!$A:$A, 0), 1),2), "Not Found")</f>
        <v>13</v>
      </c>
      <c r="D1547" s="1">
        <f>IFERROR(VLOOKUP(MID(INDEX(Database_dermo!$A:$I, MATCH($N1547, Database_dermo!$A:$A, 0), 2),20,3),Notes!A$1:C$9,2,TRUE), "Not Found")</f>
        <v>3</v>
      </c>
      <c r="E1547" s="1">
        <f>IFERROR(INDEX(Database_dermo!$A:$I, MATCH($N1547, Database_dermo!$A:$A, 0), 3), "Not Found")</f>
        <v>51.32</v>
      </c>
      <c r="F1547" s="1" t="str">
        <f>IFERROR(INDEX(Database_repro!$A:$F, MATCH($N1547, Database_repro!$A:$A, 0), 3), "Not Found")</f>
        <v>F</v>
      </c>
      <c r="G1547" s="1">
        <f>IFERROR(INDEX(Database_repro!$A:$F, MATCH($N1547, Database_repro!$A:$A, 0), 4), "Not Found")</f>
        <v>2</v>
      </c>
      <c r="H1547" s="1" t="s">
        <v>16</v>
      </c>
      <c r="I1547" s="1" t="s">
        <v>16</v>
      </c>
      <c r="J1547" s="1" t="s">
        <v>16</v>
      </c>
      <c r="K1547" s="1" t="str">
        <f>IFERROR(INDEX(Database_repro!$A:$F, MATCH($N1547, Database_repro!$A:$A, 0), 5), "Not Found")</f>
        <v>No</v>
      </c>
      <c r="L1547" s="4" t="s">
        <v>17</v>
      </c>
      <c r="M1547" s="1" t="str">
        <f>IFERROR(IF(INDEX(Database_repro!$A:$F, MATCH($N1547, Database_repro!$A:$A, 0), 6)="N","No",IF(INDEX(Database_repro!$A:$F, MATCH($N1547, Database_repro!$A:$A, 0), 6)="Y","Yes","Z")), "Not Found")</f>
        <v>No</v>
      </c>
      <c r="N1547" t="s">
        <v>122</v>
      </c>
    </row>
    <row r="1548" spans="1:14" x14ac:dyDescent="0.25">
      <c r="A1548" s="9">
        <v>45482</v>
      </c>
      <c r="B1548" s="1" t="str">
        <f>IFERROR(VLOOKUP(MID(INDEX(Database_dermo!$A:$I, MATCH($N1548, Database_dermo!$A:$A, 0), 2),20,3),Notes!A$1:C$9,3,TRUE), "Not Found")</f>
        <v>LX-N</v>
      </c>
      <c r="C1548" s="1" t="str">
        <f>IFERROR(RIGHT(INDEX(Database_dermo!$A:$I, MATCH($N1548, Database_dermo!$A:$A, 0), 1),2), "Not Found")</f>
        <v>14</v>
      </c>
      <c r="D1548" s="1">
        <f>IFERROR(VLOOKUP(MID(INDEX(Database_dermo!$A:$I, MATCH($N1548, Database_dermo!$A:$A, 0), 2),20,3),Notes!A$1:C$9,2,TRUE), "Not Found")</f>
        <v>3</v>
      </c>
      <c r="E1548" s="1">
        <f>IFERROR(INDEX(Database_dermo!$A:$I, MATCH($N1548, Database_dermo!$A:$A, 0), 3), "Not Found")</f>
        <v>38.69</v>
      </c>
      <c r="F1548" s="1" t="str">
        <f>IFERROR(INDEX(Database_repro!$A:$F, MATCH($N1548, Database_repro!$A:$A, 0), 3), "Not Found")</f>
        <v>M</v>
      </c>
      <c r="G1548" s="1">
        <f>IFERROR(INDEX(Database_repro!$A:$F, MATCH($N1548, Database_repro!$A:$A, 0), 4), "Not Found")</f>
        <v>2</v>
      </c>
      <c r="H1548" s="1" t="s">
        <v>16</v>
      </c>
      <c r="I1548" s="1" t="s">
        <v>16</v>
      </c>
      <c r="J1548" s="1" t="s">
        <v>16</v>
      </c>
      <c r="K1548" s="1" t="str">
        <f>IFERROR(INDEX(Database_repro!$A:$F, MATCH($N1548, Database_repro!$A:$A, 0), 5), "Not Found")</f>
        <v>No</v>
      </c>
      <c r="L1548" s="4" t="s">
        <v>17</v>
      </c>
      <c r="M1548" s="1" t="str">
        <f>IFERROR(IF(INDEX(Database_repro!$A:$F, MATCH($N1548, Database_repro!$A:$A, 0), 6)="N","No",IF(INDEX(Database_repro!$A:$F, MATCH($N1548, Database_repro!$A:$A, 0), 6)="Y","Yes","Z")), "Not Found")</f>
        <v>No</v>
      </c>
      <c r="N1548" t="s">
        <v>123</v>
      </c>
    </row>
    <row r="1549" spans="1:14" x14ac:dyDescent="0.25">
      <c r="A1549" s="9">
        <v>45482</v>
      </c>
      <c r="B1549" s="1" t="str">
        <f>IFERROR(VLOOKUP(MID(INDEX(Database_dermo!$A:$I, MATCH($N1549, Database_dermo!$A:$A, 0), 2),20,3),Notes!A$1:C$9,3,TRUE), "Not Found")</f>
        <v>LX-N</v>
      </c>
      <c r="C1549" s="1" t="str">
        <f>IFERROR(RIGHT(INDEX(Database_dermo!$A:$I, MATCH($N1549, Database_dermo!$A:$A, 0), 1),2), "Not Found")</f>
        <v>15</v>
      </c>
      <c r="D1549" s="1">
        <f>IFERROR(VLOOKUP(MID(INDEX(Database_dermo!$A:$I, MATCH($N1549, Database_dermo!$A:$A, 0), 2),20,3),Notes!A$1:C$9,2,TRUE), "Not Found")</f>
        <v>3</v>
      </c>
      <c r="E1549" s="1">
        <f>IFERROR(INDEX(Database_dermo!$A:$I, MATCH($N1549, Database_dermo!$A:$A, 0), 3), "Not Found")</f>
        <v>47.26</v>
      </c>
      <c r="F1549" s="1" t="str">
        <f>IFERROR(INDEX(Database_repro!$A:$F, MATCH($N1549, Database_repro!$A:$A, 0), 3), "Not Found")</f>
        <v>F</v>
      </c>
      <c r="G1549" s="1">
        <f>IFERROR(INDEX(Database_repro!$A:$F, MATCH($N1549, Database_repro!$A:$A, 0), 4), "Not Found")</f>
        <v>2</v>
      </c>
      <c r="H1549" s="1" t="s">
        <v>16</v>
      </c>
      <c r="I1549" s="1" t="s">
        <v>16</v>
      </c>
      <c r="J1549" s="1" t="s">
        <v>16</v>
      </c>
      <c r="K1549" s="1" t="str">
        <f>IFERROR(INDEX(Database_repro!$A:$F, MATCH($N1549, Database_repro!$A:$A, 0), 5), "Not Found")</f>
        <v>Yes</v>
      </c>
      <c r="L1549" s="4" t="s">
        <v>17</v>
      </c>
      <c r="M1549" s="1" t="str">
        <f>IFERROR(IF(INDEX(Database_repro!$A:$F, MATCH($N1549, Database_repro!$A:$A, 0), 6)="N","No",IF(INDEX(Database_repro!$A:$F, MATCH($N1549, Database_repro!$A:$A, 0), 6)="Y","Yes","Z")), "Not Found")</f>
        <v>No</v>
      </c>
      <c r="N1549" t="s">
        <v>124</v>
      </c>
    </row>
    <row r="1550" spans="1:14" x14ac:dyDescent="0.25">
      <c r="A1550" s="9">
        <v>45510</v>
      </c>
      <c r="B1550" s="1" t="str">
        <f>IFERROR(VLOOKUP(MID(INDEX(Database_dermo!$A:$I, MATCH($N1550, Database_dermo!$A:$A, 0), 2),20,3),Notes!A$1:C$9,3,TRUE), "Not Found")</f>
        <v>LX-N</v>
      </c>
      <c r="C1550" s="1" t="str">
        <f>IFERROR(RIGHT(INDEX(Database_dermo!$A:$I, MATCH($N1550, Database_dermo!$A:$A, 0), 1),2), "Not Found")</f>
        <v>01</v>
      </c>
      <c r="D1550" s="1">
        <f>IFERROR(VLOOKUP(MID(INDEX(Database_dermo!$A:$I, MATCH($N1550, Database_dermo!$A:$A, 0), 2),20,3),Notes!A$1:C$9,2,TRUE), "Not Found")</f>
        <v>1</v>
      </c>
      <c r="E1550" s="1">
        <f>IFERROR(INDEX(Database_dermo!$A:$I, MATCH($N1550, Database_dermo!$A:$A, 0), 3), "Not Found")</f>
        <v>45.08</v>
      </c>
      <c r="F1550" s="1" t="str">
        <f>IFERROR(INDEX(Database_repro!$A:$F, MATCH($N1550, Database_repro!$A:$A, 0), 3), "Not Found")</f>
        <v>F</v>
      </c>
      <c r="G1550" s="1">
        <f>IFERROR(INDEX(Database_repro!$A:$F, MATCH($N1550, Database_repro!$A:$A, 0), 4), "Not Found")</f>
        <v>2</v>
      </c>
      <c r="H1550" s="1" t="s">
        <v>16</v>
      </c>
      <c r="I1550" s="1" t="s">
        <v>16</v>
      </c>
      <c r="J1550" s="1" t="s">
        <v>16</v>
      </c>
      <c r="K1550" s="1" t="str">
        <f>IFERROR(INDEX(Database_repro!$A:$F, MATCH($N1550, Database_repro!$A:$A, 0), 5), "Not Found")</f>
        <v>No</v>
      </c>
      <c r="L1550" s="4" t="s">
        <v>17</v>
      </c>
      <c r="M1550" s="1" t="str">
        <f>IFERROR(IF(INDEX(Database_repro!$A:$F, MATCH($N1550, Database_repro!$A:$A, 0), 6)="N","No",IF(INDEX(Database_repro!$A:$F, MATCH($N1550, Database_repro!$A:$A, 0), 6)="Y","Yes","Z")), "Not Found")</f>
        <v>No</v>
      </c>
      <c r="N1550" t="s">
        <v>125</v>
      </c>
    </row>
    <row r="1551" spans="1:14" x14ac:dyDescent="0.25">
      <c r="A1551" s="9">
        <v>45510</v>
      </c>
      <c r="B1551" s="1" t="str">
        <f>IFERROR(VLOOKUP(MID(INDEX(Database_dermo!$A:$I, MATCH($N1551, Database_dermo!$A:$A, 0), 2),20,3),Notes!A$1:C$9,3,TRUE), "Not Found")</f>
        <v>LX-N</v>
      </c>
      <c r="C1551" s="1" t="str">
        <f>IFERROR(RIGHT(INDEX(Database_dermo!$A:$I, MATCH($N1551, Database_dermo!$A:$A, 0), 1),2), "Not Found")</f>
        <v>02</v>
      </c>
      <c r="D1551" s="1">
        <f>IFERROR(VLOOKUP(MID(INDEX(Database_dermo!$A:$I, MATCH($N1551, Database_dermo!$A:$A, 0), 2),20,3),Notes!A$1:C$9,2,TRUE), "Not Found")</f>
        <v>1</v>
      </c>
      <c r="E1551" s="1">
        <f>IFERROR(INDEX(Database_dermo!$A:$I, MATCH($N1551, Database_dermo!$A:$A, 0), 3), "Not Found")</f>
        <v>50.56</v>
      </c>
      <c r="F1551" s="1" t="str">
        <f>IFERROR(INDEX(Database_repro!$A:$F, MATCH($N1551, Database_repro!$A:$A, 0), 3), "Not Found")</f>
        <v>F</v>
      </c>
      <c r="G1551" s="1">
        <f>IFERROR(INDEX(Database_repro!$A:$F, MATCH($N1551, Database_repro!$A:$A, 0), 4), "Not Found")</f>
        <v>2</v>
      </c>
      <c r="H1551" s="1" t="s">
        <v>16</v>
      </c>
      <c r="I1551" s="1" t="s">
        <v>16</v>
      </c>
      <c r="J1551" s="1" t="s">
        <v>16</v>
      </c>
      <c r="K1551" s="1" t="str">
        <f>IFERROR(INDEX(Database_repro!$A:$F, MATCH($N1551, Database_repro!$A:$A, 0), 5), "Not Found")</f>
        <v>Yes</v>
      </c>
      <c r="L1551" s="4" t="s">
        <v>17</v>
      </c>
      <c r="M1551" s="1" t="str">
        <f>IFERROR(IF(INDEX(Database_repro!$A:$F, MATCH($N1551, Database_repro!$A:$A, 0), 6)="N","No",IF(INDEX(Database_repro!$A:$F, MATCH($N1551, Database_repro!$A:$A, 0), 6)="Y","Yes","Z")), "Not Found")</f>
        <v>No</v>
      </c>
      <c r="N1551" t="s">
        <v>127</v>
      </c>
    </row>
    <row r="1552" spans="1:14" x14ac:dyDescent="0.25">
      <c r="A1552" s="9">
        <v>45510</v>
      </c>
      <c r="B1552" s="1" t="str">
        <f>IFERROR(VLOOKUP(MID(INDEX(Database_dermo!$A:$I, MATCH($N1552, Database_dermo!$A:$A, 0), 2),20,3),Notes!A$1:C$9,3,TRUE), "Not Found")</f>
        <v>LX-N</v>
      </c>
      <c r="C1552" s="1" t="str">
        <f>IFERROR(RIGHT(INDEX(Database_dermo!$A:$I, MATCH($N1552, Database_dermo!$A:$A, 0), 1),2), "Not Found")</f>
        <v>03</v>
      </c>
      <c r="D1552" s="1">
        <f>IFERROR(VLOOKUP(MID(INDEX(Database_dermo!$A:$I, MATCH($N1552, Database_dermo!$A:$A, 0), 2),20,3),Notes!A$1:C$9,2,TRUE), "Not Found")</f>
        <v>1</v>
      </c>
      <c r="E1552" s="1">
        <f>IFERROR(INDEX(Database_dermo!$A:$I, MATCH($N1552, Database_dermo!$A:$A, 0), 3), "Not Found")</f>
        <v>51.43</v>
      </c>
      <c r="F1552" s="1" t="str">
        <f>IFERROR(INDEX(Database_repro!$A:$F, MATCH($N1552, Database_repro!$A:$A, 0), 3), "Not Found")</f>
        <v>M</v>
      </c>
      <c r="G1552" s="1">
        <f>IFERROR(INDEX(Database_repro!$A:$F, MATCH($N1552, Database_repro!$A:$A, 0), 4), "Not Found")</f>
        <v>2</v>
      </c>
      <c r="H1552" s="1" t="s">
        <v>16</v>
      </c>
      <c r="I1552" s="1" t="s">
        <v>16</v>
      </c>
      <c r="J1552" s="1" t="s">
        <v>16</v>
      </c>
      <c r="K1552" s="1" t="str">
        <f>IFERROR(INDEX(Database_repro!$A:$F, MATCH($N1552, Database_repro!$A:$A, 0), 5), "Not Found")</f>
        <v>No</v>
      </c>
      <c r="L1552" s="4" t="s">
        <v>17</v>
      </c>
      <c r="M1552" s="1" t="str">
        <f>IFERROR(IF(INDEX(Database_repro!$A:$F, MATCH($N1552, Database_repro!$A:$A, 0), 6)="N","No",IF(INDEX(Database_repro!$A:$F, MATCH($N1552, Database_repro!$A:$A, 0), 6)="Y","Yes","Z")), "Not Found")</f>
        <v>No</v>
      </c>
      <c r="N1552" t="s">
        <v>128</v>
      </c>
    </row>
    <row r="1553" spans="1:14" x14ac:dyDescent="0.25">
      <c r="A1553" s="9">
        <v>45510</v>
      </c>
      <c r="B1553" s="1" t="str">
        <f>IFERROR(VLOOKUP(MID(INDEX(Database_dermo!$A:$I, MATCH($N1553, Database_dermo!$A:$A, 0), 2),20,3),Notes!A$1:C$9,3,TRUE), "Not Found")</f>
        <v>LX-N</v>
      </c>
      <c r="C1553" s="1" t="str">
        <f>IFERROR(RIGHT(INDEX(Database_dermo!$A:$I, MATCH($N1553, Database_dermo!$A:$A, 0), 1),2), "Not Found")</f>
        <v>04</v>
      </c>
      <c r="D1553" s="1">
        <f>IFERROR(VLOOKUP(MID(INDEX(Database_dermo!$A:$I, MATCH($N1553, Database_dermo!$A:$A, 0), 2),20,3),Notes!A$1:C$9,2,TRUE), "Not Found")</f>
        <v>1</v>
      </c>
      <c r="E1553" s="1">
        <f>IFERROR(INDEX(Database_dermo!$A:$I, MATCH($N1553, Database_dermo!$A:$A, 0), 3), "Not Found")</f>
        <v>42.02</v>
      </c>
      <c r="F1553" s="1" t="str">
        <f>IFERROR(INDEX(Database_repro!$A:$F, MATCH($N1553, Database_repro!$A:$A, 0), 3), "Not Found")</f>
        <v>F</v>
      </c>
      <c r="G1553" s="1">
        <f>IFERROR(INDEX(Database_repro!$A:$F, MATCH($N1553, Database_repro!$A:$A, 0), 4), "Not Found")</f>
        <v>2</v>
      </c>
      <c r="H1553" s="1" t="s">
        <v>16</v>
      </c>
      <c r="I1553" s="1" t="s">
        <v>16</v>
      </c>
      <c r="J1553" s="1" t="s">
        <v>16</v>
      </c>
      <c r="K1553" s="1" t="str">
        <f>IFERROR(INDEX(Database_repro!$A:$F, MATCH($N1553, Database_repro!$A:$A, 0), 5), "Not Found")</f>
        <v>Yes</v>
      </c>
      <c r="L1553" s="4" t="s">
        <v>17</v>
      </c>
      <c r="M1553" s="1" t="str">
        <f>IFERROR(IF(INDEX(Database_repro!$A:$F, MATCH($N1553, Database_repro!$A:$A, 0), 6)="N","No",IF(INDEX(Database_repro!$A:$F, MATCH($N1553, Database_repro!$A:$A, 0), 6)="Y","Yes","Z")), "Not Found")</f>
        <v>No</v>
      </c>
      <c r="N1553" t="s">
        <v>129</v>
      </c>
    </row>
    <row r="1554" spans="1:14" x14ac:dyDescent="0.25">
      <c r="A1554" s="9">
        <v>45510</v>
      </c>
      <c r="B1554" s="1" t="str">
        <f>IFERROR(VLOOKUP(MID(INDEX(Database_dermo!$A:$I, MATCH($N1554, Database_dermo!$A:$A, 0), 2),20,3),Notes!A$1:C$9,3,TRUE), "Not Found")</f>
        <v>LX-N</v>
      </c>
      <c r="C1554" s="1" t="str">
        <f>IFERROR(RIGHT(INDEX(Database_dermo!$A:$I, MATCH($N1554, Database_dermo!$A:$A, 0), 1),2), "Not Found")</f>
        <v>05</v>
      </c>
      <c r="D1554" s="1">
        <f>IFERROR(VLOOKUP(MID(INDEX(Database_dermo!$A:$I, MATCH($N1554, Database_dermo!$A:$A, 0), 2),20,3),Notes!A$1:C$9,2,TRUE), "Not Found")</f>
        <v>1</v>
      </c>
      <c r="E1554" s="1">
        <f>IFERROR(INDEX(Database_dermo!$A:$I, MATCH($N1554, Database_dermo!$A:$A, 0), 3), "Not Found")</f>
        <v>35.53</v>
      </c>
      <c r="F1554" s="1" t="str">
        <f>IFERROR(INDEX(Database_repro!$A:$F, MATCH($N1554, Database_repro!$A:$A, 0), 3), "Not Found")</f>
        <v>M</v>
      </c>
      <c r="G1554" s="1">
        <f>IFERROR(INDEX(Database_repro!$A:$F, MATCH($N1554, Database_repro!$A:$A, 0), 4), "Not Found")</f>
        <v>2</v>
      </c>
      <c r="H1554" s="1" t="s">
        <v>16</v>
      </c>
      <c r="I1554" s="1" t="s">
        <v>16</v>
      </c>
      <c r="J1554" s="1" t="s">
        <v>16</v>
      </c>
      <c r="K1554" s="1" t="str">
        <f>IFERROR(INDEX(Database_repro!$A:$F, MATCH($N1554, Database_repro!$A:$A, 0), 5), "Not Found")</f>
        <v>No</v>
      </c>
      <c r="L1554" s="4" t="s">
        <v>17</v>
      </c>
      <c r="M1554" s="1" t="str">
        <f>IFERROR(IF(INDEX(Database_repro!$A:$F, MATCH($N1554, Database_repro!$A:$A, 0), 6)="N","No",IF(INDEX(Database_repro!$A:$F, MATCH($N1554, Database_repro!$A:$A, 0), 6)="Y","Yes","Z")), "Not Found")</f>
        <v>No</v>
      </c>
      <c r="N1554" t="s">
        <v>130</v>
      </c>
    </row>
    <row r="1555" spans="1:14" x14ac:dyDescent="0.25">
      <c r="A1555" s="9">
        <v>45510</v>
      </c>
      <c r="B1555" s="1" t="str">
        <f>IFERROR(VLOOKUP(MID(INDEX(Database_dermo!$A:$I, MATCH($N1555, Database_dermo!$A:$A, 0), 2),20,3),Notes!A$1:C$9,3,TRUE), "Not Found")</f>
        <v>LX-N</v>
      </c>
      <c r="C1555" s="1" t="str">
        <f>IFERROR(RIGHT(INDEX(Database_dermo!$A:$I, MATCH($N1555, Database_dermo!$A:$A, 0), 1),2), "Not Found")</f>
        <v>06</v>
      </c>
      <c r="D1555" s="1">
        <f>IFERROR(VLOOKUP(MID(INDEX(Database_dermo!$A:$I, MATCH($N1555, Database_dermo!$A:$A, 0), 2),20,3),Notes!A$1:C$9,2,TRUE), "Not Found")</f>
        <v>2</v>
      </c>
      <c r="E1555" s="1">
        <f>IFERROR(INDEX(Database_dermo!$A:$I, MATCH($N1555, Database_dermo!$A:$A, 0), 3), "Not Found")</f>
        <v>58.48</v>
      </c>
      <c r="F1555" s="1" t="str">
        <f>IFERROR(INDEX(Database_repro!$A:$F, MATCH($N1555, Database_repro!$A:$A, 0), 3), "Not Found")</f>
        <v>M</v>
      </c>
      <c r="G1555" s="1">
        <f>IFERROR(INDEX(Database_repro!$A:$F, MATCH($N1555, Database_repro!$A:$A, 0), 4), "Not Found")</f>
        <v>2</v>
      </c>
      <c r="H1555" s="1" t="s">
        <v>16</v>
      </c>
      <c r="I1555" s="1" t="s">
        <v>16</v>
      </c>
      <c r="J1555" s="1" t="s">
        <v>16</v>
      </c>
      <c r="K1555" s="1" t="str">
        <f>IFERROR(INDEX(Database_repro!$A:$F, MATCH($N1555, Database_repro!$A:$A, 0), 5), "Not Found")</f>
        <v>No</v>
      </c>
      <c r="L1555" s="4" t="s">
        <v>17</v>
      </c>
      <c r="M1555" s="1" t="str">
        <f>IFERROR(IF(INDEX(Database_repro!$A:$F, MATCH($N1555, Database_repro!$A:$A, 0), 6)="N","No",IF(INDEX(Database_repro!$A:$F, MATCH($N1555, Database_repro!$A:$A, 0), 6)="Y","Yes","Z")), "Not Found")</f>
        <v>No</v>
      </c>
      <c r="N1555" t="s">
        <v>132</v>
      </c>
    </row>
    <row r="1556" spans="1:14" x14ac:dyDescent="0.25">
      <c r="A1556" s="9">
        <v>45510</v>
      </c>
      <c r="B1556" s="1" t="str">
        <f>IFERROR(VLOOKUP(MID(INDEX(Database_dermo!$A:$I, MATCH($N1556, Database_dermo!$A:$A, 0), 2),20,3),Notes!A$1:C$9,3,TRUE), "Not Found")</f>
        <v>LX-N</v>
      </c>
      <c r="C1556" s="1" t="str">
        <f>IFERROR(RIGHT(INDEX(Database_dermo!$A:$I, MATCH($N1556, Database_dermo!$A:$A, 0), 1),2), "Not Found")</f>
        <v>07</v>
      </c>
      <c r="D1556" s="1">
        <f>IFERROR(VLOOKUP(MID(INDEX(Database_dermo!$A:$I, MATCH($N1556, Database_dermo!$A:$A, 0), 2),20,3),Notes!A$1:C$9,2,TRUE), "Not Found")</f>
        <v>2</v>
      </c>
      <c r="E1556" s="1">
        <f>IFERROR(INDEX(Database_dermo!$A:$I, MATCH($N1556, Database_dermo!$A:$A, 0), 3), "Not Found")</f>
        <v>53.8</v>
      </c>
      <c r="F1556" s="1" t="str">
        <f>IFERROR(INDEX(Database_repro!$A:$F, MATCH($N1556, Database_repro!$A:$A, 0), 3), "Not Found")</f>
        <v>F</v>
      </c>
      <c r="G1556" s="1">
        <f>IFERROR(INDEX(Database_repro!$A:$F, MATCH($N1556, Database_repro!$A:$A, 0), 4), "Not Found")</f>
        <v>2</v>
      </c>
      <c r="H1556" s="1" t="s">
        <v>16</v>
      </c>
      <c r="I1556" s="1" t="s">
        <v>16</v>
      </c>
      <c r="J1556" s="1" t="s">
        <v>16</v>
      </c>
      <c r="K1556" s="1" t="str">
        <f>IFERROR(INDEX(Database_repro!$A:$F, MATCH($N1556, Database_repro!$A:$A, 0), 5), "Not Found")</f>
        <v>No</v>
      </c>
      <c r="L1556" s="4" t="s">
        <v>17</v>
      </c>
      <c r="M1556" s="1" t="str">
        <f>IFERROR(IF(INDEX(Database_repro!$A:$F, MATCH($N1556, Database_repro!$A:$A, 0), 6)="N","No",IF(INDEX(Database_repro!$A:$F, MATCH($N1556, Database_repro!$A:$A, 0), 6)="Y","Yes","Z")), "Not Found")</f>
        <v>No</v>
      </c>
      <c r="N1556" t="s">
        <v>134</v>
      </c>
    </row>
    <row r="1557" spans="1:14" x14ac:dyDescent="0.25">
      <c r="A1557" s="9">
        <v>45510</v>
      </c>
      <c r="B1557" s="1" t="str">
        <f>IFERROR(VLOOKUP(MID(INDEX(Database_dermo!$A:$I, MATCH($N1557, Database_dermo!$A:$A, 0), 2),20,3),Notes!A$1:C$9,3,TRUE), "Not Found")</f>
        <v>LX-N</v>
      </c>
      <c r="C1557" s="1" t="str">
        <f>IFERROR(RIGHT(INDEX(Database_dermo!$A:$I, MATCH($N1557, Database_dermo!$A:$A, 0), 1),2), "Not Found")</f>
        <v>08</v>
      </c>
      <c r="D1557" s="1">
        <f>IFERROR(VLOOKUP(MID(INDEX(Database_dermo!$A:$I, MATCH($N1557, Database_dermo!$A:$A, 0), 2),20,3),Notes!A$1:C$9,2,TRUE), "Not Found")</f>
        <v>2</v>
      </c>
      <c r="E1557" s="1">
        <f>IFERROR(INDEX(Database_dermo!$A:$I, MATCH($N1557, Database_dermo!$A:$A, 0), 3), "Not Found")</f>
        <v>44.84</v>
      </c>
      <c r="F1557" s="1" t="str">
        <f>IFERROR(INDEX(Database_repro!$A:$F, MATCH($N1557, Database_repro!$A:$A, 0), 3), "Not Found")</f>
        <v>M</v>
      </c>
      <c r="G1557" s="1">
        <f>IFERROR(INDEX(Database_repro!$A:$F, MATCH($N1557, Database_repro!$A:$A, 0), 4), "Not Found")</f>
        <v>2</v>
      </c>
      <c r="H1557" s="1" t="s">
        <v>16</v>
      </c>
      <c r="I1557" s="1" t="s">
        <v>16</v>
      </c>
      <c r="J1557" s="1" t="s">
        <v>16</v>
      </c>
      <c r="K1557" s="1" t="str">
        <f>IFERROR(INDEX(Database_repro!$A:$F, MATCH($N1557, Database_repro!$A:$A, 0), 5), "Not Found")</f>
        <v>No</v>
      </c>
      <c r="L1557" s="4" t="s">
        <v>17</v>
      </c>
      <c r="M1557" s="1" t="str">
        <f>IFERROR(IF(INDEX(Database_repro!$A:$F, MATCH($N1557, Database_repro!$A:$A, 0), 6)="N","No",IF(INDEX(Database_repro!$A:$F, MATCH($N1557, Database_repro!$A:$A, 0), 6)="Y","Yes","Z")), "Not Found")</f>
        <v>No</v>
      </c>
      <c r="N1557" t="s">
        <v>135</v>
      </c>
    </row>
    <row r="1558" spans="1:14" x14ac:dyDescent="0.25">
      <c r="A1558" s="9">
        <v>45510</v>
      </c>
      <c r="B1558" s="1" t="str">
        <f>IFERROR(VLOOKUP(MID(INDEX(Database_dermo!$A:$I, MATCH($N1558, Database_dermo!$A:$A, 0), 2),20,3),Notes!A$1:C$9,3,TRUE), "Not Found")</f>
        <v>LX-N</v>
      </c>
      <c r="C1558" s="1" t="str">
        <f>IFERROR(RIGHT(INDEX(Database_dermo!$A:$I, MATCH($N1558, Database_dermo!$A:$A, 0), 1),2), "Not Found")</f>
        <v>09</v>
      </c>
      <c r="D1558" s="1">
        <f>IFERROR(VLOOKUP(MID(INDEX(Database_dermo!$A:$I, MATCH($N1558, Database_dermo!$A:$A, 0), 2),20,3),Notes!A$1:C$9,2,TRUE), "Not Found")</f>
        <v>2</v>
      </c>
      <c r="E1558" s="1">
        <f>IFERROR(INDEX(Database_dermo!$A:$I, MATCH($N1558, Database_dermo!$A:$A, 0), 3), "Not Found")</f>
        <v>53.86</v>
      </c>
      <c r="F1558" s="1" t="str">
        <f>IFERROR(INDEX(Database_repro!$A:$F, MATCH($N1558, Database_repro!$A:$A, 0), 3), "Not Found")</f>
        <v>F</v>
      </c>
      <c r="G1558" s="1">
        <f>IFERROR(INDEX(Database_repro!$A:$F, MATCH($N1558, Database_repro!$A:$A, 0), 4), "Not Found")</f>
        <v>2</v>
      </c>
      <c r="H1558" s="1" t="s">
        <v>16</v>
      </c>
      <c r="I1558" s="1" t="s">
        <v>16</v>
      </c>
      <c r="J1558" s="1" t="s">
        <v>16</v>
      </c>
      <c r="K1558" s="1" t="str">
        <f>IFERROR(INDEX(Database_repro!$A:$F, MATCH($N1558, Database_repro!$A:$A, 0), 5), "Not Found")</f>
        <v>Yes</v>
      </c>
      <c r="L1558" s="4" t="s">
        <v>17</v>
      </c>
      <c r="M1558" s="1" t="str">
        <f>IFERROR(IF(INDEX(Database_repro!$A:$F, MATCH($N1558, Database_repro!$A:$A, 0), 6)="N","No",IF(INDEX(Database_repro!$A:$F, MATCH($N1558, Database_repro!$A:$A, 0), 6)="Y","Yes","Z")), "Not Found")</f>
        <v>No</v>
      </c>
      <c r="N1558" t="s">
        <v>136</v>
      </c>
    </row>
    <row r="1559" spans="1:14" x14ac:dyDescent="0.25">
      <c r="A1559" s="9">
        <v>45510</v>
      </c>
      <c r="B1559" s="1" t="str">
        <f>IFERROR(VLOOKUP(MID(INDEX(Database_dermo!$A:$I, MATCH($N1559, Database_dermo!$A:$A, 0), 2),20,3),Notes!A$1:C$9,3,TRUE), "Not Found")</f>
        <v>LX-N</v>
      </c>
      <c r="C1559" s="1" t="str">
        <f>IFERROR(RIGHT(INDEX(Database_dermo!$A:$I, MATCH($N1559, Database_dermo!$A:$A, 0), 1),2), "Not Found")</f>
        <v>10</v>
      </c>
      <c r="D1559" s="1">
        <f>IFERROR(VLOOKUP(MID(INDEX(Database_dermo!$A:$I, MATCH($N1559, Database_dermo!$A:$A, 0), 2),20,3),Notes!A$1:C$9,2,TRUE), "Not Found")</f>
        <v>2</v>
      </c>
      <c r="E1559" s="1">
        <f>IFERROR(INDEX(Database_dermo!$A:$I, MATCH($N1559, Database_dermo!$A:$A, 0), 3), "Not Found")</f>
        <v>43.51</v>
      </c>
      <c r="F1559" s="1" t="str">
        <f>IFERROR(INDEX(Database_repro!$A:$F, MATCH($N1559, Database_repro!$A:$A, 0), 3), "Not Found")</f>
        <v>M</v>
      </c>
      <c r="G1559" s="1">
        <f>IFERROR(INDEX(Database_repro!$A:$F, MATCH($N1559, Database_repro!$A:$A, 0), 4), "Not Found")</f>
        <v>2</v>
      </c>
      <c r="H1559" s="1" t="s">
        <v>16</v>
      </c>
      <c r="I1559" s="1" t="s">
        <v>16</v>
      </c>
      <c r="J1559" s="1" t="s">
        <v>16</v>
      </c>
      <c r="K1559" s="1" t="str">
        <f>IFERROR(INDEX(Database_repro!$A:$F, MATCH($N1559, Database_repro!$A:$A, 0), 5), "Not Found")</f>
        <v>No</v>
      </c>
      <c r="L1559" s="4" t="s">
        <v>17</v>
      </c>
      <c r="M1559" s="1" t="str">
        <f>IFERROR(IF(INDEX(Database_repro!$A:$F, MATCH($N1559, Database_repro!$A:$A, 0), 6)="N","No",IF(INDEX(Database_repro!$A:$F, MATCH($N1559, Database_repro!$A:$A, 0), 6)="Y","Yes","Z")), "Not Found")</f>
        <v>No</v>
      </c>
      <c r="N1559" t="s">
        <v>137</v>
      </c>
    </row>
    <row r="1560" spans="1:14" x14ac:dyDescent="0.25">
      <c r="A1560" s="9">
        <v>45510</v>
      </c>
      <c r="B1560" s="1" t="str">
        <f>IFERROR(VLOOKUP(MID(INDEX(Database_dermo!$A:$I, MATCH($N1560, Database_dermo!$A:$A, 0), 2),20,3),Notes!A$1:C$9,3,TRUE), "Not Found")</f>
        <v>LX-N</v>
      </c>
      <c r="C1560" s="1" t="str">
        <f>IFERROR(RIGHT(INDEX(Database_dermo!$A:$I, MATCH($N1560, Database_dermo!$A:$A, 0), 1),2), "Not Found")</f>
        <v>11</v>
      </c>
      <c r="D1560" s="1">
        <f>IFERROR(VLOOKUP(MID(INDEX(Database_dermo!$A:$I, MATCH($N1560, Database_dermo!$A:$A, 0), 2),20,3),Notes!A$1:C$9,2,TRUE), "Not Found")</f>
        <v>3</v>
      </c>
      <c r="E1560" s="1">
        <f>IFERROR(INDEX(Database_dermo!$A:$I, MATCH($N1560, Database_dermo!$A:$A, 0), 3), "Not Found")</f>
        <v>66.28</v>
      </c>
      <c r="F1560" s="1" t="str">
        <f>IFERROR(INDEX(Database_repro!$A:$F, MATCH($N1560, Database_repro!$A:$A, 0), 3), "Not Found")</f>
        <v>Z</v>
      </c>
      <c r="G1560" s="1">
        <f>IFERROR(INDEX(Database_repro!$A:$F, MATCH($N1560, Database_repro!$A:$A, 0), 4), "Not Found")</f>
        <v>4</v>
      </c>
      <c r="H1560" s="1" t="s">
        <v>16</v>
      </c>
      <c r="I1560" s="1" t="s">
        <v>16</v>
      </c>
      <c r="J1560" s="1" t="s">
        <v>16</v>
      </c>
      <c r="K1560" s="1" t="str">
        <f>IFERROR(INDEX(Database_repro!$A:$F, MATCH($N1560, Database_repro!$A:$A, 0), 5), "Not Found")</f>
        <v>Yes</v>
      </c>
      <c r="L1560" s="4" t="s">
        <v>17</v>
      </c>
      <c r="M1560" s="1" t="str">
        <f>IFERROR(IF(INDEX(Database_repro!$A:$F, MATCH($N1560, Database_repro!$A:$A, 0), 6)="N","No",IF(INDEX(Database_repro!$A:$F, MATCH($N1560, Database_repro!$A:$A, 0), 6)="Y","Yes","Z")), "Not Found")</f>
        <v>No</v>
      </c>
      <c r="N1560" t="s">
        <v>139</v>
      </c>
    </row>
    <row r="1561" spans="1:14" x14ac:dyDescent="0.25">
      <c r="A1561" s="9">
        <v>45510</v>
      </c>
      <c r="B1561" s="1" t="str">
        <f>IFERROR(VLOOKUP(MID(INDEX(Database_dermo!$A:$I, MATCH($N1561, Database_dermo!$A:$A, 0), 2),20,3),Notes!A$1:C$9,3,TRUE), "Not Found")</f>
        <v>LX-N</v>
      </c>
      <c r="C1561" s="1" t="str">
        <f>IFERROR(RIGHT(INDEX(Database_dermo!$A:$I, MATCH($N1561, Database_dermo!$A:$A, 0), 1),2), "Not Found")</f>
        <v>12</v>
      </c>
      <c r="D1561" s="1">
        <f>IFERROR(VLOOKUP(MID(INDEX(Database_dermo!$A:$I, MATCH($N1561, Database_dermo!$A:$A, 0), 2),20,3),Notes!A$1:C$9,2,TRUE), "Not Found")</f>
        <v>3</v>
      </c>
      <c r="E1561" s="1">
        <f>IFERROR(INDEX(Database_dermo!$A:$I, MATCH($N1561, Database_dermo!$A:$A, 0), 3), "Not Found")</f>
        <v>37.54</v>
      </c>
      <c r="F1561" s="1" t="str">
        <f>IFERROR(INDEX(Database_repro!$A:$F, MATCH($N1561, Database_repro!$A:$A, 0), 3), "Not Found")</f>
        <v>Z</v>
      </c>
      <c r="G1561" s="1" t="str">
        <f>IFERROR(INDEX(Database_repro!$A:$F, MATCH($N1561, Database_repro!$A:$A, 0), 4), "Not Found")</f>
        <v>Z</v>
      </c>
      <c r="H1561" s="1" t="s">
        <v>16</v>
      </c>
      <c r="I1561" s="1" t="s">
        <v>16</v>
      </c>
      <c r="J1561" s="1" t="s">
        <v>16</v>
      </c>
      <c r="K1561" s="1" t="str">
        <f>IFERROR(INDEX(Database_repro!$A:$F, MATCH($N1561, Database_repro!$A:$A, 0), 5), "Not Found")</f>
        <v>Buceph</v>
      </c>
      <c r="L1561" s="4" t="s">
        <v>17</v>
      </c>
      <c r="M1561" s="1" t="str">
        <f>IFERROR(IF(INDEX(Database_repro!$A:$F, MATCH($N1561, Database_repro!$A:$A, 0), 6)="N","No",IF(INDEX(Database_repro!$A:$F, MATCH($N1561, Database_repro!$A:$A, 0), 6)="Y","Yes","Z")), "Not Found")</f>
        <v>No</v>
      </c>
      <c r="N1561" t="s">
        <v>142</v>
      </c>
    </row>
    <row r="1562" spans="1:14" x14ac:dyDescent="0.25">
      <c r="A1562" s="9">
        <v>45510</v>
      </c>
      <c r="B1562" s="1" t="str">
        <f>IFERROR(VLOOKUP(MID(INDEX(Database_dermo!$A:$I, MATCH($N1562, Database_dermo!$A:$A, 0), 2),20,3),Notes!A$1:C$9,3,TRUE), "Not Found")</f>
        <v>LX-N</v>
      </c>
      <c r="C1562" s="1" t="str">
        <f>IFERROR(RIGHT(INDEX(Database_dermo!$A:$I, MATCH($N1562, Database_dermo!$A:$A, 0), 1),2), "Not Found")</f>
        <v>13</v>
      </c>
      <c r="D1562" s="1">
        <f>IFERROR(VLOOKUP(MID(INDEX(Database_dermo!$A:$I, MATCH($N1562, Database_dermo!$A:$A, 0), 2),20,3),Notes!A$1:C$9,2,TRUE), "Not Found")</f>
        <v>3</v>
      </c>
      <c r="E1562" s="1">
        <f>IFERROR(INDEX(Database_dermo!$A:$I, MATCH($N1562, Database_dermo!$A:$A, 0), 3), "Not Found")</f>
        <v>36.71</v>
      </c>
      <c r="F1562" s="1" t="str">
        <f>IFERROR(INDEX(Database_repro!$A:$F, MATCH($N1562, Database_repro!$A:$A, 0), 3), "Not Found")</f>
        <v>M</v>
      </c>
      <c r="G1562" s="1">
        <f>IFERROR(INDEX(Database_repro!$A:$F, MATCH($N1562, Database_repro!$A:$A, 0), 4), "Not Found")</f>
        <v>2</v>
      </c>
      <c r="H1562" s="1" t="s">
        <v>16</v>
      </c>
      <c r="I1562" s="1" t="s">
        <v>16</v>
      </c>
      <c r="J1562" s="1" t="s">
        <v>16</v>
      </c>
      <c r="K1562" s="1" t="str">
        <f>IFERROR(INDEX(Database_repro!$A:$F, MATCH($N1562, Database_repro!$A:$A, 0), 5), "Not Found")</f>
        <v>No</v>
      </c>
      <c r="L1562" s="4" t="s">
        <v>17</v>
      </c>
      <c r="M1562" s="1" t="str">
        <f>IFERROR(IF(INDEX(Database_repro!$A:$F, MATCH($N1562, Database_repro!$A:$A, 0), 6)="N","No",IF(INDEX(Database_repro!$A:$F, MATCH($N1562, Database_repro!$A:$A, 0), 6)="Y","Yes","Z")), "Not Found")</f>
        <v>No</v>
      </c>
      <c r="N1562" t="s">
        <v>143</v>
      </c>
    </row>
    <row r="1563" spans="1:14" x14ac:dyDescent="0.25">
      <c r="A1563" s="9">
        <v>45510</v>
      </c>
      <c r="B1563" s="1" t="str">
        <f>IFERROR(VLOOKUP(MID(INDEX(Database_dermo!$A:$I, MATCH($N1563, Database_dermo!$A:$A, 0), 2),20,3),Notes!A$1:C$9,3,TRUE), "Not Found")</f>
        <v>LX-N</v>
      </c>
      <c r="C1563" s="1" t="str">
        <f>IFERROR(RIGHT(INDEX(Database_dermo!$A:$I, MATCH($N1563, Database_dermo!$A:$A, 0), 1),2), "Not Found")</f>
        <v>14</v>
      </c>
      <c r="D1563" s="1">
        <f>IFERROR(VLOOKUP(MID(INDEX(Database_dermo!$A:$I, MATCH($N1563, Database_dermo!$A:$A, 0), 2),20,3),Notes!A$1:C$9,2,TRUE), "Not Found")</f>
        <v>3</v>
      </c>
      <c r="E1563" s="1">
        <f>IFERROR(INDEX(Database_dermo!$A:$I, MATCH($N1563, Database_dermo!$A:$A, 0), 3), "Not Found")</f>
        <v>44.38</v>
      </c>
      <c r="F1563" s="1" t="str">
        <f>IFERROR(INDEX(Database_repro!$A:$F, MATCH($N1563, Database_repro!$A:$A, 0), 3), "Not Found")</f>
        <v>F</v>
      </c>
      <c r="G1563" s="1">
        <f>IFERROR(INDEX(Database_repro!$A:$F, MATCH($N1563, Database_repro!$A:$A, 0), 4), "Not Found")</f>
        <v>2</v>
      </c>
      <c r="H1563" s="1" t="s">
        <v>16</v>
      </c>
      <c r="I1563" s="1" t="s">
        <v>16</v>
      </c>
      <c r="J1563" s="1" t="s">
        <v>16</v>
      </c>
      <c r="K1563" s="1" t="str">
        <f>IFERROR(INDEX(Database_repro!$A:$F, MATCH($N1563, Database_repro!$A:$A, 0), 5), "Not Found")</f>
        <v>No</v>
      </c>
      <c r="L1563" s="4" t="s">
        <v>17</v>
      </c>
      <c r="M1563" s="1" t="str">
        <f>IFERROR(IF(INDEX(Database_repro!$A:$F, MATCH($N1563, Database_repro!$A:$A, 0), 6)="N","No",IF(INDEX(Database_repro!$A:$F, MATCH($N1563, Database_repro!$A:$A, 0), 6)="Y","Yes","Z")), "Not Found")</f>
        <v>No</v>
      </c>
      <c r="N1563" t="s">
        <v>145</v>
      </c>
    </row>
    <row r="1564" spans="1:14" x14ac:dyDescent="0.25">
      <c r="A1564" s="9">
        <v>45510</v>
      </c>
      <c r="B1564" s="1" t="str">
        <f>IFERROR(VLOOKUP(MID(INDEX(Database_dermo!$A:$I, MATCH($N1564, Database_dermo!$A:$A, 0), 2),20,3),Notes!A$1:C$9,3,TRUE), "Not Found")</f>
        <v>LX-N</v>
      </c>
      <c r="C1564" s="1" t="str">
        <f>IFERROR(RIGHT(INDEX(Database_dermo!$A:$I, MATCH($N1564, Database_dermo!$A:$A, 0), 1),2), "Not Found")</f>
        <v>15</v>
      </c>
      <c r="D1564" s="1">
        <f>IFERROR(VLOOKUP(MID(INDEX(Database_dermo!$A:$I, MATCH($N1564, Database_dermo!$A:$A, 0), 2),20,3),Notes!A$1:C$9,2,TRUE), "Not Found")</f>
        <v>3</v>
      </c>
      <c r="E1564" s="1">
        <f>IFERROR(INDEX(Database_dermo!$A:$I, MATCH($N1564, Database_dermo!$A:$A, 0), 3), "Not Found")</f>
        <v>33.25</v>
      </c>
      <c r="F1564" s="1" t="str">
        <f>IFERROR(INDEX(Database_repro!$A:$F, MATCH($N1564, Database_repro!$A:$A, 0), 3), "Not Found")</f>
        <v>F</v>
      </c>
      <c r="G1564" s="1">
        <f>IFERROR(INDEX(Database_repro!$A:$F, MATCH($N1564, Database_repro!$A:$A, 0), 4), "Not Found")</f>
        <v>2</v>
      </c>
      <c r="H1564" s="1" t="s">
        <v>16</v>
      </c>
      <c r="I1564" s="1" t="s">
        <v>16</v>
      </c>
      <c r="J1564" s="1" t="s">
        <v>16</v>
      </c>
      <c r="K1564" s="1" t="str">
        <f>IFERROR(INDEX(Database_repro!$A:$F, MATCH($N1564, Database_repro!$A:$A, 0), 5), "Not Found")</f>
        <v>Yes</v>
      </c>
      <c r="L1564" s="4" t="s">
        <v>17</v>
      </c>
      <c r="M1564" s="1" t="str">
        <f>IFERROR(IF(INDEX(Database_repro!$A:$F, MATCH($N1564, Database_repro!$A:$A, 0), 6)="N","No",IF(INDEX(Database_repro!$A:$F, MATCH($N1564, Database_repro!$A:$A, 0), 6)="Y","Yes","Z")), "Not Found")</f>
        <v>No</v>
      </c>
      <c r="N1564" t="s">
        <v>146</v>
      </c>
    </row>
    <row r="1565" spans="1:14" x14ac:dyDescent="0.25">
      <c r="A1565" s="9">
        <v>45539</v>
      </c>
      <c r="B1565" s="1" t="str">
        <f>IFERROR(VLOOKUP(MID(INDEX(Database_dermo!$A:$I, MATCH($N1565, Database_dermo!$A:$A, 0), 2),20,3),Notes!A$1:C$9,3,TRUE), "Not Found")</f>
        <v>LX-N</v>
      </c>
      <c r="C1565" s="1" t="str">
        <f>IFERROR(RIGHT(INDEX(Database_dermo!$A:$I, MATCH($N1565, Database_dermo!$A:$A, 0), 1),2), "Not Found")</f>
        <v>01</v>
      </c>
      <c r="D1565" s="1">
        <f>IFERROR(VLOOKUP(MID(INDEX(Database_dermo!$A:$I, MATCH($N1565, Database_dermo!$A:$A, 0), 2),20,3),Notes!A$1:C$9,2,TRUE), "Not Found")</f>
        <v>1</v>
      </c>
      <c r="E1565" s="1">
        <f>IFERROR(INDEX(Database_dermo!$A:$I, MATCH($N1565, Database_dermo!$A:$A, 0), 3), "Not Found")</f>
        <v>56.59</v>
      </c>
      <c r="F1565" s="1" t="str">
        <f>IFERROR(INDEX(Database_repro!$A:$F, MATCH($N1565, Database_repro!$A:$A, 0), 3), "Not Found")</f>
        <v>M</v>
      </c>
      <c r="G1565" s="1">
        <f>IFERROR(INDEX(Database_repro!$A:$F, MATCH($N1565, Database_repro!$A:$A, 0), 4), "Not Found")</f>
        <v>2</v>
      </c>
      <c r="H1565" s="1" t="s">
        <v>16</v>
      </c>
      <c r="I1565" s="1" t="s">
        <v>16</v>
      </c>
      <c r="J1565" s="1" t="s">
        <v>16</v>
      </c>
      <c r="K1565" s="1" t="str">
        <f>IFERROR(INDEX(Database_repro!$A:$F, MATCH($N1565, Database_repro!$A:$A, 0), 5), "Not Found")</f>
        <v>No</v>
      </c>
      <c r="L1565" s="4" t="s">
        <v>17</v>
      </c>
      <c r="M1565" s="1" t="str">
        <f>IFERROR(IF(INDEX(Database_repro!$A:$F, MATCH($N1565, Database_repro!$A:$A, 0), 6)="N","No",IF(INDEX(Database_repro!$A:$F, MATCH($N1565, Database_repro!$A:$A, 0), 6)="Y","Yes","Z")), "Not Found")</f>
        <v>No</v>
      </c>
      <c r="N1565" t="s">
        <v>147</v>
      </c>
    </row>
    <row r="1566" spans="1:14" x14ac:dyDescent="0.25">
      <c r="A1566" s="9">
        <v>45539</v>
      </c>
      <c r="B1566" s="1" t="str">
        <f>IFERROR(VLOOKUP(MID(INDEX(Database_dermo!$A:$I, MATCH($N1566, Database_dermo!$A:$A, 0), 2),20,3),Notes!A$1:C$9,3,TRUE), "Not Found")</f>
        <v>LX-N</v>
      </c>
      <c r="C1566" s="1" t="str">
        <f>IFERROR(RIGHT(INDEX(Database_dermo!$A:$I, MATCH($N1566, Database_dermo!$A:$A, 0), 1),2), "Not Found")</f>
        <v>02</v>
      </c>
      <c r="D1566" s="1">
        <f>IFERROR(VLOOKUP(MID(INDEX(Database_dermo!$A:$I, MATCH($N1566, Database_dermo!$A:$A, 0), 2),20,3),Notes!A$1:C$9,2,TRUE), "Not Found")</f>
        <v>1</v>
      </c>
      <c r="E1566" s="1">
        <f>IFERROR(INDEX(Database_dermo!$A:$I, MATCH($N1566, Database_dermo!$A:$A, 0), 3), "Not Found")</f>
        <v>49.83</v>
      </c>
      <c r="F1566" s="1" t="str">
        <f>IFERROR(INDEX(Database_repro!$A:$F, MATCH($N1566, Database_repro!$A:$A, 0), 3), "Not Found")</f>
        <v>F</v>
      </c>
      <c r="G1566" s="1">
        <f>IFERROR(INDEX(Database_repro!$A:$F, MATCH($N1566, Database_repro!$A:$A, 0), 4), "Not Found")</f>
        <v>2</v>
      </c>
      <c r="H1566" s="1" t="s">
        <v>16</v>
      </c>
      <c r="I1566" s="1" t="s">
        <v>16</v>
      </c>
      <c r="J1566" s="1" t="s">
        <v>16</v>
      </c>
      <c r="K1566" s="1" t="str">
        <f>IFERROR(INDEX(Database_repro!$A:$F, MATCH($N1566, Database_repro!$A:$A, 0), 5), "Not Found")</f>
        <v>No</v>
      </c>
      <c r="L1566" s="4" t="s">
        <v>17</v>
      </c>
      <c r="M1566" s="1" t="str">
        <f>IFERROR(IF(INDEX(Database_repro!$A:$F, MATCH($N1566, Database_repro!$A:$A, 0), 6)="N","No",IF(INDEX(Database_repro!$A:$F, MATCH($N1566, Database_repro!$A:$A, 0), 6)="Y","Yes","Z")), "Not Found")</f>
        <v>No</v>
      </c>
      <c r="N1566" t="s">
        <v>151</v>
      </c>
    </row>
    <row r="1567" spans="1:14" x14ac:dyDescent="0.25">
      <c r="A1567" s="9">
        <v>45539</v>
      </c>
      <c r="B1567" s="1" t="str">
        <f>IFERROR(VLOOKUP(MID(INDEX(Database_dermo!$A:$I, MATCH($N1567, Database_dermo!$A:$A, 0), 2),20,3),Notes!A$1:C$9,3,TRUE), "Not Found")</f>
        <v>LX-N</v>
      </c>
      <c r="C1567" s="1" t="str">
        <f>IFERROR(RIGHT(INDEX(Database_dermo!$A:$I, MATCH($N1567, Database_dermo!$A:$A, 0), 1),2), "Not Found")</f>
        <v>03</v>
      </c>
      <c r="D1567" s="1">
        <f>IFERROR(VLOOKUP(MID(INDEX(Database_dermo!$A:$I, MATCH($N1567, Database_dermo!$A:$A, 0), 2),20,3),Notes!A$1:C$9,2,TRUE), "Not Found")</f>
        <v>1</v>
      </c>
      <c r="E1567" s="1">
        <f>IFERROR(INDEX(Database_dermo!$A:$I, MATCH($N1567, Database_dermo!$A:$A, 0), 3), "Not Found")</f>
        <v>35</v>
      </c>
      <c r="F1567" s="1" t="str">
        <f>IFERROR(INDEX(Database_repro!$A:$F, MATCH($N1567, Database_repro!$A:$A, 0), 3), "Not Found")</f>
        <v>M</v>
      </c>
      <c r="G1567" s="1">
        <f>IFERROR(INDEX(Database_repro!$A:$F, MATCH($N1567, Database_repro!$A:$A, 0), 4), "Not Found")</f>
        <v>2</v>
      </c>
      <c r="H1567" s="1" t="s">
        <v>16</v>
      </c>
      <c r="I1567" s="1" t="s">
        <v>16</v>
      </c>
      <c r="J1567" s="1" t="s">
        <v>16</v>
      </c>
      <c r="K1567" s="1" t="str">
        <f>IFERROR(INDEX(Database_repro!$A:$F, MATCH($N1567, Database_repro!$A:$A, 0), 5), "Not Found")</f>
        <v>No</v>
      </c>
      <c r="L1567" s="4" t="s">
        <v>17</v>
      </c>
      <c r="M1567" s="1" t="str">
        <f>IFERROR(IF(INDEX(Database_repro!$A:$F, MATCH($N1567, Database_repro!$A:$A, 0), 6)="N","No",IF(INDEX(Database_repro!$A:$F, MATCH($N1567, Database_repro!$A:$A, 0), 6)="Y","Yes","Z")), "Not Found")</f>
        <v>No</v>
      </c>
      <c r="N1567" t="s">
        <v>153</v>
      </c>
    </row>
    <row r="1568" spans="1:14" x14ac:dyDescent="0.25">
      <c r="A1568" s="9">
        <v>45539</v>
      </c>
      <c r="B1568" s="1" t="str">
        <f>IFERROR(VLOOKUP(MID(INDEX(Database_dermo!$A:$I, MATCH($N1568, Database_dermo!$A:$A, 0), 2),20,3),Notes!A$1:C$9,3,TRUE), "Not Found")</f>
        <v>LX-N</v>
      </c>
      <c r="C1568" s="1" t="str">
        <f>IFERROR(RIGHT(INDEX(Database_dermo!$A:$I, MATCH($N1568, Database_dermo!$A:$A, 0), 1),2), "Not Found")</f>
        <v>04</v>
      </c>
      <c r="D1568" s="1">
        <f>IFERROR(VLOOKUP(MID(INDEX(Database_dermo!$A:$I, MATCH($N1568, Database_dermo!$A:$A, 0), 2),20,3),Notes!A$1:C$9,2,TRUE), "Not Found")</f>
        <v>1</v>
      </c>
      <c r="E1568" s="1">
        <f>IFERROR(INDEX(Database_dermo!$A:$I, MATCH($N1568, Database_dermo!$A:$A, 0), 3), "Not Found")</f>
        <v>37.5</v>
      </c>
      <c r="F1568" s="1" t="str">
        <f>IFERROR(INDEX(Database_repro!$A:$F, MATCH($N1568, Database_repro!$A:$A, 0), 3), "Not Found")</f>
        <v>M</v>
      </c>
      <c r="G1568" s="1">
        <f>IFERROR(INDEX(Database_repro!$A:$F, MATCH($N1568, Database_repro!$A:$A, 0), 4), "Not Found")</f>
        <v>2</v>
      </c>
      <c r="H1568" s="1" t="s">
        <v>16</v>
      </c>
      <c r="I1568" s="1" t="s">
        <v>16</v>
      </c>
      <c r="J1568" s="1" t="s">
        <v>16</v>
      </c>
      <c r="K1568" s="1" t="str">
        <f>IFERROR(INDEX(Database_repro!$A:$F, MATCH($N1568, Database_repro!$A:$A, 0), 5), "Not Found")</f>
        <v>No</v>
      </c>
      <c r="L1568" s="4" t="s">
        <v>17</v>
      </c>
      <c r="M1568" s="1" t="str">
        <f>IFERROR(IF(INDEX(Database_repro!$A:$F, MATCH($N1568, Database_repro!$A:$A, 0), 6)="N","No",IF(INDEX(Database_repro!$A:$F, MATCH($N1568, Database_repro!$A:$A, 0), 6)="Y","Yes","Z")), "Not Found")</f>
        <v>No</v>
      </c>
      <c r="N1568" t="s">
        <v>154</v>
      </c>
    </row>
    <row r="1569" spans="1:14" x14ac:dyDescent="0.25">
      <c r="A1569" s="9">
        <v>45539</v>
      </c>
      <c r="B1569" s="1" t="str">
        <f>IFERROR(VLOOKUP(MID(INDEX(Database_dermo!$A:$I, MATCH($N1569, Database_dermo!$A:$A, 0), 2),20,3),Notes!A$1:C$9,3,TRUE), "Not Found")</f>
        <v>LX-N</v>
      </c>
      <c r="C1569" s="1" t="str">
        <f>IFERROR(RIGHT(INDEX(Database_dermo!$A:$I, MATCH($N1569, Database_dermo!$A:$A, 0), 1),2), "Not Found")</f>
        <v>05</v>
      </c>
      <c r="D1569" s="1">
        <f>IFERROR(VLOOKUP(MID(INDEX(Database_dermo!$A:$I, MATCH($N1569, Database_dermo!$A:$A, 0), 2),20,3),Notes!A$1:C$9,2,TRUE), "Not Found")</f>
        <v>1</v>
      </c>
      <c r="E1569" s="1">
        <f>IFERROR(INDEX(Database_dermo!$A:$I, MATCH($N1569, Database_dermo!$A:$A, 0), 3), "Not Found")</f>
        <v>37.340000000000003</v>
      </c>
      <c r="F1569" s="1" t="str">
        <f>IFERROR(INDEX(Database_repro!$A:$F, MATCH($N1569, Database_repro!$A:$A, 0), 3), "Not Found")</f>
        <v>F</v>
      </c>
      <c r="G1569" s="1">
        <f>IFERROR(INDEX(Database_repro!$A:$F, MATCH($N1569, Database_repro!$A:$A, 0), 4), "Not Found")</f>
        <v>2</v>
      </c>
      <c r="H1569" s="1" t="s">
        <v>16</v>
      </c>
      <c r="I1569" s="1" t="s">
        <v>16</v>
      </c>
      <c r="J1569" s="1" t="s">
        <v>16</v>
      </c>
      <c r="K1569" s="1" t="str">
        <f>IFERROR(INDEX(Database_repro!$A:$F, MATCH($N1569, Database_repro!$A:$A, 0), 5), "Not Found")</f>
        <v>No</v>
      </c>
      <c r="L1569" s="4" t="s">
        <v>17</v>
      </c>
      <c r="M1569" s="1" t="str">
        <f>IFERROR(IF(INDEX(Database_repro!$A:$F, MATCH($N1569, Database_repro!$A:$A, 0), 6)="N","No",IF(INDEX(Database_repro!$A:$F, MATCH($N1569, Database_repro!$A:$A, 0), 6)="Y","Yes","Z")), "Not Found")</f>
        <v>No</v>
      </c>
      <c r="N1569" t="s">
        <v>155</v>
      </c>
    </row>
    <row r="1570" spans="1:14" x14ac:dyDescent="0.25">
      <c r="A1570" s="9">
        <v>45539</v>
      </c>
      <c r="B1570" s="1" t="str">
        <f>IFERROR(VLOOKUP(MID(INDEX(Database_dermo!$A:$I, MATCH($N1570, Database_dermo!$A:$A, 0), 2),20,3),Notes!A$1:C$9,3,TRUE), "Not Found")</f>
        <v>LX-N</v>
      </c>
      <c r="C1570" s="1" t="str">
        <f>IFERROR(RIGHT(INDEX(Database_dermo!$A:$I, MATCH($N1570, Database_dermo!$A:$A, 0), 1),2), "Not Found")</f>
        <v>06</v>
      </c>
      <c r="D1570" s="1">
        <f>IFERROR(VLOOKUP(MID(INDEX(Database_dermo!$A:$I, MATCH($N1570, Database_dermo!$A:$A, 0), 2),20,3),Notes!A$1:C$9,2,TRUE), "Not Found")</f>
        <v>2</v>
      </c>
      <c r="E1570" s="1">
        <f>IFERROR(INDEX(Database_dermo!$A:$I, MATCH($N1570, Database_dermo!$A:$A, 0), 3), "Not Found")</f>
        <v>71.209999999999994</v>
      </c>
      <c r="F1570" s="1" t="str">
        <f>IFERROR(INDEX(Database_repro!$A:$F, MATCH($N1570, Database_repro!$A:$A, 0), 3), "Not Found")</f>
        <v>F</v>
      </c>
      <c r="G1570" s="1">
        <f>IFERROR(INDEX(Database_repro!$A:$F, MATCH($N1570, Database_repro!$A:$A, 0), 4), "Not Found")</f>
        <v>2</v>
      </c>
      <c r="H1570" s="1" t="s">
        <v>16</v>
      </c>
      <c r="I1570" s="1" t="s">
        <v>16</v>
      </c>
      <c r="J1570" s="1" t="s">
        <v>16</v>
      </c>
      <c r="K1570" s="1" t="str">
        <f>IFERROR(INDEX(Database_repro!$A:$F, MATCH($N1570, Database_repro!$A:$A, 0), 5), "Not Found")</f>
        <v>No</v>
      </c>
      <c r="L1570" s="4" t="s">
        <v>17</v>
      </c>
      <c r="M1570" s="1" t="str">
        <f>IFERROR(IF(INDEX(Database_repro!$A:$F, MATCH($N1570, Database_repro!$A:$A, 0), 6)="N","No",IF(INDEX(Database_repro!$A:$F, MATCH($N1570, Database_repro!$A:$A, 0), 6)="Y","Yes","Z")), "Not Found")</f>
        <v>No</v>
      </c>
      <c r="N1570" t="s">
        <v>156</v>
      </c>
    </row>
    <row r="1571" spans="1:14" x14ac:dyDescent="0.25">
      <c r="A1571" s="9">
        <v>45539</v>
      </c>
      <c r="B1571" s="1" t="str">
        <f>IFERROR(VLOOKUP(MID(INDEX(Database_dermo!$A:$I, MATCH($N1571, Database_dermo!$A:$A, 0), 2),20,3),Notes!A$1:C$9,3,TRUE), "Not Found")</f>
        <v>LX-N</v>
      </c>
      <c r="C1571" s="1" t="str">
        <f>IFERROR(RIGHT(INDEX(Database_dermo!$A:$I, MATCH($N1571, Database_dermo!$A:$A, 0), 1),2), "Not Found")</f>
        <v>07</v>
      </c>
      <c r="D1571" s="1">
        <f>IFERROR(VLOOKUP(MID(INDEX(Database_dermo!$A:$I, MATCH($N1571, Database_dermo!$A:$A, 0), 2),20,3),Notes!A$1:C$9,2,TRUE), "Not Found")</f>
        <v>2</v>
      </c>
      <c r="E1571" s="1">
        <f>IFERROR(INDEX(Database_dermo!$A:$I, MATCH($N1571, Database_dermo!$A:$A, 0), 3), "Not Found")</f>
        <v>53.56</v>
      </c>
      <c r="F1571" s="1" t="str">
        <f>IFERROR(INDEX(Database_repro!$A:$F, MATCH($N1571, Database_repro!$A:$A, 0), 3), "Not Found")</f>
        <v>F</v>
      </c>
      <c r="G1571" s="1">
        <f>IFERROR(INDEX(Database_repro!$A:$F, MATCH($N1571, Database_repro!$A:$A, 0), 4), "Not Found")</f>
        <v>2</v>
      </c>
      <c r="H1571" s="1" t="s">
        <v>16</v>
      </c>
      <c r="I1571" s="1" t="s">
        <v>16</v>
      </c>
      <c r="J1571" s="1" t="s">
        <v>16</v>
      </c>
      <c r="K1571" s="1" t="str">
        <f>IFERROR(INDEX(Database_repro!$A:$F, MATCH($N1571, Database_repro!$A:$A, 0), 5), "Not Found")</f>
        <v>Yes</v>
      </c>
      <c r="L1571" s="4" t="s">
        <v>17</v>
      </c>
      <c r="M1571" s="1" t="str">
        <f>IFERROR(IF(INDEX(Database_repro!$A:$F, MATCH($N1571, Database_repro!$A:$A, 0), 6)="N","No",IF(INDEX(Database_repro!$A:$F, MATCH($N1571, Database_repro!$A:$A, 0), 6)="Y","Yes","Z")), "Not Found")</f>
        <v>No</v>
      </c>
      <c r="N1571" t="s">
        <v>159</v>
      </c>
    </row>
    <row r="1572" spans="1:14" x14ac:dyDescent="0.25">
      <c r="A1572" s="9">
        <v>45539</v>
      </c>
      <c r="B1572" s="1" t="str">
        <f>IFERROR(VLOOKUP(MID(INDEX(Database_dermo!$A:$I, MATCH($N1572, Database_dermo!$A:$A, 0), 2),20,3),Notes!A$1:C$9,3,TRUE), "Not Found")</f>
        <v>LX-N</v>
      </c>
      <c r="C1572" s="1" t="str">
        <f>IFERROR(RIGHT(INDEX(Database_dermo!$A:$I, MATCH($N1572, Database_dermo!$A:$A, 0), 1),2), "Not Found")</f>
        <v>08</v>
      </c>
      <c r="D1572" s="1">
        <f>IFERROR(VLOOKUP(MID(INDEX(Database_dermo!$A:$I, MATCH($N1572, Database_dermo!$A:$A, 0), 2),20,3),Notes!A$1:C$9,2,TRUE), "Not Found")</f>
        <v>2</v>
      </c>
      <c r="E1572" s="1">
        <f>IFERROR(INDEX(Database_dermo!$A:$I, MATCH($N1572, Database_dermo!$A:$A, 0), 3), "Not Found")</f>
        <v>71.599999999999994</v>
      </c>
      <c r="F1572" s="1" t="str">
        <f>IFERROR(INDEX(Database_repro!$A:$F, MATCH($N1572, Database_repro!$A:$A, 0), 3), "Not Found")</f>
        <v>F</v>
      </c>
      <c r="G1572" s="1">
        <f>IFERROR(INDEX(Database_repro!$A:$F, MATCH($N1572, Database_repro!$A:$A, 0), 4), "Not Found")</f>
        <v>2</v>
      </c>
      <c r="H1572" s="1" t="s">
        <v>16</v>
      </c>
      <c r="I1572" s="1" t="s">
        <v>16</v>
      </c>
      <c r="J1572" s="1" t="s">
        <v>16</v>
      </c>
      <c r="K1572" s="1" t="str">
        <f>IFERROR(INDEX(Database_repro!$A:$F, MATCH($N1572, Database_repro!$A:$A, 0), 5), "Not Found")</f>
        <v>No</v>
      </c>
      <c r="L1572" s="4" t="s">
        <v>17</v>
      </c>
      <c r="M1572" s="1" t="str">
        <f>IFERROR(IF(INDEX(Database_repro!$A:$F, MATCH($N1572, Database_repro!$A:$A, 0), 6)="N","No",IF(INDEX(Database_repro!$A:$F, MATCH($N1572, Database_repro!$A:$A, 0), 6)="Y","Yes","Z")), "Not Found")</f>
        <v>No</v>
      </c>
      <c r="N1572" t="s">
        <v>160</v>
      </c>
    </row>
    <row r="1573" spans="1:14" x14ac:dyDescent="0.25">
      <c r="A1573" s="9">
        <v>45539</v>
      </c>
      <c r="B1573" s="1" t="str">
        <f>IFERROR(VLOOKUP(MID(INDEX(Database_dermo!$A:$I, MATCH($N1573, Database_dermo!$A:$A, 0), 2),20,3),Notes!A$1:C$9,3,TRUE), "Not Found")</f>
        <v>LX-N</v>
      </c>
      <c r="C1573" s="1" t="str">
        <f>IFERROR(RIGHT(INDEX(Database_dermo!$A:$I, MATCH($N1573, Database_dermo!$A:$A, 0), 1),2), "Not Found")</f>
        <v>09</v>
      </c>
      <c r="D1573" s="1">
        <f>IFERROR(VLOOKUP(MID(INDEX(Database_dermo!$A:$I, MATCH($N1573, Database_dermo!$A:$A, 0), 2),20,3),Notes!A$1:C$9,2,TRUE), "Not Found")</f>
        <v>2</v>
      </c>
      <c r="E1573" s="1">
        <f>IFERROR(INDEX(Database_dermo!$A:$I, MATCH($N1573, Database_dermo!$A:$A, 0), 3), "Not Found")</f>
        <v>58.29</v>
      </c>
      <c r="F1573" s="1" t="str">
        <f>IFERROR(INDEX(Database_repro!$A:$F, MATCH($N1573, Database_repro!$A:$A, 0), 3), "Not Found")</f>
        <v>F</v>
      </c>
      <c r="G1573" s="1">
        <f>IFERROR(INDEX(Database_repro!$A:$F, MATCH($N1573, Database_repro!$A:$A, 0), 4), "Not Found")</f>
        <v>2</v>
      </c>
      <c r="H1573" s="1" t="s">
        <v>16</v>
      </c>
      <c r="I1573" s="1" t="s">
        <v>16</v>
      </c>
      <c r="J1573" s="1" t="s">
        <v>16</v>
      </c>
      <c r="K1573" s="1" t="str">
        <f>IFERROR(INDEX(Database_repro!$A:$F, MATCH($N1573, Database_repro!$A:$A, 0), 5), "Not Found")</f>
        <v>No</v>
      </c>
      <c r="L1573" s="4" t="s">
        <v>17</v>
      </c>
      <c r="M1573" s="1" t="str">
        <f>IFERROR(IF(INDEX(Database_repro!$A:$F, MATCH($N1573, Database_repro!$A:$A, 0), 6)="N","No",IF(INDEX(Database_repro!$A:$F, MATCH($N1573, Database_repro!$A:$A, 0), 6)="Y","Yes","Z")), "Not Found")</f>
        <v>No</v>
      </c>
      <c r="N1573" t="s">
        <v>161</v>
      </c>
    </row>
    <row r="1574" spans="1:14" x14ac:dyDescent="0.25">
      <c r="A1574" s="9">
        <v>45539</v>
      </c>
      <c r="B1574" s="1" t="str">
        <f>IFERROR(VLOOKUP(MID(INDEX(Database_dermo!$A:$I, MATCH($N1574, Database_dermo!$A:$A, 0), 2),20,3),Notes!A$1:C$9,3,TRUE), "Not Found")</f>
        <v>LX-N</v>
      </c>
      <c r="C1574" s="1" t="str">
        <f>IFERROR(RIGHT(INDEX(Database_dermo!$A:$I, MATCH($N1574, Database_dermo!$A:$A, 0), 1),2), "Not Found")</f>
        <v>10</v>
      </c>
      <c r="D1574" s="1">
        <f>IFERROR(VLOOKUP(MID(INDEX(Database_dermo!$A:$I, MATCH($N1574, Database_dermo!$A:$A, 0), 2),20,3),Notes!A$1:C$9,2,TRUE), "Not Found")</f>
        <v>2</v>
      </c>
      <c r="E1574" s="1">
        <f>IFERROR(INDEX(Database_dermo!$A:$I, MATCH($N1574, Database_dermo!$A:$A, 0), 3), "Not Found")</f>
        <v>48.09</v>
      </c>
      <c r="F1574" s="1" t="str">
        <f>IFERROR(INDEX(Database_repro!$A:$F, MATCH($N1574, Database_repro!$A:$A, 0), 3), "Not Found")</f>
        <v>F</v>
      </c>
      <c r="G1574" s="1">
        <f>IFERROR(INDEX(Database_repro!$A:$F, MATCH($N1574, Database_repro!$A:$A, 0), 4), "Not Found")</f>
        <v>2</v>
      </c>
      <c r="H1574" s="1" t="s">
        <v>16</v>
      </c>
      <c r="I1574" s="1" t="s">
        <v>16</v>
      </c>
      <c r="J1574" s="1" t="s">
        <v>16</v>
      </c>
      <c r="K1574" s="1" t="str">
        <f>IFERROR(INDEX(Database_repro!$A:$F, MATCH($N1574, Database_repro!$A:$A, 0), 5), "Not Found")</f>
        <v>No</v>
      </c>
      <c r="L1574" s="4" t="s">
        <v>17</v>
      </c>
      <c r="M1574" s="1" t="str">
        <f>IFERROR(IF(INDEX(Database_repro!$A:$F, MATCH($N1574, Database_repro!$A:$A, 0), 6)="N","No",IF(INDEX(Database_repro!$A:$F, MATCH($N1574, Database_repro!$A:$A, 0), 6)="Y","Yes","Z")), "Not Found")</f>
        <v>No</v>
      </c>
      <c r="N1574" t="s">
        <v>162</v>
      </c>
    </row>
    <row r="1575" spans="1:14" x14ac:dyDescent="0.25">
      <c r="A1575" s="9">
        <v>45539</v>
      </c>
      <c r="B1575" s="1" t="str">
        <f>IFERROR(VLOOKUP(MID(INDEX(Database_dermo!$A:$I, MATCH($N1575, Database_dermo!$A:$A, 0), 2),20,3),Notes!A$1:C$9,3,TRUE), "Not Found")</f>
        <v>LX-N</v>
      </c>
      <c r="C1575" s="1" t="str">
        <f>IFERROR(RIGHT(INDEX(Database_dermo!$A:$I, MATCH($N1575, Database_dermo!$A:$A, 0), 1),2), "Not Found")</f>
        <v>11</v>
      </c>
      <c r="D1575" s="1">
        <f>IFERROR(VLOOKUP(MID(INDEX(Database_dermo!$A:$I, MATCH($N1575, Database_dermo!$A:$A, 0), 2),20,3),Notes!A$1:C$9,2,TRUE), "Not Found")</f>
        <v>3</v>
      </c>
      <c r="E1575" s="1">
        <f>IFERROR(INDEX(Database_dermo!$A:$I, MATCH($N1575, Database_dermo!$A:$A, 0), 3), "Not Found")</f>
        <v>50.47</v>
      </c>
      <c r="F1575" s="1" t="str">
        <f>IFERROR(INDEX(Database_repro!$A:$F, MATCH($N1575, Database_repro!$A:$A, 0), 3), "Not Found")</f>
        <v>F</v>
      </c>
      <c r="G1575" s="1">
        <f>IFERROR(INDEX(Database_repro!$A:$F, MATCH($N1575, Database_repro!$A:$A, 0), 4), "Not Found")</f>
        <v>2</v>
      </c>
      <c r="H1575" s="1" t="s">
        <v>16</v>
      </c>
      <c r="I1575" s="1" t="s">
        <v>16</v>
      </c>
      <c r="J1575" s="1" t="s">
        <v>16</v>
      </c>
      <c r="K1575" s="1" t="str">
        <f>IFERROR(INDEX(Database_repro!$A:$F, MATCH($N1575, Database_repro!$A:$A, 0), 5), "Not Found")</f>
        <v>No</v>
      </c>
      <c r="L1575" s="4" t="s">
        <v>17</v>
      </c>
      <c r="M1575" s="1" t="str">
        <f>IFERROR(IF(INDEX(Database_repro!$A:$F, MATCH($N1575, Database_repro!$A:$A, 0), 6)="N","No",IF(INDEX(Database_repro!$A:$F, MATCH($N1575, Database_repro!$A:$A, 0), 6)="Y","Yes","Z")), "Not Found")</f>
        <v>No</v>
      </c>
      <c r="N1575" t="s">
        <v>163</v>
      </c>
    </row>
    <row r="1576" spans="1:14" x14ac:dyDescent="0.25">
      <c r="A1576" s="9">
        <v>45539</v>
      </c>
      <c r="B1576" s="1" t="str">
        <f>IFERROR(VLOOKUP(MID(INDEX(Database_dermo!$A:$I, MATCH($N1576, Database_dermo!$A:$A, 0), 2),20,3),Notes!A$1:C$9,3,TRUE), "Not Found")</f>
        <v>LX-N</v>
      </c>
      <c r="C1576" s="1" t="str">
        <f>IFERROR(RIGHT(INDEX(Database_dermo!$A:$I, MATCH($N1576, Database_dermo!$A:$A, 0), 1),2), "Not Found")</f>
        <v>12</v>
      </c>
      <c r="D1576" s="1">
        <f>IFERROR(VLOOKUP(MID(INDEX(Database_dermo!$A:$I, MATCH($N1576, Database_dermo!$A:$A, 0), 2),20,3),Notes!A$1:C$9,2,TRUE), "Not Found")</f>
        <v>3</v>
      </c>
      <c r="E1576" s="1">
        <f>IFERROR(INDEX(Database_dermo!$A:$I, MATCH($N1576, Database_dermo!$A:$A, 0), 3), "Not Found")</f>
        <v>53.47</v>
      </c>
      <c r="F1576" s="1" t="str">
        <f>IFERROR(INDEX(Database_repro!$A:$F, MATCH($N1576, Database_repro!$A:$A, 0), 3), "Not Found")</f>
        <v>M</v>
      </c>
      <c r="G1576" s="1">
        <f>IFERROR(INDEX(Database_repro!$A:$F, MATCH($N1576, Database_repro!$A:$A, 0), 4), "Not Found")</f>
        <v>2</v>
      </c>
      <c r="H1576" s="1" t="s">
        <v>16</v>
      </c>
      <c r="I1576" s="1" t="s">
        <v>16</v>
      </c>
      <c r="J1576" s="1" t="s">
        <v>16</v>
      </c>
      <c r="K1576" s="1" t="str">
        <f>IFERROR(INDEX(Database_repro!$A:$F, MATCH($N1576, Database_repro!$A:$A, 0), 5), "Not Found")</f>
        <v>No</v>
      </c>
      <c r="L1576" s="4" t="s">
        <v>17</v>
      </c>
      <c r="M1576" s="1" t="str">
        <f>IFERROR(IF(INDEX(Database_repro!$A:$F, MATCH($N1576, Database_repro!$A:$A, 0), 6)="N","No",IF(INDEX(Database_repro!$A:$F, MATCH($N1576, Database_repro!$A:$A, 0), 6)="Y","Yes","Z")), "Not Found")</f>
        <v>No</v>
      </c>
      <c r="N1576" t="s">
        <v>165</v>
      </c>
    </row>
    <row r="1577" spans="1:14" x14ac:dyDescent="0.25">
      <c r="A1577" s="9">
        <v>45539</v>
      </c>
      <c r="B1577" s="1" t="str">
        <f>IFERROR(VLOOKUP(MID(INDEX(Database_dermo!$A:$I, MATCH($N1577, Database_dermo!$A:$A, 0), 2),20,3),Notes!A$1:C$9,3,TRUE), "Not Found")</f>
        <v>LX-N</v>
      </c>
      <c r="C1577" s="1" t="str">
        <f>IFERROR(RIGHT(INDEX(Database_dermo!$A:$I, MATCH($N1577, Database_dermo!$A:$A, 0), 1),2), "Not Found")</f>
        <v>13</v>
      </c>
      <c r="D1577" s="1">
        <f>IFERROR(VLOOKUP(MID(INDEX(Database_dermo!$A:$I, MATCH($N1577, Database_dermo!$A:$A, 0), 2),20,3),Notes!A$1:C$9,2,TRUE), "Not Found")</f>
        <v>3</v>
      </c>
      <c r="E1577" s="1">
        <f>IFERROR(INDEX(Database_dermo!$A:$I, MATCH($N1577, Database_dermo!$A:$A, 0), 3), "Not Found")</f>
        <v>53.94</v>
      </c>
      <c r="F1577" s="1" t="str">
        <f>IFERROR(INDEX(Database_repro!$A:$F, MATCH($N1577, Database_repro!$A:$A, 0), 3), "Not Found")</f>
        <v>F</v>
      </c>
      <c r="G1577" s="1">
        <f>IFERROR(INDEX(Database_repro!$A:$F, MATCH($N1577, Database_repro!$A:$A, 0), 4), "Not Found")</f>
        <v>2</v>
      </c>
      <c r="H1577" s="1" t="s">
        <v>16</v>
      </c>
      <c r="I1577" s="1" t="s">
        <v>16</v>
      </c>
      <c r="J1577" s="1" t="s">
        <v>16</v>
      </c>
      <c r="K1577" s="1" t="str">
        <f>IFERROR(INDEX(Database_repro!$A:$F, MATCH($N1577, Database_repro!$A:$A, 0), 5), "Not Found")</f>
        <v>No</v>
      </c>
      <c r="L1577" s="4" t="s">
        <v>17</v>
      </c>
      <c r="M1577" s="1" t="str">
        <f>IFERROR(IF(INDEX(Database_repro!$A:$F, MATCH($N1577, Database_repro!$A:$A, 0), 6)="N","No",IF(INDEX(Database_repro!$A:$F, MATCH($N1577, Database_repro!$A:$A, 0), 6)="Y","Yes","Z")), "Not Found")</f>
        <v>No</v>
      </c>
      <c r="N1577" t="s">
        <v>167</v>
      </c>
    </row>
    <row r="1578" spans="1:14" x14ac:dyDescent="0.25">
      <c r="A1578" s="9">
        <v>45539</v>
      </c>
      <c r="B1578" s="1" t="str">
        <f>IFERROR(VLOOKUP(MID(INDEX(Database_dermo!$A:$I, MATCH($N1578, Database_dermo!$A:$A, 0), 2),20,3),Notes!A$1:C$9,3,TRUE), "Not Found")</f>
        <v>LX-N</v>
      </c>
      <c r="C1578" s="1" t="str">
        <f>IFERROR(RIGHT(INDEX(Database_dermo!$A:$I, MATCH($N1578, Database_dermo!$A:$A, 0), 1),2), "Not Found")</f>
        <v>14</v>
      </c>
      <c r="D1578" s="1">
        <f>IFERROR(VLOOKUP(MID(INDEX(Database_dermo!$A:$I, MATCH($N1578, Database_dermo!$A:$A, 0), 2),20,3),Notes!A$1:C$9,2,TRUE), "Not Found")</f>
        <v>3</v>
      </c>
      <c r="E1578" s="1">
        <f>IFERROR(INDEX(Database_dermo!$A:$I, MATCH($N1578, Database_dermo!$A:$A, 0), 3), "Not Found")</f>
        <v>56.72</v>
      </c>
      <c r="F1578" s="1" t="str">
        <f>IFERROR(INDEX(Database_repro!$A:$F, MATCH($N1578, Database_repro!$A:$A, 0), 3), "Not Found")</f>
        <v>F</v>
      </c>
      <c r="G1578" s="1">
        <f>IFERROR(INDEX(Database_repro!$A:$F, MATCH($N1578, Database_repro!$A:$A, 0), 4), "Not Found")</f>
        <v>2</v>
      </c>
      <c r="H1578" s="1" t="s">
        <v>16</v>
      </c>
      <c r="I1578" s="1" t="s">
        <v>16</v>
      </c>
      <c r="J1578" s="1" t="s">
        <v>16</v>
      </c>
      <c r="K1578" s="1" t="str">
        <f>IFERROR(INDEX(Database_repro!$A:$F, MATCH($N1578, Database_repro!$A:$A, 0), 5), "Not Found")</f>
        <v>No</v>
      </c>
      <c r="L1578" s="4" t="s">
        <v>17</v>
      </c>
      <c r="M1578" s="1" t="str">
        <f>IFERROR(IF(INDEX(Database_repro!$A:$F, MATCH($N1578, Database_repro!$A:$A, 0), 6)="N","No",IF(INDEX(Database_repro!$A:$F, MATCH($N1578, Database_repro!$A:$A, 0), 6)="Y","Yes","Z")), "Not Found")</f>
        <v>No</v>
      </c>
      <c r="N1578" t="s">
        <v>168</v>
      </c>
    </row>
    <row r="1579" spans="1:14" x14ac:dyDescent="0.25">
      <c r="A1579" s="9">
        <v>45539</v>
      </c>
      <c r="B1579" s="1" t="str">
        <f>IFERROR(VLOOKUP(MID(INDEX(Database_dermo!$A:$I, MATCH($N1579, Database_dermo!$A:$A, 0), 2),20,3),Notes!A$1:C$9,3,TRUE), "Not Found")</f>
        <v>LX-N</v>
      </c>
      <c r="C1579" s="1" t="str">
        <f>IFERROR(RIGHT(INDEX(Database_dermo!$A:$I, MATCH($N1579, Database_dermo!$A:$A, 0), 1),2), "Not Found")</f>
        <v>15</v>
      </c>
      <c r="D1579" s="1">
        <f>IFERROR(VLOOKUP(MID(INDEX(Database_dermo!$A:$I, MATCH($N1579, Database_dermo!$A:$A, 0), 2),20,3),Notes!A$1:C$9,2,TRUE), "Not Found")</f>
        <v>3</v>
      </c>
      <c r="E1579" s="1">
        <f>IFERROR(INDEX(Database_dermo!$A:$I, MATCH($N1579, Database_dermo!$A:$A, 0), 3), "Not Found")</f>
        <v>39.909999999999997</v>
      </c>
      <c r="F1579" s="1" t="str">
        <f>IFERROR(INDEX(Database_repro!$A:$F, MATCH($N1579, Database_repro!$A:$A, 0), 3), "Not Found")</f>
        <v>F</v>
      </c>
      <c r="G1579" s="1">
        <f>IFERROR(INDEX(Database_repro!$A:$F, MATCH($N1579, Database_repro!$A:$A, 0), 4), "Not Found")</f>
        <v>2</v>
      </c>
      <c r="H1579" s="1" t="s">
        <v>16</v>
      </c>
      <c r="I1579" s="1" t="s">
        <v>16</v>
      </c>
      <c r="J1579" s="1" t="s">
        <v>16</v>
      </c>
      <c r="K1579" s="1" t="str">
        <f>IFERROR(INDEX(Database_repro!$A:$F, MATCH($N1579, Database_repro!$A:$A, 0), 5), "Not Found")</f>
        <v>No</v>
      </c>
      <c r="L1579" s="4" t="s">
        <v>17</v>
      </c>
      <c r="M1579" s="1" t="str">
        <f>IFERROR(IF(INDEX(Database_repro!$A:$F, MATCH($N1579, Database_repro!$A:$A, 0), 6)="N","No",IF(INDEX(Database_repro!$A:$F, MATCH($N1579, Database_repro!$A:$A, 0), 6)="Y","Yes","Z")), "Not Found")</f>
        <v>No</v>
      </c>
      <c r="N1579" t="s">
        <v>169</v>
      </c>
    </row>
    <row r="1580" spans="1:14" x14ac:dyDescent="0.25">
      <c r="A1580" s="9">
        <v>45567</v>
      </c>
      <c r="B1580" s="1" t="str">
        <f>IFERROR(VLOOKUP(MID(INDEX(Database_dermo!$A:$I, MATCH($N1580, Database_dermo!$A:$A, 0), 2),20,3),Notes!A$1:C$9,3,TRUE), "Not Found")</f>
        <v>LX-N</v>
      </c>
      <c r="C1580" s="1" t="str">
        <f>IFERROR(RIGHT(INDEX(Database_dermo!$A:$I, MATCH($N1580, Database_dermo!$A:$A, 0), 1),2), "Not Found")</f>
        <v>01</v>
      </c>
      <c r="D1580" s="1">
        <f>IFERROR(VLOOKUP(MID(INDEX(Database_dermo!$A:$I, MATCH($N1580, Database_dermo!$A:$A, 0), 2),20,3),Notes!A$1:C$9,2,TRUE), "Not Found")</f>
        <v>1</v>
      </c>
      <c r="E1580" s="1">
        <f>IFERROR(INDEX(Database_dermo!$A:$I, MATCH($N1580, Database_dermo!$A:$A, 0), 3), "Not Found")</f>
        <v>65.099999999999994</v>
      </c>
      <c r="F1580" s="1" t="str">
        <f>IFERROR(INDEX(Database_repro!$A:$F, MATCH($N1580, Database_repro!$A:$A, 0), 3), "Not Found")</f>
        <v>F</v>
      </c>
      <c r="G1580" s="1">
        <f>IFERROR(INDEX(Database_repro!$A:$F, MATCH($N1580, Database_repro!$A:$A, 0), 4), "Not Found")</f>
        <v>3</v>
      </c>
      <c r="H1580" s="1" t="s">
        <v>16</v>
      </c>
      <c r="I1580" s="1" t="s">
        <v>16</v>
      </c>
      <c r="J1580" s="1" t="s">
        <v>16</v>
      </c>
      <c r="K1580" s="1" t="str">
        <f>IFERROR(INDEX(Database_repro!$A:$F, MATCH($N1580, Database_repro!$A:$A, 0), 5), "Not Found")</f>
        <v>No</v>
      </c>
      <c r="L1580" s="4" t="s">
        <v>17</v>
      </c>
      <c r="M1580" s="1" t="str">
        <f>IFERROR(IF(INDEX(Database_repro!$A:$F, MATCH($N1580, Database_repro!$A:$A, 0), 6)="N","No",IF(INDEX(Database_repro!$A:$F, MATCH($N1580, Database_repro!$A:$A, 0), 6)="Y","Yes","Z")), "Not Found")</f>
        <v>No</v>
      </c>
      <c r="N1580" t="s">
        <v>170</v>
      </c>
    </row>
    <row r="1581" spans="1:14" x14ac:dyDescent="0.25">
      <c r="A1581" s="9">
        <v>45567</v>
      </c>
      <c r="B1581" s="1" t="str">
        <f>IFERROR(VLOOKUP(MID(INDEX(Database_dermo!$A:$I, MATCH($N1581, Database_dermo!$A:$A, 0), 2),20,3),Notes!A$1:C$9,3,TRUE), "Not Found")</f>
        <v>LX-N</v>
      </c>
      <c r="C1581" s="1" t="str">
        <f>IFERROR(RIGHT(INDEX(Database_dermo!$A:$I, MATCH($N1581, Database_dermo!$A:$A, 0), 1),2), "Not Found")</f>
        <v>02</v>
      </c>
      <c r="D1581" s="1">
        <f>IFERROR(VLOOKUP(MID(INDEX(Database_dermo!$A:$I, MATCH($N1581, Database_dermo!$A:$A, 0), 2),20,3),Notes!A$1:C$9,2,TRUE), "Not Found")</f>
        <v>1</v>
      </c>
      <c r="E1581" s="1">
        <f>IFERROR(INDEX(Database_dermo!$A:$I, MATCH($N1581, Database_dermo!$A:$A, 0), 3), "Not Found")</f>
        <v>46.46</v>
      </c>
      <c r="F1581" s="1" t="str">
        <f>IFERROR(INDEX(Database_repro!$A:$F, MATCH($N1581, Database_repro!$A:$A, 0), 3), "Not Found")</f>
        <v>M</v>
      </c>
      <c r="G1581" s="1">
        <f>IFERROR(INDEX(Database_repro!$A:$F, MATCH($N1581, Database_repro!$A:$A, 0), 4), "Not Found")</f>
        <v>2</v>
      </c>
      <c r="H1581" s="1" t="s">
        <v>16</v>
      </c>
      <c r="I1581" s="1" t="s">
        <v>16</v>
      </c>
      <c r="J1581" s="1" t="s">
        <v>16</v>
      </c>
      <c r="K1581" s="1" t="str">
        <f>IFERROR(INDEX(Database_repro!$A:$F, MATCH($N1581, Database_repro!$A:$A, 0), 5), "Not Found")</f>
        <v>Yes</v>
      </c>
      <c r="L1581" s="4" t="s">
        <v>17</v>
      </c>
      <c r="M1581" s="1" t="str">
        <f>IFERROR(IF(INDEX(Database_repro!$A:$F, MATCH($N1581, Database_repro!$A:$A, 0), 6)="N","No",IF(INDEX(Database_repro!$A:$F, MATCH($N1581, Database_repro!$A:$A, 0), 6)="Y","Yes","Z")), "Not Found")</f>
        <v>No</v>
      </c>
      <c r="N1581" t="s">
        <v>173</v>
      </c>
    </row>
    <row r="1582" spans="1:14" x14ac:dyDescent="0.25">
      <c r="A1582" s="9">
        <v>45567</v>
      </c>
      <c r="B1582" s="1" t="str">
        <f>IFERROR(VLOOKUP(MID(INDEX(Database_dermo!$A:$I, MATCH($N1582, Database_dermo!$A:$A, 0), 2),20,3),Notes!A$1:C$9,3,TRUE), "Not Found")</f>
        <v>LX-N</v>
      </c>
      <c r="C1582" s="1" t="str">
        <f>IFERROR(RIGHT(INDEX(Database_dermo!$A:$I, MATCH($N1582, Database_dermo!$A:$A, 0), 1),2), "Not Found")</f>
        <v>03</v>
      </c>
      <c r="D1582" s="1">
        <f>IFERROR(VLOOKUP(MID(INDEX(Database_dermo!$A:$I, MATCH($N1582, Database_dermo!$A:$A, 0), 2),20,3),Notes!A$1:C$9,2,TRUE), "Not Found")</f>
        <v>1</v>
      </c>
      <c r="E1582" s="1">
        <f>IFERROR(INDEX(Database_dermo!$A:$I, MATCH($N1582, Database_dermo!$A:$A, 0), 3), "Not Found")</f>
        <v>45.23</v>
      </c>
      <c r="F1582" s="1" t="str">
        <f>IFERROR(INDEX(Database_repro!$A:$F, MATCH($N1582, Database_repro!$A:$A, 0), 3), "Not Found")</f>
        <v>M</v>
      </c>
      <c r="G1582" s="1">
        <f>IFERROR(INDEX(Database_repro!$A:$F, MATCH($N1582, Database_repro!$A:$A, 0), 4), "Not Found")</f>
        <v>2</v>
      </c>
      <c r="H1582" s="1" t="s">
        <v>16</v>
      </c>
      <c r="I1582" s="1" t="s">
        <v>16</v>
      </c>
      <c r="J1582" s="1" t="s">
        <v>16</v>
      </c>
      <c r="K1582" s="1" t="str">
        <f>IFERROR(INDEX(Database_repro!$A:$F, MATCH($N1582, Database_repro!$A:$A, 0), 5), "Not Found")</f>
        <v>No</v>
      </c>
      <c r="L1582" s="4" t="s">
        <v>17</v>
      </c>
      <c r="M1582" s="1" t="str">
        <f>IFERROR(IF(INDEX(Database_repro!$A:$F, MATCH($N1582, Database_repro!$A:$A, 0), 6)="N","No",IF(INDEX(Database_repro!$A:$F, MATCH($N1582, Database_repro!$A:$A, 0), 6)="Y","Yes","Z")), "Not Found")</f>
        <v>No</v>
      </c>
      <c r="N1582" t="s">
        <v>175</v>
      </c>
    </row>
    <row r="1583" spans="1:14" x14ac:dyDescent="0.25">
      <c r="A1583" s="9">
        <v>45567</v>
      </c>
      <c r="B1583" s="1" t="str">
        <f>IFERROR(VLOOKUP(MID(INDEX(Database_dermo!$A:$I, MATCH($N1583, Database_dermo!$A:$A, 0), 2),20,3),Notes!A$1:C$9,3,TRUE), "Not Found")</f>
        <v>LX-N</v>
      </c>
      <c r="C1583" s="1" t="str">
        <f>IFERROR(RIGHT(INDEX(Database_dermo!$A:$I, MATCH($N1583, Database_dermo!$A:$A, 0), 1),2), "Not Found")</f>
        <v>04</v>
      </c>
      <c r="D1583" s="1">
        <f>IFERROR(VLOOKUP(MID(INDEX(Database_dermo!$A:$I, MATCH($N1583, Database_dermo!$A:$A, 0), 2),20,3),Notes!A$1:C$9,2,TRUE), "Not Found")</f>
        <v>1</v>
      </c>
      <c r="E1583" s="1">
        <f>IFERROR(INDEX(Database_dermo!$A:$I, MATCH($N1583, Database_dermo!$A:$A, 0), 3), "Not Found")</f>
        <v>74.11</v>
      </c>
      <c r="F1583" s="1" t="str">
        <f>IFERROR(INDEX(Database_repro!$A:$F, MATCH($N1583, Database_repro!$A:$A, 0), 3), "Not Found")</f>
        <v>F</v>
      </c>
      <c r="G1583" s="1">
        <f>IFERROR(INDEX(Database_repro!$A:$F, MATCH($N1583, Database_repro!$A:$A, 0), 4), "Not Found")</f>
        <v>2</v>
      </c>
      <c r="H1583" s="1" t="s">
        <v>16</v>
      </c>
      <c r="I1583" s="1" t="s">
        <v>16</v>
      </c>
      <c r="J1583" s="1" t="s">
        <v>16</v>
      </c>
      <c r="K1583" s="1" t="str">
        <f>IFERROR(INDEX(Database_repro!$A:$F, MATCH($N1583, Database_repro!$A:$A, 0), 5), "Not Found")</f>
        <v>No</v>
      </c>
      <c r="L1583" s="4" t="s">
        <v>17</v>
      </c>
      <c r="M1583" s="1" t="str">
        <f>IFERROR(IF(INDEX(Database_repro!$A:$F, MATCH($N1583, Database_repro!$A:$A, 0), 6)="N","No",IF(INDEX(Database_repro!$A:$F, MATCH($N1583, Database_repro!$A:$A, 0), 6)="Y","Yes","Z")), "Not Found")</f>
        <v>No</v>
      </c>
      <c r="N1583" t="s">
        <v>177</v>
      </c>
    </row>
    <row r="1584" spans="1:14" x14ac:dyDescent="0.25">
      <c r="A1584" s="9">
        <v>45567</v>
      </c>
      <c r="B1584" s="1" t="str">
        <f>IFERROR(VLOOKUP(MID(INDEX(Database_dermo!$A:$I, MATCH($N1584, Database_dermo!$A:$A, 0), 2),20,3),Notes!A$1:C$9,3,TRUE), "Not Found")</f>
        <v>LX-N</v>
      </c>
      <c r="C1584" s="1" t="str">
        <f>IFERROR(RIGHT(INDEX(Database_dermo!$A:$I, MATCH($N1584, Database_dermo!$A:$A, 0), 1),2), "Not Found")</f>
        <v>05</v>
      </c>
      <c r="D1584" s="1">
        <f>IFERROR(VLOOKUP(MID(INDEX(Database_dermo!$A:$I, MATCH($N1584, Database_dermo!$A:$A, 0), 2),20,3),Notes!A$1:C$9,2,TRUE), "Not Found")</f>
        <v>1</v>
      </c>
      <c r="E1584" s="1">
        <f>IFERROR(INDEX(Database_dermo!$A:$I, MATCH($N1584, Database_dermo!$A:$A, 0), 3), "Not Found")</f>
        <v>43.4</v>
      </c>
      <c r="F1584" s="1" t="str">
        <f>IFERROR(INDEX(Database_repro!$A:$F, MATCH($N1584, Database_repro!$A:$A, 0), 3), "Not Found")</f>
        <v>F</v>
      </c>
      <c r="G1584" s="1">
        <f>IFERROR(INDEX(Database_repro!$A:$F, MATCH($N1584, Database_repro!$A:$A, 0), 4), "Not Found")</f>
        <v>2</v>
      </c>
      <c r="H1584" s="1" t="s">
        <v>16</v>
      </c>
      <c r="I1584" s="1" t="s">
        <v>16</v>
      </c>
      <c r="J1584" s="1" t="s">
        <v>16</v>
      </c>
      <c r="K1584" s="1" t="str">
        <f>IFERROR(INDEX(Database_repro!$A:$F, MATCH($N1584, Database_repro!$A:$A, 0), 5), "Not Found")</f>
        <v>No</v>
      </c>
      <c r="L1584" s="4" t="s">
        <v>17</v>
      </c>
      <c r="M1584" s="1" t="str">
        <f>IFERROR(IF(INDEX(Database_repro!$A:$F, MATCH($N1584, Database_repro!$A:$A, 0), 6)="N","No",IF(INDEX(Database_repro!$A:$F, MATCH($N1584, Database_repro!$A:$A, 0), 6)="Y","Yes","Z")), "Not Found")</f>
        <v>No</v>
      </c>
      <c r="N1584" t="s">
        <v>178</v>
      </c>
    </row>
    <row r="1585" spans="1:14" x14ac:dyDescent="0.25">
      <c r="A1585" s="9">
        <v>45567</v>
      </c>
      <c r="B1585" s="1" t="str">
        <f>IFERROR(VLOOKUP(MID(INDEX(Database_dermo!$A:$I, MATCH($N1585, Database_dermo!$A:$A, 0), 2),20,3),Notes!A$1:C$9,3,TRUE), "Not Found")</f>
        <v>LX-N</v>
      </c>
      <c r="C1585" s="1" t="str">
        <f>IFERROR(RIGHT(INDEX(Database_dermo!$A:$I, MATCH($N1585, Database_dermo!$A:$A, 0), 1),2), "Not Found")</f>
        <v>06</v>
      </c>
      <c r="D1585" s="1">
        <f>IFERROR(VLOOKUP(MID(INDEX(Database_dermo!$A:$I, MATCH($N1585, Database_dermo!$A:$A, 0), 2),20,3),Notes!A$1:C$9,2,TRUE), "Not Found")</f>
        <v>2</v>
      </c>
      <c r="E1585" s="1">
        <f>IFERROR(INDEX(Database_dermo!$A:$I, MATCH($N1585, Database_dermo!$A:$A, 0), 3), "Not Found")</f>
        <v>52.93</v>
      </c>
      <c r="F1585" s="1" t="str">
        <f>IFERROR(INDEX(Database_repro!$A:$F, MATCH($N1585, Database_repro!$A:$A, 0), 3), "Not Found")</f>
        <v>F</v>
      </c>
      <c r="G1585" s="1">
        <f>IFERROR(INDEX(Database_repro!$A:$F, MATCH($N1585, Database_repro!$A:$A, 0), 4), "Not Found")</f>
        <v>2</v>
      </c>
      <c r="H1585" s="1" t="s">
        <v>16</v>
      </c>
      <c r="I1585" s="1" t="s">
        <v>16</v>
      </c>
      <c r="J1585" s="1" t="s">
        <v>16</v>
      </c>
      <c r="K1585" s="1" t="str">
        <f>IFERROR(INDEX(Database_repro!$A:$F, MATCH($N1585, Database_repro!$A:$A, 0), 5), "Not Found")</f>
        <v>No</v>
      </c>
      <c r="L1585" s="4" t="s">
        <v>17</v>
      </c>
      <c r="M1585" s="1" t="str">
        <f>IFERROR(IF(INDEX(Database_repro!$A:$F, MATCH($N1585, Database_repro!$A:$A, 0), 6)="N","No",IF(INDEX(Database_repro!$A:$F, MATCH($N1585, Database_repro!$A:$A, 0), 6)="Y","Yes","Z")), "Not Found")</f>
        <v>No</v>
      </c>
      <c r="N1585" t="s">
        <v>179</v>
      </c>
    </row>
    <row r="1586" spans="1:14" x14ac:dyDescent="0.25">
      <c r="A1586" s="9">
        <v>45567</v>
      </c>
      <c r="B1586" s="1" t="str">
        <f>IFERROR(VLOOKUP(MID(INDEX(Database_dermo!$A:$I, MATCH($N1586, Database_dermo!$A:$A, 0), 2),20,3),Notes!A$1:C$9,3,TRUE), "Not Found")</f>
        <v>LX-N</v>
      </c>
      <c r="C1586" s="1" t="str">
        <f>IFERROR(RIGHT(INDEX(Database_dermo!$A:$I, MATCH($N1586, Database_dermo!$A:$A, 0), 1),2), "Not Found")</f>
        <v>07</v>
      </c>
      <c r="D1586" s="1">
        <f>IFERROR(VLOOKUP(MID(INDEX(Database_dermo!$A:$I, MATCH($N1586, Database_dermo!$A:$A, 0), 2),20,3),Notes!A$1:C$9,2,TRUE), "Not Found")</f>
        <v>2</v>
      </c>
      <c r="E1586" s="1">
        <f>IFERROR(INDEX(Database_dermo!$A:$I, MATCH($N1586, Database_dermo!$A:$A, 0), 3), "Not Found")</f>
        <v>58.39</v>
      </c>
      <c r="F1586" s="1" t="str">
        <f>IFERROR(INDEX(Database_repro!$A:$F, MATCH($N1586, Database_repro!$A:$A, 0), 3), "Not Found")</f>
        <v>F</v>
      </c>
      <c r="G1586" s="1">
        <f>IFERROR(INDEX(Database_repro!$A:$F, MATCH($N1586, Database_repro!$A:$A, 0), 4), "Not Found")</f>
        <v>2</v>
      </c>
      <c r="H1586" s="1" t="s">
        <v>16</v>
      </c>
      <c r="I1586" s="1" t="s">
        <v>16</v>
      </c>
      <c r="J1586" s="1" t="s">
        <v>16</v>
      </c>
      <c r="K1586" s="1" t="str">
        <f>IFERROR(INDEX(Database_repro!$A:$F, MATCH($N1586, Database_repro!$A:$A, 0), 5), "Not Found")</f>
        <v>No</v>
      </c>
      <c r="L1586" s="4" t="s">
        <v>17</v>
      </c>
      <c r="M1586" s="1" t="str">
        <f>IFERROR(IF(INDEX(Database_repro!$A:$F, MATCH($N1586, Database_repro!$A:$A, 0), 6)="N","No",IF(INDEX(Database_repro!$A:$F, MATCH($N1586, Database_repro!$A:$A, 0), 6)="Y","Yes","Z")), "Not Found")</f>
        <v>No</v>
      </c>
      <c r="N1586" t="s">
        <v>181</v>
      </c>
    </row>
    <row r="1587" spans="1:14" x14ac:dyDescent="0.25">
      <c r="A1587" s="9">
        <v>45567</v>
      </c>
      <c r="B1587" s="1" t="str">
        <f>IFERROR(VLOOKUP(MID(INDEX(Database_dermo!$A:$I, MATCH($N1587, Database_dermo!$A:$A, 0), 2),20,3),Notes!A$1:C$9,3,TRUE), "Not Found")</f>
        <v>LX-N</v>
      </c>
      <c r="C1587" s="1" t="str">
        <f>IFERROR(RIGHT(INDEX(Database_dermo!$A:$I, MATCH($N1587, Database_dermo!$A:$A, 0), 1),2), "Not Found")</f>
        <v>08</v>
      </c>
      <c r="D1587" s="1">
        <f>IFERROR(VLOOKUP(MID(INDEX(Database_dermo!$A:$I, MATCH($N1587, Database_dermo!$A:$A, 0), 2),20,3),Notes!A$1:C$9,2,TRUE), "Not Found")</f>
        <v>2</v>
      </c>
      <c r="E1587" s="1">
        <f>IFERROR(INDEX(Database_dermo!$A:$I, MATCH($N1587, Database_dermo!$A:$A, 0), 3), "Not Found")</f>
        <v>55.7</v>
      </c>
      <c r="F1587" s="1" t="str">
        <f>IFERROR(INDEX(Database_repro!$A:$F, MATCH($N1587, Database_repro!$A:$A, 0), 3), "Not Found")</f>
        <v>M</v>
      </c>
      <c r="G1587" s="1">
        <f>IFERROR(INDEX(Database_repro!$A:$F, MATCH($N1587, Database_repro!$A:$A, 0), 4), "Not Found")</f>
        <v>2</v>
      </c>
      <c r="H1587" s="1" t="s">
        <v>16</v>
      </c>
      <c r="I1587" s="1" t="s">
        <v>16</v>
      </c>
      <c r="J1587" s="1" t="s">
        <v>16</v>
      </c>
      <c r="K1587" s="1" t="str">
        <f>IFERROR(INDEX(Database_repro!$A:$F, MATCH($N1587, Database_repro!$A:$A, 0), 5), "Not Found")</f>
        <v>No</v>
      </c>
      <c r="L1587" s="4" t="s">
        <v>17</v>
      </c>
      <c r="M1587" s="1" t="str">
        <f>IFERROR(IF(INDEX(Database_repro!$A:$F, MATCH($N1587, Database_repro!$A:$A, 0), 6)="N","No",IF(INDEX(Database_repro!$A:$F, MATCH($N1587, Database_repro!$A:$A, 0), 6)="Y","Yes","Z")), "Not Found")</f>
        <v>No</v>
      </c>
      <c r="N1587" t="s">
        <v>182</v>
      </c>
    </row>
    <row r="1588" spans="1:14" x14ac:dyDescent="0.25">
      <c r="A1588" s="9">
        <v>45567</v>
      </c>
      <c r="B1588" s="1" t="str">
        <f>IFERROR(VLOOKUP(MID(INDEX(Database_dermo!$A:$I, MATCH($N1588, Database_dermo!$A:$A, 0), 2),20,3),Notes!A$1:C$9,3,TRUE), "Not Found")</f>
        <v>LX-N</v>
      </c>
      <c r="C1588" s="1" t="str">
        <f>IFERROR(RIGHT(INDEX(Database_dermo!$A:$I, MATCH($N1588, Database_dermo!$A:$A, 0), 1),2), "Not Found")</f>
        <v>09</v>
      </c>
      <c r="D1588" s="1">
        <f>IFERROR(VLOOKUP(MID(INDEX(Database_dermo!$A:$I, MATCH($N1588, Database_dermo!$A:$A, 0), 2),20,3),Notes!A$1:C$9,2,TRUE), "Not Found")</f>
        <v>2</v>
      </c>
      <c r="E1588" s="1">
        <f>IFERROR(INDEX(Database_dermo!$A:$I, MATCH($N1588, Database_dermo!$A:$A, 0), 3), "Not Found")</f>
        <v>57.77</v>
      </c>
      <c r="F1588" s="1" t="str">
        <f>IFERROR(INDEX(Database_repro!$A:$F, MATCH($N1588, Database_repro!$A:$A, 0), 3), "Not Found")</f>
        <v>F</v>
      </c>
      <c r="G1588" s="1">
        <f>IFERROR(INDEX(Database_repro!$A:$F, MATCH($N1588, Database_repro!$A:$A, 0), 4), "Not Found")</f>
        <v>2</v>
      </c>
      <c r="H1588" s="1" t="s">
        <v>16</v>
      </c>
      <c r="I1588" s="1" t="s">
        <v>16</v>
      </c>
      <c r="J1588" s="1" t="s">
        <v>16</v>
      </c>
      <c r="K1588" s="1" t="str">
        <f>IFERROR(INDEX(Database_repro!$A:$F, MATCH($N1588, Database_repro!$A:$A, 0), 5), "Not Found")</f>
        <v>No</v>
      </c>
      <c r="L1588" s="4" t="s">
        <v>17</v>
      </c>
      <c r="M1588" s="1" t="str">
        <f>IFERROR(IF(INDEX(Database_repro!$A:$F, MATCH($N1588, Database_repro!$A:$A, 0), 6)="N","No",IF(INDEX(Database_repro!$A:$F, MATCH($N1588, Database_repro!$A:$A, 0), 6)="Y","Yes","Z")), "Not Found")</f>
        <v>No</v>
      </c>
      <c r="N1588" t="s">
        <v>184</v>
      </c>
    </row>
    <row r="1589" spans="1:14" x14ac:dyDescent="0.25">
      <c r="A1589" s="9">
        <v>45567</v>
      </c>
      <c r="B1589" s="1" t="str">
        <f>IFERROR(VLOOKUP(MID(INDEX(Database_dermo!$A:$I, MATCH($N1589, Database_dermo!$A:$A, 0), 2),20,3),Notes!A$1:C$9,3,TRUE), "Not Found")</f>
        <v>LX-N</v>
      </c>
      <c r="C1589" s="1" t="str">
        <f>IFERROR(RIGHT(INDEX(Database_dermo!$A:$I, MATCH($N1589, Database_dermo!$A:$A, 0), 1),2), "Not Found")</f>
        <v>10</v>
      </c>
      <c r="D1589" s="1">
        <f>IFERROR(VLOOKUP(MID(INDEX(Database_dermo!$A:$I, MATCH($N1589, Database_dermo!$A:$A, 0), 2),20,3),Notes!A$1:C$9,2,TRUE), "Not Found")</f>
        <v>2</v>
      </c>
      <c r="E1589" s="1">
        <f>IFERROR(INDEX(Database_dermo!$A:$I, MATCH($N1589, Database_dermo!$A:$A, 0), 3), "Not Found")</f>
        <v>62.11</v>
      </c>
      <c r="F1589" s="1" t="str">
        <f>IFERROR(INDEX(Database_repro!$A:$F, MATCH($N1589, Database_repro!$A:$A, 0), 3), "Not Found")</f>
        <v>F</v>
      </c>
      <c r="G1589" s="1">
        <f>IFERROR(INDEX(Database_repro!$A:$F, MATCH($N1589, Database_repro!$A:$A, 0), 4), "Not Found")</f>
        <v>2</v>
      </c>
      <c r="H1589" s="1" t="s">
        <v>16</v>
      </c>
      <c r="I1589" s="1" t="s">
        <v>16</v>
      </c>
      <c r="J1589" s="1" t="s">
        <v>16</v>
      </c>
      <c r="K1589" s="1" t="str">
        <f>IFERROR(INDEX(Database_repro!$A:$F, MATCH($N1589, Database_repro!$A:$A, 0), 5), "Not Found")</f>
        <v>No</v>
      </c>
      <c r="L1589" s="4" t="s">
        <v>17</v>
      </c>
      <c r="M1589" s="1" t="str">
        <f>IFERROR(IF(INDEX(Database_repro!$A:$F, MATCH($N1589, Database_repro!$A:$A, 0), 6)="N","No",IF(INDEX(Database_repro!$A:$F, MATCH($N1589, Database_repro!$A:$A, 0), 6)="Y","Yes","Z")), "Not Found")</f>
        <v>No</v>
      </c>
      <c r="N1589" t="s">
        <v>185</v>
      </c>
    </row>
    <row r="1590" spans="1:14" x14ac:dyDescent="0.25">
      <c r="A1590" s="9">
        <v>45567</v>
      </c>
      <c r="B1590" s="1" t="str">
        <f>IFERROR(VLOOKUP(MID(INDEX(Database_dermo!$A:$I, MATCH($N1590, Database_dermo!$A:$A, 0), 2),20,3),Notes!A$1:C$9,3,TRUE), "Not Found")</f>
        <v>LX-N</v>
      </c>
      <c r="C1590" s="1" t="str">
        <f>IFERROR(RIGHT(INDEX(Database_dermo!$A:$I, MATCH($N1590, Database_dermo!$A:$A, 0), 1),2), "Not Found")</f>
        <v>11</v>
      </c>
      <c r="D1590" s="1">
        <f>IFERROR(VLOOKUP(MID(INDEX(Database_dermo!$A:$I, MATCH($N1590, Database_dermo!$A:$A, 0), 2),20,3),Notes!A$1:C$9,2,TRUE), "Not Found")</f>
        <v>3</v>
      </c>
      <c r="E1590" s="1">
        <f>IFERROR(INDEX(Database_dermo!$A:$I, MATCH($N1590, Database_dermo!$A:$A, 0), 3), "Not Found")</f>
        <v>48.7</v>
      </c>
      <c r="F1590" s="1" t="str">
        <f>IFERROR(INDEX(Database_repro!$A:$F, MATCH($N1590, Database_repro!$A:$A, 0), 3), "Not Found")</f>
        <v>F</v>
      </c>
      <c r="G1590" s="1">
        <f>IFERROR(INDEX(Database_repro!$A:$F, MATCH($N1590, Database_repro!$A:$A, 0), 4), "Not Found")</f>
        <v>2</v>
      </c>
      <c r="H1590" s="1" t="s">
        <v>16</v>
      </c>
      <c r="I1590" s="1" t="s">
        <v>16</v>
      </c>
      <c r="J1590" s="1" t="s">
        <v>16</v>
      </c>
      <c r="K1590" s="1" t="str">
        <f>IFERROR(INDEX(Database_repro!$A:$F, MATCH($N1590, Database_repro!$A:$A, 0), 5), "Not Found")</f>
        <v>No</v>
      </c>
      <c r="L1590" s="4" t="s">
        <v>17</v>
      </c>
      <c r="M1590" s="1" t="str">
        <f>IFERROR(IF(INDEX(Database_repro!$A:$F, MATCH($N1590, Database_repro!$A:$A, 0), 6)="N","No",IF(INDEX(Database_repro!$A:$F, MATCH($N1590, Database_repro!$A:$A, 0), 6)="Y","Yes","Z")), "Not Found")</f>
        <v>No</v>
      </c>
      <c r="N1590" t="s">
        <v>186</v>
      </c>
    </row>
    <row r="1591" spans="1:14" x14ac:dyDescent="0.25">
      <c r="A1591" s="9">
        <v>45567</v>
      </c>
      <c r="B1591" s="1" t="str">
        <f>IFERROR(VLOOKUP(MID(INDEX(Database_dermo!$A:$I, MATCH($N1591, Database_dermo!$A:$A, 0), 2),20,3),Notes!A$1:C$9,3,TRUE), "Not Found")</f>
        <v>LX-N</v>
      </c>
      <c r="C1591" s="1" t="str">
        <f>IFERROR(RIGHT(INDEX(Database_dermo!$A:$I, MATCH($N1591, Database_dermo!$A:$A, 0), 1),2), "Not Found")</f>
        <v>12</v>
      </c>
      <c r="D1591" s="1">
        <f>IFERROR(VLOOKUP(MID(INDEX(Database_dermo!$A:$I, MATCH($N1591, Database_dermo!$A:$A, 0), 2),20,3),Notes!A$1:C$9,2,TRUE), "Not Found")</f>
        <v>3</v>
      </c>
      <c r="E1591" s="1">
        <f>IFERROR(INDEX(Database_dermo!$A:$I, MATCH($N1591, Database_dermo!$A:$A, 0), 3), "Not Found")</f>
        <v>36.299999999999997</v>
      </c>
      <c r="F1591" s="1" t="str">
        <f>IFERROR(INDEX(Database_repro!$A:$F, MATCH($N1591, Database_repro!$A:$A, 0), 3), "Not Found")</f>
        <v>M</v>
      </c>
      <c r="G1591" s="1">
        <f>IFERROR(INDEX(Database_repro!$A:$F, MATCH($N1591, Database_repro!$A:$A, 0), 4), "Not Found")</f>
        <v>2</v>
      </c>
      <c r="H1591" s="1" t="s">
        <v>16</v>
      </c>
      <c r="I1591" s="1" t="s">
        <v>16</v>
      </c>
      <c r="J1591" s="1" t="s">
        <v>16</v>
      </c>
      <c r="K1591" s="1" t="str">
        <f>IFERROR(INDEX(Database_repro!$A:$F, MATCH($N1591, Database_repro!$A:$A, 0), 5), "Not Found")</f>
        <v>No</v>
      </c>
      <c r="L1591" s="4" t="s">
        <v>17</v>
      </c>
      <c r="M1591" s="1" t="str">
        <f>IFERROR(IF(INDEX(Database_repro!$A:$F, MATCH($N1591, Database_repro!$A:$A, 0), 6)="N","No",IF(INDEX(Database_repro!$A:$F, MATCH($N1591, Database_repro!$A:$A, 0), 6)="Y","Yes","Z")), "Not Found")</f>
        <v>No</v>
      </c>
      <c r="N1591" t="s">
        <v>188</v>
      </c>
    </row>
    <row r="1592" spans="1:14" x14ac:dyDescent="0.25">
      <c r="A1592" s="9">
        <v>45567</v>
      </c>
      <c r="B1592" s="1" t="str">
        <f>IFERROR(VLOOKUP(MID(INDEX(Database_dermo!$A:$I, MATCH($N1592, Database_dermo!$A:$A, 0), 2),20,3),Notes!A$1:C$9,3,TRUE), "Not Found")</f>
        <v>LX-N</v>
      </c>
      <c r="C1592" s="1" t="str">
        <f>IFERROR(RIGHT(INDEX(Database_dermo!$A:$I, MATCH($N1592, Database_dermo!$A:$A, 0), 1),2), "Not Found")</f>
        <v>13</v>
      </c>
      <c r="D1592" s="1">
        <f>IFERROR(VLOOKUP(MID(INDEX(Database_dermo!$A:$I, MATCH($N1592, Database_dermo!$A:$A, 0), 2),20,3),Notes!A$1:C$9,2,TRUE), "Not Found")</f>
        <v>3</v>
      </c>
      <c r="E1592" s="1">
        <f>IFERROR(INDEX(Database_dermo!$A:$I, MATCH($N1592, Database_dermo!$A:$A, 0), 3), "Not Found")</f>
        <v>39.11</v>
      </c>
      <c r="F1592" s="1" t="str">
        <f>IFERROR(INDEX(Database_repro!$A:$F, MATCH($N1592, Database_repro!$A:$A, 0), 3), "Not Found")</f>
        <v>F</v>
      </c>
      <c r="G1592" s="1">
        <f>IFERROR(INDEX(Database_repro!$A:$F, MATCH($N1592, Database_repro!$A:$A, 0), 4), "Not Found")</f>
        <v>3</v>
      </c>
      <c r="H1592" s="1" t="s">
        <v>16</v>
      </c>
      <c r="I1592" s="1" t="s">
        <v>16</v>
      </c>
      <c r="J1592" s="1" t="s">
        <v>16</v>
      </c>
      <c r="K1592" s="1" t="str">
        <f>IFERROR(INDEX(Database_repro!$A:$F, MATCH($N1592, Database_repro!$A:$A, 0), 5), "Not Found")</f>
        <v>No</v>
      </c>
      <c r="L1592" s="4" t="s">
        <v>17</v>
      </c>
      <c r="M1592" s="1" t="str">
        <f>IFERROR(IF(INDEX(Database_repro!$A:$F, MATCH($N1592, Database_repro!$A:$A, 0), 6)="N","No",IF(INDEX(Database_repro!$A:$F, MATCH($N1592, Database_repro!$A:$A, 0), 6)="Y","Yes","Z")), "Not Found")</f>
        <v>No</v>
      </c>
      <c r="N1592" t="s">
        <v>189</v>
      </c>
    </row>
    <row r="1593" spans="1:14" x14ac:dyDescent="0.25">
      <c r="A1593" s="9">
        <v>45567</v>
      </c>
      <c r="B1593" s="1" t="str">
        <f>IFERROR(VLOOKUP(MID(INDEX(Database_dermo!$A:$I, MATCH($N1593, Database_dermo!$A:$A, 0), 2),20,3),Notes!A$1:C$9,3,TRUE), "Not Found")</f>
        <v>LX-N</v>
      </c>
      <c r="C1593" s="1" t="str">
        <f>IFERROR(RIGHT(INDEX(Database_dermo!$A:$I, MATCH($N1593, Database_dermo!$A:$A, 0), 1),2), "Not Found")</f>
        <v>14</v>
      </c>
      <c r="D1593" s="1">
        <f>IFERROR(VLOOKUP(MID(INDEX(Database_dermo!$A:$I, MATCH($N1593, Database_dermo!$A:$A, 0), 2),20,3),Notes!A$1:C$9,2,TRUE), "Not Found")</f>
        <v>3</v>
      </c>
      <c r="E1593" s="1">
        <f>IFERROR(INDEX(Database_dermo!$A:$I, MATCH($N1593, Database_dermo!$A:$A, 0), 3), "Not Found")</f>
        <v>40.94</v>
      </c>
      <c r="F1593" s="1" t="str">
        <f>IFERROR(INDEX(Database_repro!$A:$F, MATCH($N1593, Database_repro!$A:$A, 0), 3), "Not Found")</f>
        <v>M</v>
      </c>
      <c r="G1593" s="1">
        <f>IFERROR(INDEX(Database_repro!$A:$F, MATCH($N1593, Database_repro!$A:$A, 0), 4), "Not Found")</f>
        <v>2</v>
      </c>
      <c r="H1593" s="1" t="s">
        <v>16</v>
      </c>
      <c r="I1593" s="1" t="s">
        <v>16</v>
      </c>
      <c r="J1593" s="1" t="s">
        <v>16</v>
      </c>
      <c r="K1593" s="1" t="str">
        <f>IFERROR(INDEX(Database_repro!$A:$F, MATCH($N1593, Database_repro!$A:$A, 0), 5), "Not Found")</f>
        <v>No</v>
      </c>
      <c r="L1593" s="4" t="s">
        <v>17</v>
      </c>
      <c r="M1593" s="1" t="str">
        <f>IFERROR(IF(INDEX(Database_repro!$A:$F, MATCH($N1593, Database_repro!$A:$A, 0), 6)="N","No",IF(INDEX(Database_repro!$A:$F, MATCH($N1593, Database_repro!$A:$A, 0), 6)="Y","Yes","Z")), "Not Found")</f>
        <v>No</v>
      </c>
      <c r="N1593" t="s">
        <v>190</v>
      </c>
    </row>
    <row r="1594" spans="1:14" x14ac:dyDescent="0.25">
      <c r="A1594" s="9">
        <v>45567</v>
      </c>
      <c r="B1594" s="1" t="str">
        <f>IFERROR(VLOOKUP(MID(INDEX(Database_dermo!$A:$I, MATCH($N1594, Database_dermo!$A:$A, 0), 2),20,3),Notes!A$1:C$9,3,TRUE), "Not Found")</f>
        <v>LX-N</v>
      </c>
      <c r="C1594" s="1" t="str">
        <f>IFERROR(RIGHT(INDEX(Database_dermo!$A:$I, MATCH($N1594, Database_dermo!$A:$A, 0), 1),2), "Not Found")</f>
        <v>15</v>
      </c>
      <c r="D1594" s="1">
        <f>IFERROR(VLOOKUP(MID(INDEX(Database_dermo!$A:$I, MATCH($N1594, Database_dermo!$A:$A, 0), 2),20,3),Notes!A$1:C$9,2,TRUE), "Not Found")</f>
        <v>3</v>
      </c>
      <c r="E1594" s="1">
        <f>IFERROR(INDEX(Database_dermo!$A:$I, MATCH($N1594, Database_dermo!$A:$A, 0), 3), "Not Found")</f>
        <v>45.15</v>
      </c>
      <c r="F1594" s="1" t="str">
        <f>IFERROR(INDEX(Database_repro!$A:$F, MATCH($N1594, Database_repro!$A:$A, 0), 3), "Not Found")</f>
        <v>F</v>
      </c>
      <c r="G1594" s="1">
        <f>IFERROR(INDEX(Database_repro!$A:$F, MATCH($N1594, Database_repro!$A:$A, 0), 4), "Not Found")</f>
        <v>2</v>
      </c>
      <c r="H1594" s="1" t="s">
        <v>16</v>
      </c>
      <c r="I1594" s="1" t="s">
        <v>16</v>
      </c>
      <c r="J1594" s="1" t="s">
        <v>16</v>
      </c>
      <c r="K1594" s="1" t="str">
        <f>IFERROR(INDEX(Database_repro!$A:$F, MATCH($N1594, Database_repro!$A:$A, 0), 5), "Not Found")</f>
        <v>No</v>
      </c>
      <c r="L1594" s="4" t="s">
        <v>17</v>
      </c>
      <c r="M1594" s="1" t="str">
        <f>IFERROR(IF(INDEX(Database_repro!$A:$F, MATCH($N1594, Database_repro!$A:$A, 0), 6)="N","No",IF(INDEX(Database_repro!$A:$F, MATCH($N1594, Database_repro!$A:$A, 0), 6)="Y","Yes","Z")), "Not Found")</f>
        <v>No</v>
      </c>
      <c r="N1594" t="s">
        <v>191</v>
      </c>
    </row>
    <row r="1595" spans="1:14" x14ac:dyDescent="0.25">
      <c r="A1595" s="9">
        <v>45601</v>
      </c>
      <c r="B1595" s="1" t="str">
        <f>IFERROR(VLOOKUP(MID(INDEX(Database_dermo!$A:$I, MATCH($N1595, Database_dermo!$A:$A, 0), 2),20,3),Notes!A$1:C$9,3,TRUE), "Not Found")</f>
        <v>LX-N</v>
      </c>
      <c r="C1595" s="1" t="str">
        <f>IFERROR(RIGHT(INDEX(Database_dermo!$A:$I, MATCH($N1595, Database_dermo!$A:$A, 0), 1),2), "Not Found")</f>
        <v>01</v>
      </c>
      <c r="D1595" s="1">
        <f>IFERROR(VLOOKUP(MID(INDEX(Database_dermo!$A:$I, MATCH($N1595, Database_dermo!$A:$A, 0), 2),20,3),Notes!A$1:C$9,2,TRUE), "Not Found")</f>
        <v>1</v>
      </c>
      <c r="E1595" s="1">
        <f>IFERROR(INDEX(Database_dermo!$A:$I, MATCH($N1595, Database_dermo!$A:$A, 0), 3), "Not Found")</f>
        <v>46.15</v>
      </c>
      <c r="F1595" s="1" t="str">
        <f>IFERROR(INDEX(Database_repro!$A:$F, MATCH($N1595, Database_repro!$A:$A, 0), 3), "Not Found")</f>
        <v>F</v>
      </c>
      <c r="G1595" s="1">
        <f>IFERROR(INDEX(Database_repro!$A:$F, MATCH($N1595, Database_repro!$A:$A, 0), 4), "Not Found")</f>
        <v>1</v>
      </c>
      <c r="H1595" s="1" t="s">
        <v>16</v>
      </c>
      <c r="I1595" s="1" t="s">
        <v>16</v>
      </c>
      <c r="J1595" s="1" t="s">
        <v>16</v>
      </c>
      <c r="K1595" s="1" t="str">
        <f>IFERROR(INDEX(Database_repro!$A:$F, MATCH($N1595, Database_repro!$A:$A, 0), 5), "Not Found")</f>
        <v>No</v>
      </c>
      <c r="L1595" s="4" t="s">
        <v>17</v>
      </c>
      <c r="M1595" s="1" t="str">
        <f>IFERROR(IF(INDEX(Database_repro!$A:$F, MATCH($N1595, Database_repro!$A:$A, 0), 6)="N","No",IF(INDEX(Database_repro!$A:$F, MATCH($N1595, Database_repro!$A:$A, 0), 6)="Y","Yes","Z")), "Not Found")</f>
        <v>No</v>
      </c>
      <c r="N1595" t="s">
        <v>192</v>
      </c>
    </row>
    <row r="1596" spans="1:14" x14ac:dyDescent="0.25">
      <c r="A1596" s="9">
        <v>45601</v>
      </c>
      <c r="B1596" s="1" t="str">
        <f>IFERROR(VLOOKUP(MID(INDEX(Database_dermo!$A:$I, MATCH($N1596, Database_dermo!$A:$A, 0), 2),20,3),Notes!A$1:C$9,3,TRUE), "Not Found")</f>
        <v>LX-N</v>
      </c>
      <c r="C1596" s="1" t="str">
        <f>IFERROR(RIGHT(INDEX(Database_dermo!$A:$I, MATCH($N1596, Database_dermo!$A:$A, 0), 1),2), "Not Found")</f>
        <v>02</v>
      </c>
      <c r="D1596" s="1">
        <f>IFERROR(VLOOKUP(MID(INDEX(Database_dermo!$A:$I, MATCH($N1596, Database_dermo!$A:$A, 0), 2),20,3),Notes!A$1:C$9,2,TRUE), "Not Found")</f>
        <v>1</v>
      </c>
      <c r="E1596" s="1">
        <f>IFERROR(INDEX(Database_dermo!$A:$I, MATCH($N1596, Database_dermo!$A:$A, 0), 3), "Not Found")</f>
        <v>44.99</v>
      </c>
      <c r="F1596" s="1" t="str">
        <f>IFERROR(INDEX(Database_repro!$A:$F, MATCH($N1596, Database_repro!$A:$A, 0), 3), "Not Found")</f>
        <v>F</v>
      </c>
      <c r="G1596" s="1">
        <f>IFERROR(INDEX(Database_repro!$A:$F, MATCH($N1596, Database_repro!$A:$A, 0), 4), "Not Found")</f>
        <v>3</v>
      </c>
      <c r="H1596" s="1" t="s">
        <v>16</v>
      </c>
      <c r="I1596" s="1" t="s">
        <v>16</v>
      </c>
      <c r="J1596" s="1" t="s">
        <v>16</v>
      </c>
      <c r="K1596" s="1" t="str">
        <f>IFERROR(INDEX(Database_repro!$A:$F, MATCH($N1596, Database_repro!$A:$A, 0), 5), "Not Found")</f>
        <v>No</v>
      </c>
      <c r="L1596" s="4" t="s">
        <v>17</v>
      </c>
      <c r="M1596" s="1" t="str">
        <f>IFERROR(IF(INDEX(Database_repro!$A:$F, MATCH($N1596, Database_repro!$A:$A, 0), 6)="N","No",IF(INDEX(Database_repro!$A:$F, MATCH($N1596, Database_repro!$A:$A, 0), 6)="Y","Yes","Z")), "Not Found")</f>
        <v>No</v>
      </c>
      <c r="N1596" t="s">
        <v>194</v>
      </c>
    </row>
    <row r="1597" spans="1:14" x14ac:dyDescent="0.25">
      <c r="A1597" s="9">
        <v>45601</v>
      </c>
      <c r="B1597" s="1" t="str">
        <f>IFERROR(VLOOKUP(MID(INDEX(Database_dermo!$A:$I, MATCH($N1597, Database_dermo!$A:$A, 0), 2),20,3),Notes!A$1:C$9,3,TRUE), "Not Found")</f>
        <v>LX-N</v>
      </c>
      <c r="C1597" s="1" t="str">
        <f>IFERROR(RIGHT(INDEX(Database_dermo!$A:$I, MATCH($N1597, Database_dermo!$A:$A, 0), 1),2), "Not Found")</f>
        <v>03</v>
      </c>
      <c r="D1597" s="1">
        <f>IFERROR(VLOOKUP(MID(INDEX(Database_dermo!$A:$I, MATCH($N1597, Database_dermo!$A:$A, 0), 2),20,3),Notes!A$1:C$9,2,TRUE), "Not Found")</f>
        <v>1</v>
      </c>
      <c r="E1597" s="1">
        <f>IFERROR(INDEX(Database_dermo!$A:$I, MATCH($N1597, Database_dermo!$A:$A, 0), 3), "Not Found")</f>
        <v>59.03</v>
      </c>
      <c r="F1597" s="1" t="str">
        <f>IFERROR(INDEX(Database_repro!$A:$F, MATCH($N1597, Database_repro!$A:$A, 0), 3), "Not Found")</f>
        <v>F</v>
      </c>
      <c r="G1597" s="1">
        <f>IFERROR(INDEX(Database_repro!$A:$F, MATCH($N1597, Database_repro!$A:$A, 0), 4), "Not Found")</f>
        <v>2</v>
      </c>
      <c r="H1597" s="1" t="s">
        <v>16</v>
      </c>
      <c r="I1597" s="1" t="s">
        <v>16</v>
      </c>
      <c r="J1597" s="1" t="s">
        <v>16</v>
      </c>
      <c r="K1597" s="1" t="str">
        <f>IFERROR(INDEX(Database_repro!$A:$F, MATCH($N1597, Database_repro!$A:$A, 0), 5), "Not Found")</f>
        <v>No</v>
      </c>
      <c r="L1597" s="4" t="s">
        <v>17</v>
      </c>
      <c r="M1597" s="1" t="str">
        <f>IFERROR(IF(INDEX(Database_repro!$A:$F, MATCH($N1597, Database_repro!$A:$A, 0), 6)="N","No",IF(INDEX(Database_repro!$A:$F, MATCH($N1597, Database_repro!$A:$A, 0), 6)="Y","Yes","Z")), "Not Found")</f>
        <v>No</v>
      </c>
      <c r="N1597" t="s">
        <v>195</v>
      </c>
    </row>
    <row r="1598" spans="1:14" x14ac:dyDescent="0.25">
      <c r="A1598" s="9">
        <v>45601</v>
      </c>
      <c r="B1598" s="1" t="str">
        <f>IFERROR(VLOOKUP(MID(INDEX(Database_dermo!$A:$I, MATCH($N1598, Database_dermo!$A:$A, 0), 2),20,3),Notes!A$1:C$9,3,TRUE), "Not Found")</f>
        <v>LX-N</v>
      </c>
      <c r="C1598" s="1" t="str">
        <f>IFERROR(RIGHT(INDEX(Database_dermo!$A:$I, MATCH($N1598, Database_dermo!$A:$A, 0), 1),2), "Not Found")</f>
        <v>04</v>
      </c>
      <c r="D1598" s="1">
        <f>IFERROR(VLOOKUP(MID(INDEX(Database_dermo!$A:$I, MATCH($N1598, Database_dermo!$A:$A, 0), 2),20,3),Notes!A$1:C$9,2,TRUE), "Not Found")</f>
        <v>1</v>
      </c>
      <c r="E1598" s="1">
        <f>IFERROR(INDEX(Database_dermo!$A:$I, MATCH($N1598, Database_dermo!$A:$A, 0), 3), "Not Found")</f>
        <v>50.96</v>
      </c>
      <c r="F1598" s="1" t="str">
        <f>IFERROR(INDEX(Database_repro!$A:$F, MATCH($N1598, Database_repro!$A:$A, 0), 3), "Not Found")</f>
        <v>F</v>
      </c>
      <c r="G1598" s="1">
        <f>IFERROR(INDEX(Database_repro!$A:$F, MATCH($N1598, Database_repro!$A:$A, 0), 4), "Not Found")</f>
        <v>2</v>
      </c>
      <c r="H1598" s="1" t="s">
        <v>16</v>
      </c>
      <c r="I1598" s="1" t="s">
        <v>16</v>
      </c>
      <c r="J1598" s="1" t="s">
        <v>16</v>
      </c>
      <c r="K1598" s="1" t="str">
        <f>IFERROR(INDEX(Database_repro!$A:$F, MATCH($N1598, Database_repro!$A:$A, 0), 5), "Not Found")</f>
        <v>No</v>
      </c>
      <c r="L1598" s="4" t="s">
        <v>17</v>
      </c>
      <c r="M1598" s="1" t="str">
        <f>IFERROR(IF(INDEX(Database_repro!$A:$F, MATCH($N1598, Database_repro!$A:$A, 0), 6)="N","No",IF(INDEX(Database_repro!$A:$F, MATCH($N1598, Database_repro!$A:$A, 0), 6)="Y","Yes","Z")), "Not Found")</f>
        <v>No</v>
      </c>
      <c r="N1598" t="s">
        <v>196</v>
      </c>
    </row>
    <row r="1599" spans="1:14" x14ac:dyDescent="0.25">
      <c r="A1599" s="9">
        <v>45601</v>
      </c>
      <c r="B1599" s="1" t="str">
        <f>IFERROR(VLOOKUP(MID(INDEX(Database_dermo!$A:$I, MATCH($N1599, Database_dermo!$A:$A, 0), 2),20,3),Notes!A$1:C$9,3,TRUE), "Not Found")</f>
        <v>LX-N</v>
      </c>
      <c r="C1599" s="1" t="str">
        <f>IFERROR(RIGHT(INDEX(Database_dermo!$A:$I, MATCH($N1599, Database_dermo!$A:$A, 0), 1),2), "Not Found")</f>
        <v>05</v>
      </c>
      <c r="D1599" s="1">
        <f>IFERROR(VLOOKUP(MID(INDEX(Database_dermo!$A:$I, MATCH($N1599, Database_dermo!$A:$A, 0), 2),20,3),Notes!A$1:C$9,2,TRUE), "Not Found")</f>
        <v>1</v>
      </c>
      <c r="E1599" s="1">
        <f>IFERROR(INDEX(Database_dermo!$A:$I, MATCH($N1599, Database_dermo!$A:$A, 0), 3), "Not Found")</f>
        <v>37.11</v>
      </c>
      <c r="F1599" s="1" t="str">
        <f>IFERROR(INDEX(Database_repro!$A:$F, MATCH($N1599, Database_repro!$A:$A, 0), 3), "Not Found")</f>
        <v>M</v>
      </c>
      <c r="G1599" s="1">
        <f>IFERROR(INDEX(Database_repro!$A:$F, MATCH($N1599, Database_repro!$A:$A, 0), 4), "Not Found")</f>
        <v>2</v>
      </c>
      <c r="H1599" s="1" t="s">
        <v>16</v>
      </c>
      <c r="I1599" s="1" t="s">
        <v>16</v>
      </c>
      <c r="J1599" s="1" t="s">
        <v>16</v>
      </c>
      <c r="K1599" s="1" t="str">
        <f>IFERROR(INDEX(Database_repro!$A:$F, MATCH($N1599, Database_repro!$A:$A, 0), 5), "Not Found")</f>
        <v>No</v>
      </c>
      <c r="L1599" s="4" t="s">
        <v>17</v>
      </c>
      <c r="M1599" s="1" t="str">
        <f>IFERROR(IF(INDEX(Database_repro!$A:$F, MATCH($N1599, Database_repro!$A:$A, 0), 6)="N","No",IF(INDEX(Database_repro!$A:$F, MATCH($N1599, Database_repro!$A:$A, 0), 6)="Y","Yes","Z")), "Not Found")</f>
        <v>No</v>
      </c>
      <c r="N1599" t="s">
        <v>197</v>
      </c>
    </row>
    <row r="1600" spans="1:14" x14ac:dyDescent="0.25">
      <c r="A1600" s="9">
        <v>45601</v>
      </c>
      <c r="B1600" s="1" t="str">
        <f>IFERROR(VLOOKUP(MID(INDEX(Database_dermo!$A:$I, MATCH($N1600, Database_dermo!$A:$A, 0), 2),20,3),Notes!A$1:C$9,3,TRUE), "Not Found")</f>
        <v>LX-N</v>
      </c>
      <c r="C1600" s="1" t="str">
        <f>IFERROR(RIGHT(INDEX(Database_dermo!$A:$I, MATCH($N1600, Database_dermo!$A:$A, 0), 1),2), "Not Found")</f>
        <v>06</v>
      </c>
      <c r="D1600" s="1">
        <f>IFERROR(VLOOKUP(MID(INDEX(Database_dermo!$A:$I, MATCH($N1600, Database_dermo!$A:$A, 0), 2),20,3),Notes!A$1:C$9,2,TRUE), "Not Found")</f>
        <v>2</v>
      </c>
      <c r="E1600" s="1">
        <f>IFERROR(INDEX(Database_dermo!$A:$I, MATCH($N1600, Database_dermo!$A:$A, 0), 3), "Not Found")</f>
        <v>58.94</v>
      </c>
      <c r="F1600" s="1" t="str">
        <f>IFERROR(INDEX(Database_repro!$A:$F, MATCH($N1600, Database_repro!$A:$A, 0), 3), "Not Found")</f>
        <v>F</v>
      </c>
      <c r="G1600" s="1" t="str">
        <f>IFERROR(INDEX(Database_repro!$A:$F, MATCH($N1600, Database_repro!$A:$A, 0), 4), "Not Found")</f>
        <v>Z</v>
      </c>
      <c r="H1600" s="1" t="s">
        <v>16</v>
      </c>
      <c r="I1600" s="1" t="s">
        <v>16</v>
      </c>
      <c r="J1600" s="1" t="s">
        <v>16</v>
      </c>
      <c r="K1600" s="1" t="str">
        <f>IFERROR(INDEX(Database_repro!$A:$F, MATCH($N1600, Database_repro!$A:$A, 0), 5), "Not Found")</f>
        <v>No</v>
      </c>
      <c r="L1600" s="4" t="s">
        <v>17</v>
      </c>
      <c r="M1600" s="1" t="str">
        <f>IFERROR(IF(INDEX(Database_repro!$A:$F, MATCH($N1600, Database_repro!$A:$A, 0), 6)="N","No",IF(INDEX(Database_repro!$A:$F, MATCH($N1600, Database_repro!$A:$A, 0), 6)="Y","Yes","Z")), "Not Found")</f>
        <v>Yes</v>
      </c>
      <c r="N1600" t="s">
        <v>198</v>
      </c>
    </row>
    <row r="1601" spans="1:14" x14ac:dyDescent="0.25">
      <c r="A1601" s="9">
        <v>45601</v>
      </c>
      <c r="B1601" s="1" t="str">
        <f>IFERROR(VLOOKUP(MID(INDEX(Database_dermo!$A:$I, MATCH($N1601, Database_dermo!$A:$A, 0), 2),20,3),Notes!A$1:C$9,3,TRUE), "Not Found")</f>
        <v>LX-N</v>
      </c>
      <c r="C1601" s="1" t="str">
        <f>IFERROR(RIGHT(INDEX(Database_dermo!$A:$I, MATCH($N1601, Database_dermo!$A:$A, 0), 1),2), "Not Found")</f>
        <v>07</v>
      </c>
      <c r="D1601" s="1">
        <f>IFERROR(VLOOKUP(MID(INDEX(Database_dermo!$A:$I, MATCH($N1601, Database_dermo!$A:$A, 0), 2),20,3),Notes!A$1:C$9,2,TRUE), "Not Found")</f>
        <v>2</v>
      </c>
      <c r="E1601" s="1">
        <f>IFERROR(INDEX(Database_dermo!$A:$I, MATCH($N1601, Database_dermo!$A:$A, 0), 3), "Not Found")</f>
        <v>53.04</v>
      </c>
      <c r="F1601" s="1" t="str">
        <f>IFERROR(INDEX(Database_repro!$A:$F, MATCH($N1601, Database_repro!$A:$A, 0), 3), "Not Found")</f>
        <v>F</v>
      </c>
      <c r="G1601" s="1">
        <f>IFERROR(INDEX(Database_repro!$A:$F, MATCH($N1601, Database_repro!$A:$A, 0), 4), "Not Found")</f>
        <v>3</v>
      </c>
      <c r="H1601" s="1" t="s">
        <v>16</v>
      </c>
      <c r="I1601" s="1" t="s">
        <v>16</v>
      </c>
      <c r="J1601" s="1" t="s">
        <v>16</v>
      </c>
      <c r="K1601" s="1" t="str">
        <f>IFERROR(INDEX(Database_repro!$A:$F, MATCH($N1601, Database_repro!$A:$A, 0), 5), "Not Found")</f>
        <v>No</v>
      </c>
      <c r="L1601" s="4" t="s">
        <v>17</v>
      </c>
      <c r="M1601" s="1" t="str">
        <f>IFERROR(IF(INDEX(Database_repro!$A:$F, MATCH($N1601, Database_repro!$A:$A, 0), 6)="N","No",IF(INDEX(Database_repro!$A:$F, MATCH($N1601, Database_repro!$A:$A, 0), 6)="Y","Yes","Z")), "Not Found")</f>
        <v>No</v>
      </c>
      <c r="N1601" t="s">
        <v>200</v>
      </c>
    </row>
    <row r="1602" spans="1:14" x14ac:dyDescent="0.25">
      <c r="A1602" s="9">
        <v>45601</v>
      </c>
      <c r="B1602" s="1" t="str">
        <f>IFERROR(VLOOKUP(MID(INDEX(Database_dermo!$A:$I, MATCH($N1602, Database_dermo!$A:$A, 0), 2),20,3),Notes!A$1:C$9,3,TRUE), "Not Found")</f>
        <v>LX-N</v>
      </c>
      <c r="C1602" s="1" t="str">
        <f>IFERROR(RIGHT(INDEX(Database_dermo!$A:$I, MATCH($N1602, Database_dermo!$A:$A, 0), 1),2), "Not Found")</f>
        <v>08</v>
      </c>
      <c r="D1602" s="1">
        <f>IFERROR(VLOOKUP(MID(INDEX(Database_dermo!$A:$I, MATCH($N1602, Database_dermo!$A:$A, 0), 2),20,3),Notes!A$1:C$9,2,TRUE), "Not Found")</f>
        <v>2</v>
      </c>
      <c r="E1602" s="1">
        <f>IFERROR(INDEX(Database_dermo!$A:$I, MATCH($N1602, Database_dermo!$A:$A, 0), 3), "Not Found")</f>
        <v>39.99</v>
      </c>
      <c r="F1602" s="1" t="str">
        <f>IFERROR(INDEX(Database_repro!$A:$F, MATCH($N1602, Database_repro!$A:$A, 0), 3), "Not Found")</f>
        <v>F</v>
      </c>
      <c r="G1602" s="1">
        <f>IFERROR(INDEX(Database_repro!$A:$F, MATCH($N1602, Database_repro!$A:$A, 0), 4), "Not Found")</f>
        <v>3</v>
      </c>
      <c r="H1602" s="1" t="s">
        <v>16</v>
      </c>
      <c r="I1602" s="1" t="s">
        <v>16</v>
      </c>
      <c r="J1602" s="1" t="s">
        <v>16</v>
      </c>
      <c r="K1602" s="1" t="str">
        <f>IFERROR(INDEX(Database_repro!$A:$F, MATCH($N1602, Database_repro!$A:$A, 0), 5), "Not Found")</f>
        <v>No</v>
      </c>
      <c r="L1602" s="4" t="s">
        <v>17</v>
      </c>
      <c r="M1602" s="1" t="str">
        <f>IFERROR(IF(INDEX(Database_repro!$A:$F, MATCH($N1602, Database_repro!$A:$A, 0), 6)="N","No",IF(INDEX(Database_repro!$A:$F, MATCH($N1602, Database_repro!$A:$A, 0), 6)="Y","Yes","Z")), "Not Found")</f>
        <v>No</v>
      </c>
      <c r="N1602" t="s">
        <v>201</v>
      </c>
    </row>
    <row r="1603" spans="1:14" x14ac:dyDescent="0.25">
      <c r="A1603" s="9">
        <v>45601</v>
      </c>
      <c r="B1603" s="1" t="str">
        <f>IFERROR(VLOOKUP(MID(INDEX(Database_dermo!$A:$I, MATCH($N1603, Database_dermo!$A:$A, 0), 2),20,3),Notes!A$1:C$9,3,TRUE), "Not Found")</f>
        <v>LX-N</v>
      </c>
      <c r="C1603" s="1" t="str">
        <f>IFERROR(RIGHT(INDEX(Database_dermo!$A:$I, MATCH($N1603, Database_dermo!$A:$A, 0), 1),2), "Not Found")</f>
        <v>09</v>
      </c>
      <c r="D1603" s="1">
        <f>IFERROR(VLOOKUP(MID(INDEX(Database_dermo!$A:$I, MATCH($N1603, Database_dermo!$A:$A, 0), 2),20,3),Notes!A$1:C$9,2,TRUE), "Not Found")</f>
        <v>2</v>
      </c>
      <c r="E1603" s="1">
        <f>IFERROR(INDEX(Database_dermo!$A:$I, MATCH($N1603, Database_dermo!$A:$A, 0), 3), "Not Found")</f>
        <v>56.32</v>
      </c>
      <c r="F1603" s="1" t="str">
        <f>IFERROR(INDEX(Database_repro!$A:$F, MATCH($N1603, Database_repro!$A:$A, 0), 3), "Not Found")</f>
        <v>F</v>
      </c>
      <c r="G1603" s="1">
        <f>IFERROR(INDEX(Database_repro!$A:$F, MATCH($N1603, Database_repro!$A:$A, 0), 4), "Not Found")</f>
        <v>3</v>
      </c>
      <c r="H1603" s="1" t="s">
        <v>16</v>
      </c>
      <c r="I1603" s="1" t="s">
        <v>16</v>
      </c>
      <c r="J1603" s="1" t="s">
        <v>16</v>
      </c>
      <c r="K1603" s="1" t="str">
        <f>IFERROR(INDEX(Database_repro!$A:$F, MATCH($N1603, Database_repro!$A:$A, 0), 5), "Not Found")</f>
        <v>No</v>
      </c>
      <c r="L1603" s="4" t="s">
        <v>17</v>
      </c>
      <c r="M1603" s="1" t="str">
        <f>IFERROR(IF(INDEX(Database_repro!$A:$F, MATCH($N1603, Database_repro!$A:$A, 0), 6)="N","No",IF(INDEX(Database_repro!$A:$F, MATCH($N1603, Database_repro!$A:$A, 0), 6)="Y","Yes","Z")), "Not Found")</f>
        <v>No</v>
      </c>
      <c r="N1603" t="s">
        <v>202</v>
      </c>
    </row>
    <row r="1604" spans="1:14" x14ac:dyDescent="0.25">
      <c r="A1604" s="9">
        <v>45601</v>
      </c>
      <c r="B1604" s="1" t="str">
        <f>IFERROR(VLOOKUP(MID(INDEX(Database_dermo!$A:$I, MATCH($N1604, Database_dermo!$A:$A, 0), 2),20,3),Notes!A$1:C$9,3,TRUE), "Not Found")</f>
        <v>LX-N</v>
      </c>
      <c r="C1604" s="1" t="str">
        <f>IFERROR(RIGHT(INDEX(Database_dermo!$A:$I, MATCH($N1604, Database_dermo!$A:$A, 0), 1),2), "Not Found")</f>
        <v>10</v>
      </c>
      <c r="D1604" s="1">
        <f>IFERROR(VLOOKUP(MID(INDEX(Database_dermo!$A:$I, MATCH($N1604, Database_dermo!$A:$A, 0), 2),20,3),Notes!A$1:C$9,2,TRUE), "Not Found")</f>
        <v>2</v>
      </c>
      <c r="E1604" s="1">
        <f>IFERROR(INDEX(Database_dermo!$A:$I, MATCH($N1604, Database_dermo!$A:$A, 0), 3), "Not Found")</f>
        <v>48.99</v>
      </c>
      <c r="F1604" s="1" t="str">
        <f>IFERROR(INDEX(Database_repro!$A:$F, MATCH($N1604, Database_repro!$A:$A, 0), 3), "Not Found")</f>
        <v>F</v>
      </c>
      <c r="G1604" s="1">
        <f>IFERROR(INDEX(Database_repro!$A:$F, MATCH($N1604, Database_repro!$A:$A, 0), 4), "Not Found")</f>
        <v>3</v>
      </c>
      <c r="H1604" s="1" t="s">
        <v>16</v>
      </c>
      <c r="I1604" s="1" t="s">
        <v>16</v>
      </c>
      <c r="J1604" s="1" t="s">
        <v>16</v>
      </c>
      <c r="K1604" s="1" t="str">
        <f>IFERROR(INDEX(Database_repro!$A:$F, MATCH($N1604, Database_repro!$A:$A, 0), 5), "Not Found")</f>
        <v>No</v>
      </c>
      <c r="L1604" s="4" t="s">
        <v>17</v>
      </c>
      <c r="M1604" s="1" t="str">
        <f>IFERROR(IF(INDEX(Database_repro!$A:$F, MATCH($N1604, Database_repro!$A:$A, 0), 6)="N","No",IF(INDEX(Database_repro!$A:$F, MATCH($N1604, Database_repro!$A:$A, 0), 6)="Y","Yes","Z")), "Not Found")</f>
        <v>No</v>
      </c>
      <c r="N1604" t="s">
        <v>203</v>
      </c>
    </row>
    <row r="1605" spans="1:14" x14ac:dyDescent="0.25">
      <c r="A1605" s="9">
        <v>45601</v>
      </c>
      <c r="B1605" s="1" t="str">
        <f>IFERROR(VLOOKUP(MID(INDEX(Database_dermo!$A:$I, MATCH($N1605, Database_dermo!$A:$A, 0), 2),20,3),Notes!A$1:C$9,3,TRUE), "Not Found")</f>
        <v>LX-N</v>
      </c>
      <c r="C1605" s="1" t="str">
        <f>IFERROR(RIGHT(INDEX(Database_dermo!$A:$I, MATCH($N1605, Database_dermo!$A:$A, 0), 1),2), "Not Found")</f>
        <v>11</v>
      </c>
      <c r="D1605" s="1">
        <f>IFERROR(VLOOKUP(MID(INDEX(Database_dermo!$A:$I, MATCH($N1605, Database_dermo!$A:$A, 0), 2),20,3),Notes!A$1:C$9,2,TRUE), "Not Found")</f>
        <v>3</v>
      </c>
      <c r="E1605" s="1">
        <f>IFERROR(INDEX(Database_dermo!$A:$I, MATCH($N1605, Database_dermo!$A:$A, 0), 3), "Not Found")</f>
        <v>34.32</v>
      </c>
      <c r="F1605" s="1" t="str">
        <f>IFERROR(INDEX(Database_repro!$A:$F, MATCH($N1605, Database_repro!$A:$A, 0), 3), "Not Found")</f>
        <v>F</v>
      </c>
      <c r="G1605" s="1">
        <f>IFERROR(INDEX(Database_repro!$A:$F, MATCH($N1605, Database_repro!$A:$A, 0), 4), "Not Found")</f>
        <v>2</v>
      </c>
      <c r="H1605" s="1" t="s">
        <v>16</v>
      </c>
      <c r="I1605" s="1" t="s">
        <v>16</v>
      </c>
      <c r="J1605" s="1" t="s">
        <v>16</v>
      </c>
      <c r="K1605" s="1" t="str">
        <f>IFERROR(INDEX(Database_repro!$A:$F, MATCH($N1605, Database_repro!$A:$A, 0), 5), "Not Found")</f>
        <v>No</v>
      </c>
      <c r="L1605" s="4" t="s">
        <v>17</v>
      </c>
      <c r="M1605" s="1" t="str">
        <f>IFERROR(IF(INDEX(Database_repro!$A:$F, MATCH($N1605, Database_repro!$A:$A, 0), 6)="N","No",IF(INDEX(Database_repro!$A:$F, MATCH($N1605, Database_repro!$A:$A, 0), 6)="Y","Yes","Z")), "Not Found")</f>
        <v>No</v>
      </c>
      <c r="N1605" t="s">
        <v>204</v>
      </c>
    </row>
    <row r="1606" spans="1:14" x14ac:dyDescent="0.25">
      <c r="A1606" s="9">
        <v>45601</v>
      </c>
      <c r="B1606" s="1" t="str">
        <f>IFERROR(VLOOKUP(MID(INDEX(Database_dermo!$A:$I, MATCH($N1606, Database_dermo!$A:$A, 0), 2),20,3),Notes!A$1:C$9,3,TRUE), "Not Found")</f>
        <v>LX-N</v>
      </c>
      <c r="C1606" s="1" t="str">
        <f>IFERROR(RIGHT(INDEX(Database_dermo!$A:$I, MATCH($N1606, Database_dermo!$A:$A, 0), 1),2), "Not Found")</f>
        <v>12</v>
      </c>
      <c r="D1606" s="1">
        <f>IFERROR(VLOOKUP(MID(INDEX(Database_dermo!$A:$I, MATCH($N1606, Database_dermo!$A:$A, 0), 2),20,3),Notes!A$1:C$9,2,TRUE), "Not Found")</f>
        <v>3</v>
      </c>
      <c r="E1606" s="1">
        <f>IFERROR(INDEX(Database_dermo!$A:$I, MATCH($N1606, Database_dermo!$A:$A, 0), 3), "Not Found")</f>
        <v>52.8</v>
      </c>
      <c r="F1606" s="1" t="str">
        <f>IFERROR(INDEX(Database_repro!$A:$F, MATCH($N1606, Database_repro!$A:$A, 0), 3), "Not Found")</f>
        <v>F</v>
      </c>
      <c r="G1606" s="1">
        <f>IFERROR(INDEX(Database_repro!$A:$F, MATCH($N1606, Database_repro!$A:$A, 0), 4), "Not Found")</f>
        <v>1</v>
      </c>
      <c r="H1606" s="1" t="s">
        <v>16</v>
      </c>
      <c r="I1606" s="1" t="s">
        <v>16</v>
      </c>
      <c r="J1606" s="1" t="s">
        <v>16</v>
      </c>
      <c r="K1606" s="1" t="str">
        <f>IFERROR(INDEX(Database_repro!$A:$F, MATCH($N1606, Database_repro!$A:$A, 0), 5), "Not Found")</f>
        <v>No</v>
      </c>
      <c r="L1606" s="4" t="s">
        <v>17</v>
      </c>
      <c r="M1606" s="1" t="str">
        <f>IFERROR(IF(INDEX(Database_repro!$A:$F, MATCH($N1606, Database_repro!$A:$A, 0), 6)="N","No",IF(INDEX(Database_repro!$A:$F, MATCH($N1606, Database_repro!$A:$A, 0), 6)="Y","Yes","Z")), "Not Found")</f>
        <v>No</v>
      </c>
      <c r="N1606" t="s">
        <v>206</v>
      </c>
    </row>
    <row r="1607" spans="1:14" x14ac:dyDescent="0.25">
      <c r="A1607" s="9">
        <v>45601</v>
      </c>
      <c r="B1607" s="1" t="str">
        <f>IFERROR(VLOOKUP(MID(INDEX(Database_dermo!$A:$I, MATCH($N1607, Database_dermo!$A:$A, 0), 2),20,3),Notes!A$1:C$9,3,TRUE), "Not Found")</f>
        <v>LX-N</v>
      </c>
      <c r="C1607" s="1" t="str">
        <f>IFERROR(RIGHT(INDEX(Database_dermo!$A:$I, MATCH($N1607, Database_dermo!$A:$A, 0), 1),2), "Not Found")</f>
        <v>13</v>
      </c>
      <c r="D1607" s="1">
        <f>IFERROR(VLOOKUP(MID(INDEX(Database_dermo!$A:$I, MATCH($N1607, Database_dermo!$A:$A, 0), 2),20,3),Notes!A$1:C$9,2,TRUE), "Not Found")</f>
        <v>3</v>
      </c>
      <c r="E1607" s="1">
        <f>IFERROR(INDEX(Database_dermo!$A:$I, MATCH($N1607, Database_dermo!$A:$A, 0), 3), "Not Found")</f>
        <v>42.19</v>
      </c>
      <c r="F1607" s="1" t="str">
        <f>IFERROR(INDEX(Database_repro!$A:$F, MATCH($N1607, Database_repro!$A:$A, 0), 3), "Not Found")</f>
        <v>F</v>
      </c>
      <c r="G1607" s="1">
        <f>IFERROR(INDEX(Database_repro!$A:$F, MATCH($N1607, Database_repro!$A:$A, 0), 4), "Not Found")</f>
        <v>3</v>
      </c>
      <c r="H1607" s="1" t="s">
        <v>16</v>
      </c>
      <c r="I1607" s="1" t="s">
        <v>16</v>
      </c>
      <c r="J1607" s="1" t="s">
        <v>16</v>
      </c>
      <c r="K1607" s="1" t="str">
        <f>IFERROR(INDEX(Database_repro!$A:$F, MATCH($N1607, Database_repro!$A:$A, 0), 5), "Not Found")</f>
        <v>No</v>
      </c>
      <c r="L1607" s="4" t="s">
        <v>17</v>
      </c>
      <c r="M1607" s="1" t="str">
        <f>IFERROR(IF(INDEX(Database_repro!$A:$F, MATCH($N1607, Database_repro!$A:$A, 0), 6)="N","No",IF(INDEX(Database_repro!$A:$F, MATCH($N1607, Database_repro!$A:$A, 0), 6)="Y","Yes","Z")), "Not Found")</f>
        <v>No</v>
      </c>
      <c r="N1607" t="s">
        <v>207</v>
      </c>
    </row>
    <row r="1608" spans="1:14" x14ac:dyDescent="0.25">
      <c r="A1608" s="9">
        <v>45601</v>
      </c>
      <c r="B1608" s="1" t="str">
        <f>IFERROR(VLOOKUP(MID(INDEX(Database_dermo!$A:$I, MATCH($N1608, Database_dermo!$A:$A, 0), 2),20,3),Notes!A$1:C$9,3,TRUE), "Not Found")</f>
        <v>LX-N</v>
      </c>
      <c r="C1608" s="1" t="str">
        <f>IFERROR(RIGHT(INDEX(Database_dermo!$A:$I, MATCH($N1608, Database_dermo!$A:$A, 0), 1),2), "Not Found")</f>
        <v>14</v>
      </c>
      <c r="D1608" s="1">
        <f>IFERROR(VLOOKUP(MID(INDEX(Database_dermo!$A:$I, MATCH($N1608, Database_dermo!$A:$A, 0), 2),20,3),Notes!A$1:C$9,2,TRUE), "Not Found")</f>
        <v>3</v>
      </c>
      <c r="E1608" s="1">
        <f>IFERROR(INDEX(Database_dermo!$A:$I, MATCH($N1608, Database_dermo!$A:$A, 0), 3), "Not Found")</f>
        <v>47.59</v>
      </c>
      <c r="F1608" s="1" t="str">
        <f>IFERROR(INDEX(Database_repro!$A:$F, MATCH($N1608, Database_repro!$A:$A, 0), 3), "Not Found")</f>
        <v>F</v>
      </c>
      <c r="G1608" s="1">
        <f>IFERROR(INDEX(Database_repro!$A:$F, MATCH($N1608, Database_repro!$A:$A, 0), 4), "Not Found")</f>
        <v>3</v>
      </c>
      <c r="H1608" s="1" t="s">
        <v>16</v>
      </c>
      <c r="I1608" s="1" t="s">
        <v>16</v>
      </c>
      <c r="J1608" s="1" t="s">
        <v>16</v>
      </c>
      <c r="K1608" s="1" t="str">
        <f>IFERROR(INDEX(Database_repro!$A:$F, MATCH($N1608, Database_repro!$A:$A, 0), 5), "Not Found")</f>
        <v>No</v>
      </c>
      <c r="L1608" s="4" t="s">
        <v>17</v>
      </c>
      <c r="M1608" s="1" t="str">
        <f>IFERROR(IF(INDEX(Database_repro!$A:$F, MATCH($N1608, Database_repro!$A:$A, 0), 6)="N","No",IF(INDEX(Database_repro!$A:$F, MATCH($N1608, Database_repro!$A:$A, 0), 6)="Y","Yes","Z")), "Not Found")</f>
        <v>No</v>
      </c>
      <c r="N1608" t="s">
        <v>208</v>
      </c>
    </row>
    <row r="1609" spans="1:14" x14ac:dyDescent="0.25">
      <c r="A1609" s="9">
        <v>45601</v>
      </c>
      <c r="B1609" s="1" t="str">
        <f>IFERROR(VLOOKUP(MID(INDEX(Database_dermo!$A:$I, MATCH($N1609, Database_dermo!$A:$A, 0), 2),20,3),Notes!A$1:C$9,3,TRUE), "Not Found")</f>
        <v>LX-N</v>
      </c>
      <c r="C1609" s="1" t="str">
        <f>IFERROR(RIGHT(INDEX(Database_dermo!$A:$I, MATCH($N1609, Database_dermo!$A:$A, 0), 1),2), "Not Found")</f>
        <v>15</v>
      </c>
      <c r="D1609" s="1">
        <f>IFERROR(VLOOKUP(MID(INDEX(Database_dermo!$A:$I, MATCH($N1609, Database_dermo!$A:$A, 0), 2),20,3),Notes!A$1:C$9,2,TRUE), "Not Found")</f>
        <v>3</v>
      </c>
      <c r="E1609" s="1">
        <f>IFERROR(INDEX(Database_dermo!$A:$I, MATCH($N1609, Database_dermo!$A:$A, 0), 3), "Not Found")</f>
        <v>42.53</v>
      </c>
      <c r="F1609" s="1" t="str">
        <f>IFERROR(INDEX(Database_repro!$A:$F, MATCH($N1609, Database_repro!$A:$A, 0), 3), "Not Found")</f>
        <v>F</v>
      </c>
      <c r="G1609" s="1">
        <f>IFERROR(INDEX(Database_repro!$A:$F, MATCH($N1609, Database_repro!$A:$A, 0), 4), "Not Found")</f>
        <v>2</v>
      </c>
      <c r="H1609" s="1" t="s">
        <v>16</v>
      </c>
      <c r="I1609" s="1" t="s">
        <v>16</v>
      </c>
      <c r="J1609" s="1" t="s">
        <v>16</v>
      </c>
      <c r="K1609" s="1" t="str">
        <f>IFERROR(INDEX(Database_repro!$A:$F, MATCH($N1609, Database_repro!$A:$A, 0), 5), "Not Found")</f>
        <v>No</v>
      </c>
      <c r="L1609" s="4" t="s">
        <v>17</v>
      </c>
      <c r="M1609" s="1" t="str">
        <f>IFERROR(IF(INDEX(Database_repro!$A:$F, MATCH($N1609, Database_repro!$A:$A, 0), 6)="N","No",IF(INDEX(Database_repro!$A:$F, MATCH($N1609, Database_repro!$A:$A, 0), 6)="Y","Yes","Z")), "Not Found")</f>
        <v>No</v>
      </c>
      <c r="N1609" t="s">
        <v>209</v>
      </c>
    </row>
    <row r="1610" spans="1:14" x14ac:dyDescent="0.25">
      <c r="A1610" s="9">
        <v>45630</v>
      </c>
      <c r="B1610" s="1" t="str">
        <f>IFERROR(VLOOKUP(MID(INDEX(Database_dermo!$A:$I, MATCH($N1610, Database_dermo!$A:$A, 0), 2),20,3),Notes!A$1:C$9,3,TRUE), "Not Found")</f>
        <v>LX-N</v>
      </c>
      <c r="C1610" s="1" t="str">
        <f>IFERROR(RIGHT(INDEX(Database_dermo!$A:$I, MATCH($N1610, Database_dermo!$A:$A, 0), 1),2), "Not Found")</f>
        <v>01</v>
      </c>
      <c r="D1610" s="1">
        <f>IFERROR(VLOOKUP(MID(INDEX(Database_dermo!$A:$I, MATCH($N1610, Database_dermo!$A:$A, 0), 2),20,3),Notes!A$1:C$9,2,TRUE), "Not Found")</f>
        <v>1</v>
      </c>
      <c r="E1610" s="1">
        <f>IFERROR(INDEX(Database_dermo!$A:$I, MATCH($N1610, Database_dermo!$A:$A, 0), 3), "Not Found")</f>
        <v>56.23</v>
      </c>
      <c r="F1610" s="1" t="str">
        <f>IFERROR(INDEX(Database_repro!$A:$F, MATCH($N1610, Database_repro!$A:$A, 0), 3), "Not Found")</f>
        <v>Z</v>
      </c>
      <c r="G1610" s="1">
        <f>IFERROR(INDEX(Database_repro!$A:$F, MATCH($N1610, Database_repro!$A:$A, 0), 4), "Not Found")</f>
        <v>4</v>
      </c>
      <c r="H1610" s="1" t="s">
        <v>16</v>
      </c>
      <c r="I1610" s="1" t="s">
        <v>16</v>
      </c>
      <c r="J1610" s="1" t="s">
        <v>16</v>
      </c>
      <c r="K1610" s="1" t="str">
        <f>IFERROR(INDEX(Database_repro!$A:$F, MATCH($N1610, Database_repro!$A:$A, 0), 5), "Not Found")</f>
        <v>No</v>
      </c>
      <c r="L1610" s="4" t="s">
        <v>17</v>
      </c>
      <c r="M1610" s="1" t="str">
        <f>IFERROR(IF(INDEX(Database_repro!$A:$F, MATCH($N1610, Database_repro!$A:$A, 0), 6)="N","No",IF(INDEX(Database_repro!$A:$F, MATCH($N1610, Database_repro!$A:$A, 0), 6)="Y","Yes","Z")), "Not Found")</f>
        <v>No</v>
      </c>
      <c r="N1610" t="s">
        <v>210</v>
      </c>
    </row>
    <row r="1611" spans="1:14" x14ac:dyDescent="0.25">
      <c r="A1611" s="9">
        <v>45630</v>
      </c>
      <c r="B1611" s="1" t="str">
        <f>IFERROR(VLOOKUP(MID(INDEX(Database_dermo!$A:$I, MATCH($N1611, Database_dermo!$A:$A, 0), 2),20,3),Notes!A$1:C$9,3,TRUE), "Not Found")</f>
        <v>LX-N</v>
      </c>
      <c r="C1611" s="1" t="str">
        <f>IFERROR(RIGHT(INDEX(Database_dermo!$A:$I, MATCH($N1611, Database_dermo!$A:$A, 0), 1),2), "Not Found")</f>
        <v>02</v>
      </c>
      <c r="D1611" s="1">
        <f>IFERROR(VLOOKUP(MID(INDEX(Database_dermo!$A:$I, MATCH($N1611, Database_dermo!$A:$A, 0), 2),20,3),Notes!A$1:C$9,2,TRUE), "Not Found")</f>
        <v>1</v>
      </c>
      <c r="E1611" s="1">
        <f>IFERROR(INDEX(Database_dermo!$A:$I, MATCH($N1611, Database_dermo!$A:$A, 0), 3), "Not Found")</f>
        <v>41.22</v>
      </c>
      <c r="F1611" s="1" t="str">
        <f>IFERROR(INDEX(Database_repro!$A:$F, MATCH($N1611, Database_repro!$A:$A, 0), 3), "Not Found")</f>
        <v>M</v>
      </c>
      <c r="G1611" s="1">
        <f>IFERROR(INDEX(Database_repro!$A:$F, MATCH($N1611, Database_repro!$A:$A, 0), 4), "Not Found")</f>
        <v>2</v>
      </c>
      <c r="H1611" s="1" t="s">
        <v>16</v>
      </c>
      <c r="I1611" s="1" t="s">
        <v>16</v>
      </c>
      <c r="J1611" s="1" t="s">
        <v>16</v>
      </c>
      <c r="K1611" s="1" t="str">
        <f>IFERROR(INDEX(Database_repro!$A:$F, MATCH($N1611, Database_repro!$A:$A, 0), 5), "Not Found")</f>
        <v>No</v>
      </c>
      <c r="L1611" s="4" t="s">
        <v>17</v>
      </c>
      <c r="M1611" s="1" t="str">
        <f>IFERROR(IF(INDEX(Database_repro!$A:$F, MATCH($N1611, Database_repro!$A:$A, 0), 6)="N","No",IF(INDEX(Database_repro!$A:$F, MATCH($N1611, Database_repro!$A:$A, 0), 6)="Y","Yes","Z")), "Not Found")</f>
        <v>No</v>
      </c>
      <c r="N1611" t="s">
        <v>212</v>
      </c>
    </row>
    <row r="1612" spans="1:14" x14ac:dyDescent="0.25">
      <c r="A1612" s="9">
        <v>45630</v>
      </c>
      <c r="B1612" s="1" t="str">
        <f>IFERROR(VLOOKUP(MID(INDEX(Database_dermo!$A:$I, MATCH($N1612, Database_dermo!$A:$A, 0), 2),20,3),Notes!A$1:C$9,3,TRUE), "Not Found")</f>
        <v>LX-N</v>
      </c>
      <c r="C1612" s="1" t="str">
        <f>IFERROR(RIGHT(INDEX(Database_dermo!$A:$I, MATCH($N1612, Database_dermo!$A:$A, 0), 1),2), "Not Found")</f>
        <v>03</v>
      </c>
      <c r="D1612" s="1">
        <f>IFERROR(VLOOKUP(MID(INDEX(Database_dermo!$A:$I, MATCH($N1612, Database_dermo!$A:$A, 0), 2),20,3),Notes!A$1:C$9,2,TRUE), "Not Found")</f>
        <v>1</v>
      </c>
      <c r="E1612" s="1">
        <f>IFERROR(INDEX(Database_dermo!$A:$I, MATCH($N1612, Database_dermo!$A:$A, 0), 3), "Not Found")</f>
        <v>43.01</v>
      </c>
      <c r="F1612" s="1" t="str">
        <f>IFERROR(INDEX(Database_repro!$A:$F, MATCH($N1612, Database_repro!$A:$A, 0), 3), "Not Found")</f>
        <v>Z</v>
      </c>
      <c r="G1612" s="1">
        <f>IFERROR(INDEX(Database_repro!$A:$F, MATCH($N1612, Database_repro!$A:$A, 0), 4), "Not Found")</f>
        <v>4</v>
      </c>
      <c r="H1612" s="1" t="s">
        <v>16</v>
      </c>
      <c r="I1612" s="1" t="s">
        <v>16</v>
      </c>
      <c r="J1612" s="1" t="s">
        <v>16</v>
      </c>
      <c r="K1612" s="1" t="str">
        <f>IFERROR(INDEX(Database_repro!$A:$F, MATCH($N1612, Database_repro!$A:$A, 0), 5), "Not Found")</f>
        <v>No</v>
      </c>
      <c r="L1612" s="4" t="s">
        <v>17</v>
      </c>
      <c r="M1612" s="1" t="str">
        <f>IFERROR(IF(INDEX(Database_repro!$A:$F, MATCH($N1612, Database_repro!$A:$A, 0), 6)="N","No",IF(INDEX(Database_repro!$A:$F, MATCH($N1612, Database_repro!$A:$A, 0), 6)="Y","Yes","Z")), "Not Found")</f>
        <v>No</v>
      </c>
      <c r="N1612" t="s">
        <v>213</v>
      </c>
    </row>
    <row r="1613" spans="1:14" x14ac:dyDescent="0.25">
      <c r="A1613" s="9">
        <v>45630</v>
      </c>
      <c r="B1613" s="1" t="str">
        <f>IFERROR(VLOOKUP(MID(INDEX(Database_dermo!$A:$I, MATCH($N1613, Database_dermo!$A:$A, 0), 2),20,3),Notes!A$1:C$9,3,TRUE), "Not Found")</f>
        <v>LX-N</v>
      </c>
      <c r="C1613" s="1" t="str">
        <f>IFERROR(RIGHT(INDEX(Database_dermo!$A:$I, MATCH($N1613, Database_dermo!$A:$A, 0), 1),2), "Not Found")</f>
        <v>04</v>
      </c>
      <c r="D1613" s="1">
        <f>IFERROR(VLOOKUP(MID(INDEX(Database_dermo!$A:$I, MATCH($N1613, Database_dermo!$A:$A, 0), 2),20,3),Notes!A$1:C$9,2,TRUE), "Not Found")</f>
        <v>1</v>
      </c>
      <c r="E1613" s="1">
        <f>IFERROR(INDEX(Database_dermo!$A:$I, MATCH($N1613, Database_dermo!$A:$A, 0), 3), "Not Found")</f>
        <v>46.44</v>
      </c>
      <c r="F1613" s="1" t="str">
        <f>IFERROR(INDEX(Database_repro!$A:$F, MATCH($N1613, Database_repro!$A:$A, 0), 3), "Not Found")</f>
        <v>Z</v>
      </c>
      <c r="G1613" s="1">
        <f>IFERROR(INDEX(Database_repro!$A:$F, MATCH($N1613, Database_repro!$A:$A, 0), 4), "Not Found")</f>
        <v>4</v>
      </c>
      <c r="H1613" s="1" t="s">
        <v>16</v>
      </c>
      <c r="I1613" s="1" t="s">
        <v>16</v>
      </c>
      <c r="J1613" s="1" t="s">
        <v>16</v>
      </c>
      <c r="K1613" s="1" t="str">
        <f>IFERROR(INDEX(Database_repro!$A:$F, MATCH($N1613, Database_repro!$A:$A, 0), 5), "Not Found")</f>
        <v>No</v>
      </c>
      <c r="L1613" s="4" t="s">
        <v>17</v>
      </c>
      <c r="M1613" s="1" t="str">
        <f>IFERROR(IF(INDEX(Database_repro!$A:$F, MATCH($N1613, Database_repro!$A:$A, 0), 6)="N","No",IF(INDEX(Database_repro!$A:$F, MATCH($N1613, Database_repro!$A:$A, 0), 6)="Y","Yes","Z")), "Not Found")</f>
        <v>No</v>
      </c>
      <c r="N1613" t="s">
        <v>214</v>
      </c>
    </row>
    <row r="1614" spans="1:14" x14ac:dyDescent="0.25">
      <c r="A1614" s="9">
        <v>45630</v>
      </c>
      <c r="B1614" s="1" t="str">
        <f>IFERROR(VLOOKUP(MID(INDEX(Database_dermo!$A:$I, MATCH($N1614, Database_dermo!$A:$A, 0), 2),20,3),Notes!A$1:C$9,3,TRUE), "Not Found")</f>
        <v>LX-N</v>
      </c>
      <c r="C1614" s="1" t="str">
        <f>IFERROR(RIGHT(INDEX(Database_dermo!$A:$I, MATCH($N1614, Database_dermo!$A:$A, 0), 1),2), "Not Found")</f>
        <v>05</v>
      </c>
      <c r="D1614" s="1">
        <f>IFERROR(VLOOKUP(MID(INDEX(Database_dermo!$A:$I, MATCH($N1614, Database_dermo!$A:$A, 0), 2),20,3),Notes!A$1:C$9,2,TRUE), "Not Found")</f>
        <v>1</v>
      </c>
      <c r="E1614" s="1">
        <f>IFERROR(INDEX(Database_dermo!$A:$I, MATCH($N1614, Database_dermo!$A:$A, 0), 3), "Not Found")</f>
        <v>49.25</v>
      </c>
      <c r="F1614" s="1" t="str">
        <f>IFERROR(INDEX(Database_repro!$A:$F, MATCH($N1614, Database_repro!$A:$A, 0), 3), "Not Found")</f>
        <v>Z</v>
      </c>
      <c r="G1614" s="1">
        <f>IFERROR(INDEX(Database_repro!$A:$F, MATCH($N1614, Database_repro!$A:$A, 0), 4), "Not Found")</f>
        <v>4</v>
      </c>
      <c r="H1614" s="1" t="s">
        <v>16</v>
      </c>
      <c r="I1614" s="1" t="s">
        <v>16</v>
      </c>
      <c r="J1614" s="1" t="s">
        <v>16</v>
      </c>
      <c r="K1614" s="1" t="str">
        <f>IFERROR(INDEX(Database_repro!$A:$F, MATCH($N1614, Database_repro!$A:$A, 0), 5), "Not Found")</f>
        <v>Yes</v>
      </c>
      <c r="L1614" s="4" t="s">
        <v>17</v>
      </c>
      <c r="M1614" s="1" t="str">
        <f>IFERROR(IF(INDEX(Database_repro!$A:$F, MATCH($N1614, Database_repro!$A:$A, 0), 6)="N","No",IF(INDEX(Database_repro!$A:$F, MATCH($N1614, Database_repro!$A:$A, 0), 6)="Y","Yes","Z")), "Not Found")</f>
        <v>No</v>
      </c>
      <c r="N1614" t="s">
        <v>215</v>
      </c>
    </row>
    <row r="1615" spans="1:14" x14ac:dyDescent="0.25">
      <c r="A1615" s="9">
        <v>45630</v>
      </c>
      <c r="B1615" s="1" t="str">
        <f>IFERROR(VLOOKUP(MID(INDEX(Database_dermo!$A:$I, MATCH($N1615, Database_dermo!$A:$A, 0), 2),20,3),Notes!A$1:C$9,3,TRUE), "Not Found")</f>
        <v>LX-N</v>
      </c>
      <c r="C1615" s="1" t="str">
        <f>IFERROR(RIGHT(INDEX(Database_dermo!$A:$I, MATCH($N1615, Database_dermo!$A:$A, 0), 1),2), "Not Found")</f>
        <v>06</v>
      </c>
      <c r="D1615" s="1">
        <f>IFERROR(VLOOKUP(MID(INDEX(Database_dermo!$A:$I, MATCH($N1615, Database_dermo!$A:$A, 0), 2),20,3),Notes!A$1:C$9,2,TRUE), "Not Found")</f>
        <v>2</v>
      </c>
      <c r="E1615" s="1">
        <f>IFERROR(INDEX(Database_dermo!$A:$I, MATCH($N1615, Database_dermo!$A:$A, 0), 3), "Not Found")</f>
        <v>69.069999999999993</v>
      </c>
      <c r="F1615" s="1" t="str">
        <f>IFERROR(INDEX(Database_repro!$A:$F, MATCH($N1615, Database_repro!$A:$A, 0), 3), "Not Found")</f>
        <v>Z</v>
      </c>
      <c r="G1615" s="1">
        <f>IFERROR(INDEX(Database_repro!$A:$F, MATCH($N1615, Database_repro!$A:$A, 0), 4), "Not Found")</f>
        <v>4</v>
      </c>
      <c r="H1615" s="1" t="s">
        <v>16</v>
      </c>
      <c r="I1615" s="1" t="s">
        <v>16</v>
      </c>
      <c r="J1615" s="1" t="s">
        <v>16</v>
      </c>
      <c r="K1615" s="1" t="str">
        <f>IFERROR(INDEX(Database_repro!$A:$F, MATCH($N1615, Database_repro!$A:$A, 0), 5), "Not Found")</f>
        <v>No</v>
      </c>
      <c r="L1615" s="4" t="s">
        <v>17</v>
      </c>
      <c r="M1615" s="1" t="str">
        <f>IFERROR(IF(INDEX(Database_repro!$A:$F, MATCH($N1615, Database_repro!$A:$A, 0), 6)="N","No",IF(INDEX(Database_repro!$A:$F, MATCH($N1615, Database_repro!$A:$A, 0), 6)="Y","Yes","Z")), "Not Found")</f>
        <v>No</v>
      </c>
      <c r="N1615" t="s">
        <v>216</v>
      </c>
    </row>
    <row r="1616" spans="1:14" x14ac:dyDescent="0.25">
      <c r="A1616" s="9">
        <v>45630</v>
      </c>
      <c r="B1616" s="1" t="str">
        <f>IFERROR(VLOOKUP(MID(INDEX(Database_dermo!$A:$I, MATCH($N1616, Database_dermo!$A:$A, 0), 2),20,3),Notes!A$1:C$9,3,TRUE), "Not Found")</f>
        <v>LX-N</v>
      </c>
      <c r="C1616" s="1" t="str">
        <f>IFERROR(RIGHT(INDEX(Database_dermo!$A:$I, MATCH($N1616, Database_dermo!$A:$A, 0), 1),2), "Not Found")</f>
        <v>07</v>
      </c>
      <c r="D1616" s="1">
        <f>IFERROR(VLOOKUP(MID(INDEX(Database_dermo!$A:$I, MATCH($N1616, Database_dermo!$A:$A, 0), 2),20,3),Notes!A$1:C$9,2,TRUE), "Not Found")</f>
        <v>2</v>
      </c>
      <c r="E1616" s="1">
        <f>IFERROR(INDEX(Database_dermo!$A:$I, MATCH($N1616, Database_dermo!$A:$A, 0), 3), "Not Found")</f>
        <v>59.46</v>
      </c>
      <c r="F1616" s="1" t="str">
        <f>IFERROR(INDEX(Database_repro!$A:$F, MATCH($N1616, Database_repro!$A:$A, 0), 3), "Not Found")</f>
        <v>F</v>
      </c>
      <c r="G1616" s="1">
        <f>IFERROR(INDEX(Database_repro!$A:$F, MATCH($N1616, Database_repro!$A:$A, 0), 4), "Not Found")</f>
        <v>3</v>
      </c>
      <c r="H1616" s="1" t="s">
        <v>16</v>
      </c>
      <c r="I1616" s="1" t="s">
        <v>16</v>
      </c>
      <c r="J1616" s="1" t="s">
        <v>16</v>
      </c>
      <c r="K1616" s="1" t="str">
        <f>IFERROR(INDEX(Database_repro!$A:$F, MATCH($N1616, Database_repro!$A:$A, 0), 5), "Not Found")</f>
        <v>No</v>
      </c>
      <c r="L1616" s="4" t="s">
        <v>17</v>
      </c>
      <c r="M1616" s="1" t="str">
        <f>IFERROR(IF(INDEX(Database_repro!$A:$F, MATCH($N1616, Database_repro!$A:$A, 0), 6)="N","No",IF(INDEX(Database_repro!$A:$F, MATCH($N1616, Database_repro!$A:$A, 0), 6)="Y","Yes","Z")), "Not Found")</f>
        <v>No</v>
      </c>
      <c r="N1616" t="s">
        <v>219</v>
      </c>
    </row>
    <row r="1617" spans="1:14" x14ac:dyDescent="0.25">
      <c r="A1617" s="9">
        <v>45630</v>
      </c>
      <c r="B1617" s="1" t="str">
        <f>IFERROR(VLOOKUP(MID(INDEX(Database_dermo!$A:$I, MATCH($N1617, Database_dermo!$A:$A, 0), 2),20,3),Notes!A$1:C$9,3,TRUE), "Not Found")</f>
        <v>LX-N</v>
      </c>
      <c r="C1617" s="1" t="str">
        <f>IFERROR(RIGHT(INDEX(Database_dermo!$A:$I, MATCH($N1617, Database_dermo!$A:$A, 0), 1),2), "Not Found")</f>
        <v>08</v>
      </c>
      <c r="D1617" s="1">
        <f>IFERROR(VLOOKUP(MID(INDEX(Database_dermo!$A:$I, MATCH($N1617, Database_dermo!$A:$A, 0), 2),20,3),Notes!A$1:C$9,2,TRUE), "Not Found")</f>
        <v>2</v>
      </c>
      <c r="E1617" s="1">
        <f>IFERROR(INDEX(Database_dermo!$A:$I, MATCH($N1617, Database_dermo!$A:$A, 0), 3), "Not Found")</f>
        <v>53.8</v>
      </c>
      <c r="F1617" s="1" t="str">
        <f>IFERROR(INDEX(Database_repro!$A:$F, MATCH($N1617, Database_repro!$A:$A, 0), 3), "Not Found")</f>
        <v>M</v>
      </c>
      <c r="G1617" s="1">
        <f>IFERROR(INDEX(Database_repro!$A:$F, MATCH($N1617, Database_repro!$A:$A, 0), 4), "Not Found")</f>
        <v>2</v>
      </c>
      <c r="H1617" s="1" t="s">
        <v>16</v>
      </c>
      <c r="I1617" s="1" t="s">
        <v>16</v>
      </c>
      <c r="J1617" s="1" t="s">
        <v>16</v>
      </c>
      <c r="K1617" s="1" t="str">
        <f>IFERROR(INDEX(Database_repro!$A:$F, MATCH($N1617, Database_repro!$A:$A, 0), 5), "Not Found")</f>
        <v>No</v>
      </c>
      <c r="L1617" s="4" t="s">
        <v>17</v>
      </c>
      <c r="M1617" s="1" t="str">
        <f>IFERROR(IF(INDEX(Database_repro!$A:$F, MATCH($N1617, Database_repro!$A:$A, 0), 6)="N","No",IF(INDEX(Database_repro!$A:$F, MATCH($N1617, Database_repro!$A:$A, 0), 6)="Y","Yes","Z")), "Not Found")</f>
        <v>No</v>
      </c>
      <c r="N1617" t="s">
        <v>220</v>
      </c>
    </row>
    <row r="1618" spans="1:14" x14ac:dyDescent="0.25">
      <c r="A1618" s="9">
        <v>45630</v>
      </c>
      <c r="B1618" s="1" t="str">
        <f>IFERROR(VLOOKUP(MID(INDEX(Database_dermo!$A:$I, MATCH($N1618, Database_dermo!$A:$A, 0), 2),20,3),Notes!A$1:C$9,3,TRUE), "Not Found")</f>
        <v>LX-N</v>
      </c>
      <c r="C1618" s="1" t="str">
        <f>IFERROR(RIGHT(INDEX(Database_dermo!$A:$I, MATCH($N1618, Database_dermo!$A:$A, 0), 1),2), "Not Found")</f>
        <v>09</v>
      </c>
      <c r="D1618" s="1">
        <f>IFERROR(VLOOKUP(MID(INDEX(Database_dermo!$A:$I, MATCH($N1618, Database_dermo!$A:$A, 0), 2),20,3),Notes!A$1:C$9,2,TRUE), "Not Found")</f>
        <v>2</v>
      </c>
      <c r="E1618" s="1">
        <f>IFERROR(INDEX(Database_dermo!$A:$I, MATCH($N1618, Database_dermo!$A:$A, 0), 3), "Not Found")</f>
        <v>48.7</v>
      </c>
      <c r="F1618" s="1" t="str">
        <f>IFERROR(INDEX(Database_repro!$A:$F, MATCH($N1618, Database_repro!$A:$A, 0), 3), "Not Found")</f>
        <v>F</v>
      </c>
      <c r="G1618" s="1">
        <f>IFERROR(INDEX(Database_repro!$A:$F, MATCH($N1618, Database_repro!$A:$A, 0), 4), "Not Found")</f>
        <v>2</v>
      </c>
      <c r="H1618" s="1" t="s">
        <v>16</v>
      </c>
      <c r="I1618" s="1" t="s">
        <v>16</v>
      </c>
      <c r="J1618" s="1" t="s">
        <v>16</v>
      </c>
      <c r="K1618" s="1" t="str">
        <f>IFERROR(INDEX(Database_repro!$A:$F, MATCH($N1618, Database_repro!$A:$A, 0), 5), "Not Found")</f>
        <v>No</v>
      </c>
      <c r="L1618" s="4" t="s">
        <v>17</v>
      </c>
      <c r="M1618" s="1" t="str">
        <f>IFERROR(IF(INDEX(Database_repro!$A:$F, MATCH($N1618, Database_repro!$A:$A, 0), 6)="N","No",IF(INDEX(Database_repro!$A:$F, MATCH($N1618, Database_repro!$A:$A, 0), 6)="Y","Yes","Z")), "Not Found")</f>
        <v>No</v>
      </c>
      <c r="N1618" t="s">
        <v>222</v>
      </c>
    </row>
    <row r="1619" spans="1:14" x14ac:dyDescent="0.25">
      <c r="A1619" s="9">
        <v>45630</v>
      </c>
      <c r="B1619" s="1" t="str">
        <f>IFERROR(VLOOKUP(MID(INDEX(Database_dermo!$A:$I, MATCH($N1619, Database_dermo!$A:$A, 0), 2),20,3),Notes!A$1:C$9,3,TRUE), "Not Found")</f>
        <v>LX-N</v>
      </c>
      <c r="C1619" s="1" t="str">
        <f>IFERROR(RIGHT(INDEX(Database_dermo!$A:$I, MATCH($N1619, Database_dermo!$A:$A, 0), 1),2), "Not Found")</f>
        <v>10</v>
      </c>
      <c r="D1619" s="1">
        <f>IFERROR(VLOOKUP(MID(INDEX(Database_dermo!$A:$I, MATCH($N1619, Database_dermo!$A:$A, 0), 2),20,3),Notes!A$1:C$9,2,TRUE), "Not Found")</f>
        <v>2</v>
      </c>
      <c r="E1619" s="1">
        <f>IFERROR(INDEX(Database_dermo!$A:$I, MATCH($N1619, Database_dermo!$A:$A, 0), 3), "Not Found")</f>
        <v>46.33</v>
      </c>
      <c r="F1619" s="1" t="str">
        <f>IFERROR(INDEX(Database_repro!$A:$F, MATCH($N1619, Database_repro!$A:$A, 0), 3), "Not Found")</f>
        <v>F</v>
      </c>
      <c r="G1619" s="1">
        <f>IFERROR(INDEX(Database_repro!$A:$F, MATCH($N1619, Database_repro!$A:$A, 0), 4), "Not Found")</f>
        <v>3</v>
      </c>
      <c r="H1619" s="1" t="s">
        <v>16</v>
      </c>
      <c r="I1619" s="1" t="s">
        <v>16</v>
      </c>
      <c r="J1619" s="1" t="s">
        <v>16</v>
      </c>
      <c r="K1619" s="1" t="str">
        <f>IFERROR(INDEX(Database_repro!$A:$F, MATCH($N1619, Database_repro!$A:$A, 0), 5), "Not Found")</f>
        <v>No</v>
      </c>
      <c r="L1619" s="4" t="s">
        <v>17</v>
      </c>
      <c r="M1619" s="1" t="str">
        <f>IFERROR(IF(INDEX(Database_repro!$A:$F, MATCH($N1619, Database_repro!$A:$A, 0), 6)="N","No",IF(INDEX(Database_repro!$A:$F, MATCH($N1619, Database_repro!$A:$A, 0), 6)="Y","Yes","Z")), "Not Found")</f>
        <v>No</v>
      </c>
      <c r="N1619" t="s">
        <v>223</v>
      </c>
    </row>
    <row r="1620" spans="1:14" x14ac:dyDescent="0.25">
      <c r="A1620" s="9">
        <v>45630</v>
      </c>
      <c r="B1620" s="1" t="str">
        <f>IFERROR(VLOOKUP(MID(INDEX(Database_dermo!$A:$I, MATCH($N1620, Database_dermo!$A:$A, 0), 2),20,3),Notes!A$1:C$9,3,TRUE), "Not Found")</f>
        <v>LX-N</v>
      </c>
      <c r="C1620" s="1" t="str">
        <f>IFERROR(RIGHT(INDEX(Database_dermo!$A:$I, MATCH($N1620, Database_dermo!$A:$A, 0), 1),2), "Not Found")</f>
        <v>11</v>
      </c>
      <c r="D1620" s="1">
        <f>IFERROR(VLOOKUP(MID(INDEX(Database_dermo!$A:$I, MATCH($N1620, Database_dermo!$A:$A, 0), 2),20,3),Notes!A$1:C$9,2,TRUE), "Not Found")</f>
        <v>3</v>
      </c>
      <c r="E1620" s="1">
        <f>IFERROR(INDEX(Database_dermo!$A:$I, MATCH($N1620, Database_dermo!$A:$A, 0), 3), "Not Found")</f>
        <v>40.880000000000003</v>
      </c>
      <c r="F1620" s="1" t="str">
        <f>IFERROR(INDEX(Database_repro!$A:$F, MATCH($N1620, Database_repro!$A:$A, 0), 3), "Not Found")</f>
        <v>Z</v>
      </c>
      <c r="G1620" s="1">
        <f>IFERROR(INDEX(Database_repro!$A:$F, MATCH($N1620, Database_repro!$A:$A, 0), 4), "Not Found")</f>
        <v>4</v>
      </c>
      <c r="H1620" s="1" t="s">
        <v>16</v>
      </c>
      <c r="I1620" s="1" t="s">
        <v>16</v>
      </c>
      <c r="J1620" s="1" t="s">
        <v>16</v>
      </c>
      <c r="K1620" s="1" t="str">
        <f>IFERROR(INDEX(Database_repro!$A:$F, MATCH($N1620, Database_repro!$A:$A, 0), 5), "Not Found")</f>
        <v>No</v>
      </c>
      <c r="L1620" s="4" t="s">
        <v>17</v>
      </c>
      <c r="M1620" s="1" t="str">
        <f>IFERROR(IF(INDEX(Database_repro!$A:$F, MATCH($N1620, Database_repro!$A:$A, 0), 6)="N","No",IF(INDEX(Database_repro!$A:$F, MATCH($N1620, Database_repro!$A:$A, 0), 6)="Y","Yes","Z")), "Not Found")</f>
        <v>No</v>
      </c>
      <c r="N1620" t="s">
        <v>224</v>
      </c>
    </row>
    <row r="1621" spans="1:14" x14ac:dyDescent="0.25">
      <c r="A1621" s="9">
        <v>45630</v>
      </c>
      <c r="B1621" s="1" t="str">
        <f>IFERROR(VLOOKUP(MID(INDEX(Database_dermo!$A:$I, MATCH($N1621, Database_dermo!$A:$A, 0), 2),20,3),Notes!A$1:C$9,3,TRUE), "Not Found")</f>
        <v>LX-N</v>
      </c>
      <c r="C1621" s="1" t="str">
        <f>IFERROR(RIGHT(INDEX(Database_dermo!$A:$I, MATCH($N1621, Database_dermo!$A:$A, 0), 1),2), "Not Found")</f>
        <v>12</v>
      </c>
      <c r="D1621" s="1">
        <f>IFERROR(VLOOKUP(MID(INDEX(Database_dermo!$A:$I, MATCH($N1621, Database_dermo!$A:$A, 0), 2),20,3),Notes!A$1:C$9,2,TRUE), "Not Found")</f>
        <v>3</v>
      </c>
      <c r="E1621" s="1">
        <f>IFERROR(INDEX(Database_dermo!$A:$I, MATCH($N1621, Database_dermo!$A:$A, 0), 3), "Not Found")</f>
        <v>41.86</v>
      </c>
      <c r="F1621" s="1" t="str">
        <f>IFERROR(INDEX(Database_repro!$A:$F, MATCH($N1621, Database_repro!$A:$A, 0), 3), "Not Found")</f>
        <v>M</v>
      </c>
      <c r="G1621" s="1">
        <f>IFERROR(INDEX(Database_repro!$A:$F, MATCH($N1621, Database_repro!$A:$A, 0), 4), "Not Found")</f>
        <v>2</v>
      </c>
      <c r="H1621" s="1" t="s">
        <v>16</v>
      </c>
      <c r="I1621" s="1" t="s">
        <v>16</v>
      </c>
      <c r="J1621" s="1" t="s">
        <v>16</v>
      </c>
      <c r="K1621" s="1" t="str">
        <f>IFERROR(INDEX(Database_repro!$A:$F, MATCH($N1621, Database_repro!$A:$A, 0), 5), "Not Found")</f>
        <v>No</v>
      </c>
      <c r="L1621" s="4" t="s">
        <v>17</v>
      </c>
      <c r="M1621" s="1" t="str">
        <f>IFERROR(IF(INDEX(Database_repro!$A:$F, MATCH($N1621, Database_repro!$A:$A, 0), 6)="N","No",IF(INDEX(Database_repro!$A:$F, MATCH($N1621, Database_repro!$A:$A, 0), 6)="Y","Yes","Z")), "Not Found")</f>
        <v>No</v>
      </c>
      <c r="N1621" t="s">
        <v>226</v>
      </c>
    </row>
    <row r="1622" spans="1:14" x14ac:dyDescent="0.25">
      <c r="A1622" s="9">
        <v>45630</v>
      </c>
      <c r="B1622" s="1" t="str">
        <f>IFERROR(VLOOKUP(MID(INDEX(Database_dermo!$A:$I, MATCH($N1622, Database_dermo!$A:$A, 0), 2),20,3),Notes!A$1:C$9,3,TRUE), "Not Found")</f>
        <v>LX-N</v>
      </c>
      <c r="C1622" s="1" t="str">
        <f>IFERROR(RIGHT(INDEX(Database_dermo!$A:$I, MATCH($N1622, Database_dermo!$A:$A, 0), 1),2), "Not Found")</f>
        <v>13</v>
      </c>
      <c r="D1622" s="1">
        <f>IFERROR(VLOOKUP(MID(INDEX(Database_dermo!$A:$I, MATCH($N1622, Database_dermo!$A:$A, 0), 2),20,3),Notes!A$1:C$9,2,TRUE), "Not Found")</f>
        <v>3</v>
      </c>
      <c r="E1622" s="1">
        <f>IFERROR(INDEX(Database_dermo!$A:$I, MATCH($N1622, Database_dermo!$A:$A, 0), 3), "Not Found")</f>
        <v>45.18</v>
      </c>
      <c r="F1622" s="1" t="str">
        <f>IFERROR(INDEX(Database_repro!$A:$F, MATCH($N1622, Database_repro!$A:$A, 0), 3), "Not Found")</f>
        <v>Z</v>
      </c>
      <c r="G1622" s="1">
        <f>IFERROR(INDEX(Database_repro!$A:$F, MATCH($N1622, Database_repro!$A:$A, 0), 4), "Not Found")</f>
        <v>4</v>
      </c>
      <c r="H1622" s="1" t="s">
        <v>16</v>
      </c>
      <c r="I1622" s="1" t="s">
        <v>16</v>
      </c>
      <c r="J1622" s="1" t="s">
        <v>16</v>
      </c>
      <c r="K1622" s="1" t="str">
        <f>IFERROR(INDEX(Database_repro!$A:$F, MATCH($N1622, Database_repro!$A:$A, 0), 5), "Not Found")</f>
        <v>No</v>
      </c>
      <c r="L1622" s="4" t="s">
        <v>17</v>
      </c>
      <c r="M1622" s="1" t="str">
        <f>IFERROR(IF(INDEX(Database_repro!$A:$F, MATCH($N1622, Database_repro!$A:$A, 0), 6)="N","No",IF(INDEX(Database_repro!$A:$F, MATCH($N1622, Database_repro!$A:$A, 0), 6)="Y","Yes","Z")), "Not Found")</f>
        <v>No</v>
      </c>
      <c r="N1622" t="s">
        <v>227</v>
      </c>
    </row>
    <row r="1623" spans="1:14" x14ac:dyDescent="0.25">
      <c r="A1623" s="9">
        <v>45630</v>
      </c>
      <c r="B1623" s="1" t="str">
        <f>IFERROR(VLOOKUP(MID(INDEX(Database_dermo!$A:$I, MATCH($N1623, Database_dermo!$A:$A, 0), 2),20,3),Notes!A$1:C$9,3,TRUE), "Not Found")</f>
        <v>LX-N</v>
      </c>
      <c r="C1623" s="1" t="str">
        <f>IFERROR(RIGHT(INDEX(Database_dermo!$A:$I, MATCH($N1623, Database_dermo!$A:$A, 0), 1),2), "Not Found")</f>
        <v>14</v>
      </c>
      <c r="D1623" s="1">
        <f>IFERROR(VLOOKUP(MID(INDEX(Database_dermo!$A:$I, MATCH($N1623, Database_dermo!$A:$A, 0), 2),20,3),Notes!A$1:C$9,2,TRUE), "Not Found")</f>
        <v>3</v>
      </c>
      <c r="E1623" s="1">
        <f>IFERROR(INDEX(Database_dermo!$A:$I, MATCH($N1623, Database_dermo!$A:$A, 0), 3), "Not Found")</f>
        <v>39.799999999999997</v>
      </c>
      <c r="F1623" s="1" t="str">
        <f>IFERROR(INDEX(Database_repro!$A:$F, MATCH($N1623, Database_repro!$A:$A, 0), 3), "Not Found")</f>
        <v>Z</v>
      </c>
      <c r="G1623" s="1">
        <f>IFERROR(INDEX(Database_repro!$A:$F, MATCH($N1623, Database_repro!$A:$A, 0), 4), "Not Found")</f>
        <v>4</v>
      </c>
      <c r="H1623" s="1" t="s">
        <v>16</v>
      </c>
      <c r="I1623" s="1" t="s">
        <v>16</v>
      </c>
      <c r="J1623" s="1" t="s">
        <v>16</v>
      </c>
      <c r="K1623" s="1" t="str">
        <f>IFERROR(INDEX(Database_repro!$A:$F, MATCH($N1623, Database_repro!$A:$A, 0), 5), "Not Found")</f>
        <v>No</v>
      </c>
      <c r="L1623" s="4" t="s">
        <v>17</v>
      </c>
      <c r="M1623" s="1" t="str">
        <f>IFERROR(IF(INDEX(Database_repro!$A:$F, MATCH($N1623, Database_repro!$A:$A, 0), 6)="N","No",IF(INDEX(Database_repro!$A:$F, MATCH($N1623, Database_repro!$A:$A, 0), 6)="Y","Yes","Z")), "Not Found")</f>
        <v>No</v>
      </c>
      <c r="N1623" t="s">
        <v>228</v>
      </c>
    </row>
    <row r="1624" spans="1:14" x14ac:dyDescent="0.25">
      <c r="A1624" s="9">
        <v>45630</v>
      </c>
      <c r="B1624" s="1" t="str">
        <f>IFERROR(VLOOKUP(MID(INDEX(Database_dermo!$A:$I, MATCH($N1624, Database_dermo!$A:$A, 0), 2),20,3),Notes!A$1:C$9,3,TRUE), "Not Found")</f>
        <v>LX-N</v>
      </c>
      <c r="C1624" s="1" t="str">
        <f>IFERROR(RIGHT(INDEX(Database_dermo!$A:$I, MATCH($N1624, Database_dermo!$A:$A, 0), 1),2), "Not Found")</f>
        <v>15</v>
      </c>
      <c r="D1624" s="1">
        <f>IFERROR(VLOOKUP(MID(INDEX(Database_dermo!$A:$I, MATCH($N1624, Database_dermo!$A:$A, 0), 2),20,3),Notes!A$1:C$9,2,TRUE), "Not Found")</f>
        <v>3</v>
      </c>
      <c r="E1624" s="1">
        <f>IFERROR(INDEX(Database_dermo!$A:$I, MATCH($N1624, Database_dermo!$A:$A, 0), 3), "Not Found")</f>
        <v>38.29</v>
      </c>
      <c r="F1624" s="1" t="str">
        <f>IFERROR(INDEX(Database_repro!$A:$F, MATCH($N1624, Database_repro!$A:$A, 0), 3), "Not Found")</f>
        <v>Z</v>
      </c>
      <c r="G1624" s="1">
        <f>IFERROR(INDEX(Database_repro!$A:$F, MATCH($N1624, Database_repro!$A:$A, 0), 4), "Not Found")</f>
        <v>4</v>
      </c>
      <c r="H1624" s="1" t="s">
        <v>16</v>
      </c>
      <c r="I1624" s="1" t="s">
        <v>16</v>
      </c>
      <c r="J1624" s="1" t="s">
        <v>16</v>
      </c>
      <c r="K1624" s="1" t="str">
        <f>IFERROR(INDEX(Database_repro!$A:$F, MATCH($N1624, Database_repro!$A:$A, 0), 5), "Not Found")</f>
        <v>No</v>
      </c>
      <c r="L1624" s="4" t="s">
        <v>17</v>
      </c>
      <c r="M1624" s="1" t="str">
        <f>IFERROR(IF(INDEX(Database_repro!$A:$F, MATCH($N1624, Database_repro!$A:$A, 0), 6)="N","No",IF(INDEX(Database_repro!$A:$F, MATCH($N1624, Database_repro!$A:$A, 0), 6)="Y","Yes","Z")), "Not Found")</f>
        <v>No</v>
      </c>
      <c r="N1624" t="s">
        <v>229</v>
      </c>
    </row>
    <row r="1625" spans="1:14" x14ac:dyDescent="0.25">
      <c r="A1625" s="9">
        <v>45418</v>
      </c>
      <c r="B1625" s="1" t="str">
        <f>IFERROR(VLOOKUP(MID(INDEX(Database_dermo!$A:$I, MATCH($N1625, Database_dermo!$A:$A, 0), 2),20,3),Notes!A$1:C$9,3,TRUE), "Not Found")</f>
        <v>LX-S</v>
      </c>
      <c r="C1625" s="1" t="str">
        <f>IFERROR(RIGHT(INDEX(Database_dermo!$A:$I, MATCH($N1625, Database_dermo!$A:$A, 0), 1),2), "Not Found")</f>
        <v>01</v>
      </c>
      <c r="D1625" s="1">
        <f>IFERROR(VLOOKUP(MID(INDEX(Database_dermo!$A:$I, MATCH($N1625, Database_dermo!$A:$A, 0), 2),20,3),Notes!A$1:C$9,2,TRUE), "Not Found")</f>
        <v>1</v>
      </c>
      <c r="E1625" s="1">
        <f>IFERROR(INDEX(Database_dermo!$A:$I, MATCH($N1625, Database_dermo!$A:$A, 0), 3), "Not Found")</f>
        <v>47.84</v>
      </c>
      <c r="F1625" s="1" t="str">
        <f>IFERROR(INDEX(Database_repro!$A:$F, MATCH($N1625, Database_repro!$A:$A, 0), 3), "Not Found")</f>
        <v>Z</v>
      </c>
      <c r="G1625" s="1">
        <f>IFERROR(INDEX(Database_repro!$A:$F, MATCH($N1625, Database_repro!$A:$A, 0), 4), "Not Found")</f>
        <v>4</v>
      </c>
      <c r="H1625" s="1" t="s">
        <v>16</v>
      </c>
      <c r="I1625" s="1" t="s">
        <v>16</v>
      </c>
      <c r="J1625" s="1" t="s">
        <v>16</v>
      </c>
      <c r="K1625" s="1" t="str">
        <f>IFERROR(INDEX(Database_repro!$A:$F, MATCH($N1625, Database_repro!$A:$A, 0), 5), "Not Found")</f>
        <v>No</v>
      </c>
      <c r="L1625" s="4" t="s">
        <v>17</v>
      </c>
      <c r="M1625" s="1" t="str">
        <f>IFERROR(IF(INDEX(Database_repro!$A:$F, MATCH($N1625, Database_repro!$A:$A, 0), 6)="N","No",IF(INDEX(Database_repro!$A:$F, MATCH($N1625, Database_repro!$A:$A, 0), 6)="Y","Yes","Z")), "Not Found")</f>
        <v>No</v>
      </c>
      <c r="N1625" t="s">
        <v>230</v>
      </c>
    </row>
    <row r="1626" spans="1:14" x14ac:dyDescent="0.25">
      <c r="A1626" s="9">
        <v>45418</v>
      </c>
      <c r="B1626" s="1" t="str">
        <f>IFERROR(VLOOKUP(MID(INDEX(Database_dermo!$A:$I, MATCH($N1626, Database_dermo!$A:$A, 0), 2),20,3),Notes!A$1:C$9,3,TRUE), "Not Found")</f>
        <v>LX-S</v>
      </c>
      <c r="C1626" s="1" t="str">
        <f>IFERROR(RIGHT(INDEX(Database_dermo!$A:$I, MATCH($N1626, Database_dermo!$A:$A, 0), 1),2), "Not Found")</f>
        <v>02</v>
      </c>
      <c r="D1626" s="1">
        <f>IFERROR(VLOOKUP(MID(INDEX(Database_dermo!$A:$I, MATCH($N1626, Database_dermo!$A:$A, 0), 2),20,3),Notes!A$1:C$9,2,TRUE), "Not Found")</f>
        <v>1</v>
      </c>
      <c r="E1626" s="1">
        <f>IFERROR(INDEX(Database_dermo!$A:$I, MATCH($N1626, Database_dermo!$A:$A, 0), 3), "Not Found")</f>
        <v>52.6</v>
      </c>
      <c r="F1626" s="1" t="str">
        <f>IFERROR(INDEX(Database_repro!$A:$F, MATCH($N1626, Database_repro!$A:$A, 0), 3), "Not Found")</f>
        <v>F</v>
      </c>
      <c r="G1626" s="1">
        <f>IFERROR(INDEX(Database_repro!$A:$F, MATCH($N1626, Database_repro!$A:$A, 0), 4), "Not Found")</f>
        <v>1</v>
      </c>
      <c r="H1626" s="1" t="s">
        <v>16</v>
      </c>
      <c r="I1626" s="1" t="s">
        <v>16</v>
      </c>
      <c r="J1626" s="1" t="s">
        <v>16</v>
      </c>
      <c r="K1626" s="1" t="str">
        <f>IFERROR(INDEX(Database_repro!$A:$F, MATCH($N1626, Database_repro!$A:$A, 0), 5), "Not Found")</f>
        <v>Yes</v>
      </c>
      <c r="L1626" s="4" t="s">
        <v>17</v>
      </c>
      <c r="M1626" s="1" t="str">
        <f>IFERROR(IF(INDEX(Database_repro!$A:$F, MATCH($N1626, Database_repro!$A:$A, 0), 6)="N","No",IF(INDEX(Database_repro!$A:$F, MATCH($N1626, Database_repro!$A:$A, 0), 6)="Y","Yes","Z")), "Not Found")</f>
        <v>No</v>
      </c>
      <c r="N1626" t="s">
        <v>232</v>
      </c>
    </row>
    <row r="1627" spans="1:14" x14ac:dyDescent="0.25">
      <c r="A1627" s="9">
        <v>45418</v>
      </c>
      <c r="B1627" s="1" t="str">
        <f>IFERROR(VLOOKUP(MID(INDEX(Database_dermo!$A:$I, MATCH($N1627, Database_dermo!$A:$A, 0), 2),20,3),Notes!A$1:C$9,3,TRUE), "Not Found")</f>
        <v>LX-S</v>
      </c>
      <c r="C1627" s="1" t="str">
        <f>IFERROR(RIGHT(INDEX(Database_dermo!$A:$I, MATCH($N1627, Database_dermo!$A:$A, 0), 1),2), "Not Found")</f>
        <v>03</v>
      </c>
      <c r="D1627" s="1">
        <f>IFERROR(VLOOKUP(MID(INDEX(Database_dermo!$A:$I, MATCH($N1627, Database_dermo!$A:$A, 0), 2),20,3),Notes!A$1:C$9,2,TRUE), "Not Found")</f>
        <v>1</v>
      </c>
      <c r="E1627" s="1">
        <f>IFERROR(INDEX(Database_dermo!$A:$I, MATCH($N1627, Database_dermo!$A:$A, 0), 3), "Not Found")</f>
        <v>52.35</v>
      </c>
      <c r="F1627" s="1" t="str">
        <f>IFERROR(INDEX(Database_repro!$A:$F, MATCH($N1627, Database_repro!$A:$A, 0), 3), "Not Found")</f>
        <v>F</v>
      </c>
      <c r="G1627" s="1">
        <f>IFERROR(INDEX(Database_repro!$A:$F, MATCH($N1627, Database_repro!$A:$A, 0), 4), "Not Found")</f>
        <v>2</v>
      </c>
      <c r="H1627" s="1" t="s">
        <v>16</v>
      </c>
      <c r="I1627" s="1" t="s">
        <v>16</v>
      </c>
      <c r="J1627" s="1" t="s">
        <v>16</v>
      </c>
      <c r="K1627" s="1" t="str">
        <f>IFERROR(INDEX(Database_repro!$A:$F, MATCH($N1627, Database_repro!$A:$A, 0), 5), "Not Found")</f>
        <v>No</v>
      </c>
      <c r="L1627" s="4" t="s">
        <v>17</v>
      </c>
      <c r="M1627" s="1" t="str">
        <f>IFERROR(IF(INDEX(Database_repro!$A:$F, MATCH($N1627, Database_repro!$A:$A, 0), 6)="N","No",IF(INDEX(Database_repro!$A:$F, MATCH($N1627, Database_repro!$A:$A, 0), 6)="Y","Yes","Z")), "Not Found")</f>
        <v>No</v>
      </c>
      <c r="N1627" t="s">
        <v>233</v>
      </c>
    </row>
    <row r="1628" spans="1:14" x14ac:dyDescent="0.25">
      <c r="A1628" s="9">
        <v>45418</v>
      </c>
      <c r="B1628" s="1" t="str">
        <f>IFERROR(VLOOKUP(MID(INDEX(Database_dermo!$A:$I, MATCH($N1628, Database_dermo!$A:$A, 0), 2),20,3),Notes!A$1:C$9,3,TRUE), "Not Found")</f>
        <v>LX-S</v>
      </c>
      <c r="C1628" s="1" t="str">
        <f>IFERROR(RIGHT(INDEX(Database_dermo!$A:$I, MATCH($N1628, Database_dermo!$A:$A, 0), 1),2), "Not Found")</f>
        <v>04</v>
      </c>
      <c r="D1628" s="1">
        <f>IFERROR(VLOOKUP(MID(INDEX(Database_dermo!$A:$I, MATCH($N1628, Database_dermo!$A:$A, 0), 2),20,3),Notes!A$1:C$9,2,TRUE), "Not Found")</f>
        <v>1</v>
      </c>
      <c r="E1628" s="1">
        <f>IFERROR(INDEX(Database_dermo!$A:$I, MATCH($N1628, Database_dermo!$A:$A, 0), 3), "Not Found")</f>
        <v>57.14</v>
      </c>
      <c r="F1628" s="1" t="str">
        <f>IFERROR(INDEX(Database_repro!$A:$F, MATCH($N1628, Database_repro!$A:$A, 0), 3), "Not Found")</f>
        <v>F</v>
      </c>
      <c r="G1628" s="1">
        <f>IFERROR(INDEX(Database_repro!$A:$F, MATCH($N1628, Database_repro!$A:$A, 0), 4), "Not Found")</f>
        <v>1</v>
      </c>
      <c r="H1628" s="1" t="s">
        <v>16</v>
      </c>
      <c r="I1628" s="1" t="s">
        <v>16</v>
      </c>
      <c r="J1628" s="1" t="s">
        <v>16</v>
      </c>
      <c r="K1628" s="1" t="str">
        <f>IFERROR(INDEX(Database_repro!$A:$F, MATCH($N1628, Database_repro!$A:$A, 0), 5), "Not Found")</f>
        <v>No</v>
      </c>
      <c r="L1628" s="4" t="s">
        <v>17</v>
      </c>
      <c r="M1628" s="1" t="str">
        <f>IFERROR(IF(INDEX(Database_repro!$A:$F, MATCH($N1628, Database_repro!$A:$A, 0), 6)="N","No",IF(INDEX(Database_repro!$A:$F, MATCH($N1628, Database_repro!$A:$A, 0), 6)="Y","Yes","Z")), "Not Found")</f>
        <v>No</v>
      </c>
      <c r="N1628" t="s">
        <v>234</v>
      </c>
    </row>
    <row r="1629" spans="1:14" x14ac:dyDescent="0.25">
      <c r="A1629" s="9">
        <v>45418</v>
      </c>
      <c r="B1629" s="1" t="str">
        <f>IFERROR(VLOOKUP(MID(INDEX(Database_dermo!$A:$I, MATCH($N1629, Database_dermo!$A:$A, 0), 2),20,3),Notes!A$1:C$9,3,TRUE), "Not Found")</f>
        <v>LX-S</v>
      </c>
      <c r="C1629" s="1" t="str">
        <f>IFERROR(RIGHT(INDEX(Database_dermo!$A:$I, MATCH($N1629, Database_dermo!$A:$A, 0), 1),2), "Not Found")</f>
        <v>05</v>
      </c>
      <c r="D1629" s="1">
        <f>IFERROR(VLOOKUP(MID(INDEX(Database_dermo!$A:$I, MATCH($N1629, Database_dermo!$A:$A, 0), 2),20,3),Notes!A$1:C$9,2,TRUE), "Not Found")</f>
        <v>1</v>
      </c>
      <c r="E1629" s="1">
        <f>IFERROR(INDEX(Database_dermo!$A:$I, MATCH($N1629, Database_dermo!$A:$A, 0), 3), "Not Found")</f>
        <v>43.77</v>
      </c>
      <c r="F1629" s="1" t="str">
        <f>IFERROR(INDEX(Database_repro!$A:$F, MATCH($N1629, Database_repro!$A:$A, 0), 3), "Not Found")</f>
        <v>M</v>
      </c>
      <c r="G1629" s="1">
        <f>IFERROR(INDEX(Database_repro!$A:$F, MATCH($N1629, Database_repro!$A:$A, 0), 4), "Not Found")</f>
        <v>2</v>
      </c>
      <c r="H1629" s="1" t="s">
        <v>16</v>
      </c>
      <c r="I1629" s="1" t="s">
        <v>16</v>
      </c>
      <c r="J1629" s="1" t="s">
        <v>16</v>
      </c>
      <c r="K1629" s="1" t="str">
        <f>IFERROR(INDEX(Database_repro!$A:$F, MATCH($N1629, Database_repro!$A:$A, 0), 5), "Not Found")</f>
        <v>No</v>
      </c>
      <c r="L1629" s="4" t="s">
        <v>17</v>
      </c>
      <c r="M1629" s="1" t="str">
        <f>IFERROR(IF(INDEX(Database_repro!$A:$F, MATCH($N1629, Database_repro!$A:$A, 0), 6)="N","No",IF(INDEX(Database_repro!$A:$F, MATCH($N1629, Database_repro!$A:$A, 0), 6)="Y","Yes","Z")), "Not Found")</f>
        <v>No</v>
      </c>
      <c r="N1629" t="s">
        <v>235</v>
      </c>
    </row>
    <row r="1630" spans="1:14" x14ac:dyDescent="0.25">
      <c r="A1630" s="9">
        <v>45418</v>
      </c>
      <c r="B1630" s="1" t="str">
        <f>IFERROR(VLOOKUP(MID(INDEX(Database_dermo!$A:$I, MATCH($N1630, Database_dermo!$A:$A, 0), 2),20,3),Notes!A$1:C$9,3,TRUE), "Not Found")</f>
        <v>LX-S</v>
      </c>
      <c r="C1630" s="1" t="str">
        <f>IFERROR(RIGHT(INDEX(Database_dermo!$A:$I, MATCH($N1630, Database_dermo!$A:$A, 0), 1),2), "Not Found")</f>
        <v>06</v>
      </c>
      <c r="D1630" s="1">
        <f>IFERROR(VLOOKUP(MID(INDEX(Database_dermo!$A:$I, MATCH($N1630, Database_dermo!$A:$A, 0), 2),20,3),Notes!A$1:C$9,2,TRUE), "Not Found")</f>
        <v>2</v>
      </c>
      <c r="E1630" s="1">
        <f>IFERROR(INDEX(Database_dermo!$A:$I, MATCH($N1630, Database_dermo!$A:$A, 0), 3), "Not Found")</f>
        <v>65.83</v>
      </c>
      <c r="F1630" s="1" t="str">
        <f>IFERROR(INDEX(Database_repro!$A:$F, MATCH($N1630, Database_repro!$A:$A, 0), 3), "Not Found")</f>
        <v>M</v>
      </c>
      <c r="G1630" s="1">
        <f>IFERROR(INDEX(Database_repro!$A:$F, MATCH($N1630, Database_repro!$A:$A, 0), 4), "Not Found")</f>
        <v>2</v>
      </c>
      <c r="H1630" s="1" t="s">
        <v>16</v>
      </c>
      <c r="I1630" s="1" t="s">
        <v>16</v>
      </c>
      <c r="J1630" s="1" t="s">
        <v>16</v>
      </c>
      <c r="K1630" s="1" t="str">
        <f>IFERROR(INDEX(Database_repro!$A:$F, MATCH($N1630, Database_repro!$A:$A, 0), 5), "Not Found")</f>
        <v>No</v>
      </c>
      <c r="L1630" s="4" t="s">
        <v>17</v>
      </c>
      <c r="M1630" s="1" t="str">
        <f>IFERROR(IF(INDEX(Database_repro!$A:$F, MATCH($N1630, Database_repro!$A:$A, 0), 6)="N","No",IF(INDEX(Database_repro!$A:$F, MATCH($N1630, Database_repro!$A:$A, 0), 6)="Y","Yes","Z")), "Not Found")</f>
        <v>No</v>
      </c>
      <c r="N1630" t="s">
        <v>236</v>
      </c>
    </row>
    <row r="1631" spans="1:14" x14ac:dyDescent="0.25">
      <c r="A1631" s="9">
        <v>45418</v>
      </c>
      <c r="B1631" s="1" t="str">
        <f>IFERROR(VLOOKUP(MID(INDEX(Database_dermo!$A:$I, MATCH($N1631, Database_dermo!$A:$A, 0), 2),20,3),Notes!A$1:C$9,3,TRUE), "Not Found")</f>
        <v>LX-S</v>
      </c>
      <c r="C1631" s="1" t="str">
        <f>IFERROR(RIGHT(INDEX(Database_dermo!$A:$I, MATCH($N1631, Database_dermo!$A:$A, 0), 1),2), "Not Found")</f>
        <v>07</v>
      </c>
      <c r="D1631" s="1">
        <f>IFERROR(VLOOKUP(MID(INDEX(Database_dermo!$A:$I, MATCH($N1631, Database_dermo!$A:$A, 0), 2),20,3),Notes!A$1:C$9,2,TRUE), "Not Found")</f>
        <v>2</v>
      </c>
      <c r="E1631" s="1">
        <f>IFERROR(INDEX(Database_dermo!$A:$I, MATCH($N1631, Database_dermo!$A:$A, 0), 3), "Not Found")</f>
        <v>34.97</v>
      </c>
      <c r="F1631" s="1" t="str">
        <f>IFERROR(INDEX(Database_repro!$A:$F, MATCH($N1631, Database_repro!$A:$A, 0), 3), "Not Found")</f>
        <v>M</v>
      </c>
      <c r="G1631" s="1">
        <f>IFERROR(INDEX(Database_repro!$A:$F, MATCH($N1631, Database_repro!$A:$A, 0), 4), "Not Found")</f>
        <v>2</v>
      </c>
      <c r="H1631" s="1" t="s">
        <v>16</v>
      </c>
      <c r="I1631" s="1" t="s">
        <v>16</v>
      </c>
      <c r="J1631" s="1" t="s">
        <v>16</v>
      </c>
      <c r="K1631" s="1" t="str">
        <f>IFERROR(INDEX(Database_repro!$A:$F, MATCH($N1631, Database_repro!$A:$A, 0), 5), "Not Found")</f>
        <v>No</v>
      </c>
      <c r="L1631" s="4" t="s">
        <v>17</v>
      </c>
      <c r="M1631" s="1" t="str">
        <f>IFERROR(IF(INDEX(Database_repro!$A:$F, MATCH($N1631, Database_repro!$A:$A, 0), 6)="N","No",IF(INDEX(Database_repro!$A:$F, MATCH($N1631, Database_repro!$A:$A, 0), 6)="Y","Yes","Z")), "Not Found")</f>
        <v>No</v>
      </c>
      <c r="N1631" t="s">
        <v>238</v>
      </c>
    </row>
    <row r="1632" spans="1:14" x14ac:dyDescent="0.25">
      <c r="A1632" s="9">
        <v>45418</v>
      </c>
      <c r="B1632" s="1" t="str">
        <f>IFERROR(VLOOKUP(MID(INDEX(Database_dermo!$A:$I, MATCH($N1632, Database_dermo!$A:$A, 0), 2),20,3),Notes!A$1:C$9,3,TRUE), "Not Found")</f>
        <v>LX-S</v>
      </c>
      <c r="C1632" s="1" t="str">
        <f>IFERROR(RIGHT(INDEX(Database_dermo!$A:$I, MATCH($N1632, Database_dermo!$A:$A, 0), 1),2), "Not Found")</f>
        <v>08</v>
      </c>
      <c r="D1632" s="1">
        <f>IFERROR(VLOOKUP(MID(INDEX(Database_dermo!$A:$I, MATCH($N1632, Database_dermo!$A:$A, 0), 2),20,3),Notes!A$1:C$9,2,TRUE), "Not Found")</f>
        <v>2</v>
      </c>
      <c r="E1632" s="1">
        <f>IFERROR(INDEX(Database_dermo!$A:$I, MATCH($N1632, Database_dermo!$A:$A, 0), 3), "Not Found")</f>
        <v>62.38</v>
      </c>
      <c r="F1632" s="1" t="str">
        <f>IFERROR(INDEX(Database_repro!$A:$F, MATCH($N1632, Database_repro!$A:$A, 0), 3), "Not Found")</f>
        <v>F</v>
      </c>
      <c r="G1632" s="1">
        <f>IFERROR(INDEX(Database_repro!$A:$F, MATCH($N1632, Database_repro!$A:$A, 0), 4), "Not Found")</f>
        <v>2</v>
      </c>
      <c r="H1632" s="1" t="s">
        <v>16</v>
      </c>
      <c r="I1632" s="1" t="s">
        <v>16</v>
      </c>
      <c r="J1632" s="1" t="s">
        <v>16</v>
      </c>
      <c r="K1632" s="1" t="str">
        <f>IFERROR(INDEX(Database_repro!$A:$F, MATCH($N1632, Database_repro!$A:$A, 0), 5), "Not Found")</f>
        <v>No</v>
      </c>
      <c r="L1632" s="4" t="s">
        <v>17</v>
      </c>
      <c r="M1632" s="1" t="str">
        <f>IFERROR(IF(INDEX(Database_repro!$A:$F, MATCH($N1632, Database_repro!$A:$A, 0), 6)="N","No",IF(INDEX(Database_repro!$A:$F, MATCH($N1632, Database_repro!$A:$A, 0), 6)="Y","Yes","Z")), "Not Found")</f>
        <v>No</v>
      </c>
      <c r="N1632" t="s">
        <v>240</v>
      </c>
    </row>
    <row r="1633" spans="1:14" x14ac:dyDescent="0.25">
      <c r="A1633" s="9">
        <v>45418</v>
      </c>
      <c r="B1633" s="1" t="str">
        <f>IFERROR(VLOOKUP(MID(INDEX(Database_dermo!$A:$I, MATCH($N1633, Database_dermo!$A:$A, 0), 2),20,3),Notes!A$1:C$9,3,TRUE), "Not Found")</f>
        <v>LX-S</v>
      </c>
      <c r="C1633" s="1" t="str">
        <f>IFERROR(RIGHT(INDEX(Database_dermo!$A:$I, MATCH($N1633, Database_dermo!$A:$A, 0), 1),2), "Not Found")</f>
        <v>09</v>
      </c>
      <c r="D1633" s="1">
        <f>IFERROR(VLOOKUP(MID(INDEX(Database_dermo!$A:$I, MATCH($N1633, Database_dermo!$A:$A, 0), 2),20,3),Notes!A$1:C$9,2,TRUE), "Not Found")</f>
        <v>2</v>
      </c>
      <c r="E1633" s="1">
        <f>IFERROR(INDEX(Database_dermo!$A:$I, MATCH($N1633, Database_dermo!$A:$A, 0), 3), "Not Found")</f>
        <v>61.94</v>
      </c>
      <c r="F1633" s="1" t="str">
        <f>IFERROR(INDEX(Database_repro!$A:$F, MATCH($N1633, Database_repro!$A:$A, 0), 3), "Not Found")</f>
        <v>Z</v>
      </c>
      <c r="G1633" s="1">
        <f>IFERROR(INDEX(Database_repro!$A:$F, MATCH($N1633, Database_repro!$A:$A, 0), 4), "Not Found")</f>
        <v>4</v>
      </c>
      <c r="H1633" s="1" t="s">
        <v>16</v>
      </c>
      <c r="I1633" s="1" t="s">
        <v>16</v>
      </c>
      <c r="J1633" s="1" t="s">
        <v>16</v>
      </c>
      <c r="K1633" s="1" t="str">
        <f>IFERROR(INDEX(Database_repro!$A:$F, MATCH($N1633, Database_repro!$A:$A, 0), 5), "Not Found")</f>
        <v>No</v>
      </c>
      <c r="L1633" s="4" t="s">
        <v>17</v>
      </c>
      <c r="M1633" s="1" t="str">
        <f>IFERROR(IF(INDEX(Database_repro!$A:$F, MATCH($N1633, Database_repro!$A:$A, 0), 6)="N","No",IF(INDEX(Database_repro!$A:$F, MATCH($N1633, Database_repro!$A:$A, 0), 6)="Y","Yes","Z")), "Not Found")</f>
        <v>No</v>
      </c>
      <c r="N1633" t="s">
        <v>241</v>
      </c>
    </row>
    <row r="1634" spans="1:14" x14ac:dyDescent="0.25">
      <c r="A1634" s="9">
        <v>45418</v>
      </c>
      <c r="B1634" s="1" t="str">
        <f>IFERROR(VLOOKUP(MID(INDEX(Database_dermo!$A:$I, MATCH($N1634, Database_dermo!$A:$A, 0), 2),20,3),Notes!A$1:C$9,3,TRUE), "Not Found")</f>
        <v>LX-S</v>
      </c>
      <c r="C1634" s="1" t="str">
        <f>IFERROR(RIGHT(INDEX(Database_dermo!$A:$I, MATCH($N1634, Database_dermo!$A:$A, 0), 1),2), "Not Found")</f>
        <v>10</v>
      </c>
      <c r="D1634" s="1">
        <f>IFERROR(VLOOKUP(MID(INDEX(Database_dermo!$A:$I, MATCH($N1634, Database_dermo!$A:$A, 0), 2),20,3),Notes!A$1:C$9,2,TRUE), "Not Found")</f>
        <v>2</v>
      </c>
      <c r="E1634" s="1">
        <f>IFERROR(INDEX(Database_dermo!$A:$I, MATCH($N1634, Database_dermo!$A:$A, 0), 3), "Not Found")</f>
        <v>50.44</v>
      </c>
      <c r="F1634" s="1" t="str">
        <f>IFERROR(INDEX(Database_repro!$A:$F, MATCH($N1634, Database_repro!$A:$A, 0), 3), "Not Found")</f>
        <v>Z</v>
      </c>
      <c r="G1634" s="1" t="str">
        <f>IFERROR(INDEX(Database_repro!$A:$F, MATCH($N1634, Database_repro!$A:$A, 0), 4), "Not Found")</f>
        <v>Z</v>
      </c>
      <c r="H1634" s="1" t="s">
        <v>16</v>
      </c>
      <c r="I1634" s="1" t="s">
        <v>16</v>
      </c>
      <c r="J1634" s="1" t="s">
        <v>16</v>
      </c>
      <c r="K1634" s="1" t="str">
        <f>IFERROR(INDEX(Database_repro!$A:$F, MATCH($N1634, Database_repro!$A:$A, 0), 5), "Not Found")</f>
        <v>Buceph</v>
      </c>
      <c r="L1634" s="4" t="s">
        <v>17</v>
      </c>
      <c r="M1634" s="1" t="str">
        <f>IFERROR(IF(INDEX(Database_repro!$A:$F, MATCH($N1634, Database_repro!$A:$A, 0), 6)="N","No",IF(INDEX(Database_repro!$A:$F, MATCH($N1634, Database_repro!$A:$A, 0), 6)="Y","Yes","Z")), "Not Found")</f>
        <v>No</v>
      </c>
      <c r="N1634" t="s">
        <v>243</v>
      </c>
    </row>
    <row r="1635" spans="1:14" x14ac:dyDescent="0.25">
      <c r="A1635" s="9">
        <v>45418</v>
      </c>
      <c r="B1635" s="1" t="str">
        <f>IFERROR(VLOOKUP(MID(INDEX(Database_dermo!$A:$I, MATCH($N1635, Database_dermo!$A:$A, 0), 2),20,3),Notes!A$1:C$9,3,TRUE), "Not Found")</f>
        <v>LX-S</v>
      </c>
      <c r="C1635" s="1" t="str">
        <f>IFERROR(RIGHT(INDEX(Database_dermo!$A:$I, MATCH($N1635, Database_dermo!$A:$A, 0), 1),2), "Not Found")</f>
        <v>11</v>
      </c>
      <c r="D1635" s="1">
        <f>IFERROR(VLOOKUP(MID(INDEX(Database_dermo!$A:$I, MATCH($N1635, Database_dermo!$A:$A, 0), 2),20,3),Notes!A$1:C$9,2,TRUE), "Not Found")</f>
        <v>3</v>
      </c>
      <c r="E1635" s="1">
        <f>IFERROR(INDEX(Database_dermo!$A:$I, MATCH($N1635, Database_dermo!$A:$A, 0), 3), "Not Found")</f>
        <v>37.24</v>
      </c>
      <c r="F1635" s="1" t="str">
        <f>IFERROR(INDEX(Database_repro!$A:$F, MATCH($N1635, Database_repro!$A:$A, 0), 3), "Not Found")</f>
        <v>M</v>
      </c>
      <c r="G1635" s="1">
        <f>IFERROR(INDEX(Database_repro!$A:$F, MATCH($N1635, Database_repro!$A:$A, 0), 4), "Not Found")</f>
        <v>2</v>
      </c>
      <c r="H1635" s="1" t="s">
        <v>16</v>
      </c>
      <c r="I1635" s="1" t="s">
        <v>16</v>
      </c>
      <c r="J1635" s="1" t="s">
        <v>16</v>
      </c>
      <c r="K1635" s="1" t="str">
        <f>IFERROR(INDEX(Database_repro!$A:$F, MATCH($N1635, Database_repro!$A:$A, 0), 5), "Not Found")</f>
        <v>No</v>
      </c>
      <c r="L1635" s="4" t="s">
        <v>17</v>
      </c>
      <c r="M1635" s="1" t="str">
        <f>IFERROR(IF(INDEX(Database_repro!$A:$F, MATCH($N1635, Database_repro!$A:$A, 0), 6)="N","No",IF(INDEX(Database_repro!$A:$F, MATCH($N1635, Database_repro!$A:$A, 0), 6)="Y","Yes","Z")), "Not Found")</f>
        <v>No</v>
      </c>
      <c r="N1635" t="s">
        <v>244</v>
      </c>
    </row>
    <row r="1636" spans="1:14" x14ac:dyDescent="0.25">
      <c r="A1636" s="9">
        <v>45418</v>
      </c>
      <c r="B1636" s="1" t="str">
        <f>IFERROR(VLOOKUP(MID(INDEX(Database_dermo!$A:$I, MATCH($N1636, Database_dermo!$A:$A, 0), 2),20,3),Notes!A$1:C$9,3,TRUE), "Not Found")</f>
        <v>LX-S</v>
      </c>
      <c r="C1636" s="1" t="str">
        <f>IFERROR(RIGHT(INDEX(Database_dermo!$A:$I, MATCH($N1636, Database_dermo!$A:$A, 0), 1),2), "Not Found")</f>
        <v>12</v>
      </c>
      <c r="D1636" s="1">
        <f>IFERROR(VLOOKUP(MID(INDEX(Database_dermo!$A:$I, MATCH($N1636, Database_dermo!$A:$A, 0), 2),20,3),Notes!A$1:C$9,2,TRUE), "Not Found")</f>
        <v>3</v>
      </c>
      <c r="E1636" s="1">
        <f>IFERROR(INDEX(Database_dermo!$A:$I, MATCH($N1636, Database_dermo!$A:$A, 0), 3), "Not Found")</f>
        <v>76.12</v>
      </c>
      <c r="F1636" s="1" t="str">
        <f>IFERROR(INDEX(Database_repro!$A:$F, MATCH($N1636, Database_repro!$A:$A, 0), 3), "Not Found")</f>
        <v>F</v>
      </c>
      <c r="G1636" s="1">
        <f>IFERROR(INDEX(Database_repro!$A:$F, MATCH($N1636, Database_repro!$A:$A, 0), 4), "Not Found")</f>
        <v>2</v>
      </c>
      <c r="H1636" s="1" t="s">
        <v>16</v>
      </c>
      <c r="I1636" s="1" t="s">
        <v>16</v>
      </c>
      <c r="J1636" s="1" t="s">
        <v>16</v>
      </c>
      <c r="K1636" s="1" t="str">
        <f>IFERROR(INDEX(Database_repro!$A:$F, MATCH($N1636, Database_repro!$A:$A, 0), 5), "Not Found")</f>
        <v>No</v>
      </c>
      <c r="L1636" s="4" t="s">
        <v>17</v>
      </c>
      <c r="M1636" s="1" t="str">
        <f>IFERROR(IF(INDEX(Database_repro!$A:$F, MATCH($N1636, Database_repro!$A:$A, 0), 6)="N","No",IF(INDEX(Database_repro!$A:$F, MATCH($N1636, Database_repro!$A:$A, 0), 6)="Y","Yes","Z")), "Not Found")</f>
        <v>No</v>
      </c>
      <c r="N1636" t="s">
        <v>247</v>
      </c>
    </row>
    <row r="1637" spans="1:14" x14ac:dyDescent="0.25">
      <c r="A1637" s="9">
        <v>45418</v>
      </c>
      <c r="B1637" s="1" t="str">
        <f>IFERROR(VLOOKUP(MID(INDEX(Database_dermo!$A:$I, MATCH($N1637, Database_dermo!$A:$A, 0), 2),20,3),Notes!A$1:C$9,3,TRUE), "Not Found")</f>
        <v>LX-S</v>
      </c>
      <c r="C1637" s="1" t="str">
        <f>IFERROR(RIGHT(INDEX(Database_dermo!$A:$I, MATCH($N1637, Database_dermo!$A:$A, 0), 1),2), "Not Found")</f>
        <v>13</v>
      </c>
      <c r="D1637" s="1">
        <f>IFERROR(VLOOKUP(MID(INDEX(Database_dermo!$A:$I, MATCH($N1637, Database_dermo!$A:$A, 0), 2),20,3),Notes!A$1:C$9,2,TRUE), "Not Found")</f>
        <v>3</v>
      </c>
      <c r="E1637" s="1">
        <f>IFERROR(INDEX(Database_dermo!$A:$I, MATCH($N1637, Database_dermo!$A:$A, 0), 3), "Not Found")</f>
        <v>51.89</v>
      </c>
      <c r="F1637" s="1" t="str">
        <f>IFERROR(INDEX(Database_repro!$A:$F, MATCH($N1637, Database_repro!$A:$A, 0), 3), "Not Found")</f>
        <v>M</v>
      </c>
      <c r="G1637" s="1">
        <f>IFERROR(INDEX(Database_repro!$A:$F, MATCH($N1637, Database_repro!$A:$A, 0), 4), "Not Found")</f>
        <v>2</v>
      </c>
      <c r="H1637" s="1" t="s">
        <v>16</v>
      </c>
      <c r="I1637" s="1" t="s">
        <v>16</v>
      </c>
      <c r="J1637" s="1" t="s">
        <v>16</v>
      </c>
      <c r="K1637" s="1" t="str">
        <f>IFERROR(INDEX(Database_repro!$A:$F, MATCH($N1637, Database_repro!$A:$A, 0), 5), "Not Found")</f>
        <v>No</v>
      </c>
      <c r="L1637" s="4" t="s">
        <v>17</v>
      </c>
      <c r="M1637" s="1" t="str">
        <f>IFERROR(IF(INDEX(Database_repro!$A:$F, MATCH($N1637, Database_repro!$A:$A, 0), 6)="N","No",IF(INDEX(Database_repro!$A:$F, MATCH($N1637, Database_repro!$A:$A, 0), 6)="Y","Yes","Z")), "Not Found")</f>
        <v>No</v>
      </c>
      <c r="N1637" t="s">
        <v>248</v>
      </c>
    </row>
    <row r="1638" spans="1:14" x14ac:dyDescent="0.25">
      <c r="A1638" s="9">
        <v>45418</v>
      </c>
      <c r="B1638" s="1" t="str">
        <f>IFERROR(VLOOKUP(MID(INDEX(Database_dermo!$A:$I, MATCH($N1638, Database_dermo!$A:$A, 0), 2),20,3),Notes!A$1:C$9,3,TRUE), "Not Found")</f>
        <v>LX-S</v>
      </c>
      <c r="C1638" s="1" t="str">
        <f>IFERROR(RIGHT(INDEX(Database_dermo!$A:$I, MATCH($N1638, Database_dermo!$A:$A, 0), 1),2), "Not Found")</f>
        <v>14</v>
      </c>
      <c r="D1638" s="1">
        <f>IFERROR(VLOOKUP(MID(INDEX(Database_dermo!$A:$I, MATCH($N1638, Database_dermo!$A:$A, 0), 2),20,3),Notes!A$1:C$9,2,TRUE), "Not Found")</f>
        <v>3</v>
      </c>
      <c r="E1638" s="1">
        <f>IFERROR(INDEX(Database_dermo!$A:$I, MATCH($N1638, Database_dermo!$A:$A, 0), 3), "Not Found")</f>
        <v>40.11</v>
      </c>
      <c r="F1638" s="1" t="str">
        <f>IFERROR(INDEX(Database_repro!$A:$F, MATCH($N1638, Database_repro!$A:$A, 0), 3), "Not Found")</f>
        <v>M</v>
      </c>
      <c r="G1638" s="1">
        <f>IFERROR(INDEX(Database_repro!$A:$F, MATCH($N1638, Database_repro!$A:$A, 0), 4), "Not Found")</f>
        <v>2</v>
      </c>
      <c r="H1638" s="1" t="s">
        <v>16</v>
      </c>
      <c r="I1638" s="1" t="s">
        <v>16</v>
      </c>
      <c r="J1638" s="1" t="s">
        <v>16</v>
      </c>
      <c r="K1638" s="1" t="str">
        <f>IFERROR(INDEX(Database_repro!$A:$F, MATCH($N1638, Database_repro!$A:$A, 0), 5), "Not Found")</f>
        <v>No</v>
      </c>
      <c r="L1638" s="4" t="s">
        <v>17</v>
      </c>
      <c r="M1638" s="1" t="str">
        <f>IFERROR(IF(INDEX(Database_repro!$A:$F, MATCH($N1638, Database_repro!$A:$A, 0), 6)="N","No",IF(INDEX(Database_repro!$A:$F, MATCH($N1638, Database_repro!$A:$A, 0), 6)="Y","Yes","Z")), "Not Found")</f>
        <v>No</v>
      </c>
      <c r="N1638" t="s">
        <v>249</v>
      </c>
    </row>
    <row r="1639" spans="1:14" x14ac:dyDescent="0.25">
      <c r="A1639" s="9">
        <v>45418</v>
      </c>
      <c r="B1639" s="1" t="str">
        <f>IFERROR(VLOOKUP(MID(INDEX(Database_dermo!$A:$I, MATCH($N1639, Database_dermo!$A:$A, 0), 2),20,3),Notes!A$1:C$9,3,TRUE), "Not Found")</f>
        <v>LX-S</v>
      </c>
      <c r="C1639" s="1" t="str">
        <f>IFERROR(RIGHT(INDEX(Database_dermo!$A:$I, MATCH($N1639, Database_dermo!$A:$A, 0), 1),2), "Not Found")</f>
        <v>15</v>
      </c>
      <c r="D1639" s="1">
        <f>IFERROR(VLOOKUP(MID(INDEX(Database_dermo!$A:$I, MATCH($N1639, Database_dermo!$A:$A, 0), 2),20,3),Notes!A$1:C$9,2,TRUE), "Not Found")</f>
        <v>3</v>
      </c>
      <c r="E1639" s="1">
        <f>IFERROR(INDEX(Database_dermo!$A:$I, MATCH($N1639, Database_dermo!$A:$A, 0), 3), "Not Found")</f>
        <v>57.81</v>
      </c>
      <c r="F1639" s="1" t="str">
        <f>IFERROR(INDEX(Database_repro!$A:$F, MATCH($N1639, Database_repro!$A:$A, 0), 3), "Not Found")</f>
        <v>F</v>
      </c>
      <c r="G1639" s="1">
        <f>IFERROR(INDEX(Database_repro!$A:$F, MATCH($N1639, Database_repro!$A:$A, 0), 4), "Not Found")</f>
        <v>2</v>
      </c>
      <c r="H1639" s="1" t="s">
        <v>16</v>
      </c>
      <c r="I1639" s="1" t="s">
        <v>16</v>
      </c>
      <c r="J1639" s="1" t="s">
        <v>16</v>
      </c>
      <c r="K1639" s="1" t="str">
        <f>IFERROR(INDEX(Database_repro!$A:$F, MATCH($N1639, Database_repro!$A:$A, 0), 5), "Not Found")</f>
        <v>No</v>
      </c>
      <c r="L1639" s="4" t="s">
        <v>17</v>
      </c>
      <c r="M1639" s="1" t="str">
        <f>IFERROR(IF(INDEX(Database_repro!$A:$F, MATCH($N1639, Database_repro!$A:$A, 0), 6)="N","No",IF(INDEX(Database_repro!$A:$F, MATCH($N1639, Database_repro!$A:$A, 0), 6)="Y","Yes","Z")), "Not Found")</f>
        <v>No</v>
      </c>
      <c r="N1639" t="s">
        <v>250</v>
      </c>
    </row>
    <row r="1640" spans="1:14" x14ac:dyDescent="0.25">
      <c r="A1640" s="9">
        <v>45446</v>
      </c>
      <c r="B1640" s="1" t="str">
        <f>IFERROR(VLOOKUP(MID(INDEX(Database_dermo!$A:$I, MATCH($N1640, Database_dermo!$A:$A, 0), 2),20,3),Notes!A$1:C$9,3,TRUE), "Not Found")</f>
        <v>LX-S</v>
      </c>
      <c r="C1640" s="1" t="str">
        <f>IFERROR(RIGHT(INDEX(Database_dermo!$A:$I, MATCH($N1640, Database_dermo!$A:$A, 0), 1),2), "Not Found")</f>
        <v>01</v>
      </c>
      <c r="D1640" s="1">
        <f>IFERROR(VLOOKUP(MID(INDEX(Database_dermo!$A:$I, MATCH($N1640, Database_dermo!$A:$A, 0), 2),20,3),Notes!A$1:C$9,2,TRUE), "Not Found")</f>
        <v>1</v>
      </c>
      <c r="E1640" s="1">
        <f>IFERROR(INDEX(Database_dermo!$A:$I, MATCH($N1640, Database_dermo!$A:$A, 0), 3), "Not Found")</f>
        <v>38.76</v>
      </c>
      <c r="F1640" s="1" t="str">
        <f>IFERROR(INDEX(Database_repro!$A:$F, MATCH($N1640, Database_repro!$A:$A, 0), 3), "Not Found")</f>
        <v>M</v>
      </c>
      <c r="G1640" s="1">
        <f>IFERROR(INDEX(Database_repro!$A:$F, MATCH($N1640, Database_repro!$A:$A, 0), 4), "Not Found")</f>
        <v>2</v>
      </c>
      <c r="H1640" s="1" t="s">
        <v>16</v>
      </c>
      <c r="I1640" s="1" t="s">
        <v>16</v>
      </c>
      <c r="J1640" s="1" t="s">
        <v>16</v>
      </c>
      <c r="K1640" s="1" t="str">
        <f>IFERROR(INDEX(Database_repro!$A:$F, MATCH($N1640, Database_repro!$A:$A, 0), 5), "Not Found")</f>
        <v>No</v>
      </c>
      <c r="L1640" s="4" t="s">
        <v>17</v>
      </c>
      <c r="M1640" s="1" t="str">
        <f>IFERROR(IF(INDEX(Database_repro!$A:$F, MATCH($N1640, Database_repro!$A:$A, 0), 6)="N","No",IF(INDEX(Database_repro!$A:$F, MATCH($N1640, Database_repro!$A:$A, 0), 6)="Y","Yes","Z")), "Not Found")</f>
        <v>No</v>
      </c>
      <c r="N1640" t="s">
        <v>251</v>
      </c>
    </row>
    <row r="1641" spans="1:14" x14ac:dyDescent="0.25">
      <c r="A1641" s="9">
        <v>45446</v>
      </c>
      <c r="B1641" s="1" t="str">
        <f>IFERROR(VLOOKUP(MID(INDEX(Database_dermo!$A:$I, MATCH($N1641, Database_dermo!$A:$A, 0), 2),20,3),Notes!A$1:C$9,3,TRUE), "Not Found")</f>
        <v>LX-S</v>
      </c>
      <c r="C1641" s="1" t="str">
        <f>IFERROR(RIGHT(INDEX(Database_dermo!$A:$I, MATCH($N1641, Database_dermo!$A:$A, 0), 1),2), "Not Found")</f>
        <v>02</v>
      </c>
      <c r="D1641" s="1">
        <f>IFERROR(VLOOKUP(MID(INDEX(Database_dermo!$A:$I, MATCH($N1641, Database_dermo!$A:$A, 0), 2),20,3),Notes!A$1:C$9,2,TRUE), "Not Found")</f>
        <v>1</v>
      </c>
      <c r="E1641" s="1">
        <f>IFERROR(INDEX(Database_dermo!$A:$I, MATCH($N1641, Database_dermo!$A:$A, 0), 3), "Not Found")</f>
        <v>60.18</v>
      </c>
      <c r="F1641" s="1" t="str">
        <f>IFERROR(INDEX(Database_repro!$A:$F, MATCH($N1641, Database_repro!$A:$A, 0), 3), "Not Found")</f>
        <v>M</v>
      </c>
      <c r="G1641" s="1">
        <f>IFERROR(INDEX(Database_repro!$A:$F, MATCH($N1641, Database_repro!$A:$A, 0), 4), "Not Found")</f>
        <v>2</v>
      </c>
      <c r="H1641" s="1" t="s">
        <v>16</v>
      </c>
      <c r="I1641" s="1" t="s">
        <v>16</v>
      </c>
      <c r="J1641" s="1" t="s">
        <v>16</v>
      </c>
      <c r="K1641" s="1" t="str">
        <f>IFERROR(INDEX(Database_repro!$A:$F, MATCH($N1641, Database_repro!$A:$A, 0), 5), "Not Found")</f>
        <v>No</v>
      </c>
      <c r="L1641" s="4" t="s">
        <v>17</v>
      </c>
      <c r="M1641" s="1" t="str">
        <f>IFERROR(IF(INDEX(Database_repro!$A:$F, MATCH($N1641, Database_repro!$A:$A, 0), 6)="N","No",IF(INDEX(Database_repro!$A:$F, MATCH($N1641, Database_repro!$A:$A, 0), 6)="Y","Yes","Z")), "Not Found")</f>
        <v>No</v>
      </c>
      <c r="N1641" t="s">
        <v>253</v>
      </c>
    </row>
    <row r="1642" spans="1:14" x14ac:dyDescent="0.25">
      <c r="A1642" s="9">
        <v>45446</v>
      </c>
      <c r="B1642" s="1" t="str">
        <f>IFERROR(VLOOKUP(MID(INDEX(Database_dermo!$A:$I, MATCH($N1642, Database_dermo!$A:$A, 0), 2),20,3),Notes!A$1:C$9,3,TRUE), "Not Found")</f>
        <v>LX-S</v>
      </c>
      <c r="C1642" s="1" t="str">
        <f>IFERROR(RIGHT(INDEX(Database_dermo!$A:$I, MATCH($N1642, Database_dermo!$A:$A, 0), 1),2), "Not Found")</f>
        <v>03</v>
      </c>
      <c r="D1642" s="1">
        <f>IFERROR(VLOOKUP(MID(INDEX(Database_dermo!$A:$I, MATCH($N1642, Database_dermo!$A:$A, 0), 2),20,3),Notes!A$1:C$9,2,TRUE), "Not Found")</f>
        <v>1</v>
      </c>
      <c r="E1642" s="1">
        <f>IFERROR(INDEX(Database_dermo!$A:$I, MATCH($N1642, Database_dermo!$A:$A, 0), 3), "Not Found")</f>
        <v>41.42</v>
      </c>
      <c r="F1642" s="1" t="str">
        <f>IFERROR(INDEX(Database_repro!$A:$F, MATCH($N1642, Database_repro!$A:$A, 0), 3), "Not Found")</f>
        <v>Z</v>
      </c>
      <c r="G1642" s="1">
        <f>IFERROR(INDEX(Database_repro!$A:$F, MATCH($N1642, Database_repro!$A:$A, 0), 4), "Not Found")</f>
        <v>4</v>
      </c>
      <c r="H1642" s="1" t="s">
        <v>16</v>
      </c>
      <c r="I1642" s="1" t="s">
        <v>16</v>
      </c>
      <c r="J1642" s="1" t="s">
        <v>16</v>
      </c>
      <c r="K1642" s="1" t="str">
        <f>IFERROR(INDEX(Database_repro!$A:$F, MATCH($N1642, Database_repro!$A:$A, 0), 5), "Not Found")</f>
        <v>No</v>
      </c>
      <c r="L1642" s="4" t="s">
        <v>17</v>
      </c>
      <c r="M1642" s="1" t="str">
        <f>IFERROR(IF(INDEX(Database_repro!$A:$F, MATCH($N1642, Database_repro!$A:$A, 0), 6)="N","No",IF(INDEX(Database_repro!$A:$F, MATCH($N1642, Database_repro!$A:$A, 0), 6)="Y","Yes","Z")), "Not Found")</f>
        <v>No</v>
      </c>
      <c r="N1642" t="s">
        <v>254</v>
      </c>
    </row>
    <row r="1643" spans="1:14" x14ac:dyDescent="0.25">
      <c r="A1643" s="9">
        <v>45446</v>
      </c>
      <c r="B1643" s="1" t="str">
        <f>IFERROR(VLOOKUP(MID(INDEX(Database_dermo!$A:$I, MATCH($N1643, Database_dermo!$A:$A, 0), 2),20,3),Notes!A$1:C$9,3,TRUE), "Not Found")</f>
        <v>LX-S</v>
      </c>
      <c r="C1643" s="1" t="str">
        <f>IFERROR(RIGHT(INDEX(Database_dermo!$A:$I, MATCH($N1643, Database_dermo!$A:$A, 0), 1),2), "Not Found")</f>
        <v>04</v>
      </c>
      <c r="D1643" s="1">
        <f>IFERROR(VLOOKUP(MID(INDEX(Database_dermo!$A:$I, MATCH($N1643, Database_dermo!$A:$A, 0), 2),20,3),Notes!A$1:C$9,2,TRUE), "Not Found")</f>
        <v>1</v>
      </c>
      <c r="E1643" s="1">
        <f>IFERROR(INDEX(Database_dermo!$A:$I, MATCH($N1643, Database_dermo!$A:$A, 0), 3), "Not Found")</f>
        <v>54.62</v>
      </c>
      <c r="F1643" s="1" t="str">
        <f>IFERROR(INDEX(Database_repro!$A:$F, MATCH($N1643, Database_repro!$A:$A, 0), 3), "Not Found")</f>
        <v>F</v>
      </c>
      <c r="G1643" s="1">
        <f>IFERROR(INDEX(Database_repro!$A:$F, MATCH($N1643, Database_repro!$A:$A, 0), 4), "Not Found")</f>
        <v>2</v>
      </c>
      <c r="H1643" s="1" t="s">
        <v>16</v>
      </c>
      <c r="I1643" s="1" t="s">
        <v>16</v>
      </c>
      <c r="J1643" s="1" t="s">
        <v>16</v>
      </c>
      <c r="K1643" s="1" t="str">
        <f>IFERROR(INDEX(Database_repro!$A:$F, MATCH($N1643, Database_repro!$A:$A, 0), 5), "Not Found")</f>
        <v>Yes</v>
      </c>
      <c r="L1643" s="4" t="s">
        <v>17</v>
      </c>
      <c r="M1643" s="1" t="str">
        <f>IFERROR(IF(INDEX(Database_repro!$A:$F, MATCH($N1643, Database_repro!$A:$A, 0), 6)="N","No",IF(INDEX(Database_repro!$A:$F, MATCH($N1643, Database_repro!$A:$A, 0), 6)="Y","Yes","Z")), "Not Found")</f>
        <v>No</v>
      </c>
      <c r="N1643" t="s">
        <v>256</v>
      </c>
    </row>
    <row r="1644" spans="1:14" x14ac:dyDescent="0.25">
      <c r="A1644" s="9">
        <v>45446</v>
      </c>
      <c r="B1644" s="1" t="str">
        <f>IFERROR(VLOOKUP(MID(INDEX(Database_dermo!$A:$I, MATCH($N1644, Database_dermo!$A:$A, 0), 2),20,3),Notes!A$1:C$9,3,TRUE), "Not Found")</f>
        <v>LX-S</v>
      </c>
      <c r="C1644" s="1" t="str">
        <f>IFERROR(RIGHT(INDEX(Database_dermo!$A:$I, MATCH($N1644, Database_dermo!$A:$A, 0), 1),2), "Not Found")</f>
        <v>05</v>
      </c>
      <c r="D1644" s="1">
        <f>IFERROR(VLOOKUP(MID(INDEX(Database_dermo!$A:$I, MATCH($N1644, Database_dermo!$A:$A, 0), 2),20,3),Notes!A$1:C$9,2,TRUE), "Not Found")</f>
        <v>1</v>
      </c>
      <c r="E1644" s="1">
        <f>IFERROR(INDEX(Database_dermo!$A:$I, MATCH($N1644, Database_dermo!$A:$A, 0), 3), "Not Found")</f>
        <v>43.48</v>
      </c>
      <c r="F1644" s="1" t="str">
        <f>IFERROR(INDEX(Database_repro!$A:$F, MATCH($N1644, Database_repro!$A:$A, 0), 3), "Not Found")</f>
        <v>Z</v>
      </c>
      <c r="G1644" s="1">
        <f>IFERROR(INDEX(Database_repro!$A:$F, MATCH($N1644, Database_repro!$A:$A, 0), 4), "Not Found")</f>
        <v>4</v>
      </c>
      <c r="H1644" s="1" t="s">
        <v>16</v>
      </c>
      <c r="I1644" s="1" t="s">
        <v>16</v>
      </c>
      <c r="J1644" s="1" t="s">
        <v>16</v>
      </c>
      <c r="K1644" s="1" t="str">
        <f>IFERROR(INDEX(Database_repro!$A:$F, MATCH($N1644, Database_repro!$A:$A, 0), 5), "Not Found")</f>
        <v>No</v>
      </c>
      <c r="L1644" s="4" t="s">
        <v>17</v>
      </c>
      <c r="M1644" s="1" t="str">
        <f>IFERROR(IF(INDEX(Database_repro!$A:$F, MATCH($N1644, Database_repro!$A:$A, 0), 6)="N","No",IF(INDEX(Database_repro!$A:$F, MATCH($N1644, Database_repro!$A:$A, 0), 6)="Y","Yes","Z")), "Not Found")</f>
        <v>No</v>
      </c>
      <c r="N1644" t="s">
        <v>257</v>
      </c>
    </row>
    <row r="1645" spans="1:14" x14ac:dyDescent="0.25">
      <c r="A1645" s="9">
        <v>45446</v>
      </c>
      <c r="B1645" s="1" t="str">
        <f>IFERROR(VLOOKUP(MID(INDEX(Database_dermo!$A:$I, MATCH($N1645, Database_dermo!$A:$A, 0), 2),20,3),Notes!A$1:C$9,3,TRUE), "Not Found")</f>
        <v>LX-S</v>
      </c>
      <c r="C1645" s="1" t="str">
        <f>IFERROR(RIGHT(INDEX(Database_dermo!$A:$I, MATCH($N1645, Database_dermo!$A:$A, 0), 1),2), "Not Found")</f>
        <v>06</v>
      </c>
      <c r="D1645" s="1">
        <f>IFERROR(VLOOKUP(MID(INDEX(Database_dermo!$A:$I, MATCH($N1645, Database_dermo!$A:$A, 0), 2),20,3),Notes!A$1:C$9,2,TRUE), "Not Found")</f>
        <v>2</v>
      </c>
      <c r="E1645" s="1">
        <f>IFERROR(INDEX(Database_dermo!$A:$I, MATCH($N1645, Database_dermo!$A:$A, 0), 3), "Not Found")</f>
        <v>53.36</v>
      </c>
      <c r="F1645" s="1" t="str">
        <f>IFERROR(INDEX(Database_repro!$A:$F, MATCH($N1645, Database_repro!$A:$A, 0), 3), "Not Found")</f>
        <v>F</v>
      </c>
      <c r="G1645" s="1">
        <f>IFERROR(INDEX(Database_repro!$A:$F, MATCH($N1645, Database_repro!$A:$A, 0), 4), "Not Found")</f>
        <v>2</v>
      </c>
      <c r="H1645" s="1" t="s">
        <v>16</v>
      </c>
      <c r="I1645" s="1" t="s">
        <v>16</v>
      </c>
      <c r="J1645" s="1" t="s">
        <v>16</v>
      </c>
      <c r="K1645" s="1" t="str">
        <f>IFERROR(INDEX(Database_repro!$A:$F, MATCH($N1645, Database_repro!$A:$A, 0), 5), "Not Found")</f>
        <v>No</v>
      </c>
      <c r="L1645" s="4" t="s">
        <v>17</v>
      </c>
      <c r="M1645" s="1" t="str">
        <f>IFERROR(IF(INDEX(Database_repro!$A:$F, MATCH($N1645, Database_repro!$A:$A, 0), 6)="N","No",IF(INDEX(Database_repro!$A:$F, MATCH($N1645, Database_repro!$A:$A, 0), 6)="Y","Yes","Z")), "Not Found")</f>
        <v>No</v>
      </c>
      <c r="N1645" t="s">
        <v>259</v>
      </c>
    </row>
    <row r="1646" spans="1:14" x14ac:dyDescent="0.25">
      <c r="A1646" s="9">
        <v>45446</v>
      </c>
      <c r="B1646" s="1" t="str">
        <f>IFERROR(VLOOKUP(MID(INDEX(Database_dermo!$A:$I, MATCH($N1646, Database_dermo!$A:$A, 0), 2),20,3),Notes!A$1:C$9,3,TRUE), "Not Found")</f>
        <v>LX-S</v>
      </c>
      <c r="C1646" s="1" t="str">
        <f>IFERROR(RIGHT(INDEX(Database_dermo!$A:$I, MATCH($N1646, Database_dermo!$A:$A, 0), 1),2), "Not Found")</f>
        <v>07</v>
      </c>
      <c r="D1646" s="1">
        <f>IFERROR(VLOOKUP(MID(INDEX(Database_dermo!$A:$I, MATCH($N1646, Database_dermo!$A:$A, 0), 2),20,3),Notes!A$1:C$9,2,TRUE), "Not Found")</f>
        <v>2</v>
      </c>
      <c r="E1646" s="1">
        <f>IFERROR(INDEX(Database_dermo!$A:$I, MATCH($N1646, Database_dermo!$A:$A, 0), 3), "Not Found")</f>
        <v>52.74</v>
      </c>
      <c r="F1646" s="1" t="str">
        <f>IFERROR(INDEX(Database_repro!$A:$F, MATCH($N1646, Database_repro!$A:$A, 0), 3), "Not Found")</f>
        <v>M</v>
      </c>
      <c r="G1646" s="1">
        <f>IFERROR(INDEX(Database_repro!$A:$F, MATCH($N1646, Database_repro!$A:$A, 0), 4), "Not Found")</f>
        <v>2</v>
      </c>
      <c r="H1646" s="1" t="s">
        <v>16</v>
      </c>
      <c r="I1646" s="1" t="s">
        <v>16</v>
      </c>
      <c r="J1646" s="1" t="s">
        <v>16</v>
      </c>
      <c r="K1646" s="1" t="str">
        <f>IFERROR(INDEX(Database_repro!$A:$F, MATCH($N1646, Database_repro!$A:$A, 0), 5), "Not Found")</f>
        <v>No</v>
      </c>
      <c r="L1646" s="4" t="s">
        <v>17</v>
      </c>
      <c r="M1646" s="1" t="str">
        <f>IFERROR(IF(INDEX(Database_repro!$A:$F, MATCH($N1646, Database_repro!$A:$A, 0), 6)="N","No",IF(INDEX(Database_repro!$A:$F, MATCH($N1646, Database_repro!$A:$A, 0), 6)="Y","Yes","Z")), "Not Found")</f>
        <v>No</v>
      </c>
      <c r="N1646" t="s">
        <v>261</v>
      </c>
    </row>
    <row r="1647" spans="1:14" x14ac:dyDescent="0.25">
      <c r="A1647" s="9">
        <v>45446</v>
      </c>
      <c r="B1647" s="1" t="str">
        <f>IFERROR(VLOOKUP(MID(INDEX(Database_dermo!$A:$I, MATCH($N1647, Database_dermo!$A:$A, 0), 2),20,3),Notes!A$1:C$9,3,TRUE), "Not Found")</f>
        <v>LX-S</v>
      </c>
      <c r="C1647" s="1" t="str">
        <f>IFERROR(RIGHT(INDEX(Database_dermo!$A:$I, MATCH($N1647, Database_dermo!$A:$A, 0), 1),2), "Not Found")</f>
        <v>08</v>
      </c>
      <c r="D1647" s="1">
        <f>IFERROR(VLOOKUP(MID(INDEX(Database_dermo!$A:$I, MATCH($N1647, Database_dermo!$A:$A, 0), 2),20,3),Notes!A$1:C$9,2,TRUE), "Not Found")</f>
        <v>2</v>
      </c>
      <c r="E1647" s="1">
        <f>IFERROR(INDEX(Database_dermo!$A:$I, MATCH($N1647, Database_dermo!$A:$A, 0), 3), "Not Found")</f>
        <v>50.07</v>
      </c>
      <c r="F1647" s="1" t="str">
        <f>IFERROR(INDEX(Database_repro!$A:$F, MATCH($N1647, Database_repro!$A:$A, 0), 3), "Not Found")</f>
        <v>M</v>
      </c>
      <c r="G1647" s="1">
        <f>IFERROR(INDEX(Database_repro!$A:$F, MATCH($N1647, Database_repro!$A:$A, 0), 4), "Not Found")</f>
        <v>2</v>
      </c>
      <c r="H1647" s="1" t="s">
        <v>16</v>
      </c>
      <c r="I1647" s="1" t="s">
        <v>16</v>
      </c>
      <c r="J1647" s="1" t="s">
        <v>16</v>
      </c>
      <c r="K1647" s="1" t="str">
        <f>IFERROR(INDEX(Database_repro!$A:$F, MATCH($N1647, Database_repro!$A:$A, 0), 5), "Not Found")</f>
        <v>No</v>
      </c>
      <c r="L1647" s="4" t="s">
        <v>17</v>
      </c>
      <c r="M1647" s="1" t="str">
        <f>IFERROR(IF(INDEX(Database_repro!$A:$F, MATCH($N1647, Database_repro!$A:$A, 0), 6)="N","No",IF(INDEX(Database_repro!$A:$F, MATCH($N1647, Database_repro!$A:$A, 0), 6)="Y","Yes","Z")), "Not Found")</f>
        <v>No</v>
      </c>
      <c r="N1647" t="s">
        <v>262</v>
      </c>
    </row>
    <row r="1648" spans="1:14" x14ac:dyDescent="0.25">
      <c r="A1648" s="9">
        <v>45446</v>
      </c>
      <c r="B1648" s="1" t="str">
        <f>IFERROR(VLOOKUP(MID(INDEX(Database_dermo!$A:$I, MATCH($N1648, Database_dermo!$A:$A, 0), 2),20,3),Notes!A$1:C$9,3,TRUE), "Not Found")</f>
        <v>LX-S</v>
      </c>
      <c r="C1648" s="1" t="str">
        <f>IFERROR(RIGHT(INDEX(Database_dermo!$A:$I, MATCH($N1648, Database_dermo!$A:$A, 0), 1),2), "Not Found")</f>
        <v>09</v>
      </c>
      <c r="D1648" s="1">
        <f>IFERROR(VLOOKUP(MID(INDEX(Database_dermo!$A:$I, MATCH($N1648, Database_dermo!$A:$A, 0), 2),20,3),Notes!A$1:C$9,2,TRUE), "Not Found")</f>
        <v>2</v>
      </c>
      <c r="E1648" s="1">
        <f>IFERROR(INDEX(Database_dermo!$A:$I, MATCH($N1648, Database_dermo!$A:$A, 0), 3), "Not Found")</f>
        <v>51.35</v>
      </c>
      <c r="F1648" s="1" t="str">
        <f>IFERROR(INDEX(Database_repro!$A:$F, MATCH($N1648, Database_repro!$A:$A, 0), 3), "Not Found")</f>
        <v>F</v>
      </c>
      <c r="G1648" s="1">
        <f>IFERROR(INDEX(Database_repro!$A:$F, MATCH($N1648, Database_repro!$A:$A, 0), 4), "Not Found")</f>
        <v>2</v>
      </c>
      <c r="H1648" s="1" t="s">
        <v>16</v>
      </c>
      <c r="I1648" s="1" t="s">
        <v>16</v>
      </c>
      <c r="J1648" s="1" t="s">
        <v>16</v>
      </c>
      <c r="K1648" s="1" t="str">
        <f>IFERROR(INDEX(Database_repro!$A:$F, MATCH($N1648, Database_repro!$A:$A, 0), 5), "Not Found")</f>
        <v>No</v>
      </c>
      <c r="L1648" s="4" t="s">
        <v>17</v>
      </c>
      <c r="M1648" s="1" t="str">
        <f>IFERROR(IF(INDEX(Database_repro!$A:$F, MATCH($N1648, Database_repro!$A:$A, 0), 6)="N","No",IF(INDEX(Database_repro!$A:$F, MATCH($N1648, Database_repro!$A:$A, 0), 6)="Y","Yes","Z")), "Not Found")</f>
        <v>No</v>
      </c>
      <c r="N1648" t="s">
        <v>263</v>
      </c>
    </row>
    <row r="1649" spans="1:14" x14ac:dyDescent="0.25">
      <c r="A1649" s="9">
        <v>45446</v>
      </c>
      <c r="B1649" s="1" t="str">
        <f>IFERROR(VLOOKUP(MID(INDEX(Database_dermo!$A:$I, MATCH($N1649, Database_dermo!$A:$A, 0), 2),20,3),Notes!A$1:C$9,3,TRUE), "Not Found")</f>
        <v>LX-S</v>
      </c>
      <c r="C1649" s="1" t="str">
        <f>IFERROR(RIGHT(INDEX(Database_dermo!$A:$I, MATCH($N1649, Database_dermo!$A:$A, 0), 1),2), "Not Found")</f>
        <v>10</v>
      </c>
      <c r="D1649" s="1">
        <f>IFERROR(VLOOKUP(MID(INDEX(Database_dermo!$A:$I, MATCH($N1649, Database_dermo!$A:$A, 0), 2),20,3),Notes!A$1:C$9,2,TRUE), "Not Found")</f>
        <v>2</v>
      </c>
      <c r="E1649" s="1">
        <f>IFERROR(INDEX(Database_dermo!$A:$I, MATCH($N1649, Database_dermo!$A:$A, 0), 3), "Not Found")</f>
        <v>32.08</v>
      </c>
      <c r="F1649" s="1" t="str">
        <f>IFERROR(INDEX(Database_repro!$A:$F, MATCH($N1649, Database_repro!$A:$A, 0), 3), "Not Found")</f>
        <v>M</v>
      </c>
      <c r="G1649" s="1">
        <f>IFERROR(INDEX(Database_repro!$A:$F, MATCH($N1649, Database_repro!$A:$A, 0), 4), "Not Found")</f>
        <v>2</v>
      </c>
      <c r="H1649" s="1" t="s">
        <v>16</v>
      </c>
      <c r="I1649" s="1" t="s">
        <v>16</v>
      </c>
      <c r="J1649" s="1" t="s">
        <v>16</v>
      </c>
      <c r="K1649" s="1" t="str">
        <f>IFERROR(INDEX(Database_repro!$A:$F, MATCH($N1649, Database_repro!$A:$A, 0), 5), "Not Found")</f>
        <v>No</v>
      </c>
      <c r="L1649" s="4" t="s">
        <v>17</v>
      </c>
      <c r="M1649" s="1" t="str">
        <f>IFERROR(IF(INDEX(Database_repro!$A:$F, MATCH($N1649, Database_repro!$A:$A, 0), 6)="N","No",IF(INDEX(Database_repro!$A:$F, MATCH($N1649, Database_repro!$A:$A, 0), 6)="Y","Yes","Z")), "Not Found")</f>
        <v>No</v>
      </c>
      <c r="N1649" t="s">
        <v>264</v>
      </c>
    </row>
    <row r="1650" spans="1:14" x14ac:dyDescent="0.25">
      <c r="A1650" s="9">
        <v>45446</v>
      </c>
      <c r="B1650" s="1" t="str">
        <f>IFERROR(VLOOKUP(MID(INDEX(Database_dermo!$A:$I, MATCH($N1650, Database_dermo!$A:$A, 0), 2),20,3),Notes!A$1:C$9,3,TRUE), "Not Found")</f>
        <v>LX-S</v>
      </c>
      <c r="C1650" s="1" t="str">
        <f>IFERROR(RIGHT(INDEX(Database_dermo!$A:$I, MATCH($N1650, Database_dermo!$A:$A, 0), 1),2), "Not Found")</f>
        <v>11</v>
      </c>
      <c r="D1650" s="1">
        <f>IFERROR(VLOOKUP(MID(INDEX(Database_dermo!$A:$I, MATCH($N1650, Database_dermo!$A:$A, 0), 2),20,3),Notes!A$1:C$9,2,TRUE), "Not Found")</f>
        <v>3</v>
      </c>
      <c r="E1650" s="1">
        <f>IFERROR(INDEX(Database_dermo!$A:$I, MATCH($N1650, Database_dermo!$A:$A, 0), 3), "Not Found")</f>
        <v>43.43</v>
      </c>
      <c r="F1650" s="1" t="str">
        <f>IFERROR(INDEX(Database_repro!$A:$F, MATCH($N1650, Database_repro!$A:$A, 0), 3), "Not Found")</f>
        <v>M</v>
      </c>
      <c r="G1650" s="1">
        <f>IFERROR(INDEX(Database_repro!$A:$F, MATCH($N1650, Database_repro!$A:$A, 0), 4), "Not Found")</f>
        <v>2</v>
      </c>
      <c r="H1650" s="1" t="s">
        <v>16</v>
      </c>
      <c r="I1650" s="1" t="s">
        <v>16</v>
      </c>
      <c r="J1650" s="1" t="s">
        <v>16</v>
      </c>
      <c r="K1650" s="1" t="str">
        <f>IFERROR(INDEX(Database_repro!$A:$F, MATCH($N1650, Database_repro!$A:$A, 0), 5), "Not Found")</f>
        <v>No</v>
      </c>
      <c r="L1650" s="4" t="s">
        <v>17</v>
      </c>
      <c r="M1650" s="1" t="str">
        <f>IFERROR(IF(INDEX(Database_repro!$A:$F, MATCH($N1650, Database_repro!$A:$A, 0), 6)="N","No",IF(INDEX(Database_repro!$A:$F, MATCH($N1650, Database_repro!$A:$A, 0), 6)="Y","Yes","Z")), "Not Found")</f>
        <v>No</v>
      </c>
      <c r="N1650" t="s">
        <v>265</v>
      </c>
    </row>
    <row r="1651" spans="1:14" x14ac:dyDescent="0.25">
      <c r="A1651" s="9">
        <v>45446</v>
      </c>
      <c r="B1651" s="1" t="str">
        <f>IFERROR(VLOOKUP(MID(INDEX(Database_dermo!$A:$I, MATCH($N1651, Database_dermo!$A:$A, 0), 2),20,3),Notes!A$1:C$9,3,TRUE), "Not Found")</f>
        <v>LX-S</v>
      </c>
      <c r="C1651" s="1" t="str">
        <f>IFERROR(RIGHT(INDEX(Database_dermo!$A:$I, MATCH($N1651, Database_dermo!$A:$A, 0), 1),2), "Not Found")</f>
        <v>12</v>
      </c>
      <c r="D1651" s="1">
        <f>IFERROR(VLOOKUP(MID(INDEX(Database_dermo!$A:$I, MATCH($N1651, Database_dermo!$A:$A, 0), 2),20,3),Notes!A$1:C$9,2,TRUE), "Not Found")</f>
        <v>3</v>
      </c>
      <c r="E1651" s="1">
        <f>IFERROR(INDEX(Database_dermo!$A:$I, MATCH($N1651, Database_dermo!$A:$A, 0), 3), "Not Found")</f>
        <v>45.3</v>
      </c>
      <c r="F1651" s="1" t="str">
        <f>IFERROR(INDEX(Database_repro!$A:$F, MATCH($N1651, Database_repro!$A:$A, 0), 3), "Not Found")</f>
        <v>M</v>
      </c>
      <c r="G1651" s="1">
        <f>IFERROR(INDEX(Database_repro!$A:$F, MATCH($N1651, Database_repro!$A:$A, 0), 4), "Not Found")</f>
        <v>2</v>
      </c>
      <c r="H1651" s="1" t="s">
        <v>16</v>
      </c>
      <c r="I1651" s="1" t="s">
        <v>16</v>
      </c>
      <c r="J1651" s="1" t="s">
        <v>16</v>
      </c>
      <c r="K1651" s="1" t="str">
        <f>IFERROR(INDEX(Database_repro!$A:$F, MATCH($N1651, Database_repro!$A:$A, 0), 5), "Not Found")</f>
        <v>No</v>
      </c>
      <c r="L1651" s="4" t="s">
        <v>17</v>
      </c>
      <c r="M1651" s="1" t="str">
        <f>IFERROR(IF(INDEX(Database_repro!$A:$F, MATCH($N1651, Database_repro!$A:$A, 0), 6)="N","No",IF(INDEX(Database_repro!$A:$F, MATCH($N1651, Database_repro!$A:$A, 0), 6)="Y","Yes","Z")), "Not Found")</f>
        <v>No</v>
      </c>
      <c r="N1651" t="s">
        <v>267</v>
      </c>
    </row>
    <row r="1652" spans="1:14" x14ac:dyDescent="0.25">
      <c r="A1652" s="9">
        <v>45446</v>
      </c>
      <c r="B1652" s="1" t="str">
        <f>IFERROR(VLOOKUP(MID(INDEX(Database_dermo!$A:$I, MATCH($N1652, Database_dermo!$A:$A, 0), 2),20,3),Notes!A$1:C$9,3,TRUE), "Not Found")</f>
        <v>LX-S</v>
      </c>
      <c r="C1652" s="1" t="str">
        <f>IFERROR(RIGHT(INDEX(Database_dermo!$A:$I, MATCH($N1652, Database_dermo!$A:$A, 0), 1),2), "Not Found")</f>
        <v>13</v>
      </c>
      <c r="D1652" s="1">
        <f>IFERROR(VLOOKUP(MID(INDEX(Database_dermo!$A:$I, MATCH($N1652, Database_dermo!$A:$A, 0), 2),20,3),Notes!A$1:C$9,2,TRUE), "Not Found")</f>
        <v>3</v>
      </c>
      <c r="E1652" s="1">
        <f>IFERROR(INDEX(Database_dermo!$A:$I, MATCH($N1652, Database_dermo!$A:$A, 0), 3), "Not Found")</f>
        <v>30.71</v>
      </c>
      <c r="F1652" s="1" t="str">
        <f>IFERROR(INDEX(Database_repro!$A:$F, MATCH($N1652, Database_repro!$A:$A, 0), 3), "Not Found")</f>
        <v>M</v>
      </c>
      <c r="G1652" s="1">
        <f>IFERROR(INDEX(Database_repro!$A:$F, MATCH($N1652, Database_repro!$A:$A, 0), 4), "Not Found")</f>
        <v>2</v>
      </c>
      <c r="H1652" s="1" t="s">
        <v>16</v>
      </c>
      <c r="I1652" s="1" t="s">
        <v>16</v>
      </c>
      <c r="J1652" s="1" t="s">
        <v>16</v>
      </c>
      <c r="K1652" s="1" t="str">
        <f>IFERROR(INDEX(Database_repro!$A:$F, MATCH($N1652, Database_repro!$A:$A, 0), 5), "Not Found")</f>
        <v>No</v>
      </c>
      <c r="L1652" s="4" t="s">
        <v>17</v>
      </c>
      <c r="M1652" s="1" t="str">
        <f>IFERROR(IF(INDEX(Database_repro!$A:$F, MATCH($N1652, Database_repro!$A:$A, 0), 6)="N","No",IF(INDEX(Database_repro!$A:$F, MATCH($N1652, Database_repro!$A:$A, 0), 6)="Y","Yes","Z")), "Not Found")</f>
        <v>No</v>
      </c>
      <c r="N1652" t="s">
        <v>268</v>
      </c>
    </row>
    <row r="1653" spans="1:14" x14ac:dyDescent="0.25">
      <c r="A1653" s="9">
        <v>45446</v>
      </c>
      <c r="B1653" s="1" t="str">
        <f>IFERROR(VLOOKUP(MID(INDEX(Database_dermo!$A:$I, MATCH($N1653, Database_dermo!$A:$A, 0), 2),20,3),Notes!A$1:C$9,3,TRUE), "Not Found")</f>
        <v>LX-S</v>
      </c>
      <c r="C1653" s="1" t="str">
        <f>IFERROR(RIGHT(INDEX(Database_dermo!$A:$I, MATCH($N1653, Database_dermo!$A:$A, 0), 1),2), "Not Found")</f>
        <v>14</v>
      </c>
      <c r="D1653" s="1">
        <f>IFERROR(VLOOKUP(MID(INDEX(Database_dermo!$A:$I, MATCH($N1653, Database_dermo!$A:$A, 0), 2),20,3),Notes!A$1:C$9,2,TRUE), "Not Found")</f>
        <v>3</v>
      </c>
      <c r="E1653" s="1">
        <f>IFERROR(INDEX(Database_dermo!$A:$I, MATCH($N1653, Database_dermo!$A:$A, 0), 3), "Not Found")</f>
        <v>46.84</v>
      </c>
      <c r="F1653" s="1" t="str">
        <f>IFERROR(INDEX(Database_repro!$A:$F, MATCH($N1653, Database_repro!$A:$A, 0), 3), "Not Found")</f>
        <v>M</v>
      </c>
      <c r="G1653" s="1">
        <f>IFERROR(INDEX(Database_repro!$A:$F, MATCH($N1653, Database_repro!$A:$A, 0), 4), "Not Found")</f>
        <v>2</v>
      </c>
      <c r="H1653" s="1" t="s">
        <v>16</v>
      </c>
      <c r="I1653" s="1" t="s">
        <v>16</v>
      </c>
      <c r="J1653" s="1" t="s">
        <v>16</v>
      </c>
      <c r="K1653" s="1" t="str">
        <f>IFERROR(INDEX(Database_repro!$A:$F, MATCH($N1653, Database_repro!$A:$A, 0), 5), "Not Found")</f>
        <v>No</v>
      </c>
      <c r="L1653" s="4" t="s">
        <v>17</v>
      </c>
      <c r="M1653" s="1" t="str">
        <f>IFERROR(IF(INDEX(Database_repro!$A:$F, MATCH($N1653, Database_repro!$A:$A, 0), 6)="N","No",IF(INDEX(Database_repro!$A:$F, MATCH($N1653, Database_repro!$A:$A, 0), 6)="Y","Yes","Z")), "Not Found")</f>
        <v>No</v>
      </c>
      <c r="N1653" t="s">
        <v>269</v>
      </c>
    </row>
    <row r="1654" spans="1:14" x14ac:dyDescent="0.25">
      <c r="A1654" s="9">
        <v>45446</v>
      </c>
      <c r="B1654" s="1" t="str">
        <f>IFERROR(VLOOKUP(MID(INDEX(Database_dermo!$A:$I, MATCH($N1654, Database_dermo!$A:$A, 0), 2),20,3),Notes!A$1:C$9,3,TRUE), "Not Found")</f>
        <v>LX-S</v>
      </c>
      <c r="C1654" s="1" t="str">
        <f>IFERROR(RIGHT(INDEX(Database_dermo!$A:$I, MATCH($N1654, Database_dermo!$A:$A, 0), 1),2), "Not Found")</f>
        <v>15</v>
      </c>
      <c r="D1654" s="1">
        <f>IFERROR(VLOOKUP(MID(INDEX(Database_dermo!$A:$I, MATCH($N1654, Database_dermo!$A:$A, 0), 2),20,3),Notes!A$1:C$9,2,TRUE), "Not Found")</f>
        <v>3</v>
      </c>
      <c r="E1654" s="1">
        <f>IFERROR(INDEX(Database_dermo!$A:$I, MATCH($N1654, Database_dermo!$A:$A, 0), 3), "Not Found")</f>
        <v>74.040000000000006</v>
      </c>
      <c r="F1654" s="1" t="str">
        <f>IFERROR(INDEX(Database_repro!$A:$F, MATCH($N1654, Database_repro!$A:$A, 0), 3), "Not Found")</f>
        <v>F</v>
      </c>
      <c r="G1654" s="1">
        <f>IFERROR(INDEX(Database_repro!$A:$F, MATCH($N1654, Database_repro!$A:$A, 0), 4), "Not Found")</f>
        <v>2</v>
      </c>
      <c r="H1654" s="1" t="s">
        <v>16</v>
      </c>
      <c r="I1654" s="1" t="s">
        <v>16</v>
      </c>
      <c r="J1654" s="1" t="s">
        <v>16</v>
      </c>
      <c r="K1654" s="1" t="str">
        <f>IFERROR(INDEX(Database_repro!$A:$F, MATCH($N1654, Database_repro!$A:$A, 0), 5), "Not Found")</f>
        <v>No</v>
      </c>
      <c r="L1654" s="4" t="s">
        <v>17</v>
      </c>
      <c r="M1654" s="1" t="str">
        <f>IFERROR(IF(INDEX(Database_repro!$A:$F, MATCH($N1654, Database_repro!$A:$A, 0), 6)="N","No",IF(INDEX(Database_repro!$A:$F, MATCH($N1654, Database_repro!$A:$A, 0), 6)="Y","Yes","Z")), "Not Found")</f>
        <v>No</v>
      </c>
      <c r="N1654" t="s">
        <v>270</v>
      </c>
    </row>
    <row r="1655" spans="1:14" x14ac:dyDescent="0.25">
      <c r="A1655" s="9">
        <v>45482</v>
      </c>
      <c r="B1655" s="1" t="str">
        <f>IFERROR(VLOOKUP(MID(INDEX(Database_dermo!$A:$I, MATCH($N1655, Database_dermo!$A:$A, 0), 2),20,3),Notes!A$1:C$9,3,TRUE), "Not Found")</f>
        <v>LX-S</v>
      </c>
      <c r="C1655" s="1" t="str">
        <f>IFERROR(RIGHT(INDEX(Database_dermo!$A:$I, MATCH($N1655, Database_dermo!$A:$A, 0), 1),2), "Not Found")</f>
        <v>01</v>
      </c>
      <c r="D1655" s="1">
        <f>IFERROR(VLOOKUP(MID(INDEX(Database_dermo!$A:$I, MATCH($N1655, Database_dermo!$A:$A, 0), 2),20,3),Notes!A$1:C$9,2,TRUE), "Not Found")</f>
        <v>1</v>
      </c>
      <c r="E1655" s="1">
        <f>IFERROR(INDEX(Database_dermo!$A:$I, MATCH($N1655, Database_dermo!$A:$A, 0), 3), "Not Found")</f>
        <v>67.88</v>
      </c>
      <c r="F1655" s="1" t="str">
        <f>IFERROR(INDEX(Database_repro!$A:$F, MATCH($N1655, Database_repro!$A:$A, 0), 3), "Not Found")</f>
        <v>F</v>
      </c>
      <c r="G1655" s="1">
        <f>IFERROR(INDEX(Database_repro!$A:$F, MATCH($N1655, Database_repro!$A:$A, 0), 4), "Not Found")</f>
        <v>1</v>
      </c>
      <c r="H1655" s="1" t="s">
        <v>16</v>
      </c>
      <c r="I1655" s="1" t="s">
        <v>16</v>
      </c>
      <c r="J1655" s="1" t="s">
        <v>16</v>
      </c>
      <c r="K1655" s="1" t="str">
        <f>IFERROR(INDEX(Database_repro!$A:$F, MATCH($N1655, Database_repro!$A:$A, 0), 5), "Not Found")</f>
        <v>No</v>
      </c>
      <c r="L1655" s="4" t="s">
        <v>17</v>
      </c>
      <c r="M1655" s="1" t="str">
        <f>IFERROR(IF(INDEX(Database_repro!$A:$F, MATCH($N1655, Database_repro!$A:$A, 0), 6)="N","No",IF(INDEX(Database_repro!$A:$F, MATCH($N1655, Database_repro!$A:$A, 0), 6)="Y","Yes","Z")), "Not Found")</f>
        <v>No</v>
      </c>
      <c r="N1655" t="s">
        <v>272</v>
      </c>
    </row>
    <row r="1656" spans="1:14" x14ac:dyDescent="0.25">
      <c r="A1656" s="9">
        <v>45482</v>
      </c>
      <c r="B1656" s="1" t="str">
        <f>IFERROR(VLOOKUP(MID(INDEX(Database_dermo!$A:$I, MATCH($N1656, Database_dermo!$A:$A, 0), 2),20,3),Notes!A$1:C$9,3,TRUE), "Not Found")</f>
        <v>LX-S</v>
      </c>
      <c r="C1656" s="1" t="str">
        <f>IFERROR(RIGHT(INDEX(Database_dermo!$A:$I, MATCH($N1656, Database_dermo!$A:$A, 0), 1),2), "Not Found")</f>
        <v>02</v>
      </c>
      <c r="D1656" s="1">
        <f>IFERROR(VLOOKUP(MID(INDEX(Database_dermo!$A:$I, MATCH($N1656, Database_dermo!$A:$A, 0), 2),20,3),Notes!A$1:C$9,2,TRUE), "Not Found")</f>
        <v>1</v>
      </c>
      <c r="E1656" s="1">
        <f>IFERROR(INDEX(Database_dermo!$A:$I, MATCH($N1656, Database_dermo!$A:$A, 0), 3), "Not Found")</f>
        <v>68.739999999999995</v>
      </c>
      <c r="F1656" s="1" t="str">
        <f>IFERROR(INDEX(Database_repro!$A:$F, MATCH($N1656, Database_repro!$A:$A, 0), 3), "Not Found")</f>
        <v>F</v>
      </c>
      <c r="G1656" s="1">
        <f>IFERROR(INDEX(Database_repro!$A:$F, MATCH($N1656, Database_repro!$A:$A, 0), 4), "Not Found")</f>
        <v>1</v>
      </c>
      <c r="H1656" s="1" t="s">
        <v>16</v>
      </c>
      <c r="I1656" s="1" t="s">
        <v>16</v>
      </c>
      <c r="J1656" s="1" t="s">
        <v>16</v>
      </c>
      <c r="K1656" s="1" t="str">
        <f>IFERROR(INDEX(Database_repro!$A:$F, MATCH($N1656, Database_repro!$A:$A, 0), 5), "Not Found")</f>
        <v>No</v>
      </c>
      <c r="L1656" s="4" t="s">
        <v>17</v>
      </c>
      <c r="M1656" s="1" t="str">
        <f>IFERROR(IF(INDEX(Database_repro!$A:$F, MATCH($N1656, Database_repro!$A:$A, 0), 6)="N","No",IF(INDEX(Database_repro!$A:$F, MATCH($N1656, Database_repro!$A:$A, 0), 6)="Y","Yes","Z")), "Not Found")</f>
        <v>No</v>
      </c>
      <c r="N1656" t="s">
        <v>274</v>
      </c>
    </row>
    <row r="1657" spans="1:14" x14ac:dyDescent="0.25">
      <c r="A1657" s="9">
        <v>45482</v>
      </c>
      <c r="B1657" s="1" t="str">
        <f>IFERROR(VLOOKUP(MID(INDEX(Database_dermo!$A:$I, MATCH($N1657, Database_dermo!$A:$A, 0), 2),20,3),Notes!A$1:C$9,3,TRUE), "Not Found")</f>
        <v>LX-S</v>
      </c>
      <c r="C1657" s="1" t="str">
        <f>IFERROR(RIGHT(INDEX(Database_dermo!$A:$I, MATCH($N1657, Database_dermo!$A:$A, 0), 1),2), "Not Found")</f>
        <v>03</v>
      </c>
      <c r="D1657" s="1">
        <f>IFERROR(VLOOKUP(MID(INDEX(Database_dermo!$A:$I, MATCH($N1657, Database_dermo!$A:$A, 0), 2),20,3),Notes!A$1:C$9,2,TRUE), "Not Found")</f>
        <v>1</v>
      </c>
      <c r="E1657" s="1">
        <f>IFERROR(INDEX(Database_dermo!$A:$I, MATCH($N1657, Database_dermo!$A:$A, 0), 3), "Not Found")</f>
        <v>59.33</v>
      </c>
      <c r="F1657" s="1" t="str">
        <f>IFERROR(INDEX(Database_repro!$A:$F, MATCH($N1657, Database_repro!$A:$A, 0), 3), "Not Found")</f>
        <v>M</v>
      </c>
      <c r="G1657" s="1">
        <f>IFERROR(INDEX(Database_repro!$A:$F, MATCH($N1657, Database_repro!$A:$A, 0), 4), "Not Found")</f>
        <v>2</v>
      </c>
      <c r="H1657" s="1" t="s">
        <v>16</v>
      </c>
      <c r="I1657" s="1" t="s">
        <v>16</v>
      </c>
      <c r="J1657" s="1" t="s">
        <v>16</v>
      </c>
      <c r="K1657" s="1" t="str">
        <f>IFERROR(INDEX(Database_repro!$A:$F, MATCH($N1657, Database_repro!$A:$A, 0), 5), "Not Found")</f>
        <v>No</v>
      </c>
      <c r="L1657" s="4" t="s">
        <v>17</v>
      </c>
      <c r="M1657" s="1" t="str">
        <f>IFERROR(IF(INDEX(Database_repro!$A:$F, MATCH($N1657, Database_repro!$A:$A, 0), 6)="N","No",IF(INDEX(Database_repro!$A:$F, MATCH($N1657, Database_repro!$A:$A, 0), 6)="Y","Yes","Z")), "Not Found")</f>
        <v>No</v>
      </c>
      <c r="N1657" t="s">
        <v>275</v>
      </c>
    </row>
    <row r="1658" spans="1:14" x14ac:dyDescent="0.25">
      <c r="A1658" s="9">
        <v>45482</v>
      </c>
      <c r="B1658" s="1" t="str">
        <f>IFERROR(VLOOKUP(MID(INDEX(Database_dermo!$A:$I, MATCH($N1658, Database_dermo!$A:$A, 0), 2),20,3),Notes!A$1:C$9,3,TRUE), "Not Found")</f>
        <v>LX-S</v>
      </c>
      <c r="C1658" s="1" t="str">
        <f>IFERROR(RIGHT(INDEX(Database_dermo!$A:$I, MATCH($N1658, Database_dermo!$A:$A, 0), 1),2), "Not Found")</f>
        <v>04</v>
      </c>
      <c r="D1658" s="1">
        <f>IFERROR(VLOOKUP(MID(INDEX(Database_dermo!$A:$I, MATCH($N1658, Database_dermo!$A:$A, 0), 2),20,3),Notes!A$1:C$9,2,TRUE), "Not Found")</f>
        <v>1</v>
      </c>
      <c r="E1658" s="1">
        <f>IFERROR(INDEX(Database_dermo!$A:$I, MATCH($N1658, Database_dermo!$A:$A, 0), 3), "Not Found")</f>
        <v>50.5</v>
      </c>
      <c r="F1658" s="1" t="str">
        <f>IFERROR(INDEX(Database_repro!$A:$F, MATCH($N1658, Database_repro!$A:$A, 0), 3), "Not Found")</f>
        <v>F</v>
      </c>
      <c r="G1658" s="1">
        <f>IFERROR(INDEX(Database_repro!$A:$F, MATCH($N1658, Database_repro!$A:$A, 0), 4), "Not Found")</f>
        <v>2</v>
      </c>
      <c r="H1658" s="1" t="s">
        <v>16</v>
      </c>
      <c r="I1658" s="1" t="s">
        <v>16</v>
      </c>
      <c r="J1658" s="1" t="s">
        <v>16</v>
      </c>
      <c r="K1658" s="1" t="str">
        <f>IFERROR(INDEX(Database_repro!$A:$F, MATCH($N1658, Database_repro!$A:$A, 0), 5), "Not Found")</f>
        <v>No</v>
      </c>
      <c r="L1658" s="4" t="s">
        <v>17</v>
      </c>
      <c r="M1658" s="1" t="str">
        <f>IFERROR(IF(INDEX(Database_repro!$A:$F, MATCH($N1658, Database_repro!$A:$A, 0), 6)="N","No",IF(INDEX(Database_repro!$A:$F, MATCH($N1658, Database_repro!$A:$A, 0), 6)="Y","Yes","Z")), "Not Found")</f>
        <v>No</v>
      </c>
      <c r="N1658" t="s">
        <v>276</v>
      </c>
    </row>
    <row r="1659" spans="1:14" x14ac:dyDescent="0.25">
      <c r="A1659" s="9">
        <v>45482</v>
      </c>
      <c r="B1659" s="1" t="str">
        <f>IFERROR(VLOOKUP(MID(INDEX(Database_dermo!$A:$I, MATCH($N1659, Database_dermo!$A:$A, 0), 2),20,3),Notes!A$1:C$9,3,TRUE), "Not Found")</f>
        <v>LX-S</v>
      </c>
      <c r="C1659" s="1" t="str">
        <f>IFERROR(RIGHT(INDEX(Database_dermo!$A:$I, MATCH($N1659, Database_dermo!$A:$A, 0), 1),2), "Not Found")</f>
        <v>05</v>
      </c>
      <c r="D1659" s="1">
        <f>IFERROR(VLOOKUP(MID(INDEX(Database_dermo!$A:$I, MATCH($N1659, Database_dermo!$A:$A, 0), 2),20,3),Notes!A$1:C$9,2,TRUE), "Not Found")</f>
        <v>1</v>
      </c>
      <c r="E1659" s="1">
        <f>IFERROR(INDEX(Database_dermo!$A:$I, MATCH($N1659, Database_dermo!$A:$A, 0), 3), "Not Found")</f>
        <v>57.8</v>
      </c>
      <c r="F1659" s="1" t="str">
        <f>IFERROR(INDEX(Database_repro!$A:$F, MATCH($N1659, Database_repro!$A:$A, 0), 3), "Not Found")</f>
        <v>F</v>
      </c>
      <c r="G1659" s="1">
        <f>IFERROR(INDEX(Database_repro!$A:$F, MATCH($N1659, Database_repro!$A:$A, 0), 4), "Not Found")</f>
        <v>2</v>
      </c>
      <c r="H1659" s="1" t="s">
        <v>16</v>
      </c>
      <c r="I1659" s="1" t="s">
        <v>16</v>
      </c>
      <c r="J1659" s="1" t="s">
        <v>16</v>
      </c>
      <c r="K1659" s="1" t="str">
        <f>IFERROR(INDEX(Database_repro!$A:$F, MATCH($N1659, Database_repro!$A:$A, 0), 5), "Not Found")</f>
        <v>No</v>
      </c>
      <c r="L1659" s="4" t="s">
        <v>17</v>
      </c>
      <c r="M1659" s="1" t="str">
        <f>IFERROR(IF(INDEX(Database_repro!$A:$F, MATCH($N1659, Database_repro!$A:$A, 0), 6)="N","No",IF(INDEX(Database_repro!$A:$F, MATCH($N1659, Database_repro!$A:$A, 0), 6)="Y","Yes","Z")), "Not Found")</f>
        <v>No</v>
      </c>
      <c r="N1659" t="s">
        <v>277</v>
      </c>
    </row>
    <row r="1660" spans="1:14" x14ac:dyDescent="0.25">
      <c r="A1660" s="9">
        <v>45482</v>
      </c>
      <c r="B1660" s="1" t="str">
        <f>IFERROR(VLOOKUP(MID(INDEX(Database_dermo!$A:$I, MATCH($N1660, Database_dermo!$A:$A, 0), 2),20,3),Notes!A$1:C$9,3,TRUE), "Not Found")</f>
        <v>LX-S</v>
      </c>
      <c r="C1660" s="1" t="str">
        <f>IFERROR(RIGHT(INDEX(Database_dermo!$A:$I, MATCH($N1660, Database_dermo!$A:$A, 0), 1),2), "Not Found")</f>
        <v>06</v>
      </c>
      <c r="D1660" s="1">
        <f>IFERROR(VLOOKUP(MID(INDEX(Database_dermo!$A:$I, MATCH($N1660, Database_dermo!$A:$A, 0), 2),20,3),Notes!A$1:C$9,2,TRUE), "Not Found")</f>
        <v>2</v>
      </c>
      <c r="E1660" s="1">
        <f>IFERROR(INDEX(Database_dermo!$A:$I, MATCH($N1660, Database_dermo!$A:$A, 0), 3), "Not Found")</f>
        <v>86.28</v>
      </c>
      <c r="F1660" s="1" t="str">
        <f>IFERROR(INDEX(Database_repro!$A:$F, MATCH($N1660, Database_repro!$A:$A, 0), 3), "Not Found")</f>
        <v>M</v>
      </c>
      <c r="G1660" s="1">
        <f>IFERROR(INDEX(Database_repro!$A:$F, MATCH($N1660, Database_repro!$A:$A, 0), 4), "Not Found")</f>
        <v>2</v>
      </c>
      <c r="H1660" s="1" t="s">
        <v>16</v>
      </c>
      <c r="I1660" s="1" t="s">
        <v>16</v>
      </c>
      <c r="J1660" s="1" t="s">
        <v>16</v>
      </c>
      <c r="K1660" s="1" t="str">
        <f>IFERROR(INDEX(Database_repro!$A:$F, MATCH($N1660, Database_repro!$A:$A, 0), 5), "Not Found")</f>
        <v>No</v>
      </c>
      <c r="L1660" s="4" t="s">
        <v>17</v>
      </c>
      <c r="M1660" s="1" t="str">
        <f>IFERROR(IF(INDEX(Database_repro!$A:$F, MATCH($N1660, Database_repro!$A:$A, 0), 6)="N","No",IF(INDEX(Database_repro!$A:$F, MATCH($N1660, Database_repro!$A:$A, 0), 6)="Y","Yes","Z")), "Not Found")</f>
        <v>No</v>
      </c>
      <c r="N1660" t="s">
        <v>278</v>
      </c>
    </row>
    <row r="1661" spans="1:14" x14ac:dyDescent="0.25">
      <c r="A1661" s="9">
        <v>45482</v>
      </c>
      <c r="B1661" s="1" t="str">
        <f>IFERROR(VLOOKUP(MID(INDEX(Database_dermo!$A:$I, MATCH($N1661, Database_dermo!$A:$A, 0), 2),20,3),Notes!A$1:C$9,3,TRUE), "Not Found")</f>
        <v>LX-S</v>
      </c>
      <c r="C1661" s="1" t="str">
        <f>IFERROR(RIGHT(INDEX(Database_dermo!$A:$I, MATCH($N1661, Database_dermo!$A:$A, 0), 1),2), "Not Found")</f>
        <v>07</v>
      </c>
      <c r="D1661" s="1">
        <f>IFERROR(VLOOKUP(MID(INDEX(Database_dermo!$A:$I, MATCH($N1661, Database_dermo!$A:$A, 0), 2),20,3),Notes!A$1:C$9,2,TRUE), "Not Found")</f>
        <v>2</v>
      </c>
      <c r="E1661" s="1">
        <f>IFERROR(INDEX(Database_dermo!$A:$I, MATCH($N1661, Database_dermo!$A:$A, 0), 3), "Not Found")</f>
        <v>61.71</v>
      </c>
      <c r="F1661" s="1" t="str">
        <f>IFERROR(INDEX(Database_repro!$A:$F, MATCH($N1661, Database_repro!$A:$A, 0), 3), "Not Found")</f>
        <v>F</v>
      </c>
      <c r="G1661" s="1">
        <f>IFERROR(INDEX(Database_repro!$A:$F, MATCH($N1661, Database_repro!$A:$A, 0), 4), "Not Found")</f>
        <v>2</v>
      </c>
      <c r="H1661" s="1" t="s">
        <v>16</v>
      </c>
      <c r="I1661" s="1" t="s">
        <v>16</v>
      </c>
      <c r="J1661" s="1" t="s">
        <v>16</v>
      </c>
      <c r="K1661" s="1" t="str">
        <f>IFERROR(INDEX(Database_repro!$A:$F, MATCH($N1661, Database_repro!$A:$A, 0), 5), "Not Found")</f>
        <v>No</v>
      </c>
      <c r="L1661" s="4" t="s">
        <v>17</v>
      </c>
      <c r="M1661" s="1" t="str">
        <f>IFERROR(IF(INDEX(Database_repro!$A:$F, MATCH($N1661, Database_repro!$A:$A, 0), 6)="N","No",IF(INDEX(Database_repro!$A:$F, MATCH($N1661, Database_repro!$A:$A, 0), 6)="Y","Yes","Z")), "Not Found")</f>
        <v>No</v>
      </c>
      <c r="N1661" t="s">
        <v>280</v>
      </c>
    </row>
    <row r="1662" spans="1:14" x14ac:dyDescent="0.25">
      <c r="A1662" s="9">
        <v>45482</v>
      </c>
      <c r="B1662" s="1" t="str">
        <f>IFERROR(VLOOKUP(MID(INDEX(Database_dermo!$A:$I, MATCH($N1662, Database_dermo!$A:$A, 0), 2),20,3),Notes!A$1:C$9,3,TRUE), "Not Found")</f>
        <v>LX-S</v>
      </c>
      <c r="C1662" s="1" t="str">
        <f>IFERROR(RIGHT(INDEX(Database_dermo!$A:$I, MATCH($N1662, Database_dermo!$A:$A, 0), 1),2), "Not Found")</f>
        <v>08</v>
      </c>
      <c r="D1662" s="1">
        <f>IFERROR(VLOOKUP(MID(INDEX(Database_dermo!$A:$I, MATCH($N1662, Database_dermo!$A:$A, 0), 2),20,3),Notes!A$1:C$9,2,TRUE), "Not Found")</f>
        <v>2</v>
      </c>
      <c r="E1662" s="1">
        <f>IFERROR(INDEX(Database_dermo!$A:$I, MATCH($N1662, Database_dermo!$A:$A, 0), 3), "Not Found")</f>
        <v>61.14</v>
      </c>
      <c r="F1662" s="1" t="str">
        <f>IFERROR(INDEX(Database_repro!$A:$F, MATCH($N1662, Database_repro!$A:$A, 0), 3), "Not Found")</f>
        <v>M</v>
      </c>
      <c r="G1662" s="1">
        <f>IFERROR(INDEX(Database_repro!$A:$F, MATCH($N1662, Database_repro!$A:$A, 0), 4), "Not Found")</f>
        <v>2</v>
      </c>
      <c r="H1662" s="1" t="s">
        <v>16</v>
      </c>
      <c r="I1662" s="1" t="s">
        <v>16</v>
      </c>
      <c r="J1662" s="1" t="s">
        <v>16</v>
      </c>
      <c r="K1662" s="1" t="str">
        <f>IFERROR(INDEX(Database_repro!$A:$F, MATCH($N1662, Database_repro!$A:$A, 0), 5), "Not Found")</f>
        <v>No</v>
      </c>
      <c r="L1662" s="4" t="s">
        <v>17</v>
      </c>
      <c r="M1662" s="1" t="str">
        <f>IFERROR(IF(INDEX(Database_repro!$A:$F, MATCH($N1662, Database_repro!$A:$A, 0), 6)="N","No",IF(INDEX(Database_repro!$A:$F, MATCH($N1662, Database_repro!$A:$A, 0), 6)="Y","Yes","Z")), "Not Found")</f>
        <v>No</v>
      </c>
      <c r="N1662" t="s">
        <v>281</v>
      </c>
    </row>
    <row r="1663" spans="1:14" x14ac:dyDescent="0.25">
      <c r="A1663" s="9">
        <v>45482</v>
      </c>
      <c r="B1663" s="1" t="str">
        <f>IFERROR(VLOOKUP(MID(INDEX(Database_dermo!$A:$I, MATCH($N1663, Database_dermo!$A:$A, 0), 2),20,3),Notes!A$1:C$9,3,TRUE), "Not Found")</f>
        <v>LX-S</v>
      </c>
      <c r="C1663" s="1" t="str">
        <f>IFERROR(RIGHT(INDEX(Database_dermo!$A:$I, MATCH($N1663, Database_dermo!$A:$A, 0), 1),2), "Not Found")</f>
        <v>09</v>
      </c>
      <c r="D1663" s="1">
        <f>IFERROR(VLOOKUP(MID(INDEX(Database_dermo!$A:$I, MATCH($N1663, Database_dermo!$A:$A, 0), 2),20,3),Notes!A$1:C$9,2,TRUE), "Not Found")</f>
        <v>2</v>
      </c>
      <c r="E1663" s="1">
        <f>IFERROR(INDEX(Database_dermo!$A:$I, MATCH($N1663, Database_dermo!$A:$A, 0), 3), "Not Found")</f>
        <v>68.92</v>
      </c>
      <c r="F1663" s="1" t="str">
        <f>IFERROR(INDEX(Database_repro!$A:$F, MATCH($N1663, Database_repro!$A:$A, 0), 3), "Not Found")</f>
        <v>F</v>
      </c>
      <c r="G1663" s="1">
        <f>IFERROR(INDEX(Database_repro!$A:$F, MATCH($N1663, Database_repro!$A:$A, 0), 4), "Not Found")</f>
        <v>2</v>
      </c>
      <c r="H1663" s="1" t="s">
        <v>16</v>
      </c>
      <c r="I1663" s="1" t="s">
        <v>16</v>
      </c>
      <c r="J1663" s="1" t="s">
        <v>16</v>
      </c>
      <c r="K1663" s="1" t="str">
        <f>IFERROR(INDEX(Database_repro!$A:$F, MATCH($N1663, Database_repro!$A:$A, 0), 5), "Not Found")</f>
        <v>No</v>
      </c>
      <c r="L1663" s="4" t="s">
        <v>17</v>
      </c>
      <c r="M1663" s="1" t="str">
        <f>IFERROR(IF(INDEX(Database_repro!$A:$F, MATCH($N1663, Database_repro!$A:$A, 0), 6)="N","No",IF(INDEX(Database_repro!$A:$F, MATCH($N1663, Database_repro!$A:$A, 0), 6)="Y","Yes","Z")), "Not Found")</f>
        <v>No</v>
      </c>
      <c r="N1663" t="s">
        <v>282</v>
      </c>
    </row>
    <row r="1664" spans="1:14" x14ac:dyDescent="0.25">
      <c r="A1664" s="9">
        <v>45482</v>
      </c>
      <c r="B1664" s="1" t="str">
        <f>IFERROR(VLOOKUP(MID(INDEX(Database_dermo!$A:$I, MATCH($N1664, Database_dermo!$A:$A, 0), 2),20,3),Notes!A$1:C$9,3,TRUE), "Not Found")</f>
        <v>LX-S</v>
      </c>
      <c r="C1664" s="1" t="str">
        <f>IFERROR(RIGHT(INDEX(Database_dermo!$A:$I, MATCH($N1664, Database_dermo!$A:$A, 0), 1),2), "Not Found")</f>
        <v>10</v>
      </c>
      <c r="D1664" s="1">
        <f>IFERROR(VLOOKUP(MID(INDEX(Database_dermo!$A:$I, MATCH($N1664, Database_dermo!$A:$A, 0), 2),20,3),Notes!A$1:C$9,2,TRUE), "Not Found")</f>
        <v>2</v>
      </c>
      <c r="E1664" s="1">
        <f>IFERROR(INDEX(Database_dermo!$A:$I, MATCH($N1664, Database_dermo!$A:$A, 0), 3), "Not Found")</f>
        <v>70.11</v>
      </c>
      <c r="F1664" s="1" t="str">
        <f>IFERROR(INDEX(Database_repro!$A:$F, MATCH($N1664, Database_repro!$A:$A, 0), 3), "Not Found")</f>
        <v>F</v>
      </c>
      <c r="G1664" s="1">
        <f>IFERROR(INDEX(Database_repro!$A:$F, MATCH($N1664, Database_repro!$A:$A, 0), 4), "Not Found")</f>
        <v>2</v>
      </c>
      <c r="H1664" s="1" t="s">
        <v>16</v>
      </c>
      <c r="I1664" s="1" t="s">
        <v>16</v>
      </c>
      <c r="J1664" s="1" t="s">
        <v>16</v>
      </c>
      <c r="K1664" s="1" t="str">
        <f>IFERROR(INDEX(Database_repro!$A:$F, MATCH($N1664, Database_repro!$A:$A, 0), 5), "Not Found")</f>
        <v>No</v>
      </c>
      <c r="L1664" s="4" t="s">
        <v>17</v>
      </c>
      <c r="M1664" s="1" t="str">
        <f>IFERROR(IF(INDEX(Database_repro!$A:$F, MATCH($N1664, Database_repro!$A:$A, 0), 6)="N","No",IF(INDEX(Database_repro!$A:$F, MATCH($N1664, Database_repro!$A:$A, 0), 6)="Y","Yes","Z")), "Not Found")</f>
        <v>No</v>
      </c>
      <c r="N1664" t="s">
        <v>283</v>
      </c>
    </row>
    <row r="1665" spans="1:14" x14ac:dyDescent="0.25">
      <c r="A1665" s="9">
        <v>45482</v>
      </c>
      <c r="B1665" s="1" t="str">
        <f>IFERROR(VLOOKUP(MID(INDEX(Database_dermo!$A:$I, MATCH($N1665, Database_dermo!$A:$A, 0), 2),20,3),Notes!A$1:C$9,3,TRUE), "Not Found")</f>
        <v>LX-S</v>
      </c>
      <c r="C1665" s="1" t="str">
        <f>IFERROR(RIGHT(INDEX(Database_dermo!$A:$I, MATCH($N1665, Database_dermo!$A:$A, 0), 1),2), "Not Found")</f>
        <v>11</v>
      </c>
      <c r="D1665" s="1">
        <f>IFERROR(VLOOKUP(MID(INDEX(Database_dermo!$A:$I, MATCH($N1665, Database_dermo!$A:$A, 0), 2),20,3),Notes!A$1:C$9,2,TRUE), "Not Found")</f>
        <v>3</v>
      </c>
      <c r="E1665" s="1">
        <f>IFERROR(INDEX(Database_dermo!$A:$I, MATCH($N1665, Database_dermo!$A:$A, 0), 3), "Not Found")</f>
        <v>78.209999999999994</v>
      </c>
      <c r="F1665" s="1" t="str">
        <f>IFERROR(INDEX(Database_repro!$A:$F, MATCH($N1665, Database_repro!$A:$A, 0), 3), "Not Found")</f>
        <v>M</v>
      </c>
      <c r="G1665" s="1">
        <f>IFERROR(INDEX(Database_repro!$A:$F, MATCH($N1665, Database_repro!$A:$A, 0), 4), "Not Found")</f>
        <v>2</v>
      </c>
      <c r="H1665" s="1" t="s">
        <v>16</v>
      </c>
      <c r="I1665" s="1" t="s">
        <v>16</v>
      </c>
      <c r="J1665" s="1" t="s">
        <v>16</v>
      </c>
      <c r="K1665" s="1" t="str">
        <f>IFERROR(INDEX(Database_repro!$A:$F, MATCH($N1665, Database_repro!$A:$A, 0), 5), "Not Found")</f>
        <v>No</v>
      </c>
      <c r="L1665" s="4" t="s">
        <v>17</v>
      </c>
      <c r="M1665" s="1" t="str">
        <f>IFERROR(IF(INDEX(Database_repro!$A:$F, MATCH($N1665, Database_repro!$A:$A, 0), 6)="N","No",IF(INDEX(Database_repro!$A:$F, MATCH($N1665, Database_repro!$A:$A, 0), 6)="Y","Yes","Z")), "Not Found")</f>
        <v>No</v>
      </c>
      <c r="N1665" t="s">
        <v>284</v>
      </c>
    </row>
    <row r="1666" spans="1:14" x14ac:dyDescent="0.25">
      <c r="A1666" s="9">
        <v>45482</v>
      </c>
      <c r="B1666" s="1" t="str">
        <f>IFERROR(VLOOKUP(MID(INDEX(Database_dermo!$A:$I, MATCH($N1666, Database_dermo!$A:$A, 0), 2),20,3),Notes!A$1:C$9,3,TRUE), "Not Found")</f>
        <v>LX-S</v>
      </c>
      <c r="C1666" s="1" t="str">
        <f>IFERROR(RIGHT(INDEX(Database_dermo!$A:$I, MATCH($N1666, Database_dermo!$A:$A, 0), 1),2), "Not Found")</f>
        <v>12</v>
      </c>
      <c r="D1666" s="1">
        <f>IFERROR(VLOOKUP(MID(INDEX(Database_dermo!$A:$I, MATCH($N1666, Database_dermo!$A:$A, 0), 2),20,3),Notes!A$1:C$9,2,TRUE), "Not Found")</f>
        <v>3</v>
      </c>
      <c r="E1666" s="1">
        <f>IFERROR(INDEX(Database_dermo!$A:$I, MATCH($N1666, Database_dermo!$A:$A, 0), 3), "Not Found")</f>
        <v>61.92</v>
      </c>
      <c r="F1666" s="1" t="str">
        <f>IFERROR(INDEX(Database_repro!$A:$F, MATCH($N1666, Database_repro!$A:$A, 0), 3), "Not Found")</f>
        <v>F</v>
      </c>
      <c r="G1666" s="1">
        <f>IFERROR(INDEX(Database_repro!$A:$F, MATCH($N1666, Database_repro!$A:$A, 0), 4), "Not Found")</f>
        <v>3</v>
      </c>
      <c r="H1666" s="1" t="s">
        <v>16</v>
      </c>
      <c r="I1666" s="1" t="s">
        <v>16</v>
      </c>
      <c r="J1666" s="1" t="s">
        <v>16</v>
      </c>
      <c r="K1666" s="1" t="str">
        <f>IFERROR(INDEX(Database_repro!$A:$F, MATCH($N1666, Database_repro!$A:$A, 0), 5), "Not Found")</f>
        <v>No</v>
      </c>
      <c r="L1666" s="4" t="s">
        <v>17</v>
      </c>
      <c r="M1666" s="1" t="str">
        <f>IFERROR(IF(INDEX(Database_repro!$A:$F, MATCH($N1666, Database_repro!$A:$A, 0), 6)="N","No",IF(INDEX(Database_repro!$A:$F, MATCH($N1666, Database_repro!$A:$A, 0), 6)="Y","Yes","Z")), "Not Found")</f>
        <v>No</v>
      </c>
      <c r="N1666" t="s">
        <v>286</v>
      </c>
    </row>
    <row r="1667" spans="1:14" x14ac:dyDescent="0.25">
      <c r="A1667" s="9">
        <v>45482</v>
      </c>
      <c r="B1667" s="1" t="str">
        <f>IFERROR(VLOOKUP(MID(INDEX(Database_dermo!$A:$I, MATCH($N1667, Database_dermo!$A:$A, 0), 2),20,3),Notes!A$1:C$9,3,TRUE), "Not Found")</f>
        <v>LX-S</v>
      </c>
      <c r="C1667" s="1" t="str">
        <f>IFERROR(RIGHT(INDEX(Database_dermo!$A:$I, MATCH($N1667, Database_dermo!$A:$A, 0), 1),2), "Not Found")</f>
        <v>13</v>
      </c>
      <c r="D1667" s="1">
        <f>IFERROR(VLOOKUP(MID(INDEX(Database_dermo!$A:$I, MATCH($N1667, Database_dermo!$A:$A, 0), 2),20,3),Notes!A$1:C$9,2,TRUE), "Not Found")</f>
        <v>3</v>
      </c>
      <c r="E1667" s="1">
        <f>IFERROR(INDEX(Database_dermo!$A:$I, MATCH($N1667, Database_dermo!$A:$A, 0), 3), "Not Found")</f>
        <v>57.18</v>
      </c>
      <c r="F1667" s="1" t="str">
        <f>IFERROR(INDEX(Database_repro!$A:$F, MATCH($N1667, Database_repro!$A:$A, 0), 3), "Not Found")</f>
        <v>F</v>
      </c>
      <c r="G1667" s="1">
        <f>IFERROR(INDEX(Database_repro!$A:$F, MATCH($N1667, Database_repro!$A:$A, 0), 4), "Not Found")</f>
        <v>2</v>
      </c>
      <c r="H1667" s="1" t="s">
        <v>16</v>
      </c>
      <c r="I1667" s="1" t="s">
        <v>16</v>
      </c>
      <c r="J1667" s="1" t="s">
        <v>16</v>
      </c>
      <c r="K1667" s="1" t="str">
        <f>IFERROR(INDEX(Database_repro!$A:$F, MATCH($N1667, Database_repro!$A:$A, 0), 5), "Not Found")</f>
        <v>No</v>
      </c>
      <c r="L1667" s="4" t="s">
        <v>17</v>
      </c>
      <c r="M1667" s="1" t="str">
        <f>IFERROR(IF(INDEX(Database_repro!$A:$F, MATCH($N1667, Database_repro!$A:$A, 0), 6)="N","No",IF(INDEX(Database_repro!$A:$F, MATCH($N1667, Database_repro!$A:$A, 0), 6)="Y","Yes","Z")), "Not Found")</f>
        <v>No</v>
      </c>
      <c r="N1667" t="s">
        <v>287</v>
      </c>
    </row>
    <row r="1668" spans="1:14" x14ac:dyDescent="0.25">
      <c r="A1668" s="9">
        <v>45482</v>
      </c>
      <c r="B1668" s="1" t="str">
        <f>IFERROR(VLOOKUP(MID(INDEX(Database_dermo!$A:$I, MATCH($N1668, Database_dermo!$A:$A, 0), 2),20,3),Notes!A$1:C$9,3,TRUE), "Not Found")</f>
        <v>LX-S</v>
      </c>
      <c r="C1668" s="1" t="str">
        <f>IFERROR(RIGHT(INDEX(Database_dermo!$A:$I, MATCH($N1668, Database_dermo!$A:$A, 0), 1),2), "Not Found")</f>
        <v>14</v>
      </c>
      <c r="D1668" s="1">
        <f>IFERROR(VLOOKUP(MID(INDEX(Database_dermo!$A:$I, MATCH($N1668, Database_dermo!$A:$A, 0), 2),20,3),Notes!A$1:C$9,2,TRUE), "Not Found")</f>
        <v>3</v>
      </c>
      <c r="E1668" s="1">
        <f>IFERROR(INDEX(Database_dermo!$A:$I, MATCH($N1668, Database_dermo!$A:$A, 0), 3), "Not Found")</f>
        <v>49.53</v>
      </c>
      <c r="F1668" s="1" t="str">
        <f>IFERROR(INDEX(Database_repro!$A:$F, MATCH($N1668, Database_repro!$A:$A, 0), 3), "Not Found")</f>
        <v>F</v>
      </c>
      <c r="G1668" s="1">
        <f>IFERROR(INDEX(Database_repro!$A:$F, MATCH($N1668, Database_repro!$A:$A, 0), 4), "Not Found")</f>
        <v>2</v>
      </c>
      <c r="H1668" s="1" t="s">
        <v>16</v>
      </c>
      <c r="I1668" s="1" t="s">
        <v>16</v>
      </c>
      <c r="J1668" s="1" t="s">
        <v>16</v>
      </c>
      <c r="K1668" s="1" t="str">
        <f>IFERROR(INDEX(Database_repro!$A:$F, MATCH($N1668, Database_repro!$A:$A, 0), 5), "Not Found")</f>
        <v>No</v>
      </c>
      <c r="L1668" s="4" t="s">
        <v>17</v>
      </c>
      <c r="M1668" s="1" t="str">
        <f>IFERROR(IF(INDEX(Database_repro!$A:$F, MATCH($N1668, Database_repro!$A:$A, 0), 6)="N","No",IF(INDEX(Database_repro!$A:$F, MATCH($N1668, Database_repro!$A:$A, 0), 6)="Y","Yes","Z")), "Not Found")</f>
        <v>No</v>
      </c>
      <c r="N1668" t="s">
        <v>288</v>
      </c>
    </row>
    <row r="1669" spans="1:14" x14ac:dyDescent="0.25">
      <c r="A1669" s="9">
        <v>45482</v>
      </c>
      <c r="B1669" s="1" t="str">
        <f>IFERROR(VLOOKUP(MID(INDEX(Database_dermo!$A:$I, MATCH($N1669, Database_dermo!$A:$A, 0), 2),20,3),Notes!A$1:C$9,3,TRUE), "Not Found")</f>
        <v>LX-S</v>
      </c>
      <c r="C1669" s="1" t="str">
        <f>IFERROR(RIGHT(INDEX(Database_dermo!$A:$I, MATCH($N1669, Database_dermo!$A:$A, 0), 1),2), "Not Found")</f>
        <v>15</v>
      </c>
      <c r="D1669" s="1">
        <f>IFERROR(VLOOKUP(MID(INDEX(Database_dermo!$A:$I, MATCH($N1669, Database_dermo!$A:$A, 0), 2),20,3),Notes!A$1:C$9,2,TRUE), "Not Found")</f>
        <v>3</v>
      </c>
      <c r="E1669" s="1">
        <f>IFERROR(INDEX(Database_dermo!$A:$I, MATCH($N1669, Database_dermo!$A:$A, 0), 3), "Not Found")</f>
        <v>37.869999999999997</v>
      </c>
      <c r="F1669" s="1" t="str">
        <f>IFERROR(INDEX(Database_repro!$A:$F, MATCH($N1669, Database_repro!$A:$A, 0), 3), "Not Found")</f>
        <v>F</v>
      </c>
      <c r="G1669" s="1">
        <f>IFERROR(INDEX(Database_repro!$A:$F, MATCH($N1669, Database_repro!$A:$A, 0), 4), "Not Found")</f>
        <v>2</v>
      </c>
      <c r="H1669" s="1" t="s">
        <v>16</v>
      </c>
      <c r="I1669" s="1" t="s">
        <v>16</v>
      </c>
      <c r="J1669" s="1" t="s">
        <v>16</v>
      </c>
      <c r="K1669" s="1" t="str">
        <f>IFERROR(INDEX(Database_repro!$A:$F, MATCH($N1669, Database_repro!$A:$A, 0), 5), "Not Found")</f>
        <v>No</v>
      </c>
      <c r="L1669" s="4" t="s">
        <v>17</v>
      </c>
      <c r="M1669" s="1" t="str">
        <f>IFERROR(IF(INDEX(Database_repro!$A:$F, MATCH($N1669, Database_repro!$A:$A, 0), 6)="N","No",IF(INDEX(Database_repro!$A:$F, MATCH($N1669, Database_repro!$A:$A, 0), 6)="Y","Yes","Z")), "Not Found")</f>
        <v>No</v>
      </c>
      <c r="N1669" t="s">
        <v>289</v>
      </c>
    </row>
    <row r="1670" spans="1:14" x14ac:dyDescent="0.25">
      <c r="A1670" s="9">
        <v>45510</v>
      </c>
      <c r="B1670" s="1" t="str">
        <f>IFERROR(VLOOKUP(MID(INDEX(Database_dermo!$A:$I, MATCH($N1670, Database_dermo!$A:$A, 0), 2),20,3),Notes!A$1:C$9,3,TRUE), "Not Found")</f>
        <v>LX-S</v>
      </c>
      <c r="C1670" s="1" t="str">
        <f>IFERROR(RIGHT(INDEX(Database_dermo!$A:$I, MATCH($N1670, Database_dermo!$A:$A, 0), 1),2), "Not Found")</f>
        <v>01</v>
      </c>
      <c r="D1670" s="1">
        <f>IFERROR(VLOOKUP(MID(INDEX(Database_dermo!$A:$I, MATCH($N1670, Database_dermo!$A:$A, 0), 2),20,3),Notes!A$1:C$9,2,TRUE), "Not Found")</f>
        <v>1</v>
      </c>
      <c r="E1670" s="1">
        <f>IFERROR(INDEX(Database_dermo!$A:$I, MATCH($N1670, Database_dermo!$A:$A, 0), 3), "Not Found")</f>
        <v>64.02</v>
      </c>
      <c r="F1670" s="1" t="str">
        <f>IFERROR(INDEX(Database_repro!$A:$F, MATCH($N1670, Database_repro!$A:$A, 0), 3), "Not Found")</f>
        <v>M</v>
      </c>
      <c r="G1670" s="1">
        <f>IFERROR(INDEX(Database_repro!$A:$F, MATCH($N1670, Database_repro!$A:$A, 0), 4), "Not Found")</f>
        <v>2</v>
      </c>
      <c r="H1670" s="1" t="s">
        <v>16</v>
      </c>
      <c r="I1670" s="1" t="s">
        <v>16</v>
      </c>
      <c r="J1670" s="1" t="s">
        <v>16</v>
      </c>
      <c r="K1670" s="1" t="str">
        <f>IFERROR(INDEX(Database_repro!$A:$F, MATCH($N1670, Database_repro!$A:$A, 0), 5), "Not Found")</f>
        <v>No</v>
      </c>
      <c r="L1670" s="4" t="s">
        <v>17</v>
      </c>
      <c r="M1670" s="1" t="str">
        <f>IFERROR(IF(INDEX(Database_repro!$A:$F, MATCH($N1670, Database_repro!$A:$A, 0), 6)="N","No",IF(INDEX(Database_repro!$A:$F, MATCH($N1670, Database_repro!$A:$A, 0), 6)="Y","Yes","Z")), "Not Found")</f>
        <v>No</v>
      </c>
      <c r="N1670" t="s">
        <v>290</v>
      </c>
    </row>
    <row r="1671" spans="1:14" x14ac:dyDescent="0.25">
      <c r="A1671" s="9">
        <v>45510</v>
      </c>
      <c r="B1671" s="1" t="str">
        <f>IFERROR(VLOOKUP(MID(INDEX(Database_dermo!$A:$I, MATCH($N1671, Database_dermo!$A:$A, 0), 2),20,3),Notes!A$1:C$9,3,TRUE), "Not Found")</f>
        <v>LX-S</v>
      </c>
      <c r="C1671" s="1" t="str">
        <f>IFERROR(RIGHT(INDEX(Database_dermo!$A:$I, MATCH($N1671, Database_dermo!$A:$A, 0), 1),2), "Not Found")</f>
        <v>02</v>
      </c>
      <c r="D1671" s="1">
        <f>IFERROR(VLOOKUP(MID(INDEX(Database_dermo!$A:$I, MATCH($N1671, Database_dermo!$A:$A, 0), 2),20,3),Notes!A$1:C$9,2,TRUE), "Not Found")</f>
        <v>1</v>
      </c>
      <c r="E1671" s="1">
        <f>IFERROR(INDEX(Database_dermo!$A:$I, MATCH($N1671, Database_dermo!$A:$A, 0), 3), "Not Found")</f>
        <v>63.7</v>
      </c>
      <c r="F1671" s="1" t="str">
        <f>IFERROR(INDEX(Database_repro!$A:$F, MATCH($N1671, Database_repro!$A:$A, 0), 3), "Not Found")</f>
        <v>F</v>
      </c>
      <c r="G1671" s="1">
        <f>IFERROR(INDEX(Database_repro!$A:$F, MATCH($N1671, Database_repro!$A:$A, 0), 4), "Not Found")</f>
        <v>2</v>
      </c>
      <c r="H1671" s="1" t="s">
        <v>16</v>
      </c>
      <c r="I1671" s="1" t="s">
        <v>16</v>
      </c>
      <c r="J1671" s="1" t="s">
        <v>16</v>
      </c>
      <c r="K1671" s="1" t="str">
        <f>IFERROR(INDEX(Database_repro!$A:$F, MATCH($N1671, Database_repro!$A:$A, 0), 5), "Not Found")</f>
        <v>No</v>
      </c>
      <c r="L1671" s="4" t="s">
        <v>17</v>
      </c>
      <c r="M1671" s="1" t="str">
        <f>IFERROR(IF(INDEX(Database_repro!$A:$F, MATCH($N1671, Database_repro!$A:$A, 0), 6)="N","No",IF(INDEX(Database_repro!$A:$F, MATCH($N1671, Database_repro!$A:$A, 0), 6)="Y","Yes","Z")), "Not Found")</f>
        <v>No</v>
      </c>
      <c r="N1671" t="s">
        <v>293</v>
      </c>
    </row>
    <row r="1672" spans="1:14" x14ac:dyDescent="0.25">
      <c r="A1672" s="9">
        <v>45510</v>
      </c>
      <c r="B1672" s="1" t="str">
        <f>IFERROR(VLOOKUP(MID(INDEX(Database_dermo!$A:$I, MATCH($N1672, Database_dermo!$A:$A, 0), 2),20,3),Notes!A$1:C$9,3,TRUE), "Not Found")</f>
        <v>LX-S</v>
      </c>
      <c r="C1672" s="1" t="str">
        <f>IFERROR(RIGHT(INDEX(Database_dermo!$A:$I, MATCH($N1672, Database_dermo!$A:$A, 0), 1),2), "Not Found")</f>
        <v>03</v>
      </c>
      <c r="D1672" s="1">
        <f>IFERROR(VLOOKUP(MID(INDEX(Database_dermo!$A:$I, MATCH($N1672, Database_dermo!$A:$A, 0), 2),20,3),Notes!A$1:C$9,2,TRUE), "Not Found")</f>
        <v>1</v>
      </c>
      <c r="E1672" s="1">
        <f>IFERROR(INDEX(Database_dermo!$A:$I, MATCH($N1672, Database_dermo!$A:$A, 0), 3), "Not Found")</f>
        <v>64.900000000000006</v>
      </c>
      <c r="F1672" s="1" t="str">
        <f>IFERROR(INDEX(Database_repro!$A:$F, MATCH($N1672, Database_repro!$A:$A, 0), 3), "Not Found")</f>
        <v>F</v>
      </c>
      <c r="G1672" s="1">
        <f>IFERROR(INDEX(Database_repro!$A:$F, MATCH($N1672, Database_repro!$A:$A, 0), 4), "Not Found")</f>
        <v>2</v>
      </c>
      <c r="H1672" s="1" t="s">
        <v>16</v>
      </c>
      <c r="I1672" s="1" t="s">
        <v>16</v>
      </c>
      <c r="J1672" s="1" t="s">
        <v>16</v>
      </c>
      <c r="K1672" s="1" t="str">
        <f>IFERROR(INDEX(Database_repro!$A:$F, MATCH($N1672, Database_repro!$A:$A, 0), 5), "Not Found")</f>
        <v>No</v>
      </c>
      <c r="L1672" s="4" t="s">
        <v>17</v>
      </c>
      <c r="M1672" s="1" t="str">
        <f>IFERROR(IF(INDEX(Database_repro!$A:$F, MATCH($N1672, Database_repro!$A:$A, 0), 6)="N","No",IF(INDEX(Database_repro!$A:$F, MATCH($N1672, Database_repro!$A:$A, 0), 6)="Y","Yes","Z")), "Not Found")</f>
        <v>No</v>
      </c>
      <c r="N1672" t="s">
        <v>295</v>
      </c>
    </row>
    <row r="1673" spans="1:14" x14ac:dyDescent="0.25">
      <c r="A1673" s="9">
        <v>45510</v>
      </c>
      <c r="B1673" s="1" t="str">
        <f>IFERROR(VLOOKUP(MID(INDEX(Database_dermo!$A:$I, MATCH($N1673, Database_dermo!$A:$A, 0), 2),20,3),Notes!A$1:C$9,3,TRUE), "Not Found")</f>
        <v>LX-S</v>
      </c>
      <c r="C1673" s="1" t="str">
        <f>IFERROR(RIGHT(INDEX(Database_dermo!$A:$I, MATCH($N1673, Database_dermo!$A:$A, 0), 1),2), "Not Found")</f>
        <v>04</v>
      </c>
      <c r="D1673" s="1">
        <f>IFERROR(VLOOKUP(MID(INDEX(Database_dermo!$A:$I, MATCH($N1673, Database_dermo!$A:$A, 0), 2),20,3),Notes!A$1:C$9,2,TRUE), "Not Found")</f>
        <v>1</v>
      </c>
      <c r="E1673" s="1">
        <f>IFERROR(INDEX(Database_dermo!$A:$I, MATCH($N1673, Database_dermo!$A:$A, 0), 3), "Not Found")</f>
        <v>59.3</v>
      </c>
      <c r="F1673" s="1" t="str">
        <f>IFERROR(INDEX(Database_repro!$A:$F, MATCH($N1673, Database_repro!$A:$A, 0), 3), "Not Found")</f>
        <v>M</v>
      </c>
      <c r="G1673" s="1">
        <f>IFERROR(INDEX(Database_repro!$A:$F, MATCH($N1673, Database_repro!$A:$A, 0), 4), "Not Found")</f>
        <v>2</v>
      </c>
      <c r="H1673" s="1" t="s">
        <v>16</v>
      </c>
      <c r="I1673" s="1" t="s">
        <v>16</v>
      </c>
      <c r="J1673" s="1" t="s">
        <v>16</v>
      </c>
      <c r="K1673" s="1" t="str">
        <f>IFERROR(INDEX(Database_repro!$A:$F, MATCH($N1673, Database_repro!$A:$A, 0), 5), "Not Found")</f>
        <v>No</v>
      </c>
      <c r="L1673" s="4" t="s">
        <v>17</v>
      </c>
      <c r="M1673" s="1" t="str">
        <f>IFERROR(IF(INDEX(Database_repro!$A:$F, MATCH($N1673, Database_repro!$A:$A, 0), 6)="N","No",IF(INDEX(Database_repro!$A:$F, MATCH($N1673, Database_repro!$A:$A, 0), 6)="Y","Yes","Z")), "Not Found")</f>
        <v>No</v>
      </c>
      <c r="N1673" t="s">
        <v>296</v>
      </c>
    </row>
    <row r="1674" spans="1:14" x14ac:dyDescent="0.25">
      <c r="A1674" s="9">
        <v>45510</v>
      </c>
      <c r="B1674" s="1" t="str">
        <f>IFERROR(VLOOKUP(MID(INDEX(Database_dermo!$A:$I, MATCH($N1674, Database_dermo!$A:$A, 0), 2),20,3),Notes!A$1:C$9,3,TRUE), "Not Found")</f>
        <v>LX-S</v>
      </c>
      <c r="C1674" s="1" t="str">
        <f>IFERROR(RIGHT(INDEX(Database_dermo!$A:$I, MATCH($N1674, Database_dermo!$A:$A, 0), 1),2), "Not Found")</f>
        <v>05</v>
      </c>
      <c r="D1674" s="1">
        <f>IFERROR(VLOOKUP(MID(INDEX(Database_dermo!$A:$I, MATCH($N1674, Database_dermo!$A:$A, 0), 2),20,3),Notes!A$1:C$9,2,TRUE), "Not Found")</f>
        <v>1</v>
      </c>
      <c r="E1674" s="1">
        <f>IFERROR(INDEX(Database_dermo!$A:$I, MATCH($N1674, Database_dermo!$A:$A, 0), 3), "Not Found")</f>
        <v>59.94</v>
      </c>
      <c r="F1674" s="1" t="str">
        <f>IFERROR(INDEX(Database_repro!$A:$F, MATCH($N1674, Database_repro!$A:$A, 0), 3), "Not Found")</f>
        <v>F</v>
      </c>
      <c r="G1674" s="1">
        <f>IFERROR(INDEX(Database_repro!$A:$F, MATCH($N1674, Database_repro!$A:$A, 0), 4), "Not Found")</f>
        <v>2</v>
      </c>
      <c r="H1674" s="1" t="s">
        <v>16</v>
      </c>
      <c r="I1674" s="1" t="s">
        <v>16</v>
      </c>
      <c r="J1674" s="1" t="s">
        <v>16</v>
      </c>
      <c r="K1674" s="1" t="str">
        <f>IFERROR(INDEX(Database_repro!$A:$F, MATCH($N1674, Database_repro!$A:$A, 0), 5), "Not Found")</f>
        <v>No</v>
      </c>
      <c r="L1674" s="4" t="s">
        <v>17</v>
      </c>
      <c r="M1674" s="1" t="str">
        <f>IFERROR(IF(INDEX(Database_repro!$A:$F, MATCH($N1674, Database_repro!$A:$A, 0), 6)="N","No",IF(INDEX(Database_repro!$A:$F, MATCH($N1674, Database_repro!$A:$A, 0), 6)="Y","Yes","Z")), "Not Found")</f>
        <v>No</v>
      </c>
      <c r="N1674" t="s">
        <v>297</v>
      </c>
    </row>
    <row r="1675" spans="1:14" x14ac:dyDescent="0.25">
      <c r="A1675" s="9">
        <v>45510</v>
      </c>
      <c r="B1675" s="1" t="str">
        <f>IFERROR(VLOOKUP(MID(INDEX(Database_dermo!$A:$I, MATCH($N1675, Database_dermo!$A:$A, 0), 2),20,3),Notes!A$1:C$9,3,TRUE), "Not Found")</f>
        <v>LX-S</v>
      </c>
      <c r="C1675" s="1" t="str">
        <f>IFERROR(RIGHT(INDEX(Database_dermo!$A:$I, MATCH($N1675, Database_dermo!$A:$A, 0), 1),2), "Not Found")</f>
        <v>06</v>
      </c>
      <c r="D1675" s="1">
        <f>IFERROR(VLOOKUP(MID(INDEX(Database_dermo!$A:$I, MATCH($N1675, Database_dermo!$A:$A, 0), 2),20,3),Notes!A$1:C$9,2,TRUE), "Not Found")</f>
        <v>2</v>
      </c>
      <c r="E1675" s="1">
        <f>IFERROR(INDEX(Database_dermo!$A:$I, MATCH($N1675, Database_dermo!$A:$A, 0), 3), "Not Found")</f>
        <v>55.96</v>
      </c>
      <c r="F1675" s="1" t="str">
        <f>IFERROR(INDEX(Database_repro!$A:$F, MATCH($N1675, Database_repro!$A:$A, 0), 3), "Not Found")</f>
        <v>M</v>
      </c>
      <c r="G1675" s="1">
        <f>IFERROR(INDEX(Database_repro!$A:$F, MATCH($N1675, Database_repro!$A:$A, 0), 4), "Not Found")</f>
        <v>2</v>
      </c>
      <c r="H1675" s="1" t="s">
        <v>16</v>
      </c>
      <c r="I1675" s="1" t="s">
        <v>16</v>
      </c>
      <c r="J1675" s="1" t="s">
        <v>16</v>
      </c>
      <c r="K1675" s="1" t="str">
        <f>IFERROR(INDEX(Database_repro!$A:$F, MATCH($N1675, Database_repro!$A:$A, 0), 5), "Not Found")</f>
        <v>No</v>
      </c>
      <c r="L1675" s="4" t="s">
        <v>17</v>
      </c>
      <c r="M1675" s="1" t="str">
        <f>IFERROR(IF(INDEX(Database_repro!$A:$F, MATCH($N1675, Database_repro!$A:$A, 0), 6)="N","No",IF(INDEX(Database_repro!$A:$F, MATCH($N1675, Database_repro!$A:$A, 0), 6)="Y","Yes","Z")), "Not Found")</f>
        <v>No</v>
      </c>
      <c r="N1675" t="s">
        <v>298</v>
      </c>
    </row>
    <row r="1676" spans="1:14" x14ac:dyDescent="0.25">
      <c r="A1676" s="9">
        <v>45510</v>
      </c>
      <c r="B1676" s="1" t="str">
        <f>IFERROR(VLOOKUP(MID(INDEX(Database_dermo!$A:$I, MATCH($N1676, Database_dermo!$A:$A, 0), 2),20,3),Notes!A$1:C$9,3,TRUE), "Not Found")</f>
        <v>LX-S</v>
      </c>
      <c r="C1676" s="1" t="str">
        <f>IFERROR(RIGHT(INDEX(Database_dermo!$A:$I, MATCH($N1676, Database_dermo!$A:$A, 0), 1),2), "Not Found")</f>
        <v>07</v>
      </c>
      <c r="D1676" s="1">
        <f>IFERROR(VLOOKUP(MID(INDEX(Database_dermo!$A:$I, MATCH($N1676, Database_dermo!$A:$A, 0), 2),20,3),Notes!A$1:C$9,2,TRUE), "Not Found")</f>
        <v>2</v>
      </c>
      <c r="E1676" s="1">
        <f>IFERROR(INDEX(Database_dermo!$A:$I, MATCH($N1676, Database_dermo!$A:$A, 0), 3), "Not Found")</f>
        <v>75.56</v>
      </c>
      <c r="F1676" s="1" t="str">
        <f>IFERROR(INDEX(Database_repro!$A:$F, MATCH($N1676, Database_repro!$A:$A, 0), 3), "Not Found")</f>
        <v>F</v>
      </c>
      <c r="G1676" s="1">
        <f>IFERROR(INDEX(Database_repro!$A:$F, MATCH($N1676, Database_repro!$A:$A, 0), 4), "Not Found")</f>
        <v>2</v>
      </c>
      <c r="H1676" s="1" t="s">
        <v>16</v>
      </c>
      <c r="I1676" s="1" t="s">
        <v>16</v>
      </c>
      <c r="J1676" s="1" t="s">
        <v>16</v>
      </c>
      <c r="K1676" s="1" t="str">
        <f>IFERROR(INDEX(Database_repro!$A:$F, MATCH($N1676, Database_repro!$A:$A, 0), 5), "Not Found")</f>
        <v>No</v>
      </c>
      <c r="L1676" s="4" t="s">
        <v>17</v>
      </c>
      <c r="M1676" s="1" t="str">
        <f>IFERROR(IF(INDEX(Database_repro!$A:$F, MATCH($N1676, Database_repro!$A:$A, 0), 6)="N","No",IF(INDEX(Database_repro!$A:$F, MATCH($N1676, Database_repro!$A:$A, 0), 6)="Y","Yes","Z")), "Not Found")</f>
        <v>No</v>
      </c>
      <c r="N1676" t="s">
        <v>301</v>
      </c>
    </row>
    <row r="1677" spans="1:14" x14ac:dyDescent="0.25">
      <c r="A1677" s="9">
        <v>45510</v>
      </c>
      <c r="B1677" s="1" t="str">
        <f>IFERROR(VLOOKUP(MID(INDEX(Database_dermo!$A:$I, MATCH($N1677, Database_dermo!$A:$A, 0), 2),20,3),Notes!A$1:C$9,3,TRUE), "Not Found")</f>
        <v>LX-S</v>
      </c>
      <c r="C1677" s="1" t="str">
        <f>IFERROR(RIGHT(INDEX(Database_dermo!$A:$I, MATCH($N1677, Database_dermo!$A:$A, 0), 1),2), "Not Found")</f>
        <v>08</v>
      </c>
      <c r="D1677" s="1">
        <f>IFERROR(VLOOKUP(MID(INDEX(Database_dermo!$A:$I, MATCH($N1677, Database_dermo!$A:$A, 0), 2),20,3),Notes!A$1:C$9,2,TRUE), "Not Found")</f>
        <v>2</v>
      </c>
      <c r="E1677" s="1">
        <f>IFERROR(INDEX(Database_dermo!$A:$I, MATCH($N1677, Database_dermo!$A:$A, 0), 3), "Not Found")</f>
        <v>64.44</v>
      </c>
      <c r="F1677" s="1" t="str">
        <f>IFERROR(INDEX(Database_repro!$A:$F, MATCH($N1677, Database_repro!$A:$A, 0), 3), "Not Found")</f>
        <v>F</v>
      </c>
      <c r="G1677" s="1">
        <f>IFERROR(INDEX(Database_repro!$A:$F, MATCH($N1677, Database_repro!$A:$A, 0), 4), "Not Found")</f>
        <v>2</v>
      </c>
      <c r="H1677" s="1" t="s">
        <v>16</v>
      </c>
      <c r="I1677" s="1" t="s">
        <v>16</v>
      </c>
      <c r="J1677" s="1" t="s">
        <v>16</v>
      </c>
      <c r="K1677" s="1" t="str">
        <f>IFERROR(INDEX(Database_repro!$A:$F, MATCH($N1677, Database_repro!$A:$A, 0), 5), "Not Found")</f>
        <v>Yes</v>
      </c>
      <c r="L1677" s="4" t="s">
        <v>17</v>
      </c>
      <c r="M1677" s="1" t="str">
        <f>IFERROR(IF(INDEX(Database_repro!$A:$F, MATCH($N1677, Database_repro!$A:$A, 0), 6)="N","No",IF(INDEX(Database_repro!$A:$F, MATCH($N1677, Database_repro!$A:$A, 0), 6)="Y","Yes","Z")), "Not Found")</f>
        <v>No</v>
      </c>
      <c r="N1677" t="s">
        <v>302</v>
      </c>
    </row>
    <row r="1678" spans="1:14" x14ac:dyDescent="0.25">
      <c r="A1678" s="9">
        <v>45510</v>
      </c>
      <c r="B1678" s="1" t="str">
        <f>IFERROR(VLOOKUP(MID(INDEX(Database_dermo!$A:$I, MATCH($N1678, Database_dermo!$A:$A, 0), 2),20,3),Notes!A$1:C$9,3,TRUE), "Not Found")</f>
        <v>LX-S</v>
      </c>
      <c r="C1678" s="1" t="str">
        <f>IFERROR(RIGHT(INDEX(Database_dermo!$A:$I, MATCH($N1678, Database_dermo!$A:$A, 0), 1),2), "Not Found")</f>
        <v>09</v>
      </c>
      <c r="D1678" s="1">
        <f>IFERROR(VLOOKUP(MID(INDEX(Database_dermo!$A:$I, MATCH($N1678, Database_dermo!$A:$A, 0), 2),20,3),Notes!A$1:C$9,2,TRUE), "Not Found")</f>
        <v>2</v>
      </c>
      <c r="E1678" s="1">
        <f>IFERROR(INDEX(Database_dermo!$A:$I, MATCH($N1678, Database_dermo!$A:$A, 0), 3), "Not Found")</f>
        <v>62.41</v>
      </c>
      <c r="F1678" s="1" t="str">
        <f>IFERROR(INDEX(Database_repro!$A:$F, MATCH($N1678, Database_repro!$A:$A, 0), 3), "Not Found")</f>
        <v>F</v>
      </c>
      <c r="G1678" s="1">
        <f>IFERROR(INDEX(Database_repro!$A:$F, MATCH($N1678, Database_repro!$A:$A, 0), 4), "Not Found")</f>
        <v>2</v>
      </c>
      <c r="H1678" s="1" t="s">
        <v>16</v>
      </c>
      <c r="I1678" s="1" t="s">
        <v>16</v>
      </c>
      <c r="J1678" s="1" t="s">
        <v>16</v>
      </c>
      <c r="K1678" s="1" t="str">
        <f>IFERROR(INDEX(Database_repro!$A:$F, MATCH($N1678, Database_repro!$A:$A, 0), 5), "Not Found")</f>
        <v>No</v>
      </c>
      <c r="L1678" s="4" t="s">
        <v>17</v>
      </c>
      <c r="M1678" s="1" t="str">
        <f>IFERROR(IF(INDEX(Database_repro!$A:$F, MATCH($N1678, Database_repro!$A:$A, 0), 6)="N","No",IF(INDEX(Database_repro!$A:$F, MATCH($N1678, Database_repro!$A:$A, 0), 6)="Y","Yes","Z")), "Not Found")</f>
        <v>No</v>
      </c>
      <c r="N1678" t="s">
        <v>303</v>
      </c>
    </row>
    <row r="1679" spans="1:14" x14ac:dyDescent="0.25">
      <c r="A1679" s="9">
        <v>45510</v>
      </c>
      <c r="B1679" s="1" t="str">
        <f>IFERROR(VLOOKUP(MID(INDEX(Database_dermo!$A:$I, MATCH($N1679, Database_dermo!$A:$A, 0), 2),20,3),Notes!A$1:C$9,3,TRUE), "Not Found")</f>
        <v>LX-S</v>
      </c>
      <c r="C1679" s="1" t="str">
        <f>IFERROR(RIGHT(INDEX(Database_dermo!$A:$I, MATCH($N1679, Database_dermo!$A:$A, 0), 1),2), "Not Found")</f>
        <v>10</v>
      </c>
      <c r="D1679" s="1">
        <f>IFERROR(VLOOKUP(MID(INDEX(Database_dermo!$A:$I, MATCH($N1679, Database_dermo!$A:$A, 0), 2),20,3),Notes!A$1:C$9,2,TRUE), "Not Found")</f>
        <v>2</v>
      </c>
      <c r="E1679" s="1">
        <f>IFERROR(INDEX(Database_dermo!$A:$I, MATCH($N1679, Database_dermo!$A:$A, 0), 3), "Not Found")</f>
        <v>54.11</v>
      </c>
      <c r="F1679" s="1" t="str">
        <f>IFERROR(INDEX(Database_repro!$A:$F, MATCH($N1679, Database_repro!$A:$A, 0), 3), "Not Found")</f>
        <v>F</v>
      </c>
      <c r="G1679" s="1">
        <f>IFERROR(INDEX(Database_repro!$A:$F, MATCH($N1679, Database_repro!$A:$A, 0), 4), "Not Found")</f>
        <v>2</v>
      </c>
      <c r="H1679" s="1" t="s">
        <v>16</v>
      </c>
      <c r="I1679" s="1" t="s">
        <v>16</v>
      </c>
      <c r="J1679" s="1" t="s">
        <v>16</v>
      </c>
      <c r="K1679" s="1" t="str">
        <f>IFERROR(INDEX(Database_repro!$A:$F, MATCH($N1679, Database_repro!$A:$A, 0), 5), "Not Found")</f>
        <v>No</v>
      </c>
      <c r="L1679" s="4" t="s">
        <v>17</v>
      </c>
      <c r="M1679" s="1" t="str">
        <f>IFERROR(IF(INDEX(Database_repro!$A:$F, MATCH($N1679, Database_repro!$A:$A, 0), 6)="N","No",IF(INDEX(Database_repro!$A:$F, MATCH($N1679, Database_repro!$A:$A, 0), 6)="Y","Yes","Z")), "Not Found")</f>
        <v>No</v>
      </c>
      <c r="N1679" t="s">
        <v>304</v>
      </c>
    </row>
    <row r="1680" spans="1:14" x14ac:dyDescent="0.25">
      <c r="A1680" s="9">
        <v>45510</v>
      </c>
      <c r="B1680" s="1" t="str">
        <f>IFERROR(VLOOKUP(MID(INDEX(Database_dermo!$A:$I, MATCH($N1680, Database_dermo!$A:$A, 0), 2),20,3),Notes!A$1:C$9,3,TRUE), "Not Found")</f>
        <v>LX-S</v>
      </c>
      <c r="C1680" s="1" t="str">
        <f>IFERROR(RIGHT(INDEX(Database_dermo!$A:$I, MATCH($N1680, Database_dermo!$A:$A, 0), 1),2), "Not Found")</f>
        <v>11</v>
      </c>
      <c r="D1680" s="1">
        <f>IFERROR(VLOOKUP(MID(INDEX(Database_dermo!$A:$I, MATCH($N1680, Database_dermo!$A:$A, 0), 2),20,3),Notes!A$1:C$9,2,TRUE), "Not Found")</f>
        <v>3</v>
      </c>
      <c r="E1680" s="1">
        <f>IFERROR(INDEX(Database_dermo!$A:$I, MATCH($N1680, Database_dermo!$A:$A, 0), 3), "Not Found")</f>
        <v>77.86</v>
      </c>
      <c r="F1680" s="1" t="str">
        <f>IFERROR(INDEX(Database_repro!$A:$F, MATCH($N1680, Database_repro!$A:$A, 0), 3), "Not Found")</f>
        <v>M</v>
      </c>
      <c r="G1680" s="1">
        <f>IFERROR(INDEX(Database_repro!$A:$F, MATCH($N1680, Database_repro!$A:$A, 0), 4), "Not Found")</f>
        <v>2</v>
      </c>
      <c r="H1680" s="1" t="s">
        <v>16</v>
      </c>
      <c r="I1680" s="1" t="s">
        <v>16</v>
      </c>
      <c r="J1680" s="1" t="s">
        <v>16</v>
      </c>
      <c r="K1680" s="1" t="str">
        <f>IFERROR(INDEX(Database_repro!$A:$F, MATCH($N1680, Database_repro!$A:$A, 0), 5), "Not Found")</f>
        <v>No</v>
      </c>
      <c r="L1680" s="4" t="s">
        <v>17</v>
      </c>
      <c r="M1680" s="1" t="str">
        <f>IFERROR(IF(INDEX(Database_repro!$A:$F, MATCH($N1680, Database_repro!$A:$A, 0), 6)="N","No",IF(INDEX(Database_repro!$A:$F, MATCH($N1680, Database_repro!$A:$A, 0), 6)="Y","Yes","Z")), "Not Found")</f>
        <v>No</v>
      </c>
      <c r="N1680" t="s">
        <v>305</v>
      </c>
    </row>
    <row r="1681" spans="1:14" x14ac:dyDescent="0.25">
      <c r="A1681" s="9">
        <v>45510</v>
      </c>
      <c r="B1681" s="1" t="str">
        <f>IFERROR(VLOOKUP(MID(INDEX(Database_dermo!$A:$I, MATCH($N1681, Database_dermo!$A:$A, 0), 2),20,3),Notes!A$1:C$9,3,TRUE), "Not Found")</f>
        <v>LX-S</v>
      </c>
      <c r="C1681" s="1" t="str">
        <f>IFERROR(RIGHT(INDEX(Database_dermo!$A:$I, MATCH($N1681, Database_dermo!$A:$A, 0), 1),2), "Not Found")</f>
        <v>12</v>
      </c>
      <c r="D1681" s="1">
        <f>IFERROR(VLOOKUP(MID(INDEX(Database_dermo!$A:$I, MATCH($N1681, Database_dermo!$A:$A, 0), 2),20,3),Notes!A$1:C$9,2,TRUE), "Not Found")</f>
        <v>3</v>
      </c>
      <c r="E1681" s="1">
        <f>IFERROR(INDEX(Database_dermo!$A:$I, MATCH($N1681, Database_dermo!$A:$A, 0), 3), "Not Found")</f>
        <v>99.62</v>
      </c>
      <c r="F1681" s="1" t="str">
        <f>IFERROR(INDEX(Database_repro!$A:$F, MATCH($N1681, Database_repro!$A:$A, 0), 3), "Not Found")</f>
        <v>F</v>
      </c>
      <c r="G1681" s="1">
        <f>IFERROR(INDEX(Database_repro!$A:$F, MATCH($N1681, Database_repro!$A:$A, 0), 4), "Not Found")</f>
        <v>2</v>
      </c>
      <c r="H1681" s="1" t="s">
        <v>16</v>
      </c>
      <c r="I1681" s="1" t="s">
        <v>16</v>
      </c>
      <c r="J1681" s="1" t="s">
        <v>16</v>
      </c>
      <c r="K1681" s="1" t="str">
        <f>IFERROR(INDEX(Database_repro!$A:$F, MATCH($N1681, Database_repro!$A:$A, 0), 5), "Not Found")</f>
        <v>Yes</v>
      </c>
      <c r="L1681" s="4" t="s">
        <v>17</v>
      </c>
      <c r="M1681" s="1" t="str">
        <f>IFERROR(IF(INDEX(Database_repro!$A:$F, MATCH($N1681, Database_repro!$A:$A, 0), 6)="N","No",IF(INDEX(Database_repro!$A:$F, MATCH($N1681, Database_repro!$A:$A, 0), 6)="Y","Yes","Z")), "Not Found")</f>
        <v>No</v>
      </c>
      <c r="N1681" t="s">
        <v>307</v>
      </c>
    </row>
    <row r="1682" spans="1:14" x14ac:dyDescent="0.25">
      <c r="A1682" s="9">
        <v>45510</v>
      </c>
      <c r="B1682" s="1" t="str">
        <f>IFERROR(VLOOKUP(MID(INDEX(Database_dermo!$A:$I, MATCH($N1682, Database_dermo!$A:$A, 0), 2),20,3),Notes!A$1:C$9,3,TRUE), "Not Found")</f>
        <v>LX-S</v>
      </c>
      <c r="C1682" s="1" t="str">
        <f>IFERROR(RIGHT(INDEX(Database_dermo!$A:$I, MATCH($N1682, Database_dermo!$A:$A, 0), 1),2), "Not Found")</f>
        <v>13</v>
      </c>
      <c r="D1682" s="1">
        <f>IFERROR(VLOOKUP(MID(INDEX(Database_dermo!$A:$I, MATCH($N1682, Database_dermo!$A:$A, 0), 2),20,3),Notes!A$1:C$9,2,TRUE), "Not Found")</f>
        <v>3</v>
      </c>
      <c r="E1682" s="1">
        <f>IFERROR(INDEX(Database_dermo!$A:$I, MATCH($N1682, Database_dermo!$A:$A, 0), 3), "Not Found")</f>
        <v>80.78</v>
      </c>
      <c r="F1682" s="1" t="str">
        <f>IFERROR(INDEX(Database_repro!$A:$F, MATCH($N1682, Database_repro!$A:$A, 0), 3), "Not Found")</f>
        <v>F</v>
      </c>
      <c r="G1682" s="1">
        <f>IFERROR(INDEX(Database_repro!$A:$F, MATCH($N1682, Database_repro!$A:$A, 0), 4), "Not Found")</f>
        <v>2</v>
      </c>
      <c r="H1682" s="1" t="s">
        <v>16</v>
      </c>
      <c r="I1682" s="1" t="s">
        <v>16</v>
      </c>
      <c r="J1682" s="1" t="s">
        <v>16</v>
      </c>
      <c r="K1682" s="1" t="str">
        <f>IFERROR(INDEX(Database_repro!$A:$F, MATCH($N1682, Database_repro!$A:$A, 0), 5), "Not Found")</f>
        <v>No</v>
      </c>
      <c r="L1682" s="4" t="s">
        <v>17</v>
      </c>
      <c r="M1682" s="1" t="str">
        <f>IFERROR(IF(INDEX(Database_repro!$A:$F, MATCH($N1682, Database_repro!$A:$A, 0), 6)="N","No",IF(INDEX(Database_repro!$A:$F, MATCH($N1682, Database_repro!$A:$A, 0), 6)="Y","Yes","Z")), "Not Found")</f>
        <v>No</v>
      </c>
      <c r="N1682" t="s">
        <v>308</v>
      </c>
    </row>
    <row r="1683" spans="1:14" x14ac:dyDescent="0.25">
      <c r="A1683" s="9">
        <v>45510</v>
      </c>
      <c r="B1683" s="1" t="str">
        <f>IFERROR(VLOOKUP(MID(INDEX(Database_dermo!$A:$I, MATCH($N1683, Database_dermo!$A:$A, 0), 2),20,3),Notes!A$1:C$9,3,TRUE), "Not Found")</f>
        <v>LX-S</v>
      </c>
      <c r="C1683" s="1" t="str">
        <f>IFERROR(RIGHT(INDEX(Database_dermo!$A:$I, MATCH($N1683, Database_dermo!$A:$A, 0), 1),2), "Not Found")</f>
        <v>14</v>
      </c>
      <c r="D1683" s="1">
        <f>IFERROR(VLOOKUP(MID(INDEX(Database_dermo!$A:$I, MATCH($N1683, Database_dermo!$A:$A, 0), 2),20,3),Notes!A$1:C$9,2,TRUE), "Not Found")</f>
        <v>3</v>
      </c>
      <c r="E1683" s="1">
        <f>IFERROR(INDEX(Database_dermo!$A:$I, MATCH($N1683, Database_dermo!$A:$A, 0), 3), "Not Found")</f>
        <v>67.17</v>
      </c>
      <c r="F1683" s="1" t="str">
        <f>IFERROR(INDEX(Database_repro!$A:$F, MATCH($N1683, Database_repro!$A:$A, 0), 3), "Not Found")</f>
        <v>F</v>
      </c>
      <c r="G1683" s="1">
        <f>IFERROR(INDEX(Database_repro!$A:$F, MATCH($N1683, Database_repro!$A:$A, 0), 4), "Not Found")</f>
        <v>2</v>
      </c>
      <c r="H1683" s="1" t="s">
        <v>16</v>
      </c>
      <c r="I1683" s="1" t="s">
        <v>16</v>
      </c>
      <c r="J1683" s="1" t="s">
        <v>16</v>
      </c>
      <c r="K1683" s="1" t="str">
        <f>IFERROR(INDEX(Database_repro!$A:$F, MATCH($N1683, Database_repro!$A:$A, 0), 5), "Not Found")</f>
        <v>No</v>
      </c>
      <c r="L1683" s="4" t="s">
        <v>17</v>
      </c>
      <c r="M1683" s="1" t="str">
        <f>IFERROR(IF(INDEX(Database_repro!$A:$F, MATCH($N1683, Database_repro!$A:$A, 0), 6)="N","No",IF(INDEX(Database_repro!$A:$F, MATCH($N1683, Database_repro!$A:$A, 0), 6)="Y","Yes","Z")), "Not Found")</f>
        <v>No</v>
      </c>
      <c r="N1683" t="s">
        <v>309</v>
      </c>
    </row>
    <row r="1684" spans="1:14" x14ac:dyDescent="0.25">
      <c r="A1684" s="9">
        <v>45510</v>
      </c>
      <c r="B1684" s="1" t="str">
        <f>IFERROR(VLOOKUP(MID(INDEX(Database_dermo!$A:$I, MATCH($N1684, Database_dermo!$A:$A, 0), 2),20,3),Notes!A$1:C$9,3,TRUE), "Not Found")</f>
        <v>LX-S</v>
      </c>
      <c r="C1684" s="1" t="str">
        <f>IFERROR(RIGHT(INDEX(Database_dermo!$A:$I, MATCH($N1684, Database_dermo!$A:$A, 0), 1),2), "Not Found")</f>
        <v>15</v>
      </c>
      <c r="D1684" s="1">
        <f>IFERROR(VLOOKUP(MID(INDEX(Database_dermo!$A:$I, MATCH($N1684, Database_dermo!$A:$A, 0), 2),20,3),Notes!A$1:C$9,2,TRUE), "Not Found")</f>
        <v>3</v>
      </c>
      <c r="E1684" s="1">
        <f>IFERROR(INDEX(Database_dermo!$A:$I, MATCH($N1684, Database_dermo!$A:$A, 0), 3), "Not Found")</f>
        <v>70.8</v>
      </c>
      <c r="F1684" s="1" t="str">
        <f>IFERROR(INDEX(Database_repro!$A:$F, MATCH($N1684, Database_repro!$A:$A, 0), 3), "Not Found")</f>
        <v>F</v>
      </c>
      <c r="G1684" s="1">
        <f>IFERROR(INDEX(Database_repro!$A:$F, MATCH($N1684, Database_repro!$A:$A, 0), 4), "Not Found")</f>
        <v>2</v>
      </c>
      <c r="H1684" s="1" t="s">
        <v>16</v>
      </c>
      <c r="I1684" s="1" t="s">
        <v>16</v>
      </c>
      <c r="J1684" s="1" t="s">
        <v>16</v>
      </c>
      <c r="K1684" s="1" t="str">
        <f>IFERROR(INDEX(Database_repro!$A:$F, MATCH($N1684, Database_repro!$A:$A, 0), 5), "Not Found")</f>
        <v>No</v>
      </c>
      <c r="L1684" s="4" t="s">
        <v>17</v>
      </c>
      <c r="M1684" s="1" t="str">
        <f>IFERROR(IF(INDEX(Database_repro!$A:$F, MATCH($N1684, Database_repro!$A:$A, 0), 6)="N","No",IF(INDEX(Database_repro!$A:$F, MATCH($N1684, Database_repro!$A:$A, 0), 6)="Y","Yes","Z")), "Not Found")</f>
        <v>No</v>
      </c>
      <c r="N1684" t="s">
        <v>310</v>
      </c>
    </row>
    <row r="1685" spans="1:14" x14ac:dyDescent="0.25">
      <c r="A1685" s="9">
        <v>45539</v>
      </c>
      <c r="B1685" s="1" t="str">
        <f>IFERROR(VLOOKUP(MID(INDEX(Database_dermo!$A:$I, MATCH($N1685, Database_dermo!$A:$A, 0), 2),20,3),Notes!A$1:C$9,3,TRUE), "Not Found")</f>
        <v>LX-S</v>
      </c>
      <c r="C1685" s="1" t="str">
        <f>IFERROR(RIGHT(INDEX(Database_dermo!$A:$I, MATCH($N1685, Database_dermo!$A:$A, 0), 1),2), "Not Found")</f>
        <v>01</v>
      </c>
      <c r="D1685" s="1">
        <f>IFERROR(VLOOKUP(MID(INDEX(Database_dermo!$A:$I, MATCH($N1685, Database_dermo!$A:$A, 0), 2),20,3),Notes!A$1:C$9,2,TRUE), "Not Found")</f>
        <v>1</v>
      </c>
      <c r="E1685" s="1">
        <f>IFERROR(INDEX(Database_dermo!$A:$I, MATCH($N1685, Database_dermo!$A:$A, 0), 3), "Not Found")</f>
        <v>66.459999999999994</v>
      </c>
      <c r="F1685" s="1" t="str">
        <f>IFERROR(INDEX(Database_repro!$A:$F, MATCH($N1685, Database_repro!$A:$A, 0), 3), "Not Found")</f>
        <v>F</v>
      </c>
      <c r="G1685" s="1">
        <f>IFERROR(INDEX(Database_repro!$A:$F, MATCH($N1685, Database_repro!$A:$A, 0), 4), "Not Found")</f>
        <v>2</v>
      </c>
      <c r="H1685" s="1" t="s">
        <v>16</v>
      </c>
      <c r="I1685" s="1" t="s">
        <v>16</v>
      </c>
      <c r="J1685" s="1" t="s">
        <v>16</v>
      </c>
      <c r="K1685" s="1" t="str">
        <f>IFERROR(INDEX(Database_repro!$A:$F, MATCH($N1685, Database_repro!$A:$A, 0), 5), "Not Found")</f>
        <v>Yes</v>
      </c>
      <c r="L1685" s="4" t="s">
        <v>17</v>
      </c>
      <c r="M1685" s="1" t="str">
        <f>IFERROR(IF(INDEX(Database_repro!$A:$F, MATCH($N1685, Database_repro!$A:$A, 0), 6)="N","No",IF(INDEX(Database_repro!$A:$F, MATCH($N1685, Database_repro!$A:$A, 0), 6)="Y","Yes","Z")), "Not Found")</f>
        <v>No</v>
      </c>
      <c r="N1685" t="s">
        <v>311</v>
      </c>
    </row>
    <row r="1686" spans="1:14" x14ac:dyDescent="0.25">
      <c r="A1686" s="9">
        <v>45539</v>
      </c>
      <c r="B1686" s="1" t="str">
        <f>IFERROR(VLOOKUP(MID(INDEX(Database_dermo!$A:$I, MATCH($N1686, Database_dermo!$A:$A, 0), 2),20,3),Notes!A$1:C$9,3,TRUE), "Not Found")</f>
        <v>LX-S</v>
      </c>
      <c r="C1686" s="1" t="str">
        <f>IFERROR(RIGHT(INDEX(Database_dermo!$A:$I, MATCH($N1686, Database_dermo!$A:$A, 0), 1),2), "Not Found")</f>
        <v>02</v>
      </c>
      <c r="D1686" s="1">
        <f>IFERROR(VLOOKUP(MID(INDEX(Database_dermo!$A:$I, MATCH($N1686, Database_dermo!$A:$A, 0), 2),20,3),Notes!A$1:C$9,2,TRUE), "Not Found")</f>
        <v>1</v>
      </c>
      <c r="E1686" s="1">
        <f>IFERROR(INDEX(Database_dermo!$A:$I, MATCH($N1686, Database_dermo!$A:$A, 0), 3), "Not Found")</f>
        <v>49.48</v>
      </c>
      <c r="F1686" s="1" t="str">
        <f>IFERROR(INDEX(Database_repro!$A:$F, MATCH($N1686, Database_repro!$A:$A, 0), 3), "Not Found")</f>
        <v>F</v>
      </c>
      <c r="G1686" s="1">
        <f>IFERROR(INDEX(Database_repro!$A:$F, MATCH($N1686, Database_repro!$A:$A, 0), 4), "Not Found")</f>
        <v>2</v>
      </c>
      <c r="H1686" s="1" t="s">
        <v>16</v>
      </c>
      <c r="I1686" s="1" t="s">
        <v>16</v>
      </c>
      <c r="J1686" s="1" t="s">
        <v>16</v>
      </c>
      <c r="K1686" s="1" t="str">
        <f>IFERROR(INDEX(Database_repro!$A:$F, MATCH($N1686, Database_repro!$A:$A, 0), 5), "Not Found")</f>
        <v>No</v>
      </c>
      <c r="L1686" s="4" t="s">
        <v>17</v>
      </c>
      <c r="M1686" s="1" t="str">
        <f>IFERROR(IF(INDEX(Database_repro!$A:$F, MATCH($N1686, Database_repro!$A:$A, 0), 6)="N","No",IF(INDEX(Database_repro!$A:$F, MATCH($N1686, Database_repro!$A:$A, 0), 6)="Y","Yes","Z")), "Not Found")</f>
        <v>No</v>
      </c>
      <c r="N1686" t="s">
        <v>314</v>
      </c>
    </row>
    <row r="1687" spans="1:14" x14ac:dyDescent="0.25">
      <c r="A1687" s="9">
        <v>45539</v>
      </c>
      <c r="B1687" s="1" t="str">
        <f>IFERROR(VLOOKUP(MID(INDEX(Database_dermo!$A:$I, MATCH($N1687, Database_dermo!$A:$A, 0), 2),20,3),Notes!A$1:C$9,3,TRUE), "Not Found")</f>
        <v>LX-S</v>
      </c>
      <c r="C1687" s="1" t="str">
        <f>IFERROR(RIGHT(INDEX(Database_dermo!$A:$I, MATCH($N1687, Database_dermo!$A:$A, 0), 1),2), "Not Found")</f>
        <v>03</v>
      </c>
      <c r="D1687" s="1">
        <f>IFERROR(VLOOKUP(MID(INDEX(Database_dermo!$A:$I, MATCH($N1687, Database_dermo!$A:$A, 0), 2),20,3),Notes!A$1:C$9,2,TRUE), "Not Found")</f>
        <v>1</v>
      </c>
      <c r="E1687" s="1">
        <f>IFERROR(INDEX(Database_dermo!$A:$I, MATCH($N1687, Database_dermo!$A:$A, 0), 3), "Not Found")</f>
        <v>48.47</v>
      </c>
      <c r="F1687" s="1" t="str">
        <f>IFERROR(INDEX(Database_repro!$A:$F, MATCH($N1687, Database_repro!$A:$A, 0), 3), "Not Found")</f>
        <v>F</v>
      </c>
      <c r="G1687" s="1">
        <f>IFERROR(INDEX(Database_repro!$A:$F, MATCH($N1687, Database_repro!$A:$A, 0), 4), "Not Found")</f>
        <v>2</v>
      </c>
      <c r="H1687" s="1" t="s">
        <v>16</v>
      </c>
      <c r="I1687" s="1" t="s">
        <v>16</v>
      </c>
      <c r="J1687" s="1" t="s">
        <v>16</v>
      </c>
      <c r="K1687" s="1" t="str">
        <f>IFERROR(INDEX(Database_repro!$A:$F, MATCH($N1687, Database_repro!$A:$A, 0), 5), "Not Found")</f>
        <v>No</v>
      </c>
      <c r="L1687" s="4" t="s">
        <v>17</v>
      </c>
      <c r="M1687" s="1" t="str">
        <f>IFERROR(IF(INDEX(Database_repro!$A:$F, MATCH($N1687, Database_repro!$A:$A, 0), 6)="N","No",IF(INDEX(Database_repro!$A:$F, MATCH($N1687, Database_repro!$A:$A, 0), 6)="Y","Yes","Z")), "Not Found")</f>
        <v>No</v>
      </c>
      <c r="N1687" t="s">
        <v>315</v>
      </c>
    </row>
    <row r="1688" spans="1:14" x14ac:dyDescent="0.25">
      <c r="A1688" s="9">
        <v>45539</v>
      </c>
      <c r="B1688" s="1" t="str">
        <f>IFERROR(VLOOKUP(MID(INDEX(Database_dermo!$A:$I, MATCH($N1688, Database_dermo!$A:$A, 0), 2),20,3),Notes!A$1:C$9,3,TRUE), "Not Found")</f>
        <v>LX-S</v>
      </c>
      <c r="C1688" s="1" t="str">
        <f>IFERROR(RIGHT(INDEX(Database_dermo!$A:$I, MATCH($N1688, Database_dermo!$A:$A, 0), 1),2), "Not Found")</f>
        <v>04</v>
      </c>
      <c r="D1688" s="1">
        <f>IFERROR(VLOOKUP(MID(INDEX(Database_dermo!$A:$I, MATCH($N1688, Database_dermo!$A:$A, 0), 2),20,3),Notes!A$1:C$9,2,TRUE), "Not Found")</f>
        <v>1</v>
      </c>
      <c r="E1688" s="1">
        <f>IFERROR(INDEX(Database_dermo!$A:$I, MATCH($N1688, Database_dermo!$A:$A, 0), 3), "Not Found")</f>
        <v>59.18</v>
      </c>
      <c r="F1688" s="1" t="str">
        <f>IFERROR(INDEX(Database_repro!$A:$F, MATCH($N1688, Database_repro!$A:$A, 0), 3), "Not Found")</f>
        <v>F</v>
      </c>
      <c r="G1688" s="1">
        <f>IFERROR(INDEX(Database_repro!$A:$F, MATCH($N1688, Database_repro!$A:$A, 0), 4), "Not Found")</f>
        <v>2</v>
      </c>
      <c r="H1688" s="1" t="s">
        <v>16</v>
      </c>
      <c r="I1688" s="1" t="s">
        <v>16</v>
      </c>
      <c r="J1688" s="1" t="s">
        <v>16</v>
      </c>
      <c r="K1688" s="1" t="str">
        <f>IFERROR(INDEX(Database_repro!$A:$F, MATCH($N1688, Database_repro!$A:$A, 0), 5), "Not Found")</f>
        <v>No</v>
      </c>
      <c r="L1688" s="4" t="s">
        <v>17</v>
      </c>
      <c r="M1688" s="1" t="str">
        <f>IFERROR(IF(INDEX(Database_repro!$A:$F, MATCH($N1688, Database_repro!$A:$A, 0), 6)="N","No",IF(INDEX(Database_repro!$A:$F, MATCH($N1688, Database_repro!$A:$A, 0), 6)="Y","Yes","Z")), "Not Found")</f>
        <v>No</v>
      </c>
      <c r="N1688" t="s">
        <v>316</v>
      </c>
    </row>
    <row r="1689" spans="1:14" x14ac:dyDescent="0.25">
      <c r="A1689" s="9">
        <v>45539</v>
      </c>
      <c r="B1689" s="1" t="str">
        <f>IFERROR(VLOOKUP(MID(INDEX(Database_dermo!$A:$I, MATCH($N1689, Database_dermo!$A:$A, 0), 2),20,3),Notes!A$1:C$9,3,TRUE), "Not Found")</f>
        <v>LX-S</v>
      </c>
      <c r="C1689" s="1" t="str">
        <f>IFERROR(RIGHT(INDEX(Database_dermo!$A:$I, MATCH($N1689, Database_dermo!$A:$A, 0), 1),2), "Not Found")</f>
        <v>05</v>
      </c>
      <c r="D1689" s="1">
        <f>IFERROR(VLOOKUP(MID(INDEX(Database_dermo!$A:$I, MATCH($N1689, Database_dermo!$A:$A, 0), 2),20,3),Notes!A$1:C$9,2,TRUE), "Not Found")</f>
        <v>1</v>
      </c>
      <c r="E1689" s="1">
        <f>IFERROR(INDEX(Database_dermo!$A:$I, MATCH($N1689, Database_dermo!$A:$A, 0), 3), "Not Found")</f>
        <v>49.28</v>
      </c>
      <c r="F1689" s="1" t="str">
        <f>IFERROR(INDEX(Database_repro!$A:$F, MATCH($N1689, Database_repro!$A:$A, 0), 3), "Not Found")</f>
        <v>F</v>
      </c>
      <c r="G1689" s="1">
        <f>IFERROR(INDEX(Database_repro!$A:$F, MATCH($N1689, Database_repro!$A:$A, 0), 4), "Not Found")</f>
        <v>2</v>
      </c>
      <c r="H1689" s="1" t="s">
        <v>16</v>
      </c>
      <c r="I1689" s="1" t="s">
        <v>16</v>
      </c>
      <c r="J1689" s="1" t="s">
        <v>16</v>
      </c>
      <c r="K1689" s="1" t="str">
        <f>IFERROR(INDEX(Database_repro!$A:$F, MATCH($N1689, Database_repro!$A:$A, 0), 5), "Not Found")</f>
        <v>Yes</v>
      </c>
      <c r="L1689" s="4" t="s">
        <v>17</v>
      </c>
      <c r="M1689" s="1" t="str">
        <f>IFERROR(IF(INDEX(Database_repro!$A:$F, MATCH($N1689, Database_repro!$A:$A, 0), 6)="N","No",IF(INDEX(Database_repro!$A:$F, MATCH($N1689, Database_repro!$A:$A, 0), 6)="Y","Yes","Z")), "Not Found")</f>
        <v>No</v>
      </c>
      <c r="N1689" t="s">
        <v>317</v>
      </c>
    </row>
    <row r="1690" spans="1:14" x14ac:dyDescent="0.25">
      <c r="A1690" s="9">
        <v>45539</v>
      </c>
      <c r="B1690" s="1" t="str">
        <f>IFERROR(VLOOKUP(MID(INDEX(Database_dermo!$A:$I, MATCH($N1690, Database_dermo!$A:$A, 0), 2),20,3),Notes!A$1:C$9,3,TRUE), "Not Found")</f>
        <v>LX-S</v>
      </c>
      <c r="C1690" s="1" t="str">
        <f>IFERROR(RIGHT(INDEX(Database_dermo!$A:$I, MATCH($N1690, Database_dermo!$A:$A, 0), 1),2), "Not Found")</f>
        <v>06</v>
      </c>
      <c r="D1690" s="1">
        <f>IFERROR(VLOOKUP(MID(INDEX(Database_dermo!$A:$I, MATCH($N1690, Database_dermo!$A:$A, 0), 2),20,3),Notes!A$1:C$9,2,TRUE), "Not Found")</f>
        <v>2</v>
      </c>
      <c r="E1690" s="1">
        <f>IFERROR(INDEX(Database_dermo!$A:$I, MATCH($N1690, Database_dermo!$A:$A, 0), 3), "Not Found")</f>
        <v>53.37</v>
      </c>
      <c r="F1690" s="1" t="str">
        <f>IFERROR(INDEX(Database_repro!$A:$F, MATCH($N1690, Database_repro!$A:$A, 0), 3), "Not Found")</f>
        <v>F</v>
      </c>
      <c r="G1690" s="1">
        <f>IFERROR(INDEX(Database_repro!$A:$F, MATCH($N1690, Database_repro!$A:$A, 0), 4), "Not Found")</f>
        <v>2</v>
      </c>
      <c r="H1690" s="1" t="s">
        <v>16</v>
      </c>
      <c r="I1690" s="1" t="s">
        <v>16</v>
      </c>
      <c r="J1690" s="1" t="s">
        <v>16</v>
      </c>
      <c r="K1690" s="1" t="str">
        <f>IFERROR(INDEX(Database_repro!$A:$F, MATCH($N1690, Database_repro!$A:$A, 0), 5), "Not Found")</f>
        <v>No</v>
      </c>
      <c r="L1690" s="4" t="s">
        <v>17</v>
      </c>
      <c r="M1690" s="1" t="str">
        <f>IFERROR(IF(INDEX(Database_repro!$A:$F, MATCH($N1690, Database_repro!$A:$A, 0), 6)="N","No",IF(INDEX(Database_repro!$A:$F, MATCH($N1690, Database_repro!$A:$A, 0), 6)="Y","Yes","Z")), "Not Found")</f>
        <v>No</v>
      </c>
      <c r="N1690" t="s">
        <v>318</v>
      </c>
    </row>
    <row r="1691" spans="1:14" x14ac:dyDescent="0.25">
      <c r="A1691" s="9">
        <v>45539</v>
      </c>
      <c r="B1691" s="1" t="str">
        <f>IFERROR(VLOOKUP(MID(INDEX(Database_dermo!$A:$I, MATCH($N1691, Database_dermo!$A:$A, 0), 2),20,3),Notes!A$1:C$9,3,TRUE), "Not Found")</f>
        <v>LX-S</v>
      </c>
      <c r="C1691" s="1" t="str">
        <f>IFERROR(RIGHT(INDEX(Database_dermo!$A:$I, MATCH($N1691, Database_dermo!$A:$A, 0), 1),2), "Not Found")</f>
        <v>07</v>
      </c>
      <c r="D1691" s="1">
        <f>IFERROR(VLOOKUP(MID(INDEX(Database_dermo!$A:$I, MATCH($N1691, Database_dermo!$A:$A, 0), 2),20,3),Notes!A$1:C$9,2,TRUE), "Not Found")</f>
        <v>2</v>
      </c>
      <c r="E1691" s="1">
        <f>IFERROR(INDEX(Database_dermo!$A:$I, MATCH($N1691, Database_dermo!$A:$A, 0), 3), "Not Found")</f>
        <v>58.53</v>
      </c>
      <c r="F1691" s="1" t="str">
        <f>IFERROR(INDEX(Database_repro!$A:$F, MATCH($N1691, Database_repro!$A:$A, 0), 3), "Not Found")</f>
        <v>M</v>
      </c>
      <c r="G1691" s="1">
        <f>IFERROR(INDEX(Database_repro!$A:$F, MATCH($N1691, Database_repro!$A:$A, 0), 4), "Not Found")</f>
        <v>2</v>
      </c>
      <c r="H1691" s="1" t="s">
        <v>16</v>
      </c>
      <c r="I1691" s="1" t="s">
        <v>16</v>
      </c>
      <c r="J1691" s="1" t="s">
        <v>16</v>
      </c>
      <c r="K1691" s="1" t="str">
        <f>IFERROR(INDEX(Database_repro!$A:$F, MATCH($N1691, Database_repro!$A:$A, 0), 5), "Not Found")</f>
        <v>No</v>
      </c>
      <c r="L1691" s="4" t="s">
        <v>17</v>
      </c>
      <c r="M1691" s="1" t="str">
        <f>IFERROR(IF(INDEX(Database_repro!$A:$F, MATCH($N1691, Database_repro!$A:$A, 0), 6)="N","No",IF(INDEX(Database_repro!$A:$F, MATCH($N1691, Database_repro!$A:$A, 0), 6)="Y","Yes","Z")), "Not Found")</f>
        <v>No</v>
      </c>
      <c r="N1691" t="s">
        <v>321</v>
      </c>
    </row>
    <row r="1692" spans="1:14" x14ac:dyDescent="0.25">
      <c r="A1692" s="9">
        <v>45539</v>
      </c>
      <c r="B1692" s="1" t="str">
        <f>IFERROR(VLOOKUP(MID(INDEX(Database_dermo!$A:$I, MATCH($N1692, Database_dermo!$A:$A, 0), 2),20,3),Notes!A$1:C$9,3,TRUE), "Not Found")</f>
        <v>LX-S</v>
      </c>
      <c r="C1692" s="1" t="str">
        <f>IFERROR(RIGHT(INDEX(Database_dermo!$A:$I, MATCH($N1692, Database_dermo!$A:$A, 0), 1),2), "Not Found")</f>
        <v>08</v>
      </c>
      <c r="D1692" s="1">
        <f>IFERROR(VLOOKUP(MID(INDEX(Database_dermo!$A:$I, MATCH($N1692, Database_dermo!$A:$A, 0), 2),20,3),Notes!A$1:C$9,2,TRUE), "Not Found")</f>
        <v>2</v>
      </c>
      <c r="E1692" s="1">
        <f>IFERROR(INDEX(Database_dermo!$A:$I, MATCH($N1692, Database_dermo!$A:$A, 0), 3), "Not Found")</f>
        <v>59.94</v>
      </c>
      <c r="F1692" s="1" t="str">
        <f>IFERROR(INDEX(Database_repro!$A:$F, MATCH($N1692, Database_repro!$A:$A, 0), 3), "Not Found")</f>
        <v>F</v>
      </c>
      <c r="G1692" s="1">
        <f>IFERROR(INDEX(Database_repro!$A:$F, MATCH($N1692, Database_repro!$A:$A, 0), 4), "Not Found")</f>
        <v>2</v>
      </c>
      <c r="H1692" s="1" t="s">
        <v>16</v>
      </c>
      <c r="I1692" s="1" t="s">
        <v>16</v>
      </c>
      <c r="J1692" s="1" t="s">
        <v>16</v>
      </c>
      <c r="K1692" s="1" t="str">
        <f>IFERROR(INDEX(Database_repro!$A:$F, MATCH($N1692, Database_repro!$A:$A, 0), 5), "Not Found")</f>
        <v>No</v>
      </c>
      <c r="L1692" s="4" t="s">
        <v>17</v>
      </c>
      <c r="M1692" s="1" t="str">
        <f>IFERROR(IF(INDEX(Database_repro!$A:$F, MATCH($N1692, Database_repro!$A:$A, 0), 6)="N","No",IF(INDEX(Database_repro!$A:$F, MATCH($N1692, Database_repro!$A:$A, 0), 6)="Y","Yes","Z")), "Not Found")</f>
        <v>No</v>
      </c>
      <c r="N1692" t="s">
        <v>323</v>
      </c>
    </row>
    <row r="1693" spans="1:14" x14ac:dyDescent="0.25">
      <c r="A1693" s="9">
        <v>45539</v>
      </c>
      <c r="B1693" s="1" t="str">
        <f>IFERROR(VLOOKUP(MID(INDEX(Database_dermo!$A:$I, MATCH($N1693, Database_dermo!$A:$A, 0), 2),20,3),Notes!A$1:C$9,3,TRUE), "Not Found")</f>
        <v>LX-S</v>
      </c>
      <c r="C1693" s="1" t="str">
        <f>IFERROR(RIGHT(INDEX(Database_dermo!$A:$I, MATCH($N1693, Database_dermo!$A:$A, 0), 1),2), "Not Found")</f>
        <v>09</v>
      </c>
      <c r="D1693" s="1">
        <f>IFERROR(VLOOKUP(MID(INDEX(Database_dermo!$A:$I, MATCH($N1693, Database_dermo!$A:$A, 0), 2),20,3),Notes!A$1:C$9,2,TRUE), "Not Found")</f>
        <v>2</v>
      </c>
      <c r="E1693" s="1">
        <f>IFERROR(INDEX(Database_dermo!$A:$I, MATCH($N1693, Database_dermo!$A:$A, 0), 3), "Not Found")</f>
        <v>49.64</v>
      </c>
      <c r="F1693" s="1" t="str">
        <f>IFERROR(INDEX(Database_repro!$A:$F, MATCH($N1693, Database_repro!$A:$A, 0), 3), "Not Found")</f>
        <v>M</v>
      </c>
      <c r="G1693" s="1">
        <f>IFERROR(INDEX(Database_repro!$A:$F, MATCH($N1693, Database_repro!$A:$A, 0), 4), "Not Found")</f>
        <v>2</v>
      </c>
      <c r="H1693" s="1" t="s">
        <v>16</v>
      </c>
      <c r="I1693" s="1" t="s">
        <v>16</v>
      </c>
      <c r="J1693" s="1" t="s">
        <v>16</v>
      </c>
      <c r="K1693" s="1" t="str">
        <f>IFERROR(INDEX(Database_repro!$A:$F, MATCH($N1693, Database_repro!$A:$A, 0), 5), "Not Found")</f>
        <v>No</v>
      </c>
      <c r="L1693" s="4" t="s">
        <v>17</v>
      </c>
      <c r="M1693" s="1" t="str">
        <f>IFERROR(IF(INDEX(Database_repro!$A:$F, MATCH($N1693, Database_repro!$A:$A, 0), 6)="N","No",IF(INDEX(Database_repro!$A:$F, MATCH($N1693, Database_repro!$A:$A, 0), 6)="Y","Yes","Z")), "Not Found")</f>
        <v>No</v>
      </c>
      <c r="N1693" t="s">
        <v>324</v>
      </c>
    </row>
    <row r="1694" spans="1:14" x14ac:dyDescent="0.25">
      <c r="A1694" s="9">
        <v>45539</v>
      </c>
      <c r="B1694" s="1" t="str">
        <f>IFERROR(VLOOKUP(MID(INDEX(Database_dermo!$A:$I, MATCH($N1694, Database_dermo!$A:$A, 0), 2),20,3),Notes!A$1:C$9,3,TRUE), "Not Found")</f>
        <v>LX-S</v>
      </c>
      <c r="C1694" s="1" t="str">
        <f>IFERROR(RIGHT(INDEX(Database_dermo!$A:$I, MATCH($N1694, Database_dermo!$A:$A, 0), 1),2), "Not Found")</f>
        <v>10</v>
      </c>
      <c r="D1694" s="1">
        <f>IFERROR(VLOOKUP(MID(INDEX(Database_dermo!$A:$I, MATCH($N1694, Database_dermo!$A:$A, 0), 2),20,3),Notes!A$1:C$9,2,TRUE), "Not Found")</f>
        <v>2</v>
      </c>
      <c r="E1694" s="1">
        <f>IFERROR(INDEX(Database_dermo!$A:$I, MATCH($N1694, Database_dermo!$A:$A, 0), 3), "Not Found")</f>
        <v>44.06</v>
      </c>
      <c r="F1694" s="1" t="str">
        <f>IFERROR(INDEX(Database_repro!$A:$F, MATCH($N1694, Database_repro!$A:$A, 0), 3), "Not Found")</f>
        <v>F</v>
      </c>
      <c r="G1694" s="1">
        <f>IFERROR(INDEX(Database_repro!$A:$F, MATCH($N1694, Database_repro!$A:$A, 0), 4), "Not Found")</f>
        <v>2</v>
      </c>
      <c r="H1694" s="1" t="s">
        <v>16</v>
      </c>
      <c r="I1694" s="1" t="s">
        <v>16</v>
      </c>
      <c r="J1694" s="1" t="s">
        <v>16</v>
      </c>
      <c r="K1694" s="1" t="str">
        <f>IFERROR(INDEX(Database_repro!$A:$F, MATCH($N1694, Database_repro!$A:$A, 0), 5), "Not Found")</f>
        <v>No</v>
      </c>
      <c r="L1694" s="4" t="s">
        <v>17</v>
      </c>
      <c r="M1694" s="1" t="str">
        <f>IFERROR(IF(INDEX(Database_repro!$A:$F, MATCH($N1694, Database_repro!$A:$A, 0), 6)="N","No",IF(INDEX(Database_repro!$A:$F, MATCH($N1694, Database_repro!$A:$A, 0), 6)="Y","Yes","Z")), "Not Found")</f>
        <v>No</v>
      </c>
      <c r="N1694" t="s">
        <v>325</v>
      </c>
    </row>
    <row r="1695" spans="1:14" x14ac:dyDescent="0.25">
      <c r="A1695" s="9">
        <v>45539</v>
      </c>
      <c r="B1695" s="1" t="str">
        <f>IFERROR(VLOOKUP(MID(INDEX(Database_dermo!$A:$I, MATCH($N1695, Database_dermo!$A:$A, 0), 2),20,3),Notes!A$1:C$9,3,TRUE), "Not Found")</f>
        <v>LX-S</v>
      </c>
      <c r="C1695" s="1" t="str">
        <f>IFERROR(RIGHT(INDEX(Database_dermo!$A:$I, MATCH($N1695, Database_dermo!$A:$A, 0), 1),2), "Not Found")</f>
        <v>11</v>
      </c>
      <c r="D1695" s="1">
        <f>IFERROR(VLOOKUP(MID(INDEX(Database_dermo!$A:$I, MATCH($N1695, Database_dermo!$A:$A, 0), 2),20,3),Notes!A$1:C$9,2,TRUE), "Not Found")</f>
        <v>3</v>
      </c>
      <c r="E1695" s="1">
        <f>IFERROR(INDEX(Database_dermo!$A:$I, MATCH($N1695, Database_dermo!$A:$A, 0), 3), "Not Found")</f>
        <v>63.04</v>
      </c>
      <c r="F1695" s="1" t="str">
        <f>IFERROR(INDEX(Database_repro!$A:$F, MATCH($N1695, Database_repro!$A:$A, 0), 3), "Not Found")</f>
        <v>F</v>
      </c>
      <c r="G1695" s="1">
        <f>IFERROR(INDEX(Database_repro!$A:$F, MATCH($N1695, Database_repro!$A:$A, 0), 4), "Not Found")</f>
        <v>2</v>
      </c>
      <c r="H1695" s="1" t="s">
        <v>16</v>
      </c>
      <c r="I1695" s="1" t="s">
        <v>16</v>
      </c>
      <c r="J1695" s="1" t="s">
        <v>16</v>
      </c>
      <c r="K1695" s="1" t="str">
        <f>IFERROR(INDEX(Database_repro!$A:$F, MATCH($N1695, Database_repro!$A:$A, 0), 5), "Not Found")</f>
        <v>No</v>
      </c>
      <c r="L1695" s="4" t="s">
        <v>17</v>
      </c>
      <c r="M1695" s="1" t="str">
        <f>IFERROR(IF(INDEX(Database_repro!$A:$F, MATCH($N1695, Database_repro!$A:$A, 0), 6)="N","No",IF(INDEX(Database_repro!$A:$F, MATCH($N1695, Database_repro!$A:$A, 0), 6)="Y","Yes","Z")), "Not Found")</f>
        <v>No</v>
      </c>
      <c r="N1695" t="s">
        <v>327</v>
      </c>
    </row>
    <row r="1696" spans="1:14" x14ac:dyDescent="0.25">
      <c r="A1696" s="9">
        <v>45539</v>
      </c>
      <c r="B1696" s="1" t="str">
        <f>IFERROR(VLOOKUP(MID(INDEX(Database_dermo!$A:$I, MATCH($N1696, Database_dermo!$A:$A, 0), 2),20,3),Notes!A$1:C$9,3,TRUE), "Not Found")</f>
        <v>LX-S</v>
      </c>
      <c r="C1696" s="1" t="str">
        <f>IFERROR(RIGHT(INDEX(Database_dermo!$A:$I, MATCH($N1696, Database_dermo!$A:$A, 0), 1),2), "Not Found")</f>
        <v>12</v>
      </c>
      <c r="D1696" s="1">
        <f>IFERROR(VLOOKUP(MID(INDEX(Database_dermo!$A:$I, MATCH($N1696, Database_dermo!$A:$A, 0), 2),20,3),Notes!A$1:C$9,2,TRUE), "Not Found")</f>
        <v>3</v>
      </c>
      <c r="E1696" s="1">
        <f>IFERROR(INDEX(Database_dermo!$A:$I, MATCH($N1696, Database_dermo!$A:$A, 0), 3), "Not Found")</f>
        <v>66.510000000000005</v>
      </c>
      <c r="F1696" s="1" t="str">
        <f>IFERROR(INDEX(Database_repro!$A:$F, MATCH($N1696, Database_repro!$A:$A, 0), 3), "Not Found")</f>
        <v>M</v>
      </c>
      <c r="G1696" s="1">
        <f>IFERROR(INDEX(Database_repro!$A:$F, MATCH($N1696, Database_repro!$A:$A, 0), 4), "Not Found")</f>
        <v>2</v>
      </c>
      <c r="H1696" s="1" t="s">
        <v>16</v>
      </c>
      <c r="I1696" s="1" t="s">
        <v>16</v>
      </c>
      <c r="J1696" s="1" t="s">
        <v>16</v>
      </c>
      <c r="K1696" s="1" t="str">
        <f>IFERROR(INDEX(Database_repro!$A:$F, MATCH($N1696, Database_repro!$A:$A, 0), 5), "Not Found")</f>
        <v>No</v>
      </c>
      <c r="L1696" s="4" t="s">
        <v>17</v>
      </c>
      <c r="M1696" s="1" t="str">
        <f>IFERROR(IF(INDEX(Database_repro!$A:$F, MATCH($N1696, Database_repro!$A:$A, 0), 6)="N","No",IF(INDEX(Database_repro!$A:$F, MATCH($N1696, Database_repro!$A:$A, 0), 6)="Y","Yes","Z")), "Not Found")</f>
        <v>No</v>
      </c>
      <c r="N1696" t="s">
        <v>330</v>
      </c>
    </row>
    <row r="1697" spans="1:14" x14ac:dyDescent="0.25">
      <c r="A1697" s="9">
        <v>45539</v>
      </c>
      <c r="B1697" s="1" t="str">
        <f>IFERROR(VLOOKUP(MID(INDEX(Database_dermo!$A:$I, MATCH($N1697, Database_dermo!$A:$A, 0), 2),20,3),Notes!A$1:C$9,3,TRUE), "Not Found")</f>
        <v>LX-S</v>
      </c>
      <c r="C1697" s="1" t="str">
        <f>IFERROR(RIGHT(INDEX(Database_dermo!$A:$I, MATCH($N1697, Database_dermo!$A:$A, 0), 1),2), "Not Found")</f>
        <v>13</v>
      </c>
      <c r="D1697" s="1">
        <f>IFERROR(VLOOKUP(MID(INDEX(Database_dermo!$A:$I, MATCH($N1697, Database_dermo!$A:$A, 0), 2),20,3),Notes!A$1:C$9,2,TRUE), "Not Found")</f>
        <v>3</v>
      </c>
      <c r="E1697" s="1">
        <f>IFERROR(INDEX(Database_dermo!$A:$I, MATCH($N1697, Database_dermo!$A:$A, 0), 3), "Not Found")</f>
        <v>51.48</v>
      </c>
      <c r="F1697" s="1" t="str">
        <f>IFERROR(INDEX(Database_repro!$A:$F, MATCH($N1697, Database_repro!$A:$A, 0), 3), "Not Found")</f>
        <v>F</v>
      </c>
      <c r="G1697" s="1">
        <f>IFERROR(INDEX(Database_repro!$A:$F, MATCH($N1697, Database_repro!$A:$A, 0), 4), "Not Found")</f>
        <v>2</v>
      </c>
      <c r="H1697" s="1" t="s">
        <v>16</v>
      </c>
      <c r="I1697" s="1" t="s">
        <v>16</v>
      </c>
      <c r="J1697" s="1" t="s">
        <v>16</v>
      </c>
      <c r="K1697" s="1" t="str">
        <f>IFERROR(INDEX(Database_repro!$A:$F, MATCH($N1697, Database_repro!$A:$A, 0), 5), "Not Found")</f>
        <v>No</v>
      </c>
      <c r="L1697" s="4" t="s">
        <v>17</v>
      </c>
      <c r="M1697" s="1" t="str">
        <f>IFERROR(IF(INDEX(Database_repro!$A:$F, MATCH($N1697, Database_repro!$A:$A, 0), 6)="N","No",IF(INDEX(Database_repro!$A:$F, MATCH($N1697, Database_repro!$A:$A, 0), 6)="Y","Yes","Z")), "Not Found")</f>
        <v>No</v>
      </c>
      <c r="N1697" t="s">
        <v>331</v>
      </c>
    </row>
    <row r="1698" spans="1:14" x14ac:dyDescent="0.25">
      <c r="A1698" s="9">
        <v>45539</v>
      </c>
      <c r="B1698" s="1" t="str">
        <f>IFERROR(VLOOKUP(MID(INDEX(Database_dermo!$A:$I, MATCH($N1698, Database_dermo!$A:$A, 0), 2),20,3),Notes!A$1:C$9,3,TRUE), "Not Found")</f>
        <v>LX-S</v>
      </c>
      <c r="C1698" s="1" t="str">
        <f>IFERROR(RIGHT(INDEX(Database_dermo!$A:$I, MATCH($N1698, Database_dermo!$A:$A, 0), 1),2), "Not Found")</f>
        <v>14</v>
      </c>
      <c r="D1698" s="1">
        <f>IFERROR(VLOOKUP(MID(INDEX(Database_dermo!$A:$I, MATCH($N1698, Database_dermo!$A:$A, 0), 2),20,3),Notes!A$1:C$9,2,TRUE), "Not Found")</f>
        <v>3</v>
      </c>
      <c r="E1698" s="1">
        <f>IFERROR(INDEX(Database_dermo!$A:$I, MATCH($N1698, Database_dermo!$A:$A, 0), 3), "Not Found")</f>
        <v>60.01</v>
      </c>
      <c r="F1698" s="1" t="str">
        <f>IFERROR(INDEX(Database_repro!$A:$F, MATCH($N1698, Database_repro!$A:$A, 0), 3), "Not Found")</f>
        <v>F</v>
      </c>
      <c r="G1698" s="1">
        <f>IFERROR(INDEX(Database_repro!$A:$F, MATCH($N1698, Database_repro!$A:$A, 0), 4), "Not Found")</f>
        <v>2</v>
      </c>
      <c r="H1698" s="1" t="s">
        <v>16</v>
      </c>
      <c r="I1698" s="1" t="s">
        <v>16</v>
      </c>
      <c r="J1698" s="1" t="s">
        <v>16</v>
      </c>
      <c r="K1698" s="1" t="str">
        <f>IFERROR(INDEX(Database_repro!$A:$F, MATCH($N1698, Database_repro!$A:$A, 0), 5), "Not Found")</f>
        <v>No</v>
      </c>
      <c r="L1698" s="4" t="s">
        <v>17</v>
      </c>
      <c r="M1698" s="1" t="str">
        <f>IFERROR(IF(INDEX(Database_repro!$A:$F, MATCH($N1698, Database_repro!$A:$A, 0), 6)="N","No",IF(INDEX(Database_repro!$A:$F, MATCH($N1698, Database_repro!$A:$A, 0), 6)="Y","Yes","Z")), "Not Found")</f>
        <v>No</v>
      </c>
      <c r="N1698" t="s">
        <v>332</v>
      </c>
    </row>
    <row r="1699" spans="1:14" x14ac:dyDescent="0.25">
      <c r="A1699" s="9">
        <v>45539</v>
      </c>
      <c r="B1699" s="1" t="str">
        <f>IFERROR(VLOOKUP(MID(INDEX(Database_dermo!$A:$I, MATCH($N1699, Database_dermo!$A:$A, 0), 2),20,3),Notes!A$1:C$9,3,TRUE), "Not Found")</f>
        <v>LX-S</v>
      </c>
      <c r="C1699" s="1" t="str">
        <f>IFERROR(RIGHT(INDEX(Database_dermo!$A:$I, MATCH($N1699, Database_dermo!$A:$A, 0), 1),2), "Not Found")</f>
        <v>15</v>
      </c>
      <c r="D1699" s="1">
        <f>IFERROR(VLOOKUP(MID(INDEX(Database_dermo!$A:$I, MATCH($N1699, Database_dermo!$A:$A, 0), 2),20,3),Notes!A$1:C$9,2,TRUE), "Not Found")</f>
        <v>3</v>
      </c>
      <c r="E1699" s="1">
        <f>IFERROR(INDEX(Database_dermo!$A:$I, MATCH($N1699, Database_dermo!$A:$A, 0), 3), "Not Found")</f>
        <v>42.94</v>
      </c>
      <c r="F1699" s="1" t="str">
        <f>IFERROR(INDEX(Database_repro!$A:$F, MATCH($N1699, Database_repro!$A:$A, 0), 3), "Not Found")</f>
        <v>F</v>
      </c>
      <c r="G1699" s="1">
        <f>IFERROR(INDEX(Database_repro!$A:$F, MATCH($N1699, Database_repro!$A:$A, 0), 4), "Not Found")</f>
        <v>2</v>
      </c>
      <c r="H1699" s="1" t="s">
        <v>16</v>
      </c>
      <c r="I1699" s="1" t="s">
        <v>16</v>
      </c>
      <c r="J1699" s="1" t="s">
        <v>16</v>
      </c>
      <c r="K1699" s="1" t="str">
        <f>IFERROR(INDEX(Database_repro!$A:$F, MATCH($N1699, Database_repro!$A:$A, 0), 5), "Not Found")</f>
        <v>No</v>
      </c>
      <c r="L1699" s="4" t="s">
        <v>17</v>
      </c>
      <c r="M1699" s="1" t="str">
        <f>IFERROR(IF(INDEX(Database_repro!$A:$F, MATCH($N1699, Database_repro!$A:$A, 0), 6)="N","No",IF(INDEX(Database_repro!$A:$F, MATCH($N1699, Database_repro!$A:$A, 0), 6)="Y","Yes","Z")), "Not Found")</f>
        <v>No</v>
      </c>
      <c r="N1699" t="s">
        <v>333</v>
      </c>
    </row>
    <row r="1700" spans="1:14" x14ac:dyDescent="0.25">
      <c r="A1700" s="9">
        <v>45567</v>
      </c>
      <c r="B1700" s="1" t="str">
        <f>IFERROR(VLOOKUP(MID(INDEX(Database_dermo!$A:$I, MATCH($N1700, Database_dermo!$A:$A, 0), 2),20,3),Notes!A$1:C$9,3,TRUE), "Not Found")</f>
        <v>LX-S</v>
      </c>
      <c r="C1700" s="1" t="str">
        <f>IFERROR(RIGHT(INDEX(Database_dermo!$A:$I, MATCH($N1700, Database_dermo!$A:$A, 0), 1),2), "Not Found")</f>
        <v>01</v>
      </c>
      <c r="D1700" s="1">
        <f>IFERROR(VLOOKUP(MID(INDEX(Database_dermo!$A:$I, MATCH($N1700, Database_dermo!$A:$A, 0), 2),20,3),Notes!A$1:C$9,2,TRUE), "Not Found")</f>
        <v>1</v>
      </c>
      <c r="E1700" s="1">
        <f>IFERROR(INDEX(Database_dermo!$A:$I, MATCH($N1700, Database_dermo!$A:$A, 0), 3), "Not Found")</f>
        <v>53.75</v>
      </c>
      <c r="F1700" s="1" t="str">
        <f>IFERROR(INDEX(Database_repro!$A:$F, MATCH($N1700, Database_repro!$A:$A, 0), 3), "Not Found")</f>
        <v>F</v>
      </c>
      <c r="G1700" s="1">
        <f>IFERROR(INDEX(Database_repro!$A:$F, MATCH($N1700, Database_repro!$A:$A, 0), 4), "Not Found")</f>
        <v>2</v>
      </c>
      <c r="H1700" s="1" t="s">
        <v>16</v>
      </c>
      <c r="I1700" s="1" t="s">
        <v>16</v>
      </c>
      <c r="J1700" s="1" t="s">
        <v>16</v>
      </c>
      <c r="K1700" s="1" t="str">
        <f>IFERROR(INDEX(Database_repro!$A:$F, MATCH($N1700, Database_repro!$A:$A, 0), 5), "Not Found")</f>
        <v>No</v>
      </c>
      <c r="L1700" s="4" t="s">
        <v>17</v>
      </c>
      <c r="M1700" s="1" t="str">
        <f>IFERROR(IF(INDEX(Database_repro!$A:$F, MATCH($N1700, Database_repro!$A:$A, 0), 6)="N","No",IF(INDEX(Database_repro!$A:$F, MATCH($N1700, Database_repro!$A:$A, 0), 6)="Y","Yes","Z")), "Not Found")</f>
        <v>No</v>
      </c>
      <c r="N1700" t="s">
        <v>334</v>
      </c>
    </row>
    <row r="1701" spans="1:14" x14ac:dyDescent="0.25">
      <c r="A1701" s="9">
        <v>45567</v>
      </c>
      <c r="B1701" s="1" t="str">
        <f>IFERROR(VLOOKUP(MID(INDEX(Database_dermo!$A:$I, MATCH($N1701, Database_dermo!$A:$A, 0), 2),20,3),Notes!A$1:C$9,3,TRUE), "Not Found")</f>
        <v>LX-S</v>
      </c>
      <c r="C1701" s="1" t="str">
        <f>IFERROR(RIGHT(INDEX(Database_dermo!$A:$I, MATCH($N1701, Database_dermo!$A:$A, 0), 1),2), "Not Found")</f>
        <v>02</v>
      </c>
      <c r="D1701" s="1">
        <f>IFERROR(VLOOKUP(MID(INDEX(Database_dermo!$A:$I, MATCH($N1701, Database_dermo!$A:$A, 0), 2),20,3),Notes!A$1:C$9,2,TRUE), "Not Found")</f>
        <v>1</v>
      </c>
      <c r="E1701" s="1">
        <f>IFERROR(INDEX(Database_dermo!$A:$I, MATCH($N1701, Database_dermo!$A:$A, 0), 3), "Not Found")</f>
        <v>58.29</v>
      </c>
      <c r="F1701" s="1" t="str">
        <f>IFERROR(INDEX(Database_repro!$A:$F, MATCH($N1701, Database_repro!$A:$A, 0), 3), "Not Found")</f>
        <v>F</v>
      </c>
      <c r="G1701" s="1">
        <f>IFERROR(INDEX(Database_repro!$A:$F, MATCH($N1701, Database_repro!$A:$A, 0), 4), "Not Found")</f>
        <v>2</v>
      </c>
      <c r="H1701" s="1" t="s">
        <v>16</v>
      </c>
      <c r="I1701" s="1" t="s">
        <v>16</v>
      </c>
      <c r="J1701" s="1" t="s">
        <v>16</v>
      </c>
      <c r="K1701" s="1" t="str">
        <f>IFERROR(INDEX(Database_repro!$A:$F, MATCH($N1701, Database_repro!$A:$A, 0), 5), "Not Found")</f>
        <v>Yes</v>
      </c>
      <c r="L1701" s="4" t="s">
        <v>17</v>
      </c>
      <c r="M1701" s="1" t="str">
        <f>IFERROR(IF(INDEX(Database_repro!$A:$F, MATCH($N1701, Database_repro!$A:$A, 0), 6)="N","No",IF(INDEX(Database_repro!$A:$F, MATCH($N1701, Database_repro!$A:$A, 0), 6)="Y","Yes","Z")), "Not Found")</f>
        <v>No</v>
      </c>
      <c r="N1701" t="s">
        <v>336</v>
      </c>
    </row>
    <row r="1702" spans="1:14" x14ac:dyDescent="0.25">
      <c r="A1702" s="9">
        <v>45567</v>
      </c>
      <c r="B1702" s="1" t="str">
        <f>IFERROR(VLOOKUP(MID(INDEX(Database_dermo!$A:$I, MATCH($N1702, Database_dermo!$A:$A, 0), 2),20,3),Notes!A$1:C$9,3,TRUE), "Not Found")</f>
        <v>LX-S</v>
      </c>
      <c r="C1702" s="1" t="str">
        <f>IFERROR(RIGHT(INDEX(Database_dermo!$A:$I, MATCH($N1702, Database_dermo!$A:$A, 0), 1),2), "Not Found")</f>
        <v>03</v>
      </c>
      <c r="D1702" s="1">
        <f>IFERROR(VLOOKUP(MID(INDEX(Database_dermo!$A:$I, MATCH($N1702, Database_dermo!$A:$A, 0), 2),20,3),Notes!A$1:C$9,2,TRUE), "Not Found")</f>
        <v>1</v>
      </c>
      <c r="E1702" s="1">
        <f>IFERROR(INDEX(Database_dermo!$A:$I, MATCH($N1702, Database_dermo!$A:$A, 0), 3), "Not Found")</f>
        <v>51.97</v>
      </c>
      <c r="F1702" s="1" t="str">
        <f>IFERROR(INDEX(Database_repro!$A:$F, MATCH($N1702, Database_repro!$A:$A, 0), 3), "Not Found")</f>
        <v>F</v>
      </c>
      <c r="G1702" s="1">
        <f>IFERROR(INDEX(Database_repro!$A:$F, MATCH($N1702, Database_repro!$A:$A, 0), 4), "Not Found")</f>
        <v>2</v>
      </c>
      <c r="H1702" s="1" t="s">
        <v>16</v>
      </c>
      <c r="I1702" s="1" t="s">
        <v>16</v>
      </c>
      <c r="J1702" s="1" t="s">
        <v>16</v>
      </c>
      <c r="K1702" s="1" t="str">
        <f>IFERROR(INDEX(Database_repro!$A:$F, MATCH($N1702, Database_repro!$A:$A, 0), 5), "Not Found")</f>
        <v>No</v>
      </c>
      <c r="L1702" s="4" t="s">
        <v>17</v>
      </c>
      <c r="M1702" s="1" t="str">
        <f>IFERROR(IF(INDEX(Database_repro!$A:$F, MATCH($N1702, Database_repro!$A:$A, 0), 6)="N","No",IF(INDEX(Database_repro!$A:$F, MATCH($N1702, Database_repro!$A:$A, 0), 6)="Y","Yes","Z")), "Not Found")</f>
        <v>No</v>
      </c>
      <c r="N1702" t="s">
        <v>337</v>
      </c>
    </row>
    <row r="1703" spans="1:14" x14ac:dyDescent="0.25">
      <c r="A1703" s="9">
        <v>45567</v>
      </c>
      <c r="B1703" s="1" t="str">
        <f>IFERROR(VLOOKUP(MID(INDEX(Database_dermo!$A:$I, MATCH($N1703, Database_dermo!$A:$A, 0), 2),20,3),Notes!A$1:C$9,3,TRUE), "Not Found")</f>
        <v>LX-S</v>
      </c>
      <c r="C1703" s="1" t="str">
        <f>IFERROR(RIGHT(INDEX(Database_dermo!$A:$I, MATCH($N1703, Database_dermo!$A:$A, 0), 1),2), "Not Found")</f>
        <v>04</v>
      </c>
      <c r="D1703" s="1">
        <f>IFERROR(VLOOKUP(MID(INDEX(Database_dermo!$A:$I, MATCH($N1703, Database_dermo!$A:$A, 0), 2),20,3),Notes!A$1:C$9,2,TRUE), "Not Found")</f>
        <v>1</v>
      </c>
      <c r="E1703" s="1">
        <f>IFERROR(INDEX(Database_dermo!$A:$I, MATCH($N1703, Database_dermo!$A:$A, 0), 3), "Not Found")</f>
        <v>49.76</v>
      </c>
      <c r="F1703" s="1" t="str">
        <f>IFERROR(INDEX(Database_repro!$A:$F, MATCH($N1703, Database_repro!$A:$A, 0), 3), "Not Found")</f>
        <v>F</v>
      </c>
      <c r="G1703" s="1">
        <f>IFERROR(INDEX(Database_repro!$A:$F, MATCH($N1703, Database_repro!$A:$A, 0), 4), "Not Found")</f>
        <v>2</v>
      </c>
      <c r="H1703" s="1" t="s">
        <v>16</v>
      </c>
      <c r="I1703" s="1" t="s">
        <v>16</v>
      </c>
      <c r="J1703" s="1" t="s">
        <v>16</v>
      </c>
      <c r="K1703" s="1" t="str">
        <f>IFERROR(INDEX(Database_repro!$A:$F, MATCH($N1703, Database_repro!$A:$A, 0), 5), "Not Found")</f>
        <v>No</v>
      </c>
      <c r="L1703" s="4" t="s">
        <v>17</v>
      </c>
      <c r="M1703" s="1" t="str">
        <f>IFERROR(IF(INDEX(Database_repro!$A:$F, MATCH($N1703, Database_repro!$A:$A, 0), 6)="N","No",IF(INDEX(Database_repro!$A:$F, MATCH($N1703, Database_repro!$A:$A, 0), 6)="Y","Yes","Z")), "Not Found")</f>
        <v>No</v>
      </c>
      <c r="N1703" t="s">
        <v>338</v>
      </c>
    </row>
    <row r="1704" spans="1:14" x14ac:dyDescent="0.25">
      <c r="A1704" s="9">
        <v>45567</v>
      </c>
      <c r="B1704" s="1" t="str">
        <f>IFERROR(VLOOKUP(MID(INDEX(Database_dermo!$A:$I, MATCH($N1704, Database_dermo!$A:$A, 0), 2),20,3),Notes!A$1:C$9,3,TRUE), "Not Found")</f>
        <v>LX-S</v>
      </c>
      <c r="C1704" s="1" t="str">
        <f>IFERROR(RIGHT(INDEX(Database_dermo!$A:$I, MATCH($N1704, Database_dermo!$A:$A, 0), 1),2), "Not Found")</f>
        <v>05</v>
      </c>
      <c r="D1704" s="1">
        <f>IFERROR(VLOOKUP(MID(INDEX(Database_dermo!$A:$I, MATCH($N1704, Database_dermo!$A:$A, 0), 2),20,3),Notes!A$1:C$9,2,TRUE), "Not Found")</f>
        <v>1</v>
      </c>
      <c r="E1704" s="1">
        <f>IFERROR(INDEX(Database_dermo!$A:$I, MATCH($N1704, Database_dermo!$A:$A, 0), 3), "Not Found")</f>
        <v>45.42</v>
      </c>
      <c r="F1704" s="1" t="str">
        <f>IFERROR(INDEX(Database_repro!$A:$F, MATCH($N1704, Database_repro!$A:$A, 0), 3), "Not Found")</f>
        <v>F</v>
      </c>
      <c r="G1704" s="1">
        <f>IFERROR(INDEX(Database_repro!$A:$F, MATCH($N1704, Database_repro!$A:$A, 0), 4), "Not Found")</f>
        <v>2</v>
      </c>
      <c r="H1704" s="1" t="s">
        <v>16</v>
      </c>
      <c r="I1704" s="1" t="s">
        <v>16</v>
      </c>
      <c r="J1704" s="1" t="s">
        <v>16</v>
      </c>
      <c r="K1704" s="1" t="str">
        <f>IFERROR(INDEX(Database_repro!$A:$F, MATCH($N1704, Database_repro!$A:$A, 0), 5), "Not Found")</f>
        <v>No</v>
      </c>
      <c r="L1704" s="4" t="s">
        <v>17</v>
      </c>
      <c r="M1704" s="1" t="str">
        <f>IFERROR(IF(INDEX(Database_repro!$A:$F, MATCH($N1704, Database_repro!$A:$A, 0), 6)="N","No",IF(INDEX(Database_repro!$A:$F, MATCH($N1704, Database_repro!$A:$A, 0), 6)="Y","Yes","Z")), "Not Found")</f>
        <v>No</v>
      </c>
      <c r="N1704" t="s">
        <v>339</v>
      </c>
    </row>
    <row r="1705" spans="1:14" x14ac:dyDescent="0.25">
      <c r="A1705" s="9">
        <v>45567</v>
      </c>
      <c r="B1705" s="1" t="str">
        <f>IFERROR(VLOOKUP(MID(INDEX(Database_dermo!$A:$I, MATCH($N1705, Database_dermo!$A:$A, 0), 2),20,3),Notes!A$1:C$9,3,TRUE), "Not Found")</f>
        <v>LX-S</v>
      </c>
      <c r="C1705" s="1" t="str">
        <f>IFERROR(RIGHT(INDEX(Database_dermo!$A:$I, MATCH($N1705, Database_dermo!$A:$A, 0), 1),2), "Not Found")</f>
        <v>06</v>
      </c>
      <c r="D1705" s="1">
        <f>IFERROR(VLOOKUP(MID(INDEX(Database_dermo!$A:$I, MATCH($N1705, Database_dermo!$A:$A, 0), 2),20,3),Notes!A$1:C$9,2,TRUE), "Not Found")</f>
        <v>2</v>
      </c>
      <c r="E1705" s="1">
        <f>IFERROR(INDEX(Database_dermo!$A:$I, MATCH($N1705, Database_dermo!$A:$A, 0), 3), "Not Found")</f>
        <v>46.88</v>
      </c>
      <c r="F1705" s="1" t="str">
        <f>IFERROR(INDEX(Database_repro!$A:$F, MATCH($N1705, Database_repro!$A:$A, 0), 3), "Not Found")</f>
        <v>M</v>
      </c>
      <c r="G1705" s="1">
        <f>IFERROR(INDEX(Database_repro!$A:$F, MATCH($N1705, Database_repro!$A:$A, 0), 4), "Not Found")</f>
        <v>2</v>
      </c>
      <c r="H1705" s="1" t="s">
        <v>16</v>
      </c>
      <c r="I1705" s="1" t="s">
        <v>16</v>
      </c>
      <c r="J1705" s="1" t="s">
        <v>16</v>
      </c>
      <c r="K1705" s="1" t="str">
        <f>IFERROR(INDEX(Database_repro!$A:$F, MATCH($N1705, Database_repro!$A:$A, 0), 5), "Not Found")</f>
        <v>No</v>
      </c>
      <c r="L1705" s="4" t="s">
        <v>17</v>
      </c>
      <c r="M1705" s="1" t="str">
        <f>IFERROR(IF(INDEX(Database_repro!$A:$F, MATCH($N1705, Database_repro!$A:$A, 0), 6)="N","No",IF(INDEX(Database_repro!$A:$F, MATCH($N1705, Database_repro!$A:$A, 0), 6)="Y","Yes","Z")), "Not Found")</f>
        <v>No</v>
      </c>
      <c r="N1705" t="s">
        <v>340</v>
      </c>
    </row>
    <row r="1706" spans="1:14" x14ac:dyDescent="0.25">
      <c r="A1706" s="9">
        <v>45567</v>
      </c>
      <c r="B1706" s="1" t="str">
        <f>IFERROR(VLOOKUP(MID(INDEX(Database_dermo!$A:$I, MATCH($N1706, Database_dermo!$A:$A, 0), 2),20,3),Notes!A$1:C$9,3,TRUE), "Not Found")</f>
        <v>LX-S</v>
      </c>
      <c r="C1706" s="1" t="str">
        <f>IFERROR(RIGHT(INDEX(Database_dermo!$A:$I, MATCH($N1706, Database_dermo!$A:$A, 0), 1),2), "Not Found")</f>
        <v>07</v>
      </c>
      <c r="D1706" s="1">
        <f>IFERROR(VLOOKUP(MID(INDEX(Database_dermo!$A:$I, MATCH($N1706, Database_dermo!$A:$A, 0), 2),20,3),Notes!A$1:C$9,2,TRUE), "Not Found")</f>
        <v>2</v>
      </c>
      <c r="E1706" s="1">
        <f>IFERROR(INDEX(Database_dermo!$A:$I, MATCH($N1706, Database_dermo!$A:$A, 0), 3), "Not Found")</f>
        <v>45.42</v>
      </c>
      <c r="F1706" s="1" t="str">
        <f>IFERROR(INDEX(Database_repro!$A:$F, MATCH($N1706, Database_repro!$A:$A, 0), 3), "Not Found")</f>
        <v>M</v>
      </c>
      <c r="G1706" s="1">
        <f>IFERROR(INDEX(Database_repro!$A:$F, MATCH($N1706, Database_repro!$A:$A, 0), 4), "Not Found")</f>
        <v>2</v>
      </c>
      <c r="H1706" s="1" t="s">
        <v>16</v>
      </c>
      <c r="I1706" s="1" t="s">
        <v>16</v>
      </c>
      <c r="J1706" s="1" t="s">
        <v>16</v>
      </c>
      <c r="K1706" s="1" t="str">
        <f>IFERROR(INDEX(Database_repro!$A:$F, MATCH($N1706, Database_repro!$A:$A, 0), 5), "Not Found")</f>
        <v>No</v>
      </c>
      <c r="L1706" s="4" t="s">
        <v>17</v>
      </c>
      <c r="M1706" s="1" t="str">
        <f>IFERROR(IF(INDEX(Database_repro!$A:$F, MATCH($N1706, Database_repro!$A:$A, 0), 6)="N","No",IF(INDEX(Database_repro!$A:$F, MATCH($N1706, Database_repro!$A:$A, 0), 6)="Y","Yes","Z")), "Not Found")</f>
        <v>No</v>
      </c>
      <c r="N1706" t="s">
        <v>342</v>
      </c>
    </row>
    <row r="1707" spans="1:14" x14ac:dyDescent="0.25">
      <c r="A1707" s="9">
        <v>45567</v>
      </c>
      <c r="B1707" s="1" t="str">
        <f>IFERROR(VLOOKUP(MID(INDEX(Database_dermo!$A:$I, MATCH($N1707, Database_dermo!$A:$A, 0), 2),20,3),Notes!A$1:C$9,3,TRUE), "Not Found")</f>
        <v>LX-S</v>
      </c>
      <c r="C1707" s="1" t="str">
        <f>IFERROR(RIGHT(INDEX(Database_dermo!$A:$I, MATCH($N1707, Database_dermo!$A:$A, 0), 1),2), "Not Found")</f>
        <v>08</v>
      </c>
      <c r="D1707" s="1">
        <f>IFERROR(VLOOKUP(MID(INDEX(Database_dermo!$A:$I, MATCH($N1707, Database_dermo!$A:$A, 0), 2),20,3),Notes!A$1:C$9,2,TRUE), "Not Found")</f>
        <v>2</v>
      </c>
      <c r="E1707" s="1">
        <f>IFERROR(INDEX(Database_dermo!$A:$I, MATCH($N1707, Database_dermo!$A:$A, 0), 3), "Not Found")</f>
        <v>40.15</v>
      </c>
      <c r="F1707" s="1" t="str">
        <f>IFERROR(INDEX(Database_repro!$A:$F, MATCH($N1707, Database_repro!$A:$A, 0), 3), "Not Found")</f>
        <v>F</v>
      </c>
      <c r="G1707" s="1">
        <f>IFERROR(INDEX(Database_repro!$A:$F, MATCH($N1707, Database_repro!$A:$A, 0), 4), "Not Found")</f>
        <v>2</v>
      </c>
      <c r="H1707" s="1" t="s">
        <v>16</v>
      </c>
      <c r="I1707" s="1" t="s">
        <v>16</v>
      </c>
      <c r="J1707" s="1" t="s">
        <v>16</v>
      </c>
      <c r="K1707" s="1" t="str">
        <f>IFERROR(INDEX(Database_repro!$A:$F, MATCH($N1707, Database_repro!$A:$A, 0), 5), "Not Found")</f>
        <v>No</v>
      </c>
      <c r="L1707" s="4" t="s">
        <v>17</v>
      </c>
      <c r="M1707" s="1" t="str">
        <f>IFERROR(IF(INDEX(Database_repro!$A:$F, MATCH($N1707, Database_repro!$A:$A, 0), 6)="N","No",IF(INDEX(Database_repro!$A:$F, MATCH($N1707, Database_repro!$A:$A, 0), 6)="Y","Yes","Z")), "Not Found")</f>
        <v>No</v>
      </c>
      <c r="N1707" t="s">
        <v>343</v>
      </c>
    </row>
    <row r="1708" spans="1:14" x14ac:dyDescent="0.25">
      <c r="A1708" s="9">
        <v>45567</v>
      </c>
      <c r="B1708" s="1" t="str">
        <f>IFERROR(VLOOKUP(MID(INDEX(Database_dermo!$A:$I, MATCH($N1708, Database_dermo!$A:$A, 0), 2),20,3),Notes!A$1:C$9,3,TRUE), "Not Found")</f>
        <v>LX-S</v>
      </c>
      <c r="C1708" s="1" t="str">
        <f>IFERROR(RIGHT(INDEX(Database_dermo!$A:$I, MATCH($N1708, Database_dermo!$A:$A, 0), 1),2), "Not Found")</f>
        <v>09</v>
      </c>
      <c r="D1708" s="1">
        <f>IFERROR(VLOOKUP(MID(INDEX(Database_dermo!$A:$I, MATCH($N1708, Database_dermo!$A:$A, 0), 2),20,3),Notes!A$1:C$9,2,TRUE), "Not Found")</f>
        <v>2</v>
      </c>
      <c r="E1708" s="1">
        <f>IFERROR(INDEX(Database_dermo!$A:$I, MATCH($N1708, Database_dermo!$A:$A, 0), 3), "Not Found")</f>
        <v>39.5</v>
      </c>
      <c r="F1708" s="1" t="str">
        <f>IFERROR(INDEX(Database_repro!$A:$F, MATCH($N1708, Database_repro!$A:$A, 0), 3), "Not Found")</f>
        <v>M</v>
      </c>
      <c r="G1708" s="1">
        <f>IFERROR(INDEX(Database_repro!$A:$F, MATCH($N1708, Database_repro!$A:$A, 0), 4), "Not Found")</f>
        <v>2</v>
      </c>
      <c r="H1708" s="1" t="s">
        <v>16</v>
      </c>
      <c r="I1708" s="1" t="s">
        <v>16</v>
      </c>
      <c r="J1708" s="1" t="s">
        <v>16</v>
      </c>
      <c r="K1708" s="1" t="str">
        <f>IFERROR(INDEX(Database_repro!$A:$F, MATCH($N1708, Database_repro!$A:$A, 0), 5), "Not Found")</f>
        <v>No</v>
      </c>
      <c r="L1708" s="4" t="s">
        <v>17</v>
      </c>
      <c r="M1708" s="1" t="str">
        <f>IFERROR(IF(INDEX(Database_repro!$A:$F, MATCH($N1708, Database_repro!$A:$A, 0), 6)="N","No",IF(INDEX(Database_repro!$A:$F, MATCH($N1708, Database_repro!$A:$A, 0), 6)="Y","Yes","Z")), "Not Found")</f>
        <v>No</v>
      </c>
      <c r="N1708" t="s">
        <v>344</v>
      </c>
    </row>
    <row r="1709" spans="1:14" x14ac:dyDescent="0.25">
      <c r="A1709" s="9">
        <v>45567</v>
      </c>
      <c r="B1709" s="1" t="str">
        <f>IFERROR(VLOOKUP(MID(INDEX(Database_dermo!$A:$I, MATCH($N1709, Database_dermo!$A:$A, 0), 2),20,3),Notes!A$1:C$9,3,TRUE), "Not Found")</f>
        <v>LX-S</v>
      </c>
      <c r="C1709" s="1" t="str">
        <f>IFERROR(RIGHT(INDEX(Database_dermo!$A:$I, MATCH($N1709, Database_dermo!$A:$A, 0), 1),2), "Not Found")</f>
        <v>10</v>
      </c>
      <c r="D1709" s="1">
        <f>IFERROR(VLOOKUP(MID(INDEX(Database_dermo!$A:$I, MATCH($N1709, Database_dermo!$A:$A, 0), 2),20,3),Notes!A$1:C$9,2,TRUE), "Not Found")</f>
        <v>2</v>
      </c>
      <c r="E1709" s="1">
        <f>IFERROR(INDEX(Database_dermo!$A:$I, MATCH($N1709, Database_dermo!$A:$A, 0), 3), "Not Found")</f>
        <v>45.69</v>
      </c>
      <c r="F1709" s="1" t="str">
        <f>IFERROR(INDEX(Database_repro!$A:$F, MATCH($N1709, Database_repro!$A:$A, 0), 3), "Not Found")</f>
        <v>F</v>
      </c>
      <c r="G1709" s="1">
        <f>IFERROR(INDEX(Database_repro!$A:$F, MATCH($N1709, Database_repro!$A:$A, 0), 4), "Not Found")</f>
        <v>2</v>
      </c>
      <c r="H1709" s="1" t="s">
        <v>16</v>
      </c>
      <c r="I1709" s="1" t="s">
        <v>16</v>
      </c>
      <c r="J1709" s="1" t="s">
        <v>16</v>
      </c>
      <c r="K1709" s="1" t="str">
        <f>IFERROR(INDEX(Database_repro!$A:$F, MATCH($N1709, Database_repro!$A:$A, 0), 5), "Not Found")</f>
        <v>No</v>
      </c>
      <c r="L1709" s="4" t="s">
        <v>17</v>
      </c>
      <c r="M1709" s="1" t="str">
        <f>IFERROR(IF(INDEX(Database_repro!$A:$F, MATCH($N1709, Database_repro!$A:$A, 0), 6)="N","No",IF(INDEX(Database_repro!$A:$F, MATCH($N1709, Database_repro!$A:$A, 0), 6)="Y","Yes","Z")), "Not Found")</f>
        <v>No</v>
      </c>
      <c r="N1709" t="s">
        <v>345</v>
      </c>
    </row>
    <row r="1710" spans="1:14" x14ac:dyDescent="0.25">
      <c r="A1710" s="9">
        <v>45567</v>
      </c>
      <c r="B1710" s="1" t="str">
        <f>IFERROR(VLOOKUP(MID(INDEX(Database_dermo!$A:$I, MATCH($N1710, Database_dermo!$A:$A, 0), 2),20,3),Notes!A$1:C$9,3,TRUE), "Not Found")</f>
        <v>LX-S</v>
      </c>
      <c r="C1710" s="1" t="str">
        <f>IFERROR(RIGHT(INDEX(Database_dermo!$A:$I, MATCH($N1710, Database_dermo!$A:$A, 0), 1),2), "Not Found")</f>
        <v>11</v>
      </c>
      <c r="D1710" s="1">
        <f>IFERROR(VLOOKUP(MID(INDEX(Database_dermo!$A:$I, MATCH($N1710, Database_dermo!$A:$A, 0), 2),20,3),Notes!A$1:C$9,2,TRUE), "Not Found")</f>
        <v>3</v>
      </c>
      <c r="E1710" s="1">
        <f>IFERROR(INDEX(Database_dermo!$A:$I, MATCH($N1710, Database_dermo!$A:$A, 0), 3), "Not Found")</f>
        <v>37.33</v>
      </c>
      <c r="F1710" s="1" t="str">
        <f>IFERROR(INDEX(Database_repro!$A:$F, MATCH($N1710, Database_repro!$A:$A, 0), 3), "Not Found")</f>
        <v>M</v>
      </c>
      <c r="G1710" s="1">
        <f>IFERROR(INDEX(Database_repro!$A:$F, MATCH($N1710, Database_repro!$A:$A, 0), 4), "Not Found")</f>
        <v>2</v>
      </c>
      <c r="H1710" s="1" t="s">
        <v>16</v>
      </c>
      <c r="I1710" s="1" t="s">
        <v>16</v>
      </c>
      <c r="J1710" s="1" t="s">
        <v>16</v>
      </c>
      <c r="K1710" s="1" t="str">
        <f>IFERROR(INDEX(Database_repro!$A:$F, MATCH($N1710, Database_repro!$A:$A, 0), 5), "Not Found")</f>
        <v>No</v>
      </c>
      <c r="L1710" s="4" t="s">
        <v>17</v>
      </c>
      <c r="M1710" s="1" t="str">
        <f>IFERROR(IF(INDEX(Database_repro!$A:$F, MATCH($N1710, Database_repro!$A:$A, 0), 6)="N","No",IF(INDEX(Database_repro!$A:$F, MATCH($N1710, Database_repro!$A:$A, 0), 6)="Y","Yes","Z")), "Not Found")</f>
        <v>No</v>
      </c>
      <c r="N1710" t="s">
        <v>346</v>
      </c>
    </row>
    <row r="1711" spans="1:14" x14ac:dyDescent="0.25">
      <c r="A1711" s="9">
        <v>45567</v>
      </c>
      <c r="B1711" s="1" t="str">
        <f>IFERROR(VLOOKUP(MID(INDEX(Database_dermo!$A:$I, MATCH($N1711, Database_dermo!$A:$A, 0), 2),20,3),Notes!A$1:C$9,3,TRUE), "Not Found")</f>
        <v>LX-S</v>
      </c>
      <c r="C1711" s="1" t="str">
        <f>IFERROR(RIGHT(INDEX(Database_dermo!$A:$I, MATCH($N1711, Database_dermo!$A:$A, 0), 1),2), "Not Found")</f>
        <v>12</v>
      </c>
      <c r="D1711" s="1">
        <f>IFERROR(VLOOKUP(MID(INDEX(Database_dermo!$A:$I, MATCH($N1711, Database_dermo!$A:$A, 0), 2),20,3),Notes!A$1:C$9,2,TRUE), "Not Found")</f>
        <v>3</v>
      </c>
      <c r="E1711" s="1">
        <f>IFERROR(INDEX(Database_dermo!$A:$I, MATCH($N1711, Database_dermo!$A:$A, 0), 3), "Not Found")</f>
        <v>39.51</v>
      </c>
      <c r="F1711" s="1" t="str">
        <f>IFERROR(INDEX(Database_repro!$A:$F, MATCH($N1711, Database_repro!$A:$A, 0), 3), "Not Found")</f>
        <v>M</v>
      </c>
      <c r="G1711" s="1">
        <f>IFERROR(INDEX(Database_repro!$A:$F, MATCH($N1711, Database_repro!$A:$A, 0), 4), "Not Found")</f>
        <v>2</v>
      </c>
      <c r="H1711" s="1" t="s">
        <v>16</v>
      </c>
      <c r="I1711" s="1" t="s">
        <v>16</v>
      </c>
      <c r="J1711" s="1" t="s">
        <v>16</v>
      </c>
      <c r="K1711" s="1" t="str">
        <f>IFERROR(INDEX(Database_repro!$A:$F, MATCH($N1711, Database_repro!$A:$A, 0), 5), "Not Found")</f>
        <v>No</v>
      </c>
      <c r="L1711" s="4" t="s">
        <v>17</v>
      </c>
      <c r="M1711" s="1" t="str">
        <f>IFERROR(IF(INDEX(Database_repro!$A:$F, MATCH($N1711, Database_repro!$A:$A, 0), 6)="N","No",IF(INDEX(Database_repro!$A:$F, MATCH($N1711, Database_repro!$A:$A, 0), 6)="Y","Yes","Z")), "Not Found")</f>
        <v>No</v>
      </c>
      <c r="N1711" t="s">
        <v>348</v>
      </c>
    </row>
    <row r="1712" spans="1:14" x14ac:dyDescent="0.25">
      <c r="A1712" s="9">
        <v>45567</v>
      </c>
      <c r="B1712" s="1" t="str">
        <f>IFERROR(VLOOKUP(MID(INDEX(Database_dermo!$A:$I, MATCH($N1712, Database_dermo!$A:$A, 0), 2),20,3),Notes!A$1:C$9,3,TRUE), "Not Found")</f>
        <v>LX-S</v>
      </c>
      <c r="C1712" s="1" t="str">
        <f>IFERROR(RIGHT(INDEX(Database_dermo!$A:$I, MATCH($N1712, Database_dermo!$A:$A, 0), 1),2), "Not Found")</f>
        <v>13</v>
      </c>
      <c r="D1712" s="1">
        <f>IFERROR(VLOOKUP(MID(INDEX(Database_dermo!$A:$I, MATCH($N1712, Database_dermo!$A:$A, 0), 2),20,3),Notes!A$1:C$9,2,TRUE), "Not Found")</f>
        <v>3</v>
      </c>
      <c r="E1712" s="1">
        <f>IFERROR(INDEX(Database_dermo!$A:$I, MATCH($N1712, Database_dermo!$A:$A, 0), 3), "Not Found")</f>
        <v>33.99</v>
      </c>
      <c r="F1712" s="1" t="str">
        <f>IFERROR(INDEX(Database_repro!$A:$F, MATCH($N1712, Database_repro!$A:$A, 0), 3), "Not Found")</f>
        <v>F</v>
      </c>
      <c r="G1712" s="1">
        <f>IFERROR(INDEX(Database_repro!$A:$F, MATCH($N1712, Database_repro!$A:$A, 0), 4), "Not Found")</f>
        <v>2</v>
      </c>
      <c r="H1712" s="1" t="s">
        <v>16</v>
      </c>
      <c r="I1712" s="1" t="s">
        <v>16</v>
      </c>
      <c r="J1712" s="1" t="s">
        <v>16</v>
      </c>
      <c r="K1712" s="1" t="str">
        <f>IFERROR(INDEX(Database_repro!$A:$F, MATCH($N1712, Database_repro!$A:$A, 0), 5), "Not Found")</f>
        <v>No</v>
      </c>
      <c r="L1712" s="4" t="s">
        <v>17</v>
      </c>
      <c r="M1712" s="1" t="str">
        <f>IFERROR(IF(INDEX(Database_repro!$A:$F, MATCH($N1712, Database_repro!$A:$A, 0), 6)="N","No",IF(INDEX(Database_repro!$A:$F, MATCH($N1712, Database_repro!$A:$A, 0), 6)="Y","Yes","Z")), "Not Found")</f>
        <v>No</v>
      </c>
      <c r="N1712" t="s">
        <v>349</v>
      </c>
    </row>
    <row r="1713" spans="1:14" x14ac:dyDescent="0.25">
      <c r="A1713" s="9">
        <v>45567</v>
      </c>
      <c r="B1713" s="1" t="str">
        <f>IFERROR(VLOOKUP(MID(INDEX(Database_dermo!$A:$I, MATCH($N1713, Database_dermo!$A:$A, 0), 2),20,3),Notes!A$1:C$9,3,TRUE), "Not Found")</f>
        <v>LX-S</v>
      </c>
      <c r="C1713" s="1" t="str">
        <f>IFERROR(RIGHT(INDEX(Database_dermo!$A:$I, MATCH($N1713, Database_dermo!$A:$A, 0), 1),2), "Not Found")</f>
        <v>14</v>
      </c>
      <c r="D1713" s="1">
        <f>IFERROR(VLOOKUP(MID(INDEX(Database_dermo!$A:$I, MATCH($N1713, Database_dermo!$A:$A, 0), 2),20,3),Notes!A$1:C$9,2,TRUE), "Not Found")</f>
        <v>3</v>
      </c>
      <c r="E1713" s="1">
        <f>IFERROR(INDEX(Database_dermo!$A:$I, MATCH($N1713, Database_dermo!$A:$A, 0), 3), "Not Found")</f>
        <v>34.79</v>
      </c>
      <c r="F1713" s="1" t="str">
        <f>IFERROR(INDEX(Database_repro!$A:$F, MATCH($N1713, Database_repro!$A:$A, 0), 3), "Not Found")</f>
        <v>F</v>
      </c>
      <c r="G1713" s="1">
        <f>IFERROR(INDEX(Database_repro!$A:$F, MATCH($N1713, Database_repro!$A:$A, 0), 4), "Not Found")</f>
        <v>2</v>
      </c>
      <c r="H1713" s="1" t="s">
        <v>16</v>
      </c>
      <c r="I1713" s="1" t="s">
        <v>16</v>
      </c>
      <c r="J1713" s="1" t="s">
        <v>16</v>
      </c>
      <c r="K1713" s="1" t="str">
        <f>IFERROR(INDEX(Database_repro!$A:$F, MATCH($N1713, Database_repro!$A:$A, 0), 5), "Not Found")</f>
        <v>No</v>
      </c>
      <c r="L1713" s="4" t="s">
        <v>17</v>
      </c>
      <c r="M1713" s="1" t="str">
        <f>IFERROR(IF(INDEX(Database_repro!$A:$F, MATCH($N1713, Database_repro!$A:$A, 0), 6)="N","No",IF(INDEX(Database_repro!$A:$F, MATCH($N1713, Database_repro!$A:$A, 0), 6)="Y","Yes","Z")), "Not Found")</f>
        <v>No</v>
      </c>
      <c r="N1713" t="s">
        <v>350</v>
      </c>
    </row>
    <row r="1714" spans="1:14" x14ac:dyDescent="0.25">
      <c r="A1714" s="9">
        <v>45567</v>
      </c>
      <c r="B1714" s="1" t="str">
        <f>IFERROR(VLOOKUP(MID(INDEX(Database_dermo!$A:$I, MATCH($N1714, Database_dermo!$A:$A, 0), 2),20,3),Notes!A$1:C$9,3,TRUE), "Not Found")</f>
        <v>LX-S</v>
      </c>
      <c r="C1714" s="1" t="str">
        <f>IFERROR(RIGHT(INDEX(Database_dermo!$A:$I, MATCH($N1714, Database_dermo!$A:$A, 0), 1),2), "Not Found")</f>
        <v>15</v>
      </c>
      <c r="D1714" s="1">
        <f>IFERROR(VLOOKUP(MID(INDEX(Database_dermo!$A:$I, MATCH($N1714, Database_dermo!$A:$A, 0), 2),20,3),Notes!A$1:C$9,2,TRUE), "Not Found")</f>
        <v>3</v>
      </c>
      <c r="E1714" s="1">
        <f>IFERROR(INDEX(Database_dermo!$A:$I, MATCH($N1714, Database_dermo!$A:$A, 0), 3), "Not Found")</f>
        <v>43.72</v>
      </c>
      <c r="F1714" s="1" t="str">
        <f>IFERROR(INDEX(Database_repro!$A:$F, MATCH($N1714, Database_repro!$A:$A, 0), 3), "Not Found")</f>
        <v>M</v>
      </c>
      <c r="G1714" s="1">
        <f>IFERROR(INDEX(Database_repro!$A:$F, MATCH($N1714, Database_repro!$A:$A, 0), 4), "Not Found")</f>
        <v>2</v>
      </c>
      <c r="H1714" s="1" t="s">
        <v>16</v>
      </c>
      <c r="I1714" s="1" t="s">
        <v>16</v>
      </c>
      <c r="J1714" s="1" t="s">
        <v>16</v>
      </c>
      <c r="K1714" s="1" t="str">
        <f>IFERROR(INDEX(Database_repro!$A:$F, MATCH($N1714, Database_repro!$A:$A, 0), 5), "Not Found")</f>
        <v>No</v>
      </c>
      <c r="L1714" s="4" t="s">
        <v>17</v>
      </c>
      <c r="M1714" s="1" t="str">
        <f>IFERROR(IF(INDEX(Database_repro!$A:$F, MATCH($N1714, Database_repro!$A:$A, 0), 6)="N","No",IF(INDEX(Database_repro!$A:$F, MATCH($N1714, Database_repro!$A:$A, 0), 6)="Y","Yes","Z")), "Not Found")</f>
        <v>No</v>
      </c>
      <c r="N1714" t="s">
        <v>351</v>
      </c>
    </row>
    <row r="1715" spans="1:14" x14ac:dyDescent="0.25">
      <c r="A1715" s="9">
        <v>45601</v>
      </c>
      <c r="B1715" s="1" t="str">
        <f>IFERROR(VLOOKUP(MID(INDEX(Database_dermo!$A:$I, MATCH($N1715, Database_dermo!$A:$A, 0), 2),20,3),Notes!A$1:C$9,3,TRUE), "Not Found")</f>
        <v>LX-S</v>
      </c>
      <c r="C1715" s="1" t="str">
        <f>IFERROR(RIGHT(INDEX(Database_dermo!$A:$I, MATCH($N1715, Database_dermo!$A:$A, 0), 1),2), "Not Found")</f>
        <v>01</v>
      </c>
      <c r="D1715" s="1">
        <f>IFERROR(VLOOKUP(MID(INDEX(Database_dermo!$A:$I, MATCH($N1715, Database_dermo!$A:$A, 0), 2),20,3),Notes!A$1:C$9,2,TRUE), "Not Found")</f>
        <v>1</v>
      </c>
      <c r="E1715" s="1">
        <f>IFERROR(INDEX(Database_dermo!$A:$I, MATCH($N1715, Database_dermo!$A:$A, 0), 3), "Not Found")</f>
        <v>55</v>
      </c>
      <c r="F1715" s="1" t="str">
        <f>IFERROR(INDEX(Database_repro!$A:$F, MATCH($N1715, Database_repro!$A:$A, 0), 3), "Not Found")</f>
        <v>F</v>
      </c>
      <c r="G1715" s="1">
        <f>IFERROR(INDEX(Database_repro!$A:$F, MATCH($N1715, Database_repro!$A:$A, 0), 4), "Not Found")</f>
        <v>3</v>
      </c>
      <c r="H1715" s="1" t="s">
        <v>16</v>
      </c>
      <c r="I1715" s="1" t="s">
        <v>16</v>
      </c>
      <c r="J1715" s="1" t="s">
        <v>16</v>
      </c>
      <c r="K1715" s="1" t="str">
        <f>IFERROR(INDEX(Database_repro!$A:$F, MATCH($N1715, Database_repro!$A:$A, 0), 5), "Not Found")</f>
        <v>No</v>
      </c>
      <c r="L1715" s="4" t="s">
        <v>17</v>
      </c>
      <c r="M1715" s="1" t="str">
        <f>IFERROR(IF(INDEX(Database_repro!$A:$F, MATCH($N1715, Database_repro!$A:$A, 0), 6)="N","No",IF(INDEX(Database_repro!$A:$F, MATCH($N1715, Database_repro!$A:$A, 0), 6)="Y","Yes","Z")), "Not Found")</f>
        <v>No</v>
      </c>
      <c r="N1715" t="s">
        <v>352</v>
      </c>
    </row>
    <row r="1716" spans="1:14" x14ac:dyDescent="0.25">
      <c r="A1716" s="9">
        <v>45601</v>
      </c>
      <c r="B1716" s="1" t="str">
        <f>IFERROR(VLOOKUP(MID(INDEX(Database_dermo!$A:$I, MATCH($N1716, Database_dermo!$A:$A, 0), 2),20,3),Notes!A$1:C$9,3,TRUE), "Not Found")</f>
        <v>LX-S</v>
      </c>
      <c r="C1716" s="1" t="str">
        <f>IFERROR(RIGHT(INDEX(Database_dermo!$A:$I, MATCH($N1716, Database_dermo!$A:$A, 0), 1),2), "Not Found")</f>
        <v>02</v>
      </c>
      <c r="D1716" s="1">
        <f>IFERROR(VLOOKUP(MID(INDEX(Database_dermo!$A:$I, MATCH($N1716, Database_dermo!$A:$A, 0), 2),20,3),Notes!A$1:C$9,2,TRUE), "Not Found")</f>
        <v>1</v>
      </c>
      <c r="E1716" s="1">
        <f>IFERROR(INDEX(Database_dermo!$A:$I, MATCH($N1716, Database_dermo!$A:$A, 0), 3), "Not Found")</f>
        <v>65.680000000000007</v>
      </c>
      <c r="F1716" s="1" t="str">
        <f>IFERROR(INDEX(Database_repro!$A:$F, MATCH($N1716, Database_repro!$A:$A, 0), 3), "Not Found")</f>
        <v>F</v>
      </c>
      <c r="G1716" s="1">
        <f>IFERROR(INDEX(Database_repro!$A:$F, MATCH($N1716, Database_repro!$A:$A, 0), 4), "Not Found")</f>
        <v>1</v>
      </c>
      <c r="H1716" s="1" t="s">
        <v>16</v>
      </c>
      <c r="I1716" s="1" t="s">
        <v>16</v>
      </c>
      <c r="J1716" s="1" t="s">
        <v>16</v>
      </c>
      <c r="K1716" s="1" t="str">
        <f>IFERROR(INDEX(Database_repro!$A:$F, MATCH($N1716, Database_repro!$A:$A, 0), 5), "Not Found")</f>
        <v>No</v>
      </c>
      <c r="L1716" s="4" t="s">
        <v>17</v>
      </c>
      <c r="M1716" s="1" t="str">
        <f>IFERROR(IF(INDEX(Database_repro!$A:$F, MATCH($N1716, Database_repro!$A:$A, 0), 6)="N","No",IF(INDEX(Database_repro!$A:$F, MATCH($N1716, Database_repro!$A:$A, 0), 6)="Y","Yes","Z")), "Not Found")</f>
        <v>No</v>
      </c>
      <c r="N1716" t="s">
        <v>354</v>
      </c>
    </row>
    <row r="1717" spans="1:14" x14ac:dyDescent="0.25">
      <c r="A1717" s="9">
        <v>45601</v>
      </c>
      <c r="B1717" s="1" t="str">
        <f>IFERROR(VLOOKUP(MID(INDEX(Database_dermo!$A:$I, MATCH($N1717, Database_dermo!$A:$A, 0), 2),20,3),Notes!A$1:C$9,3,TRUE), "Not Found")</f>
        <v>LX-S</v>
      </c>
      <c r="C1717" s="1" t="str">
        <f>IFERROR(RIGHT(INDEX(Database_dermo!$A:$I, MATCH($N1717, Database_dermo!$A:$A, 0), 1),2), "Not Found")</f>
        <v>03</v>
      </c>
      <c r="D1717" s="1">
        <f>IFERROR(VLOOKUP(MID(INDEX(Database_dermo!$A:$I, MATCH($N1717, Database_dermo!$A:$A, 0), 2),20,3),Notes!A$1:C$9,2,TRUE), "Not Found")</f>
        <v>1</v>
      </c>
      <c r="E1717" s="1">
        <f>IFERROR(INDEX(Database_dermo!$A:$I, MATCH($N1717, Database_dermo!$A:$A, 0), 3), "Not Found")</f>
        <v>46.99</v>
      </c>
      <c r="F1717" s="1" t="str">
        <f>IFERROR(INDEX(Database_repro!$A:$F, MATCH($N1717, Database_repro!$A:$A, 0), 3), "Not Found")</f>
        <v>M</v>
      </c>
      <c r="G1717" s="1">
        <f>IFERROR(INDEX(Database_repro!$A:$F, MATCH($N1717, Database_repro!$A:$A, 0), 4), "Not Found")</f>
        <v>2</v>
      </c>
      <c r="H1717" s="1" t="s">
        <v>16</v>
      </c>
      <c r="I1717" s="1" t="s">
        <v>16</v>
      </c>
      <c r="J1717" s="1" t="s">
        <v>16</v>
      </c>
      <c r="K1717" s="1" t="str">
        <f>IFERROR(INDEX(Database_repro!$A:$F, MATCH($N1717, Database_repro!$A:$A, 0), 5), "Not Found")</f>
        <v>No</v>
      </c>
      <c r="L1717" s="4" t="s">
        <v>17</v>
      </c>
      <c r="M1717" s="1" t="str">
        <f>IFERROR(IF(INDEX(Database_repro!$A:$F, MATCH($N1717, Database_repro!$A:$A, 0), 6)="N","No",IF(INDEX(Database_repro!$A:$F, MATCH($N1717, Database_repro!$A:$A, 0), 6)="Y","Yes","Z")), "Not Found")</f>
        <v>No</v>
      </c>
      <c r="N1717" t="s">
        <v>355</v>
      </c>
    </row>
    <row r="1718" spans="1:14" x14ac:dyDescent="0.25">
      <c r="A1718" s="9">
        <v>45601</v>
      </c>
      <c r="B1718" s="1" t="str">
        <f>IFERROR(VLOOKUP(MID(INDEX(Database_dermo!$A:$I, MATCH($N1718, Database_dermo!$A:$A, 0), 2),20,3),Notes!A$1:C$9,3,TRUE), "Not Found")</f>
        <v>LX-S</v>
      </c>
      <c r="C1718" s="1" t="str">
        <f>IFERROR(RIGHT(INDEX(Database_dermo!$A:$I, MATCH($N1718, Database_dermo!$A:$A, 0), 1),2), "Not Found")</f>
        <v>04</v>
      </c>
      <c r="D1718" s="1">
        <f>IFERROR(VLOOKUP(MID(INDEX(Database_dermo!$A:$I, MATCH($N1718, Database_dermo!$A:$A, 0), 2),20,3),Notes!A$1:C$9,2,TRUE), "Not Found")</f>
        <v>1</v>
      </c>
      <c r="E1718" s="1">
        <f>IFERROR(INDEX(Database_dermo!$A:$I, MATCH($N1718, Database_dermo!$A:$A, 0), 3), "Not Found")</f>
        <v>52.54</v>
      </c>
      <c r="F1718" s="1" t="str">
        <f>IFERROR(INDEX(Database_repro!$A:$F, MATCH($N1718, Database_repro!$A:$A, 0), 3), "Not Found")</f>
        <v>Z</v>
      </c>
      <c r="G1718" s="1">
        <f>IFERROR(INDEX(Database_repro!$A:$F, MATCH($N1718, Database_repro!$A:$A, 0), 4), "Not Found")</f>
        <v>4</v>
      </c>
      <c r="H1718" s="1" t="s">
        <v>16</v>
      </c>
      <c r="I1718" s="1" t="s">
        <v>16</v>
      </c>
      <c r="J1718" s="1" t="s">
        <v>16</v>
      </c>
      <c r="K1718" s="1" t="str">
        <f>IFERROR(INDEX(Database_repro!$A:$F, MATCH($N1718, Database_repro!$A:$A, 0), 5), "Not Found")</f>
        <v>Yes</v>
      </c>
      <c r="L1718" s="4" t="s">
        <v>17</v>
      </c>
      <c r="M1718" s="1" t="str">
        <f>IFERROR(IF(INDEX(Database_repro!$A:$F, MATCH($N1718, Database_repro!$A:$A, 0), 6)="N","No",IF(INDEX(Database_repro!$A:$F, MATCH($N1718, Database_repro!$A:$A, 0), 6)="Y","Yes","Z")), "Not Found")</f>
        <v>No</v>
      </c>
      <c r="N1718" t="s">
        <v>356</v>
      </c>
    </row>
    <row r="1719" spans="1:14" x14ac:dyDescent="0.25">
      <c r="A1719" s="9">
        <v>45601</v>
      </c>
      <c r="B1719" s="1" t="str">
        <f>IFERROR(VLOOKUP(MID(INDEX(Database_dermo!$A:$I, MATCH($N1719, Database_dermo!$A:$A, 0), 2),20,3),Notes!A$1:C$9,3,TRUE), "Not Found")</f>
        <v>LX-S</v>
      </c>
      <c r="C1719" s="1" t="str">
        <f>IFERROR(RIGHT(INDEX(Database_dermo!$A:$I, MATCH($N1719, Database_dermo!$A:$A, 0), 1),2), "Not Found")</f>
        <v>05</v>
      </c>
      <c r="D1719" s="1">
        <f>IFERROR(VLOOKUP(MID(INDEX(Database_dermo!$A:$I, MATCH($N1719, Database_dermo!$A:$A, 0), 2),20,3),Notes!A$1:C$9,2,TRUE), "Not Found")</f>
        <v>1</v>
      </c>
      <c r="E1719" s="1">
        <f>IFERROR(INDEX(Database_dermo!$A:$I, MATCH($N1719, Database_dermo!$A:$A, 0), 3), "Not Found")</f>
        <v>44.8</v>
      </c>
      <c r="F1719" s="1" t="str">
        <f>IFERROR(INDEX(Database_repro!$A:$F, MATCH($N1719, Database_repro!$A:$A, 0), 3), "Not Found")</f>
        <v>F</v>
      </c>
      <c r="G1719" s="1">
        <f>IFERROR(INDEX(Database_repro!$A:$F, MATCH($N1719, Database_repro!$A:$A, 0), 4), "Not Found")</f>
        <v>3</v>
      </c>
      <c r="H1719" s="1" t="s">
        <v>16</v>
      </c>
      <c r="I1719" s="1" t="s">
        <v>16</v>
      </c>
      <c r="J1719" s="1" t="s">
        <v>16</v>
      </c>
      <c r="K1719" s="1" t="str">
        <f>IFERROR(INDEX(Database_repro!$A:$F, MATCH($N1719, Database_repro!$A:$A, 0), 5), "Not Found")</f>
        <v>No</v>
      </c>
      <c r="L1719" s="4" t="s">
        <v>17</v>
      </c>
      <c r="M1719" s="1" t="str">
        <f>IFERROR(IF(INDEX(Database_repro!$A:$F, MATCH($N1719, Database_repro!$A:$A, 0), 6)="N","No",IF(INDEX(Database_repro!$A:$F, MATCH($N1719, Database_repro!$A:$A, 0), 6)="Y","Yes","Z")), "Not Found")</f>
        <v>No</v>
      </c>
      <c r="N1719" t="s">
        <v>358</v>
      </c>
    </row>
    <row r="1720" spans="1:14" x14ac:dyDescent="0.25">
      <c r="A1720" s="9">
        <v>45601</v>
      </c>
      <c r="B1720" s="1" t="str">
        <f>IFERROR(VLOOKUP(MID(INDEX(Database_dermo!$A:$I, MATCH($N1720, Database_dermo!$A:$A, 0), 2),20,3),Notes!A$1:C$9,3,TRUE), "Not Found")</f>
        <v>LX-S</v>
      </c>
      <c r="C1720" s="1" t="str">
        <f>IFERROR(RIGHT(INDEX(Database_dermo!$A:$I, MATCH($N1720, Database_dermo!$A:$A, 0), 1),2), "Not Found")</f>
        <v>06</v>
      </c>
      <c r="D1720" s="1">
        <f>IFERROR(VLOOKUP(MID(INDEX(Database_dermo!$A:$I, MATCH($N1720, Database_dermo!$A:$A, 0), 2),20,3),Notes!A$1:C$9,2,TRUE), "Not Found")</f>
        <v>2</v>
      </c>
      <c r="E1720" s="1">
        <f>IFERROR(INDEX(Database_dermo!$A:$I, MATCH($N1720, Database_dermo!$A:$A, 0), 3), "Not Found")</f>
        <v>57.3</v>
      </c>
      <c r="F1720" s="1" t="str">
        <f>IFERROR(INDEX(Database_repro!$A:$F, MATCH($N1720, Database_repro!$A:$A, 0), 3), "Not Found")</f>
        <v>F</v>
      </c>
      <c r="G1720" s="1">
        <f>IFERROR(INDEX(Database_repro!$A:$F, MATCH($N1720, Database_repro!$A:$A, 0), 4), "Not Found")</f>
        <v>2</v>
      </c>
      <c r="H1720" s="1" t="s">
        <v>16</v>
      </c>
      <c r="I1720" s="1" t="s">
        <v>16</v>
      </c>
      <c r="J1720" s="1" t="s">
        <v>16</v>
      </c>
      <c r="K1720" s="1" t="str">
        <f>IFERROR(INDEX(Database_repro!$A:$F, MATCH($N1720, Database_repro!$A:$A, 0), 5), "Not Found")</f>
        <v>No</v>
      </c>
      <c r="L1720" s="4" t="s">
        <v>17</v>
      </c>
      <c r="M1720" s="1" t="str">
        <f>IFERROR(IF(INDEX(Database_repro!$A:$F, MATCH($N1720, Database_repro!$A:$A, 0), 6)="N","No",IF(INDEX(Database_repro!$A:$F, MATCH($N1720, Database_repro!$A:$A, 0), 6)="Y","Yes","Z")), "Not Found")</f>
        <v>No</v>
      </c>
      <c r="N1720" t="s">
        <v>359</v>
      </c>
    </row>
    <row r="1721" spans="1:14" x14ac:dyDescent="0.25">
      <c r="A1721" s="9">
        <v>45601</v>
      </c>
      <c r="B1721" s="1" t="str">
        <f>IFERROR(VLOOKUP(MID(INDEX(Database_dermo!$A:$I, MATCH($N1721, Database_dermo!$A:$A, 0), 2),20,3),Notes!A$1:C$9,3,TRUE), "Not Found")</f>
        <v>LX-S</v>
      </c>
      <c r="C1721" s="1" t="str">
        <f>IFERROR(RIGHT(INDEX(Database_dermo!$A:$I, MATCH($N1721, Database_dermo!$A:$A, 0), 1),2), "Not Found")</f>
        <v>07</v>
      </c>
      <c r="D1721" s="1">
        <f>IFERROR(VLOOKUP(MID(INDEX(Database_dermo!$A:$I, MATCH($N1721, Database_dermo!$A:$A, 0), 2),20,3),Notes!A$1:C$9,2,TRUE), "Not Found")</f>
        <v>2</v>
      </c>
      <c r="E1721" s="1">
        <f>IFERROR(INDEX(Database_dermo!$A:$I, MATCH($N1721, Database_dermo!$A:$A, 0), 3), "Not Found")</f>
        <v>54.89</v>
      </c>
      <c r="F1721" s="1" t="str">
        <f>IFERROR(INDEX(Database_repro!$A:$F, MATCH($N1721, Database_repro!$A:$A, 0), 3), "Not Found")</f>
        <v>M</v>
      </c>
      <c r="G1721" s="1">
        <f>IFERROR(INDEX(Database_repro!$A:$F, MATCH($N1721, Database_repro!$A:$A, 0), 4), "Not Found")</f>
        <v>2</v>
      </c>
      <c r="H1721" s="1" t="s">
        <v>16</v>
      </c>
      <c r="I1721" s="1" t="s">
        <v>16</v>
      </c>
      <c r="J1721" s="1" t="s">
        <v>16</v>
      </c>
      <c r="K1721" s="1" t="str">
        <f>IFERROR(INDEX(Database_repro!$A:$F, MATCH($N1721, Database_repro!$A:$A, 0), 5), "Not Found")</f>
        <v>No</v>
      </c>
      <c r="L1721" s="4" t="s">
        <v>17</v>
      </c>
      <c r="M1721" s="1" t="str">
        <f>IFERROR(IF(INDEX(Database_repro!$A:$F, MATCH($N1721, Database_repro!$A:$A, 0), 6)="N","No",IF(INDEX(Database_repro!$A:$F, MATCH($N1721, Database_repro!$A:$A, 0), 6)="Y","Yes","Z")), "Not Found")</f>
        <v>No</v>
      </c>
      <c r="N1721" t="s">
        <v>361</v>
      </c>
    </row>
    <row r="1722" spans="1:14" x14ac:dyDescent="0.25">
      <c r="A1722" s="9">
        <v>45601</v>
      </c>
      <c r="B1722" s="1" t="str">
        <f>IFERROR(VLOOKUP(MID(INDEX(Database_dermo!$A:$I, MATCH($N1722, Database_dermo!$A:$A, 0), 2),20,3),Notes!A$1:C$9,3,TRUE), "Not Found")</f>
        <v>LX-S</v>
      </c>
      <c r="C1722" s="1" t="str">
        <f>IFERROR(RIGHT(INDEX(Database_dermo!$A:$I, MATCH($N1722, Database_dermo!$A:$A, 0), 1),2), "Not Found")</f>
        <v>08</v>
      </c>
      <c r="D1722" s="1">
        <f>IFERROR(VLOOKUP(MID(INDEX(Database_dermo!$A:$I, MATCH($N1722, Database_dermo!$A:$A, 0), 2),20,3),Notes!A$1:C$9,2,TRUE), "Not Found")</f>
        <v>2</v>
      </c>
      <c r="E1722" s="1">
        <f>IFERROR(INDEX(Database_dermo!$A:$I, MATCH($N1722, Database_dermo!$A:$A, 0), 3), "Not Found")</f>
        <v>53.42</v>
      </c>
      <c r="F1722" s="1" t="str">
        <f>IFERROR(INDEX(Database_repro!$A:$F, MATCH($N1722, Database_repro!$A:$A, 0), 3), "Not Found")</f>
        <v>F</v>
      </c>
      <c r="G1722" s="1">
        <f>IFERROR(INDEX(Database_repro!$A:$F, MATCH($N1722, Database_repro!$A:$A, 0), 4), "Not Found")</f>
        <v>2</v>
      </c>
      <c r="H1722" s="1" t="s">
        <v>16</v>
      </c>
      <c r="I1722" s="1" t="s">
        <v>16</v>
      </c>
      <c r="J1722" s="1" t="s">
        <v>16</v>
      </c>
      <c r="K1722" s="1" t="str">
        <f>IFERROR(INDEX(Database_repro!$A:$F, MATCH($N1722, Database_repro!$A:$A, 0), 5), "Not Found")</f>
        <v>No</v>
      </c>
      <c r="L1722" s="4" t="s">
        <v>17</v>
      </c>
      <c r="M1722" s="1" t="str">
        <f>IFERROR(IF(INDEX(Database_repro!$A:$F, MATCH($N1722, Database_repro!$A:$A, 0), 6)="N","No",IF(INDEX(Database_repro!$A:$F, MATCH($N1722, Database_repro!$A:$A, 0), 6)="Y","Yes","Z")), "Not Found")</f>
        <v>No</v>
      </c>
      <c r="N1722" t="s">
        <v>362</v>
      </c>
    </row>
    <row r="1723" spans="1:14" x14ac:dyDescent="0.25">
      <c r="A1723" s="9">
        <v>45601</v>
      </c>
      <c r="B1723" s="1" t="str">
        <f>IFERROR(VLOOKUP(MID(INDEX(Database_dermo!$A:$I, MATCH($N1723, Database_dermo!$A:$A, 0), 2),20,3),Notes!A$1:C$9,3,TRUE), "Not Found")</f>
        <v>LX-S</v>
      </c>
      <c r="C1723" s="1" t="str">
        <f>IFERROR(RIGHT(INDEX(Database_dermo!$A:$I, MATCH($N1723, Database_dermo!$A:$A, 0), 1),2), "Not Found")</f>
        <v>09</v>
      </c>
      <c r="D1723" s="1">
        <f>IFERROR(VLOOKUP(MID(INDEX(Database_dermo!$A:$I, MATCH($N1723, Database_dermo!$A:$A, 0), 2),20,3),Notes!A$1:C$9,2,TRUE), "Not Found")</f>
        <v>2</v>
      </c>
      <c r="E1723" s="1">
        <f>IFERROR(INDEX(Database_dermo!$A:$I, MATCH($N1723, Database_dermo!$A:$A, 0), 3), "Not Found")</f>
        <v>41.01</v>
      </c>
      <c r="F1723" s="1" t="str">
        <f>IFERROR(INDEX(Database_repro!$A:$F, MATCH($N1723, Database_repro!$A:$A, 0), 3), "Not Found")</f>
        <v>F</v>
      </c>
      <c r="G1723" s="1">
        <f>IFERROR(INDEX(Database_repro!$A:$F, MATCH($N1723, Database_repro!$A:$A, 0), 4), "Not Found")</f>
        <v>2</v>
      </c>
      <c r="H1723" s="1" t="s">
        <v>16</v>
      </c>
      <c r="I1723" s="1" t="s">
        <v>16</v>
      </c>
      <c r="J1723" s="1" t="s">
        <v>16</v>
      </c>
      <c r="K1723" s="1" t="str">
        <f>IFERROR(INDEX(Database_repro!$A:$F, MATCH($N1723, Database_repro!$A:$A, 0), 5), "Not Found")</f>
        <v>No</v>
      </c>
      <c r="L1723" s="4" t="s">
        <v>17</v>
      </c>
      <c r="M1723" s="1" t="str">
        <f>IFERROR(IF(INDEX(Database_repro!$A:$F, MATCH($N1723, Database_repro!$A:$A, 0), 6)="N","No",IF(INDEX(Database_repro!$A:$F, MATCH($N1723, Database_repro!$A:$A, 0), 6)="Y","Yes","Z")), "Not Found")</f>
        <v>No</v>
      </c>
      <c r="N1723" t="s">
        <v>363</v>
      </c>
    </row>
    <row r="1724" spans="1:14" x14ac:dyDescent="0.25">
      <c r="A1724" s="9">
        <v>45601</v>
      </c>
      <c r="B1724" s="1" t="str">
        <f>IFERROR(VLOOKUP(MID(INDEX(Database_dermo!$A:$I, MATCH($N1724, Database_dermo!$A:$A, 0), 2),20,3),Notes!A$1:C$9,3,TRUE), "Not Found")</f>
        <v>LX-S</v>
      </c>
      <c r="C1724" s="1" t="str">
        <f>IFERROR(RIGHT(INDEX(Database_dermo!$A:$I, MATCH($N1724, Database_dermo!$A:$A, 0), 1),2), "Not Found")</f>
        <v>10</v>
      </c>
      <c r="D1724" s="1">
        <f>IFERROR(VLOOKUP(MID(INDEX(Database_dermo!$A:$I, MATCH($N1724, Database_dermo!$A:$A, 0), 2),20,3),Notes!A$1:C$9,2,TRUE), "Not Found")</f>
        <v>2</v>
      </c>
      <c r="E1724" s="1">
        <f>IFERROR(INDEX(Database_dermo!$A:$I, MATCH($N1724, Database_dermo!$A:$A, 0), 3), "Not Found")</f>
        <v>51.89</v>
      </c>
      <c r="F1724" s="1" t="str">
        <f>IFERROR(INDEX(Database_repro!$A:$F, MATCH($N1724, Database_repro!$A:$A, 0), 3), "Not Found")</f>
        <v>F</v>
      </c>
      <c r="G1724" s="1">
        <f>IFERROR(INDEX(Database_repro!$A:$F, MATCH($N1724, Database_repro!$A:$A, 0), 4), "Not Found")</f>
        <v>2</v>
      </c>
      <c r="H1724" s="1" t="s">
        <v>16</v>
      </c>
      <c r="I1724" s="1" t="s">
        <v>16</v>
      </c>
      <c r="J1724" s="1" t="s">
        <v>16</v>
      </c>
      <c r="K1724" s="1" t="str">
        <f>IFERROR(INDEX(Database_repro!$A:$F, MATCH($N1724, Database_repro!$A:$A, 0), 5), "Not Found")</f>
        <v>No</v>
      </c>
      <c r="L1724" s="4" t="s">
        <v>17</v>
      </c>
      <c r="M1724" s="1" t="str">
        <f>IFERROR(IF(INDEX(Database_repro!$A:$F, MATCH($N1724, Database_repro!$A:$A, 0), 6)="N","No",IF(INDEX(Database_repro!$A:$F, MATCH($N1724, Database_repro!$A:$A, 0), 6)="Y","Yes","Z")), "Not Found")</f>
        <v>No</v>
      </c>
      <c r="N1724" t="s">
        <v>364</v>
      </c>
    </row>
    <row r="1725" spans="1:14" x14ac:dyDescent="0.25">
      <c r="A1725" s="9">
        <v>45601</v>
      </c>
      <c r="B1725" s="1" t="str">
        <f>IFERROR(VLOOKUP(MID(INDEX(Database_dermo!$A:$I, MATCH($N1725, Database_dermo!$A:$A, 0), 2),20,3),Notes!A$1:C$9,3,TRUE), "Not Found")</f>
        <v>LX-S</v>
      </c>
      <c r="C1725" s="1" t="str">
        <f>IFERROR(RIGHT(INDEX(Database_dermo!$A:$I, MATCH($N1725, Database_dermo!$A:$A, 0), 1),2), "Not Found")</f>
        <v>11</v>
      </c>
      <c r="D1725" s="1">
        <f>IFERROR(VLOOKUP(MID(INDEX(Database_dermo!$A:$I, MATCH($N1725, Database_dermo!$A:$A, 0), 2),20,3),Notes!A$1:C$9,2,TRUE), "Not Found")</f>
        <v>3</v>
      </c>
      <c r="E1725" s="1">
        <f>IFERROR(INDEX(Database_dermo!$A:$I, MATCH($N1725, Database_dermo!$A:$A, 0), 3), "Not Found")</f>
        <v>68.19</v>
      </c>
      <c r="F1725" s="1" t="str">
        <f>IFERROR(INDEX(Database_repro!$A:$F, MATCH($N1725, Database_repro!$A:$A, 0), 3), "Not Found")</f>
        <v>F</v>
      </c>
      <c r="G1725" s="1">
        <f>IFERROR(INDEX(Database_repro!$A:$F, MATCH($N1725, Database_repro!$A:$A, 0), 4), "Not Found")</f>
        <v>2</v>
      </c>
      <c r="H1725" s="1" t="s">
        <v>16</v>
      </c>
      <c r="I1725" s="1" t="s">
        <v>16</v>
      </c>
      <c r="J1725" s="1" t="s">
        <v>16</v>
      </c>
      <c r="K1725" s="1" t="str">
        <f>IFERROR(INDEX(Database_repro!$A:$F, MATCH($N1725, Database_repro!$A:$A, 0), 5), "Not Found")</f>
        <v>No</v>
      </c>
      <c r="L1725" s="4" t="s">
        <v>17</v>
      </c>
      <c r="M1725" s="1" t="str">
        <f>IFERROR(IF(INDEX(Database_repro!$A:$F, MATCH($N1725, Database_repro!$A:$A, 0), 6)="N","No",IF(INDEX(Database_repro!$A:$F, MATCH($N1725, Database_repro!$A:$A, 0), 6)="Y","Yes","Z")), "Not Found")</f>
        <v>No</v>
      </c>
      <c r="N1725" t="s">
        <v>365</v>
      </c>
    </row>
    <row r="1726" spans="1:14" x14ac:dyDescent="0.25">
      <c r="A1726" s="9">
        <v>45601</v>
      </c>
      <c r="B1726" s="1" t="str">
        <f>IFERROR(VLOOKUP(MID(INDEX(Database_dermo!$A:$I, MATCH($N1726, Database_dermo!$A:$A, 0), 2),20,3),Notes!A$1:C$9,3,TRUE), "Not Found")</f>
        <v>LX-S</v>
      </c>
      <c r="C1726" s="1" t="str">
        <f>IFERROR(RIGHT(INDEX(Database_dermo!$A:$I, MATCH($N1726, Database_dermo!$A:$A, 0), 1),2), "Not Found")</f>
        <v>12</v>
      </c>
      <c r="D1726" s="1">
        <f>IFERROR(VLOOKUP(MID(INDEX(Database_dermo!$A:$I, MATCH($N1726, Database_dermo!$A:$A, 0), 2),20,3),Notes!A$1:C$9,2,TRUE), "Not Found")</f>
        <v>3</v>
      </c>
      <c r="E1726" s="1">
        <f>IFERROR(INDEX(Database_dermo!$A:$I, MATCH($N1726, Database_dermo!$A:$A, 0), 3), "Not Found")</f>
        <v>40.97</v>
      </c>
      <c r="F1726" s="1" t="str">
        <f>IFERROR(INDEX(Database_repro!$A:$F, MATCH($N1726, Database_repro!$A:$A, 0), 3), "Not Found")</f>
        <v>M</v>
      </c>
      <c r="G1726" s="1">
        <f>IFERROR(INDEX(Database_repro!$A:$F, MATCH($N1726, Database_repro!$A:$A, 0), 4), "Not Found")</f>
        <v>2</v>
      </c>
      <c r="H1726" s="1" t="s">
        <v>16</v>
      </c>
      <c r="I1726" s="1" t="s">
        <v>16</v>
      </c>
      <c r="J1726" s="1" t="s">
        <v>16</v>
      </c>
      <c r="K1726" s="1" t="str">
        <f>IFERROR(INDEX(Database_repro!$A:$F, MATCH($N1726, Database_repro!$A:$A, 0), 5), "Not Found")</f>
        <v>No</v>
      </c>
      <c r="L1726" s="4" t="s">
        <v>17</v>
      </c>
      <c r="M1726" s="1" t="str">
        <f>IFERROR(IF(INDEX(Database_repro!$A:$F, MATCH($N1726, Database_repro!$A:$A, 0), 6)="N","No",IF(INDEX(Database_repro!$A:$F, MATCH($N1726, Database_repro!$A:$A, 0), 6)="Y","Yes","Z")), "Not Found")</f>
        <v>No</v>
      </c>
      <c r="N1726" t="s">
        <v>367</v>
      </c>
    </row>
    <row r="1727" spans="1:14" x14ac:dyDescent="0.25">
      <c r="A1727" s="9">
        <v>45601</v>
      </c>
      <c r="B1727" s="1" t="str">
        <f>IFERROR(VLOOKUP(MID(INDEX(Database_dermo!$A:$I, MATCH($N1727, Database_dermo!$A:$A, 0), 2),20,3),Notes!A$1:C$9,3,TRUE), "Not Found")</f>
        <v>LX-S</v>
      </c>
      <c r="C1727" s="1" t="str">
        <f>IFERROR(RIGHT(INDEX(Database_dermo!$A:$I, MATCH($N1727, Database_dermo!$A:$A, 0), 1),2), "Not Found")</f>
        <v>13</v>
      </c>
      <c r="D1727" s="1">
        <f>IFERROR(VLOOKUP(MID(INDEX(Database_dermo!$A:$I, MATCH($N1727, Database_dermo!$A:$A, 0), 2),20,3),Notes!A$1:C$9,2,TRUE), "Not Found")</f>
        <v>3</v>
      </c>
      <c r="E1727" s="1">
        <f>IFERROR(INDEX(Database_dermo!$A:$I, MATCH($N1727, Database_dermo!$A:$A, 0), 3), "Not Found")</f>
        <v>51.13</v>
      </c>
      <c r="F1727" s="1" t="str">
        <f>IFERROR(INDEX(Database_repro!$A:$F, MATCH($N1727, Database_repro!$A:$A, 0), 3), "Not Found")</f>
        <v>F</v>
      </c>
      <c r="G1727" s="1">
        <f>IFERROR(INDEX(Database_repro!$A:$F, MATCH($N1727, Database_repro!$A:$A, 0), 4), "Not Found")</f>
        <v>2</v>
      </c>
      <c r="H1727" s="1" t="s">
        <v>16</v>
      </c>
      <c r="I1727" s="1" t="s">
        <v>16</v>
      </c>
      <c r="J1727" s="1" t="s">
        <v>16</v>
      </c>
      <c r="K1727" s="1" t="str">
        <f>IFERROR(INDEX(Database_repro!$A:$F, MATCH($N1727, Database_repro!$A:$A, 0), 5), "Not Found")</f>
        <v>No</v>
      </c>
      <c r="L1727" s="4" t="s">
        <v>17</v>
      </c>
      <c r="M1727" s="1" t="str">
        <f>IFERROR(IF(INDEX(Database_repro!$A:$F, MATCH($N1727, Database_repro!$A:$A, 0), 6)="N","No",IF(INDEX(Database_repro!$A:$F, MATCH($N1727, Database_repro!$A:$A, 0), 6)="Y","Yes","Z")), "Not Found")</f>
        <v>No</v>
      </c>
      <c r="N1727" t="s">
        <v>368</v>
      </c>
    </row>
    <row r="1728" spans="1:14" x14ac:dyDescent="0.25">
      <c r="A1728" s="9">
        <v>45601</v>
      </c>
      <c r="B1728" s="1" t="str">
        <f>IFERROR(VLOOKUP(MID(INDEX(Database_dermo!$A:$I, MATCH($N1728, Database_dermo!$A:$A, 0), 2),20,3),Notes!A$1:C$9,3,TRUE), "Not Found")</f>
        <v>LX-S</v>
      </c>
      <c r="C1728" s="1" t="str">
        <f>IFERROR(RIGHT(INDEX(Database_dermo!$A:$I, MATCH($N1728, Database_dermo!$A:$A, 0), 1),2), "Not Found")</f>
        <v>14</v>
      </c>
      <c r="D1728" s="1">
        <f>IFERROR(VLOOKUP(MID(INDEX(Database_dermo!$A:$I, MATCH($N1728, Database_dermo!$A:$A, 0), 2),20,3),Notes!A$1:C$9,2,TRUE), "Not Found")</f>
        <v>3</v>
      </c>
      <c r="E1728" s="1">
        <f>IFERROR(INDEX(Database_dermo!$A:$I, MATCH($N1728, Database_dermo!$A:$A, 0), 3), "Not Found")</f>
        <v>72.17</v>
      </c>
      <c r="F1728" s="1" t="str">
        <f>IFERROR(INDEX(Database_repro!$A:$F, MATCH($N1728, Database_repro!$A:$A, 0), 3), "Not Found")</f>
        <v>F</v>
      </c>
      <c r="G1728" s="1">
        <f>IFERROR(INDEX(Database_repro!$A:$F, MATCH($N1728, Database_repro!$A:$A, 0), 4), "Not Found")</f>
        <v>2</v>
      </c>
      <c r="H1728" s="1" t="s">
        <v>16</v>
      </c>
      <c r="I1728" s="1" t="s">
        <v>16</v>
      </c>
      <c r="J1728" s="1" t="s">
        <v>16</v>
      </c>
      <c r="K1728" s="1" t="str">
        <f>IFERROR(INDEX(Database_repro!$A:$F, MATCH($N1728, Database_repro!$A:$A, 0), 5), "Not Found")</f>
        <v>No</v>
      </c>
      <c r="L1728" s="4" t="s">
        <v>17</v>
      </c>
      <c r="M1728" s="1" t="str">
        <f>IFERROR(IF(INDEX(Database_repro!$A:$F, MATCH($N1728, Database_repro!$A:$A, 0), 6)="N","No",IF(INDEX(Database_repro!$A:$F, MATCH($N1728, Database_repro!$A:$A, 0), 6)="Y","Yes","Z")), "Not Found")</f>
        <v>No</v>
      </c>
      <c r="N1728" t="s">
        <v>369</v>
      </c>
    </row>
    <row r="1729" spans="1:14" x14ac:dyDescent="0.25">
      <c r="A1729" s="9">
        <v>45601</v>
      </c>
      <c r="B1729" s="1" t="str">
        <f>IFERROR(VLOOKUP(MID(INDEX(Database_dermo!$A:$I, MATCH($N1729, Database_dermo!$A:$A, 0), 2),20,3),Notes!A$1:C$9,3,TRUE), "Not Found")</f>
        <v>LX-S</v>
      </c>
      <c r="C1729" s="1" t="str">
        <f>IFERROR(RIGHT(INDEX(Database_dermo!$A:$I, MATCH($N1729, Database_dermo!$A:$A, 0), 1),2), "Not Found")</f>
        <v>15</v>
      </c>
      <c r="D1729" s="1">
        <f>IFERROR(VLOOKUP(MID(INDEX(Database_dermo!$A:$I, MATCH($N1729, Database_dermo!$A:$A, 0), 2),20,3),Notes!A$1:C$9,2,TRUE), "Not Found")</f>
        <v>3</v>
      </c>
      <c r="E1729" s="1">
        <f>IFERROR(INDEX(Database_dermo!$A:$I, MATCH($N1729, Database_dermo!$A:$A, 0), 3), "Not Found")</f>
        <v>65.430000000000007</v>
      </c>
      <c r="F1729" s="1" t="str">
        <f>IFERROR(INDEX(Database_repro!$A:$F, MATCH($N1729, Database_repro!$A:$A, 0), 3), "Not Found")</f>
        <v>F</v>
      </c>
      <c r="G1729" s="1">
        <f>IFERROR(INDEX(Database_repro!$A:$F, MATCH($N1729, Database_repro!$A:$A, 0), 4), "Not Found")</f>
        <v>2</v>
      </c>
      <c r="H1729" s="1" t="s">
        <v>16</v>
      </c>
      <c r="I1729" s="1" t="s">
        <v>16</v>
      </c>
      <c r="J1729" s="1" t="s">
        <v>16</v>
      </c>
      <c r="K1729" s="1" t="str">
        <f>IFERROR(INDEX(Database_repro!$A:$F, MATCH($N1729, Database_repro!$A:$A, 0), 5), "Not Found")</f>
        <v>No</v>
      </c>
      <c r="L1729" s="4" t="s">
        <v>17</v>
      </c>
      <c r="M1729" s="1" t="str">
        <f>IFERROR(IF(INDEX(Database_repro!$A:$F, MATCH($N1729, Database_repro!$A:$A, 0), 6)="N","No",IF(INDEX(Database_repro!$A:$F, MATCH($N1729, Database_repro!$A:$A, 0), 6)="Y","Yes","Z")), "Not Found")</f>
        <v>No</v>
      </c>
      <c r="N1729" t="s">
        <v>370</v>
      </c>
    </row>
    <row r="1730" spans="1:14" x14ac:dyDescent="0.25">
      <c r="A1730" s="9">
        <v>45630</v>
      </c>
      <c r="B1730" s="1" t="str">
        <f>IFERROR(VLOOKUP(MID(INDEX(Database_dermo!$A:$I, MATCH($N1730, Database_dermo!$A:$A, 0), 2),20,3),Notes!A$1:C$9,3,TRUE), "Not Found")</f>
        <v>LX-S</v>
      </c>
      <c r="C1730" s="1" t="str">
        <f>IFERROR(RIGHT(INDEX(Database_dermo!$A:$I, MATCH($N1730, Database_dermo!$A:$A, 0), 1),2), "Not Found")</f>
        <v>01</v>
      </c>
      <c r="D1730" s="1">
        <f>IFERROR(VLOOKUP(MID(INDEX(Database_dermo!$A:$I, MATCH($N1730, Database_dermo!$A:$A, 0), 2),20,3),Notes!A$1:C$9,2,TRUE), "Not Found")</f>
        <v>1</v>
      </c>
      <c r="E1730" s="1">
        <f>IFERROR(INDEX(Database_dermo!$A:$I, MATCH($N1730, Database_dermo!$A:$A, 0), 3), "Not Found")</f>
        <v>59.26</v>
      </c>
      <c r="F1730" s="1" t="str">
        <f>IFERROR(INDEX(Database_repro!$A:$F, MATCH($N1730, Database_repro!$A:$A, 0), 3), "Not Found")</f>
        <v>M</v>
      </c>
      <c r="G1730" s="1">
        <f>IFERROR(INDEX(Database_repro!$A:$F, MATCH($N1730, Database_repro!$A:$A, 0), 4), "Not Found")</f>
        <v>2</v>
      </c>
      <c r="H1730" s="1" t="s">
        <v>16</v>
      </c>
      <c r="I1730" s="1" t="s">
        <v>16</v>
      </c>
      <c r="J1730" s="1" t="s">
        <v>16</v>
      </c>
      <c r="K1730" s="1" t="str">
        <f>IFERROR(INDEX(Database_repro!$A:$F, MATCH($N1730, Database_repro!$A:$A, 0), 5), "Not Found")</f>
        <v>No</v>
      </c>
      <c r="L1730" s="4" t="s">
        <v>17</v>
      </c>
      <c r="M1730" s="1" t="str">
        <f>IFERROR(IF(INDEX(Database_repro!$A:$F, MATCH($N1730, Database_repro!$A:$A, 0), 6)="N","No",IF(INDEX(Database_repro!$A:$F, MATCH($N1730, Database_repro!$A:$A, 0), 6)="Y","Yes","Z")), "Not Found")</f>
        <v>No</v>
      </c>
      <c r="N1730" t="s">
        <v>371</v>
      </c>
    </row>
    <row r="1731" spans="1:14" x14ac:dyDescent="0.25">
      <c r="A1731" s="9">
        <v>45630</v>
      </c>
      <c r="B1731" s="1" t="str">
        <f>IFERROR(VLOOKUP(MID(INDEX(Database_dermo!$A:$I, MATCH($N1731, Database_dermo!$A:$A, 0), 2),20,3),Notes!A$1:C$9,3,TRUE), "Not Found")</f>
        <v>LX-S</v>
      </c>
      <c r="C1731" s="1" t="str">
        <f>IFERROR(RIGHT(INDEX(Database_dermo!$A:$I, MATCH($N1731, Database_dermo!$A:$A, 0), 1),2), "Not Found")</f>
        <v>02</v>
      </c>
      <c r="D1731" s="1">
        <f>IFERROR(VLOOKUP(MID(INDEX(Database_dermo!$A:$I, MATCH($N1731, Database_dermo!$A:$A, 0), 2),20,3),Notes!A$1:C$9,2,TRUE), "Not Found")</f>
        <v>1</v>
      </c>
      <c r="E1731" s="1">
        <f>IFERROR(INDEX(Database_dermo!$A:$I, MATCH($N1731, Database_dermo!$A:$A, 0), 3), "Not Found")</f>
        <v>49.69</v>
      </c>
      <c r="F1731" s="1" t="str">
        <f>IFERROR(INDEX(Database_repro!$A:$F, MATCH($N1731, Database_repro!$A:$A, 0), 3), "Not Found")</f>
        <v>F</v>
      </c>
      <c r="G1731" s="1">
        <f>IFERROR(INDEX(Database_repro!$A:$F, MATCH($N1731, Database_repro!$A:$A, 0), 4), "Not Found")</f>
        <v>1</v>
      </c>
      <c r="H1731" s="1" t="s">
        <v>16</v>
      </c>
      <c r="I1731" s="1" t="s">
        <v>16</v>
      </c>
      <c r="J1731" s="1" t="s">
        <v>16</v>
      </c>
      <c r="K1731" s="1" t="str">
        <f>IFERROR(INDEX(Database_repro!$A:$F, MATCH($N1731, Database_repro!$A:$A, 0), 5), "Not Found")</f>
        <v>No</v>
      </c>
      <c r="L1731" s="4" t="s">
        <v>17</v>
      </c>
      <c r="M1731" s="1" t="str">
        <f>IFERROR(IF(INDEX(Database_repro!$A:$F, MATCH($N1731, Database_repro!$A:$A, 0), 6)="N","No",IF(INDEX(Database_repro!$A:$F, MATCH($N1731, Database_repro!$A:$A, 0), 6)="Y","Yes","Z")), "Not Found")</f>
        <v>No</v>
      </c>
      <c r="N1731" t="s">
        <v>373</v>
      </c>
    </row>
    <row r="1732" spans="1:14" x14ac:dyDescent="0.25">
      <c r="A1732" s="9">
        <v>45630</v>
      </c>
      <c r="B1732" s="1" t="str">
        <f>IFERROR(VLOOKUP(MID(INDEX(Database_dermo!$A:$I, MATCH($N1732, Database_dermo!$A:$A, 0), 2),20,3),Notes!A$1:C$9,3,TRUE), "Not Found")</f>
        <v>LX-S</v>
      </c>
      <c r="C1732" s="1" t="str">
        <f>IFERROR(RIGHT(INDEX(Database_dermo!$A:$I, MATCH($N1732, Database_dermo!$A:$A, 0), 1),2), "Not Found")</f>
        <v>03</v>
      </c>
      <c r="D1732" s="1">
        <f>IFERROR(VLOOKUP(MID(INDEX(Database_dermo!$A:$I, MATCH($N1732, Database_dermo!$A:$A, 0), 2),20,3),Notes!A$1:C$9,2,TRUE), "Not Found")</f>
        <v>1</v>
      </c>
      <c r="E1732" s="1">
        <f>IFERROR(INDEX(Database_dermo!$A:$I, MATCH($N1732, Database_dermo!$A:$A, 0), 3), "Not Found")</f>
        <v>46.91</v>
      </c>
      <c r="F1732" s="1" t="str">
        <f>IFERROR(INDEX(Database_repro!$A:$F, MATCH($N1732, Database_repro!$A:$A, 0), 3), "Not Found")</f>
        <v>M</v>
      </c>
      <c r="G1732" s="1">
        <f>IFERROR(INDEX(Database_repro!$A:$F, MATCH($N1732, Database_repro!$A:$A, 0), 4), "Not Found")</f>
        <v>3</v>
      </c>
      <c r="H1732" s="1" t="s">
        <v>16</v>
      </c>
      <c r="I1732" s="1" t="s">
        <v>16</v>
      </c>
      <c r="J1732" s="1" t="s">
        <v>16</v>
      </c>
      <c r="K1732" s="1" t="str">
        <f>IFERROR(INDEX(Database_repro!$A:$F, MATCH($N1732, Database_repro!$A:$A, 0), 5), "Not Found")</f>
        <v>No</v>
      </c>
      <c r="L1732" s="4" t="s">
        <v>17</v>
      </c>
      <c r="M1732" s="1" t="str">
        <f>IFERROR(IF(INDEX(Database_repro!$A:$F, MATCH($N1732, Database_repro!$A:$A, 0), 6)="N","No",IF(INDEX(Database_repro!$A:$F, MATCH($N1732, Database_repro!$A:$A, 0), 6)="Y","Yes","Z")), "Not Found")</f>
        <v>No</v>
      </c>
      <c r="N1732" t="s">
        <v>374</v>
      </c>
    </row>
    <row r="1733" spans="1:14" x14ac:dyDescent="0.25">
      <c r="A1733" s="9">
        <v>45630</v>
      </c>
      <c r="B1733" s="1" t="str">
        <f>IFERROR(VLOOKUP(MID(INDEX(Database_dermo!$A:$I, MATCH($N1733, Database_dermo!$A:$A, 0), 2),20,3),Notes!A$1:C$9,3,TRUE), "Not Found")</f>
        <v>LX-S</v>
      </c>
      <c r="C1733" s="1" t="str">
        <f>IFERROR(RIGHT(INDEX(Database_dermo!$A:$I, MATCH($N1733, Database_dermo!$A:$A, 0), 1),2), "Not Found")</f>
        <v>04</v>
      </c>
      <c r="D1733" s="1">
        <f>IFERROR(VLOOKUP(MID(INDEX(Database_dermo!$A:$I, MATCH($N1733, Database_dermo!$A:$A, 0), 2),20,3),Notes!A$1:C$9,2,TRUE), "Not Found")</f>
        <v>1</v>
      </c>
      <c r="E1733" s="1">
        <f>IFERROR(INDEX(Database_dermo!$A:$I, MATCH($N1733, Database_dermo!$A:$A, 0), 3), "Not Found")</f>
        <v>54.57</v>
      </c>
      <c r="F1733" s="1" t="str">
        <f>IFERROR(INDEX(Database_repro!$A:$F, MATCH($N1733, Database_repro!$A:$A, 0), 3), "Not Found")</f>
        <v>F</v>
      </c>
      <c r="G1733" s="1">
        <f>IFERROR(INDEX(Database_repro!$A:$F, MATCH($N1733, Database_repro!$A:$A, 0), 4), "Not Found")</f>
        <v>2</v>
      </c>
      <c r="H1733" s="1" t="s">
        <v>16</v>
      </c>
      <c r="I1733" s="1" t="s">
        <v>16</v>
      </c>
      <c r="J1733" s="1" t="s">
        <v>16</v>
      </c>
      <c r="K1733" s="1" t="str">
        <f>IFERROR(INDEX(Database_repro!$A:$F, MATCH($N1733, Database_repro!$A:$A, 0), 5), "Not Found")</f>
        <v>No</v>
      </c>
      <c r="L1733" s="4" t="s">
        <v>17</v>
      </c>
      <c r="M1733" s="1" t="str">
        <f>IFERROR(IF(INDEX(Database_repro!$A:$F, MATCH($N1733, Database_repro!$A:$A, 0), 6)="N","No",IF(INDEX(Database_repro!$A:$F, MATCH($N1733, Database_repro!$A:$A, 0), 6)="Y","Yes","Z")), "Not Found")</f>
        <v>No</v>
      </c>
      <c r="N1733" t="s">
        <v>375</v>
      </c>
    </row>
    <row r="1734" spans="1:14" x14ac:dyDescent="0.25">
      <c r="A1734" s="9">
        <v>45630</v>
      </c>
      <c r="B1734" s="1" t="str">
        <f>IFERROR(VLOOKUP(MID(INDEX(Database_dermo!$A:$I, MATCH($N1734, Database_dermo!$A:$A, 0), 2),20,3),Notes!A$1:C$9,3,TRUE), "Not Found")</f>
        <v>LX-S</v>
      </c>
      <c r="C1734" s="1" t="str">
        <f>IFERROR(RIGHT(INDEX(Database_dermo!$A:$I, MATCH($N1734, Database_dermo!$A:$A, 0), 1),2), "Not Found")</f>
        <v>05</v>
      </c>
      <c r="D1734" s="1">
        <f>IFERROR(VLOOKUP(MID(INDEX(Database_dermo!$A:$I, MATCH($N1734, Database_dermo!$A:$A, 0), 2),20,3),Notes!A$1:C$9,2,TRUE), "Not Found")</f>
        <v>1</v>
      </c>
      <c r="E1734" s="1">
        <f>IFERROR(INDEX(Database_dermo!$A:$I, MATCH($N1734, Database_dermo!$A:$A, 0), 3), "Not Found")</f>
        <v>55.33</v>
      </c>
      <c r="F1734" s="1" t="str">
        <f>IFERROR(INDEX(Database_repro!$A:$F, MATCH($N1734, Database_repro!$A:$A, 0), 3), "Not Found")</f>
        <v>Z</v>
      </c>
      <c r="G1734" s="1">
        <f>IFERROR(INDEX(Database_repro!$A:$F, MATCH($N1734, Database_repro!$A:$A, 0), 4), "Not Found")</f>
        <v>4</v>
      </c>
      <c r="H1734" s="1" t="s">
        <v>16</v>
      </c>
      <c r="I1734" s="1" t="s">
        <v>16</v>
      </c>
      <c r="J1734" s="1" t="s">
        <v>16</v>
      </c>
      <c r="K1734" s="1" t="str">
        <f>IFERROR(INDEX(Database_repro!$A:$F, MATCH($N1734, Database_repro!$A:$A, 0), 5), "Not Found")</f>
        <v>No</v>
      </c>
      <c r="L1734" s="4" t="s">
        <v>17</v>
      </c>
      <c r="M1734" s="1" t="str">
        <f>IFERROR(IF(INDEX(Database_repro!$A:$F, MATCH($N1734, Database_repro!$A:$A, 0), 6)="N","No",IF(INDEX(Database_repro!$A:$F, MATCH($N1734, Database_repro!$A:$A, 0), 6)="Y","Yes","Z")), "Not Found")</f>
        <v>No</v>
      </c>
      <c r="N1734" t="s">
        <v>376</v>
      </c>
    </row>
    <row r="1735" spans="1:14" x14ac:dyDescent="0.25">
      <c r="A1735" s="9">
        <v>45630</v>
      </c>
      <c r="B1735" s="1" t="str">
        <f>IFERROR(VLOOKUP(MID(INDEX(Database_dermo!$A:$I, MATCH($N1735, Database_dermo!$A:$A, 0), 2),20,3),Notes!A$1:C$9,3,TRUE), "Not Found")</f>
        <v>LX-S</v>
      </c>
      <c r="C1735" s="1" t="str">
        <f>IFERROR(RIGHT(INDEX(Database_dermo!$A:$I, MATCH($N1735, Database_dermo!$A:$A, 0), 1),2), "Not Found")</f>
        <v>06</v>
      </c>
      <c r="D1735" s="1">
        <f>IFERROR(VLOOKUP(MID(INDEX(Database_dermo!$A:$I, MATCH($N1735, Database_dermo!$A:$A, 0), 2),20,3),Notes!A$1:C$9,2,TRUE), "Not Found")</f>
        <v>2</v>
      </c>
      <c r="E1735" s="1">
        <f>IFERROR(INDEX(Database_dermo!$A:$I, MATCH($N1735, Database_dermo!$A:$A, 0), 3), "Not Found")</f>
        <v>63.71</v>
      </c>
      <c r="F1735" s="1" t="str">
        <f>IFERROR(INDEX(Database_repro!$A:$F, MATCH($N1735, Database_repro!$A:$A, 0), 3), "Not Found")</f>
        <v>Z</v>
      </c>
      <c r="G1735" s="1">
        <f>IFERROR(INDEX(Database_repro!$A:$F, MATCH($N1735, Database_repro!$A:$A, 0), 4), "Not Found")</f>
        <v>4</v>
      </c>
      <c r="H1735" s="1" t="s">
        <v>16</v>
      </c>
      <c r="I1735" s="1" t="s">
        <v>16</v>
      </c>
      <c r="J1735" s="1" t="s">
        <v>16</v>
      </c>
      <c r="K1735" s="1" t="str">
        <f>IFERROR(INDEX(Database_repro!$A:$F, MATCH($N1735, Database_repro!$A:$A, 0), 5), "Not Found")</f>
        <v>No</v>
      </c>
      <c r="L1735" s="4" t="s">
        <v>17</v>
      </c>
      <c r="M1735" s="1" t="str">
        <f>IFERROR(IF(INDEX(Database_repro!$A:$F, MATCH($N1735, Database_repro!$A:$A, 0), 6)="N","No",IF(INDEX(Database_repro!$A:$F, MATCH($N1735, Database_repro!$A:$A, 0), 6)="Y","Yes","Z")), "Not Found")</f>
        <v>No</v>
      </c>
      <c r="N1735" t="s">
        <v>377</v>
      </c>
    </row>
    <row r="1736" spans="1:14" x14ac:dyDescent="0.25">
      <c r="A1736" s="9">
        <v>45630</v>
      </c>
      <c r="B1736" s="1" t="str">
        <f>IFERROR(VLOOKUP(MID(INDEX(Database_dermo!$A:$I, MATCH($N1736, Database_dermo!$A:$A, 0), 2),20,3),Notes!A$1:C$9,3,TRUE), "Not Found")</f>
        <v>LX-S</v>
      </c>
      <c r="C1736" s="1" t="str">
        <f>IFERROR(RIGHT(INDEX(Database_dermo!$A:$I, MATCH($N1736, Database_dermo!$A:$A, 0), 1),2), "Not Found")</f>
        <v>07</v>
      </c>
      <c r="D1736" s="1">
        <f>IFERROR(VLOOKUP(MID(INDEX(Database_dermo!$A:$I, MATCH($N1736, Database_dermo!$A:$A, 0), 2),20,3),Notes!A$1:C$9,2,TRUE), "Not Found")</f>
        <v>2</v>
      </c>
      <c r="E1736" s="1">
        <f>IFERROR(INDEX(Database_dermo!$A:$I, MATCH($N1736, Database_dermo!$A:$A, 0), 3), "Not Found")</f>
        <v>64.7</v>
      </c>
      <c r="F1736" s="1" t="str">
        <f>IFERROR(INDEX(Database_repro!$A:$F, MATCH($N1736, Database_repro!$A:$A, 0), 3), "Not Found")</f>
        <v>Z</v>
      </c>
      <c r="G1736" s="1">
        <f>IFERROR(INDEX(Database_repro!$A:$F, MATCH($N1736, Database_repro!$A:$A, 0), 4), "Not Found")</f>
        <v>4</v>
      </c>
      <c r="H1736" s="1" t="s">
        <v>16</v>
      </c>
      <c r="I1736" s="1" t="s">
        <v>16</v>
      </c>
      <c r="J1736" s="1" t="s">
        <v>16</v>
      </c>
      <c r="K1736" s="1" t="str">
        <f>IFERROR(INDEX(Database_repro!$A:$F, MATCH($N1736, Database_repro!$A:$A, 0), 5), "Not Found")</f>
        <v>Yes</v>
      </c>
      <c r="L1736" s="4" t="s">
        <v>17</v>
      </c>
      <c r="M1736" s="1" t="str">
        <f>IFERROR(IF(INDEX(Database_repro!$A:$F, MATCH($N1736, Database_repro!$A:$A, 0), 6)="N","No",IF(INDEX(Database_repro!$A:$F, MATCH($N1736, Database_repro!$A:$A, 0), 6)="Y","Yes","Z")), "Not Found")</f>
        <v>No</v>
      </c>
      <c r="N1736" t="s">
        <v>379</v>
      </c>
    </row>
    <row r="1737" spans="1:14" x14ac:dyDescent="0.25">
      <c r="A1737" s="9">
        <v>45630</v>
      </c>
      <c r="B1737" s="1" t="str">
        <f>IFERROR(VLOOKUP(MID(INDEX(Database_dermo!$A:$I, MATCH($N1737, Database_dermo!$A:$A, 0), 2),20,3),Notes!A$1:C$9,3,TRUE), "Not Found")</f>
        <v>LX-S</v>
      </c>
      <c r="C1737" s="1" t="str">
        <f>IFERROR(RIGHT(INDEX(Database_dermo!$A:$I, MATCH($N1737, Database_dermo!$A:$A, 0), 1),2), "Not Found")</f>
        <v>08</v>
      </c>
      <c r="D1737" s="1">
        <f>IFERROR(VLOOKUP(MID(INDEX(Database_dermo!$A:$I, MATCH($N1737, Database_dermo!$A:$A, 0), 2),20,3),Notes!A$1:C$9,2,TRUE), "Not Found")</f>
        <v>2</v>
      </c>
      <c r="E1737" s="1">
        <f>IFERROR(INDEX(Database_dermo!$A:$I, MATCH($N1737, Database_dermo!$A:$A, 0), 3), "Not Found")</f>
        <v>54.25</v>
      </c>
      <c r="F1737" s="1" t="str">
        <f>IFERROR(INDEX(Database_repro!$A:$F, MATCH($N1737, Database_repro!$A:$A, 0), 3), "Not Found")</f>
        <v>Z</v>
      </c>
      <c r="G1737" s="1">
        <f>IFERROR(INDEX(Database_repro!$A:$F, MATCH($N1737, Database_repro!$A:$A, 0), 4), "Not Found")</f>
        <v>4</v>
      </c>
      <c r="H1737" s="1" t="s">
        <v>16</v>
      </c>
      <c r="I1737" s="1" t="s">
        <v>16</v>
      </c>
      <c r="J1737" s="1" t="s">
        <v>16</v>
      </c>
      <c r="K1737" s="1" t="str">
        <f>IFERROR(INDEX(Database_repro!$A:$F, MATCH($N1737, Database_repro!$A:$A, 0), 5), "Not Found")</f>
        <v>No</v>
      </c>
      <c r="L1737" s="4" t="s">
        <v>17</v>
      </c>
      <c r="M1737" s="1" t="str">
        <f>IFERROR(IF(INDEX(Database_repro!$A:$F, MATCH($N1737, Database_repro!$A:$A, 0), 6)="N","No",IF(INDEX(Database_repro!$A:$F, MATCH($N1737, Database_repro!$A:$A, 0), 6)="Y","Yes","Z")), "Not Found")</f>
        <v>No</v>
      </c>
      <c r="N1737" t="s">
        <v>381</v>
      </c>
    </row>
    <row r="1738" spans="1:14" x14ac:dyDescent="0.25">
      <c r="A1738" s="9">
        <v>45630</v>
      </c>
      <c r="B1738" s="1" t="str">
        <f>IFERROR(VLOOKUP(MID(INDEX(Database_dermo!$A:$I, MATCH($N1738, Database_dermo!$A:$A, 0), 2),20,3),Notes!A$1:C$9,3,TRUE), "Not Found")</f>
        <v>LX-S</v>
      </c>
      <c r="C1738" s="1" t="str">
        <f>IFERROR(RIGHT(INDEX(Database_dermo!$A:$I, MATCH($N1738, Database_dermo!$A:$A, 0), 1),2), "Not Found")</f>
        <v>09</v>
      </c>
      <c r="D1738" s="1">
        <f>IFERROR(VLOOKUP(MID(INDEX(Database_dermo!$A:$I, MATCH($N1738, Database_dermo!$A:$A, 0), 2),20,3),Notes!A$1:C$9,2,TRUE), "Not Found")</f>
        <v>2</v>
      </c>
      <c r="E1738" s="1">
        <f>IFERROR(INDEX(Database_dermo!$A:$I, MATCH($N1738, Database_dermo!$A:$A, 0), 3), "Not Found")</f>
        <v>66.52</v>
      </c>
      <c r="F1738" s="1" t="str">
        <f>IFERROR(INDEX(Database_repro!$A:$F, MATCH($N1738, Database_repro!$A:$A, 0), 3), "Not Found")</f>
        <v>M</v>
      </c>
      <c r="G1738" s="1">
        <f>IFERROR(INDEX(Database_repro!$A:$F, MATCH($N1738, Database_repro!$A:$A, 0), 4), "Not Found")</f>
        <v>2</v>
      </c>
      <c r="H1738" s="1" t="s">
        <v>16</v>
      </c>
      <c r="I1738" s="1" t="s">
        <v>16</v>
      </c>
      <c r="J1738" s="1" t="s">
        <v>16</v>
      </c>
      <c r="K1738" s="1" t="str">
        <f>IFERROR(INDEX(Database_repro!$A:$F, MATCH($N1738, Database_repro!$A:$A, 0), 5), "Not Found")</f>
        <v>No</v>
      </c>
      <c r="L1738" s="4" t="s">
        <v>17</v>
      </c>
      <c r="M1738" s="1" t="str">
        <f>IFERROR(IF(INDEX(Database_repro!$A:$F, MATCH($N1738, Database_repro!$A:$A, 0), 6)="N","No",IF(INDEX(Database_repro!$A:$F, MATCH($N1738, Database_repro!$A:$A, 0), 6)="Y","Yes","Z")), "Not Found")</f>
        <v>No</v>
      </c>
      <c r="N1738" t="s">
        <v>383</v>
      </c>
    </row>
    <row r="1739" spans="1:14" x14ac:dyDescent="0.25">
      <c r="A1739" s="9">
        <v>45630</v>
      </c>
      <c r="B1739" s="1" t="str">
        <f>IFERROR(VLOOKUP(MID(INDEX(Database_dermo!$A:$I, MATCH($N1739, Database_dermo!$A:$A, 0), 2),20,3),Notes!A$1:C$9,3,TRUE), "Not Found")</f>
        <v>LX-S</v>
      </c>
      <c r="C1739" s="1" t="str">
        <f>IFERROR(RIGHT(INDEX(Database_dermo!$A:$I, MATCH($N1739, Database_dermo!$A:$A, 0), 1),2), "Not Found")</f>
        <v>10</v>
      </c>
      <c r="D1739" s="1">
        <f>IFERROR(VLOOKUP(MID(INDEX(Database_dermo!$A:$I, MATCH($N1739, Database_dermo!$A:$A, 0), 2),20,3),Notes!A$1:C$9,2,TRUE), "Not Found")</f>
        <v>2</v>
      </c>
      <c r="E1739" s="1">
        <f>IFERROR(INDEX(Database_dermo!$A:$I, MATCH($N1739, Database_dermo!$A:$A, 0), 3), "Not Found")</f>
        <v>36.56</v>
      </c>
      <c r="F1739" s="1" t="str">
        <f>IFERROR(INDEX(Database_repro!$A:$F, MATCH($N1739, Database_repro!$A:$A, 0), 3), "Not Found")</f>
        <v>Z</v>
      </c>
      <c r="G1739" s="1" t="str">
        <f>IFERROR(INDEX(Database_repro!$A:$F, MATCH($N1739, Database_repro!$A:$A, 0), 4), "Not Found")</f>
        <v>Z</v>
      </c>
      <c r="H1739" s="1" t="s">
        <v>16</v>
      </c>
      <c r="I1739" s="1" t="s">
        <v>16</v>
      </c>
      <c r="J1739" s="1" t="s">
        <v>16</v>
      </c>
      <c r="K1739" s="1" t="str">
        <f>IFERROR(INDEX(Database_repro!$A:$F, MATCH($N1739, Database_repro!$A:$A, 0), 5), "Not Found")</f>
        <v>No</v>
      </c>
      <c r="L1739" s="4" t="s">
        <v>17</v>
      </c>
      <c r="M1739" s="1" t="str">
        <f>IFERROR(IF(INDEX(Database_repro!$A:$F, MATCH($N1739, Database_repro!$A:$A, 0), 6)="N","No",IF(INDEX(Database_repro!$A:$F, MATCH($N1739, Database_repro!$A:$A, 0), 6)="Y","Yes","Z")), "Not Found")</f>
        <v>Yes</v>
      </c>
      <c r="N1739" t="s">
        <v>384</v>
      </c>
    </row>
    <row r="1740" spans="1:14" x14ac:dyDescent="0.25">
      <c r="A1740" s="9">
        <v>45630</v>
      </c>
      <c r="B1740" s="1" t="str">
        <f>IFERROR(VLOOKUP(MID(INDEX(Database_dermo!$A:$I, MATCH($N1740, Database_dermo!$A:$A, 0), 2),20,3),Notes!A$1:C$9,3,TRUE), "Not Found")</f>
        <v>LX-S</v>
      </c>
      <c r="C1740" s="1" t="str">
        <f>IFERROR(RIGHT(INDEX(Database_dermo!$A:$I, MATCH($N1740, Database_dermo!$A:$A, 0), 1),2), "Not Found")</f>
        <v>11</v>
      </c>
      <c r="D1740" s="1">
        <f>IFERROR(VLOOKUP(MID(INDEX(Database_dermo!$A:$I, MATCH($N1740, Database_dermo!$A:$A, 0), 2),20,3),Notes!A$1:C$9,2,TRUE), "Not Found")</f>
        <v>3</v>
      </c>
      <c r="E1740" s="1">
        <f>IFERROR(INDEX(Database_dermo!$A:$I, MATCH($N1740, Database_dermo!$A:$A, 0), 3), "Not Found")</f>
        <v>90.98</v>
      </c>
      <c r="F1740" s="1" t="str">
        <f>IFERROR(INDEX(Database_repro!$A:$F, MATCH($N1740, Database_repro!$A:$A, 0), 3), "Not Found")</f>
        <v>F</v>
      </c>
      <c r="G1740" s="1">
        <f>IFERROR(INDEX(Database_repro!$A:$F, MATCH($N1740, Database_repro!$A:$A, 0), 4), "Not Found")</f>
        <v>2</v>
      </c>
      <c r="H1740" s="1" t="s">
        <v>16</v>
      </c>
      <c r="I1740" s="1" t="s">
        <v>16</v>
      </c>
      <c r="J1740" s="1" t="s">
        <v>16</v>
      </c>
      <c r="K1740" s="1" t="str">
        <f>IFERROR(INDEX(Database_repro!$A:$F, MATCH($N1740, Database_repro!$A:$A, 0), 5), "Not Found")</f>
        <v>No</v>
      </c>
      <c r="L1740" s="4" t="s">
        <v>17</v>
      </c>
      <c r="M1740" s="1" t="str">
        <f>IFERROR(IF(INDEX(Database_repro!$A:$F, MATCH($N1740, Database_repro!$A:$A, 0), 6)="N","No",IF(INDEX(Database_repro!$A:$F, MATCH($N1740, Database_repro!$A:$A, 0), 6)="Y","Yes","Z")), "Not Found")</f>
        <v>No</v>
      </c>
      <c r="N1740" t="s">
        <v>386</v>
      </c>
    </row>
    <row r="1741" spans="1:14" x14ac:dyDescent="0.25">
      <c r="A1741" s="9">
        <v>45630</v>
      </c>
      <c r="B1741" s="1" t="str">
        <f>IFERROR(VLOOKUP(MID(INDEX(Database_dermo!$A:$I, MATCH($N1741, Database_dermo!$A:$A, 0), 2),20,3),Notes!A$1:C$9,3,TRUE), "Not Found")</f>
        <v>LX-S</v>
      </c>
      <c r="C1741" s="1" t="str">
        <f>IFERROR(RIGHT(INDEX(Database_dermo!$A:$I, MATCH($N1741, Database_dermo!$A:$A, 0), 1),2), "Not Found")</f>
        <v>12</v>
      </c>
      <c r="D1741" s="1">
        <f>IFERROR(VLOOKUP(MID(INDEX(Database_dermo!$A:$I, MATCH($N1741, Database_dermo!$A:$A, 0), 2),20,3),Notes!A$1:C$9,2,TRUE), "Not Found")</f>
        <v>3</v>
      </c>
      <c r="E1741" s="1">
        <f>IFERROR(INDEX(Database_dermo!$A:$I, MATCH($N1741, Database_dermo!$A:$A, 0), 3), "Not Found")</f>
        <v>91.03</v>
      </c>
      <c r="F1741" s="1" t="str">
        <f>IFERROR(INDEX(Database_repro!$A:$F, MATCH($N1741, Database_repro!$A:$A, 0), 3), "Not Found")</f>
        <v>F</v>
      </c>
      <c r="G1741" s="1">
        <f>IFERROR(INDEX(Database_repro!$A:$F, MATCH($N1741, Database_repro!$A:$A, 0), 4), "Not Found")</f>
        <v>2</v>
      </c>
      <c r="H1741" s="1" t="s">
        <v>16</v>
      </c>
      <c r="I1741" s="1" t="s">
        <v>16</v>
      </c>
      <c r="J1741" s="1" t="s">
        <v>16</v>
      </c>
      <c r="K1741" s="1" t="str">
        <f>IFERROR(INDEX(Database_repro!$A:$F, MATCH($N1741, Database_repro!$A:$A, 0), 5), "Not Found")</f>
        <v>No</v>
      </c>
      <c r="L1741" s="4" t="s">
        <v>17</v>
      </c>
      <c r="M1741" s="1" t="str">
        <f>IFERROR(IF(INDEX(Database_repro!$A:$F, MATCH($N1741, Database_repro!$A:$A, 0), 6)="N","No",IF(INDEX(Database_repro!$A:$F, MATCH($N1741, Database_repro!$A:$A, 0), 6)="Y","Yes","Z")), "Not Found")</f>
        <v>No</v>
      </c>
      <c r="N1741" t="s">
        <v>388</v>
      </c>
    </row>
    <row r="1742" spans="1:14" x14ac:dyDescent="0.25">
      <c r="A1742" s="9">
        <v>45630</v>
      </c>
      <c r="B1742" s="1" t="str">
        <f>IFERROR(VLOOKUP(MID(INDEX(Database_dermo!$A:$I, MATCH($N1742, Database_dermo!$A:$A, 0), 2),20,3),Notes!A$1:C$9,3,TRUE), "Not Found")</f>
        <v>LX-S</v>
      </c>
      <c r="C1742" s="1" t="str">
        <f>IFERROR(RIGHT(INDEX(Database_dermo!$A:$I, MATCH($N1742, Database_dermo!$A:$A, 0), 1),2), "Not Found")</f>
        <v>13</v>
      </c>
      <c r="D1742" s="1">
        <f>IFERROR(VLOOKUP(MID(INDEX(Database_dermo!$A:$I, MATCH($N1742, Database_dermo!$A:$A, 0), 2),20,3),Notes!A$1:C$9,2,TRUE), "Not Found")</f>
        <v>3</v>
      </c>
      <c r="E1742" s="1">
        <f>IFERROR(INDEX(Database_dermo!$A:$I, MATCH($N1742, Database_dermo!$A:$A, 0), 3), "Not Found")</f>
        <v>81.31</v>
      </c>
      <c r="F1742" s="1" t="str">
        <f>IFERROR(INDEX(Database_repro!$A:$F, MATCH($N1742, Database_repro!$A:$A, 0), 3), "Not Found")</f>
        <v>F</v>
      </c>
      <c r="G1742" s="1">
        <f>IFERROR(INDEX(Database_repro!$A:$F, MATCH($N1742, Database_repro!$A:$A, 0), 4), "Not Found")</f>
        <v>2</v>
      </c>
      <c r="H1742" s="1" t="s">
        <v>16</v>
      </c>
      <c r="I1742" s="1" t="s">
        <v>16</v>
      </c>
      <c r="J1742" s="1" t="s">
        <v>16</v>
      </c>
      <c r="K1742" s="1" t="str">
        <f>IFERROR(INDEX(Database_repro!$A:$F, MATCH($N1742, Database_repro!$A:$A, 0), 5), "Not Found")</f>
        <v>Yes</v>
      </c>
      <c r="L1742" s="4" t="s">
        <v>17</v>
      </c>
      <c r="M1742" s="1" t="str">
        <f>IFERROR(IF(INDEX(Database_repro!$A:$F, MATCH($N1742, Database_repro!$A:$A, 0), 6)="N","No",IF(INDEX(Database_repro!$A:$F, MATCH($N1742, Database_repro!$A:$A, 0), 6)="Y","Yes","Z")), "Not Found")</f>
        <v>No</v>
      </c>
      <c r="N1742" t="s">
        <v>389</v>
      </c>
    </row>
    <row r="1743" spans="1:14" x14ac:dyDescent="0.25">
      <c r="A1743" s="9">
        <v>45630</v>
      </c>
      <c r="B1743" s="1" t="str">
        <f>IFERROR(VLOOKUP(MID(INDEX(Database_dermo!$A:$I, MATCH($N1743, Database_dermo!$A:$A, 0), 2),20,3),Notes!A$1:C$9,3,TRUE), "Not Found")</f>
        <v>LX-S</v>
      </c>
      <c r="C1743" s="1" t="str">
        <f>IFERROR(RIGHT(INDEX(Database_dermo!$A:$I, MATCH($N1743, Database_dermo!$A:$A, 0), 1),2), "Not Found")</f>
        <v>14</v>
      </c>
      <c r="D1743" s="1">
        <f>IFERROR(VLOOKUP(MID(INDEX(Database_dermo!$A:$I, MATCH($N1743, Database_dermo!$A:$A, 0), 2),20,3),Notes!A$1:C$9,2,TRUE), "Not Found")</f>
        <v>3</v>
      </c>
      <c r="E1743" s="1">
        <f>IFERROR(INDEX(Database_dermo!$A:$I, MATCH($N1743, Database_dermo!$A:$A, 0), 3), "Not Found")</f>
        <v>45.75</v>
      </c>
      <c r="F1743" s="1" t="str">
        <f>IFERROR(INDEX(Database_repro!$A:$F, MATCH($N1743, Database_repro!$A:$A, 0), 3), "Not Found")</f>
        <v>F</v>
      </c>
      <c r="G1743" s="1">
        <f>IFERROR(INDEX(Database_repro!$A:$F, MATCH($N1743, Database_repro!$A:$A, 0), 4), "Not Found")</f>
        <v>1</v>
      </c>
      <c r="H1743" s="1" t="s">
        <v>16</v>
      </c>
      <c r="I1743" s="1" t="s">
        <v>16</v>
      </c>
      <c r="J1743" s="1" t="s">
        <v>16</v>
      </c>
      <c r="K1743" s="1" t="str">
        <f>IFERROR(INDEX(Database_repro!$A:$F, MATCH($N1743, Database_repro!$A:$A, 0), 5), "Not Found")</f>
        <v>No</v>
      </c>
      <c r="L1743" s="4" t="s">
        <v>17</v>
      </c>
      <c r="M1743" s="1" t="str">
        <f>IFERROR(IF(INDEX(Database_repro!$A:$F, MATCH($N1743, Database_repro!$A:$A, 0), 6)="N","No",IF(INDEX(Database_repro!$A:$F, MATCH($N1743, Database_repro!$A:$A, 0), 6)="Y","Yes","Z")), "Not Found")</f>
        <v>No</v>
      </c>
      <c r="N1743" t="s">
        <v>390</v>
      </c>
    </row>
    <row r="1744" spans="1:14" x14ac:dyDescent="0.25">
      <c r="A1744" s="9">
        <v>45630</v>
      </c>
      <c r="B1744" s="1" t="str">
        <f>IFERROR(VLOOKUP(MID(INDEX(Database_dermo!$A:$I, MATCH($N1744, Database_dermo!$A:$A, 0), 2),20,3),Notes!A$1:C$9,3,TRUE), "Not Found")</f>
        <v>LX-S</v>
      </c>
      <c r="C1744" s="1" t="str">
        <f>IFERROR(RIGHT(INDEX(Database_dermo!$A:$I, MATCH($N1744, Database_dermo!$A:$A, 0), 1),2), "Not Found")</f>
        <v>15</v>
      </c>
      <c r="D1744" s="1">
        <f>IFERROR(VLOOKUP(MID(INDEX(Database_dermo!$A:$I, MATCH($N1744, Database_dermo!$A:$A, 0), 2),20,3),Notes!A$1:C$9,2,TRUE), "Not Found")</f>
        <v>3</v>
      </c>
      <c r="E1744" s="1">
        <f>IFERROR(INDEX(Database_dermo!$A:$I, MATCH($N1744, Database_dermo!$A:$A, 0), 3), "Not Found")</f>
        <v>68.36</v>
      </c>
      <c r="F1744" s="1" t="str">
        <f>IFERROR(INDEX(Database_repro!$A:$F, MATCH($N1744, Database_repro!$A:$A, 0), 3), "Not Found")</f>
        <v>F</v>
      </c>
      <c r="G1744" s="1">
        <f>IFERROR(INDEX(Database_repro!$A:$F, MATCH($N1744, Database_repro!$A:$A, 0), 4), "Not Found")</f>
        <v>2</v>
      </c>
      <c r="H1744" s="1" t="s">
        <v>16</v>
      </c>
      <c r="I1744" s="1" t="s">
        <v>16</v>
      </c>
      <c r="J1744" s="1" t="s">
        <v>16</v>
      </c>
      <c r="K1744" s="1" t="str">
        <f>IFERROR(INDEX(Database_repro!$A:$F, MATCH($N1744, Database_repro!$A:$A, 0), 5), "Not Found")</f>
        <v>No</v>
      </c>
      <c r="L1744" s="4" t="s">
        <v>17</v>
      </c>
      <c r="M1744" s="1" t="str">
        <f>IFERROR(IF(INDEX(Database_repro!$A:$F, MATCH($N1744, Database_repro!$A:$A, 0), 6)="N","No",IF(INDEX(Database_repro!$A:$F, MATCH($N1744, Database_repro!$A:$A, 0), 6)="Y","Yes","Z")), "Not Found")</f>
        <v>No</v>
      </c>
      <c r="N1744" t="s">
        <v>391</v>
      </c>
    </row>
    <row r="2015" spans="14:22" x14ac:dyDescent="0.25">
      <c r="N2015" s="1"/>
      <c r="O2015" s="1"/>
      <c r="P2015" s="1"/>
      <c r="Q2015" s="1"/>
      <c r="R2015" s="1"/>
      <c r="S2015" s="1"/>
      <c r="T2015" s="1"/>
      <c r="U2015" s="1"/>
      <c r="V2015" s="1"/>
    </row>
    <row r="2509" ht="14.25" customHeight="1" x14ac:dyDescent="0.25"/>
  </sheetData>
  <phoneticPr fontId="0" type="noConversion"/>
  <conditionalFormatting sqref="A1:A62866">
    <cfRule type="expression" dxfId="3" priority="259" stopIfTrue="1">
      <formula>IF(CELL("type",A1)="v","TRUE","FALSE")</formula>
    </cfRule>
    <cfRule type="expression" dxfId="2" priority="260" stopIfTrue="1">
      <formula>IF(CELL("type",A1)="l","TRUE","FALSE")</formula>
    </cfRule>
  </conditionalFormatting>
  <conditionalFormatting sqref="A755">
    <cfRule type="expression" dxfId="1" priority="5" stopIfTrue="1">
      <formula>IF(CELL("type",A755)="v","TRUE","FALSE")</formula>
    </cfRule>
    <cfRule type="expression" dxfId="0" priority="6" stopIfTrue="1">
      <formula>IF(CELL("type",A755)="l","TRUE","FALSE")</formula>
    </cfRule>
  </conditionalFormatting>
  <printOptions gridLines="1"/>
  <pageMargins left="0.5" right="0.5" top="0.55000000000000004" bottom="0.55000000000000004" header="0.5" footer="0.5"/>
  <pageSetup scale="87" fitToHeight="10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6808F-9266-452F-B62C-DAC0F3BCEA29}">
  <dimension ref="A1:O362"/>
  <sheetViews>
    <sheetView zoomScale="90" zoomScaleNormal="90" workbookViewId="0">
      <pane ySplit="1" topLeftCell="A342" activePane="bottomLeft" state="frozen"/>
      <selection pane="bottomLeft" activeCell="A362" sqref="A362"/>
    </sheetView>
  </sheetViews>
  <sheetFormatPr defaultRowHeight="13.2" x14ac:dyDescent="0.25"/>
  <cols>
    <col min="1" max="1" width="10.109375" bestFit="1" customWidth="1"/>
    <col min="5" max="5" width="9.6640625" style="1" bestFit="1" customWidth="1"/>
    <col min="6" max="6" width="10.109375" style="1" bestFit="1" customWidth="1"/>
    <col min="7" max="7" width="12.109375" style="1" bestFit="1" customWidth="1"/>
    <col min="8" max="8" width="8.88671875" style="1"/>
    <col min="9" max="9" width="10" style="1" bestFit="1" customWidth="1"/>
    <col min="10" max="10" width="6.109375" style="1" bestFit="1" customWidth="1"/>
    <col min="11" max="11" width="10.21875" style="1" bestFit="1" customWidth="1"/>
    <col min="12" max="12" width="11.21875" bestFit="1" customWidth="1"/>
    <col min="13" max="13" width="19.6640625" style="1" bestFit="1" customWidth="1"/>
    <col min="14" max="14" width="22.77734375" style="1" bestFit="1" customWidth="1"/>
    <col min="15" max="15" width="29.33203125" bestFit="1" customWidth="1"/>
  </cols>
  <sheetData>
    <row r="1" spans="1:15" x14ac:dyDescent="0.25">
      <c r="A1" s="2" t="s">
        <v>4</v>
      </c>
      <c r="B1" s="2" t="s">
        <v>2</v>
      </c>
      <c r="C1" s="2" t="s">
        <v>36</v>
      </c>
      <c r="D1" s="2" t="s">
        <v>37</v>
      </c>
      <c r="E1" s="2" t="s">
        <v>38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398</v>
      </c>
    </row>
    <row r="2" spans="1:15" x14ac:dyDescent="0.25">
      <c r="A2" s="16">
        <v>43837</v>
      </c>
      <c r="B2" t="s">
        <v>15</v>
      </c>
      <c r="C2">
        <v>1</v>
      </c>
      <c r="D2" s="21">
        <v>0.65902777777777777</v>
      </c>
      <c r="E2" s="1">
        <v>0.6</v>
      </c>
      <c r="F2" s="1">
        <v>21.5</v>
      </c>
      <c r="G2" s="1">
        <v>10.87</v>
      </c>
      <c r="H2" s="1">
        <v>7.81</v>
      </c>
      <c r="I2" s="1">
        <v>7.07</v>
      </c>
      <c r="J2" s="1">
        <v>84.9</v>
      </c>
      <c r="K2" s="1">
        <v>0.6</v>
      </c>
      <c r="L2" t="s">
        <v>16</v>
      </c>
      <c r="M2" s="1" t="s">
        <v>16</v>
      </c>
      <c r="N2" s="1" t="s">
        <v>16</v>
      </c>
      <c r="O2" s="19" t="s">
        <v>16</v>
      </c>
    </row>
    <row r="3" spans="1:15" x14ac:dyDescent="0.25">
      <c r="A3" s="16">
        <v>43837</v>
      </c>
      <c r="B3" t="s">
        <v>15</v>
      </c>
      <c r="C3">
        <v>2</v>
      </c>
      <c r="D3" s="21">
        <v>0.63750000000000007</v>
      </c>
      <c r="E3" s="1">
        <v>0.5</v>
      </c>
      <c r="F3" s="1">
        <v>21.7</v>
      </c>
      <c r="G3" s="1">
        <v>11.7</v>
      </c>
      <c r="H3" s="1">
        <v>7.75</v>
      </c>
      <c r="I3" s="1">
        <v>7.12</v>
      </c>
      <c r="J3" s="1">
        <v>86.9</v>
      </c>
      <c r="K3" s="1">
        <v>0.5</v>
      </c>
      <c r="L3" t="s">
        <v>16</v>
      </c>
      <c r="M3" s="1" t="s">
        <v>16</v>
      </c>
      <c r="N3" s="1" t="s">
        <v>16</v>
      </c>
      <c r="O3" s="19" t="s">
        <v>16</v>
      </c>
    </row>
    <row r="4" spans="1:15" x14ac:dyDescent="0.25">
      <c r="A4" s="16">
        <v>43837</v>
      </c>
      <c r="B4" t="s">
        <v>15</v>
      </c>
      <c r="C4">
        <v>3</v>
      </c>
      <c r="D4" s="21">
        <v>0.62916666666666665</v>
      </c>
      <c r="E4" s="1">
        <v>0.5</v>
      </c>
      <c r="F4" s="1">
        <v>20</v>
      </c>
      <c r="G4" s="1">
        <v>2.2799999999999998</v>
      </c>
      <c r="H4" s="1">
        <v>8.16</v>
      </c>
      <c r="I4" s="1">
        <v>7.03</v>
      </c>
      <c r="J4" s="1">
        <v>78.099999999999994</v>
      </c>
      <c r="K4" s="1">
        <v>0.5</v>
      </c>
      <c r="L4" t="s">
        <v>16</v>
      </c>
      <c r="M4" s="1" t="s">
        <v>16</v>
      </c>
      <c r="N4" s="1" t="s">
        <v>16</v>
      </c>
      <c r="O4" s="19" t="s">
        <v>16</v>
      </c>
    </row>
    <row r="5" spans="1:15" x14ac:dyDescent="0.25">
      <c r="A5" s="16">
        <v>43837</v>
      </c>
      <c r="B5" t="s">
        <v>22</v>
      </c>
      <c r="C5">
        <v>1</v>
      </c>
      <c r="D5" s="21">
        <v>0.68194444444444446</v>
      </c>
      <c r="E5" s="1">
        <v>0.7</v>
      </c>
      <c r="F5" s="1">
        <v>22.5</v>
      </c>
      <c r="G5" s="1">
        <v>17.39</v>
      </c>
      <c r="H5" s="1">
        <v>7.98</v>
      </c>
      <c r="I5" s="1">
        <v>7.7</v>
      </c>
      <c r="J5" s="1">
        <v>98.3</v>
      </c>
      <c r="K5" s="1">
        <v>0.7</v>
      </c>
      <c r="L5" t="s">
        <v>16</v>
      </c>
      <c r="M5" s="1" t="s">
        <v>16</v>
      </c>
      <c r="N5" s="1" t="s">
        <v>16</v>
      </c>
      <c r="O5" s="19" t="s">
        <v>16</v>
      </c>
    </row>
    <row r="6" spans="1:15" x14ac:dyDescent="0.25">
      <c r="A6" s="16">
        <v>43837</v>
      </c>
      <c r="B6" t="s">
        <v>22</v>
      </c>
      <c r="C6">
        <v>2</v>
      </c>
      <c r="D6" s="21">
        <v>0.67013888888888884</v>
      </c>
      <c r="E6" s="1">
        <v>0.7</v>
      </c>
      <c r="F6" s="1">
        <v>22.9</v>
      </c>
      <c r="G6" s="1">
        <v>20.2</v>
      </c>
      <c r="H6" s="1">
        <v>7.9</v>
      </c>
      <c r="I6" s="1">
        <v>7.51</v>
      </c>
      <c r="J6" s="1">
        <v>98.3</v>
      </c>
      <c r="K6" s="1">
        <v>0.7</v>
      </c>
      <c r="L6" t="s">
        <v>16</v>
      </c>
      <c r="M6" s="1" t="s">
        <v>16</v>
      </c>
      <c r="N6" s="1" t="s">
        <v>16</v>
      </c>
      <c r="O6" s="19" t="s">
        <v>16</v>
      </c>
    </row>
    <row r="7" spans="1:15" x14ac:dyDescent="0.25">
      <c r="A7" s="16">
        <v>43837</v>
      </c>
      <c r="B7" t="s">
        <v>22</v>
      </c>
      <c r="C7">
        <v>3</v>
      </c>
      <c r="D7" s="21">
        <v>0.6743055555555556</v>
      </c>
      <c r="E7" s="1">
        <v>0.8</v>
      </c>
      <c r="F7" s="1">
        <v>22.7</v>
      </c>
      <c r="G7" s="1">
        <v>17.399999999999999</v>
      </c>
      <c r="H7" s="1">
        <v>7.98</v>
      </c>
      <c r="I7" s="1">
        <v>7.52</v>
      </c>
      <c r="J7" s="1">
        <v>95.7</v>
      </c>
      <c r="K7" s="1">
        <v>0.8</v>
      </c>
      <c r="L7" t="s">
        <v>16</v>
      </c>
      <c r="M7" s="1" t="s">
        <v>16</v>
      </c>
      <c r="N7" s="1" t="s">
        <v>16</v>
      </c>
      <c r="O7" s="19" t="s">
        <v>16</v>
      </c>
    </row>
    <row r="8" spans="1:15" x14ac:dyDescent="0.25">
      <c r="A8" s="16">
        <v>43865</v>
      </c>
      <c r="B8" t="s">
        <v>15</v>
      </c>
      <c r="C8">
        <v>1</v>
      </c>
      <c r="D8" s="21">
        <v>0.65208333333333335</v>
      </c>
      <c r="E8" s="1">
        <v>0.55000000000000004</v>
      </c>
      <c r="F8" s="1">
        <v>22.6</v>
      </c>
      <c r="G8" s="1">
        <v>16.27</v>
      </c>
      <c r="H8" s="1">
        <v>8.01</v>
      </c>
      <c r="I8" s="1">
        <v>8.07</v>
      </c>
      <c r="J8" s="1">
        <v>102.5</v>
      </c>
      <c r="K8" s="1">
        <v>0.55000000000000004</v>
      </c>
      <c r="L8" t="s">
        <v>16</v>
      </c>
      <c r="M8" s="1" t="s">
        <v>16</v>
      </c>
      <c r="N8" s="1" t="s">
        <v>16</v>
      </c>
      <c r="O8" s="19" t="s">
        <v>16</v>
      </c>
    </row>
    <row r="9" spans="1:15" x14ac:dyDescent="0.25">
      <c r="A9" s="16">
        <v>43865</v>
      </c>
      <c r="B9" t="s">
        <v>15</v>
      </c>
      <c r="C9">
        <v>2</v>
      </c>
      <c r="D9" s="21">
        <v>0.63541666666666663</v>
      </c>
      <c r="E9" s="1">
        <v>0.5</v>
      </c>
      <c r="F9" s="1">
        <v>22.2</v>
      </c>
      <c r="G9" s="1">
        <v>14.07</v>
      </c>
      <c r="H9" s="1">
        <v>8.01</v>
      </c>
      <c r="I9" s="1">
        <v>8.14</v>
      </c>
      <c r="J9" s="1">
        <v>101.5</v>
      </c>
      <c r="K9" s="1">
        <v>0.5</v>
      </c>
      <c r="L9" t="s">
        <v>16</v>
      </c>
      <c r="M9" s="1" t="s">
        <v>16</v>
      </c>
      <c r="N9" s="1" t="s">
        <v>16</v>
      </c>
      <c r="O9" s="19" t="s">
        <v>16</v>
      </c>
    </row>
    <row r="10" spans="1:15" x14ac:dyDescent="0.25">
      <c r="A10" s="16">
        <v>43865</v>
      </c>
      <c r="B10" t="s">
        <v>15</v>
      </c>
      <c r="C10">
        <v>3</v>
      </c>
      <c r="D10" s="21">
        <v>0.62638888888888888</v>
      </c>
      <c r="E10" s="1">
        <v>0.8</v>
      </c>
      <c r="F10" s="1">
        <v>21.3</v>
      </c>
      <c r="G10" s="1">
        <v>11.63</v>
      </c>
      <c r="H10" s="1">
        <v>7.91</v>
      </c>
      <c r="I10" s="1">
        <v>7.5</v>
      </c>
      <c r="J10" s="1">
        <v>90.3</v>
      </c>
      <c r="K10" s="1">
        <v>0.8</v>
      </c>
      <c r="L10" t="s">
        <v>16</v>
      </c>
      <c r="M10" s="1" t="s">
        <v>16</v>
      </c>
      <c r="N10" s="1" t="s">
        <v>16</v>
      </c>
      <c r="O10" s="19" t="s">
        <v>16</v>
      </c>
    </row>
    <row r="11" spans="1:15" x14ac:dyDescent="0.25">
      <c r="A11" s="16">
        <v>43865</v>
      </c>
      <c r="B11" t="s">
        <v>22</v>
      </c>
      <c r="C11">
        <v>1</v>
      </c>
      <c r="D11" s="21">
        <v>0.68125000000000002</v>
      </c>
      <c r="E11" s="1">
        <v>1</v>
      </c>
      <c r="F11" s="1">
        <v>24.2</v>
      </c>
      <c r="G11" s="1">
        <v>23.48</v>
      </c>
      <c r="H11" s="1">
        <v>7.95</v>
      </c>
      <c r="I11" s="1">
        <v>7.65</v>
      </c>
      <c r="J11" s="1">
        <v>104.5</v>
      </c>
      <c r="K11" s="1">
        <v>1</v>
      </c>
      <c r="L11" t="s">
        <v>16</v>
      </c>
      <c r="M11" s="1" t="s">
        <v>16</v>
      </c>
      <c r="N11" s="1" t="s">
        <v>16</v>
      </c>
      <c r="O11" s="19" t="s">
        <v>16</v>
      </c>
    </row>
    <row r="12" spans="1:15" x14ac:dyDescent="0.25">
      <c r="A12" s="16">
        <v>43865</v>
      </c>
      <c r="B12" t="s">
        <v>22</v>
      </c>
      <c r="C12">
        <v>2</v>
      </c>
      <c r="D12" s="21">
        <v>0.6645833333333333</v>
      </c>
      <c r="E12" s="1">
        <v>0.85</v>
      </c>
      <c r="F12" s="1">
        <v>23.9</v>
      </c>
      <c r="G12" s="1">
        <v>19.68</v>
      </c>
      <c r="H12" s="1">
        <v>7.97</v>
      </c>
      <c r="I12" s="1">
        <v>7.76</v>
      </c>
      <c r="J12" s="1">
        <v>98.3</v>
      </c>
      <c r="K12" s="1">
        <v>0.85</v>
      </c>
      <c r="L12" t="s">
        <v>16</v>
      </c>
      <c r="M12" s="1" t="s">
        <v>16</v>
      </c>
      <c r="N12" s="1" t="s">
        <v>16</v>
      </c>
      <c r="O12" s="19" t="s">
        <v>16</v>
      </c>
    </row>
    <row r="13" spans="1:15" x14ac:dyDescent="0.25">
      <c r="A13" s="16">
        <v>43865</v>
      </c>
      <c r="B13" t="s">
        <v>22</v>
      </c>
      <c r="C13">
        <v>3</v>
      </c>
      <c r="D13" s="21">
        <v>0.67222222222222217</v>
      </c>
      <c r="E13" s="1">
        <v>0.9</v>
      </c>
      <c r="F13" s="1">
        <v>23.8</v>
      </c>
      <c r="G13" s="1">
        <v>16.36</v>
      </c>
      <c r="H13" s="1">
        <v>7.9</v>
      </c>
      <c r="I13" s="1">
        <v>7.343</v>
      </c>
      <c r="J13" s="1">
        <v>96.5</v>
      </c>
      <c r="K13" s="1">
        <v>0.9</v>
      </c>
      <c r="L13" t="s">
        <v>16</v>
      </c>
      <c r="M13" s="1" t="s">
        <v>16</v>
      </c>
      <c r="N13" s="1" t="s">
        <v>16</v>
      </c>
      <c r="O13" s="19" t="s">
        <v>16</v>
      </c>
    </row>
    <row r="14" spans="1:15" x14ac:dyDescent="0.25">
      <c r="A14" s="16">
        <v>43894</v>
      </c>
      <c r="B14" t="s">
        <v>15</v>
      </c>
      <c r="C14">
        <v>1</v>
      </c>
      <c r="D14" s="21">
        <v>0.34791666666666665</v>
      </c>
      <c r="E14" s="1">
        <v>0.6</v>
      </c>
      <c r="F14" s="1">
        <v>22.3</v>
      </c>
      <c r="G14" s="1">
        <v>21.1</v>
      </c>
      <c r="H14" s="1">
        <v>8.08</v>
      </c>
      <c r="I14" s="1">
        <v>6.32</v>
      </c>
      <c r="J14" s="1">
        <v>81.900000000000006</v>
      </c>
      <c r="K14" s="1">
        <v>0.6</v>
      </c>
      <c r="L14" t="s">
        <v>16</v>
      </c>
      <c r="M14" s="1" t="s">
        <v>16</v>
      </c>
      <c r="N14" s="1" t="s">
        <v>16</v>
      </c>
      <c r="O14" s="19" t="s">
        <v>16</v>
      </c>
    </row>
    <row r="15" spans="1:15" x14ac:dyDescent="0.25">
      <c r="A15" s="16">
        <v>43894</v>
      </c>
      <c r="B15" t="s">
        <v>15</v>
      </c>
      <c r="C15">
        <v>2</v>
      </c>
      <c r="D15" s="21">
        <v>0.31666666666666665</v>
      </c>
      <c r="E15" s="1">
        <v>0.5</v>
      </c>
      <c r="F15" s="1">
        <v>21.8</v>
      </c>
      <c r="G15" s="1">
        <v>19.239999999999998</v>
      </c>
      <c r="H15" s="1">
        <v>8.17</v>
      </c>
      <c r="I15" s="1">
        <v>6.71</v>
      </c>
      <c r="J15" s="1">
        <v>85.7</v>
      </c>
      <c r="K15" s="1">
        <v>0.5</v>
      </c>
      <c r="L15" t="s">
        <v>16</v>
      </c>
      <c r="M15" s="1" t="s">
        <v>16</v>
      </c>
      <c r="N15" s="1" t="s">
        <v>16</v>
      </c>
      <c r="O15" s="19" t="s">
        <v>16</v>
      </c>
    </row>
    <row r="16" spans="1:15" x14ac:dyDescent="0.25">
      <c r="A16" s="16">
        <v>43894</v>
      </c>
      <c r="B16" t="s">
        <v>15</v>
      </c>
      <c r="C16">
        <v>3</v>
      </c>
      <c r="D16" s="21">
        <v>0.37847222222222227</v>
      </c>
      <c r="E16" s="1">
        <v>0.7</v>
      </c>
      <c r="F16" s="1">
        <v>21.8</v>
      </c>
      <c r="G16" s="1">
        <v>10.66</v>
      </c>
      <c r="H16" s="1">
        <v>8.0500000000000007</v>
      </c>
      <c r="I16" s="1">
        <v>6.94</v>
      </c>
      <c r="J16" s="1">
        <v>84</v>
      </c>
      <c r="K16" s="1">
        <v>0.7</v>
      </c>
      <c r="L16" t="s">
        <v>16</v>
      </c>
      <c r="M16" s="1" t="s">
        <v>16</v>
      </c>
      <c r="N16" s="1" t="s">
        <v>16</v>
      </c>
      <c r="O16" s="19" t="s">
        <v>16</v>
      </c>
    </row>
    <row r="17" spans="1:15" x14ac:dyDescent="0.25">
      <c r="A17" s="16">
        <v>43893</v>
      </c>
      <c r="B17" t="s">
        <v>22</v>
      </c>
      <c r="C17">
        <v>1</v>
      </c>
      <c r="D17" s="21">
        <v>0.70972222222222225</v>
      </c>
      <c r="E17" s="1">
        <v>0.5</v>
      </c>
      <c r="F17" s="1">
        <v>24.4</v>
      </c>
      <c r="G17" s="1">
        <v>30.42</v>
      </c>
      <c r="H17" s="1">
        <v>8.2899999999999991</v>
      </c>
      <c r="I17" s="1">
        <v>9.9499999999999993</v>
      </c>
      <c r="J17" s="1">
        <v>141.69999999999999</v>
      </c>
      <c r="K17" s="1">
        <v>0.5</v>
      </c>
      <c r="L17" t="s">
        <v>16</v>
      </c>
      <c r="M17" s="1" t="s">
        <v>16</v>
      </c>
      <c r="N17" s="1" t="s">
        <v>16</v>
      </c>
      <c r="O17" s="19" t="s">
        <v>16</v>
      </c>
    </row>
    <row r="18" spans="1:15" x14ac:dyDescent="0.25">
      <c r="A18" s="16">
        <v>43893</v>
      </c>
      <c r="B18" t="s">
        <v>22</v>
      </c>
      <c r="C18">
        <v>2</v>
      </c>
      <c r="D18" s="21">
        <v>0.66875000000000007</v>
      </c>
      <c r="E18" s="1">
        <v>0.7</v>
      </c>
      <c r="F18" s="1">
        <v>24.7</v>
      </c>
      <c r="G18" s="1">
        <v>28.81</v>
      </c>
      <c r="H18" s="1">
        <v>8.18</v>
      </c>
      <c r="I18" s="1">
        <v>10.16</v>
      </c>
      <c r="J18" s="1">
        <v>144</v>
      </c>
      <c r="K18" s="1">
        <v>0.7</v>
      </c>
      <c r="L18" t="s">
        <v>16</v>
      </c>
      <c r="M18" s="1" t="s">
        <v>16</v>
      </c>
      <c r="N18" s="1" t="s">
        <v>16</v>
      </c>
      <c r="O18" s="19" t="s">
        <v>16</v>
      </c>
    </row>
    <row r="19" spans="1:15" x14ac:dyDescent="0.25">
      <c r="A19" s="16">
        <v>43893</v>
      </c>
      <c r="B19" t="s">
        <v>22</v>
      </c>
      <c r="C19">
        <v>3</v>
      </c>
      <c r="D19" s="21">
        <v>0.69166666666666676</v>
      </c>
      <c r="E19" s="1">
        <v>0.6</v>
      </c>
      <c r="F19" s="1">
        <v>24.3</v>
      </c>
      <c r="G19" s="1">
        <v>30.28</v>
      </c>
      <c r="H19" s="1">
        <v>8.3000000000000007</v>
      </c>
      <c r="I19" s="1">
        <v>10.14</v>
      </c>
      <c r="J19" s="1">
        <v>144.19999999999999</v>
      </c>
      <c r="K19" s="1">
        <v>0.6</v>
      </c>
      <c r="L19" t="s">
        <v>16</v>
      </c>
      <c r="M19" s="1" t="s">
        <v>16</v>
      </c>
      <c r="N19" s="1" t="s">
        <v>16</v>
      </c>
      <c r="O19" s="19" t="s">
        <v>16</v>
      </c>
    </row>
    <row r="20" spans="1:15" x14ac:dyDescent="0.25">
      <c r="A20" s="16">
        <v>43937</v>
      </c>
      <c r="B20" t="s">
        <v>15</v>
      </c>
      <c r="C20">
        <v>1</v>
      </c>
      <c r="D20" s="21">
        <v>0.46388888888888885</v>
      </c>
      <c r="E20" s="1">
        <v>0.7</v>
      </c>
      <c r="F20" s="1">
        <v>28.8</v>
      </c>
      <c r="G20" s="1">
        <v>26.26</v>
      </c>
      <c r="H20" s="1" t="s">
        <v>16</v>
      </c>
      <c r="I20" s="1">
        <v>5.31</v>
      </c>
      <c r="J20" s="1">
        <v>79.3</v>
      </c>
      <c r="K20" s="1">
        <v>0.7</v>
      </c>
      <c r="L20" t="s">
        <v>16</v>
      </c>
      <c r="M20" s="1" t="s">
        <v>16</v>
      </c>
      <c r="N20" s="1" t="s">
        <v>16</v>
      </c>
      <c r="O20" s="19" t="s">
        <v>16</v>
      </c>
    </row>
    <row r="21" spans="1:15" x14ac:dyDescent="0.25">
      <c r="A21" s="16">
        <v>43937</v>
      </c>
      <c r="B21" t="s">
        <v>15</v>
      </c>
      <c r="C21">
        <v>2</v>
      </c>
      <c r="D21" s="21">
        <v>0.44861111111111113</v>
      </c>
      <c r="E21" s="1">
        <v>0.6</v>
      </c>
      <c r="F21" s="1">
        <v>28.6</v>
      </c>
      <c r="G21" s="1">
        <v>26.49</v>
      </c>
      <c r="H21" s="1" t="s">
        <v>16</v>
      </c>
      <c r="I21" s="1">
        <v>5.15</v>
      </c>
      <c r="J21" s="1">
        <v>76.900000000000006</v>
      </c>
      <c r="K21" s="1">
        <v>0.6</v>
      </c>
      <c r="L21" t="s">
        <v>16</v>
      </c>
      <c r="M21" s="1" t="s">
        <v>16</v>
      </c>
      <c r="N21" s="1" t="s">
        <v>16</v>
      </c>
      <c r="O21" s="19" t="s">
        <v>16</v>
      </c>
    </row>
    <row r="22" spans="1:15" x14ac:dyDescent="0.25">
      <c r="A22" s="16">
        <v>43937</v>
      </c>
      <c r="B22" t="s">
        <v>15</v>
      </c>
      <c r="C22">
        <v>3</v>
      </c>
      <c r="D22" s="21">
        <v>0.44027777777777777</v>
      </c>
      <c r="E22" s="1">
        <v>0.6</v>
      </c>
      <c r="F22" s="1">
        <v>28.7</v>
      </c>
      <c r="G22" s="1">
        <v>21.9</v>
      </c>
      <c r="H22" s="1" t="s">
        <v>16</v>
      </c>
      <c r="I22" s="1">
        <v>5.05</v>
      </c>
      <c r="J22" s="1">
        <v>73.7</v>
      </c>
      <c r="K22" s="1">
        <v>0.6</v>
      </c>
      <c r="L22" t="s">
        <v>16</v>
      </c>
      <c r="M22" s="1" t="s">
        <v>16</v>
      </c>
      <c r="N22" s="1" t="s">
        <v>16</v>
      </c>
      <c r="O22" s="19" t="s">
        <v>16</v>
      </c>
    </row>
    <row r="23" spans="1:15" x14ac:dyDescent="0.25">
      <c r="A23" s="16">
        <v>43937</v>
      </c>
      <c r="B23" t="s">
        <v>22</v>
      </c>
      <c r="C23">
        <v>1</v>
      </c>
      <c r="D23" s="21">
        <v>0.48125000000000001</v>
      </c>
      <c r="E23" s="1">
        <v>0.5</v>
      </c>
      <c r="F23" s="1">
        <v>28.6</v>
      </c>
      <c r="G23" s="1">
        <v>32.840000000000003</v>
      </c>
      <c r="H23" s="1" t="s">
        <v>16</v>
      </c>
      <c r="I23" s="1">
        <v>4.6500000000000004</v>
      </c>
      <c r="J23" s="1">
        <v>72.099999999999994</v>
      </c>
      <c r="K23" s="1">
        <v>0.5</v>
      </c>
      <c r="L23" t="s">
        <v>16</v>
      </c>
      <c r="M23" s="1" t="s">
        <v>16</v>
      </c>
      <c r="N23" s="1" t="s">
        <v>16</v>
      </c>
      <c r="O23" s="19" t="s">
        <v>16</v>
      </c>
    </row>
    <row r="24" spans="1:15" x14ac:dyDescent="0.25">
      <c r="A24" s="16">
        <v>43937</v>
      </c>
      <c r="B24" t="s">
        <v>22</v>
      </c>
      <c r="C24">
        <v>2</v>
      </c>
      <c r="D24" s="21">
        <v>0.49652777777777773</v>
      </c>
      <c r="E24" s="1">
        <v>0.4</v>
      </c>
      <c r="F24" s="1">
        <v>28.7</v>
      </c>
      <c r="G24" s="1">
        <v>33.299999999999997</v>
      </c>
      <c r="H24" s="1" t="s">
        <v>16</v>
      </c>
      <c r="I24" s="1">
        <v>5.0999999999999996</v>
      </c>
      <c r="J24" s="1">
        <v>79.400000000000006</v>
      </c>
      <c r="K24" s="1">
        <v>0.4</v>
      </c>
      <c r="L24" t="s">
        <v>16</v>
      </c>
      <c r="M24" s="1" t="s">
        <v>16</v>
      </c>
      <c r="N24" s="1" t="s">
        <v>16</v>
      </c>
      <c r="O24" s="19" t="s">
        <v>16</v>
      </c>
    </row>
    <row r="25" spans="1:15" x14ac:dyDescent="0.25">
      <c r="A25" s="16">
        <v>43937</v>
      </c>
      <c r="B25" t="s">
        <v>22</v>
      </c>
      <c r="C25">
        <v>3</v>
      </c>
      <c r="D25" s="21">
        <v>0.48958333333333331</v>
      </c>
      <c r="E25" s="1">
        <v>0.3</v>
      </c>
      <c r="F25" s="1">
        <v>29.3</v>
      </c>
      <c r="G25" s="1">
        <v>33.07</v>
      </c>
      <c r="H25" s="1" t="s">
        <v>16</v>
      </c>
      <c r="I25" s="1">
        <v>6.34</v>
      </c>
      <c r="J25" s="1">
        <v>99.5</v>
      </c>
      <c r="K25" s="1">
        <v>0.3</v>
      </c>
      <c r="L25" t="s">
        <v>16</v>
      </c>
      <c r="M25" s="1" t="s">
        <v>16</v>
      </c>
      <c r="N25" s="1" t="s">
        <v>16</v>
      </c>
      <c r="O25" s="19" t="s">
        <v>16</v>
      </c>
    </row>
    <row r="26" spans="1:15" x14ac:dyDescent="0.25">
      <c r="A26" s="16">
        <v>43965</v>
      </c>
      <c r="B26" t="s">
        <v>15</v>
      </c>
      <c r="C26">
        <v>1</v>
      </c>
      <c r="D26" s="21">
        <v>0.41875000000000001</v>
      </c>
      <c r="E26" s="1">
        <v>0.67</v>
      </c>
      <c r="F26" s="1">
        <v>25.2</v>
      </c>
      <c r="G26" s="1">
        <v>28.4</v>
      </c>
      <c r="H26" s="1">
        <v>7.79</v>
      </c>
      <c r="I26" s="1">
        <v>5.4</v>
      </c>
      <c r="J26" s="1">
        <v>77.099999999999994</v>
      </c>
      <c r="K26" s="1">
        <v>0.67</v>
      </c>
      <c r="L26" t="s">
        <v>16</v>
      </c>
      <c r="M26" s="1" t="s">
        <v>16</v>
      </c>
      <c r="N26" s="1" t="s">
        <v>16</v>
      </c>
      <c r="O26" s="19" t="s">
        <v>16</v>
      </c>
    </row>
    <row r="27" spans="1:15" x14ac:dyDescent="0.25">
      <c r="A27" s="16">
        <v>43965</v>
      </c>
      <c r="B27" t="s">
        <v>15</v>
      </c>
      <c r="C27">
        <v>2</v>
      </c>
      <c r="D27" s="21">
        <v>0.44027777777777777</v>
      </c>
      <c r="E27" s="1">
        <v>0.45</v>
      </c>
      <c r="F27" s="1">
        <v>25.6</v>
      </c>
      <c r="G27" s="1">
        <v>27.61</v>
      </c>
      <c r="H27" s="1">
        <v>7.74</v>
      </c>
      <c r="I27" s="1">
        <v>5.1100000000000003</v>
      </c>
      <c r="J27" s="1">
        <v>73.099999999999994</v>
      </c>
      <c r="K27" s="1">
        <v>0.45</v>
      </c>
      <c r="L27" t="s">
        <v>16</v>
      </c>
      <c r="M27" s="1" t="s">
        <v>16</v>
      </c>
      <c r="N27" s="1" t="s">
        <v>16</v>
      </c>
      <c r="O27" s="19" t="s">
        <v>16</v>
      </c>
    </row>
    <row r="28" spans="1:15" x14ac:dyDescent="0.25">
      <c r="A28" s="16">
        <v>43965</v>
      </c>
      <c r="B28" t="s">
        <v>15</v>
      </c>
      <c r="C28">
        <v>3</v>
      </c>
      <c r="D28" s="21">
        <v>0.43194444444444446</v>
      </c>
      <c r="E28" s="1">
        <v>0.78</v>
      </c>
      <c r="F28" s="1">
        <v>25.6</v>
      </c>
      <c r="G28" s="1">
        <v>25.38</v>
      </c>
      <c r="H28" s="1">
        <v>7.7</v>
      </c>
      <c r="I28" s="1">
        <v>4.78</v>
      </c>
      <c r="J28" s="1">
        <v>67.7</v>
      </c>
      <c r="K28" s="1">
        <v>0.78</v>
      </c>
      <c r="L28" t="s">
        <v>16</v>
      </c>
      <c r="M28" s="1" t="s">
        <v>16</v>
      </c>
      <c r="N28" s="1" t="s">
        <v>16</v>
      </c>
      <c r="O28" s="19" t="s">
        <v>16</v>
      </c>
    </row>
    <row r="29" spans="1:15" x14ac:dyDescent="0.25">
      <c r="A29" s="16">
        <v>43965</v>
      </c>
      <c r="B29" t="s">
        <v>22</v>
      </c>
      <c r="C29">
        <v>1</v>
      </c>
      <c r="D29" s="21">
        <v>0.46388888888888885</v>
      </c>
      <c r="E29" s="1">
        <v>0.55000000000000004</v>
      </c>
      <c r="F29" s="1">
        <v>25.1</v>
      </c>
      <c r="G29" s="1">
        <v>31.98</v>
      </c>
      <c r="H29" s="1">
        <v>7.66</v>
      </c>
      <c r="I29" s="1">
        <v>4.49</v>
      </c>
      <c r="J29" s="1">
        <v>65.2</v>
      </c>
      <c r="K29" s="1">
        <v>0.55000000000000004</v>
      </c>
      <c r="L29" t="s">
        <v>16</v>
      </c>
      <c r="M29" s="1" t="s">
        <v>16</v>
      </c>
      <c r="N29" s="1" t="s">
        <v>16</v>
      </c>
      <c r="O29" s="19" t="s">
        <v>16</v>
      </c>
    </row>
    <row r="30" spans="1:15" x14ac:dyDescent="0.25">
      <c r="A30" s="16">
        <v>43965</v>
      </c>
      <c r="B30" t="s">
        <v>22</v>
      </c>
      <c r="C30">
        <v>2</v>
      </c>
      <c r="D30" s="21">
        <v>0.48472222222222222</v>
      </c>
      <c r="E30" s="1">
        <v>0.8</v>
      </c>
      <c r="F30" s="1">
        <v>25.1</v>
      </c>
      <c r="G30" s="1">
        <v>32.39</v>
      </c>
      <c r="H30" s="1">
        <v>7.75</v>
      </c>
      <c r="I30" s="1">
        <v>5.44</v>
      </c>
      <c r="J30" s="1">
        <v>79.099999999999994</v>
      </c>
      <c r="K30" s="1">
        <v>0.65</v>
      </c>
      <c r="L30" t="s">
        <v>16</v>
      </c>
      <c r="M30" s="1" t="s">
        <v>16</v>
      </c>
      <c r="N30" s="1" t="s">
        <v>16</v>
      </c>
      <c r="O30" s="19" t="s">
        <v>16</v>
      </c>
    </row>
    <row r="31" spans="1:15" x14ac:dyDescent="0.25">
      <c r="A31" s="16">
        <v>43965</v>
      </c>
      <c r="B31" t="s">
        <v>22</v>
      </c>
      <c r="C31">
        <v>3</v>
      </c>
      <c r="D31" s="21">
        <v>0.4770833333333333</v>
      </c>
      <c r="E31" s="1">
        <v>0.45</v>
      </c>
      <c r="F31" s="1">
        <v>25.1</v>
      </c>
      <c r="G31" s="1">
        <v>32.65</v>
      </c>
      <c r="H31" s="1">
        <v>7.75</v>
      </c>
      <c r="I31" s="1">
        <v>5.45</v>
      </c>
      <c r="J31" s="1">
        <v>80.099999999999994</v>
      </c>
      <c r="K31" s="1">
        <v>0.45</v>
      </c>
      <c r="L31" t="s">
        <v>16</v>
      </c>
      <c r="M31" s="1" t="s">
        <v>16</v>
      </c>
      <c r="N31" s="1" t="s">
        <v>16</v>
      </c>
      <c r="O31" s="19" t="s">
        <v>16</v>
      </c>
    </row>
    <row r="32" spans="1:15" x14ac:dyDescent="0.25">
      <c r="A32" s="16">
        <v>43994</v>
      </c>
      <c r="B32" t="s">
        <v>15</v>
      </c>
      <c r="C32">
        <v>1</v>
      </c>
      <c r="D32" s="21">
        <v>0.57222222222222219</v>
      </c>
      <c r="E32" s="1">
        <v>1</v>
      </c>
      <c r="F32" s="1">
        <v>30.4</v>
      </c>
      <c r="G32" s="1">
        <v>1.17</v>
      </c>
      <c r="H32" s="1">
        <v>7.58</v>
      </c>
      <c r="I32" s="1">
        <v>5.31</v>
      </c>
      <c r="J32" s="1">
        <v>70.900000000000006</v>
      </c>
      <c r="K32" s="1">
        <v>0.9</v>
      </c>
      <c r="L32" t="s">
        <v>16</v>
      </c>
      <c r="M32" s="1" t="s">
        <v>16</v>
      </c>
      <c r="N32" s="1" t="s">
        <v>16</v>
      </c>
      <c r="O32" s="19" t="s">
        <v>16</v>
      </c>
    </row>
    <row r="33" spans="1:15" x14ac:dyDescent="0.25">
      <c r="A33" s="16">
        <v>43994</v>
      </c>
      <c r="B33" t="s">
        <v>15</v>
      </c>
      <c r="C33">
        <v>2</v>
      </c>
      <c r="D33" s="21">
        <v>0.57777777777777783</v>
      </c>
      <c r="E33" s="1">
        <v>0.5</v>
      </c>
      <c r="F33" s="1">
        <v>30.5</v>
      </c>
      <c r="G33" s="1">
        <v>1.07</v>
      </c>
      <c r="H33" s="1">
        <v>7.56</v>
      </c>
      <c r="I33" s="1">
        <v>5.16</v>
      </c>
      <c r="J33" s="1">
        <v>69.3</v>
      </c>
      <c r="K33" s="1">
        <v>0.5</v>
      </c>
      <c r="L33" t="s">
        <v>16</v>
      </c>
      <c r="M33" s="1" t="s">
        <v>16</v>
      </c>
      <c r="N33" s="1" t="s">
        <v>16</v>
      </c>
      <c r="O33" s="19" t="s">
        <v>16</v>
      </c>
    </row>
    <row r="34" spans="1:15" x14ac:dyDescent="0.25">
      <c r="A34" s="16">
        <v>43994</v>
      </c>
      <c r="B34" t="s">
        <v>15</v>
      </c>
      <c r="C34">
        <v>3</v>
      </c>
      <c r="D34" s="21">
        <v>0.56388888888888888</v>
      </c>
      <c r="E34" s="1">
        <v>0.5</v>
      </c>
      <c r="F34" s="1">
        <v>30.2</v>
      </c>
      <c r="G34" s="1">
        <v>0.73</v>
      </c>
      <c r="H34" s="1">
        <v>7.82</v>
      </c>
      <c r="I34" s="1">
        <v>4.41</v>
      </c>
      <c r="J34" s="1">
        <v>58.7</v>
      </c>
      <c r="K34" s="1">
        <v>0.5</v>
      </c>
      <c r="L34" t="s">
        <v>16</v>
      </c>
      <c r="M34" s="1" t="s">
        <v>16</v>
      </c>
      <c r="N34" s="1" t="s">
        <v>16</v>
      </c>
      <c r="O34" s="19" t="s">
        <v>16</v>
      </c>
    </row>
    <row r="35" spans="1:15" x14ac:dyDescent="0.25">
      <c r="A35" s="16">
        <v>43994</v>
      </c>
      <c r="B35" t="s">
        <v>22</v>
      </c>
      <c r="C35">
        <v>1</v>
      </c>
      <c r="D35" s="21">
        <v>0.61597222222222225</v>
      </c>
      <c r="E35" s="1">
        <v>0.75</v>
      </c>
      <c r="F35" s="1">
        <v>31</v>
      </c>
      <c r="G35" s="1">
        <v>5.76</v>
      </c>
      <c r="H35" s="1">
        <v>7.85</v>
      </c>
      <c r="I35" s="1">
        <v>6.65</v>
      </c>
      <c r="J35" s="1">
        <v>92.5</v>
      </c>
      <c r="K35" s="1">
        <v>0.75</v>
      </c>
      <c r="L35" t="s">
        <v>16</v>
      </c>
      <c r="M35" s="1" t="s">
        <v>16</v>
      </c>
      <c r="N35" s="1" t="s">
        <v>16</v>
      </c>
      <c r="O35" s="19" t="s">
        <v>16</v>
      </c>
    </row>
    <row r="36" spans="1:15" x14ac:dyDescent="0.25">
      <c r="A36" s="16">
        <v>43994</v>
      </c>
      <c r="B36" t="s">
        <v>22</v>
      </c>
      <c r="C36">
        <v>2</v>
      </c>
      <c r="D36" s="21">
        <v>0.6020833333333333</v>
      </c>
      <c r="E36" s="1">
        <v>0.9</v>
      </c>
      <c r="F36" s="1">
        <v>31</v>
      </c>
      <c r="G36" s="1">
        <v>5.5</v>
      </c>
      <c r="H36" s="1">
        <v>7.51</v>
      </c>
      <c r="I36" s="1">
        <v>7.25</v>
      </c>
      <c r="J36" s="1">
        <v>100.4</v>
      </c>
      <c r="K36" s="1">
        <v>0.9</v>
      </c>
      <c r="L36" t="s">
        <v>16</v>
      </c>
      <c r="M36" s="1" t="s">
        <v>16</v>
      </c>
      <c r="N36" s="1" t="s">
        <v>16</v>
      </c>
      <c r="O36" s="19" t="s">
        <v>16</v>
      </c>
    </row>
    <row r="37" spans="1:15" x14ac:dyDescent="0.25">
      <c r="A37" s="16">
        <v>43994</v>
      </c>
      <c r="B37" t="s">
        <v>22</v>
      </c>
      <c r="C37">
        <v>3</v>
      </c>
      <c r="D37" s="21">
        <v>0.6069444444444444</v>
      </c>
      <c r="E37" s="1">
        <v>0.85</v>
      </c>
      <c r="F37" s="1">
        <v>30.9</v>
      </c>
      <c r="G37" s="1">
        <v>5.67</v>
      </c>
      <c r="H37" s="1">
        <v>7.72</v>
      </c>
      <c r="I37" s="1">
        <v>5.68</v>
      </c>
      <c r="J37" s="1">
        <v>99.2</v>
      </c>
      <c r="K37" s="1">
        <v>0.85</v>
      </c>
      <c r="L37" t="s">
        <v>16</v>
      </c>
      <c r="M37" s="1" t="s">
        <v>16</v>
      </c>
      <c r="N37" s="1" t="s">
        <v>16</v>
      </c>
      <c r="O37" s="19" t="s">
        <v>16</v>
      </c>
    </row>
    <row r="38" spans="1:15" x14ac:dyDescent="0.25">
      <c r="A38" s="16">
        <v>44036</v>
      </c>
      <c r="B38" t="s">
        <v>15</v>
      </c>
      <c r="C38">
        <v>1</v>
      </c>
      <c r="D38" s="21">
        <v>0.64027777777777783</v>
      </c>
      <c r="E38" s="1">
        <v>0.7</v>
      </c>
      <c r="F38" s="1">
        <v>30.5</v>
      </c>
      <c r="G38" s="1">
        <v>3.81</v>
      </c>
      <c r="H38" s="1">
        <v>8.66</v>
      </c>
      <c r="I38" s="1">
        <v>6.4</v>
      </c>
      <c r="J38" s="1">
        <v>87.1</v>
      </c>
      <c r="K38" s="1">
        <v>0.7</v>
      </c>
      <c r="L38" t="s">
        <v>16</v>
      </c>
      <c r="M38" s="1" t="s">
        <v>16</v>
      </c>
      <c r="N38" s="1" t="s">
        <v>16</v>
      </c>
      <c r="O38" s="19" t="s">
        <v>16</v>
      </c>
    </row>
    <row r="39" spans="1:15" x14ac:dyDescent="0.25">
      <c r="A39" s="16">
        <v>44036</v>
      </c>
      <c r="B39" t="s">
        <v>15</v>
      </c>
      <c r="C39">
        <v>2</v>
      </c>
      <c r="D39" s="21">
        <v>0.62152777777777779</v>
      </c>
      <c r="E39" s="1">
        <v>0.7</v>
      </c>
      <c r="F39" s="1">
        <v>30.1</v>
      </c>
      <c r="G39" s="1">
        <v>5.25</v>
      </c>
      <c r="H39" s="1">
        <v>8.35</v>
      </c>
      <c r="I39" s="1">
        <v>6.78</v>
      </c>
      <c r="J39" s="1">
        <v>92.4</v>
      </c>
      <c r="K39" s="1">
        <v>0.7</v>
      </c>
      <c r="L39" t="s">
        <v>16</v>
      </c>
      <c r="M39" s="1" t="s">
        <v>16</v>
      </c>
      <c r="N39" s="1" t="s">
        <v>16</v>
      </c>
      <c r="O39" s="19" t="s">
        <v>16</v>
      </c>
    </row>
    <row r="40" spans="1:15" x14ac:dyDescent="0.25">
      <c r="A40" s="16">
        <v>44036</v>
      </c>
      <c r="B40" t="s">
        <v>15</v>
      </c>
      <c r="C40">
        <v>3</v>
      </c>
      <c r="D40" s="21">
        <v>0.64583333333333337</v>
      </c>
      <c r="E40" s="1">
        <v>0.5</v>
      </c>
      <c r="F40" s="1">
        <v>29.5</v>
      </c>
      <c r="G40" s="1">
        <v>2.78</v>
      </c>
      <c r="H40" s="1">
        <v>8.34</v>
      </c>
      <c r="I40" s="1">
        <v>5.96</v>
      </c>
      <c r="J40" s="1">
        <v>79.3</v>
      </c>
      <c r="K40" s="1">
        <v>0.5</v>
      </c>
      <c r="L40" t="s">
        <v>16</v>
      </c>
      <c r="M40" s="1" t="s">
        <v>16</v>
      </c>
      <c r="N40" s="1" t="s">
        <v>16</v>
      </c>
      <c r="O40" s="19" t="s">
        <v>16</v>
      </c>
    </row>
    <row r="41" spans="1:15" x14ac:dyDescent="0.25">
      <c r="A41" s="16">
        <v>44036</v>
      </c>
      <c r="B41" t="s">
        <v>22</v>
      </c>
      <c r="C41">
        <v>1</v>
      </c>
      <c r="D41" s="21">
        <v>0.67222222222222217</v>
      </c>
      <c r="E41" s="1">
        <v>0.7</v>
      </c>
      <c r="F41" s="1">
        <v>31</v>
      </c>
      <c r="G41" s="1">
        <v>12.55</v>
      </c>
      <c r="H41" s="1">
        <v>8.2899999999999991</v>
      </c>
      <c r="I41" s="1">
        <v>8.07</v>
      </c>
      <c r="J41" s="1">
        <v>116.2</v>
      </c>
      <c r="K41" s="1">
        <v>0.7</v>
      </c>
      <c r="L41" t="s">
        <v>16</v>
      </c>
      <c r="M41" s="1" t="s">
        <v>16</v>
      </c>
      <c r="N41" s="1" t="s">
        <v>16</v>
      </c>
      <c r="O41" s="19" t="s">
        <v>16</v>
      </c>
    </row>
    <row r="42" spans="1:15" x14ac:dyDescent="0.25">
      <c r="A42" s="16">
        <v>44036</v>
      </c>
      <c r="B42" t="s">
        <v>22</v>
      </c>
      <c r="C42">
        <v>2</v>
      </c>
      <c r="D42" s="21">
        <v>0.65902777777777777</v>
      </c>
      <c r="E42" s="1">
        <v>0.6</v>
      </c>
      <c r="F42" s="1">
        <v>31</v>
      </c>
      <c r="G42" s="1">
        <v>12.07</v>
      </c>
      <c r="H42" s="1">
        <v>8.0500000000000007</v>
      </c>
      <c r="I42" s="1">
        <v>7.51</v>
      </c>
      <c r="J42" s="1">
        <v>107.8</v>
      </c>
      <c r="K42" s="1">
        <v>0.6</v>
      </c>
      <c r="L42" t="s">
        <v>16</v>
      </c>
      <c r="M42" s="1" t="s">
        <v>16</v>
      </c>
      <c r="N42" s="1" t="s">
        <v>16</v>
      </c>
      <c r="O42" s="19" t="s">
        <v>16</v>
      </c>
    </row>
    <row r="43" spans="1:15" x14ac:dyDescent="0.25">
      <c r="A43" s="16">
        <v>44036</v>
      </c>
      <c r="B43" t="s">
        <v>22</v>
      </c>
      <c r="C43">
        <v>3</v>
      </c>
      <c r="D43" s="21">
        <v>0.6645833333333333</v>
      </c>
      <c r="E43" s="1">
        <v>0.6</v>
      </c>
      <c r="F43" s="1">
        <v>31.5</v>
      </c>
      <c r="G43" s="1">
        <v>12.33</v>
      </c>
      <c r="H43" s="1">
        <v>8.26</v>
      </c>
      <c r="I43" s="1">
        <v>8.56</v>
      </c>
      <c r="J43" s="1">
        <v>124.4</v>
      </c>
      <c r="K43" s="1">
        <v>0.6</v>
      </c>
      <c r="L43" t="s">
        <v>16</v>
      </c>
      <c r="M43" s="1" t="s">
        <v>16</v>
      </c>
      <c r="N43" s="1" t="s">
        <v>16</v>
      </c>
      <c r="O43" s="19" t="s">
        <v>16</v>
      </c>
    </row>
    <row r="44" spans="1:15" x14ac:dyDescent="0.25">
      <c r="A44" s="16">
        <v>44064</v>
      </c>
      <c r="B44" t="s">
        <v>15</v>
      </c>
      <c r="C44">
        <v>1</v>
      </c>
      <c r="D44" s="21">
        <v>0.61388888888888882</v>
      </c>
      <c r="E44" s="1">
        <v>0.75</v>
      </c>
      <c r="F44" s="1">
        <v>29.9</v>
      </c>
      <c r="G44" s="1">
        <v>5.78</v>
      </c>
      <c r="H44" s="1">
        <v>7.47</v>
      </c>
      <c r="I44" s="1">
        <v>4.21</v>
      </c>
      <c r="J44" s="1">
        <v>57.3</v>
      </c>
      <c r="K44" s="1">
        <v>0.75</v>
      </c>
      <c r="L44" t="s">
        <v>16</v>
      </c>
      <c r="M44" s="1" t="s">
        <v>16</v>
      </c>
      <c r="N44" s="1" t="s">
        <v>16</v>
      </c>
      <c r="O44" s="19" t="s">
        <v>16</v>
      </c>
    </row>
    <row r="45" spans="1:15" x14ac:dyDescent="0.25">
      <c r="A45" s="16">
        <v>44064</v>
      </c>
      <c r="B45" t="s">
        <v>15</v>
      </c>
      <c r="C45">
        <v>2</v>
      </c>
      <c r="D45" s="21">
        <v>0.61875000000000002</v>
      </c>
      <c r="E45" s="1">
        <v>0.65</v>
      </c>
      <c r="F45" s="1">
        <v>30.7</v>
      </c>
      <c r="G45" s="1">
        <v>6.5</v>
      </c>
      <c r="H45" s="1">
        <v>7.4</v>
      </c>
      <c r="I45" s="1">
        <v>5.91</v>
      </c>
      <c r="J45" s="1">
        <v>81.599999999999994</v>
      </c>
      <c r="K45" s="1">
        <v>0.65</v>
      </c>
      <c r="L45" t="s">
        <v>16</v>
      </c>
      <c r="M45" s="1" t="s">
        <v>16</v>
      </c>
      <c r="N45" s="1" t="s">
        <v>16</v>
      </c>
      <c r="O45" s="19" t="s">
        <v>16</v>
      </c>
    </row>
    <row r="46" spans="1:15" x14ac:dyDescent="0.25">
      <c r="A46" s="16">
        <v>44064</v>
      </c>
      <c r="B46" t="s">
        <v>15</v>
      </c>
      <c r="C46">
        <v>3</v>
      </c>
      <c r="D46" s="21">
        <v>0.60555555555555551</v>
      </c>
      <c r="E46" s="1">
        <v>0.75</v>
      </c>
      <c r="F46" s="1">
        <v>29.1</v>
      </c>
      <c r="G46" s="1">
        <v>3.93</v>
      </c>
      <c r="H46" s="1">
        <v>7.75</v>
      </c>
      <c r="I46" s="1">
        <v>4.55</v>
      </c>
      <c r="J46" s="1">
        <v>60.5</v>
      </c>
      <c r="K46" s="1">
        <v>0.75</v>
      </c>
      <c r="L46" t="s">
        <v>16</v>
      </c>
      <c r="M46" s="1" t="s">
        <v>16</v>
      </c>
      <c r="N46" s="1" t="s">
        <v>16</v>
      </c>
      <c r="O46" s="19" t="s">
        <v>16</v>
      </c>
    </row>
    <row r="47" spans="1:15" x14ac:dyDescent="0.25">
      <c r="A47" s="16">
        <v>44064</v>
      </c>
      <c r="B47" t="s">
        <v>22</v>
      </c>
      <c r="C47">
        <v>1</v>
      </c>
      <c r="D47" s="21">
        <v>0.66180555555555554</v>
      </c>
      <c r="E47" s="1">
        <v>0.85</v>
      </c>
      <c r="F47" s="1">
        <v>30.9</v>
      </c>
      <c r="G47" s="1">
        <v>18.25</v>
      </c>
      <c r="H47" s="1">
        <v>7.24</v>
      </c>
      <c r="I47" s="1">
        <v>4.96</v>
      </c>
      <c r="J47" s="1">
        <v>73</v>
      </c>
      <c r="K47" s="1">
        <v>0.85</v>
      </c>
      <c r="L47" t="s">
        <v>16</v>
      </c>
      <c r="M47" s="1" t="s">
        <v>16</v>
      </c>
      <c r="N47" s="1" t="s">
        <v>16</v>
      </c>
      <c r="O47" s="19" t="s">
        <v>16</v>
      </c>
    </row>
    <row r="48" spans="1:15" x14ac:dyDescent="0.25">
      <c r="A48" s="16">
        <v>44064</v>
      </c>
      <c r="B48" t="s">
        <v>22</v>
      </c>
      <c r="C48">
        <v>2</v>
      </c>
      <c r="D48" s="21">
        <v>0.64722222222222225</v>
      </c>
      <c r="E48" s="1">
        <v>0.8</v>
      </c>
      <c r="F48" s="1">
        <v>31.6</v>
      </c>
      <c r="G48" s="1">
        <v>15.36</v>
      </c>
      <c r="H48" s="1">
        <v>7.14</v>
      </c>
      <c r="I48" s="1">
        <v>6.31</v>
      </c>
      <c r="J48" s="1">
        <v>93.3</v>
      </c>
      <c r="K48" s="1">
        <v>0.8</v>
      </c>
      <c r="L48" t="s">
        <v>16</v>
      </c>
      <c r="M48" s="1" t="s">
        <v>16</v>
      </c>
      <c r="N48" s="1" t="s">
        <v>16</v>
      </c>
      <c r="O48" s="19" t="s">
        <v>16</v>
      </c>
    </row>
    <row r="49" spans="1:15" x14ac:dyDescent="0.25">
      <c r="A49" s="16">
        <v>44064</v>
      </c>
      <c r="B49" t="s">
        <v>22</v>
      </c>
      <c r="C49">
        <v>3</v>
      </c>
      <c r="D49" s="21">
        <v>0.65416666666666667</v>
      </c>
      <c r="E49" s="1">
        <v>0.7</v>
      </c>
      <c r="F49" s="1">
        <v>31.2</v>
      </c>
      <c r="G49" s="1">
        <v>18.27</v>
      </c>
      <c r="H49" s="1">
        <v>7.25</v>
      </c>
      <c r="I49" s="1">
        <v>5.89</v>
      </c>
      <c r="J49" s="1">
        <v>87.6</v>
      </c>
      <c r="K49" s="1">
        <v>0.7</v>
      </c>
      <c r="L49" t="s">
        <v>16</v>
      </c>
      <c r="M49" s="1" t="s">
        <v>16</v>
      </c>
      <c r="N49" s="1" t="s">
        <v>16</v>
      </c>
      <c r="O49" s="19" t="s">
        <v>16</v>
      </c>
    </row>
    <row r="50" spans="1:15" x14ac:dyDescent="0.25">
      <c r="A50" s="16">
        <v>44091</v>
      </c>
      <c r="B50" t="s">
        <v>15</v>
      </c>
      <c r="C50">
        <v>1</v>
      </c>
      <c r="D50" s="21">
        <v>0.3659722222222222</v>
      </c>
      <c r="E50" s="1">
        <v>0.85</v>
      </c>
      <c r="F50" s="1">
        <v>29.5</v>
      </c>
      <c r="G50" s="1">
        <v>13.5</v>
      </c>
      <c r="H50" s="1">
        <v>7.88</v>
      </c>
      <c r="I50" s="1">
        <v>5.37</v>
      </c>
      <c r="J50" s="1">
        <v>76</v>
      </c>
      <c r="K50" s="1">
        <v>0.85</v>
      </c>
      <c r="L50" t="s">
        <v>16</v>
      </c>
      <c r="M50" s="1" t="s">
        <v>16</v>
      </c>
      <c r="N50" s="1" t="s">
        <v>16</v>
      </c>
      <c r="O50" s="19" t="s">
        <v>16</v>
      </c>
    </row>
    <row r="51" spans="1:15" x14ac:dyDescent="0.25">
      <c r="A51" s="16">
        <v>44091</v>
      </c>
      <c r="B51" t="s">
        <v>15</v>
      </c>
      <c r="C51">
        <v>2</v>
      </c>
      <c r="D51" s="21">
        <v>0.39930555555555558</v>
      </c>
      <c r="E51" s="1">
        <v>1.1000000000000001</v>
      </c>
      <c r="F51" s="1">
        <v>29.5</v>
      </c>
      <c r="G51" s="1">
        <v>17.3</v>
      </c>
      <c r="H51" s="1">
        <v>7.98</v>
      </c>
      <c r="I51" s="1">
        <v>5.63</v>
      </c>
      <c r="J51" s="1">
        <v>81.5</v>
      </c>
      <c r="K51" s="1">
        <v>1.1000000000000001</v>
      </c>
      <c r="L51" t="s">
        <v>16</v>
      </c>
      <c r="M51" s="1" t="s">
        <v>16</v>
      </c>
      <c r="N51" s="1" t="s">
        <v>16</v>
      </c>
      <c r="O51" s="19" t="s">
        <v>16</v>
      </c>
    </row>
    <row r="52" spans="1:15" x14ac:dyDescent="0.25">
      <c r="A52" s="16">
        <v>44091</v>
      </c>
      <c r="B52" t="s">
        <v>15</v>
      </c>
      <c r="C52">
        <v>3</v>
      </c>
      <c r="D52" s="21">
        <v>0.32083333333333336</v>
      </c>
      <c r="E52" s="1">
        <v>0.8</v>
      </c>
      <c r="F52" s="1">
        <v>29.2</v>
      </c>
      <c r="G52" s="1">
        <v>7.81</v>
      </c>
      <c r="H52" s="1">
        <v>7.76</v>
      </c>
      <c r="I52" s="1">
        <v>4.47</v>
      </c>
      <c r="J52" s="1">
        <v>60.5</v>
      </c>
      <c r="K52" s="1">
        <v>0.8</v>
      </c>
      <c r="L52" t="s">
        <v>16</v>
      </c>
      <c r="M52" s="1" t="s">
        <v>16</v>
      </c>
      <c r="N52" s="1" t="s">
        <v>16</v>
      </c>
      <c r="O52" s="19" t="s">
        <v>16</v>
      </c>
    </row>
    <row r="53" spans="1:15" x14ac:dyDescent="0.25">
      <c r="A53" s="16">
        <v>44090</v>
      </c>
      <c r="B53" t="s">
        <v>22</v>
      </c>
      <c r="C53">
        <v>1</v>
      </c>
      <c r="D53" s="21">
        <v>0.72777777777777775</v>
      </c>
      <c r="E53" s="1">
        <v>0.7</v>
      </c>
      <c r="F53" s="1">
        <v>31.6</v>
      </c>
      <c r="G53" s="1">
        <v>15.76</v>
      </c>
      <c r="H53" s="1">
        <v>8.06</v>
      </c>
      <c r="I53" s="1">
        <v>7.7</v>
      </c>
      <c r="J53" s="1">
        <v>114</v>
      </c>
      <c r="K53" s="1">
        <v>0.7</v>
      </c>
      <c r="L53" t="s">
        <v>16</v>
      </c>
      <c r="M53" s="1" t="s">
        <v>16</v>
      </c>
      <c r="N53" s="1" t="s">
        <v>16</v>
      </c>
      <c r="O53" s="19" t="s">
        <v>16</v>
      </c>
    </row>
    <row r="54" spans="1:15" x14ac:dyDescent="0.25">
      <c r="A54" s="16">
        <v>44090</v>
      </c>
      <c r="B54" t="s">
        <v>22</v>
      </c>
      <c r="C54">
        <v>2</v>
      </c>
      <c r="D54" s="21">
        <v>0.68472222222222223</v>
      </c>
      <c r="E54" s="1">
        <v>0.6</v>
      </c>
      <c r="F54" s="1">
        <v>31.5</v>
      </c>
      <c r="G54" s="1">
        <v>14.67</v>
      </c>
      <c r="H54" s="1">
        <v>7.94</v>
      </c>
      <c r="I54" s="1">
        <v>6.99</v>
      </c>
      <c r="J54" s="1">
        <v>102.6</v>
      </c>
      <c r="K54" s="1">
        <v>0.6</v>
      </c>
      <c r="L54" t="s">
        <v>16</v>
      </c>
      <c r="M54" s="1" t="s">
        <v>16</v>
      </c>
      <c r="N54" s="1" t="s">
        <v>16</v>
      </c>
      <c r="O54" s="19" t="s">
        <v>16</v>
      </c>
    </row>
    <row r="55" spans="1:15" x14ac:dyDescent="0.25">
      <c r="A55" s="16">
        <v>44090</v>
      </c>
      <c r="B55" t="s">
        <v>22</v>
      </c>
      <c r="C55">
        <v>3</v>
      </c>
      <c r="D55" s="21">
        <v>0.70833333333333337</v>
      </c>
      <c r="E55" s="1">
        <v>0.6</v>
      </c>
      <c r="F55" s="1">
        <v>32.1</v>
      </c>
      <c r="G55" s="1">
        <v>16.21</v>
      </c>
      <c r="H55" s="1">
        <v>8.0399999999999991</v>
      </c>
      <c r="I55" s="1">
        <v>6.58</v>
      </c>
      <c r="J55" s="1">
        <v>98.3</v>
      </c>
      <c r="K55" s="1">
        <v>0.6</v>
      </c>
      <c r="L55" t="s">
        <v>16</v>
      </c>
      <c r="M55" s="1" t="s">
        <v>16</v>
      </c>
      <c r="N55" s="1" t="s">
        <v>16</v>
      </c>
      <c r="O55" s="19" t="s">
        <v>16</v>
      </c>
    </row>
    <row r="56" spans="1:15" x14ac:dyDescent="0.25">
      <c r="A56" s="16">
        <v>44110</v>
      </c>
      <c r="B56" t="s">
        <v>15</v>
      </c>
      <c r="C56">
        <v>1</v>
      </c>
      <c r="D56" s="21">
        <v>0.69513888888888886</v>
      </c>
      <c r="E56" s="1">
        <v>0.5</v>
      </c>
      <c r="F56" s="1">
        <v>28.6</v>
      </c>
      <c r="G56" s="1">
        <v>1.25</v>
      </c>
      <c r="H56" s="1">
        <v>8.1199999999999992</v>
      </c>
      <c r="I56" s="1">
        <v>5.43</v>
      </c>
      <c r="J56" s="1">
        <v>70.400000000000006</v>
      </c>
      <c r="K56" s="1">
        <v>0.5</v>
      </c>
      <c r="L56" t="s">
        <v>16</v>
      </c>
      <c r="M56" s="1" t="s">
        <v>16</v>
      </c>
      <c r="N56" s="1" t="s">
        <v>16</v>
      </c>
      <c r="O56" s="19" t="s">
        <v>16</v>
      </c>
    </row>
    <row r="57" spans="1:15" x14ac:dyDescent="0.25">
      <c r="A57" s="16">
        <v>44110</v>
      </c>
      <c r="B57" t="s">
        <v>15</v>
      </c>
      <c r="C57">
        <v>2</v>
      </c>
      <c r="D57" s="21">
        <v>0.70208333333333339</v>
      </c>
      <c r="E57" s="1">
        <v>1</v>
      </c>
      <c r="F57" s="1">
        <v>28.1</v>
      </c>
      <c r="G57" s="1">
        <v>1.36</v>
      </c>
      <c r="H57" s="1">
        <v>8</v>
      </c>
      <c r="I57" s="1">
        <v>4.9400000000000004</v>
      </c>
      <c r="J57" s="1">
        <v>63.5</v>
      </c>
      <c r="K57" s="1">
        <v>0.85</v>
      </c>
      <c r="L57" t="s">
        <v>16</v>
      </c>
      <c r="M57" s="1" t="s">
        <v>16</v>
      </c>
      <c r="N57" s="1" t="s">
        <v>16</v>
      </c>
      <c r="O57" s="19" t="s">
        <v>16</v>
      </c>
    </row>
    <row r="58" spans="1:15" x14ac:dyDescent="0.25">
      <c r="A58" s="16">
        <v>44110</v>
      </c>
      <c r="B58" t="s">
        <v>15</v>
      </c>
      <c r="C58">
        <v>3</v>
      </c>
      <c r="D58" s="21">
        <v>0.68611111111111101</v>
      </c>
      <c r="E58" s="1">
        <v>1</v>
      </c>
      <c r="F58" s="1">
        <v>28.2</v>
      </c>
      <c r="G58" s="1">
        <v>0.49</v>
      </c>
      <c r="H58" s="1">
        <v>7.82</v>
      </c>
      <c r="I58" s="1">
        <v>4.53</v>
      </c>
      <c r="J58" s="1">
        <v>58.2</v>
      </c>
      <c r="K58" s="1">
        <v>0.8</v>
      </c>
      <c r="L58" t="s">
        <v>16</v>
      </c>
      <c r="M58" s="1" t="s">
        <v>16</v>
      </c>
      <c r="N58" s="1" t="s">
        <v>16</v>
      </c>
      <c r="O58" s="19" t="s">
        <v>16</v>
      </c>
    </row>
    <row r="59" spans="1:15" x14ac:dyDescent="0.25">
      <c r="A59" s="16">
        <v>44110</v>
      </c>
      <c r="B59" t="s">
        <v>22</v>
      </c>
      <c r="C59">
        <v>1</v>
      </c>
      <c r="D59" s="21">
        <v>0.74791666666666667</v>
      </c>
      <c r="E59" s="1">
        <v>0.6</v>
      </c>
      <c r="F59" s="1">
        <v>29.1</v>
      </c>
      <c r="G59" s="1">
        <v>4.29</v>
      </c>
      <c r="H59" s="1">
        <v>7.72</v>
      </c>
      <c r="I59" s="1">
        <v>5.59</v>
      </c>
      <c r="J59" s="1">
        <v>74.5</v>
      </c>
      <c r="K59" s="1">
        <v>0.6</v>
      </c>
      <c r="L59" t="s">
        <v>16</v>
      </c>
      <c r="M59" s="1" t="s">
        <v>16</v>
      </c>
      <c r="N59" s="1" t="s">
        <v>16</v>
      </c>
      <c r="O59" s="19" t="s">
        <v>16</v>
      </c>
    </row>
    <row r="60" spans="1:15" x14ac:dyDescent="0.25">
      <c r="A60" s="16">
        <v>44110</v>
      </c>
      <c r="B60" t="s">
        <v>22</v>
      </c>
      <c r="C60">
        <v>2</v>
      </c>
      <c r="D60" s="21">
        <v>0.73333333333333339</v>
      </c>
      <c r="E60" s="1">
        <v>1.1000000000000001</v>
      </c>
      <c r="F60" s="1">
        <v>29.1</v>
      </c>
      <c r="G60" s="1">
        <v>2.86</v>
      </c>
      <c r="H60" s="1">
        <v>7.88</v>
      </c>
      <c r="I60" s="1">
        <v>6.93</v>
      </c>
      <c r="J60" s="1">
        <v>91.8</v>
      </c>
      <c r="K60" s="1">
        <v>1.1000000000000001</v>
      </c>
      <c r="L60" t="s">
        <v>16</v>
      </c>
      <c r="M60" s="1" t="s">
        <v>16</v>
      </c>
      <c r="N60" s="1" t="s">
        <v>16</v>
      </c>
      <c r="O60" s="19" t="s">
        <v>16</v>
      </c>
    </row>
    <row r="61" spans="1:15" x14ac:dyDescent="0.25">
      <c r="A61" s="16">
        <v>44110</v>
      </c>
      <c r="B61" t="s">
        <v>22</v>
      </c>
      <c r="C61">
        <v>3</v>
      </c>
      <c r="D61" s="21">
        <v>0.73888888888888893</v>
      </c>
      <c r="E61" s="1">
        <v>0.9</v>
      </c>
      <c r="F61" s="1">
        <v>29</v>
      </c>
      <c r="G61" s="1">
        <v>3.19</v>
      </c>
      <c r="H61" s="1">
        <v>7.78</v>
      </c>
      <c r="I61" s="1">
        <v>6.3</v>
      </c>
      <c r="J61" s="1">
        <v>83.2</v>
      </c>
      <c r="K61" s="1">
        <v>0.9</v>
      </c>
      <c r="L61" t="s">
        <v>16</v>
      </c>
      <c r="M61" s="1" t="s">
        <v>16</v>
      </c>
      <c r="N61" s="1" t="s">
        <v>16</v>
      </c>
      <c r="O61" s="19" t="s">
        <v>16</v>
      </c>
    </row>
    <row r="62" spans="1:15" x14ac:dyDescent="0.25">
      <c r="A62" s="16">
        <v>44118</v>
      </c>
      <c r="B62" t="s">
        <v>26</v>
      </c>
      <c r="C62">
        <v>4</v>
      </c>
      <c r="D62" s="21">
        <v>0.5131944444444444</v>
      </c>
      <c r="E62" s="1">
        <v>1</v>
      </c>
      <c r="F62" s="1">
        <v>29.1</v>
      </c>
      <c r="G62" s="1">
        <v>22.53</v>
      </c>
      <c r="H62" s="1">
        <v>8.0299999999999994</v>
      </c>
      <c r="I62" s="1">
        <v>7.25</v>
      </c>
      <c r="J62" s="1">
        <v>108.4</v>
      </c>
      <c r="K62" s="1">
        <v>1</v>
      </c>
      <c r="L62" t="s">
        <v>16</v>
      </c>
      <c r="M62" s="1" t="s">
        <v>16</v>
      </c>
      <c r="N62" s="1">
        <v>2.2000000000000002</v>
      </c>
      <c r="O62" s="19" t="s">
        <v>16</v>
      </c>
    </row>
    <row r="63" spans="1:15" x14ac:dyDescent="0.25">
      <c r="A63" s="16">
        <v>44137</v>
      </c>
      <c r="B63" t="s">
        <v>15</v>
      </c>
      <c r="C63">
        <v>1</v>
      </c>
      <c r="D63" s="21">
        <v>0.69513888888888886</v>
      </c>
      <c r="E63" s="1">
        <v>0.7</v>
      </c>
      <c r="F63" s="1">
        <v>25.8</v>
      </c>
      <c r="G63" s="1">
        <v>6.69</v>
      </c>
      <c r="H63" s="1">
        <v>7.68</v>
      </c>
      <c r="I63" s="1">
        <v>6.11</v>
      </c>
      <c r="J63" s="1">
        <v>77.7</v>
      </c>
      <c r="K63" s="1">
        <v>0.7</v>
      </c>
      <c r="L63" t="s">
        <v>16</v>
      </c>
      <c r="M63" s="1" t="s">
        <v>16</v>
      </c>
      <c r="N63" s="1">
        <v>2.95</v>
      </c>
      <c r="O63" s="19" t="s">
        <v>16</v>
      </c>
    </row>
    <row r="64" spans="1:15" x14ac:dyDescent="0.25">
      <c r="A64" s="16">
        <v>44137</v>
      </c>
      <c r="B64" t="s">
        <v>15</v>
      </c>
      <c r="C64">
        <v>2</v>
      </c>
      <c r="D64" s="21">
        <v>0.7006944444444444</v>
      </c>
      <c r="E64" s="1">
        <v>0.55000000000000004</v>
      </c>
      <c r="F64" s="1">
        <v>26</v>
      </c>
      <c r="G64" s="1">
        <v>7</v>
      </c>
      <c r="H64" s="1">
        <v>7.69</v>
      </c>
      <c r="I64" s="1">
        <v>5.81</v>
      </c>
      <c r="J64" s="1">
        <v>74.099999999999994</v>
      </c>
      <c r="K64" s="1">
        <v>0.55000000000000004</v>
      </c>
      <c r="L64" t="s">
        <v>16</v>
      </c>
      <c r="M64" s="1" t="s">
        <v>16</v>
      </c>
      <c r="N64" s="1">
        <v>13.3</v>
      </c>
      <c r="O64" s="19" t="s">
        <v>16</v>
      </c>
    </row>
    <row r="65" spans="1:15" x14ac:dyDescent="0.25">
      <c r="A65" s="16">
        <v>44137</v>
      </c>
      <c r="B65" t="s">
        <v>15</v>
      </c>
      <c r="C65">
        <v>3</v>
      </c>
      <c r="D65" s="21">
        <v>0.68819444444444444</v>
      </c>
      <c r="E65" s="1">
        <v>0.6</v>
      </c>
      <c r="F65" s="1">
        <v>26.2</v>
      </c>
      <c r="G65" s="1">
        <v>2.7</v>
      </c>
      <c r="H65" s="1">
        <v>8.17</v>
      </c>
      <c r="I65" s="1">
        <v>5.1100000000000003</v>
      </c>
      <c r="J65" s="1">
        <v>64.099999999999994</v>
      </c>
      <c r="K65" s="1">
        <v>0.6</v>
      </c>
      <c r="L65" t="s">
        <v>16</v>
      </c>
      <c r="M65" s="1" t="s">
        <v>16</v>
      </c>
      <c r="N65" s="1">
        <v>2.58</v>
      </c>
      <c r="O65" s="19" t="s">
        <v>16</v>
      </c>
    </row>
    <row r="66" spans="1:15" x14ac:dyDescent="0.25">
      <c r="A66" s="16">
        <v>44137</v>
      </c>
      <c r="B66" t="s">
        <v>22</v>
      </c>
      <c r="C66">
        <v>1</v>
      </c>
      <c r="D66" s="21">
        <v>0.73749999999999993</v>
      </c>
      <c r="E66" s="1">
        <v>0.8</v>
      </c>
      <c r="F66" s="1">
        <v>25.6</v>
      </c>
      <c r="G66" s="1">
        <v>6.35</v>
      </c>
      <c r="H66" s="1">
        <v>7.59</v>
      </c>
      <c r="I66" s="1">
        <v>7.24</v>
      </c>
      <c r="J66" s="1">
        <v>91.6</v>
      </c>
      <c r="K66" s="1">
        <v>0.8</v>
      </c>
      <c r="L66" t="s">
        <v>16</v>
      </c>
      <c r="M66" s="1" t="s">
        <v>16</v>
      </c>
      <c r="N66" s="1">
        <v>2.79</v>
      </c>
      <c r="O66" s="19" t="s">
        <v>16</v>
      </c>
    </row>
    <row r="67" spans="1:15" x14ac:dyDescent="0.25">
      <c r="A67" s="16">
        <v>44137</v>
      </c>
      <c r="B67" t="s">
        <v>22</v>
      </c>
      <c r="C67">
        <v>2</v>
      </c>
      <c r="D67" s="21">
        <v>0.72638888888888886</v>
      </c>
      <c r="E67" s="1">
        <v>0.9</v>
      </c>
      <c r="F67" s="1">
        <v>26.2</v>
      </c>
      <c r="G67" s="1">
        <v>5.0599999999999996</v>
      </c>
      <c r="H67" s="1">
        <v>7.77</v>
      </c>
      <c r="I67" s="1">
        <v>6.64</v>
      </c>
      <c r="J67" s="1">
        <v>84.6</v>
      </c>
      <c r="K67" s="1">
        <v>0.9</v>
      </c>
      <c r="L67" t="s">
        <v>16</v>
      </c>
      <c r="M67" s="1" t="s">
        <v>16</v>
      </c>
      <c r="N67" s="1">
        <v>2.96</v>
      </c>
      <c r="O67" s="19" t="s">
        <v>16</v>
      </c>
    </row>
    <row r="68" spans="1:15" x14ac:dyDescent="0.25">
      <c r="A68" s="16">
        <v>44137</v>
      </c>
      <c r="B68" t="s">
        <v>22</v>
      </c>
      <c r="C68">
        <v>3</v>
      </c>
      <c r="D68" s="21">
        <v>0.73125000000000007</v>
      </c>
      <c r="E68" s="1">
        <v>0.9</v>
      </c>
      <c r="F68" s="1">
        <v>25.1</v>
      </c>
      <c r="G68" s="1">
        <v>5.32</v>
      </c>
      <c r="H68" s="1">
        <v>7.65</v>
      </c>
      <c r="I68" s="1">
        <v>7.04</v>
      </c>
      <c r="J68" s="1">
        <v>87.9</v>
      </c>
      <c r="K68" s="1">
        <v>0.9</v>
      </c>
      <c r="L68" t="s">
        <v>16</v>
      </c>
      <c r="M68" s="1" t="s">
        <v>16</v>
      </c>
      <c r="N68" s="1">
        <v>4.7300000000000004</v>
      </c>
      <c r="O68" s="19" t="s">
        <v>16</v>
      </c>
    </row>
    <row r="69" spans="1:15" x14ac:dyDescent="0.25">
      <c r="A69" s="16">
        <v>44167</v>
      </c>
      <c r="B69" t="s">
        <v>15</v>
      </c>
      <c r="C69">
        <v>1</v>
      </c>
      <c r="D69" s="21">
        <v>0.65486111111111112</v>
      </c>
      <c r="E69" s="1">
        <v>0.85</v>
      </c>
      <c r="F69" s="1">
        <v>21.1</v>
      </c>
      <c r="G69" s="1">
        <v>13.55</v>
      </c>
      <c r="H69" s="1">
        <v>7.8</v>
      </c>
      <c r="I69" s="1">
        <v>6.76</v>
      </c>
      <c r="J69" s="1">
        <v>81.7</v>
      </c>
      <c r="K69" s="1">
        <v>0.85</v>
      </c>
      <c r="L69" t="s">
        <v>16</v>
      </c>
      <c r="M69" s="1" t="s">
        <v>16</v>
      </c>
      <c r="N69" s="1">
        <v>3.41</v>
      </c>
      <c r="O69" s="19" t="s">
        <v>16</v>
      </c>
    </row>
    <row r="70" spans="1:15" x14ac:dyDescent="0.25">
      <c r="A70" s="16">
        <v>44167</v>
      </c>
      <c r="B70" t="s">
        <v>15</v>
      </c>
      <c r="C70">
        <v>2</v>
      </c>
      <c r="D70" s="21">
        <v>0.65902777777777777</v>
      </c>
      <c r="E70" s="1">
        <v>0.35</v>
      </c>
      <c r="F70" s="1">
        <v>21.5</v>
      </c>
      <c r="G70" s="1">
        <v>14.59</v>
      </c>
      <c r="H70" s="1">
        <v>7.84</v>
      </c>
      <c r="I70" s="1">
        <v>7.06</v>
      </c>
      <c r="J70" s="1">
        <v>86.5</v>
      </c>
      <c r="K70" s="1">
        <v>0.35</v>
      </c>
      <c r="L70" t="s">
        <v>16</v>
      </c>
      <c r="M70" s="1" t="s">
        <v>16</v>
      </c>
      <c r="N70" s="1">
        <v>1.89</v>
      </c>
      <c r="O70" s="19" t="s">
        <v>16</v>
      </c>
    </row>
    <row r="71" spans="1:15" x14ac:dyDescent="0.25">
      <c r="A71" s="16">
        <v>44167</v>
      </c>
      <c r="B71" t="s">
        <v>15</v>
      </c>
      <c r="C71">
        <v>3</v>
      </c>
      <c r="D71" s="21">
        <v>0.64722222222222225</v>
      </c>
      <c r="E71" s="1">
        <v>0.5</v>
      </c>
      <c r="F71" s="1">
        <v>20.5</v>
      </c>
      <c r="G71" s="1">
        <v>6.66</v>
      </c>
      <c r="H71" s="1">
        <v>7.57</v>
      </c>
      <c r="I71" s="1">
        <v>6.27</v>
      </c>
      <c r="J71" s="1">
        <v>72.400000000000006</v>
      </c>
      <c r="K71" s="1">
        <v>0.5</v>
      </c>
      <c r="L71" t="s">
        <v>16</v>
      </c>
      <c r="M71" s="1" t="s">
        <v>16</v>
      </c>
      <c r="N71" s="1">
        <v>5.09</v>
      </c>
      <c r="O71" s="19" t="s">
        <v>16</v>
      </c>
    </row>
    <row r="72" spans="1:15" x14ac:dyDescent="0.25">
      <c r="A72" s="16">
        <v>44167</v>
      </c>
      <c r="B72" t="s">
        <v>22</v>
      </c>
      <c r="C72">
        <v>1</v>
      </c>
      <c r="D72" s="21">
        <v>0.69791666666666663</v>
      </c>
      <c r="E72" s="1">
        <v>0.4</v>
      </c>
      <c r="F72" s="1">
        <v>21.1</v>
      </c>
      <c r="G72" s="1">
        <v>19.010000000000002</v>
      </c>
      <c r="H72" s="1">
        <v>7.92</v>
      </c>
      <c r="I72" s="1">
        <v>7.43</v>
      </c>
      <c r="J72" s="1">
        <v>93.2</v>
      </c>
      <c r="K72" s="1">
        <v>0.4</v>
      </c>
      <c r="L72" t="s">
        <v>16</v>
      </c>
      <c r="M72" s="1" t="s">
        <v>16</v>
      </c>
      <c r="N72" s="1">
        <v>5.03</v>
      </c>
      <c r="O72" s="19" t="s">
        <v>16</v>
      </c>
    </row>
    <row r="73" spans="1:15" x14ac:dyDescent="0.25">
      <c r="A73" s="16">
        <v>44167</v>
      </c>
      <c r="B73" t="s">
        <v>22</v>
      </c>
      <c r="C73">
        <v>2</v>
      </c>
      <c r="D73" s="21">
        <v>0.68611111111111101</v>
      </c>
      <c r="E73" s="1">
        <v>0.85</v>
      </c>
      <c r="F73" s="1">
        <v>22.7</v>
      </c>
      <c r="G73" s="1">
        <v>20.65</v>
      </c>
      <c r="H73" s="1">
        <v>7.86</v>
      </c>
      <c r="I73" s="1">
        <v>6.42</v>
      </c>
      <c r="J73" s="1">
        <v>83.6</v>
      </c>
      <c r="K73" s="1">
        <v>0.85</v>
      </c>
      <c r="L73" t="s">
        <v>16</v>
      </c>
      <c r="M73" s="1" t="s">
        <v>16</v>
      </c>
      <c r="N73" s="1">
        <v>2.2999999999999998</v>
      </c>
      <c r="O73" s="19" t="s">
        <v>16</v>
      </c>
    </row>
    <row r="74" spans="1:15" x14ac:dyDescent="0.25">
      <c r="A74" s="16">
        <v>44167</v>
      </c>
      <c r="B74" t="s">
        <v>22</v>
      </c>
      <c r="C74">
        <v>3</v>
      </c>
      <c r="D74" s="21">
        <v>0.69097222222222221</v>
      </c>
      <c r="E74" s="1">
        <v>0.5</v>
      </c>
      <c r="F74" s="1">
        <v>21.1</v>
      </c>
      <c r="G74" s="1">
        <v>17.489999999999998</v>
      </c>
      <c r="H74" s="1">
        <v>7.89</v>
      </c>
      <c r="I74" s="1">
        <v>7.38</v>
      </c>
      <c r="J74" s="1">
        <v>91.7</v>
      </c>
      <c r="K74" s="1">
        <v>0.5</v>
      </c>
      <c r="L74" t="s">
        <v>16</v>
      </c>
      <c r="M74" s="1" t="s">
        <v>16</v>
      </c>
      <c r="N74" s="1">
        <v>4.99</v>
      </c>
      <c r="O74" s="19" t="s">
        <v>16</v>
      </c>
    </row>
    <row r="75" spans="1:15" x14ac:dyDescent="0.25">
      <c r="A75" s="16">
        <v>44201</v>
      </c>
      <c r="B75" t="s">
        <v>15</v>
      </c>
      <c r="C75">
        <v>1</v>
      </c>
      <c r="D75" s="21">
        <v>0.67708333333333337</v>
      </c>
      <c r="E75" s="1">
        <v>0.9</v>
      </c>
      <c r="F75" s="1">
        <v>22.3</v>
      </c>
      <c r="G75" s="1">
        <v>23.46</v>
      </c>
      <c r="H75" s="1">
        <v>8.18</v>
      </c>
      <c r="I75" s="1">
        <v>7.67</v>
      </c>
      <c r="J75" s="1">
        <v>100.7</v>
      </c>
      <c r="K75" s="1">
        <v>0.9</v>
      </c>
      <c r="L75" t="s">
        <v>16</v>
      </c>
      <c r="M75" s="1" t="s">
        <v>16</v>
      </c>
      <c r="N75" s="1">
        <v>2.4</v>
      </c>
      <c r="O75" s="19" t="s">
        <v>16</v>
      </c>
    </row>
    <row r="76" spans="1:15" x14ac:dyDescent="0.25">
      <c r="A76" s="16">
        <v>44201</v>
      </c>
      <c r="B76" t="s">
        <v>15</v>
      </c>
      <c r="C76">
        <v>2</v>
      </c>
      <c r="D76" s="21">
        <v>0.68472222222222223</v>
      </c>
      <c r="E76" s="1">
        <v>0.6</v>
      </c>
      <c r="F76" s="1">
        <v>22.2</v>
      </c>
      <c r="G76" s="1">
        <v>23.1</v>
      </c>
      <c r="H76" s="1">
        <v>8.18</v>
      </c>
      <c r="I76" s="1">
        <v>7.89</v>
      </c>
      <c r="J76" s="1">
        <v>103.5</v>
      </c>
      <c r="K76" s="1">
        <v>0.6</v>
      </c>
      <c r="L76" t="s">
        <v>16</v>
      </c>
      <c r="M76" s="1" t="s">
        <v>16</v>
      </c>
      <c r="N76" s="1">
        <v>2.33</v>
      </c>
      <c r="O76" s="19" t="s">
        <v>16</v>
      </c>
    </row>
    <row r="77" spans="1:15" x14ac:dyDescent="0.25">
      <c r="A77" s="16">
        <v>44201</v>
      </c>
      <c r="B77" t="s">
        <v>15</v>
      </c>
      <c r="C77">
        <v>3</v>
      </c>
      <c r="D77" s="21">
        <v>0.6694444444444444</v>
      </c>
      <c r="E77" s="1">
        <v>0.9</v>
      </c>
      <c r="F77" s="1">
        <v>21.6</v>
      </c>
      <c r="G77" s="1">
        <v>13.2</v>
      </c>
      <c r="H77" s="1">
        <v>7.97</v>
      </c>
      <c r="I77" s="1">
        <v>7.44</v>
      </c>
      <c r="J77" s="1">
        <v>91.1</v>
      </c>
      <c r="K77" s="1">
        <v>0.9</v>
      </c>
      <c r="L77" t="s">
        <v>16</v>
      </c>
      <c r="M77" s="1" t="s">
        <v>16</v>
      </c>
      <c r="N77" s="1">
        <v>2.58</v>
      </c>
      <c r="O77" s="19" t="s">
        <v>16</v>
      </c>
    </row>
    <row r="78" spans="1:15" x14ac:dyDescent="0.25">
      <c r="A78" s="16">
        <v>44201</v>
      </c>
      <c r="B78" t="s">
        <v>22</v>
      </c>
      <c r="C78">
        <v>1</v>
      </c>
      <c r="D78" s="21">
        <v>0.72777777777777775</v>
      </c>
      <c r="E78" s="1">
        <v>0.6</v>
      </c>
      <c r="F78" s="1">
        <v>21.1</v>
      </c>
      <c r="G78" s="1">
        <v>25.81</v>
      </c>
      <c r="H78" s="1">
        <v>8.14</v>
      </c>
      <c r="I78" s="1">
        <v>7.92</v>
      </c>
      <c r="J78" s="1">
        <v>103.8</v>
      </c>
      <c r="K78" s="1">
        <v>0.6</v>
      </c>
      <c r="L78" t="s">
        <v>16</v>
      </c>
      <c r="M78" s="1" t="s">
        <v>16</v>
      </c>
      <c r="N78" s="1">
        <v>2.97</v>
      </c>
      <c r="O78" s="19" t="s">
        <v>16</v>
      </c>
    </row>
    <row r="79" spans="1:15" x14ac:dyDescent="0.25">
      <c r="A79" s="16">
        <v>44201</v>
      </c>
      <c r="B79" t="s">
        <v>22</v>
      </c>
      <c r="C79">
        <v>2</v>
      </c>
      <c r="D79" s="21">
        <v>0.71527777777777779</v>
      </c>
      <c r="E79" s="1">
        <v>0.7</v>
      </c>
      <c r="F79" s="1">
        <v>22.2</v>
      </c>
      <c r="G79" s="1">
        <v>28.65</v>
      </c>
      <c r="H79" s="1">
        <v>8.27</v>
      </c>
      <c r="I79" s="1">
        <v>8.1</v>
      </c>
      <c r="J79" s="1">
        <v>109.8</v>
      </c>
      <c r="K79" s="1">
        <v>0.7</v>
      </c>
      <c r="L79" t="s">
        <v>16</v>
      </c>
      <c r="M79" s="1" t="s">
        <v>16</v>
      </c>
      <c r="N79" s="1">
        <v>2.91</v>
      </c>
      <c r="O79" s="19" t="s">
        <v>16</v>
      </c>
    </row>
    <row r="80" spans="1:15" x14ac:dyDescent="0.25">
      <c r="A80" s="16">
        <v>44201</v>
      </c>
      <c r="B80" t="s">
        <v>22</v>
      </c>
      <c r="C80">
        <v>3</v>
      </c>
      <c r="D80" s="21">
        <v>0.71944444444444444</v>
      </c>
      <c r="E80" s="1">
        <v>0.6</v>
      </c>
      <c r="F80" s="1">
        <v>21.1</v>
      </c>
      <c r="G80" s="1">
        <v>24.49</v>
      </c>
      <c r="H80" s="1">
        <v>8.1199999999999992</v>
      </c>
      <c r="I80" s="1">
        <v>8.06</v>
      </c>
      <c r="J80" s="1">
        <v>104.8</v>
      </c>
      <c r="K80" s="1">
        <v>0.6</v>
      </c>
      <c r="L80" t="s">
        <v>16</v>
      </c>
      <c r="M80" s="1" t="s">
        <v>16</v>
      </c>
      <c r="N80" s="1">
        <v>2.87</v>
      </c>
      <c r="O80" s="19" t="s">
        <v>16</v>
      </c>
    </row>
    <row r="81" spans="1:15" x14ac:dyDescent="0.25">
      <c r="A81" s="16">
        <v>44230</v>
      </c>
      <c r="B81" t="s">
        <v>15</v>
      </c>
      <c r="C81">
        <v>1</v>
      </c>
      <c r="D81" s="21">
        <v>0.66041666666666665</v>
      </c>
      <c r="E81" s="1">
        <v>0.8</v>
      </c>
      <c r="F81" s="1">
        <v>17.5</v>
      </c>
      <c r="G81" s="1">
        <v>29.39</v>
      </c>
      <c r="H81" s="1">
        <v>8.27</v>
      </c>
      <c r="I81" s="1">
        <v>8.56</v>
      </c>
      <c r="J81" s="1">
        <v>107.1</v>
      </c>
      <c r="K81" s="1">
        <v>0.8</v>
      </c>
      <c r="L81" t="s">
        <v>16</v>
      </c>
      <c r="M81" s="1" t="s">
        <v>16</v>
      </c>
      <c r="N81" s="1">
        <v>2.14</v>
      </c>
      <c r="O81" s="19" t="s">
        <v>16</v>
      </c>
    </row>
    <row r="82" spans="1:15" x14ac:dyDescent="0.25">
      <c r="A82" s="16">
        <v>44230</v>
      </c>
      <c r="B82" t="s">
        <v>15</v>
      </c>
      <c r="C82">
        <v>2</v>
      </c>
      <c r="D82" s="21">
        <v>0.66527777777777775</v>
      </c>
      <c r="E82" s="1">
        <v>0.6</v>
      </c>
      <c r="F82" s="1">
        <v>17.3</v>
      </c>
      <c r="G82" s="1">
        <v>28.8</v>
      </c>
      <c r="H82" s="1">
        <v>8.26</v>
      </c>
      <c r="I82" s="1">
        <v>8.6</v>
      </c>
      <c r="J82" s="1">
        <v>106.7</v>
      </c>
      <c r="K82" s="1">
        <v>0.6</v>
      </c>
      <c r="L82" t="s">
        <v>16</v>
      </c>
      <c r="M82" s="1" t="s">
        <v>16</v>
      </c>
      <c r="N82" s="1">
        <v>3.31</v>
      </c>
      <c r="O82" s="19" t="s">
        <v>16</v>
      </c>
    </row>
    <row r="83" spans="1:15" x14ac:dyDescent="0.25">
      <c r="A83" s="16">
        <v>44230</v>
      </c>
      <c r="B83" t="s">
        <v>15</v>
      </c>
      <c r="C83">
        <v>3</v>
      </c>
      <c r="D83" s="21">
        <v>0.65277777777777779</v>
      </c>
      <c r="E83" s="1">
        <v>0.75</v>
      </c>
      <c r="F83" s="1">
        <v>17.399999999999999</v>
      </c>
      <c r="G83" s="1">
        <v>25.48</v>
      </c>
      <c r="H83" s="1">
        <v>8.2100000000000009</v>
      </c>
      <c r="I83" s="1">
        <v>8.64</v>
      </c>
      <c r="J83" s="1">
        <v>105</v>
      </c>
      <c r="K83" s="1">
        <v>0.75</v>
      </c>
      <c r="L83" t="s">
        <v>16</v>
      </c>
      <c r="M83" s="1" t="s">
        <v>16</v>
      </c>
      <c r="N83" s="1">
        <v>3.98</v>
      </c>
      <c r="O83" s="19" t="s">
        <v>16</v>
      </c>
    </row>
    <row r="84" spans="1:15" x14ac:dyDescent="0.25">
      <c r="A84" s="16">
        <v>44230</v>
      </c>
      <c r="B84" t="s">
        <v>22</v>
      </c>
      <c r="C84">
        <v>1</v>
      </c>
      <c r="D84" s="21">
        <v>0.70694444444444438</v>
      </c>
      <c r="E84" s="1">
        <v>0.9</v>
      </c>
      <c r="F84" s="1">
        <v>17.3</v>
      </c>
      <c r="G84" s="1">
        <v>32.35</v>
      </c>
      <c r="H84" s="1">
        <v>8.2799999999999994</v>
      </c>
      <c r="I84" s="1">
        <v>8.9700000000000006</v>
      </c>
      <c r="J84" s="1">
        <v>113.7</v>
      </c>
      <c r="K84" s="1">
        <v>0.9</v>
      </c>
      <c r="L84" t="s">
        <v>16</v>
      </c>
      <c r="M84" s="1" t="s">
        <v>16</v>
      </c>
      <c r="N84" s="1">
        <v>8.9499999999999993</v>
      </c>
      <c r="O84" s="19" t="s">
        <v>16</v>
      </c>
    </row>
    <row r="85" spans="1:15" x14ac:dyDescent="0.25">
      <c r="A85" s="16">
        <v>44230</v>
      </c>
      <c r="B85" t="s">
        <v>22</v>
      </c>
      <c r="C85">
        <v>2</v>
      </c>
      <c r="D85" s="21">
        <v>0.69097222222222221</v>
      </c>
      <c r="E85" s="1">
        <v>1</v>
      </c>
      <c r="F85" s="1">
        <v>17.600000000000001</v>
      </c>
      <c r="G85" s="1">
        <v>32.340000000000003</v>
      </c>
      <c r="H85" s="1">
        <v>8.2799999999999994</v>
      </c>
      <c r="I85" s="1">
        <v>8.94</v>
      </c>
      <c r="J85" s="1">
        <v>113.9</v>
      </c>
      <c r="K85" s="1">
        <v>1</v>
      </c>
      <c r="L85" t="s">
        <v>16</v>
      </c>
      <c r="M85" s="1" t="s">
        <v>16</v>
      </c>
      <c r="N85" s="1">
        <v>6.21</v>
      </c>
      <c r="O85" s="19" t="s">
        <v>16</v>
      </c>
    </row>
    <row r="86" spans="1:15" x14ac:dyDescent="0.25">
      <c r="A86" s="16">
        <v>44230</v>
      </c>
      <c r="B86" t="s">
        <v>22</v>
      </c>
      <c r="C86">
        <v>3</v>
      </c>
      <c r="D86" s="21">
        <v>0.69791666666666663</v>
      </c>
      <c r="E86" s="1">
        <v>0.8</v>
      </c>
      <c r="F86" s="1">
        <v>17.100000000000001</v>
      </c>
      <c r="G86" s="1">
        <v>32.520000000000003</v>
      </c>
      <c r="H86" s="1">
        <v>8.2799999999999994</v>
      </c>
      <c r="I86" s="1">
        <v>8.8699999999999992</v>
      </c>
      <c r="J86" s="1">
        <v>112.1</v>
      </c>
      <c r="K86" s="1">
        <v>0.8</v>
      </c>
      <c r="L86" t="s">
        <v>16</v>
      </c>
      <c r="M86" s="1" t="s">
        <v>16</v>
      </c>
      <c r="N86" s="1">
        <v>5.87</v>
      </c>
      <c r="O86" s="19" t="s">
        <v>16</v>
      </c>
    </row>
    <row r="87" spans="1:15" x14ac:dyDescent="0.25">
      <c r="A87" s="16">
        <v>44258</v>
      </c>
      <c r="B87" t="s">
        <v>15</v>
      </c>
      <c r="C87">
        <v>1</v>
      </c>
      <c r="D87" s="21">
        <v>0.3659722222222222</v>
      </c>
      <c r="E87" s="1">
        <v>0.6</v>
      </c>
      <c r="F87" s="1">
        <v>24.6</v>
      </c>
      <c r="G87" s="1">
        <v>22.13</v>
      </c>
      <c r="H87" s="1">
        <v>7.86</v>
      </c>
      <c r="I87" s="1">
        <v>5.75</v>
      </c>
      <c r="J87" s="1">
        <v>78.3</v>
      </c>
      <c r="K87" s="1">
        <v>0.6</v>
      </c>
      <c r="L87" t="s">
        <v>16</v>
      </c>
      <c r="M87" s="1" t="s">
        <v>16</v>
      </c>
      <c r="N87" s="1">
        <v>4.3600000000000003</v>
      </c>
      <c r="O87" s="19" t="s">
        <v>16</v>
      </c>
    </row>
    <row r="88" spans="1:15" x14ac:dyDescent="0.25">
      <c r="A88" s="16">
        <v>44258</v>
      </c>
      <c r="B88" t="s">
        <v>15</v>
      </c>
      <c r="C88">
        <v>2</v>
      </c>
      <c r="D88" s="21">
        <v>0.39027777777777778</v>
      </c>
      <c r="E88" s="1">
        <v>0.5</v>
      </c>
      <c r="F88" s="1">
        <v>24.9</v>
      </c>
      <c r="G88" s="1">
        <v>22.01</v>
      </c>
      <c r="H88" s="1">
        <v>7.87</v>
      </c>
      <c r="I88" s="1">
        <v>6.13</v>
      </c>
      <c r="J88" s="1">
        <v>83.8</v>
      </c>
      <c r="K88" s="1">
        <v>0.5</v>
      </c>
      <c r="L88" t="s">
        <v>16</v>
      </c>
      <c r="M88" s="1" t="s">
        <v>16</v>
      </c>
      <c r="N88" s="1">
        <v>8.11</v>
      </c>
      <c r="O88" s="19" t="s">
        <v>16</v>
      </c>
    </row>
    <row r="89" spans="1:15" x14ac:dyDescent="0.25">
      <c r="A89" s="16">
        <v>44258</v>
      </c>
      <c r="B89" t="s">
        <v>15</v>
      </c>
      <c r="C89">
        <v>3</v>
      </c>
      <c r="D89" s="21">
        <v>0.33194444444444443</v>
      </c>
      <c r="E89" s="1">
        <v>0.5</v>
      </c>
      <c r="F89" s="1">
        <v>24.2</v>
      </c>
      <c r="G89" s="1">
        <v>13.92</v>
      </c>
      <c r="H89" s="1">
        <v>7.84</v>
      </c>
      <c r="I89" s="1">
        <v>5.08</v>
      </c>
      <c r="J89" s="1">
        <v>64.5</v>
      </c>
      <c r="K89" s="1">
        <v>0.5</v>
      </c>
      <c r="L89" t="s">
        <v>16</v>
      </c>
      <c r="M89" s="1" t="s">
        <v>16</v>
      </c>
      <c r="N89" s="1">
        <v>3.52</v>
      </c>
      <c r="O89" s="19" t="s">
        <v>16</v>
      </c>
    </row>
    <row r="90" spans="1:15" x14ac:dyDescent="0.25">
      <c r="A90" s="16">
        <v>44257</v>
      </c>
      <c r="B90" t="s">
        <v>22</v>
      </c>
      <c r="C90">
        <v>1</v>
      </c>
      <c r="D90" s="21">
        <v>0.69930555555555562</v>
      </c>
      <c r="E90" s="1">
        <v>0.55000000000000004</v>
      </c>
      <c r="F90" s="1">
        <v>26.7</v>
      </c>
      <c r="G90" s="1">
        <v>30.38</v>
      </c>
      <c r="H90" s="1">
        <v>8.0500000000000007</v>
      </c>
      <c r="I90" s="1">
        <v>7.45</v>
      </c>
      <c r="J90" s="1">
        <v>109.8</v>
      </c>
      <c r="K90" s="1">
        <v>0.55000000000000004</v>
      </c>
      <c r="L90" t="s">
        <v>16</v>
      </c>
      <c r="M90" s="1" t="s">
        <v>16</v>
      </c>
      <c r="N90" s="1">
        <v>8.5299999999999994</v>
      </c>
      <c r="O90" s="19" t="s">
        <v>16</v>
      </c>
    </row>
    <row r="91" spans="1:15" x14ac:dyDescent="0.25">
      <c r="A91" s="16">
        <v>44257</v>
      </c>
      <c r="B91" t="s">
        <v>22</v>
      </c>
      <c r="C91">
        <v>2</v>
      </c>
      <c r="D91" s="21">
        <v>0.65833333333333333</v>
      </c>
      <c r="E91" s="1">
        <v>0.6</v>
      </c>
      <c r="F91" s="1">
        <v>26.7</v>
      </c>
      <c r="G91" s="1">
        <v>30.07</v>
      </c>
      <c r="H91" s="1">
        <v>8</v>
      </c>
      <c r="I91" s="1">
        <v>7.68</v>
      </c>
      <c r="J91" s="1">
        <v>113.8</v>
      </c>
      <c r="K91" s="1">
        <v>0.6</v>
      </c>
      <c r="L91" t="s">
        <v>16</v>
      </c>
      <c r="M91" s="1" t="s">
        <v>16</v>
      </c>
      <c r="N91" s="1">
        <v>5.3</v>
      </c>
      <c r="O91" s="19" t="s">
        <v>16</v>
      </c>
    </row>
    <row r="92" spans="1:15" x14ac:dyDescent="0.25">
      <c r="A92" s="16">
        <v>44257</v>
      </c>
      <c r="B92" t="s">
        <v>22</v>
      </c>
      <c r="C92">
        <v>3</v>
      </c>
      <c r="D92" s="21">
        <v>0.6791666666666667</v>
      </c>
      <c r="E92" s="1">
        <v>0.5</v>
      </c>
      <c r="F92" s="1">
        <v>26.7</v>
      </c>
      <c r="G92" s="1">
        <v>30.41</v>
      </c>
      <c r="H92" s="1">
        <v>8.07</v>
      </c>
      <c r="I92" s="1">
        <v>8.01</v>
      </c>
      <c r="J92" s="1">
        <v>118.5</v>
      </c>
      <c r="K92" s="1">
        <v>0.5</v>
      </c>
      <c r="L92" t="s">
        <v>16</v>
      </c>
      <c r="M92" s="1" t="s">
        <v>16</v>
      </c>
      <c r="N92" s="1">
        <v>7.31</v>
      </c>
      <c r="O92" s="19" t="s">
        <v>16</v>
      </c>
    </row>
    <row r="93" spans="1:15" x14ac:dyDescent="0.25">
      <c r="A93" s="16">
        <v>44292</v>
      </c>
      <c r="B93" t="s">
        <v>15</v>
      </c>
      <c r="C93">
        <v>1</v>
      </c>
      <c r="D93" s="21">
        <v>0.65833333333333333</v>
      </c>
      <c r="E93" s="1">
        <v>0.95</v>
      </c>
      <c r="F93" s="1">
        <v>25</v>
      </c>
      <c r="G93" s="1">
        <v>23.48</v>
      </c>
      <c r="H93" s="1">
        <v>7.77</v>
      </c>
      <c r="I93" s="1">
        <v>7.68</v>
      </c>
      <c r="J93" s="1">
        <v>106.2</v>
      </c>
      <c r="K93" s="1">
        <v>0.95</v>
      </c>
      <c r="L93" t="s">
        <v>16</v>
      </c>
      <c r="M93" s="1" t="s">
        <v>16</v>
      </c>
      <c r="N93" s="1">
        <v>3.32</v>
      </c>
      <c r="O93" s="19" t="s">
        <v>16</v>
      </c>
    </row>
    <row r="94" spans="1:15" x14ac:dyDescent="0.25">
      <c r="A94" s="16">
        <v>44292</v>
      </c>
      <c r="B94" t="s">
        <v>15</v>
      </c>
      <c r="C94">
        <v>2</v>
      </c>
      <c r="D94" s="21">
        <v>0.66319444444444442</v>
      </c>
      <c r="E94" s="1">
        <v>0.65</v>
      </c>
      <c r="F94" s="1">
        <v>25.2</v>
      </c>
      <c r="G94" s="1">
        <v>23.59</v>
      </c>
      <c r="H94" s="1">
        <v>7.76</v>
      </c>
      <c r="I94" s="1">
        <v>7.62</v>
      </c>
      <c r="J94" s="1">
        <v>105.9</v>
      </c>
      <c r="K94" s="1">
        <v>0.65</v>
      </c>
      <c r="L94" t="s">
        <v>16</v>
      </c>
      <c r="M94" s="1" t="s">
        <v>16</v>
      </c>
      <c r="N94" s="1">
        <v>3.07</v>
      </c>
      <c r="O94" s="19" t="s">
        <v>16</v>
      </c>
    </row>
    <row r="95" spans="1:15" x14ac:dyDescent="0.25">
      <c r="A95" s="16">
        <v>44292</v>
      </c>
      <c r="B95" t="s">
        <v>15</v>
      </c>
      <c r="C95">
        <v>3</v>
      </c>
      <c r="D95" s="21">
        <v>0.65069444444444446</v>
      </c>
      <c r="E95" s="1">
        <v>0.75</v>
      </c>
      <c r="F95" s="1">
        <v>24.8</v>
      </c>
      <c r="G95" s="1">
        <v>24.51</v>
      </c>
      <c r="H95" s="1">
        <v>7.73</v>
      </c>
      <c r="I95" s="1">
        <v>7.02</v>
      </c>
      <c r="J95" s="1">
        <v>96.6</v>
      </c>
      <c r="K95" s="1">
        <v>0.75</v>
      </c>
      <c r="L95" t="s">
        <v>16</v>
      </c>
      <c r="M95" s="1" t="s">
        <v>16</v>
      </c>
      <c r="N95" s="1">
        <v>3.82</v>
      </c>
      <c r="O95" s="19" t="s">
        <v>16</v>
      </c>
    </row>
    <row r="96" spans="1:15" x14ac:dyDescent="0.25">
      <c r="A96" s="16">
        <v>44292</v>
      </c>
      <c r="B96" t="s">
        <v>22</v>
      </c>
      <c r="C96">
        <v>1</v>
      </c>
      <c r="D96" s="21">
        <v>0.7055555555555556</v>
      </c>
      <c r="E96" s="1">
        <v>0.7</v>
      </c>
      <c r="F96" s="1">
        <v>25</v>
      </c>
      <c r="G96" s="1">
        <v>31.5</v>
      </c>
      <c r="H96" s="1">
        <v>8.0299999999999994</v>
      </c>
      <c r="I96" s="1">
        <v>8.86</v>
      </c>
      <c r="J96" s="1">
        <v>128.69999999999999</v>
      </c>
      <c r="K96" s="1">
        <v>0.7</v>
      </c>
      <c r="L96" t="s">
        <v>16</v>
      </c>
      <c r="M96" s="1" t="s">
        <v>16</v>
      </c>
      <c r="N96" s="1">
        <v>13.8</v>
      </c>
      <c r="O96" s="19" t="s">
        <v>16</v>
      </c>
    </row>
    <row r="97" spans="1:15" x14ac:dyDescent="0.25">
      <c r="A97" s="16">
        <v>44292</v>
      </c>
      <c r="B97" t="s">
        <v>22</v>
      </c>
      <c r="C97">
        <v>2</v>
      </c>
      <c r="D97" s="21">
        <v>0.69027777777777777</v>
      </c>
      <c r="E97" s="1">
        <v>0.95</v>
      </c>
      <c r="F97" s="1">
        <v>25</v>
      </c>
      <c r="G97" s="1">
        <v>31.02</v>
      </c>
      <c r="H97" s="1">
        <v>7.92</v>
      </c>
      <c r="I97" s="1">
        <v>9.0299999999999994</v>
      </c>
      <c r="J97" s="1">
        <v>130.4</v>
      </c>
      <c r="K97" s="1">
        <v>0.95</v>
      </c>
      <c r="L97" t="s">
        <v>16</v>
      </c>
      <c r="M97" s="1" t="s">
        <v>16</v>
      </c>
      <c r="N97" s="1">
        <v>10.5</v>
      </c>
      <c r="O97" s="19" t="s">
        <v>16</v>
      </c>
    </row>
    <row r="98" spans="1:15" x14ac:dyDescent="0.25">
      <c r="A98" s="16">
        <v>44292</v>
      </c>
      <c r="B98" t="s">
        <v>22</v>
      </c>
      <c r="C98">
        <v>3</v>
      </c>
      <c r="D98" s="21">
        <v>0.6972222222222223</v>
      </c>
      <c r="E98" s="1">
        <v>0.8</v>
      </c>
      <c r="F98" s="1">
        <v>25.4</v>
      </c>
      <c r="G98" s="1">
        <v>30.61</v>
      </c>
      <c r="H98" s="1">
        <v>7.9</v>
      </c>
      <c r="I98" s="1">
        <v>9.2899999999999991</v>
      </c>
      <c r="J98" s="1">
        <v>134.6</v>
      </c>
      <c r="K98" s="1">
        <v>0.8</v>
      </c>
      <c r="L98" t="s">
        <v>16</v>
      </c>
      <c r="M98" s="1" t="s">
        <v>16</v>
      </c>
      <c r="N98" s="1">
        <v>9.58</v>
      </c>
      <c r="O98" s="19" t="s">
        <v>16</v>
      </c>
    </row>
    <row r="99" spans="1:15" x14ac:dyDescent="0.25">
      <c r="A99" s="16">
        <v>44320</v>
      </c>
      <c r="B99" t="s">
        <v>15</v>
      </c>
      <c r="C99">
        <v>1</v>
      </c>
      <c r="D99" s="21">
        <v>0.67638888888888893</v>
      </c>
      <c r="E99" s="1">
        <v>1.05</v>
      </c>
      <c r="F99" s="1">
        <v>30.4</v>
      </c>
      <c r="G99" s="1">
        <v>26.61</v>
      </c>
      <c r="H99" s="1">
        <v>7.97</v>
      </c>
      <c r="I99" s="1">
        <v>7.64</v>
      </c>
      <c r="J99" s="1">
        <v>117.5</v>
      </c>
      <c r="K99" s="1">
        <v>1.05</v>
      </c>
      <c r="L99" t="s">
        <v>16</v>
      </c>
      <c r="M99" s="1" t="s">
        <v>16</v>
      </c>
      <c r="N99" s="1">
        <v>7.05</v>
      </c>
      <c r="O99" s="19" t="s">
        <v>16</v>
      </c>
    </row>
    <row r="100" spans="1:15" x14ac:dyDescent="0.25">
      <c r="A100" s="16">
        <v>44320</v>
      </c>
      <c r="B100" t="s">
        <v>15</v>
      </c>
      <c r="C100">
        <v>2</v>
      </c>
      <c r="D100" s="21">
        <v>0.68333333333333324</v>
      </c>
      <c r="E100" s="1">
        <v>0.65</v>
      </c>
      <c r="F100" s="1">
        <v>30.4</v>
      </c>
      <c r="G100" s="1">
        <v>26.03</v>
      </c>
      <c r="H100" s="1">
        <v>7.95</v>
      </c>
      <c r="I100" s="1">
        <v>7.63</v>
      </c>
      <c r="J100" s="1">
        <v>117.2</v>
      </c>
      <c r="K100" s="1">
        <v>0.65</v>
      </c>
      <c r="L100" t="s">
        <v>16</v>
      </c>
      <c r="M100" s="1" t="s">
        <v>16</v>
      </c>
      <c r="N100" s="1">
        <v>6.28</v>
      </c>
      <c r="O100" s="19" t="s">
        <v>16</v>
      </c>
    </row>
    <row r="101" spans="1:15" x14ac:dyDescent="0.25">
      <c r="A101" s="16">
        <v>44320</v>
      </c>
      <c r="B101" t="s">
        <v>15</v>
      </c>
      <c r="C101">
        <v>3</v>
      </c>
      <c r="D101" s="21">
        <v>0.6694444444444444</v>
      </c>
      <c r="E101" s="1">
        <v>0.65</v>
      </c>
      <c r="F101" s="1">
        <v>30.5</v>
      </c>
      <c r="G101" s="1">
        <v>24.47</v>
      </c>
      <c r="H101" s="1">
        <v>7.89</v>
      </c>
      <c r="I101" s="1">
        <v>7.05</v>
      </c>
      <c r="J101" s="1">
        <v>107.3</v>
      </c>
      <c r="K101" s="1">
        <v>0.65</v>
      </c>
      <c r="L101" t="s">
        <v>16</v>
      </c>
      <c r="M101" s="1" t="s">
        <v>16</v>
      </c>
      <c r="N101" s="1">
        <v>3.46</v>
      </c>
      <c r="O101" s="19" t="s">
        <v>16</v>
      </c>
    </row>
    <row r="102" spans="1:15" x14ac:dyDescent="0.25">
      <c r="A102" s="16">
        <v>44320</v>
      </c>
      <c r="B102" t="s">
        <v>22</v>
      </c>
      <c r="C102">
        <v>1</v>
      </c>
      <c r="D102" s="21">
        <v>0.72430555555555554</v>
      </c>
      <c r="E102" s="1">
        <v>0.85</v>
      </c>
      <c r="F102" s="1">
        <v>30.1</v>
      </c>
      <c r="G102" s="1">
        <v>34.57</v>
      </c>
      <c r="H102" s="1">
        <v>8.11</v>
      </c>
      <c r="I102" s="1">
        <v>8.0500000000000007</v>
      </c>
      <c r="J102" s="1">
        <v>129.19999999999999</v>
      </c>
      <c r="K102" s="1">
        <v>0.85</v>
      </c>
      <c r="L102" t="s">
        <v>16</v>
      </c>
      <c r="M102" s="1" t="s">
        <v>16</v>
      </c>
      <c r="N102" s="1">
        <v>8</v>
      </c>
      <c r="O102" s="19" t="s">
        <v>16</v>
      </c>
    </row>
    <row r="103" spans="1:15" x14ac:dyDescent="0.25">
      <c r="A103" s="16">
        <v>44320</v>
      </c>
      <c r="B103" t="s">
        <v>22</v>
      </c>
      <c r="C103">
        <v>2</v>
      </c>
      <c r="D103" s="21">
        <v>0.71250000000000002</v>
      </c>
      <c r="E103" s="1">
        <v>0.8</v>
      </c>
      <c r="F103" s="1">
        <v>30.8</v>
      </c>
      <c r="G103" s="1">
        <v>33.54</v>
      </c>
      <c r="H103" s="1">
        <v>8.1300000000000008</v>
      </c>
      <c r="I103" s="1">
        <v>9.66</v>
      </c>
      <c r="J103" s="1">
        <v>155.80000000000001</v>
      </c>
      <c r="K103" s="1">
        <v>0.8</v>
      </c>
      <c r="L103" t="s">
        <v>16</v>
      </c>
      <c r="M103" s="1" t="s">
        <v>16</v>
      </c>
      <c r="N103" s="1">
        <v>8.3800000000000008</v>
      </c>
      <c r="O103" s="19" t="s">
        <v>16</v>
      </c>
    </row>
    <row r="104" spans="1:15" x14ac:dyDescent="0.25">
      <c r="A104" s="16">
        <v>44320</v>
      </c>
      <c r="B104" t="s">
        <v>22</v>
      </c>
      <c r="C104">
        <v>3</v>
      </c>
      <c r="D104" s="21">
        <v>0.71666666666666667</v>
      </c>
      <c r="E104" s="1">
        <v>0.75</v>
      </c>
      <c r="F104" s="1">
        <v>30.8</v>
      </c>
      <c r="G104" s="1">
        <v>33.53</v>
      </c>
      <c r="H104" s="1">
        <v>8.1</v>
      </c>
      <c r="I104" s="1">
        <v>9.3000000000000007</v>
      </c>
      <c r="J104" s="1">
        <v>150</v>
      </c>
      <c r="K104" s="1">
        <v>0.75</v>
      </c>
      <c r="L104" t="s">
        <v>16</v>
      </c>
      <c r="M104" s="1" t="s">
        <v>16</v>
      </c>
      <c r="N104" s="1">
        <v>5</v>
      </c>
      <c r="O104" s="19" t="s">
        <v>16</v>
      </c>
    </row>
    <row r="105" spans="1:15" x14ac:dyDescent="0.25">
      <c r="A105" s="16">
        <v>44354</v>
      </c>
      <c r="B105" t="s">
        <v>15</v>
      </c>
      <c r="C105">
        <v>1</v>
      </c>
      <c r="D105" s="21">
        <v>0.63888888888888895</v>
      </c>
      <c r="E105" s="1">
        <v>0.6</v>
      </c>
      <c r="F105" s="1">
        <v>31.7</v>
      </c>
      <c r="G105" s="1">
        <v>21.27</v>
      </c>
      <c r="H105" s="1">
        <v>7.93</v>
      </c>
      <c r="I105" s="1">
        <v>8.4600000000000009</v>
      </c>
      <c r="J105" s="1">
        <v>129.4</v>
      </c>
      <c r="K105" s="1">
        <v>0.6</v>
      </c>
      <c r="L105" t="s">
        <v>16</v>
      </c>
      <c r="M105" s="1" t="s">
        <v>16</v>
      </c>
      <c r="N105" s="1">
        <v>1.7</v>
      </c>
      <c r="O105" s="19" t="s">
        <v>16</v>
      </c>
    </row>
    <row r="106" spans="1:15" x14ac:dyDescent="0.25">
      <c r="A106" s="16">
        <v>44354</v>
      </c>
      <c r="B106" t="s">
        <v>15</v>
      </c>
      <c r="C106">
        <v>2</v>
      </c>
      <c r="D106" s="21">
        <v>0.64652777777777781</v>
      </c>
      <c r="E106" s="1">
        <v>0.4</v>
      </c>
      <c r="F106" s="1">
        <v>31.2</v>
      </c>
      <c r="G106" s="1">
        <v>18.2</v>
      </c>
      <c r="H106" s="1">
        <v>7.92</v>
      </c>
      <c r="I106" s="1">
        <v>7.97</v>
      </c>
      <c r="J106" s="1">
        <v>118.9</v>
      </c>
      <c r="K106" s="1">
        <v>0.4</v>
      </c>
      <c r="L106" t="s">
        <v>16</v>
      </c>
      <c r="M106" s="1" t="s">
        <v>16</v>
      </c>
      <c r="N106" s="1">
        <v>4.17</v>
      </c>
      <c r="O106" s="19" t="s">
        <v>16</v>
      </c>
    </row>
    <row r="107" spans="1:15" x14ac:dyDescent="0.25">
      <c r="A107" s="16">
        <v>44354</v>
      </c>
      <c r="B107" t="s">
        <v>15</v>
      </c>
      <c r="C107">
        <v>3</v>
      </c>
      <c r="D107" s="21">
        <v>0.63124999999999998</v>
      </c>
      <c r="E107" s="1">
        <v>0.55000000000000004</v>
      </c>
      <c r="F107" s="1">
        <v>30.9</v>
      </c>
      <c r="G107" s="1">
        <v>15.57</v>
      </c>
      <c r="H107" s="1">
        <v>7.85</v>
      </c>
      <c r="I107" s="1">
        <v>6.73</v>
      </c>
      <c r="J107" s="1">
        <v>98.1</v>
      </c>
      <c r="K107" s="1">
        <v>0.55000000000000004</v>
      </c>
      <c r="L107" t="s">
        <v>16</v>
      </c>
      <c r="M107" s="1" t="s">
        <v>16</v>
      </c>
      <c r="N107" s="1">
        <v>3.89</v>
      </c>
      <c r="O107" s="19" t="s">
        <v>16</v>
      </c>
    </row>
    <row r="108" spans="1:15" x14ac:dyDescent="0.25">
      <c r="A108" s="16">
        <v>44354</v>
      </c>
      <c r="B108" t="s">
        <v>22</v>
      </c>
      <c r="C108">
        <v>1</v>
      </c>
      <c r="D108" s="21">
        <v>0.69374999999999998</v>
      </c>
      <c r="E108" s="1">
        <v>0.45</v>
      </c>
      <c r="F108" s="1">
        <v>31.4</v>
      </c>
      <c r="G108" s="1">
        <v>30.74</v>
      </c>
      <c r="H108" s="1">
        <v>8.06</v>
      </c>
      <c r="I108" s="1">
        <v>8.99</v>
      </c>
      <c r="J108" s="1">
        <v>144.1</v>
      </c>
      <c r="K108" s="1">
        <v>0.45</v>
      </c>
      <c r="L108" t="s">
        <v>16</v>
      </c>
      <c r="M108" s="1" t="s">
        <v>16</v>
      </c>
      <c r="N108" s="1">
        <v>13</v>
      </c>
      <c r="O108" s="19" t="s">
        <v>16</v>
      </c>
    </row>
    <row r="109" spans="1:15" x14ac:dyDescent="0.25">
      <c r="A109" s="16">
        <v>44354</v>
      </c>
      <c r="B109" t="s">
        <v>22</v>
      </c>
      <c r="C109">
        <v>2</v>
      </c>
      <c r="D109" s="21">
        <v>0.6777777777777777</v>
      </c>
      <c r="E109" s="1">
        <v>0.4</v>
      </c>
      <c r="F109" s="1">
        <v>31.6</v>
      </c>
      <c r="G109" s="1">
        <v>30.44</v>
      </c>
      <c r="H109" s="1" t="s">
        <v>16</v>
      </c>
      <c r="I109" s="1">
        <v>9.14</v>
      </c>
      <c r="J109" s="1">
        <v>146.6</v>
      </c>
      <c r="K109" s="1">
        <v>0.4</v>
      </c>
      <c r="L109" t="s">
        <v>16</v>
      </c>
      <c r="M109" s="1" t="s">
        <v>16</v>
      </c>
      <c r="N109" s="1">
        <v>17.8</v>
      </c>
      <c r="O109" s="19" t="s">
        <v>16</v>
      </c>
    </row>
    <row r="110" spans="1:15" x14ac:dyDescent="0.25">
      <c r="A110" s="16">
        <v>44354</v>
      </c>
      <c r="B110" t="s">
        <v>22</v>
      </c>
      <c r="C110">
        <v>3</v>
      </c>
      <c r="D110" s="21">
        <v>0.68611111111111101</v>
      </c>
      <c r="E110" s="1">
        <v>0.35</v>
      </c>
      <c r="F110" s="1">
        <v>32.700000000000003</v>
      </c>
      <c r="G110" s="1">
        <v>30.64</v>
      </c>
      <c r="H110" s="1">
        <v>8.01</v>
      </c>
      <c r="I110" s="1">
        <v>9.33</v>
      </c>
      <c r="J110" s="1">
        <v>152.4</v>
      </c>
      <c r="K110" s="1">
        <v>0.35</v>
      </c>
      <c r="L110" t="s">
        <v>16</v>
      </c>
      <c r="M110" s="1" t="s">
        <v>16</v>
      </c>
      <c r="N110" s="1">
        <v>8.76</v>
      </c>
      <c r="O110" s="19" t="s">
        <v>16</v>
      </c>
    </row>
    <row r="111" spans="1:15" x14ac:dyDescent="0.25">
      <c r="A111" s="16">
        <v>44389</v>
      </c>
      <c r="B111" t="s">
        <v>15</v>
      </c>
      <c r="C111">
        <v>1</v>
      </c>
      <c r="D111" s="21">
        <v>0.63263888888888886</v>
      </c>
      <c r="E111" s="1">
        <v>0.5</v>
      </c>
      <c r="F111" s="1">
        <v>29.2</v>
      </c>
      <c r="G111" s="1">
        <v>16.04</v>
      </c>
      <c r="H111" s="1">
        <v>7.83</v>
      </c>
      <c r="I111" s="1">
        <v>5.66</v>
      </c>
      <c r="J111" s="1">
        <v>80.7</v>
      </c>
      <c r="K111" s="1">
        <v>0.5</v>
      </c>
      <c r="L111" t="s">
        <v>16</v>
      </c>
      <c r="M111" s="1" t="s">
        <v>16</v>
      </c>
      <c r="N111" s="1">
        <v>4.8600000000000003</v>
      </c>
      <c r="O111" s="19" t="s">
        <v>16</v>
      </c>
    </row>
    <row r="112" spans="1:15" x14ac:dyDescent="0.25">
      <c r="A112" s="16">
        <v>44389</v>
      </c>
      <c r="B112" t="s">
        <v>15</v>
      </c>
      <c r="C112">
        <v>2</v>
      </c>
      <c r="D112" s="21">
        <v>0.63750000000000007</v>
      </c>
      <c r="E112" s="1">
        <v>0.5</v>
      </c>
      <c r="F112" s="1">
        <v>29.2</v>
      </c>
      <c r="G112" s="1">
        <v>16.29</v>
      </c>
      <c r="H112" s="1">
        <v>7.77</v>
      </c>
      <c r="I112" s="1">
        <v>4.2300000000000004</v>
      </c>
      <c r="J112" s="1">
        <v>59.8</v>
      </c>
      <c r="K112" s="1">
        <v>0.5</v>
      </c>
      <c r="L112" t="s">
        <v>16</v>
      </c>
      <c r="M112" s="1" t="s">
        <v>16</v>
      </c>
      <c r="N112" s="1">
        <v>6.1</v>
      </c>
      <c r="O112" s="19" t="s">
        <v>16</v>
      </c>
    </row>
    <row r="113" spans="1:15" x14ac:dyDescent="0.25">
      <c r="A113" s="16">
        <v>44389</v>
      </c>
      <c r="B113" t="s">
        <v>15</v>
      </c>
      <c r="C113">
        <v>3</v>
      </c>
      <c r="D113" s="21">
        <v>0.62569444444444444</v>
      </c>
      <c r="E113" s="1">
        <v>0.6</v>
      </c>
      <c r="F113" s="1">
        <v>29.5</v>
      </c>
      <c r="G113" s="1">
        <v>10.43</v>
      </c>
      <c r="H113" s="1">
        <v>7.83</v>
      </c>
      <c r="I113" s="1">
        <v>6.14</v>
      </c>
      <c r="J113" s="1">
        <v>85.4</v>
      </c>
      <c r="K113" s="1">
        <v>0.6</v>
      </c>
      <c r="L113" t="s">
        <v>16</v>
      </c>
      <c r="M113" s="1" t="s">
        <v>16</v>
      </c>
      <c r="N113" s="1">
        <v>3.65</v>
      </c>
      <c r="O113" s="19" t="s">
        <v>16</v>
      </c>
    </row>
    <row r="114" spans="1:15" x14ac:dyDescent="0.25">
      <c r="A114" s="16">
        <v>44389</v>
      </c>
      <c r="B114" t="s">
        <v>22</v>
      </c>
      <c r="C114">
        <v>1</v>
      </c>
      <c r="D114" s="21">
        <v>0.69513888888888886</v>
      </c>
      <c r="E114" s="1">
        <v>0.4</v>
      </c>
      <c r="F114" s="1">
        <v>28.9</v>
      </c>
      <c r="G114" s="1">
        <v>25.9</v>
      </c>
      <c r="H114" s="1">
        <v>7.78</v>
      </c>
      <c r="I114" s="1">
        <v>4.88</v>
      </c>
      <c r="J114" s="1">
        <v>73</v>
      </c>
      <c r="K114" s="1">
        <v>0.4</v>
      </c>
      <c r="L114" t="s">
        <v>16</v>
      </c>
      <c r="M114" s="1" t="s">
        <v>16</v>
      </c>
      <c r="N114" s="1">
        <v>6.44</v>
      </c>
      <c r="O114" s="19" t="s">
        <v>16</v>
      </c>
    </row>
    <row r="115" spans="1:15" x14ac:dyDescent="0.25">
      <c r="A115" s="16">
        <v>44389</v>
      </c>
      <c r="B115" t="s">
        <v>22</v>
      </c>
      <c r="C115">
        <v>2</v>
      </c>
      <c r="D115" s="21">
        <v>0.68194444444444446</v>
      </c>
      <c r="E115" s="1">
        <v>0.55000000000000004</v>
      </c>
      <c r="F115" s="1">
        <v>29.3</v>
      </c>
      <c r="G115" s="1">
        <v>27.27</v>
      </c>
      <c r="H115" s="1">
        <v>7.85</v>
      </c>
      <c r="I115" s="1">
        <v>5.44</v>
      </c>
      <c r="J115" s="1">
        <v>82.1</v>
      </c>
      <c r="K115" s="1">
        <v>0.55000000000000004</v>
      </c>
      <c r="L115" t="s">
        <v>16</v>
      </c>
      <c r="M115" s="1" t="s">
        <v>16</v>
      </c>
      <c r="N115" s="1">
        <v>7.6</v>
      </c>
      <c r="O115" s="19" t="s">
        <v>16</v>
      </c>
    </row>
    <row r="116" spans="1:15" x14ac:dyDescent="0.25">
      <c r="A116" s="16">
        <v>44389</v>
      </c>
      <c r="B116" t="s">
        <v>22</v>
      </c>
      <c r="C116">
        <v>3</v>
      </c>
      <c r="D116" s="21">
        <v>0.68680555555555556</v>
      </c>
      <c r="E116" s="1">
        <v>0.4</v>
      </c>
      <c r="F116" s="1">
        <v>28.7</v>
      </c>
      <c r="G116" s="1">
        <v>26.81</v>
      </c>
      <c r="H116" s="1">
        <v>7.88</v>
      </c>
      <c r="I116" s="1">
        <v>5.6</v>
      </c>
      <c r="J116" s="1">
        <v>84.1</v>
      </c>
      <c r="K116" s="1">
        <v>0.4</v>
      </c>
      <c r="L116" t="s">
        <v>16</v>
      </c>
      <c r="M116" s="1" t="s">
        <v>16</v>
      </c>
      <c r="N116" s="1">
        <v>13.85</v>
      </c>
      <c r="O116" s="19" t="s">
        <v>16</v>
      </c>
    </row>
    <row r="117" spans="1:15" x14ac:dyDescent="0.25">
      <c r="A117" s="16">
        <v>44411</v>
      </c>
      <c r="B117" t="s">
        <v>15</v>
      </c>
      <c r="C117">
        <v>1</v>
      </c>
      <c r="D117" s="21">
        <v>0.65625</v>
      </c>
      <c r="E117" s="1">
        <v>0.7</v>
      </c>
      <c r="F117" s="1">
        <v>30.4</v>
      </c>
      <c r="G117" s="1">
        <v>11.74</v>
      </c>
      <c r="H117" s="1">
        <v>7.93</v>
      </c>
      <c r="I117" s="1">
        <v>6.65</v>
      </c>
      <c r="J117" s="1">
        <v>94.1</v>
      </c>
      <c r="K117" s="1">
        <v>0.7</v>
      </c>
      <c r="L117" t="s">
        <v>16</v>
      </c>
      <c r="M117" s="1" t="s">
        <v>16</v>
      </c>
      <c r="N117" s="1">
        <v>8.27</v>
      </c>
      <c r="O117" s="19" t="s">
        <v>16</v>
      </c>
    </row>
    <row r="118" spans="1:15" x14ac:dyDescent="0.25">
      <c r="A118" s="16">
        <v>44411</v>
      </c>
      <c r="B118" t="s">
        <v>15</v>
      </c>
      <c r="C118">
        <v>2</v>
      </c>
      <c r="D118" s="21">
        <v>0.6645833333333333</v>
      </c>
      <c r="E118" s="1">
        <v>0.55000000000000004</v>
      </c>
      <c r="F118" s="1">
        <v>30.2</v>
      </c>
      <c r="G118" s="1">
        <v>12.3</v>
      </c>
      <c r="H118" s="1">
        <v>7.96</v>
      </c>
      <c r="I118" s="1">
        <v>6.58</v>
      </c>
      <c r="J118" s="1">
        <v>93.3</v>
      </c>
      <c r="K118" s="1">
        <v>0.55000000000000004</v>
      </c>
      <c r="L118" t="s">
        <v>16</v>
      </c>
      <c r="M118" s="1" t="s">
        <v>16</v>
      </c>
      <c r="N118" s="1">
        <v>4.6100000000000003</v>
      </c>
      <c r="O118" s="19" t="s">
        <v>16</v>
      </c>
    </row>
    <row r="119" spans="1:15" x14ac:dyDescent="0.25">
      <c r="A119" s="16">
        <v>44411</v>
      </c>
      <c r="B119" t="s">
        <v>15</v>
      </c>
      <c r="C119">
        <v>3</v>
      </c>
      <c r="D119" s="21">
        <v>0.6479166666666667</v>
      </c>
      <c r="E119" s="1">
        <v>0.55000000000000004</v>
      </c>
      <c r="F119" s="1">
        <v>30.4</v>
      </c>
      <c r="G119" s="1">
        <v>9.2100000000000009</v>
      </c>
      <c r="H119" s="1">
        <v>7.85</v>
      </c>
      <c r="I119" s="1">
        <v>4.8</v>
      </c>
      <c r="J119" s="1">
        <v>67.3</v>
      </c>
      <c r="K119" s="1">
        <v>0.55000000000000004</v>
      </c>
      <c r="L119" t="s">
        <v>16</v>
      </c>
      <c r="M119" s="1" t="s">
        <v>16</v>
      </c>
      <c r="N119" s="1">
        <v>2.39</v>
      </c>
      <c r="O119" s="19" t="s">
        <v>16</v>
      </c>
    </row>
    <row r="120" spans="1:15" x14ac:dyDescent="0.25">
      <c r="A120" s="16">
        <v>44411</v>
      </c>
      <c r="B120" t="s">
        <v>22</v>
      </c>
      <c r="C120">
        <v>1</v>
      </c>
      <c r="D120" s="21">
        <v>0.70347222222222217</v>
      </c>
      <c r="E120" s="1">
        <v>0.65</v>
      </c>
      <c r="F120" s="1">
        <v>29.9</v>
      </c>
      <c r="G120" s="1">
        <v>26</v>
      </c>
      <c r="H120" s="1">
        <v>8.0500000000000007</v>
      </c>
      <c r="I120" s="1">
        <v>7.39</v>
      </c>
      <c r="J120" s="1">
        <v>112.8</v>
      </c>
      <c r="K120" s="1">
        <v>0.65</v>
      </c>
      <c r="L120" t="s">
        <v>16</v>
      </c>
      <c r="M120" s="1" t="s">
        <v>16</v>
      </c>
      <c r="N120" s="1">
        <v>4.93</v>
      </c>
      <c r="O120" s="19" t="s">
        <v>16</v>
      </c>
    </row>
    <row r="121" spans="1:15" x14ac:dyDescent="0.25">
      <c r="A121" s="16">
        <v>44411</v>
      </c>
      <c r="B121" t="s">
        <v>22</v>
      </c>
      <c r="C121">
        <v>2</v>
      </c>
      <c r="D121" s="21">
        <v>0.68888888888888899</v>
      </c>
      <c r="E121" s="1">
        <v>0.9</v>
      </c>
      <c r="F121" s="1">
        <v>30.3</v>
      </c>
      <c r="G121" s="1">
        <v>28.04</v>
      </c>
      <c r="H121" s="1">
        <v>8</v>
      </c>
      <c r="I121" s="1">
        <v>6.9</v>
      </c>
      <c r="J121" s="1">
        <v>107.1</v>
      </c>
      <c r="K121" s="1">
        <v>0.9</v>
      </c>
      <c r="L121" t="s">
        <v>16</v>
      </c>
      <c r="M121" s="1" t="s">
        <v>16</v>
      </c>
      <c r="N121" s="1">
        <v>5.98</v>
      </c>
      <c r="O121" s="19" t="s">
        <v>16</v>
      </c>
    </row>
    <row r="122" spans="1:15" x14ac:dyDescent="0.25">
      <c r="A122" s="16">
        <v>44411</v>
      </c>
      <c r="B122" t="s">
        <v>22</v>
      </c>
      <c r="C122">
        <v>3</v>
      </c>
      <c r="D122" s="21">
        <v>0.69444444444444453</v>
      </c>
      <c r="E122" s="1">
        <v>0.9</v>
      </c>
      <c r="F122" s="1">
        <v>30.6</v>
      </c>
      <c r="G122" s="1">
        <v>27.3</v>
      </c>
      <c r="H122" s="1">
        <v>7.96</v>
      </c>
      <c r="I122" s="1">
        <v>6.8</v>
      </c>
      <c r="J122" s="1">
        <v>105.4</v>
      </c>
      <c r="K122" s="1">
        <v>0.9</v>
      </c>
      <c r="L122" t="s">
        <v>16</v>
      </c>
      <c r="M122" s="1" t="s">
        <v>16</v>
      </c>
      <c r="N122" s="1">
        <v>9.02</v>
      </c>
      <c r="O122" s="19" t="s">
        <v>16</v>
      </c>
    </row>
    <row r="123" spans="1:15" x14ac:dyDescent="0.25">
      <c r="A123" s="16">
        <v>44448</v>
      </c>
      <c r="B123" t="s">
        <v>15</v>
      </c>
      <c r="C123">
        <v>1</v>
      </c>
      <c r="D123" s="21">
        <v>0.36458333333333331</v>
      </c>
      <c r="E123" s="1">
        <v>0.8</v>
      </c>
      <c r="F123" s="1">
        <v>29.4</v>
      </c>
      <c r="G123" s="1">
        <v>13.08</v>
      </c>
      <c r="H123" s="1">
        <v>7.38</v>
      </c>
      <c r="I123" s="1">
        <v>3.79</v>
      </c>
      <c r="J123" s="1">
        <v>53.2</v>
      </c>
      <c r="K123" s="1">
        <v>0.8</v>
      </c>
      <c r="L123" t="s">
        <v>16</v>
      </c>
      <c r="M123" s="1">
        <v>1.38</v>
      </c>
      <c r="N123" s="1">
        <v>2.86</v>
      </c>
      <c r="O123" s="19" t="s">
        <v>16</v>
      </c>
    </row>
    <row r="124" spans="1:15" x14ac:dyDescent="0.25">
      <c r="A124" s="16">
        <v>44448</v>
      </c>
      <c r="B124" t="s">
        <v>15</v>
      </c>
      <c r="C124">
        <v>2</v>
      </c>
      <c r="D124" s="21">
        <v>0.39027777777777778</v>
      </c>
      <c r="E124" s="1">
        <v>0.5</v>
      </c>
      <c r="F124" s="1">
        <v>29.3</v>
      </c>
      <c r="G124" s="1">
        <v>13.43</v>
      </c>
      <c r="H124" s="1">
        <v>7.48</v>
      </c>
      <c r="I124" s="1">
        <v>4.43</v>
      </c>
      <c r="J124" s="1">
        <v>62.5</v>
      </c>
      <c r="K124" s="1">
        <v>0.5</v>
      </c>
      <c r="L124" t="s">
        <v>16</v>
      </c>
      <c r="M124" s="1">
        <v>2</v>
      </c>
      <c r="N124" s="1">
        <v>3.89</v>
      </c>
      <c r="O124" s="19" t="s">
        <v>16</v>
      </c>
    </row>
    <row r="125" spans="1:15" x14ac:dyDescent="0.25">
      <c r="A125" s="16">
        <v>44448</v>
      </c>
      <c r="B125" t="s">
        <v>15</v>
      </c>
      <c r="C125">
        <v>3</v>
      </c>
      <c r="D125" s="21">
        <v>0.33124999999999999</v>
      </c>
      <c r="E125" s="1">
        <v>0.75</v>
      </c>
      <c r="F125" s="1">
        <v>28.4</v>
      </c>
      <c r="G125" s="1">
        <v>5.49</v>
      </c>
      <c r="H125" s="1">
        <v>7.28</v>
      </c>
      <c r="I125" s="1">
        <v>3.31</v>
      </c>
      <c r="J125" s="1">
        <v>44</v>
      </c>
      <c r="K125" s="1">
        <v>0.75</v>
      </c>
      <c r="L125" t="s">
        <v>16</v>
      </c>
      <c r="M125" s="1">
        <v>2.5299999999999998</v>
      </c>
      <c r="N125" s="1">
        <v>5.09</v>
      </c>
      <c r="O125" s="19" t="s">
        <v>16</v>
      </c>
    </row>
    <row r="126" spans="1:15" x14ac:dyDescent="0.25">
      <c r="A126" s="16">
        <v>44448</v>
      </c>
      <c r="B126" t="s">
        <v>22</v>
      </c>
      <c r="C126">
        <v>1</v>
      </c>
      <c r="D126" s="21">
        <v>0.46736111111111112</v>
      </c>
      <c r="E126" s="1">
        <v>1.1000000000000001</v>
      </c>
      <c r="F126" s="1">
        <v>29.6</v>
      </c>
      <c r="G126" s="1">
        <v>28.39</v>
      </c>
      <c r="H126" s="1">
        <v>7.94</v>
      </c>
      <c r="I126" s="1">
        <v>5.99</v>
      </c>
      <c r="J126" s="1">
        <v>92.1</v>
      </c>
      <c r="K126" s="1">
        <v>1.1000000000000001</v>
      </c>
      <c r="L126" t="s">
        <v>16</v>
      </c>
      <c r="M126" s="1">
        <v>1.3</v>
      </c>
      <c r="N126" s="1">
        <v>3.33</v>
      </c>
      <c r="O126" s="19" t="s">
        <v>16</v>
      </c>
    </row>
    <row r="127" spans="1:15" x14ac:dyDescent="0.25">
      <c r="A127" s="16">
        <v>44448</v>
      </c>
      <c r="B127" t="s">
        <v>22</v>
      </c>
      <c r="C127">
        <v>2</v>
      </c>
      <c r="D127" s="21">
        <v>0.4291666666666667</v>
      </c>
      <c r="E127" s="1">
        <v>1.1000000000000001</v>
      </c>
      <c r="F127" s="1">
        <v>29.7</v>
      </c>
      <c r="G127" s="1">
        <v>27.58</v>
      </c>
      <c r="H127" s="1">
        <v>7.82</v>
      </c>
      <c r="I127" s="1">
        <v>5.62</v>
      </c>
      <c r="J127" s="1">
        <v>86.2</v>
      </c>
      <c r="K127" s="1">
        <v>0.8</v>
      </c>
      <c r="L127" t="s">
        <v>16</v>
      </c>
      <c r="M127" s="1">
        <v>1.45</v>
      </c>
      <c r="N127" s="1">
        <v>3.32</v>
      </c>
      <c r="O127" s="19" t="s">
        <v>16</v>
      </c>
    </row>
    <row r="128" spans="1:15" x14ac:dyDescent="0.25">
      <c r="A128" s="16">
        <v>44448</v>
      </c>
      <c r="B128" t="s">
        <v>22</v>
      </c>
      <c r="C128">
        <v>3</v>
      </c>
      <c r="D128" s="21">
        <v>0.45277777777777778</v>
      </c>
      <c r="E128" s="1">
        <v>0.9</v>
      </c>
      <c r="F128" s="1">
        <v>29.8</v>
      </c>
      <c r="G128" s="1">
        <v>29.4</v>
      </c>
      <c r="H128" s="1">
        <v>7.91</v>
      </c>
      <c r="I128" s="1">
        <v>5.72</v>
      </c>
      <c r="J128" s="1">
        <v>88.3</v>
      </c>
      <c r="K128" s="1">
        <v>0.9</v>
      </c>
      <c r="L128" t="s">
        <v>16</v>
      </c>
      <c r="M128" s="1">
        <v>2.5099999999999998</v>
      </c>
      <c r="N128" s="1">
        <v>2.71</v>
      </c>
      <c r="O128" s="19" t="s">
        <v>16</v>
      </c>
    </row>
    <row r="129" spans="1:15" x14ac:dyDescent="0.25">
      <c r="A129" s="16">
        <v>44474</v>
      </c>
      <c r="B129" t="s">
        <v>15</v>
      </c>
      <c r="C129">
        <v>1</v>
      </c>
      <c r="D129" s="21">
        <v>0.64583333333333337</v>
      </c>
      <c r="E129" s="1">
        <v>0.45</v>
      </c>
      <c r="F129" s="1">
        <v>29.1</v>
      </c>
      <c r="G129" s="1">
        <v>9.86</v>
      </c>
      <c r="H129" s="1">
        <v>7.66</v>
      </c>
      <c r="I129" s="1">
        <v>5.01</v>
      </c>
      <c r="J129" s="1">
        <v>68.599999999999994</v>
      </c>
      <c r="K129" s="1">
        <v>0.45</v>
      </c>
      <c r="L129" t="s">
        <v>16</v>
      </c>
      <c r="M129" s="1">
        <v>6.77</v>
      </c>
      <c r="N129" s="1">
        <v>5.9</v>
      </c>
      <c r="O129" s="19" t="s">
        <v>16</v>
      </c>
    </row>
    <row r="130" spans="1:15" x14ac:dyDescent="0.25">
      <c r="A130" s="16">
        <v>44474</v>
      </c>
      <c r="B130" t="s">
        <v>15</v>
      </c>
      <c r="C130">
        <v>2</v>
      </c>
      <c r="D130" s="21">
        <v>0.65138888888888891</v>
      </c>
      <c r="E130" s="1">
        <v>0.4</v>
      </c>
      <c r="F130" s="1">
        <v>29.6</v>
      </c>
      <c r="G130" s="1">
        <v>9.7200000000000006</v>
      </c>
      <c r="H130" s="1">
        <v>7.79</v>
      </c>
      <c r="I130" s="1">
        <v>6.13</v>
      </c>
      <c r="J130" s="1">
        <v>85</v>
      </c>
      <c r="K130" s="1">
        <v>0.4</v>
      </c>
      <c r="L130" t="s">
        <v>16</v>
      </c>
      <c r="M130" s="1">
        <v>4.16</v>
      </c>
      <c r="N130" s="1">
        <v>9.24</v>
      </c>
      <c r="O130" s="19" t="s">
        <v>16</v>
      </c>
    </row>
    <row r="131" spans="1:15" x14ac:dyDescent="0.25">
      <c r="A131" s="16">
        <v>44474</v>
      </c>
      <c r="B131" t="s">
        <v>15</v>
      </c>
      <c r="C131">
        <v>3</v>
      </c>
      <c r="D131" s="21">
        <v>0.63750000000000007</v>
      </c>
      <c r="E131" s="1">
        <v>0.6</v>
      </c>
      <c r="F131" s="1">
        <v>28.2</v>
      </c>
      <c r="G131" s="1">
        <v>3.54</v>
      </c>
      <c r="H131" s="1">
        <v>7.66</v>
      </c>
      <c r="I131" s="1">
        <v>4.92</v>
      </c>
      <c r="J131" s="1">
        <v>64.5</v>
      </c>
      <c r="K131" s="1">
        <v>0.6</v>
      </c>
      <c r="L131" t="s">
        <v>16</v>
      </c>
      <c r="M131" s="1">
        <v>1.18</v>
      </c>
      <c r="N131" s="1">
        <v>4.3899999999999997</v>
      </c>
      <c r="O131" s="19" t="s">
        <v>16</v>
      </c>
    </row>
    <row r="132" spans="1:15" x14ac:dyDescent="0.25">
      <c r="A132" s="16">
        <v>44474</v>
      </c>
      <c r="B132" t="s">
        <v>22</v>
      </c>
      <c r="C132">
        <v>1</v>
      </c>
      <c r="D132" s="21">
        <v>0.69374999999999998</v>
      </c>
      <c r="E132" s="1">
        <v>0.5</v>
      </c>
      <c r="F132" s="1">
        <v>30.4</v>
      </c>
      <c r="G132" s="1">
        <v>21.45</v>
      </c>
      <c r="H132" s="1">
        <v>8.07</v>
      </c>
      <c r="I132" s="1">
        <v>7.27</v>
      </c>
      <c r="J132" s="1">
        <v>109</v>
      </c>
      <c r="K132" s="1">
        <v>0.5</v>
      </c>
      <c r="L132" t="s">
        <v>16</v>
      </c>
      <c r="M132" s="1">
        <v>6.56</v>
      </c>
      <c r="N132" s="1">
        <v>5.71</v>
      </c>
      <c r="O132" s="19" t="s">
        <v>16</v>
      </c>
    </row>
    <row r="133" spans="1:15" x14ac:dyDescent="0.25">
      <c r="A133" s="16">
        <v>44474</v>
      </c>
      <c r="B133" t="s">
        <v>22</v>
      </c>
      <c r="C133">
        <v>2</v>
      </c>
      <c r="D133" s="21">
        <v>0.67847222222222225</v>
      </c>
      <c r="E133" s="1">
        <v>0.3</v>
      </c>
      <c r="F133" s="1">
        <v>30.7</v>
      </c>
      <c r="G133" s="1">
        <v>17.920000000000002</v>
      </c>
      <c r="H133" s="1">
        <v>8.1199999999999992</v>
      </c>
      <c r="I133" s="1">
        <v>9.07</v>
      </c>
      <c r="J133" s="1">
        <v>134.19999999999999</v>
      </c>
      <c r="K133" s="1">
        <v>0.3</v>
      </c>
      <c r="L133" t="s">
        <v>16</v>
      </c>
      <c r="M133" s="1">
        <v>2.75</v>
      </c>
      <c r="N133" s="1">
        <v>6</v>
      </c>
      <c r="O133" s="19" t="s">
        <v>16</v>
      </c>
    </row>
    <row r="134" spans="1:15" x14ac:dyDescent="0.25">
      <c r="A134" s="16">
        <v>44474</v>
      </c>
      <c r="B134" t="s">
        <v>22</v>
      </c>
      <c r="C134">
        <v>3</v>
      </c>
      <c r="D134" s="21">
        <v>0.68333333333333324</v>
      </c>
      <c r="E134" s="1">
        <v>0.5</v>
      </c>
      <c r="F134" s="1">
        <v>30.8</v>
      </c>
      <c r="G134" s="1">
        <v>16.25</v>
      </c>
      <c r="H134" s="1">
        <v>8.01</v>
      </c>
      <c r="I134" s="1">
        <v>7.95</v>
      </c>
      <c r="J134" s="1">
        <v>117.4</v>
      </c>
      <c r="K134" s="1">
        <v>0.5</v>
      </c>
      <c r="L134" t="s">
        <v>16</v>
      </c>
      <c r="M134" s="1">
        <v>13.84</v>
      </c>
      <c r="N134" s="1">
        <v>5.9</v>
      </c>
      <c r="O134" s="19" t="s">
        <v>16</v>
      </c>
    </row>
    <row r="135" spans="1:15" x14ac:dyDescent="0.25">
      <c r="A135" s="16">
        <v>44503</v>
      </c>
      <c r="B135" t="s">
        <v>15</v>
      </c>
      <c r="C135">
        <v>1</v>
      </c>
      <c r="D135" s="21">
        <v>0.65347222222222223</v>
      </c>
      <c r="E135" s="1">
        <v>0.75</v>
      </c>
      <c r="F135" s="1">
        <v>26.3</v>
      </c>
      <c r="G135" s="1">
        <v>14.62</v>
      </c>
      <c r="H135" s="1">
        <v>7.68</v>
      </c>
      <c r="I135" s="1">
        <v>5.0199999999999996</v>
      </c>
      <c r="J135" s="1">
        <v>67.400000000000006</v>
      </c>
      <c r="K135" s="1">
        <v>0.75</v>
      </c>
      <c r="L135" t="s">
        <v>16</v>
      </c>
      <c r="M135" s="1">
        <v>9.1</v>
      </c>
      <c r="N135" s="1">
        <v>3.4</v>
      </c>
      <c r="O135" s="19" t="s">
        <v>16</v>
      </c>
    </row>
    <row r="136" spans="1:15" x14ac:dyDescent="0.25">
      <c r="A136" s="16">
        <v>44503</v>
      </c>
      <c r="B136" t="s">
        <v>15</v>
      </c>
      <c r="C136">
        <v>2</v>
      </c>
      <c r="D136" s="21">
        <v>0.65833333333333333</v>
      </c>
      <c r="E136" s="1">
        <v>0.5</v>
      </c>
      <c r="F136" s="1">
        <v>26.7</v>
      </c>
      <c r="G136" s="1">
        <v>15.33</v>
      </c>
      <c r="H136" s="1">
        <v>7.67</v>
      </c>
      <c r="I136" s="1">
        <v>5.09</v>
      </c>
      <c r="J136" s="1">
        <v>70.099999999999994</v>
      </c>
      <c r="K136" s="1">
        <v>0.5</v>
      </c>
      <c r="L136" t="s">
        <v>16</v>
      </c>
      <c r="M136" s="1">
        <v>20.56</v>
      </c>
      <c r="N136" s="1">
        <v>3.42</v>
      </c>
      <c r="O136" s="19" t="s">
        <v>16</v>
      </c>
    </row>
    <row r="137" spans="1:15" x14ac:dyDescent="0.25">
      <c r="A137" s="16">
        <v>44503</v>
      </c>
      <c r="B137" t="s">
        <v>15</v>
      </c>
      <c r="C137">
        <v>3</v>
      </c>
      <c r="D137" s="21">
        <v>0.64513888888888882</v>
      </c>
      <c r="E137" s="1">
        <v>0.5</v>
      </c>
      <c r="F137" s="1">
        <v>25.8</v>
      </c>
      <c r="G137" s="1">
        <v>10.16</v>
      </c>
      <c r="H137" s="1">
        <v>7.75</v>
      </c>
      <c r="I137" s="1">
        <v>4.43</v>
      </c>
      <c r="J137" s="1">
        <v>57.6</v>
      </c>
      <c r="K137" s="1">
        <v>0.5</v>
      </c>
      <c r="L137" t="s">
        <v>16</v>
      </c>
      <c r="M137" s="1">
        <v>4.25</v>
      </c>
      <c r="N137" s="1">
        <v>3.41</v>
      </c>
      <c r="O137" s="19" t="s">
        <v>16</v>
      </c>
    </row>
    <row r="138" spans="1:15" x14ac:dyDescent="0.25">
      <c r="A138" s="16">
        <v>44503</v>
      </c>
      <c r="B138" t="s">
        <v>22</v>
      </c>
      <c r="C138">
        <v>1</v>
      </c>
      <c r="D138" s="21">
        <v>0.69791666666666663</v>
      </c>
      <c r="E138" s="1">
        <v>0.5</v>
      </c>
      <c r="F138" s="1">
        <v>26.8</v>
      </c>
      <c r="G138" s="1">
        <v>24.13</v>
      </c>
      <c r="H138" s="1">
        <v>7.95</v>
      </c>
      <c r="I138" s="1">
        <v>7.76</v>
      </c>
      <c r="J138" s="1">
        <v>111.3</v>
      </c>
      <c r="K138" s="1">
        <v>0.5</v>
      </c>
      <c r="L138" t="s">
        <v>16</v>
      </c>
      <c r="M138" s="1">
        <v>27.63</v>
      </c>
      <c r="N138" s="1">
        <v>4.87</v>
      </c>
      <c r="O138" s="19" t="s">
        <v>16</v>
      </c>
    </row>
    <row r="139" spans="1:15" x14ac:dyDescent="0.25">
      <c r="A139" s="16">
        <v>44503</v>
      </c>
      <c r="B139" t="s">
        <v>22</v>
      </c>
      <c r="C139">
        <v>2</v>
      </c>
      <c r="D139" s="21">
        <v>0.68541666666666667</v>
      </c>
      <c r="E139" s="1">
        <v>0.7</v>
      </c>
      <c r="F139" s="1">
        <v>26.9</v>
      </c>
      <c r="G139" s="1">
        <v>22.85</v>
      </c>
      <c r="H139" s="1">
        <v>7.8</v>
      </c>
      <c r="I139" s="1">
        <v>6.34</v>
      </c>
      <c r="J139" s="1">
        <v>90.1</v>
      </c>
      <c r="K139" s="1">
        <v>0.7</v>
      </c>
      <c r="L139" t="s">
        <v>16</v>
      </c>
      <c r="M139" s="1">
        <v>19.350000000000001</v>
      </c>
      <c r="N139" s="1">
        <v>5.41</v>
      </c>
      <c r="O139" s="19" t="s">
        <v>16</v>
      </c>
    </row>
    <row r="140" spans="1:15" x14ac:dyDescent="0.25">
      <c r="A140" s="16">
        <v>44503</v>
      </c>
      <c r="B140" t="s">
        <v>22</v>
      </c>
      <c r="C140">
        <v>3</v>
      </c>
      <c r="D140" s="21">
        <v>0.69027777777777777</v>
      </c>
      <c r="E140" s="1">
        <v>0.6</v>
      </c>
      <c r="F140" s="1">
        <v>27.1</v>
      </c>
      <c r="G140" s="1">
        <v>21.17</v>
      </c>
      <c r="H140" s="1">
        <v>7.85</v>
      </c>
      <c r="I140" s="1">
        <v>7.12</v>
      </c>
      <c r="J140" s="1">
        <v>100.8</v>
      </c>
      <c r="K140" s="1">
        <v>0.6</v>
      </c>
      <c r="L140" t="s">
        <v>16</v>
      </c>
      <c r="M140" s="1">
        <v>19.32</v>
      </c>
      <c r="N140" s="1">
        <v>6.41</v>
      </c>
      <c r="O140" s="19" t="s">
        <v>16</v>
      </c>
    </row>
    <row r="141" spans="1:15" x14ac:dyDescent="0.25">
      <c r="A141" s="16">
        <v>44537</v>
      </c>
      <c r="B141" t="s">
        <v>15</v>
      </c>
      <c r="C141">
        <v>1</v>
      </c>
      <c r="D141" s="21">
        <v>0.64513888888888882</v>
      </c>
      <c r="E141" s="1">
        <v>0.9</v>
      </c>
      <c r="F141" s="1">
        <v>23.9</v>
      </c>
      <c r="G141" s="1">
        <v>20.29</v>
      </c>
      <c r="H141" s="1">
        <v>7.74</v>
      </c>
      <c r="I141" s="1">
        <v>5.63</v>
      </c>
      <c r="J141" s="1">
        <v>74.900000000000006</v>
      </c>
      <c r="K141" s="1">
        <v>0.9</v>
      </c>
      <c r="L141" t="s">
        <v>16</v>
      </c>
      <c r="M141" s="1">
        <v>6.58</v>
      </c>
      <c r="N141" s="1">
        <v>2.15</v>
      </c>
      <c r="O141" s="19" t="s">
        <v>16</v>
      </c>
    </row>
    <row r="142" spans="1:15" x14ac:dyDescent="0.25">
      <c r="A142" s="16">
        <v>44537</v>
      </c>
      <c r="B142" t="s">
        <v>15</v>
      </c>
      <c r="C142">
        <v>2</v>
      </c>
      <c r="D142" s="21">
        <v>0.64930555555555558</v>
      </c>
      <c r="E142" s="1">
        <v>0.5</v>
      </c>
      <c r="F142" s="1">
        <v>24.2</v>
      </c>
      <c r="G142" s="1">
        <v>19.920000000000002</v>
      </c>
      <c r="H142" s="1">
        <v>7.78</v>
      </c>
      <c r="I142" s="1">
        <v>6.06</v>
      </c>
      <c r="J142" s="1">
        <v>80.900000000000006</v>
      </c>
      <c r="K142" s="1">
        <v>0.5</v>
      </c>
      <c r="L142" t="s">
        <v>16</v>
      </c>
      <c r="M142" s="1">
        <v>6.18</v>
      </c>
      <c r="N142" s="1">
        <v>3.21</v>
      </c>
      <c r="O142" s="19" t="s">
        <v>16</v>
      </c>
    </row>
    <row r="143" spans="1:15" x14ac:dyDescent="0.25">
      <c r="A143" s="16">
        <v>44537</v>
      </c>
      <c r="B143" t="s">
        <v>15</v>
      </c>
      <c r="C143">
        <v>3</v>
      </c>
      <c r="D143" s="21">
        <v>0.63750000000000007</v>
      </c>
      <c r="E143" s="1">
        <v>0.95</v>
      </c>
      <c r="F143" s="1">
        <v>23.2</v>
      </c>
      <c r="G143" s="1">
        <v>13.27</v>
      </c>
      <c r="H143" s="1">
        <v>7.58</v>
      </c>
      <c r="I143" s="1">
        <v>5.52</v>
      </c>
      <c r="J143" s="1">
        <v>69.8</v>
      </c>
      <c r="K143" s="1">
        <v>0.95</v>
      </c>
      <c r="L143" t="s">
        <v>16</v>
      </c>
      <c r="M143" s="1">
        <v>3.11</v>
      </c>
      <c r="N143" s="1">
        <v>2.4</v>
      </c>
      <c r="O143" s="19" t="s">
        <v>16</v>
      </c>
    </row>
    <row r="144" spans="1:15" x14ac:dyDescent="0.25">
      <c r="A144" s="16">
        <v>44537</v>
      </c>
      <c r="B144" t="s">
        <v>22</v>
      </c>
      <c r="C144">
        <v>1</v>
      </c>
      <c r="D144" s="21">
        <v>0.68611111111111101</v>
      </c>
      <c r="E144" s="1">
        <v>0.65</v>
      </c>
      <c r="F144" s="1">
        <v>24.2</v>
      </c>
      <c r="G144" s="1">
        <v>25.41</v>
      </c>
      <c r="H144" s="1">
        <v>7.77</v>
      </c>
      <c r="I144" s="1">
        <v>5.55</v>
      </c>
      <c r="J144" s="1">
        <v>76</v>
      </c>
      <c r="K144" s="1">
        <v>0.65</v>
      </c>
      <c r="L144" t="s">
        <v>16</v>
      </c>
      <c r="M144" s="1">
        <v>3.15</v>
      </c>
      <c r="N144" s="1">
        <v>3.44</v>
      </c>
      <c r="O144" s="19" t="s">
        <v>16</v>
      </c>
    </row>
    <row r="145" spans="1:15" x14ac:dyDescent="0.25">
      <c r="A145" s="16">
        <v>44537</v>
      </c>
      <c r="B145" t="s">
        <v>22</v>
      </c>
      <c r="C145">
        <v>2</v>
      </c>
      <c r="D145" s="21">
        <v>0.67361111111111116</v>
      </c>
      <c r="E145" s="1">
        <v>0.9</v>
      </c>
      <c r="F145" s="1">
        <v>24.6</v>
      </c>
      <c r="G145" s="1">
        <v>24.18</v>
      </c>
      <c r="H145" s="1">
        <v>7.7</v>
      </c>
      <c r="I145" s="1">
        <v>4.84</v>
      </c>
      <c r="J145" s="1">
        <v>67.2</v>
      </c>
      <c r="K145" s="1">
        <v>0.9</v>
      </c>
      <c r="L145" t="s">
        <v>16</v>
      </c>
      <c r="M145" s="1">
        <v>3.43</v>
      </c>
      <c r="N145" s="1">
        <v>2.95</v>
      </c>
      <c r="O145" s="19" t="s">
        <v>16</v>
      </c>
    </row>
    <row r="146" spans="1:15" x14ac:dyDescent="0.25">
      <c r="A146" s="16">
        <v>44537</v>
      </c>
      <c r="B146" t="s">
        <v>22</v>
      </c>
      <c r="C146">
        <v>3</v>
      </c>
      <c r="D146" s="21">
        <v>0.6777777777777777</v>
      </c>
      <c r="E146" s="1">
        <v>0.65</v>
      </c>
      <c r="F146" s="1">
        <v>24.5</v>
      </c>
      <c r="G146" s="1">
        <v>26.72</v>
      </c>
      <c r="H146" s="1">
        <v>7.87</v>
      </c>
      <c r="I146" s="1">
        <v>5.91</v>
      </c>
      <c r="J146" s="1">
        <v>81.8</v>
      </c>
      <c r="K146" s="1">
        <v>0.65</v>
      </c>
      <c r="L146" t="s">
        <v>16</v>
      </c>
      <c r="M146" s="1">
        <v>7.72</v>
      </c>
      <c r="N146" s="1">
        <v>4.0999999999999996</v>
      </c>
      <c r="O146" s="19" t="s">
        <v>16</v>
      </c>
    </row>
    <row r="147" spans="1:15" x14ac:dyDescent="0.25">
      <c r="A147" s="16">
        <v>44572</v>
      </c>
      <c r="B147" t="s">
        <v>15</v>
      </c>
      <c r="C147">
        <v>1</v>
      </c>
      <c r="D147" s="21">
        <v>0.73263888888888884</v>
      </c>
      <c r="E147" s="1">
        <v>1.2</v>
      </c>
      <c r="F147" s="1">
        <v>22.9</v>
      </c>
      <c r="G147" s="1">
        <v>26.91</v>
      </c>
      <c r="H147" s="1">
        <v>7.95</v>
      </c>
      <c r="I147" s="1">
        <v>6.36</v>
      </c>
      <c r="J147" s="1">
        <v>86.7</v>
      </c>
      <c r="K147" s="1">
        <v>1.2</v>
      </c>
      <c r="L147" t="s">
        <v>16</v>
      </c>
      <c r="M147" s="1">
        <v>3.41</v>
      </c>
      <c r="N147" s="1">
        <v>2.68</v>
      </c>
      <c r="O147" s="19" t="s">
        <v>16</v>
      </c>
    </row>
    <row r="148" spans="1:15" x14ac:dyDescent="0.25">
      <c r="A148" s="16">
        <v>44572</v>
      </c>
      <c r="B148" t="s">
        <v>15</v>
      </c>
      <c r="C148">
        <v>2</v>
      </c>
      <c r="D148" s="21">
        <v>0.71527777777777779</v>
      </c>
      <c r="E148" s="1">
        <v>0.85</v>
      </c>
      <c r="F148" s="1">
        <v>22.8</v>
      </c>
      <c r="G148" s="1">
        <v>23.02</v>
      </c>
      <c r="H148" s="1">
        <v>7.99</v>
      </c>
      <c r="I148" s="1">
        <v>7.16</v>
      </c>
      <c r="J148" s="1">
        <v>94.8</v>
      </c>
      <c r="K148" s="1">
        <v>0.85</v>
      </c>
      <c r="L148" t="s">
        <v>16</v>
      </c>
      <c r="M148" s="1">
        <v>6.87</v>
      </c>
      <c r="N148" s="1">
        <v>4.7300000000000004</v>
      </c>
      <c r="O148" s="19" t="s">
        <v>16</v>
      </c>
    </row>
    <row r="149" spans="1:15" x14ac:dyDescent="0.25">
      <c r="A149" s="16">
        <v>44572</v>
      </c>
      <c r="B149" t="s">
        <v>15</v>
      </c>
      <c r="C149">
        <v>3</v>
      </c>
      <c r="D149" s="21">
        <v>0.73958333333333337</v>
      </c>
      <c r="E149" s="1">
        <v>0.85</v>
      </c>
      <c r="F149" s="1">
        <v>23</v>
      </c>
      <c r="G149" s="1">
        <v>20.98</v>
      </c>
      <c r="H149" s="1">
        <v>7.88</v>
      </c>
      <c r="I149" s="1">
        <v>6.52</v>
      </c>
      <c r="J149" s="1">
        <v>85.5</v>
      </c>
      <c r="K149" s="1">
        <v>0.85</v>
      </c>
      <c r="L149" t="s">
        <v>16</v>
      </c>
      <c r="M149" s="1">
        <v>2.8</v>
      </c>
      <c r="N149" s="1">
        <v>7.5</v>
      </c>
      <c r="O149" s="19" t="s">
        <v>16</v>
      </c>
    </row>
    <row r="150" spans="1:15" x14ac:dyDescent="0.25">
      <c r="A150" s="16">
        <v>44573</v>
      </c>
      <c r="B150" t="s">
        <v>22</v>
      </c>
      <c r="C150">
        <v>1</v>
      </c>
      <c r="D150" s="21">
        <v>0.53472222222222221</v>
      </c>
      <c r="E150" s="1">
        <v>0.75</v>
      </c>
      <c r="F150" s="1">
        <v>22</v>
      </c>
      <c r="G150" s="1">
        <v>25.38</v>
      </c>
      <c r="H150" s="1">
        <v>7.8</v>
      </c>
      <c r="I150" s="1">
        <v>6.63</v>
      </c>
      <c r="J150" s="1">
        <v>88.1</v>
      </c>
      <c r="K150" s="1">
        <v>0.75</v>
      </c>
      <c r="L150" t="s">
        <v>16</v>
      </c>
      <c r="M150" s="1">
        <v>3.59</v>
      </c>
      <c r="N150" s="1">
        <v>5.63</v>
      </c>
      <c r="O150" s="19" t="s">
        <v>16</v>
      </c>
    </row>
    <row r="151" spans="1:15" x14ac:dyDescent="0.25">
      <c r="A151" s="16">
        <v>44573</v>
      </c>
      <c r="B151" t="s">
        <v>22</v>
      </c>
      <c r="C151">
        <v>2</v>
      </c>
      <c r="D151" s="21">
        <v>0.5229166666666667</v>
      </c>
      <c r="E151" s="1">
        <v>0.8</v>
      </c>
      <c r="F151" s="1">
        <v>21.9</v>
      </c>
      <c r="G151" s="1">
        <v>24.82</v>
      </c>
      <c r="H151" s="1">
        <v>7.77</v>
      </c>
      <c r="I151" s="1">
        <v>6.74</v>
      </c>
      <c r="J151" s="1">
        <v>88.8</v>
      </c>
      <c r="K151" s="1">
        <v>0.8</v>
      </c>
      <c r="L151" t="s">
        <v>16</v>
      </c>
      <c r="M151" s="1">
        <v>2.74</v>
      </c>
      <c r="N151" s="1">
        <v>4.3899999999999997</v>
      </c>
      <c r="O151" s="19" t="s">
        <v>16</v>
      </c>
    </row>
    <row r="152" spans="1:15" x14ac:dyDescent="0.25">
      <c r="A152" s="16">
        <v>44573</v>
      </c>
      <c r="B152" t="s">
        <v>22</v>
      </c>
      <c r="C152">
        <v>3</v>
      </c>
      <c r="D152" s="21">
        <v>0.52777777777777779</v>
      </c>
      <c r="E152" s="1">
        <v>0.8</v>
      </c>
      <c r="F152" s="1">
        <v>22.1</v>
      </c>
      <c r="G152" s="1">
        <v>25.01</v>
      </c>
      <c r="H152" s="1">
        <v>7.78</v>
      </c>
      <c r="I152" s="1">
        <v>6.96</v>
      </c>
      <c r="J152" s="1">
        <v>92</v>
      </c>
      <c r="K152" s="1">
        <v>0.8</v>
      </c>
      <c r="L152" t="s">
        <v>16</v>
      </c>
      <c r="M152" s="1">
        <v>2.89</v>
      </c>
      <c r="N152" s="1">
        <v>3.73</v>
      </c>
      <c r="O152" s="19" t="s">
        <v>16</v>
      </c>
    </row>
    <row r="153" spans="1:15" x14ac:dyDescent="0.25">
      <c r="A153" s="16">
        <v>44601</v>
      </c>
      <c r="B153" t="s">
        <v>15</v>
      </c>
      <c r="C153">
        <v>1</v>
      </c>
      <c r="D153" s="21">
        <v>0.68402777777777779</v>
      </c>
      <c r="E153" s="1">
        <v>0.9</v>
      </c>
      <c r="F153" s="1">
        <v>22.5</v>
      </c>
      <c r="G153" s="1">
        <v>27.69</v>
      </c>
      <c r="H153" s="1">
        <v>8.0500000000000007</v>
      </c>
      <c r="I153" s="1">
        <v>7.22</v>
      </c>
      <c r="J153" s="1">
        <v>97.5</v>
      </c>
      <c r="K153" s="1">
        <v>0.9</v>
      </c>
      <c r="L153" t="s">
        <v>16</v>
      </c>
      <c r="M153" s="1">
        <v>1.93</v>
      </c>
      <c r="N153" s="1">
        <v>3.74</v>
      </c>
      <c r="O153" s="19" t="s">
        <v>16</v>
      </c>
    </row>
    <row r="154" spans="1:15" x14ac:dyDescent="0.25">
      <c r="A154" s="16">
        <v>44601</v>
      </c>
      <c r="B154" t="s">
        <v>15</v>
      </c>
      <c r="C154">
        <v>2</v>
      </c>
      <c r="D154" s="21">
        <v>0.69027777777777777</v>
      </c>
      <c r="E154" s="1">
        <v>0.75</v>
      </c>
      <c r="F154" s="1">
        <v>21.9</v>
      </c>
      <c r="G154" s="1">
        <v>25.39</v>
      </c>
      <c r="H154" s="1">
        <v>7.99</v>
      </c>
      <c r="I154" s="1">
        <v>6.98</v>
      </c>
      <c r="J154" s="1">
        <v>92.3</v>
      </c>
      <c r="K154" s="1">
        <v>0.75</v>
      </c>
      <c r="L154" t="s">
        <v>16</v>
      </c>
      <c r="M154" s="1">
        <v>1.96</v>
      </c>
      <c r="N154" s="1">
        <v>1.1599999999999999</v>
      </c>
      <c r="O154" s="19" t="s">
        <v>16</v>
      </c>
    </row>
    <row r="155" spans="1:15" x14ac:dyDescent="0.25">
      <c r="A155" s="16">
        <v>44601</v>
      </c>
      <c r="B155" t="s">
        <v>15</v>
      </c>
      <c r="C155">
        <v>3</v>
      </c>
      <c r="D155" s="21">
        <v>0.67569444444444438</v>
      </c>
      <c r="E155" s="1">
        <v>0.75</v>
      </c>
      <c r="F155" s="1">
        <v>21.6</v>
      </c>
      <c r="G155" s="1">
        <v>20.69</v>
      </c>
      <c r="H155" s="1">
        <v>7.9</v>
      </c>
      <c r="I155" s="1">
        <v>6.92</v>
      </c>
      <c r="J155" s="1">
        <v>88.4</v>
      </c>
      <c r="K155" s="1">
        <v>0.75</v>
      </c>
      <c r="L155" t="s">
        <v>16</v>
      </c>
      <c r="M155" s="1">
        <v>0.96</v>
      </c>
      <c r="N155" s="1">
        <v>2.12</v>
      </c>
      <c r="O155" s="19" t="s">
        <v>16</v>
      </c>
    </row>
    <row r="156" spans="1:15" x14ac:dyDescent="0.25">
      <c r="A156" s="16">
        <v>44601</v>
      </c>
      <c r="B156" t="s">
        <v>22</v>
      </c>
      <c r="C156">
        <v>1</v>
      </c>
      <c r="D156" s="21">
        <v>0.73611111111111116</v>
      </c>
      <c r="E156" s="1">
        <v>0.75</v>
      </c>
      <c r="F156" s="1">
        <v>22.1</v>
      </c>
      <c r="G156" s="1">
        <v>25.97</v>
      </c>
      <c r="H156" s="1">
        <v>7.94</v>
      </c>
      <c r="I156" s="1">
        <v>7.25</v>
      </c>
      <c r="J156" s="1">
        <v>96.8</v>
      </c>
      <c r="K156" s="1">
        <v>0.75</v>
      </c>
      <c r="L156" t="s">
        <v>16</v>
      </c>
      <c r="M156" s="1">
        <v>3.38</v>
      </c>
      <c r="N156" s="1">
        <v>4.1100000000000003</v>
      </c>
      <c r="O156" s="19" t="s">
        <v>16</v>
      </c>
    </row>
    <row r="157" spans="1:15" x14ac:dyDescent="0.25">
      <c r="A157" s="16">
        <v>44601</v>
      </c>
      <c r="B157" t="s">
        <v>22</v>
      </c>
      <c r="C157">
        <v>2</v>
      </c>
      <c r="D157" s="21">
        <v>0.71944444444444444</v>
      </c>
      <c r="E157" s="1">
        <v>0.6</v>
      </c>
      <c r="F157" s="1">
        <v>22.3</v>
      </c>
      <c r="G157" s="1">
        <v>27.56</v>
      </c>
      <c r="H157" s="1">
        <v>7.98</v>
      </c>
      <c r="I157" s="1">
        <v>6.9</v>
      </c>
      <c r="J157" s="1">
        <v>93.3</v>
      </c>
      <c r="K157" s="1">
        <v>0.6</v>
      </c>
      <c r="L157" t="s">
        <v>16</v>
      </c>
      <c r="M157" s="1">
        <v>1.5</v>
      </c>
      <c r="N157" s="1">
        <v>2.86</v>
      </c>
      <c r="O157" s="19" t="s">
        <v>16</v>
      </c>
    </row>
    <row r="158" spans="1:15" x14ac:dyDescent="0.25">
      <c r="A158" s="16">
        <v>44601</v>
      </c>
      <c r="B158" t="s">
        <v>22</v>
      </c>
      <c r="C158">
        <v>3</v>
      </c>
      <c r="D158" s="21">
        <v>0.7270833333333333</v>
      </c>
      <c r="E158" s="1">
        <v>0.9</v>
      </c>
      <c r="F158" s="1">
        <v>21.7</v>
      </c>
      <c r="G158" s="1">
        <v>25.62</v>
      </c>
      <c r="H158" s="1">
        <v>8</v>
      </c>
      <c r="I158" s="1">
        <v>7.73</v>
      </c>
      <c r="J158" s="1">
        <v>100.4</v>
      </c>
      <c r="K158" s="1">
        <v>0.9</v>
      </c>
      <c r="L158" t="s">
        <v>16</v>
      </c>
      <c r="M158" s="1">
        <v>0.82</v>
      </c>
      <c r="N158" s="1">
        <v>2.73</v>
      </c>
      <c r="O158" s="19" t="s">
        <v>16</v>
      </c>
    </row>
    <row r="159" spans="1:15" x14ac:dyDescent="0.25">
      <c r="A159" s="16">
        <v>44629</v>
      </c>
      <c r="B159" t="s">
        <v>15</v>
      </c>
      <c r="C159">
        <v>1</v>
      </c>
      <c r="D159" s="21">
        <v>0.70763888888888893</v>
      </c>
      <c r="E159" s="1">
        <v>0.5</v>
      </c>
      <c r="F159" s="1">
        <v>26.9</v>
      </c>
      <c r="G159" s="1">
        <v>21.49</v>
      </c>
      <c r="H159" s="1">
        <v>7.99</v>
      </c>
      <c r="I159" s="1">
        <v>6.93</v>
      </c>
      <c r="J159" s="1">
        <v>98.2</v>
      </c>
      <c r="K159" s="1">
        <v>0.5</v>
      </c>
      <c r="L159" t="s">
        <v>16</v>
      </c>
      <c r="M159" s="1">
        <v>7.72</v>
      </c>
      <c r="N159" s="1">
        <v>7.44</v>
      </c>
      <c r="O159" s="19" t="s">
        <v>16</v>
      </c>
    </row>
    <row r="160" spans="1:15" x14ac:dyDescent="0.25">
      <c r="A160" s="16">
        <v>44629</v>
      </c>
      <c r="B160" t="s">
        <v>15</v>
      </c>
      <c r="C160">
        <v>2</v>
      </c>
      <c r="D160" s="21">
        <v>0.59513888888888888</v>
      </c>
      <c r="E160" s="1">
        <v>0.5</v>
      </c>
      <c r="F160" s="1">
        <v>26.8</v>
      </c>
      <c r="G160" s="1">
        <v>22.33</v>
      </c>
      <c r="H160" s="1">
        <v>8.02</v>
      </c>
      <c r="I160" s="1">
        <v>7.48</v>
      </c>
      <c r="J160" s="1">
        <v>106.2</v>
      </c>
      <c r="K160" s="1">
        <v>0.5</v>
      </c>
      <c r="L160" t="s">
        <v>16</v>
      </c>
      <c r="M160" s="1">
        <v>4.5199999999999996</v>
      </c>
      <c r="N160" s="1">
        <v>8.61</v>
      </c>
      <c r="O160" s="19" t="s">
        <v>16</v>
      </c>
    </row>
    <row r="161" spans="1:15" x14ac:dyDescent="0.25">
      <c r="A161" s="16">
        <v>44629</v>
      </c>
      <c r="B161" t="s">
        <v>15</v>
      </c>
      <c r="C161">
        <v>3</v>
      </c>
      <c r="D161" s="21">
        <v>0.72916666666666663</v>
      </c>
      <c r="E161" s="1">
        <v>0.7</v>
      </c>
      <c r="F161" s="1">
        <v>26.3</v>
      </c>
      <c r="G161" s="1">
        <v>16.37</v>
      </c>
      <c r="H161" s="1">
        <v>7.91</v>
      </c>
      <c r="I161" s="1">
        <v>6.95</v>
      </c>
      <c r="J161" s="1">
        <v>94.3</v>
      </c>
      <c r="K161" s="1">
        <v>0.7</v>
      </c>
      <c r="L161" t="s">
        <v>16</v>
      </c>
      <c r="M161" s="1">
        <v>1.84</v>
      </c>
      <c r="N161" s="1">
        <v>4.1399999999999997</v>
      </c>
      <c r="O161" s="19" t="s">
        <v>16</v>
      </c>
    </row>
    <row r="162" spans="1:15" x14ac:dyDescent="0.25">
      <c r="A162" s="16">
        <v>44629</v>
      </c>
      <c r="B162" t="s">
        <v>22</v>
      </c>
      <c r="C162">
        <v>1</v>
      </c>
      <c r="D162" s="21">
        <v>0.65763888888888888</v>
      </c>
      <c r="E162" s="1">
        <v>0.7</v>
      </c>
      <c r="F162" s="1">
        <v>27.6</v>
      </c>
      <c r="G162" s="1">
        <v>34.229999999999997</v>
      </c>
      <c r="H162" s="1">
        <v>8.18</v>
      </c>
      <c r="I162" s="1">
        <v>8.91</v>
      </c>
      <c r="J162" s="1">
        <v>137.19999999999999</v>
      </c>
      <c r="K162" s="1">
        <v>0.7</v>
      </c>
      <c r="L162" t="s">
        <v>16</v>
      </c>
      <c r="M162" s="1">
        <v>7.92</v>
      </c>
      <c r="N162" s="1">
        <v>5.86</v>
      </c>
      <c r="O162" s="19" t="s">
        <v>16</v>
      </c>
    </row>
    <row r="163" spans="1:15" x14ac:dyDescent="0.25">
      <c r="A163" s="16">
        <v>44629</v>
      </c>
      <c r="B163" t="s">
        <v>22</v>
      </c>
      <c r="C163">
        <v>2</v>
      </c>
      <c r="D163" s="21">
        <v>0.62708333333333333</v>
      </c>
      <c r="E163" s="1">
        <v>0.7</v>
      </c>
      <c r="F163" s="1">
        <v>27.8</v>
      </c>
      <c r="G163" s="1">
        <v>32.270000000000003</v>
      </c>
      <c r="H163" s="1">
        <v>8.1300000000000008</v>
      </c>
      <c r="I163" s="1">
        <v>9.64</v>
      </c>
      <c r="J163" s="1">
        <v>146.69999999999999</v>
      </c>
      <c r="K163" s="1">
        <v>0.7</v>
      </c>
      <c r="L163" t="s">
        <v>16</v>
      </c>
      <c r="M163" s="1">
        <v>2.0499999999999998</v>
      </c>
      <c r="N163" s="1">
        <v>6</v>
      </c>
      <c r="O163" s="19" t="s">
        <v>16</v>
      </c>
    </row>
    <row r="164" spans="1:15" x14ac:dyDescent="0.25">
      <c r="A164" s="16">
        <v>44629</v>
      </c>
      <c r="B164" t="s">
        <v>22</v>
      </c>
      <c r="C164">
        <v>3</v>
      </c>
      <c r="D164" s="21">
        <v>0.64444444444444449</v>
      </c>
      <c r="E164" s="1">
        <v>0.7</v>
      </c>
      <c r="F164" s="1">
        <v>27.5</v>
      </c>
      <c r="G164" s="1">
        <v>35.25</v>
      </c>
      <c r="H164" s="1">
        <v>8.18</v>
      </c>
      <c r="I164" s="1">
        <v>8.8000000000000007</v>
      </c>
      <c r="J164" s="1">
        <v>137.30000000000001</v>
      </c>
      <c r="K164" s="1">
        <v>0.7</v>
      </c>
      <c r="L164" t="s">
        <v>16</v>
      </c>
      <c r="M164" s="1">
        <v>3.41</v>
      </c>
      <c r="N164" s="1">
        <v>6.15</v>
      </c>
      <c r="O164" s="19" t="s">
        <v>16</v>
      </c>
    </row>
    <row r="165" spans="1:15" x14ac:dyDescent="0.25">
      <c r="A165" s="16">
        <v>44656</v>
      </c>
      <c r="B165" t="s">
        <v>15</v>
      </c>
      <c r="C165">
        <v>1</v>
      </c>
      <c r="D165" s="21">
        <v>0.65208333333333335</v>
      </c>
      <c r="E165" s="1">
        <v>0.9</v>
      </c>
      <c r="F165" s="1">
        <v>26.8</v>
      </c>
      <c r="G165" s="1">
        <v>24.78</v>
      </c>
      <c r="H165" s="1">
        <v>7.9</v>
      </c>
      <c r="I165" s="1">
        <v>6.77</v>
      </c>
      <c r="J165" s="1">
        <v>97.5</v>
      </c>
      <c r="K165" s="1">
        <v>0.9</v>
      </c>
      <c r="L165" t="s">
        <v>16</v>
      </c>
      <c r="M165" s="1">
        <v>9.02</v>
      </c>
      <c r="N165" s="1">
        <v>8.84</v>
      </c>
      <c r="O165" s="19" t="s">
        <v>16</v>
      </c>
    </row>
    <row r="166" spans="1:15" x14ac:dyDescent="0.25">
      <c r="A166" s="16">
        <v>44656</v>
      </c>
      <c r="B166" t="s">
        <v>15</v>
      </c>
      <c r="C166">
        <v>2</v>
      </c>
      <c r="D166" s="21">
        <v>0.65625</v>
      </c>
      <c r="E166" s="1">
        <v>0.6</v>
      </c>
      <c r="F166" s="1">
        <v>26.7</v>
      </c>
      <c r="G166" s="1">
        <v>25.08</v>
      </c>
      <c r="H166" s="1">
        <v>7.91</v>
      </c>
      <c r="I166" s="1">
        <v>6.97</v>
      </c>
      <c r="J166" s="1">
        <v>100.2</v>
      </c>
      <c r="K166" s="1">
        <v>0.6</v>
      </c>
      <c r="L166" t="s">
        <v>16</v>
      </c>
      <c r="M166" s="1">
        <v>4.67</v>
      </c>
      <c r="N166" s="1">
        <v>4.49</v>
      </c>
      <c r="O166" s="19" t="s">
        <v>16</v>
      </c>
    </row>
    <row r="167" spans="1:15" x14ac:dyDescent="0.25">
      <c r="A167" s="16">
        <v>44656</v>
      </c>
      <c r="B167" t="s">
        <v>15</v>
      </c>
      <c r="C167">
        <v>3</v>
      </c>
      <c r="D167" s="21">
        <v>0.64513888888888882</v>
      </c>
      <c r="E167" s="1">
        <v>0.9</v>
      </c>
      <c r="F167" s="1">
        <v>26.1</v>
      </c>
      <c r="G167" s="1">
        <v>22.21</v>
      </c>
      <c r="H167" s="1">
        <v>7.87</v>
      </c>
      <c r="I167" s="1">
        <v>6.6</v>
      </c>
      <c r="J167" s="1">
        <v>92.4</v>
      </c>
      <c r="K167" s="1">
        <v>0.9</v>
      </c>
      <c r="L167" t="s">
        <v>16</v>
      </c>
      <c r="M167" s="1">
        <v>1.69</v>
      </c>
      <c r="N167" s="1">
        <v>2.85</v>
      </c>
      <c r="O167" s="19" t="s">
        <v>16</v>
      </c>
    </row>
    <row r="168" spans="1:15" x14ac:dyDescent="0.25">
      <c r="A168" s="16">
        <v>44656</v>
      </c>
      <c r="B168" t="s">
        <v>22</v>
      </c>
      <c r="C168">
        <v>1</v>
      </c>
      <c r="D168" s="21">
        <v>0.69791666666666663</v>
      </c>
      <c r="E168" s="1">
        <v>0.65</v>
      </c>
      <c r="F168" s="1">
        <v>27.6</v>
      </c>
      <c r="G168" s="1">
        <v>30.33</v>
      </c>
      <c r="H168" s="1">
        <v>8</v>
      </c>
      <c r="I168" s="1">
        <v>8.33</v>
      </c>
      <c r="J168" s="1">
        <v>125.4</v>
      </c>
      <c r="K168" s="1">
        <v>0.65</v>
      </c>
      <c r="L168" t="s">
        <v>16</v>
      </c>
      <c r="M168" s="1">
        <v>3.07</v>
      </c>
      <c r="N168" s="1">
        <v>6.28</v>
      </c>
      <c r="O168" s="19" t="s">
        <v>16</v>
      </c>
    </row>
    <row r="169" spans="1:15" x14ac:dyDescent="0.25">
      <c r="A169" s="16">
        <v>44656</v>
      </c>
      <c r="B169" t="s">
        <v>22</v>
      </c>
      <c r="C169">
        <v>2</v>
      </c>
      <c r="D169" s="21">
        <v>0.68263888888888891</v>
      </c>
      <c r="E169" s="1">
        <v>0.7</v>
      </c>
      <c r="F169" s="1">
        <v>28.1</v>
      </c>
      <c r="G169" s="1">
        <v>28.05</v>
      </c>
      <c r="H169" s="1">
        <v>8.0299999999999994</v>
      </c>
      <c r="I169" s="1">
        <v>8.52</v>
      </c>
      <c r="J169" s="1">
        <v>126.9</v>
      </c>
      <c r="K169" s="1">
        <v>0.7</v>
      </c>
      <c r="L169" t="s">
        <v>16</v>
      </c>
      <c r="M169" s="1">
        <v>4.47</v>
      </c>
      <c r="N169" s="1">
        <v>4.6399999999999997</v>
      </c>
      <c r="O169" s="19" t="s">
        <v>16</v>
      </c>
    </row>
    <row r="170" spans="1:15" x14ac:dyDescent="0.25">
      <c r="A170" s="16">
        <v>44656</v>
      </c>
      <c r="B170" t="s">
        <v>22</v>
      </c>
      <c r="C170">
        <v>3</v>
      </c>
      <c r="D170" s="21">
        <v>0.68958333333333333</v>
      </c>
      <c r="E170" s="1">
        <v>0.6</v>
      </c>
      <c r="F170" s="1">
        <v>28.1</v>
      </c>
      <c r="G170" s="1">
        <v>28.72</v>
      </c>
      <c r="H170" s="1">
        <v>8.02</v>
      </c>
      <c r="I170" s="1">
        <v>8.61</v>
      </c>
      <c r="J170" s="1">
        <v>129.69999999999999</v>
      </c>
      <c r="K170" s="1">
        <v>0.6</v>
      </c>
      <c r="L170" t="s">
        <v>16</v>
      </c>
      <c r="M170" s="1">
        <v>4.2300000000000004</v>
      </c>
      <c r="N170" s="1">
        <v>4.8099999999999996</v>
      </c>
      <c r="O170" s="19" t="s">
        <v>16</v>
      </c>
    </row>
    <row r="171" spans="1:15" x14ac:dyDescent="0.25">
      <c r="A171" s="16">
        <v>44684</v>
      </c>
      <c r="B171" t="s">
        <v>15</v>
      </c>
      <c r="C171">
        <v>1</v>
      </c>
      <c r="D171" s="21">
        <v>0.65833333333333333</v>
      </c>
      <c r="E171" s="1">
        <v>0.5</v>
      </c>
      <c r="F171" s="1">
        <v>28.3</v>
      </c>
      <c r="G171" s="1">
        <v>19.8</v>
      </c>
      <c r="H171" s="1">
        <v>7.9</v>
      </c>
      <c r="I171" s="1">
        <v>6.54</v>
      </c>
      <c r="J171" s="1">
        <v>93.9</v>
      </c>
      <c r="K171" s="1">
        <v>0.5</v>
      </c>
      <c r="L171" t="s">
        <v>16</v>
      </c>
      <c r="M171" s="1">
        <v>14.95</v>
      </c>
      <c r="N171" s="1">
        <v>4.33</v>
      </c>
      <c r="O171" s="19" t="s">
        <v>16</v>
      </c>
    </row>
    <row r="172" spans="1:15" x14ac:dyDescent="0.25">
      <c r="A172" s="16">
        <v>44684</v>
      </c>
      <c r="B172" t="s">
        <v>15</v>
      </c>
      <c r="C172">
        <v>2</v>
      </c>
      <c r="D172" s="21">
        <v>0.66249999999999998</v>
      </c>
      <c r="E172" s="1">
        <v>0.5</v>
      </c>
      <c r="F172" s="1">
        <v>28.5</v>
      </c>
      <c r="G172" s="1">
        <v>20.420000000000002</v>
      </c>
      <c r="H172" s="1">
        <v>7.96</v>
      </c>
      <c r="I172" s="1">
        <v>7.13</v>
      </c>
      <c r="J172" s="1">
        <v>103</v>
      </c>
      <c r="K172" s="1">
        <v>0.5</v>
      </c>
      <c r="L172" t="s">
        <v>16</v>
      </c>
      <c r="M172" s="1">
        <v>5.01</v>
      </c>
      <c r="N172" s="1">
        <v>3.88</v>
      </c>
      <c r="O172" s="19" t="s">
        <v>16</v>
      </c>
    </row>
    <row r="173" spans="1:15" x14ac:dyDescent="0.25">
      <c r="A173" s="16">
        <v>44684</v>
      </c>
      <c r="B173" t="s">
        <v>15</v>
      </c>
      <c r="C173">
        <v>3</v>
      </c>
      <c r="D173" s="21">
        <v>0.64930555555555558</v>
      </c>
      <c r="E173" s="1">
        <v>0.65</v>
      </c>
      <c r="F173" s="1">
        <v>28</v>
      </c>
      <c r="G173" s="1">
        <v>14.62</v>
      </c>
      <c r="H173" s="1">
        <v>7.88</v>
      </c>
      <c r="I173" s="1">
        <v>6.69</v>
      </c>
      <c r="J173" s="1">
        <v>92.8</v>
      </c>
      <c r="K173" s="1">
        <v>0.65</v>
      </c>
      <c r="L173" t="s">
        <v>16</v>
      </c>
      <c r="M173" s="1">
        <v>0.95</v>
      </c>
      <c r="N173" s="1">
        <v>5.05</v>
      </c>
      <c r="O173" s="19" t="s">
        <v>16</v>
      </c>
    </row>
    <row r="174" spans="1:15" x14ac:dyDescent="0.25">
      <c r="A174" s="16">
        <v>44684</v>
      </c>
      <c r="B174" t="s">
        <v>22</v>
      </c>
      <c r="C174">
        <v>1</v>
      </c>
      <c r="D174" s="21">
        <v>0.69861111111111107</v>
      </c>
      <c r="E174" s="1">
        <v>0.45</v>
      </c>
      <c r="F174" s="1">
        <v>28</v>
      </c>
      <c r="G174" s="1">
        <v>29.82</v>
      </c>
      <c r="H174" s="1">
        <v>7.94</v>
      </c>
      <c r="I174" s="1">
        <v>6.25</v>
      </c>
      <c r="J174" s="1">
        <v>94.1</v>
      </c>
      <c r="K174" s="1">
        <v>0.45</v>
      </c>
      <c r="L174" t="s">
        <v>16</v>
      </c>
      <c r="M174" s="1">
        <v>4.46</v>
      </c>
      <c r="N174" s="1">
        <v>5.98</v>
      </c>
      <c r="O174" s="19" t="s">
        <v>16</v>
      </c>
    </row>
    <row r="175" spans="1:15" x14ac:dyDescent="0.25">
      <c r="A175" s="16">
        <v>44684</v>
      </c>
      <c r="B175" t="s">
        <v>22</v>
      </c>
      <c r="C175">
        <v>2</v>
      </c>
      <c r="D175" s="21">
        <v>0.68611111111111101</v>
      </c>
      <c r="E175" s="1">
        <v>0.45</v>
      </c>
      <c r="F175" s="1">
        <v>28.2</v>
      </c>
      <c r="G175" s="1">
        <v>30.18</v>
      </c>
      <c r="H175" s="1">
        <v>8.08</v>
      </c>
      <c r="I175" s="1">
        <v>7.31</v>
      </c>
      <c r="J175" s="1">
        <v>110.8</v>
      </c>
      <c r="K175" s="1">
        <v>0.45</v>
      </c>
      <c r="L175" t="s">
        <v>16</v>
      </c>
      <c r="M175" s="1">
        <v>3.05</v>
      </c>
      <c r="N175" s="1">
        <v>8.7799999999999994</v>
      </c>
      <c r="O175" s="19" t="s">
        <v>16</v>
      </c>
    </row>
    <row r="176" spans="1:15" x14ac:dyDescent="0.25">
      <c r="A176" s="16">
        <v>44684</v>
      </c>
      <c r="B176" t="s">
        <v>22</v>
      </c>
      <c r="C176">
        <v>3</v>
      </c>
      <c r="D176" s="21">
        <v>0.69027777777777777</v>
      </c>
      <c r="E176" s="1">
        <v>0.4</v>
      </c>
      <c r="F176" s="1">
        <v>28.3</v>
      </c>
      <c r="G176" s="1">
        <v>30.16</v>
      </c>
      <c r="H176" s="1">
        <v>8.07</v>
      </c>
      <c r="I176" s="1">
        <v>7.32</v>
      </c>
      <c r="J176" s="1">
        <v>111.3</v>
      </c>
      <c r="K176" s="1">
        <v>0.4</v>
      </c>
      <c r="L176" t="s">
        <v>16</v>
      </c>
      <c r="M176" s="1">
        <v>3.8</v>
      </c>
      <c r="N176" s="1">
        <v>6.69</v>
      </c>
      <c r="O176" s="19" t="s">
        <v>16</v>
      </c>
    </row>
    <row r="177" spans="1:15" x14ac:dyDescent="0.25">
      <c r="A177" s="16">
        <v>44720</v>
      </c>
      <c r="B177" t="s">
        <v>15</v>
      </c>
      <c r="C177">
        <v>1</v>
      </c>
      <c r="D177" s="21">
        <v>0.47291666666666665</v>
      </c>
      <c r="E177" s="1">
        <v>0.45</v>
      </c>
      <c r="F177" s="1">
        <v>29.4</v>
      </c>
      <c r="G177" s="1">
        <v>7.59</v>
      </c>
      <c r="H177" s="1">
        <v>7.71</v>
      </c>
      <c r="I177" s="1">
        <v>5.37</v>
      </c>
      <c r="J177" s="1">
        <v>73.2</v>
      </c>
      <c r="K177" s="1">
        <v>0.45</v>
      </c>
      <c r="L177" t="s">
        <v>16</v>
      </c>
      <c r="M177" s="1">
        <v>1.62</v>
      </c>
      <c r="N177" s="1">
        <v>4.03</v>
      </c>
      <c r="O177" s="19" t="s">
        <v>16</v>
      </c>
    </row>
    <row r="178" spans="1:15" x14ac:dyDescent="0.25">
      <c r="A178" s="16">
        <v>44720</v>
      </c>
      <c r="B178" t="s">
        <v>15</v>
      </c>
      <c r="C178">
        <v>2</v>
      </c>
      <c r="D178" s="21">
        <v>0.47638888888888892</v>
      </c>
      <c r="E178" s="1">
        <v>0.4</v>
      </c>
      <c r="F178" s="1">
        <v>29.7</v>
      </c>
      <c r="G178" s="1">
        <v>7.51</v>
      </c>
      <c r="H178" s="1">
        <v>7.66</v>
      </c>
      <c r="I178" s="1">
        <v>5.49</v>
      </c>
      <c r="J178" s="1">
        <v>75.2</v>
      </c>
      <c r="K178" s="1">
        <v>0.4</v>
      </c>
      <c r="L178" t="s">
        <v>16</v>
      </c>
      <c r="M178" s="1">
        <v>2.66</v>
      </c>
      <c r="N178" s="1">
        <v>5.57</v>
      </c>
      <c r="O178" s="19" t="s">
        <v>16</v>
      </c>
    </row>
    <row r="179" spans="1:15" x14ac:dyDescent="0.25">
      <c r="A179" s="16">
        <v>44720</v>
      </c>
      <c r="B179" t="s">
        <v>15</v>
      </c>
      <c r="C179">
        <v>3</v>
      </c>
      <c r="D179" s="21">
        <v>0.46458333333333335</v>
      </c>
      <c r="E179" s="1">
        <v>0.5</v>
      </c>
      <c r="F179" s="1">
        <v>28.6</v>
      </c>
      <c r="G179" s="1">
        <v>2.56</v>
      </c>
      <c r="H179" s="1">
        <v>7.63</v>
      </c>
      <c r="I179" s="1">
        <v>4.78</v>
      </c>
      <c r="J179" s="1">
        <v>62.5</v>
      </c>
      <c r="K179" s="1">
        <v>0.5</v>
      </c>
      <c r="L179" t="s">
        <v>16</v>
      </c>
      <c r="M179" s="1">
        <v>1.52</v>
      </c>
      <c r="N179" s="1">
        <v>3.73</v>
      </c>
      <c r="O179" s="19" t="s">
        <v>16</v>
      </c>
    </row>
    <row r="180" spans="1:15" x14ac:dyDescent="0.25">
      <c r="A180" s="16">
        <v>44720</v>
      </c>
      <c r="B180" t="s">
        <v>22</v>
      </c>
      <c r="C180">
        <v>1</v>
      </c>
      <c r="D180" s="21">
        <v>0.52013888888888882</v>
      </c>
      <c r="E180" s="1">
        <v>0.55000000000000004</v>
      </c>
      <c r="F180" s="1">
        <v>29.9</v>
      </c>
      <c r="G180" s="1">
        <v>30.11</v>
      </c>
      <c r="H180" s="1">
        <v>8.0299999999999994</v>
      </c>
      <c r="I180" s="1">
        <v>6.24</v>
      </c>
      <c r="J180" s="1">
        <v>97.2</v>
      </c>
      <c r="K180" s="1">
        <v>0.55000000000000004</v>
      </c>
      <c r="L180" t="s">
        <v>16</v>
      </c>
      <c r="M180" s="1">
        <v>3.19</v>
      </c>
      <c r="N180" s="1">
        <v>4.24</v>
      </c>
      <c r="O180" s="19" t="s">
        <v>16</v>
      </c>
    </row>
    <row r="181" spans="1:15" x14ac:dyDescent="0.25">
      <c r="A181" s="16">
        <v>44720</v>
      </c>
      <c r="B181" t="s">
        <v>22</v>
      </c>
      <c r="C181">
        <v>2</v>
      </c>
      <c r="D181" s="21">
        <v>0.50555555555555554</v>
      </c>
      <c r="E181" s="1">
        <v>0.6</v>
      </c>
      <c r="F181" s="1">
        <v>29.7</v>
      </c>
      <c r="G181" s="1">
        <v>30.21</v>
      </c>
      <c r="H181" s="1">
        <v>7.94</v>
      </c>
      <c r="I181" s="1">
        <v>5.53</v>
      </c>
      <c r="J181" s="1">
        <v>86.2</v>
      </c>
      <c r="K181" s="1">
        <v>0.6</v>
      </c>
      <c r="L181" t="s">
        <v>16</v>
      </c>
      <c r="M181" s="1">
        <v>2.06</v>
      </c>
      <c r="N181" s="1">
        <v>3.49</v>
      </c>
      <c r="O181" s="19" t="s">
        <v>16</v>
      </c>
    </row>
    <row r="182" spans="1:15" x14ac:dyDescent="0.25">
      <c r="A182" s="16">
        <v>44720</v>
      </c>
      <c r="B182" t="s">
        <v>22</v>
      </c>
      <c r="C182">
        <v>3</v>
      </c>
      <c r="D182" s="21">
        <v>0.51250000000000007</v>
      </c>
      <c r="E182" s="1">
        <v>0.65</v>
      </c>
      <c r="F182" s="1">
        <v>30.2</v>
      </c>
      <c r="G182" s="1">
        <v>31.55</v>
      </c>
      <c r="H182" s="1">
        <v>8.02</v>
      </c>
      <c r="I182" s="1">
        <v>6.39</v>
      </c>
      <c r="J182" s="1">
        <v>100.7</v>
      </c>
      <c r="K182" s="1">
        <v>0.65</v>
      </c>
      <c r="L182" t="s">
        <v>16</v>
      </c>
      <c r="M182" s="1">
        <v>2.2599999999999998</v>
      </c>
      <c r="N182" s="1">
        <v>2.96</v>
      </c>
      <c r="O182" s="19" t="s">
        <v>16</v>
      </c>
    </row>
    <row r="183" spans="1:15" x14ac:dyDescent="0.25">
      <c r="A183" s="16">
        <v>44747</v>
      </c>
      <c r="B183" t="s">
        <v>15</v>
      </c>
      <c r="C183">
        <v>1</v>
      </c>
      <c r="D183" s="21">
        <v>0.6694444444444444</v>
      </c>
      <c r="E183" s="1">
        <v>0.8</v>
      </c>
      <c r="F183" s="1">
        <v>32.799999999999997</v>
      </c>
      <c r="G183" s="1">
        <v>14.48</v>
      </c>
      <c r="H183" s="1">
        <v>7.86</v>
      </c>
      <c r="I183" s="1">
        <v>7.13</v>
      </c>
      <c r="J183" s="1">
        <v>107.2</v>
      </c>
      <c r="K183" s="1">
        <v>0.8</v>
      </c>
      <c r="L183" t="s">
        <v>16</v>
      </c>
      <c r="M183" s="1">
        <v>0.81</v>
      </c>
      <c r="N183" s="1">
        <v>3.49</v>
      </c>
      <c r="O183" s="19" t="s">
        <v>16</v>
      </c>
    </row>
    <row r="184" spans="1:15" x14ac:dyDescent="0.25">
      <c r="A184" s="16">
        <v>44747</v>
      </c>
      <c r="B184" t="s">
        <v>15</v>
      </c>
      <c r="C184">
        <v>2</v>
      </c>
      <c r="D184" s="21">
        <v>0.6743055555555556</v>
      </c>
      <c r="E184" s="1">
        <v>0.6</v>
      </c>
      <c r="F184" s="1">
        <v>33</v>
      </c>
      <c r="G184" s="1">
        <v>16.43</v>
      </c>
      <c r="H184" s="1">
        <v>7.91</v>
      </c>
      <c r="I184" s="1">
        <v>7.24</v>
      </c>
      <c r="J184" s="1">
        <v>110.9</v>
      </c>
      <c r="K184" s="1">
        <v>0.6</v>
      </c>
      <c r="L184" t="s">
        <v>16</v>
      </c>
      <c r="M184" s="1">
        <v>0.45</v>
      </c>
      <c r="N184" s="1">
        <v>3.52</v>
      </c>
      <c r="O184" s="19" t="s">
        <v>16</v>
      </c>
    </row>
    <row r="185" spans="1:15" x14ac:dyDescent="0.25">
      <c r="A185" s="16">
        <v>44747</v>
      </c>
      <c r="B185" t="s">
        <v>15</v>
      </c>
      <c r="C185">
        <v>3</v>
      </c>
      <c r="D185" s="21">
        <v>0.66249999999999998</v>
      </c>
      <c r="E185" s="1">
        <v>0.7</v>
      </c>
      <c r="F185" s="1">
        <v>32.299999999999997</v>
      </c>
      <c r="G185" s="1">
        <v>14.1</v>
      </c>
      <c r="H185" s="1">
        <v>7.87</v>
      </c>
      <c r="I185" s="1">
        <v>7.28</v>
      </c>
      <c r="J185" s="1">
        <v>108</v>
      </c>
      <c r="K185" s="1">
        <v>0.7</v>
      </c>
      <c r="L185" t="s">
        <v>16</v>
      </c>
      <c r="M185" s="1">
        <v>0.55000000000000004</v>
      </c>
      <c r="N185" s="1">
        <v>3.95</v>
      </c>
      <c r="O185" s="19" t="s">
        <v>16</v>
      </c>
    </row>
    <row r="186" spans="1:15" x14ac:dyDescent="0.25">
      <c r="A186" s="16">
        <v>44747</v>
      </c>
      <c r="B186" t="s">
        <v>22</v>
      </c>
      <c r="C186">
        <v>1</v>
      </c>
      <c r="D186" s="21">
        <v>0.71527777777777779</v>
      </c>
      <c r="E186" s="1">
        <v>0.8</v>
      </c>
      <c r="F186" s="1">
        <v>32.799999999999997</v>
      </c>
      <c r="G186" s="1">
        <v>24.35</v>
      </c>
      <c r="H186" s="1">
        <v>7.97</v>
      </c>
      <c r="I186" s="1">
        <v>7.86</v>
      </c>
      <c r="J186" s="1">
        <v>124.8</v>
      </c>
      <c r="K186" s="1">
        <v>0.8</v>
      </c>
      <c r="L186" t="s">
        <v>16</v>
      </c>
      <c r="M186" s="1">
        <v>2.78</v>
      </c>
      <c r="N186" s="1">
        <v>3.6</v>
      </c>
      <c r="O186" s="19" t="s">
        <v>16</v>
      </c>
    </row>
    <row r="187" spans="1:15" x14ac:dyDescent="0.25">
      <c r="A187" s="16">
        <v>44747</v>
      </c>
      <c r="B187" t="s">
        <v>22</v>
      </c>
      <c r="C187">
        <v>2</v>
      </c>
      <c r="D187" s="21">
        <v>0.70208333333333339</v>
      </c>
      <c r="E187" s="1">
        <v>0.8</v>
      </c>
      <c r="F187" s="1">
        <v>32.6</v>
      </c>
      <c r="G187" s="1">
        <v>23.94</v>
      </c>
      <c r="H187" s="1">
        <v>8</v>
      </c>
      <c r="I187" s="1">
        <v>7.87</v>
      </c>
      <c r="J187" s="1">
        <v>124.2</v>
      </c>
      <c r="K187" s="1">
        <v>0.8</v>
      </c>
      <c r="L187" t="s">
        <v>16</v>
      </c>
      <c r="M187" s="1">
        <v>4.55</v>
      </c>
      <c r="N187" s="1">
        <v>4.7699999999999996</v>
      </c>
      <c r="O187" s="19" t="s">
        <v>16</v>
      </c>
    </row>
    <row r="188" spans="1:15" x14ac:dyDescent="0.25">
      <c r="A188" s="16">
        <v>44747</v>
      </c>
      <c r="B188" t="s">
        <v>22</v>
      </c>
      <c r="C188">
        <v>3</v>
      </c>
      <c r="D188" s="21">
        <v>0.70624999999999993</v>
      </c>
      <c r="E188" s="1">
        <v>0.7</v>
      </c>
      <c r="F188" s="1">
        <v>32.6</v>
      </c>
      <c r="G188" s="1">
        <v>24.45</v>
      </c>
      <c r="H188" s="1">
        <v>7.99</v>
      </c>
      <c r="I188" s="1">
        <v>7.99</v>
      </c>
      <c r="J188" s="1">
        <v>126.5</v>
      </c>
      <c r="K188" s="1">
        <v>0.7</v>
      </c>
      <c r="L188" t="s">
        <v>16</v>
      </c>
      <c r="M188" s="1">
        <v>1.06</v>
      </c>
      <c r="N188" s="1">
        <v>5.42</v>
      </c>
      <c r="O188" s="19" t="s">
        <v>16</v>
      </c>
    </row>
    <row r="189" spans="1:15" x14ac:dyDescent="0.25">
      <c r="A189" s="16">
        <v>44775</v>
      </c>
      <c r="B189" t="s">
        <v>15</v>
      </c>
      <c r="C189">
        <v>1</v>
      </c>
      <c r="D189" s="21">
        <v>0.62152777777777779</v>
      </c>
      <c r="E189" s="1">
        <v>0.7</v>
      </c>
      <c r="F189" s="1">
        <v>33</v>
      </c>
      <c r="G189" s="1">
        <v>20.87</v>
      </c>
      <c r="H189" s="1">
        <v>7.85</v>
      </c>
      <c r="I189" s="1">
        <v>5.92</v>
      </c>
      <c r="J189" s="1">
        <v>92.5</v>
      </c>
      <c r="K189" s="1">
        <v>0.7</v>
      </c>
      <c r="L189" t="s">
        <v>16</v>
      </c>
      <c r="M189" s="1">
        <v>2.13</v>
      </c>
      <c r="N189" s="1">
        <v>2.9</v>
      </c>
      <c r="O189" s="19" t="s">
        <v>16</v>
      </c>
    </row>
    <row r="190" spans="1:15" x14ac:dyDescent="0.25">
      <c r="A190" s="16">
        <v>44775</v>
      </c>
      <c r="B190" t="s">
        <v>15</v>
      </c>
      <c r="C190">
        <v>2</v>
      </c>
      <c r="D190" s="21">
        <v>0.62569444444444444</v>
      </c>
      <c r="E190" s="1">
        <v>0.55000000000000004</v>
      </c>
      <c r="F190" s="1">
        <v>33.200000000000003</v>
      </c>
      <c r="G190" s="1">
        <v>22.06</v>
      </c>
      <c r="H190" s="1">
        <v>7.92</v>
      </c>
      <c r="I190" s="1">
        <v>6.32</v>
      </c>
      <c r="J190" s="1">
        <v>99.7</v>
      </c>
      <c r="K190" s="1">
        <v>0.55000000000000004</v>
      </c>
      <c r="L190" t="s">
        <v>16</v>
      </c>
      <c r="M190" s="1">
        <v>2.25</v>
      </c>
      <c r="N190" s="1">
        <v>2.54</v>
      </c>
      <c r="O190" s="19" t="s">
        <v>16</v>
      </c>
    </row>
    <row r="191" spans="1:15" x14ac:dyDescent="0.25">
      <c r="A191" s="16">
        <v>44775</v>
      </c>
      <c r="B191" t="s">
        <v>15</v>
      </c>
      <c r="C191">
        <v>3</v>
      </c>
      <c r="D191" s="21">
        <v>0.61388888888888882</v>
      </c>
      <c r="E191" s="1">
        <v>0.7</v>
      </c>
      <c r="F191" s="1">
        <v>33</v>
      </c>
      <c r="G191" s="1">
        <v>20.97</v>
      </c>
      <c r="H191" s="1">
        <v>7.86</v>
      </c>
      <c r="I191" s="1">
        <v>5.82</v>
      </c>
      <c r="J191" s="1">
        <v>90.6</v>
      </c>
      <c r="K191" s="1">
        <v>0.7</v>
      </c>
      <c r="L191" t="s">
        <v>16</v>
      </c>
      <c r="M191" s="1">
        <v>0.93</v>
      </c>
      <c r="N191" s="1">
        <v>2.5499999999999998</v>
      </c>
      <c r="O191" s="19" t="s">
        <v>16</v>
      </c>
    </row>
    <row r="192" spans="1:15" x14ac:dyDescent="0.25">
      <c r="A192" s="16">
        <v>44775</v>
      </c>
      <c r="B192" t="s">
        <v>22</v>
      </c>
      <c r="C192">
        <v>1</v>
      </c>
      <c r="D192" s="21">
        <v>0.6645833333333333</v>
      </c>
      <c r="E192" s="1">
        <v>0.65</v>
      </c>
      <c r="F192" s="1">
        <v>33.299999999999997</v>
      </c>
      <c r="G192" s="1">
        <v>29.48</v>
      </c>
      <c r="H192" s="1">
        <v>7.98</v>
      </c>
      <c r="I192" s="1">
        <v>6.8</v>
      </c>
      <c r="J192" s="1">
        <v>112.2</v>
      </c>
      <c r="K192" s="1">
        <v>0.65</v>
      </c>
      <c r="L192" t="s">
        <v>16</v>
      </c>
      <c r="M192" s="1">
        <v>6.82</v>
      </c>
      <c r="N192" s="1">
        <v>12.4</v>
      </c>
      <c r="O192" s="19" t="s">
        <v>16</v>
      </c>
    </row>
    <row r="193" spans="1:15" x14ac:dyDescent="0.25">
      <c r="A193" s="16">
        <v>44775</v>
      </c>
      <c r="B193" t="s">
        <v>22</v>
      </c>
      <c r="C193">
        <v>2</v>
      </c>
      <c r="D193" s="21">
        <v>0.65208333333333335</v>
      </c>
      <c r="E193" s="1">
        <v>0.8</v>
      </c>
      <c r="F193" s="1">
        <v>33.299999999999997</v>
      </c>
      <c r="G193" s="1">
        <v>29.09</v>
      </c>
      <c r="H193" s="1">
        <v>8.02</v>
      </c>
      <c r="I193" s="1">
        <v>7.32</v>
      </c>
      <c r="J193" s="1">
        <v>119.6</v>
      </c>
      <c r="K193" s="1">
        <v>0.8</v>
      </c>
      <c r="L193" t="s">
        <v>16</v>
      </c>
      <c r="M193" s="1">
        <v>3.17</v>
      </c>
      <c r="N193" s="1">
        <v>5.91</v>
      </c>
      <c r="O193" s="19" t="s">
        <v>16</v>
      </c>
    </row>
    <row r="194" spans="1:15" x14ac:dyDescent="0.25">
      <c r="A194" s="16">
        <v>44775</v>
      </c>
      <c r="B194" t="s">
        <v>22</v>
      </c>
      <c r="C194">
        <v>3</v>
      </c>
      <c r="D194" s="21">
        <v>15.45</v>
      </c>
      <c r="E194" s="1">
        <v>0.7</v>
      </c>
      <c r="F194" s="1">
        <v>33.6</v>
      </c>
      <c r="G194" s="1">
        <v>28.84</v>
      </c>
      <c r="H194" s="1">
        <v>8</v>
      </c>
      <c r="I194" s="1">
        <v>7.2</v>
      </c>
      <c r="J194" s="1">
        <v>118.1</v>
      </c>
      <c r="K194" s="1">
        <v>0.7</v>
      </c>
      <c r="L194" t="s">
        <v>16</v>
      </c>
      <c r="M194" s="1">
        <v>3.84</v>
      </c>
      <c r="N194" s="1">
        <v>4.17</v>
      </c>
      <c r="O194" s="19" t="s">
        <v>16</v>
      </c>
    </row>
    <row r="195" spans="1:15" x14ac:dyDescent="0.25">
      <c r="A195" s="16">
        <v>44811</v>
      </c>
      <c r="B195" t="s">
        <v>15</v>
      </c>
      <c r="C195">
        <v>1</v>
      </c>
      <c r="D195" s="21">
        <v>0.65833333333333333</v>
      </c>
      <c r="E195" s="1">
        <v>0.3</v>
      </c>
      <c r="F195" s="1">
        <v>34.1</v>
      </c>
      <c r="G195" s="1">
        <v>21.44</v>
      </c>
      <c r="H195" s="1">
        <v>7.74</v>
      </c>
      <c r="I195" s="1">
        <v>6.11</v>
      </c>
      <c r="J195" s="1">
        <v>97.2</v>
      </c>
      <c r="K195" s="1">
        <v>0.3</v>
      </c>
      <c r="L195" t="s">
        <v>16</v>
      </c>
      <c r="M195" s="1">
        <v>4.05</v>
      </c>
      <c r="N195" s="1">
        <v>3.83</v>
      </c>
      <c r="O195" s="19" t="s">
        <v>16</v>
      </c>
    </row>
    <row r="196" spans="1:15" x14ac:dyDescent="0.25">
      <c r="A196" s="16">
        <v>44811</v>
      </c>
      <c r="B196" t="s">
        <v>15</v>
      </c>
      <c r="C196">
        <v>2</v>
      </c>
      <c r="D196" s="21">
        <v>0.68055555555555547</v>
      </c>
      <c r="E196" s="1">
        <v>0.5</v>
      </c>
      <c r="F196" s="1">
        <v>34.1</v>
      </c>
      <c r="G196" s="1">
        <v>21.07</v>
      </c>
      <c r="H196" s="1">
        <v>7.75</v>
      </c>
      <c r="I196" s="1">
        <v>6.17</v>
      </c>
      <c r="J196" s="1">
        <v>98.2</v>
      </c>
      <c r="K196" s="1">
        <v>0.5</v>
      </c>
      <c r="L196" t="s">
        <v>16</v>
      </c>
      <c r="M196" s="1">
        <v>6.52</v>
      </c>
      <c r="N196" s="1">
        <v>3.42</v>
      </c>
      <c r="O196" s="19" t="s">
        <v>16</v>
      </c>
    </row>
    <row r="197" spans="1:15" x14ac:dyDescent="0.25">
      <c r="A197" s="16">
        <v>44811</v>
      </c>
      <c r="B197" t="s">
        <v>15</v>
      </c>
      <c r="C197">
        <v>3</v>
      </c>
      <c r="D197" s="21">
        <v>0.62916666666666665</v>
      </c>
      <c r="E197" s="1">
        <v>0.5</v>
      </c>
      <c r="F197" s="1">
        <v>33.700000000000003</v>
      </c>
      <c r="G197" s="1">
        <v>15.21</v>
      </c>
      <c r="H197" s="1">
        <v>7.56</v>
      </c>
      <c r="I197" s="1">
        <v>5.26</v>
      </c>
      <c r="J197" s="1">
        <v>80.3</v>
      </c>
      <c r="K197" s="1">
        <v>0.5</v>
      </c>
      <c r="L197" t="s">
        <v>16</v>
      </c>
      <c r="M197" s="1">
        <v>2.16</v>
      </c>
      <c r="N197" s="1">
        <v>2.44</v>
      </c>
      <c r="O197" s="19" t="s">
        <v>16</v>
      </c>
    </row>
    <row r="198" spans="1:15" x14ac:dyDescent="0.25">
      <c r="A198" s="16">
        <v>44811</v>
      </c>
      <c r="B198" t="s">
        <v>22</v>
      </c>
      <c r="C198">
        <v>1</v>
      </c>
      <c r="D198" s="21">
        <v>0.74097222222222225</v>
      </c>
      <c r="E198" s="1">
        <v>1</v>
      </c>
      <c r="F198" s="1">
        <v>33.4</v>
      </c>
      <c r="G198" s="1">
        <v>31.49</v>
      </c>
      <c r="H198" s="1">
        <v>8.0299999999999994</v>
      </c>
      <c r="I198" s="1">
        <v>7.31</v>
      </c>
      <c r="J198" s="1">
        <v>121.5</v>
      </c>
      <c r="K198" s="1">
        <v>0.8</v>
      </c>
      <c r="L198" t="s">
        <v>16</v>
      </c>
      <c r="M198" s="1">
        <v>3.08</v>
      </c>
      <c r="N198" s="1">
        <v>3.66</v>
      </c>
      <c r="O198" s="19" t="s">
        <v>16</v>
      </c>
    </row>
    <row r="199" spans="1:15" x14ac:dyDescent="0.25">
      <c r="A199" s="16">
        <v>44811</v>
      </c>
      <c r="B199" t="s">
        <v>22</v>
      </c>
      <c r="C199">
        <v>2</v>
      </c>
      <c r="D199" s="21">
        <v>0.7104166666666667</v>
      </c>
      <c r="E199" s="1">
        <v>0.5</v>
      </c>
      <c r="F199" s="1">
        <v>33.9</v>
      </c>
      <c r="G199" s="1">
        <v>31.53</v>
      </c>
      <c r="H199" s="1">
        <v>7.91</v>
      </c>
      <c r="I199" s="1">
        <v>7.3</v>
      </c>
      <c r="J199" s="1">
        <v>122.1</v>
      </c>
      <c r="K199" s="1">
        <v>0.5</v>
      </c>
      <c r="L199" t="s">
        <v>16</v>
      </c>
      <c r="M199" s="1">
        <v>4.7699999999999996</v>
      </c>
      <c r="N199" s="1">
        <v>4.3</v>
      </c>
      <c r="O199" s="19" t="s">
        <v>16</v>
      </c>
    </row>
    <row r="200" spans="1:15" x14ac:dyDescent="0.25">
      <c r="A200" s="16">
        <v>44811</v>
      </c>
      <c r="B200" t="s">
        <v>22</v>
      </c>
      <c r="C200">
        <v>3</v>
      </c>
      <c r="D200" s="21">
        <v>0.72777777777777775</v>
      </c>
      <c r="E200" s="1">
        <v>0.4</v>
      </c>
      <c r="F200" s="1">
        <v>33.799999999999997</v>
      </c>
      <c r="G200" s="1">
        <v>31.66</v>
      </c>
      <c r="H200" s="1">
        <v>7.98</v>
      </c>
      <c r="I200" s="1">
        <v>7.38</v>
      </c>
      <c r="J200" s="1">
        <v>123.6</v>
      </c>
      <c r="K200" s="1">
        <v>0.4</v>
      </c>
      <c r="L200" t="s">
        <v>16</v>
      </c>
      <c r="M200" s="1">
        <v>3.46</v>
      </c>
      <c r="N200" s="1">
        <v>4.18</v>
      </c>
      <c r="O200" s="19" t="s">
        <v>16</v>
      </c>
    </row>
    <row r="201" spans="1:15" x14ac:dyDescent="0.25">
      <c r="A201" s="16">
        <v>44844</v>
      </c>
      <c r="B201" t="s">
        <v>15</v>
      </c>
      <c r="C201">
        <v>1</v>
      </c>
      <c r="D201" s="21">
        <v>0.67499999999999993</v>
      </c>
      <c r="E201" s="1">
        <v>0.7</v>
      </c>
      <c r="F201" s="1">
        <v>27.8</v>
      </c>
      <c r="G201" s="1">
        <v>10.76</v>
      </c>
      <c r="H201" s="1">
        <v>7.99</v>
      </c>
      <c r="I201" s="1">
        <v>4.08</v>
      </c>
      <c r="J201" s="1">
        <v>55.2</v>
      </c>
      <c r="K201" s="1">
        <v>0.7</v>
      </c>
      <c r="L201" t="s">
        <v>16</v>
      </c>
      <c r="M201" s="1">
        <v>1.07</v>
      </c>
      <c r="N201" s="1">
        <v>4.1100000000000003</v>
      </c>
      <c r="O201" s="19" t="s">
        <v>16</v>
      </c>
    </row>
    <row r="202" spans="1:15" x14ac:dyDescent="0.25">
      <c r="A202" s="16">
        <v>44844</v>
      </c>
      <c r="B202" t="s">
        <v>15</v>
      </c>
      <c r="C202">
        <v>2</v>
      </c>
      <c r="D202" s="21">
        <v>0.67986111111111114</v>
      </c>
      <c r="E202" s="1">
        <v>0.5</v>
      </c>
      <c r="F202" s="1">
        <v>28.1</v>
      </c>
      <c r="G202" s="1">
        <v>11.78</v>
      </c>
      <c r="H202" s="1">
        <v>7.75</v>
      </c>
      <c r="I202" s="1">
        <v>4.49</v>
      </c>
      <c r="J202" s="1">
        <v>61.2</v>
      </c>
      <c r="K202" s="1">
        <v>0.5</v>
      </c>
      <c r="L202" t="s">
        <v>16</v>
      </c>
      <c r="M202" s="1">
        <v>1.1399999999999999</v>
      </c>
      <c r="N202" s="1">
        <v>10.7</v>
      </c>
      <c r="O202" s="19" t="s">
        <v>16</v>
      </c>
    </row>
    <row r="203" spans="1:15" x14ac:dyDescent="0.25">
      <c r="A203" s="16">
        <v>44844</v>
      </c>
      <c r="B203" t="s">
        <v>15</v>
      </c>
      <c r="C203">
        <v>3</v>
      </c>
      <c r="D203" s="21">
        <v>0.66666666666666663</v>
      </c>
      <c r="E203" s="1">
        <v>0.65</v>
      </c>
      <c r="F203" s="1">
        <v>27.1</v>
      </c>
      <c r="G203" s="1">
        <v>5.49</v>
      </c>
      <c r="H203" s="1">
        <v>8.66</v>
      </c>
      <c r="I203" s="1">
        <v>3.47</v>
      </c>
      <c r="J203" s="1">
        <v>45</v>
      </c>
      <c r="K203" s="1">
        <v>0.65</v>
      </c>
      <c r="L203" t="s">
        <v>16</v>
      </c>
      <c r="M203" s="1">
        <v>2.86</v>
      </c>
      <c r="N203" s="1">
        <v>5.78</v>
      </c>
      <c r="O203" s="19" t="s">
        <v>16</v>
      </c>
    </row>
    <row r="204" spans="1:15" x14ac:dyDescent="0.25">
      <c r="A204" s="16">
        <v>44844</v>
      </c>
      <c r="B204" t="s">
        <v>22</v>
      </c>
      <c r="C204">
        <v>1</v>
      </c>
      <c r="D204" s="21">
        <v>0.72222222222222221</v>
      </c>
      <c r="E204" s="1">
        <v>0.65</v>
      </c>
      <c r="F204" s="1">
        <v>28.8</v>
      </c>
      <c r="G204" s="1">
        <v>17.89</v>
      </c>
      <c r="H204" s="1">
        <v>7.76</v>
      </c>
      <c r="I204" s="1">
        <v>5.41</v>
      </c>
      <c r="J204" s="1">
        <v>77.3</v>
      </c>
      <c r="K204" s="1">
        <v>0.65</v>
      </c>
      <c r="L204" t="s">
        <v>16</v>
      </c>
      <c r="M204" s="1">
        <v>1.83</v>
      </c>
      <c r="N204" s="1">
        <v>6.97</v>
      </c>
      <c r="O204" s="19" t="s">
        <v>16</v>
      </c>
    </row>
    <row r="205" spans="1:15" x14ac:dyDescent="0.25">
      <c r="A205" s="16">
        <v>44844</v>
      </c>
      <c r="B205" t="s">
        <v>22</v>
      </c>
      <c r="C205">
        <v>2</v>
      </c>
      <c r="D205" s="21">
        <v>0.7055555555555556</v>
      </c>
      <c r="E205" s="1">
        <v>0.6</v>
      </c>
      <c r="F205" s="1">
        <v>29.4</v>
      </c>
      <c r="G205" s="1">
        <v>15.43</v>
      </c>
      <c r="H205" s="1">
        <v>7.97</v>
      </c>
      <c r="I205" s="1">
        <v>6.19</v>
      </c>
      <c r="J205" s="1">
        <v>88.1</v>
      </c>
      <c r="K205" s="1">
        <v>0.6</v>
      </c>
      <c r="L205" t="s">
        <v>16</v>
      </c>
      <c r="M205" s="1">
        <v>1.56</v>
      </c>
      <c r="N205" s="1">
        <v>3.43</v>
      </c>
      <c r="O205" s="19" t="s">
        <v>16</v>
      </c>
    </row>
    <row r="206" spans="1:15" x14ac:dyDescent="0.25">
      <c r="A206" s="16">
        <v>44844</v>
      </c>
      <c r="B206" t="s">
        <v>22</v>
      </c>
      <c r="C206">
        <v>3</v>
      </c>
      <c r="D206" s="21">
        <v>0.71180555555555547</v>
      </c>
      <c r="E206" s="1">
        <v>0.7</v>
      </c>
      <c r="F206" s="1">
        <v>29.3</v>
      </c>
      <c r="G206" s="1">
        <v>15.91</v>
      </c>
      <c r="H206" s="1">
        <v>7.83</v>
      </c>
      <c r="I206" s="1">
        <v>6.34</v>
      </c>
      <c r="J206" s="1">
        <v>90.4</v>
      </c>
      <c r="K206" s="1">
        <v>0.7</v>
      </c>
      <c r="L206" t="s">
        <v>16</v>
      </c>
      <c r="M206" s="1">
        <v>3.22</v>
      </c>
      <c r="N206" s="1">
        <v>9.9600000000000009</v>
      </c>
      <c r="O206" s="19" t="s">
        <v>16</v>
      </c>
    </row>
    <row r="207" spans="1:15" x14ac:dyDescent="0.25">
      <c r="A207" s="16">
        <v>44879</v>
      </c>
      <c r="B207" t="s">
        <v>15</v>
      </c>
      <c r="C207">
        <v>1</v>
      </c>
      <c r="D207" s="21">
        <v>0.70416666666666661</v>
      </c>
      <c r="E207" s="1">
        <v>0.7</v>
      </c>
      <c r="F207" s="1">
        <v>26.5</v>
      </c>
      <c r="G207" s="1">
        <v>8.83</v>
      </c>
      <c r="H207" s="1">
        <v>7.92</v>
      </c>
      <c r="I207" s="1">
        <v>4.83</v>
      </c>
      <c r="J207" s="1">
        <v>62.9</v>
      </c>
      <c r="K207" s="1">
        <v>0.7</v>
      </c>
      <c r="L207" t="s">
        <v>16</v>
      </c>
      <c r="M207" s="1">
        <v>0.34</v>
      </c>
      <c r="N207" s="1">
        <v>1.85</v>
      </c>
      <c r="O207" s="19" t="s">
        <v>16</v>
      </c>
    </row>
    <row r="208" spans="1:15" x14ac:dyDescent="0.25">
      <c r="A208" s="16">
        <v>44879</v>
      </c>
      <c r="B208" t="s">
        <v>15</v>
      </c>
      <c r="C208">
        <v>2</v>
      </c>
      <c r="D208" s="21">
        <v>0.70833333333333337</v>
      </c>
      <c r="E208" s="1">
        <v>0.65</v>
      </c>
      <c r="F208" s="1">
        <v>26.7</v>
      </c>
      <c r="G208" s="1">
        <v>9.31</v>
      </c>
      <c r="H208" s="1">
        <v>7.82</v>
      </c>
      <c r="I208" s="1">
        <v>5.24</v>
      </c>
      <c r="J208" s="1">
        <v>68.900000000000006</v>
      </c>
      <c r="K208" s="1">
        <v>0.65</v>
      </c>
      <c r="L208" t="s">
        <v>16</v>
      </c>
      <c r="M208" s="1">
        <v>4.6500000000000004</v>
      </c>
      <c r="N208" s="1">
        <v>1.49</v>
      </c>
      <c r="O208" s="19" t="s">
        <v>16</v>
      </c>
    </row>
    <row r="209" spans="1:15" x14ac:dyDescent="0.25">
      <c r="A209" s="16">
        <v>44879</v>
      </c>
      <c r="B209" t="s">
        <v>15</v>
      </c>
      <c r="C209">
        <v>3</v>
      </c>
      <c r="D209" s="21">
        <v>0.69791666666666663</v>
      </c>
      <c r="E209" s="1">
        <v>0.94</v>
      </c>
      <c r="F209" s="1">
        <v>26.1</v>
      </c>
      <c r="G209" s="1">
        <v>5.17</v>
      </c>
      <c r="H209" s="1">
        <v>8.1999999999999993</v>
      </c>
      <c r="I209" s="1">
        <v>4.2699999999999996</v>
      </c>
      <c r="J209" s="1">
        <v>54.2</v>
      </c>
      <c r="K209" s="1">
        <v>0.7</v>
      </c>
      <c r="L209" t="s">
        <v>16</v>
      </c>
      <c r="M209" s="1">
        <v>0.7</v>
      </c>
      <c r="N209" s="1">
        <v>1.9</v>
      </c>
      <c r="O209" s="19" t="s">
        <v>16</v>
      </c>
    </row>
    <row r="210" spans="1:15" x14ac:dyDescent="0.25">
      <c r="A210" s="16">
        <v>44879</v>
      </c>
      <c r="B210" t="s">
        <v>22</v>
      </c>
      <c r="C210">
        <v>1</v>
      </c>
      <c r="D210" s="21">
        <v>0.74652777777777779</v>
      </c>
      <c r="E210" s="1">
        <v>0.5</v>
      </c>
      <c r="F210" s="1">
        <v>26.8</v>
      </c>
      <c r="G210" s="1">
        <v>16.45</v>
      </c>
      <c r="H210" s="1">
        <v>8.0399999999999991</v>
      </c>
      <c r="I210" s="1">
        <v>7.59</v>
      </c>
      <c r="J210" s="1">
        <v>104.2</v>
      </c>
      <c r="K210" s="1">
        <v>0.5</v>
      </c>
      <c r="L210" t="s">
        <v>16</v>
      </c>
      <c r="M210" s="1">
        <v>1.19</v>
      </c>
      <c r="N210" s="1">
        <v>1.41</v>
      </c>
      <c r="O210" s="19" t="s">
        <v>16</v>
      </c>
    </row>
    <row r="211" spans="1:15" x14ac:dyDescent="0.25">
      <c r="A211" s="16">
        <v>44879</v>
      </c>
      <c r="B211" t="s">
        <v>22</v>
      </c>
      <c r="C211">
        <v>2</v>
      </c>
      <c r="D211" s="21">
        <v>0.7319444444444444</v>
      </c>
      <c r="E211" s="1">
        <v>0.65</v>
      </c>
      <c r="F211" s="1">
        <v>26.8</v>
      </c>
      <c r="G211" s="1">
        <v>15.68</v>
      </c>
      <c r="H211" s="1">
        <v>8.0399999999999991</v>
      </c>
      <c r="I211" s="1">
        <v>7.54</v>
      </c>
      <c r="J211" s="1">
        <v>103</v>
      </c>
      <c r="K211" s="1">
        <v>0.65</v>
      </c>
      <c r="L211" t="s">
        <v>16</v>
      </c>
      <c r="M211" s="1">
        <v>4.53</v>
      </c>
      <c r="N211" s="1">
        <v>2.74</v>
      </c>
      <c r="O211" s="19" t="s">
        <v>16</v>
      </c>
    </row>
    <row r="212" spans="1:15" x14ac:dyDescent="0.25">
      <c r="A212" s="16">
        <v>44879</v>
      </c>
      <c r="B212" t="s">
        <v>22</v>
      </c>
      <c r="C212">
        <v>3</v>
      </c>
      <c r="D212" s="21">
        <v>0.73819444444444438</v>
      </c>
      <c r="E212" s="1">
        <v>0.8</v>
      </c>
      <c r="F212" s="1">
        <v>26.6</v>
      </c>
      <c r="G212" s="1">
        <v>15.13</v>
      </c>
      <c r="H212" s="1">
        <v>7.94</v>
      </c>
      <c r="I212" s="1">
        <v>7.57</v>
      </c>
      <c r="J212" s="1">
        <v>102.7</v>
      </c>
      <c r="K212" s="1">
        <v>0.8</v>
      </c>
      <c r="L212" t="s">
        <v>16</v>
      </c>
      <c r="M212" s="1">
        <v>2.48</v>
      </c>
      <c r="N212" s="1">
        <v>3.73</v>
      </c>
      <c r="O212" s="19" t="s">
        <v>16</v>
      </c>
    </row>
    <row r="213" spans="1:15" x14ac:dyDescent="0.25">
      <c r="A213" s="16">
        <v>44901</v>
      </c>
      <c r="B213" t="s">
        <v>15</v>
      </c>
      <c r="C213">
        <v>1</v>
      </c>
      <c r="D213" s="21">
        <v>0.64513888888888882</v>
      </c>
      <c r="E213" s="1">
        <v>0.8</v>
      </c>
      <c r="F213" s="1">
        <v>25</v>
      </c>
      <c r="G213" s="1">
        <v>15.27</v>
      </c>
      <c r="H213" s="1">
        <v>7.94</v>
      </c>
      <c r="I213" s="1">
        <v>5.4</v>
      </c>
      <c r="J213" s="1">
        <v>71</v>
      </c>
      <c r="K213" s="1">
        <v>0.8</v>
      </c>
      <c r="L213" t="s">
        <v>16</v>
      </c>
      <c r="M213" s="1" t="s">
        <v>16</v>
      </c>
      <c r="N213" s="1">
        <v>1.26</v>
      </c>
      <c r="O213" s="19" t="s">
        <v>16</v>
      </c>
    </row>
    <row r="214" spans="1:15" x14ac:dyDescent="0.25">
      <c r="A214" s="16">
        <v>44901</v>
      </c>
      <c r="B214" t="s">
        <v>15</v>
      </c>
      <c r="C214">
        <v>2</v>
      </c>
      <c r="D214" s="21">
        <v>0.64861111111111114</v>
      </c>
      <c r="E214" s="1">
        <v>0.5</v>
      </c>
      <c r="F214" s="1">
        <v>25</v>
      </c>
      <c r="G214" s="1">
        <v>15.18</v>
      </c>
      <c r="H214" s="1">
        <v>7.84</v>
      </c>
      <c r="I214" s="1">
        <v>5.25</v>
      </c>
      <c r="J214" s="1">
        <v>69.099999999999994</v>
      </c>
      <c r="K214" s="1">
        <v>0.5</v>
      </c>
      <c r="L214" t="s">
        <v>16</v>
      </c>
      <c r="M214" s="1" t="s">
        <v>16</v>
      </c>
      <c r="N214" s="1">
        <v>1.2</v>
      </c>
      <c r="O214" s="19" t="s">
        <v>16</v>
      </c>
    </row>
    <row r="215" spans="1:15" x14ac:dyDescent="0.25">
      <c r="A215" s="16">
        <v>44901</v>
      </c>
      <c r="B215" t="s">
        <v>15</v>
      </c>
      <c r="C215">
        <v>3</v>
      </c>
      <c r="D215" s="21">
        <v>0.63750000000000007</v>
      </c>
      <c r="E215" s="1">
        <v>0.6</v>
      </c>
      <c r="F215" s="1">
        <v>24.2</v>
      </c>
      <c r="G215" s="1">
        <v>8.94</v>
      </c>
      <c r="H215" s="1">
        <v>8.27</v>
      </c>
      <c r="I215" s="1">
        <v>4.9000000000000004</v>
      </c>
      <c r="J215" s="1">
        <v>61.1</v>
      </c>
      <c r="K215" s="1">
        <v>0.6</v>
      </c>
      <c r="L215" t="s">
        <v>16</v>
      </c>
      <c r="M215" s="1" t="s">
        <v>16</v>
      </c>
      <c r="N215" s="1">
        <v>1.22</v>
      </c>
      <c r="O215" s="19" t="s">
        <v>16</v>
      </c>
    </row>
    <row r="216" spans="1:15" x14ac:dyDescent="0.25">
      <c r="A216" s="16">
        <v>44901</v>
      </c>
      <c r="B216" t="s">
        <v>22</v>
      </c>
      <c r="C216">
        <v>1</v>
      </c>
      <c r="D216" s="21">
        <v>0.68819444444444444</v>
      </c>
      <c r="E216" s="1">
        <v>0.65</v>
      </c>
      <c r="F216" s="1">
        <v>25.9</v>
      </c>
      <c r="G216" s="1">
        <v>27.05</v>
      </c>
      <c r="H216" s="1">
        <v>7.86</v>
      </c>
      <c r="I216" s="1">
        <v>7.04</v>
      </c>
      <c r="J216" s="1">
        <v>101</v>
      </c>
      <c r="K216" s="1">
        <v>0.65</v>
      </c>
      <c r="L216" t="s">
        <v>16</v>
      </c>
      <c r="M216" s="1" t="s">
        <v>16</v>
      </c>
      <c r="N216" s="1">
        <v>1.31</v>
      </c>
      <c r="O216" s="19" t="s">
        <v>16</v>
      </c>
    </row>
    <row r="217" spans="1:15" x14ac:dyDescent="0.25">
      <c r="A217" s="16">
        <v>44901</v>
      </c>
      <c r="B217" t="s">
        <v>22</v>
      </c>
      <c r="C217">
        <v>2</v>
      </c>
      <c r="D217" s="21">
        <v>0.6743055555555556</v>
      </c>
      <c r="E217" s="1">
        <v>0.8</v>
      </c>
      <c r="F217" s="1">
        <v>26.2</v>
      </c>
      <c r="G217" s="1">
        <v>26.47</v>
      </c>
      <c r="H217" s="1">
        <v>8.24</v>
      </c>
      <c r="I217" s="1">
        <v>6.18</v>
      </c>
      <c r="J217" s="1">
        <v>88.8</v>
      </c>
      <c r="K217" s="1">
        <v>0.8</v>
      </c>
      <c r="L217" t="s">
        <v>16</v>
      </c>
      <c r="M217" s="1" t="s">
        <v>16</v>
      </c>
      <c r="N217" s="1">
        <v>1.94</v>
      </c>
      <c r="O217" s="19" t="s">
        <v>16</v>
      </c>
    </row>
    <row r="218" spans="1:15" x14ac:dyDescent="0.25">
      <c r="A218" s="16">
        <v>44901</v>
      </c>
      <c r="B218" t="s">
        <v>22</v>
      </c>
      <c r="C218">
        <v>3</v>
      </c>
      <c r="D218" s="21">
        <v>0.68263888888888891</v>
      </c>
      <c r="E218" s="1">
        <v>0.7</v>
      </c>
      <c r="F218" s="1">
        <v>26.1</v>
      </c>
      <c r="G218" s="1">
        <v>26.18</v>
      </c>
      <c r="H218" s="1">
        <v>7.87</v>
      </c>
      <c r="I218" s="1">
        <v>6.36</v>
      </c>
      <c r="J218" s="1">
        <v>91</v>
      </c>
      <c r="K218" s="1">
        <v>0.7</v>
      </c>
      <c r="L218" t="s">
        <v>16</v>
      </c>
      <c r="M218" s="1" t="s">
        <v>16</v>
      </c>
      <c r="N218" s="1">
        <v>2.08</v>
      </c>
      <c r="O218" s="19" t="s">
        <v>16</v>
      </c>
    </row>
    <row r="219" spans="1:15" x14ac:dyDescent="0.25">
      <c r="A219" s="16">
        <v>44930</v>
      </c>
      <c r="B219" t="s">
        <v>15</v>
      </c>
      <c r="C219">
        <v>1</v>
      </c>
      <c r="D219" s="21">
        <v>0.6743055555555556</v>
      </c>
      <c r="E219" s="1">
        <v>0.8</v>
      </c>
      <c r="F219" s="1">
        <v>24.6</v>
      </c>
      <c r="G219" s="1">
        <v>11.07</v>
      </c>
      <c r="H219" s="1">
        <v>7.68</v>
      </c>
      <c r="I219" s="1">
        <v>6.77</v>
      </c>
      <c r="J219" s="1">
        <v>86.6</v>
      </c>
      <c r="K219" s="1">
        <v>0.8</v>
      </c>
      <c r="L219" t="s">
        <v>16</v>
      </c>
      <c r="M219" s="1" t="s">
        <v>16</v>
      </c>
      <c r="N219" s="1">
        <v>1.72</v>
      </c>
      <c r="O219" s="19" t="s">
        <v>16</v>
      </c>
    </row>
    <row r="220" spans="1:15" x14ac:dyDescent="0.25">
      <c r="A220" s="16">
        <v>44930</v>
      </c>
      <c r="B220" t="s">
        <v>15</v>
      </c>
      <c r="C220">
        <v>2</v>
      </c>
      <c r="D220" s="21">
        <v>0.68055555555555547</v>
      </c>
      <c r="E220" s="1">
        <v>0.5</v>
      </c>
      <c r="F220" s="1">
        <v>24.3</v>
      </c>
      <c r="G220" s="1">
        <v>10.99</v>
      </c>
      <c r="H220" s="1">
        <v>7.67</v>
      </c>
      <c r="I220" s="1">
        <v>6.72</v>
      </c>
      <c r="J220" s="1">
        <v>85.4</v>
      </c>
      <c r="K220" s="1">
        <v>0.5</v>
      </c>
      <c r="L220" t="s">
        <v>16</v>
      </c>
      <c r="M220" s="1" t="s">
        <v>16</v>
      </c>
      <c r="N220" s="1">
        <v>1.34</v>
      </c>
      <c r="O220" s="19" t="s">
        <v>16</v>
      </c>
    </row>
    <row r="221" spans="1:15" x14ac:dyDescent="0.25">
      <c r="A221" s="16">
        <v>44930</v>
      </c>
      <c r="B221" t="s">
        <v>15</v>
      </c>
      <c r="C221">
        <v>3</v>
      </c>
      <c r="D221" s="21">
        <v>0.66736111111111107</v>
      </c>
      <c r="E221" s="1">
        <v>0.6</v>
      </c>
      <c r="F221" s="1">
        <v>24.1</v>
      </c>
      <c r="G221" s="1">
        <v>8.68</v>
      </c>
      <c r="H221" s="1">
        <v>7.6</v>
      </c>
      <c r="I221" s="1">
        <v>5.75</v>
      </c>
      <c r="J221" s="1">
        <v>71.8</v>
      </c>
      <c r="K221" s="1">
        <v>0.6</v>
      </c>
      <c r="L221" t="s">
        <v>16</v>
      </c>
      <c r="M221" s="1" t="s">
        <v>16</v>
      </c>
      <c r="N221" s="1">
        <v>1.58</v>
      </c>
      <c r="O221" s="19" t="s">
        <v>16</v>
      </c>
    </row>
    <row r="222" spans="1:15" x14ac:dyDescent="0.25">
      <c r="A222" s="16">
        <v>44930</v>
      </c>
      <c r="B222" t="s">
        <v>22</v>
      </c>
      <c r="C222">
        <v>1</v>
      </c>
      <c r="D222" s="21">
        <v>0.72291666666666676</v>
      </c>
      <c r="E222" s="1">
        <v>0.85</v>
      </c>
      <c r="F222" s="1">
        <v>25.7</v>
      </c>
      <c r="G222" s="1">
        <v>28.19</v>
      </c>
      <c r="H222" s="1">
        <v>7.84</v>
      </c>
      <c r="I222" s="1">
        <v>6.74</v>
      </c>
      <c r="J222" s="1">
        <v>96.9</v>
      </c>
      <c r="K222" s="1">
        <v>0.85</v>
      </c>
      <c r="L222" t="s">
        <v>16</v>
      </c>
      <c r="M222" s="1" t="s">
        <v>16</v>
      </c>
      <c r="N222" s="1">
        <v>1.02</v>
      </c>
      <c r="O222" s="19" t="s">
        <v>16</v>
      </c>
    </row>
    <row r="223" spans="1:15" x14ac:dyDescent="0.25">
      <c r="A223" s="16">
        <v>44930</v>
      </c>
      <c r="B223" t="s">
        <v>22</v>
      </c>
      <c r="C223">
        <v>2</v>
      </c>
      <c r="D223" s="21">
        <v>0.7104166666666667</v>
      </c>
      <c r="E223" s="1">
        <v>0.8</v>
      </c>
      <c r="F223" s="1">
        <v>25.8</v>
      </c>
      <c r="G223" s="1">
        <v>26.75</v>
      </c>
      <c r="H223" s="1">
        <v>7.81</v>
      </c>
      <c r="I223" s="1">
        <v>6.37</v>
      </c>
      <c r="J223" s="1">
        <v>91</v>
      </c>
      <c r="K223" s="1">
        <v>0.8</v>
      </c>
      <c r="L223" t="s">
        <v>16</v>
      </c>
      <c r="M223" s="1" t="s">
        <v>16</v>
      </c>
      <c r="N223" s="1">
        <v>1.76</v>
      </c>
      <c r="O223" s="19" t="s">
        <v>16</v>
      </c>
    </row>
    <row r="224" spans="1:15" x14ac:dyDescent="0.25">
      <c r="A224" s="16">
        <v>44930</v>
      </c>
      <c r="B224" t="s">
        <v>22</v>
      </c>
      <c r="C224">
        <v>3</v>
      </c>
      <c r="D224" s="21">
        <v>0.71666666666666667</v>
      </c>
      <c r="E224" s="1">
        <v>0.75</v>
      </c>
      <c r="F224" s="1">
        <v>25.9</v>
      </c>
      <c r="G224" s="1">
        <v>27.03</v>
      </c>
      <c r="H224" s="1">
        <v>7.74</v>
      </c>
      <c r="I224" s="1">
        <v>5.79</v>
      </c>
      <c r="J224" s="1">
        <v>83</v>
      </c>
      <c r="K224" s="1">
        <v>0.75</v>
      </c>
      <c r="L224" t="s">
        <v>16</v>
      </c>
      <c r="M224" s="1" t="s">
        <v>16</v>
      </c>
      <c r="N224" s="1">
        <v>1.44</v>
      </c>
      <c r="O224" s="19" t="s">
        <v>16</v>
      </c>
    </row>
    <row r="225" spans="1:15" x14ac:dyDescent="0.25">
      <c r="A225" s="16">
        <v>44964</v>
      </c>
      <c r="B225" t="s">
        <v>15</v>
      </c>
      <c r="C225">
        <v>1</v>
      </c>
      <c r="D225" s="21">
        <v>0.64444444444444449</v>
      </c>
      <c r="E225" s="1">
        <v>0.5</v>
      </c>
      <c r="F225" s="1">
        <v>23</v>
      </c>
      <c r="G225" s="1">
        <v>23.05</v>
      </c>
      <c r="H225" s="1">
        <v>7.8</v>
      </c>
      <c r="I225" s="1">
        <v>6.79</v>
      </c>
      <c r="J225" s="1">
        <v>90.5</v>
      </c>
      <c r="K225" s="1">
        <v>0.5</v>
      </c>
      <c r="L225" t="s">
        <v>16</v>
      </c>
      <c r="M225" s="1">
        <v>4.6100000000000003</v>
      </c>
      <c r="N225" s="1">
        <v>2.2400000000000002</v>
      </c>
      <c r="O225" s="19" t="s">
        <v>16</v>
      </c>
    </row>
    <row r="226" spans="1:15" x14ac:dyDescent="0.25">
      <c r="A226" s="16">
        <v>44964</v>
      </c>
      <c r="B226" t="s">
        <v>15</v>
      </c>
      <c r="C226">
        <v>2</v>
      </c>
      <c r="D226" s="21">
        <v>0.65138888888888891</v>
      </c>
      <c r="E226" s="1">
        <v>0.5</v>
      </c>
      <c r="F226" s="1">
        <v>23.1</v>
      </c>
      <c r="G226" s="1">
        <v>23.52</v>
      </c>
      <c r="H226" s="1">
        <v>7.89</v>
      </c>
      <c r="I226" s="1">
        <v>7.55</v>
      </c>
      <c r="J226" s="1">
        <v>101.1</v>
      </c>
      <c r="K226" s="1">
        <v>0.5</v>
      </c>
      <c r="L226" t="s">
        <v>16</v>
      </c>
      <c r="M226" s="1">
        <v>0.95</v>
      </c>
      <c r="N226" s="1">
        <v>2.38</v>
      </c>
      <c r="O226" s="19" t="s">
        <v>16</v>
      </c>
    </row>
    <row r="227" spans="1:15" x14ac:dyDescent="0.25">
      <c r="A227" s="16">
        <v>44964</v>
      </c>
      <c r="B227" t="s">
        <v>15</v>
      </c>
      <c r="C227">
        <v>3</v>
      </c>
      <c r="D227" s="21">
        <v>0.6381944444444444</v>
      </c>
      <c r="E227" s="1">
        <v>0.8</v>
      </c>
      <c r="F227" s="1">
        <v>23</v>
      </c>
      <c r="G227" s="1">
        <v>17.96</v>
      </c>
      <c r="H227" s="1">
        <v>7.7</v>
      </c>
      <c r="I227" s="1">
        <v>5.89</v>
      </c>
      <c r="J227" s="1">
        <v>76.099999999999994</v>
      </c>
      <c r="K227" s="1">
        <v>0.8</v>
      </c>
      <c r="L227" t="s">
        <v>16</v>
      </c>
      <c r="M227" s="1">
        <v>1.57</v>
      </c>
      <c r="N227" s="1">
        <v>0.99</v>
      </c>
      <c r="O227" s="19" t="s">
        <v>16</v>
      </c>
    </row>
    <row r="228" spans="1:15" x14ac:dyDescent="0.25">
      <c r="A228" s="16">
        <v>44964</v>
      </c>
      <c r="B228" t="s">
        <v>22</v>
      </c>
      <c r="C228">
        <v>1</v>
      </c>
      <c r="D228" s="21">
        <v>0.69513888888888886</v>
      </c>
      <c r="E228" s="1">
        <v>0.5</v>
      </c>
      <c r="F228" s="1">
        <v>22.7</v>
      </c>
      <c r="G228" s="1">
        <v>27.58</v>
      </c>
      <c r="H228" s="1">
        <v>7.73</v>
      </c>
      <c r="I228" s="1">
        <v>6.29</v>
      </c>
      <c r="J228" s="1">
        <v>85.4</v>
      </c>
      <c r="K228" s="1">
        <v>0.5</v>
      </c>
      <c r="L228" t="s">
        <v>16</v>
      </c>
      <c r="M228" s="1">
        <v>3.27</v>
      </c>
      <c r="N228" s="1">
        <v>1.1399999999999999</v>
      </c>
      <c r="O228" s="19" t="s">
        <v>16</v>
      </c>
    </row>
    <row r="229" spans="1:15" x14ac:dyDescent="0.25">
      <c r="A229" s="16">
        <v>44964</v>
      </c>
      <c r="B229" t="s">
        <v>22</v>
      </c>
      <c r="C229">
        <v>2</v>
      </c>
      <c r="D229" s="21">
        <v>0.68055555555555547</v>
      </c>
      <c r="E229" s="1">
        <v>0.7</v>
      </c>
      <c r="F229" s="1">
        <v>23.2</v>
      </c>
      <c r="G229" s="1">
        <v>29.05</v>
      </c>
      <c r="H229" s="1">
        <v>7.9</v>
      </c>
      <c r="I229" s="1">
        <v>7.83</v>
      </c>
      <c r="J229" s="1">
        <v>108.4</v>
      </c>
      <c r="K229" s="1">
        <v>0.7</v>
      </c>
      <c r="L229" t="s">
        <v>16</v>
      </c>
      <c r="M229" s="1">
        <v>3.4</v>
      </c>
      <c r="N229" s="1">
        <v>1.2</v>
      </c>
      <c r="O229" s="19" t="s">
        <v>16</v>
      </c>
    </row>
    <row r="230" spans="1:15" x14ac:dyDescent="0.25">
      <c r="A230" s="16">
        <v>44964</v>
      </c>
      <c r="B230" t="s">
        <v>22</v>
      </c>
      <c r="C230">
        <v>3</v>
      </c>
      <c r="D230" s="21">
        <v>0.68611111111111101</v>
      </c>
      <c r="E230" s="1">
        <v>0.5</v>
      </c>
      <c r="F230" s="1">
        <v>22.8</v>
      </c>
      <c r="G230" s="1">
        <v>26.33</v>
      </c>
      <c r="H230" s="1">
        <v>7.78</v>
      </c>
      <c r="I230" s="1">
        <v>7.3</v>
      </c>
      <c r="J230" s="1">
        <v>99.4</v>
      </c>
      <c r="K230" s="1">
        <v>0.5</v>
      </c>
      <c r="L230" t="s">
        <v>16</v>
      </c>
      <c r="M230" s="1">
        <v>4.32</v>
      </c>
      <c r="N230" s="1">
        <v>1.35</v>
      </c>
      <c r="O230" s="19" t="s">
        <v>16</v>
      </c>
    </row>
    <row r="231" spans="1:15" x14ac:dyDescent="0.25">
      <c r="A231" s="16">
        <v>44993</v>
      </c>
      <c r="B231" t="s">
        <v>15</v>
      </c>
      <c r="C231">
        <v>1</v>
      </c>
      <c r="D231" s="21">
        <v>0.6694444444444444</v>
      </c>
      <c r="E231" s="1">
        <v>0.4</v>
      </c>
      <c r="F231" s="1">
        <v>27.7</v>
      </c>
      <c r="G231" s="1">
        <v>25.18</v>
      </c>
      <c r="H231" s="1">
        <v>7.62</v>
      </c>
      <c r="I231" s="1">
        <v>6.01</v>
      </c>
      <c r="J231" s="1">
        <v>87.8</v>
      </c>
      <c r="K231" s="1">
        <v>0.4</v>
      </c>
      <c r="L231" t="s">
        <v>16</v>
      </c>
      <c r="M231" s="1">
        <v>3.36</v>
      </c>
      <c r="N231" s="1">
        <v>1.67</v>
      </c>
      <c r="O231" s="19" t="s">
        <v>16</v>
      </c>
    </row>
    <row r="232" spans="1:15" x14ac:dyDescent="0.25">
      <c r="A232" s="16">
        <v>44993</v>
      </c>
      <c r="B232" t="s">
        <v>15</v>
      </c>
      <c r="C232">
        <v>2</v>
      </c>
      <c r="D232" s="21">
        <v>0.69166666666666676</v>
      </c>
      <c r="E232" s="1">
        <v>0.3</v>
      </c>
      <c r="F232" s="1">
        <v>28</v>
      </c>
      <c r="G232" s="1">
        <v>27.2</v>
      </c>
      <c r="H232" s="1">
        <v>7.66</v>
      </c>
      <c r="I232" s="1">
        <v>6.23</v>
      </c>
      <c r="J232" s="1">
        <v>92.6</v>
      </c>
      <c r="K232" s="1">
        <v>0.3</v>
      </c>
      <c r="L232" t="s">
        <v>16</v>
      </c>
      <c r="M232" s="1">
        <v>2.91</v>
      </c>
      <c r="N232" s="1">
        <v>1.64</v>
      </c>
      <c r="O232" s="19" t="s">
        <v>16</v>
      </c>
    </row>
    <row r="233" spans="1:15" x14ac:dyDescent="0.25">
      <c r="A233" s="16">
        <v>44993</v>
      </c>
      <c r="B233" t="s">
        <v>15</v>
      </c>
      <c r="C233">
        <v>3</v>
      </c>
      <c r="D233" s="21">
        <v>0.6381944444444444</v>
      </c>
      <c r="E233" s="1">
        <v>0.4</v>
      </c>
      <c r="F233" s="1">
        <v>27.6</v>
      </c>
      <c r="G233" s="1">
        <v>22</v>
      </c>
      <c r="H233" s="1">
        <v>7.53</v>
      </c>
      <c r="I233" s="1">
        <v>5.61</v>
      </c>
      <c r="J233" s="1">
        <v>80.400000000000006</v>
      </c>
      <c r="K233" s="1">
        <v>0.4</v>
      </c>
      <c r="L233" t="s">
        <v>16</v>
      </c>
      <c r="M233" s="1">
        <v>2.36</v>
      </c>
      <c r="N233" s="1">
        <v>1.76</v>
      </c>
      <c r="O233" s="19" t="s">
        <v>16</v>
      </c>
    </row>
    <row r="234" spans="1:15" x14ac:dyDescent="0.25">
      <c r="A234" s="16">
        <v>44993</v>
      </c>
      <c r="B234" t="s">
        <v>22</v>
      </c>
      <c r="C234">
        <v>1</v>
      </c>
      <c r="D234" s="21">
        <v>0.75624999999999998</v>
      </c>
      <c r="E234" s="1">
        <v>0.3</v>
      </c>
      <c r="F234" s="1">
        <v>26.9</v>
      </c>
      <c r="G234" s="1">
        <v>34.24</v>
      </c>
      <c r="H234" s="1">
        <v>7.86</v>
      </c>
      <c r="I234" s="1">
        <v>7.09</v>
      </c>
      <c r="J234" s="1">
        <v>107.6</v>
      </c>
      <c r="K234" s="1">
        <v>0.2</v>
      </c>
      <c r="L234" t="s">
        <v>16</v>
      </c>
      <c r="M234" s="1">
        <v>13.36</v>
      </c>
      <c r="N234" s="1">
        <v>2.08</v>
      </c>
      <c r="O234" s="19" t="s">
        <v>16</v>
      </c>
    </row>
    <row r="235" spans="1:15" x14ac:dyDescent="0.25">
      <c r="A235" s="16">
        <v>44993</v>
      </c>
      <c r="B235" t="s">
        <v>22</v>
      </c>
      <c r="C235">
        <v>2</v>
      </c>
      <c r="D235" s="21">
        <v>0.7284722222222223</v>
      </c>
      <c r="E235" s="1">
        <v>0.5</v>
      </c>
      <c r="F235" s="1">
        <v>27.1</v>
      </c>
      <c r="G235" s="1">
        <v>33.630000000000003</v>
      </c>
      <c r="H235" s="1">
        <v>7.74</v>
      </c>
      <c r="I235" s="1">
        <v>6.71</v>
      </c>
      <c r="J235" s="1">
        <v>102.1</v>
      </c>
      <c r="K235" s="1">
        <v>0.5</v>
      </c>
      <c r="L235" t="s">
        <v>16</v>
      </c>
      <c r="M235" s="1">
        <v>4.3099999999999996</v>
      </c>
      <c r="N235" s="1">
        <v>5.68</v>
      </c>
      <c r="O235" s="19" t="s">
        <v>16</v>
      </c>
    </row>
    <row r="236" spans="1:15" x14ac:dyDescent="0.25">
      <c r="A236" s="16">
        <v>44993</v>
      </c>
      <c r="B236" t="s">
        <v>22</v>
      </c>
      <c r="C236">
        <v>3</v>
      </c>
      <c r="D236" s="21">
        <v>0.74236111111111114</v>
      </c>
      <c r="E236" s="1">
        <v>0.3</v>
      </c>
      <c r="F236" s="1">
        <v>27</v>
      </c>
      <c r="G236" s="1">
        <v>33.659999999999997</v>
      </c>
      <c r="H236" s="1">
        <v>7.73</v>
      </c>
      <c r="I236" s="1">
        <v>6.33</v>
      </c>
      <c r="J236" s="1">
        <v>95.9</v>
      </c>
      <c r="K236" s="1">
        <v>0.3</v>
      </c>
      <c r="L236" t="s">
        <v>16</v>
      </c>
      <c r="M236" s="1">
        <v>7.44</v>
      </c>
      <c r="N236" s="1">
        <v>2.52</v>
      </c>
      <c r="O236" s="19" t="s">
        <v>16</v>
      </c>
    </row>
    <row r="237" spans="1:15" x14ac:dyDescent="0.25">
      <c r="A237" s="16">
        <v>45020</v>
      </c>
      <c r="B237" t="s">
        <v>15</v>
      </c>
      <c r="C237">
        <v>1</v>
      </c>
      <c r="D237" s="21">
        <v>0.69027777777777777</v>
      </c>
      <c r="E237" s="1">
        <v>0.5</v>
      </c>
      <c r="F237" s="1">
        <v>27.8</v>
      </c>
      <c r="G237" s="1">
        <v>25.74</v>
      </c>
      <c r="H237" s="1">
        <v>7.73</v>
      </c>
      <c r="I237" s="1">
        <v>6.48</v>
      </c>
      <c r="J237" s="1">
        <v>95.1</v>
      </c>
      <c r="K237" s="1">
        <v>0.5</v>
      </c>
      <c r="L237" t="s">
        <v>16</v>
      </c>
      <c r="M237" s="1">
        <v>7.01</v>
      </c>
      <c r="N237" s="1">
        <v>1.97</v>
      </c>
      <c r="O237" s="19" t="s">
        <v>16</v>
      </c>
    </row>
    <row r="238" spans="1:15" x14ac:dyDescent="0.25">
      <c r="A238" s="16">
        <v>45020</v>
      </c>
      <c r="B238" t="s">
        <v>15</v>
      </c>
      <c r="C238">
        <v>2</v>
      </c>
      <c r="D238" s="21">
        <v>0.69513888888888886</v>
      </c>
      <c r="E238" s="1">
        <v>0.4</v>
      </c>
      <c r="F238" s="1">
        <v>27.8</v>
      </c>
      <c r="G238" s="1">
        <v>25.11</v>
      </c>
      <c r="H238" s="1">
        <v>7.7</v>
      </c>
      <c r="I238" s="1">
        <v>6.33</v>
      </c>
      <c r="J238" s="1">
        <v>92.6</v>
      </c>
      <c r="K238" s="1">
        <v>0.4</v>
      </c>
      <c r="L238" t="s">
        <v>16</v>
      </c>
      <c r="M238" s="1">
        <v>4.82</v>
      </c>
      <c r="N238" s="1">
        <v>2.16</v>
      </c>
      <c r="O238" s="19" t="s">
        <v>16</v>
      </c>
    </row>
    <row r="239" spans="1:15" x14ac:dyDescent="0.25">
      <c r="A239" s="16">
        <v>45020</v>
      </c>
      <c r="B239" t="s">
        <v>15</v>
      </c>
      <c r="C239">
        <v>3</v>
      </c>
      <c r="D239" s="21">
        <v>0.68194444444444446</v>
      </c>
      <c r="E239" s="1">
        <v>0.7</v>
      </c>
      <c r="F239" s="1">
        <v>27.7</v>
      </c>
      <c r="G239" s="1">
        <v>21.62</v>
      </c>
      <c r="H239" s="1">
        <v>7.6</v>
      </c>
      <c r="I239" s="1">
        <v>5.58</v>
      </c>
      <c r="J239" s="1">
        <v>80.099999999999994</v>
      </c>
      <c r="K239" s="1">
        <v>0.7</v>
      </c>
      <c r="L239" t="s">
        <v>16</v>
      </c>
      <c r="M239" s="1">
        <v>2.69</v>
      </c>
      <c r="N239" s="1">
        <v>1.61</v>
      </c>
      <c r="O239" s="19" t="s">
        <v>16</v>
      </c>
    </row>
    <row r="240" spans="1:15" x14ac:dyDescent="0.25">
      <c r="A240" s="16">
        <v>45020</v>
      </c>
      <c r="B240" t="s">
        <v>22</v>
      </c>
      <c r="C240">
        <v>1</v>
      </c>
      <c r="D240" s="21">
        <v>0.73472222222222217</v>
      </c>
      <c r="E240" s="1">
        <v>0.6</v>
      </c>
      <c r="F240" s="1">
        <v>27.8</v>
      </c>
      <c r="G240" s="1">
        <v>33.200000000000003</v>
      </c>
      <c r="H240" s="1">
        <v>7.81</v>
      </c>
      <c r="I240" s="1">
        <v>6.82</v>
      </c>
      <c r="J240" s="1">
        <v>104.2</v>
      </c>
      <c r="K240" s="1">
        <v>0.6</v>
      </c>
      <c r="L240" t="s">
        <v>16</v>
      </c>
      <c r="M240" s="1">
        <v>7.48</v>
      </c>
      <c r="N240" s="1">
        <v>5.93</v>
      </c>
      <c r="O240" s="19" t="s">
        <v>16</v>
      </c>
    </row>
    <row r="241" spans="1:15" x14ac:dyDescent="0.25">
      <c r="A241" s="16">
        <v>45020</v>
      </c>
      <c r="B241" t="s">
        <v>22</v>
      </c>
      <c r="C241">
        <v>2</v>
      </c>
      <c r="D241" s="21">
        <v>0.72222222222222221</v>
      </c>
      <c r="E241" s="1">
        <v>0.5</v>
      </c>
      <c r="F241" s="1">
        <v>27.7</v>
      </c>
      <c r="G241" s="1">
        <v>32.31</v>
      </c>
      <c r="H241" s="1">
        <v>7.86</v>
      </c>
      <c r="I241" s="1">
        <v>7.44</v>
      </c>
      <c r="J241" s="1">
        <v>113.2</v>
      </c>
      <c r="K241" s="1">
        <v>0.4</v>
      </c>
      <c r="L241" t="s">
        <v>16</v>
      </c>
      <c r="M241" s="1">
        <v>17.809999999999999</v>
      </c>
      <c r="N241" s="1">
        <v>9.09</v>
      </c>
      <c r="O241" s="19" t="s">
        <v>16</v>
      </c>
    </row>
    <row r="242" spans="1:15" x14ac:dyDescent="0.25">
      <c r="A242" s="16">
        <v>45020</v>
      </c>
      <c r="B242" t="s">
        <v>22</v>
      </c>
      <c r="C242">
        <v>3</v>
      </c>
      <c r="D242" s="21">
        <v>0.73055555555555562</v>
      </c>
      <c r="E242" s="1">
        <v>0.6</v>
      </c>
      <c r="F242" s="1">
        <v>28.1</v>
      </c>
      <c r="G242" s="1">
        <v>32.700000000000003</v>
      </c>
      <c r="H242" s="1">
        <v>7.8</v>
      </c>
      <c r="I242" s="1">
        <v>7.11</v>
      </c>
      <c r="J242" s="1">
        <v>109.6</v>
      </c>
      <c r="K242" s="1">
        <v>0.6</v>
      </c>
      <c r="L242" t="s">
        <v>16</v>
      </c>
      <c r="M242" s="1">
        <v>6.08</v>
      </c>
      <c r="N242" s="1">
        <v>5.63</v>
      </c>
      <c r="O242" s="19" t="s">
        <v>16</v>
      </c>
    </row>
    <row r="243" spans="1:15" x14ac:dyDescent="0.25">
      <c r="A243" s="16">
        <v>45048</v>
      </c>
      <c r="B243" t="s">
        <v>15</v>
      </c>
      <c r="C243">
        <v>1</v>
      </c>
      <c r="D243" s="21">
        <v>0.67638888888888893</v>
      </c>
      <c r="E243" s="1">
        <v>0.9</v>
      </c>
      <c r="F243" s="1">
        <v>29.3</v>
      </c>
      <c r="G243" s="1">
        <v>21.71</v>
      </c>
      <c r="H243" s="1">
        <v>7.95</v>
      </c>
      <c r="I243" s="1">
        <v>8.1199999999999992</v>
      </c>
      <c r="J243" s="1">
        <v>120.3</v>
      </c>
      <c r="K243" s="1">
        <v>0.9</v>
      </c>
      <c r="L243" t="s">
        <v>16</v>
      </c>
      <c r="M243" s="1">
        <v>3.86</v>
      </c>
      <c r="N243" s="1">
        <v>3.33</v>
      </c>
      <c r="O243" s="19" t="s">
        <v>16</v>
      </c>
    </row>
    <row r="244" spans="1:15" x14ac:dyDescent="0.25">
      <c r="A244" s="16">
        <v>45048</v>
      </c>
      <c r="B244" t="s">
        <v>15</v>
      </c>
      <c r="C244">
        <v>2</v>
      </c>
      <c r="D244" s="21">
        <v>0.68333333333333324</v>
      </c>
      <c r="E244" s="1">
        <v>0.4</v>
      </c>
      <c r="F244" s="1">
        <v>29.6</v>
      </c>
      <c r="G244" s="1">
        <v>20.37</v>
      </c>
      <c r="H244" s="1">
        <v>7.94</v>
      </c>
      <c r="I244" s="1">
        <v>8.11</v>
      </c>
      <c r="J244" s="1">
        <v>119.5</v>
      </c>
      <c r="K244" s="1">
        <v>0.4</v>
      </c>
      <c r="L244" t="s">
        <v>16</v>
      </c>
      <c r="M244" s="1">
        <v>4.5199999999999996</v>
      </c>
      <c r="N244" s="1">
        <v>2.29</v>
      </c>
      <c r="O244" s="19" t="s">
        <v>16</v>
      </c>
    </row>
    <row r="245" spans="1:15" x14ac:dyDescent="0.25">
      <c r="A245" s="16">
        <v>45048</v>
      </c>
      <c r="B245" t="s">
        <v>15</v>
      </c>
      <c r="C245">
        <v>3</v>
      </c>
      <c r="D245" s="21">
        <v>0.66666666666666663</v>
      </c>
      <c r="E245" s="1">
        <v>0.55000000000000004</v>
      </c>
      <c r="F245" s="1">
        <v>29.2</v>
      </c>
      <c r="G245" s="1">
        <v>8.49</v>
      </c>
      <c r="H245" s="1">
        <v>7.72</v>
      </c>
      <c r="I245" s="1">
        <v>6.82</v>
      </c>
      <c r="J245" s="1">
        <v>93.2</v>
      </c>
      <c r="K245" s="1">
        <v>0.55000000000000004</v>
      </c>
      <c r="L245" t="s">
        <v>16</v>
      </c>
      <c r="M245" s="1">
        <v>2.02</v>
      </c>
      <c r="N245" s="1">
        <v>2.0099999999999998</v>
      </c>
      <c r="O245" s="19" t="s">
        <v>16</v>
      </c>
    </row>
    <row r="246" spans="1:15" x14ac:dyDescent="0.25">
      <c r="A246" s="16">
        <v>45048</v>
      </c>
      <c r="B246" t="s">
        <v>22</v>
      </c>
      <c r="C246">
        <v>1</v>
      </c>
      <c r="D246" s="21">
        <v>0.72916666666666663</v>
      </c>
      <c r="E246" s="1">
        <v>0.8</v>
      </c>
      <c r="F246" s="1">
        <v>29.3</v>
      </c>
      <c r="G246" s="1">
        <v>30.48</v>
      </c>
      <c r="H246" s="1">
        <v>8.07</v>
      </c>
      <c r="I246" s="1">
        <v>8.8699999999999992</v>
      </c>
      <c r="J246" s="1">
        <v>137.30000000000001</v>
      </c>
      <c r="K246" s="1">
        <v>0.8</v>
      </c>
      <c r="L246" t="s">
        <v>16</v>
      </c>
      <c r="M246" s="1">
        <v>4.63</v>
      </c>
      <c r="N246" s="1">
        <v>2.36</v>
      </c>
      <c r="O246" s="19" t="s">
        <v>16</v>
      </c>
    </row>
    <row r="247" spans="1:15" x14ac:dyDescent="0.25">
      <c r="A247" s="16">
        <v>45048</v>
      </c>
      <c r="B247" t="s">
        <v>22</v>
      </c>
      <c r="C247">
        <v>2</v>
      </c>
      <c r="D247" s="21">
        <v>0.71388888888888891</v>
      </c>
      <c r="E247" s="1">
        <v>0.7</v>
      </c>
      <c r="F247" s="1">
        <v>30</v>
      </c>
      <c r="G247" s="1">
        <v>30.19</v>
      </c>
      <c r="H247" s="1">
        <v>8.0500000000000007</v>
      </c>
      <c r="I247" s="1">
        <v>9.6199999999999992</v>
      </c>
      <c r="J247" s="1">
        <v>150</v>
      </c>
      <c r="K247" s="1">
        <v>0.6</v>
      </c>
      <c r="L247" t="s">
        <v>16</v>
      </c>
      <c r="M247" s="1">
        <v>10.42</v>
      </c>
      <c r="N247" s="1">
        <v>3.43</v>
      </c>
      <c r="O247" s="19" t="s">
        <v>16</v>
      </c>
    </row>
    <row r="248" spans="1:15" x14ac:dyDescent="0.25">
      <c r="A248" s="16">
        <v>45048</v>
      </c>
      <c r="B248" t="s">
        <v>22</v>
      </c>
      <c r="C248">
        <v>3</v>
      </c>
      <c r="D248" s="21">
        <v>0.72083333333333333</v>
      </c>
      <c r="E248" s="1">
        <v>0.8</v>
      </c>
      <c r="F248" s="1">
        <v>29.9</v>
      </c>
      <c r="G248" s="1">
        <v>30.72</v>
      </c>
      <c r="H248" s="1">
        <v>8.0500000000000007</v>
      </c>
      <c r="I248" s="1">
        <v>9.56</v>
      </c>
      <c r="J248" s="1">
        <v>150.1</v>
      </c>
      <c r="K248" s="1">
        <v>0.7</v>
      </c>
      <c r="L248" t="s">
        <v>16</v>
      </c>
      <c r="M248" s="1">
        <v>5.5</v>
      </c>
      <c r="N248" s="1">
        <v>3.98</v>
      </c>
      <c r="O248" s="19" t="s">
        <v>16</v>
      </c>
    </row>
    <row r="249" spans="1:15" x14ac:dyDescent="0.25">
      <c r="A249" s="16">
        <v>45083</v>
      </c>
      <c r="B249" t="s">
        <v>15</v>
      </c>
      <c r="C249">
        <v>1</v>
      </c>
      <c r="D249" s="21">
        <v>0.67499999999999993</v>
      </c>
      <c r="E249" s="1">
        <v>0.6</v>
      </c>
      <c r="F249" s="1">
        <v>29.4</v>
      </c>
      <c r="G249" s="1">
        <v>18.62</v>
      </c>
      <c r="H249" s="1">
        <v>7.67</v>
      </c>
      <c r="I249" s="1">
        <v>5.91</v>
      </c>
      <c r="J249" s="1">
        <v>85.1</v>
      </c>
      <c r="K249" s="1">
        <v>0.6</v>
      </c>
      <c r="L249" t="s">
        <v>16</v>
      </c>
      <c r="M249" s="1">
        <v>1.89</v>
      </c>
      <c r="N249" s="1">
        <v>4.9400000000000004</v>
      </c>
      <c r="O249" s="19" t="s">
        <v>16</v>
      </c>
    </row>
    <row r="250" spans="1:15" x14ac:dyDescent="0.25">
      <c r="A250" s="16">
        <v>45083</v>
      </c>
      <c r="B250" t="s">
        <v>15</v>
      </c>
      <c r="C250">
        <v>2</v>
      </c>
      <c r="D250" s="21">
        <v>0.68125000000000002</v>
      </c>
      <c r="E250" s="1">
        <v>0.6</v>
      </c>
      <c r="F250" s="1">
        <v>29.6</v>
      </c>
      <c r="G250" s="1">
        <v>19.34</v>
      </c>
      <c r="H250" s="1">
        <v>7.75</v>
      </c>
      <c r="I250" s="1">
        <v>6.61</v>
      </c>
      <c r="J250" s="1">
        <v>96.6</v>
      </c>
      <c r="K250" s="1">
        <v>0.6</v>
      </c>
      <c r="L250" t="s">
        <v>16</v>
      </c>
      <c r="M250" s="1">
        <v>1.51</v>
      </c>
      <c r="N250" s="1">
        <v>3.28</v>
      </c>
      <c r="O250" s="19" t="s">
        <v>16</v>
      </c>
    </row>
    <row r="251" spans="1:15" x14ac:dyDescent="0.25">
      <c r="A251" s="16">
        <v>45083</v>
      </c>
      <c r="B251" t="s">
        <v>15</v>
      </c>
      <c r="C251">
        <v>3</v>
      </c>
      <c r="D251" s="21">
        <v>0.66875000000000007</v>
      </c>
      <c r="E251" s="1">
        <v>0.6</v>
      </c>
      <c r="F251" s="1">
        <v>29.1</v>
      </c>
      <c r="G251" s="1">
        <v>12.76</v>
      </c>
      <c r="H251" s="1">
        <v>7.57</v>
      </c>
      <c r="I251" s="1">
        <v>5.18</v>
      </c>
      <c r="J251" s="1">
        <v>72.400000000000006</v>
      </c>
      <c r="K251" s="1">
        <v>0.6</v>
      </c>
      <c r="L251" t="s">
        <v>16</v>
      </c>
      <c r="M251" s="1">
        <v>1.57</v>
      </c>
      <c r="N251" s="1">
        <v>1.53</v>
      </c>
      <c r="O251" s="19" t="s">
        <v>16</v>
      </c>
    </row>
    <row r="252" spans="1:15" x14ac:dyDescent="0.25">
      <c r="A252" s="16">
        <v>45083</v>
      </c>
      <c r="B252" t="s">
        <v>22</v>
      </c>
      <c r="C252">
        <v>1</v>
      </c>
      <c r="D252" s="21">
        <v>0.72986111111111107</v>
      </c>
      <c r="E252" s="1">
        <v>0.6</v>
      </c>
      <c r="F252" s="1">
        <v>29.3</v>
      </c>
      <c r="G252" s="1">
        <v>25.79</v>
      </c>
      <c r="H252" s="1">
        <v>7.72</v>
      </c>
      <c r="I252" s="1">
        <v>6.57</v>
      </c>
      <c r="J252" s="1">
        <v>99</v>
      </c>
      <c r="K252" s="1">
        <v>0.6</v>
      </c>
      <c r="L252" t="s">
        <v>16</v>
      </c>
      <c r="M252" s="1">
        <v>2.4300000000000002</v>
      </c>
      <c r="N252" s="1">
        <v>6.63</v>
      </c>
      <c r="O252" s="19" t="s">
        <v>16</v>
      </c>
    </row>
    <row r="253" spans="1:15" x14ac:dyDescent="0.25">
      <c r="A253" s="16">
        <v>45083</v>
      </c>
      <c r="B253" t="s">
        <v>22</v>
      </c>
      <c r="C253">
        <v>2</v>
      </c>
      <c r="D253" s="21">
        <v>0.71458333333333324</v>
      </c>
      <c r="E253" s="1">
        <v>0.65</v>
      </c>
      <c r="F253" s="1">
        <v>29.7</v>
      </c>
      <c r="G253" s="1">
        <v>26.3</v>
      </c>
      <c r="H253" s="1">
        <v>7.83</v>
      </c>
      <c r="I253" s="1">
        <v>7.45</v>
      </c>
      <c r="J253" s="1">
        <v>113.4</v>
      </c>
      <c r="K253" s="1">
        <v>0.65</v>
      </c>
      <c r="L253" t="s">
        <v>16</v>
      </c>
      <c r="M253" s="1">
        <v>4.34</v>
      </c>
      <c r="N253" s="1">
        <v>8.19</v>
      </c>
      <c r="O253" s="19" t="s">
        <v>16</v>
      </c>
    </row>
    <row r="254" spans="1:15" x14ac:dyDescent="0.25">
      <c r="A254" s="16">
        <v>45083</v>
      </c>
      <c r="B254" t="s">
        <v>22</v>
      </c>
      <c r="C254">
        <v>3</v>
      </c>
      <c r="D254" s="21">
        <v>0.71944444444444444</v>
      </c>
      <c r="E254" s="1">
        <v>0.6</v>
      </c>
      <c r="F254" s="1">
        <v>29.3</v>
      </c>
      <c r="G254" s="1">
        <v>23.56</v>
      </c>
      <c r="H254" s="1">
        <v>7.79</v>
      </c>
      <c r="I254" s="1">
        <v>7.49</v>
      </c>
      <c r="J254" s="1">
        <v>111.6</v>
      </c>
      <c r="K254" s="1">
        <v>0.6</v>
      </c>
      <c r="L254" t="s">
        <v>16</v>
      </c>
      <c r="M254" s="1">
        <v>1.91</v>
      </c>
      <c r="N254" s="1">
        <v>4.34</v>
      </c>
      <c r="O254" s="19" t="s">
        <v>16</v>
      </c>
    </row>
    <row r="255" spans="1:15" x14ac:dyDescent="0.25">
      <c r="A255" s="16">
        <v>45112</v>
      </c>
      <c r="B255" t="s">
        <v>15</v>
      </c>
      <c r="C255">
        <v>1</v>
      </c>
      <c r="D255" s="21">
        <v>0.65555555555555556</v>
      </c>
      <c r="E255" s="1">
        <v>0.6</v>
      </c>
      <c r="F255" s="1">
        <v>32.799999999999997</v>
      </c>
      <c r="G255" s="1">
        <v>10.28</v>
      </c>
      <c r="H255" s="1">
        <v>7.67</v>
      </c>
      <c r="I255" s="1">
        <v>5.3</v>
      </c>
      <c r="J255" s="1">
        <v>77.599999999999994</v>
      </c>
      <c r="K255" s="1">
        <v>0.6</v>
      </c>
      <c r="L255" t="s">
        <v>16</v>
      </c>
      <c r="M255" s="1">
        <v>5.27</v>
      </c>
      <c r="N255" s="1">
        <v>10.4</v>
      </c>
      <c r="O255" s="19" t="s">
        <v>16</v>
      </c>
    </row>
    <row r="256" spans="1:15" x14ac:dyDescent="0.25">
      <c r="A256" s="16">
        <v>45112</v>
      </c>
      <c r="B256" t="s">
        <v>15</v>
      </c>
      <c r="C256">
        <v>2</v>
      </c>
      <c r="D256" s="21">
        <v>0.66180555555555554</v>
      </c>
      <c r="E256" s="1">
        <v>0.6</v>
      </c>
      <c r="F256" s="1">
        <v>33.700000000000003</v>
      </c>
      <c r="G256" s="1">
        <v>10.8</v>
      </c>
      <c r="H256" s="1">
        <v>7.74</v>
      </c>
      <c r="I256" s="1">
        <v>6.06</v>
      </c>
      <c r="J256" s="1">
        <v>90.3</v>
      </c>
      <c r="K256" s="1">
        <v>0.6</v>
      </c>
      <c r="L256" t="s">
        <v>16</v>
      </c>
      <c r="M256" s="1">
        <v>2.67</v>
      </c>
      <c r="N256" s="1">
        <v>3.97</v>
      </c>
      <c r="O256" s="19" t="s">
        <v>16</v>
      </c>
    </row>
    <row r="257" spans="1:15" x14ac:dyDescent="0.25">
      <c r="A257" s="16">
        <v>45112</v>
      </c>
      <c r="B257" t="s">
        <v>15</v>
      </c>
      <c r="C257">
        <v>3</v>
      </c>
      <c r="D257" s="21">
        <v>0.6479166666666667</v>
      </c>
      <c r="E257" s="1">
        <v>0.55000000000000004</v>
      </c>
      <c r="F257" s="1">
        <v>32</v>
      </c>
      <c r="G257" s="1">
        <v>4.72</v>
      </c>
      <c r="H257" s="1">
        <v>7.61</v>
      </c>
      <c r="I257" s="1">
        <v>4.62</v>
      </c>
      <c r="J257" s="1">
        <v>64.8</v>
      </c>
      <c r="K257" s="1">
        <v>0.55000000000000004</v>
      </c>
      <c r="L257" t="s">
        <v>16</v>
      </c>
      <c r="M257" s="1">
        <v>2.42</v>
      </c>
      <c r="N257" s="1">
        <v>4.45</v>
      </c>
      <c r="O257" s="19" t="s">
        <v>16</v>
      </c>
    </row>
    <row r="258" spans="1:15" x14ac:dyDescent="0.25">
      <c r="A258" s="16">
        <v>45112</v>
      </c>
      <c r="B258" t="s">
        <v>22</v>
      </c>
      <c r="C258">
        <v>1</v>
      </c>
      <c r="D258" s="21">
        <v>0.70624999999999993</v>
      </c>
      <c r="E258" s="1">
        <v>0.55000000000000004</v>
      </c>
      <c r="F258" s="1">
        <v>33.299999999999997</v>
      </c>
      <c r="G258" s="1">
        <v>25.31</v>
      </c>
      <c r="H258" s="1">
        <v>7.81</v>
      </c>
      <c r="I258" s="1">
        <v>6.1</v>
      </c>
      <c r="J258" s="1">
        <v>97.8</v>
      </c>
      <c r="K258" s="1">
        <v>0.55000000000000004</v>
      </c>
      <c r="L258" t="s">
        <v>16</v>
      </c>
      <c r="M258" s="1">
        <v>4.2300000000000004</v>
      </c>
      <c r="N258" s="1">
        <v>5.7</v>
      </c>
      <c r="O258" s="19" t="s">
        <v>16</v>
      </c>
    </row>
    <row r="259" spans="1:15" x14ac:dyDescent="0.25">
      <c r="A259" s="16">
        <v>45112</v>
      </c>
      <c r="B259" t="s">
        <v>22</v>
      </c>
      <c r="C259">
        <v>2</v>
      </c>
      <c r="D259" s="21">
        <v>0.69236111111111109</v>
      </c>
      <c r="E259" s="1">
        <v>0.6</v>
      </c>
      <c r="F259" s="1">
        <v>33.4</v>
      </c>
      <c r="G259" s="1">
        <v>26.36</v>
      </c>
      <c r="H259" s="1">
        <v>7.93</v>
      </c>
      <c r="I259" s="1">
        <v>7.5</v>
      </c>
      <c r="J259" s="1">
        <v>121.1</v>
      </c>
      <c r="K259" s="1">
        <v>0.6</v>
      </c>
      <c r="L259" t="s">
        <v>16</v>
      </c>
      <c r="M259" s="1">
        <v>3.34</v>
      </c>
      <c r="N259" s="1">
        <v>2.74</v>
      </c>
      <c r="O259" s="19" t="s">
        <v>16</v>
      </c>
    </row>
    <row r="260" spans="1:15" x14ac:dyDescent="0.25">
      <c r="A260" s="16">
        <v>45112</v>
      </c>
      <c r="B260" t="s">
        <v>22</v>
      </c>
      <c r="C260">
        <v>3</v>
      </c>
      <c r="D260" s="21">
        <v>0.69861111111111107</v>
      </c>
      <c r="E260" s="1">
        <v>0.45</v>
      </c>
      <c r="F260" s="1">
        <v>33.6</v>
      </c>
      <c r="G260" s="1">
        <v>24.89</v>
      </c>
      <c r="H260" s="1">
        <v>7.93</v>
      </c>
      <c r="I260" s="1">
        <v>7.65</v>
      </c>
      <c r="J260" s="1">
        <v>123.3</v>
      </c>
      <c r="K260" s="1">
        <v>0.45</v>
      </c>
      <c r="L260" t="s">
        <v>16</v>
      </c>
      <c r="M260" s="1">
        <v>3.18</v>
      </c>
      <c r="N260" s="1">
        <v>3.08</v>
      </c>
      <c r="O260" s="19" t="s">
        <v>16</v>
      </c>
    </row>
    <row r="261" spans="1:15" x14ac:dyDescent="0.25">
      <c r="A261" s="16">
        <v>45139</v>
      </c>
      <c r="B261" t="s">
        <v>15</v>
      </c>
      <c r="C261">
        <v>1</v>
      </c>
      <c r="D261" s="21">
        <v>0.65833333333333333</v>
      </c>
      <c r="E261" s="1">
        <v>0.35</v>
      </c>
      <c r="F261" s="1">
        <v>32</v>
      </c>
      <c r="G261" s="1">
        <v>11.02</v>
      </c>
      <c r="H261" s="1">
        <v>7.7</v>
      </c>
      <c r="I261" s="1">
        <v>5.87</v>
      </c>
      <c r="J261" s="1">
        <v>84</v>
      </c>
      <c r="K261" s="1">
        <v>0.35</v>
      </c>
      <c r="L261" t="s">
        <v>16</v>
      </c>
      <c r="M261" s="1">
        <v>2.41</v>
      </c>
      <c r="N261" s="1">
        <v>1.43</v>
      </c>
      <c r="O261" s="19" t="s">
        <v>16</v>
      </c>
    </row>
    <row r="262" spans="1:15" x14ac:dyDescent="0.25">
      <c r="A262" s="16">
        <v>45139</v>
      </c>
      <c r="B262" t="s">
        <v>15</v>
      </c>
      <c r="C262">
        <v>2</v>
      </c>
      <c r="D262" s="21">
        <v>0.66527777777777775</v>
      </c>
      <c r="E262" s="1">
        <v>0.5</v>
      </c>
      <c r="F262" s="1">
        <v>32.5</v>
      </c>
      <c r="G262" s="1">
        <v>13.05</v>
      </c>
      <c r="H262" s="1">
        <v>7.77</v>
      </c>
      <c r="I262" s="1">
        <v>6.08</v>
      </c>
      <c r="J262" s="1">
        <v>90.3</v>
      </c>
      <c r="K262" s="1">
        <v>0.5</v>
      </c>
      <c r="L262" t="s">
        <v>16</v>
      </c>
      <c r="M262" s="1">
        <v>6.88</v>
      </c>
      <c r="N262" s="1">
        <v>1.97</v>
      </c>
      <c r="O262" s="19" t="s">
        <v>16</v>
      </c>
    </row>
    <row r="263" spans="1:15" x14ac:dyDescent="0.25">
      <c r="A263" s="16">
        <v>45139</v>
      </c>
      <c r="B263" t="s">
        <v>15</v>
      </c>
      <c r="C263">
        <v>3</v>
      </c>
      <c r="D263" s="21">
        <v>0.64930555555555558</v>
      </c>
      <c r="E263" s="1">
        <v>0.6</v>
      </c>
      <c r="F263" s="1">
        <v>31</v>
      </c>
      <c r="G263" s="1">
        <v>4.8499999999999996</v>
      </c>
      <c r="H263" s="1">
        <v>7.58</v>
      </c>
      <c r="I263" s="1">
        <v>4.6500000000000004</v>
      </c>
      <c r="J263" s="1">
        <v>64.099999999999994</v>
      </c>
      <c r="K263" s="1">
        <v>0.6</v>
      </c>
      <c r="L263" t="s">
        <v>16</v>
      </c>
      <c r="M263" s="1">
        <v>1.73</v>
      </c>
      <c r="N263" s="1">
        <v>1.4</v>
      </c>
      <c r="O263" s="19" t="s">
        <v>16</v>
      </c>
    </row>
    <row r="264" spans="1:15" x14ac:dyDescent="0.25">
      <c r="A264" s="16">
        <v>45139</v>
      </c>
      <c r="B264" t="s">
        <v>22</v>
      </c>
      <c r="C264">
        <v>1</v>
      </c>
      <c r="D264" s="21">
        <v>0.70972222222222225</v>
      </c>
      <c r="E264" s="1">
        <v>0.5</v>
      </c>
      <c r="F264" s="1">
        <v>31.2</v>
      </c>
      <c r="G264" s="1">
        <v>28.03</v>
      </c>
      <c r="H264" s="1">
        <v>7.99</v>
      </c>
      <c r="I264" s="1">
        <v>8.0500000000000007</v>
      </c>
      <c r="J264" s="1">
        <v>127</v>
      </c>
      <c r="K264" s="1">
        <v>0.5</v>
      </c>
      <c r="L264" t="s">
        <v>16</v>
      </c>
      <c r="M264" s="1">
        <v>5.19</v>
      </c>
      <c r="N264" s="1">
        <v>2.2400000000000002</v>
      </c>
      <c r="O264" s="19" t="s">
        <v>16</v>
      </c>
    </row>
    <row r="265" spans="1:15" x14ac:dyDescent="0.25">
      <c r="A265" s="16">
        <v>45139</v>
      </c>
      <c r="B265" t="s">
        <v>22</v>
      </c>
      <c r="C265">
        <v>2</v>
      </c>
      <c r="D265" s="21">
        <v>0.69861111111111107</v>
      </c>
      <c r="E265" s="1">
        <v>0.45</v>
      </c>
      <c r="F265" s="1">
        <v>32.4</v>
      </c>
      <c r="G265" s="1">
        <v>23.82</v>
      </c>
      <c r="H265" s="1">
        <v>7.93</v>
      </c>
      <c r="I265" s="1">
        <v>7.69</v>
      </c>
      <c r="J265" s="1">
        <v>120.8</v>
      </c>
      <c r="K265" s="1">
        <v>0.45</v>
      </c>
      <c r="L265" t="s">
        <v>16</v>
      </c>
      <c r="M265" s="1">
        <v>7.52</v>
      </c>
      <c r="N265" s="1">
        <v>6.97</v>
      </c>
      <c r="O265" s="19" t="s">
        <v>16</v>
      </c>
    </row>
    <row r="266" spans="1:15" x14ac:dyDescent="0.25">
      <c r="A266" s="16">
        <v>45139</v>
      </c>
      <c r="B266" t="s">
        <v>22</v>
      </c>
      <c r="C266">
        <v>3</v>
      </c>
      <c r="D266" s="21">
        <v>0.70416666666666661</v>
      </c>
      <c r="E266" s="1">
        <v>0.4</v>
      </c>
      <c r="F266" s="1">
        <v>32</v>
      </c>
      <c r="G266" s="1">
        <v>26.8</v>
      </c>
      <c r="H266" s="1">
        <v>7.97</v>
      </c>
      <c r="I266" s="1">
        <v>8.49</v>
      </c>
      <c r="J266" s="1">
        <v>134.5</v>
      </c>
      <c r="K266" s="1">
        <v>0.4</v>
      </c>
      <c r="L266" t="s">
        <v>16</v>
      </c>
      <c r="M266" s="1">
        <v>6.63</v>
      </c>
      <c r="N266" s="1">
        <v>3.47</v>
      </c>
      <c r="O266" s="19" t="s">
        <v>16</v>
      </c>
    </row>
    <row r="267" spans="1:15" x14ac:dyDescent="0.25">
      <c r="A267" s="16">
        <v>45175</v>
      </c>
      <c r="B267" t="s">
        <v>15</v>
      </c>
      <c r="C267">
        <v>1</v>
      </c>
      <c r="D267" s="21">
        <v>0.65902777777777777</v>
      </c>
      <c r="E267" s="1">
        <v>1.2</v>
      </c>
      <c r="F267" s="1">
        <v>31.9</v>
      </c>
      <c r="G267" s="1">
        <v>16.809999999999999</v>
      </c>
      <c r="H267" s="1">
        <v>7.93</v>
      </c>
      <c r="I267" s="1">
        <v>7.37</v>
      </c>
      <c r="J267" s="1">
        <v>110.3</v>
      </c>
      <c r="K267" s="1">
        <v>1.2</v>
      </c>
      <c r="L267" t="s">
        <v>16</v>
      </c>
      <c r="M267" s="1">
        <v>0.9</v>
      </c>
      <c r="N267" s="1">
        <v>2.79</v>
      </c>
      <c r="O267" s="19" t="s">
        <v>16</v>
      </c>
    </row>
    <row r="268" spans="1:15" x14ac:dyDescent="0.25">
      <c r="A268" s="16">
        <v>45175</v>
      </c>
      <c r="B268" t="s">
        <v>15</v>
      </c>
      <c r="C268">
        <v>2</v>
      </c>
      <c r="D268" s="21">
        <v>0.6791666666666667</v>
      </c>
      <c r="E268" s="1">
        <v>1.1000000000000001</v>
      </c>
      <c r="F268" s="1">
        <v>32.200000000000003</v>
      </c>
      <c r="G268" s="1">
        <v>14.81</v>
      </c>
      <c r="H268" s="1">
        <v>7.93</v>
      </c>
      <c r="I268" s="1">
        <v>7.52</v>
      </c>
      <c r="J268" s="1">
        <v>112.1</v>
      </c>
      <c r="K268" s="1">
        <v>0.95</v>
      </c>
      <c r="L268" t="s">
        <v>16</v>
      </c>
      <c r="M268" s="1">
        <v>0.73</v>
      </c>
      <c r="N268" s="1">
        <v>2.1800000000000002</v>
      </c>
      <c r="O268" s="19" t="s">
        <v>16</v>
      </c>
    </row>
    <row r="269" spans="1:15" x14ac:dyDescent="0.25">
      <c r="A269" s="16">
        <v>45175</v>
      </c>
      <c r="B269" t="s">
        <v>15</v>
      </c>
      <c r="C269">
        <v>3</v>
      </c>
      <c r="D269" s="21">
        <v>0.6645833333333333</v>
      </c>
      <c r="E269" s="1">
        <v>1</v>
      </c>
      <c r="F269" s="1">
        <v>30.8</v>
      </c>
      <c r="G269" s="1">
        <v>14.05</v>
      </c>
      <c r="H269" s="1">
        <v>7.72</v>
      </c>
      <c r="I269" s="1">
        <v>6.22</v>
      </c>
      <c r="J269" s="1">
        <v>90</v>
      </c>
      <c r="K269" s="1">
        <v>1</v>
      </c>
      <c r="L269" t="s">
        <v>16</v>
      </c>
      <c r="M269" s="1">
        <v>0.7</v>
      </c>
      <c r="N269" s="1">
        <v>1.88</v>
      </c>
      <c r="O269" s="19" t="s">
        <v>16</v>
      </c>
    </row>
    <row r="270" spans="1:15" x14ac:dyDescent="0.25">
      <c r="A270" s="16">
        <v>45175</v>
      </c>
      <c r="B270" t="s">
        <v>22</v>
      </c>
      <c r="C270">
        <v>1</v>
      </c>
      <c r="D270" s="21">
        <v>0.74930555555555556</v>
      </c>
      <c r="E270" s="1">
        <v>1</v>
      </c>
      <c r="F270" s="1">
        <v>31.5</v>
      </c>
      <c r="G270" s="1">
        <v>21.13</v>
      </c>
      <c r="H270" s="1">
        <v>8.06</v>
      </c>
      <c r="I270" s="1">
        <v>8.1</v>
      </c>
      <c r="J270" s="1">
        <v>123.6</v>
      </c>
      <c r="K270" s="1">
        <v>1</v>
      </c>
      <c r="L270" t="s">
        <v>16</v>
      </c>
      <c r="M270" s="1">
        <v>1.38</v>
      </c>
      <c r="N270" s="1">
        <v>1.77</v>
      </c>
      <c r="O270" s="19" t="s">
        <v>16</v>
      </c>
    </row>
    <row r="271" spans="1:15" x14ac:dyDescent="0.25">
      <c r="A271" s="16">
        <v>45175</v>
      </c>
      <c r="B271" t="s">
        <v>22</v>
      </c>
      <c r="C271">
        <v>2</v>
      </c>
      <c r="D271" s="21">
        <v>0.71527777777777779</v>
      </c>
      <c r="E271" s="1">
        <v>1</v>
      </c>
      <c r="F271" s="1">
        <v>31.3</v>
      </c>
      <c r="G271" s="1">
        <v>23.92</v>
      </c>
      <c r="H271" s="1">
        <v>7.96</v>
      </c>
      <c r="I271" s="1">
        <v>8.09</v>
      </c>
      <c r="J271" s="1">
        <v>125.9</v>
      </c>
      <c r="K271" s="1">
        <v>0.7</v>
      </c>
      <c r="L271" t="s">
        <v>16</v>
      </c>
      <c r="M271" s="1">
        <v>3.15</v>
      </c>
      <c r="N271" s="1">
        <v>3.73</v>
      </c>
      <c r="O271" s="19" t="s">
        <v>16</v>
      </c>
    </row>
    <row r="272" spans="1:15" x14ac:dyDescent="0.25">
      <c r="A272" s="16">
        <v>45175</v>
      </c>
      <c r="B272" t="s">
        <v>22</v>
      </c>
      <c r="C272">
        <v>3</v>
      </c>
      <c r="D272" s="21">
        <v>0.7368055555555556</v>
      </c>
      <c r="E272" s="1">
        <v>0.7</v>
      </c>
      <c r="F272" s="1">
        <v>31.7</v>
      </c>
      <c r="G272" s="1">
        <v>19.87</v>
      </c>
      <c r="H272" s="1">
        <v>7.99</v>
      </c>
      <c r="I272" s="1">
        <v>8</v>
      </c>
      <c r="J272" s="1">
        <v>121.4</v>
      </c>
      <c r="K272" s="1">
        <v>0.7</v>
      </c>
      <c r="L272" t="s">
        <v>16</v>
      </c>
      <c r="M272" s="1">
        <v>1.08</v>
      </c>
      <c r="N272" s="1">
        <v>2.11</v>
      </c>
      <c r="O272" s="19" t="s">
        <v>16</v>
      </c>
    </row>
    <row r="273" spans="1:15" x14ac:dyDescent="0.25">
      <c r="A273" s="16">
        <v>45202</v>
      </c>
      <c r="B273" t="s">
        <v>15</v>
      </c>
      <c r="C273">
        <v>1</v>
      </c>
      <c r="D273" s="21">
        <v>0.70277777777777783</v>
      </c>
      <c r="E273" s="1">
        <v>1.1000000000000001</v>
      </c>
      <c r="F273" s="1">
        <v>27.8</v>
      </c>
      <c r="G273" s="1">
        <v>7.22</v>
      </c>
      <c r="H273" s="1">
        <v>7.52</v>
      </c>
      <c r="I273" s="1">
        <v>4.84</v>
      </c>
      <c r="J273" s="1">
        <v>64.099999999999994</v>
      </c>
      <c r="K273" s="1">
        <v>1.1000000000000001</v>
      </c>
      <c r="L273" t="s">
        <v>16</v>
      </c>
      <c r="M273" s="1">
        <v>0.93</v>
      </c>
      <c r="N273" s="1">
        <v>2.68</v>
      </c>
      <c r="O273" s="19" t="s">
        <v>16</v>
      </c>
    </row>
    <row r="274" spans="1:15" x14ac:dyDescent="0.25">
      <c r="A274" s="16">
        <v>45202</v>
      </c>
      <c r="B274" t="s">
        <v>15</v>
      </c>
      <c r="C274">
        <v>2</v>
      </c>
      <c r="D274" s="21">
        <v>0.70694444444444438</v>
      </c>
      <c r="E274" s="1">
        <v>0.9</v>
      </c>
      <c r="F274" s="1">
        <v>27.8</v>
      </c>
      <c r="G274" s="1">
        <v>7.96</v>
      </c>
      <c r="H274" s="1">
        <v>7.57</v>
      </c>
      <c r="I274" s="1">
        <v>5.32</v>
      </c>
      <c r="J274" s="1">
        <v>70.5</v>
      </c>
      <c r="K274" s="1">
        <v>0.9</v>
      </c>
      <c r="L274" t="s">
        <v>16</v>
      </c>
      <c r="M274" s="1">
        <v>2.2200000000000002</v>
      </c>
      <c r="N274" s="1">
        <v>2.58</v>
      </c>
      <c r="O274" s="19" t="s">
        <v>16</v>
      </c>
    </row>
    <row r="275" spans="1:15" x14ac:dyDescent="0.25">
      <c r="A275" s="16">
        <v>45202</v>
      </c>
      <c r="B275" t="s">
        <v>15</v>
      </c>
      <c r="C275">
        <v>3</v>
      </c>
      <c r="D275" s="21">
        <v>0.69444444444444453</v>
      </c>
      <c r="E275" s="1">
        <v>1.2</v>
      </c>
      <c r="F275" s="1">
        <v>27.6</v>
      </c>
      <c r="G275" s="1">
        <v>4.03</v>
      </c>
      <c r="H275" s="1">
        <v>7.47</v>
      </c>
      <c r="I275" s="1">
        <v>4.58</v>
      </c>
      <c r="J275" s="1">
        <v>59.5</v>
      </c>
      <c r="K275" s="1">
        <v>0.9</v>
      </c>
      <c r="L275" t="s">
        <v>16</v>
      </c>
      <c r="M275" s="1">
        <v>2.06</v>
      </c>
      <c r="N275" s="1">
        <v>4.34</v>
      </c>
      <c r="O275" s="19" t="s">
        <v>16</v>
      </c>
    </row>
    <row r="276" spans="1:15" x14ac:dyDescent="0.25">
      <c r="A276" s="16">
        <v>45202</v>
      </c>
      <c r="B276" t="s">
        <v>22</v>
      </c>
      <c r="C276">
        <v>1</v>
      </c>
      <c r="D276" s="21">
        <v>0.75555555555555554</v>
      </c>
      <c r="E276" s="1">
        <v>0.7</v>
      </c>
      <c r="F276" s="1">
        <v>28.1</v>
      </c>
      <c r="G276" s="1">
        <v>4.7</v>
      </c>
      <c r="H276" s="1">
        <v>7.63</v>
      </c>
      <c r="I276" s="1">
        <v>6.7</v>
      </c>
      <c r="J276" s="1">
        <v>87.5</v>
      </c>
      <c r="K276" s="1">
        <v>0.7</v>
      </c>
      <c r="L276" t="s">
        <v>16</v>
      </c>
      <c r="M276" s="1">
        <v>0.74</v>
      </c>
      <c r="N276" s="1">
        <v>2.69</v>
      </c>
      <c r="O276" s="19" t="s">
        <v>16</v>
      </c>
    </row>
    <row r="277" spans="1:15" x14ac:dyDescent="0.25">
      <c r="A277" s="16">
        <v>45202</v>
      </c>
      <c r="B277" t="s">
        <v>22</v>
      </c>
      <c r="C277">
        <v>2</v>
      </c>
      <c r="D277" s="21">
        <v>0.73888888888888893</v>
      </c>
      <c r="E277" s="1">
        <v>1.1499999999999999</v>
      </c>
      <c r="F277" s="1">
        <v>28.6</v>
      </c>
      <c r="G277" s="1">
        <v>4.42</v>
      </c>
      <c r="H277" s="1">
        <v>7.62</v>
      </c>
      <c r="I277" s="1">
        <v>6.88</v>
      </c>
      <c r="J277" s="1">
        <v>91</v>
      </c>
      <c r="K277" s="1">
        <v>1.1499999999999999</v>
      </c>
      <c r="L277" t="s">
        <v>16</v>
      </c>
      <c r="M277" s="1">
        <v>0.8</v>
      </c>
      <c r="N277" s="1">
        <v>3.6</v>
      </c>
      <c r="O277" s="19" t="s">
        <v>16</v>
      </c>
    </row>
    <row r="278" spans="1:15" x14ac:dyDescent="0.25">
      <c r="A278" s="16">
        <v>45202</v>
      </c>
      <c r="B278" t="s">
        <v>22</v>
      </c>
      <c r="C278">
        <v>3</v>
      </c>
      <c r="D278" s="21">
        <v>0.74791666666666667</v>
      </c>
      <c r="E278" s="1">
        <v>1.1000000000000001</v>
      </c>
      <c r="F278" s="1">
        <v>28.2</v>
      </c>
      <c r="G278" s="1">
        <v>3.61</v>
      </c>
      <c r="H278" s="1">
        <v>7.72</v>
      </c>
      <c r="I278" s="1">
        <v>7.15</v>
      </c>
      <c r="J278" s="1">
        <v>93.5</v>
      </c>
      <c r="K278" s="1">
        <v>1</v>
      </c>
      <c r="L278" t="s">
        <v>16</v>
      </c>
      <c r="M278" s="1">
        <v>0.73</v>
      </c>
      <c r="N278" s="1">
        <v>2.36</v>
      </c>
      <c r="O278" s="19" t="s">
        <v>16</v>
      </c>
    </row>
    <row r="279" spans="1:15" x14ac:dyDescent="0.25">
      <c r="A279" s="16">
        <v>45237</v>
      </c>
      <c r="B279" t="s">
        <v>15</v>
      </c>
      <c r="C279">
        <v>1</v>
      </c>
      <c r="D279" s="21">
        <v>0.64930555555555558</v>
      </c>
      <c r="E279" s="1">
        <v>1</v>
      </c>
      <c r="F279" s="1">
        <v>26.3</v>
      </c>
      <c r="G279" s="1">
        <v>24.06</v>
      </c>
      <c r="H279" s="1">
        <v>7.83</v>
      </c>
      <c r="I279" s="1">
        <v>6.89</v>
      </c>
      <c r="J279" s="1">
        <v>97.8</v>
      </c>
      <c r="K279" s="1">
        <v>1</v>
      </c>
      <c r="L279" t="s">
        <v>16</v>
      </c>
      <c r="M279" s="1">
        <v>1.1499999999999999</v>
      </c>
      <c r="N279" s="1">
        <v>1.51</v>
      </c>
      <c r="O279" s="19" t="s">
        <v>16</v>
      </c>
    </row>
    <row r="280" spans="1:15" x14ac:dyDescent="0.25">
      <c r="A280" s="16">
        <v>45237</v>
      </c>
      <c r="B280" t="s">
        <v>15</v>
      </c>
      <c r="C280">
        <v>2</v>
      </c>
      <c r="D280" s="21">
        <v>0.65763888888888888</v>
      </c>
      <c r="E280" s="1">
        <v>0.9</v>
      </c>
      <c r="F280" s="1">
        <v>26.2</v>
      </c>
      <c r="G280" s="1">
        <v>24.66</v>
      </c>
      <c r="H280" s="1">
        <v>7.85</v>
      </c>
      <c r="I280" s="1">
        <v>7.02</v>
      </c>
      <c r="J280" s="1">
        <v>99.7</v>
      </c>
      <c r="K280" s="1">
        <v>0.9</v>
      </c>
      <c r="L280" t="s">
        <v>16</v>
      </c>
      <c r="M280" s="1">
        <v>1.21</v>
      </c>
      <c r="N280" s="1">
        <v>1.79</v>
      </c>
      <c r="O280" s="19" t="s">
        <v>16</v>
      </c>
    </row>
    <row r="281" spans="1:15" x14ac:dyDescent="0.25">
      <c r="A281" s="16">
        <v>45237</v>
      </c>
      <c r="B281" t="s">
        <v>15</v>
      </c>
      <c r="C281">
        <v>3</v>
      </c>
      <c r="D281" s="21">
        <v>0.64027777777777783</v>
      </c>
      <c r="E281" s="1">
        <v>1.1000000000000001</v>
      </c>
      <c r="F281" s="1">
        <v>26.3</v>
      </c>
      <c r="G281" s="1">
        <v>22.4</v>
      </c>
      <c r="H281" s="1">
        <v>7.8</v>
      </c>
      <c r="I281" s="1">
        <v>6.13</v>
      </c>
      <c r="J281" s="1">
        <v>85.8</v>
      </c>
      <c r="K281" s="1">
        <v>1.1000000000000001</v>
      </c>
      <c r="L281" t="s">
        <v>16</v>
      </c>
      <c r="M281" s="1">
        <v>-0.17</v>
      </c>
      <c r="N281" s="1">
        <v>2.0099999999999998</v>
      </c>
      <c r="O281" s="19" t="s">
        <v>16</v>
      </c>
    </row>
    <row r="282" spans="1:15" x14ac:dyDescent="0.25">
      <c r="A282" s="16">
        <v>45237</v>
      </c>
      <c r="B282" t="s">
        <v>22</v>
      </c>
      <c r="C282">
        <v>1</v>
      </c>
      <c r="D282" s="21">
        <v>0.71666666666666667</v>
      </c>
      <c r="E282" s="1">
        <v>0.95</v>
      </c>
      <c r="F282" s="1">
        <v>26</v>
      </c>
      <c r="G282" s="1">
        <v>28.73</v>
      </c>
      <c r="H282" s="1">
        <v>8.01</v>
      </c>
      <c r="I282" s="1">
        <v>8.1</v>
      </c>
      <c r="J282" s="1">
        <v>117.5</v>
      </c>
      <c r="K282" s="1">
        <v>0.95</v>
      </c>
      <c r="L282" t="s">
        <v>16</v>
      </c>
      <c r="M282" s="1">
        <v>0.47</v>
      </c>
      <c r="N282" s="1">
        <v>2.56</v>
      </c>
      <c r="O282" s="19" t="s">
        <v>16</v>
      </c>
    </row>
    <row r="283" spans="1:15" x14ac:dyDescent="0.25">
      <c r="A283" s="16">
        <v>45237</v>
      </c>
      <c r="B283" t="s">
        <v>22</v>
      </c>
      <c r="C283">
        <v>2</v>
      </c>
      <c r="D283" s="21">
        <v>0.68819444444444444</v>
      </c>
      <c r="E283" s="1">
        <v>1.2</v>
      </c>
      <c r="F283" s="1">
        <v>26</v>
      </c>
      <c r="G283" s="1">
        <v>28.66</v>
      </c>
      <c r="H283" s="1">
        <v>8</v>
      </c>
      <c r="I283" s="1">
        <v>7.86</v>
      </c>
      <c r="J283" s="1">
        <v>113.9</v>
      </c>
      <c r="K283" s="1">
        <v>1.2</v>
      </c>
      <c r="L283" t="s">
        <v>16</v>
      </c>
      <c r="M283" s="1">
        <v>0.21</v>
      </c>
      <c r="N283" s="1">
        <v>3.33</v>
      </c>
      <c r="O283" s="19" t="s">
        <v>16</v>
      </c>
    </row>
    <row r="284" spans="1:15" x14ac:dyDescent="0.25">
      <c r="A284" s="16">
        <v>45237</v>
      </c>
      <c r="B284" t="s">
        <v>22</v>
      </c>
      <c r="C284">
        <v>3</v>
      </c>
      <c r="D284" s="21">
        <v>0.7006944444444444</v>
      </c>
      <c r="E284" s="1">
        <v>1.1000000000000001</v>
      </c>
      <c r="F284" s="1">
        <v>25.9</v>
      </c>
      <c r="G284" s="1">
        <v>28.58</v>
      </c>
      <c r="H284" s="1">
        <v>7.99</v>
      </c>
      <c r="I284" s="1">
        <v>7.82</v>
      </c>
      <c r="J284" s="1">
        <v>113.3</v>
      </c>
      <c r="K284" s="1">
        <v>1.1000000000000001</v>
      </c>
      <c r="L284" t="s">
        <v>16</v>
      </c>
      <c r="M284" s="1">
        <v>0.12</v>
      </c>
      <c r="N284" s="1">
        <v>3.13</v>
      </c>
      <c r="O284" s="19" t="s">
        <v>16</v>
      </c>
    </row>
    <row r="285" spans="1:15" x14ac:dyDescent="0.25">
      <c r="A285" s="16">
        <v>45265</v>
      </c>
      <c r="B285" t="s">
        <v>15</v>
      </c>
      <c r="C285">
        <v>1</v>
      </c>
      <c r="D285" s="21">
        <v>0.66527777777777775</v>
      </c>
      <c r="E285" s="1">
        <v>0.85</v>
      </c>
      <c r="F285" s="1">
        <v>24.9</v>
      </c>
      <c r="G285" s="1">
        <v>24.75</v>
      </c>
      <c r="H285" s="1">
        <v>7.85</v>
      </c>
      <c r="I285" s="1">
        <v>6.7</v>
      </c>
      <c r="J285" s="1">
        <v>94.3</v>
      </c>
      <c r="K285" s="1">
        <v>0.85</v>
      </c>
      <c r="L285" t="s">
        <v>16</v>
      </c>
      <c r="M285" s="1">
        <v>1.68</v>
      </c>
      <c r="N285" s="1">
        <v>2.16</v>
      </c>
      <c r="O285" s="19" t="s">
        <v>16</v>
      </c>
    </row>
    <row r="286" spans="1:15" x14ac:dyDescent="0.25">
      <c r="A286" s="16">
        <v>45265</v>
      </c>
      <c r="B286" t="s">
        <v>15</v>
      </c>
      <c r="C286">
        <v>2</v>
      </c>
      <c r="D286" s="21">
        <v>0.67013888888888884</v>
      </c>
      <c r="E286" s="1">
        <v>0.8</v>
      </c>
      <c r="F286" s="1">
        <v>25.3</v>
      </c>
      <c r="G286" s="1">
        <v>24.8</v>
      </c>
      <c r="H286" s="1">
        <v>7.94</v>
      </c>
      <c r="I286" s="1">
        <v>7.61</v>
      </c>
      <c r="J286" s="1">
        <v>106.8</v>
      </c>
      <c r="K286" s="1">
        <v>0.8</v>
      </c>
      <c r="L286" t="s">
        <v>16</v>
      </c>
      <c r="M286" s="1">
        <v>1.52</v>
      </c>
      <c r="N286" s="1">
        <v>2.0299999999999998</v>
      </c>
      <c r="O286" s="19" t="s">
        <v>16</v>
      </c>
    </row>
    <row r="287" spans="1:15" x14ac:dyDescent="0.25">
      <c r="A287" s="16">
        <v>45265</v>
      </c>
      <c r="B287" t="s">
        <v>15</v>
      </c>
      <c r="C287">
        <v>3</v>
      </c>
      <c r="D287" s="21">
        <v>0.65902777777777777</v>
      </c>
      <c r="E287" s="1">
        <v>0.95</v>
      </c>
      <c r="F287" s="1">
        <v>24.7</v>
      </c>
      <c r="G287" s="1">
        <v>16.53</v>
      </c>
      <c r="H287" s="1">
        <v>7.8</v>
      </c>
      <c r="I287" s="1">
        <v>6.89</v>
      </c>
      <c r="J287" s="1">
        <v>91</v>
      </c>
      <c r="K287" s="1">
        <v>0.95</v>
      </c>
      <c r="L287" t="s">
        <v>16</v>
      </c>
      <c r="M287" s="1">
        <v>1.43</v>
      </c>
      <c r="N287" s="1">
        <v>3.29</v>
      </c>
      <c r="O287" s="19" t="s">
        <v>16</v>
      </c>
    </row>
    <row r="288" spans="1:15" x14ac:dyDescent="0.25">
      <c r="A288" s="16">
        <v>45265</v>
      </c>
      <c r="B288" t="s">
        <v>22</v>
      </c>
      <c r="C288">
        <v>1</v>
      </c>
      <c r="D288" s="21">
        <v>0.71875</v>
      </c>
      <c r="E288" s="1">
        <v>0.95</v>
      </c>
      <c r="F288" s="1">
        <v>24.4</v>
      </c>
      <c r="G288" s="1">
        <v>28.78</v>
      </c>
      <c r="H288" s="1">
        <v>7.93</v>
      </c>
      <c r="I288" s="1">
        <v>7.13</v>
      </c>
      <c r="J288" s="1">
        <v>101.7</v>
      </c>
      <c r="K288" s="1">
        <v>0.95</v>
      </c>
      <c r="L288" t="s">
        <v>16</v>
      </c>
      <c r="M288" s="1">
        <v>3.19</v>
      </c>
      <c r="N288" s="1">
        <v>4.04</v>
      </c>
      <c r="O288" s="19" t="s">
        <v>16</v>
      </c>
    </row>
    <row r="289" spans="1:15" x14ac:dyDescent="0.25">
      <c r="A289" s="16">
        <v>45265</v>
      </c>
      <c r="B289" t="s">
        <v>22</v>
      </c>
      <c r="C289">
        <v>2</v>
      </c>
      <c r="D289" s="21">
        <v>0.69791666666666663</v>
      </c>
      <c r="E289" s="1">
        <v>1.1000000000000001</v>
      </c>
      <c r="F289" s="1">
        <v>25.5</v>
      </c>
      <c r="G289" s="1">
        <v>29.19</v>
      </c>
      <c r="H289" s="1">
        <v>7.95</v>
      </c>
      <c r="I289" s="1">
        <v>7.48</v>
      </c>
      <c r="J289" s="1">
        <v>107.8</v>
      </c>
      <c r="K289" s="1">
        <v>1.1000000000000001</v>
      </c>
      <c r="L289" t="s">
        <v>16</v>
      </c>
      <c r="M289" s="1">
        <v>3.36</v>
      </c>
      <c r="N289" s="1">
        <v>4.25</v>
      </c>
      <c r="O289" s="19" t="s">
        <v>16</v>
      </c>
    </row>
    <row r="290" spans="1:15" x14ac:dyDescent="0.25">
      <c r="A290" s="16">
        <v>45265</v>
      </c>
      <c r="B290" t="s">
        <v>22</v>
      </c>
      <c r="C290">
        <v>3</v>
      </c>
      <c r="D290" s="21">
        <v>0.71319444444444446</v>
      </c>
      <c r="E290" s="1">
        <v>1</v>
      </c>
      <c r="F290" s="1">
        <v>25.6</v>
      </c>
      <c r="G290" s="1">
        <v>30.01</v>
      </c>
      <c r="H290" s="1">
        <v>7.96</v>
      </c>
      <c r="I290" s="1">
        <v>7.11</v>
      </c>
      <c r="J290" s="1">
        <v>102.5</v>
      </c>
      <c r="K290" s="1">
        <v>1</v>
      </c>
      <c r="L290" t="s">
        <v>16</v>
      </c>
      <c r="M290" s="1">
        <v>3.52</v>
      </c>
      <c r="N290" s="1">
        <v>4.6100000000000003</v>
      </c>
      <c r="O290" s="19" t="s">
        <v>16</v>
      </c>
    </row>
    <row r="291" spans="1:15" x14ac:dyDescent="0.25">
      <c r="A291" s="16">
        <v>45294</v>
      </c>
      <c r="B291" t="s">
        <v>15</v>
      </c>
      <c r="C291">
        <v>1</v>
      </c>
      <c r="D291" s="21">
        <v>0.68125000000000002</v>
      </c>
      <c r="E291" s="1">
        <v>0.7</v>
      </c>
      <c r="F291" s="1">
        <v>19.7</v>
      </c>
      <c r="G291" s="1">
        <v>13.12</v>
      </c>
      <c r="H291" s="1">
        <v>7.7</v>
      </c>
      <c r="I291" s="1">
        <v>7.44</v>
      </c>
      <c r="J291" s="1">
        <v>88</v>
      </c>
      <c r="K291" s="1">
        <v>0.7</v>
      </c>
      <c r="L291" t="s">
        <v>16</v>
      </c>
      <c r="M291" s="1">
        <v>0.87</v>
      </c>
      <c r="N291" s="1">
        <v>1.44</v>
      </c>
      <c r="O291" s="19" t="s">
        <v>16</v>
      </c>
    </row>
    <row r="292" spans="1:15" x14ac:dyDescent="0.25">
      <c r="A292" s="16">
        <v>45294</v>
      </c>
      <c r="B292" t="s">
        <v>15</v>
      </c>
      <c r="C292">
        <v>2</v>
      </c>
      <c r="D292" s="21">
        <v>0.68819444444444444</v>
      </c>
      <c r="E292" s="1">
        <v>0.7</v>
      </c>
      <c r="F292" s="1">
        <v>19.7</v>
      </c>
      <c r="G292" s="1">
        <v>14.57</v>
      </c>
      <c r="H292" s="1">
        <v>7.79</v>
      </c>
      <c r="I292" s="1">
        <v>8.1199999999999992</v>
      </c>
      <c r="J292" s="1">
        <v>96.9</v>
      </c>
      <c r="K292" s="1">
        <v>0.7</v>
      </c>
      <c r="L292" t="s">
        <v>16</v>
      </c>
      <c r="M292" s="1">
        <v>3.17</v>
      </c>
      <c r="N292" s="1">
        <v>2.2599999999999998</v>
      </c>
      <c r="O292" s="19" t="s">
        <v>16</v>
      </c>
    </row>
    <row r="293" spans="1:15" x14ac:dyDescent="0.25">
      <c r="A293" s="16">
        <v>45294</v>
      </c>
      <c r="B293" t="s">
        <v>15</v>
      </c>
      <c r="C293">
        <v>3</v>
      </c>
      <c r="D293" s="21">
        <v>0.67291666666666661</v>
      </c>
      <c r="E293" s="1">
        <v>0.85</v>
      </c>
      <c r="F293" s="1">
        <v>19.8</v>
      </c>
      <c r="G293" s="1">
        <v>14.49</v>
      </c>
      <c r="H293" s="1">
        <v>7.73</v>
      </c>
      <c r="I293" s="1">
        <v>7.21</v>
      </c>
      <c r="J293" s="1">
        <v>86.3</v>
      </c>
      <c r="K293" s="1">
        <v>0.85</v>
      </c>
      <c r="L293" t="s">
        <v>16</v>
      </c>
      <c r="M293" s="1">
        <v>1.1299999999999999</v>
      </c>
      <c r="N293" s="1">
        <v>1.76</v>
      </c>
      <c r="O293" s="19" t="s">
        <v>16</v>
      </c>
    </row>
    <row r="294" spans="1:15" x14ac:dyDescent="0.25">
      <c r="A294" s="16">
        <v>45294</v>
      </c>
      <c r="B294" t="s">
        <v>22</v>
      </c>
      <c r="C294">
        <v>1</v>
      </c>
      <c r="D294" s="21">
        <v>0.7368055555555556</v>
      </c>
      <c r="E294" s="1">
        <v>0.8</v>
      </c>
      <c r="F294" s="1">
        <v>21</v>
      </c>
      <c r="G294" s="1">
        <v>24.78</v>
      </c>
      <c r="H294" s="1">
        <v>7.87</v>
      </c>
      <c r="I294" s="1">
        <v>7.32</v>
      </c>
      <c r="J294" s="1">
        <v>95.3</v>
      </c>
      <c r="K294" s="1">
        <v>0.8</v>
      </c>
      <c r="L294" t="s">
        <v>16</v>
      </c>
      <c r="M294" s="1">
        <v>2.86</v>
      </c>
      <c r="N294" s="1">
        <v>2.89</v>
      </c>
      <c r="O294" s="19" t="s">
        <v>16</v>
      </c>
    </row>
    <row r="295" spans="1:15" x14ac:dyDescent="0.25">
      <c r="A295" s="16">
        <v>45294</v>
      </c>
      <c r="B295" t="s">
        <v>22</v>
      </c>
      <c r="C295">
        <v>2</v>
      </c>
      <c r="D295" s="21">
        <v>0.71875</v>
      </c>
      <c r="E295" s="1">
        <v>0.7</v>
      </c>
      <c r="F295" s="1">
        <v>21.9</v>
      </c>
      <c r="G295" s="1">
        <v>29.4</v>
      </c>
      <c r="H295" s="1">
        <v>7.83</v>
      </c>
      <c r="I295" s="1">
        <v>5.97</v>
      </c>
      <c r="J295" s="1">
        <v>81.2</v>
      </c>
      <c r="K295" s="1">
        <v>0.7</v>
      </c>
      <c r="L295" t="s">
        <v>16</v>
      </c>
      <c r="M295" s="1">
        <v>6.8</v>
      </c>
      <c r="N295" s="1">
        <v>3.21</v>
      </c>
      <c r="O295" s="19" t="s">
        <v>16</v>
      </c>
    </row>
    <row r="296" spans="1:15" x14ac:dyDescent="0.25">
      <c r="A296" s="16">
        <v>45294</v>
      </c>
      <c r="B296" t="s">
        <v>22</v>
      </c>
      <c r="C296">
        <v>3</v>
      </c>
      <c r="D296" s="21">
        <v>0.73055555555555562</v>
      </c>
      <c r="E296" s="1">
        <v>0.8</v>
      </c>
      <c r="F296" s="1">
        <v>22.1</v>
      </c>
      <c r="G296" s="1">
        <v>29.24</v>
      </c>
      <c r="H296" s="1">
        <v>7.9</v>
      </c>
      <c r="I296" s="1">
        <v>6.42</v>
      </c>
      <c r="J296" s="1">
        <v>87.5</v>
      </c>
      <c r="K296" s="1">
        <v>0.8</v>
      </c>
      <c r="L296" t="s">
        <v>16</v>
      </c>
      <c r="M296" s="1">
        <v>4.66</v>
      </c>
      <c r="N296" s="1">
        <v>2.89</v>
      </c>
      <c r="O296" s="19" t="s">
        <v>16</v>
      </c>
    </row>
    <row r="297" spans="1:15" x14ac:dyDescent="0.25">
      <c r="A297" s="16">
        <v>45334</v>
      </c>
      <c r="B297" t="s">
        <v>15</v>
      </c>
      <c r="C297">
        <v>1</v>
      </c>
      <c r="D297" s="21">
        <v>0.68194444444444446</v>
      </c>
      <c r="E297" s="1">
        <v>0.55000000000000004</v>
      </c>
      <c r="F297" s="1">
        <v>22.7</v>
      </c>
      <c r="G297" s="1">
        <v>20.22</v>
      </c>
      <c r="H297" s="1">
        <v>7.79</v>
      </c>
      <c r="I297" s="1">
        <v>7.34</v>
      </c>
      <c r="J297" s="1">
        <v>96.2</v>
      </c>
      <c r="K297" s="1">
        <v>0.55000000000000004</v>
      </c>
      <c r="L297" t="s">
        <v>16</v>
      </c>
      <c r="M297" s="1">
        <v>5.55</v>
      </c>
      <c r="N297" s="1">
        <v>6.42</v>
      </c>
      <c r="O297" s="19" t="s">
        <v>16</v>
      </c>
    </row>
    <row r="298" spans="1:15" x14ac:dyDescent="0.25">
      <c r="A298" s="16">
        <v>45334</v>
      </c>
      <c r="B298" t="s">
        <v>15</v>
      </c>
      <c r="C298">
        <v>2</v>
      </c>
      <c r="D298" s="21">
        <v>0.6875</v>
      </c>
      <c r="E298" s="1">
        <v>0.45</v>
      </c>
      <c r="F298" s="1">
        <v>23</v>
      </c>
      <c r="G298" s="1">
        <v>21.64</v>
      </c>
      <c r="H298" s="1">
        <v>7.84</v>
      </c>
      <c r="I298" s="1">
        <v>7.72</v>
      </c>
      <c r="J298" s="1">
        <v>101.8</v>
      </c>
      <c r="K298" s="1">
        <v>0.45</v>
      </c>
      <c r="L298" t="s">
        <v>16</v>
      </c>
      <c r="M298" s="1">
        <v>3.28</v>
      </c>
      <c r="N298" s="1">
        <v>4.04</v>
      </c>
      <c r="O298" s="19" t="s">
        <v>16</v>
      </c>
    </row>
    <row r="299" spans="1:15" x14ac:dyDescent="0.25">
      <c r="A299" s="16">
        <v>45334</v>
      </c>
      <c r="B299" t="s">
        <v>15</v>
      </c>
      <c r="C299">
        <v>3</v>
      </c>
      <c r="D299" s="21">
        <v>0.67361111111111116</v>
      </c>
      <c r="E299" s="1">
        <v>0.6</v>
      </c>
      <c r="F299" s="1">
        <v>22.5</v>
      </c>
      <c r="G299" s="1">
        <v>15.89</v>
      </c>
      <c r="H299" s="1">
        <v>7.82</v>
      </c>
      <c r="I299" s="1">
        <v>7.25</v>
      </c>
      <c r="J299" s="1">
        <v>91.9</v>
      </c>
      <c r="K299" s="1">
        <v>0.6</v>
      </c>
      <c r="L299" t="s">
        <v>16</v>
      </c>
      <c r="M299" s="1">
        <v>2.57</v>
      </c>
      <c r="N299" s="1">
        <v>7.22</v>
      </c>
      <c r="O299" s="19" t="s">
        <v>16</v>
      </c>
    </row>
    <row r="300" spans="1:15" x14ac:dyDescent="0.25">
      <c r="A300" s="16">
        <v>45334</v>
      </c>
      <c r="B300" t="s">
        <v>22</v>
      </c>
      <c r="C300">
        <v>1</v>
      </c>
      <c r="D300" s="21">
        <v>0.73402777777777783</v>
      </c>
      <c r="E300" s="1">
        <v>0.45</v>
      </c>
      <c r="F300" s="1">
        <v>23.1</v>
      </c>
      <c r="G300" s="1">
        <v>31.5</v>
      </c>
      <c r="H300" s="1">
        <v>7.77</v>
      </c>
      <c r="I300" s="1">
        <v>6.19</v>
      </c>
      <c r="J300" s="1">
        <v>87.1</v>
      </c>
      <c r="K300" s="1">
        <v>0.45</v>
      </c>
      <c r="L300" t="s">
        <v>16</v>
      </c>
      <c r="M300" s="1">
        <v>5.84</v>
      </c>
      <c r="N300" s="1">
        <v>12.1</v>
      </c>
      <c r="O300" s="19" t="s">
        <v>16</v>
      </c>
    </row>
    <row r="301" spans="1:15" x14ac:dyDescent="0.25">
      <c r="A301" s="16">
        <v>45334</v>
      </c>
      <c r="B301" t="s">
        <v>22</v>
      </c>
      <c r="C301">
        <v>2</v>
      </c>
      <c r="D301" s="21">
        <v>0.72013888888888899</v>
      </c>
      <c r="E301" s="1">
        <v>0.55000000000000004</v>
      </c>
      <c r="F301" s="1">
        <v>23.5</v>
      </c>
      <c r="G301" s="1">
        <v>33.020000000000003</v>
      </c>
      <c r="H301" s="1">
        <v>7.88</v>
      </c>
      <c r="I301" s="1">
        <v>6.63</v>
      </c>
      <c r="J301" s="1">
        <v>94.2</v>
      </c>
      <c r="K301" s="1">
        <v>0.55000000000000004</v>
      </c>
      <c r="L301" t="s">
        <v>16</v>
      </c>
      <c r="M301" s="1">
        <v>9.8699999999999992</v>
      </c>
      <c r="N301" s="1">
        <v>9.0299999999999994</v>
      </c>
      <c r="O301" s="19" t="s">
        <v>16</v>
      </c>
    </row>
    <row r="302" spans="1:15" x14ac:dyDescent="0.25">
      <c r="A302" s="16">
        <v>45334</v>
      </c>
      <c r="B302" t="s">
        <v>22</v>
      </c>
      <c r="C302">
        <v>3</v>
      </c>
      <c r="D302" s="21">
        <v>0.72777777777777775</v>
      </c>
      <c r="E302" s="1">
        <v>0.45</v>
      </c>
      <c r="F302" s="1">
        <v>23.7</v>
      </c>
      <c r="G302" s="1">
        <v>33.04</v>
      </c>
      <c r="H302" s="1">
        <v>7.91</v>
      </c>
      <c r="I302" s="1">
        <v>6.97</v>
      </c>
      <c r="J302" s="1">
        <v>99.4</v>
      </c>
      <c r="K302" s="1">
        <v>0.45</v>
      </c>
      <c r="L302" t="s">
        <v>16</v>
      </c>
      <c r="M302" s="1">
        <v>3.22</v>
      </c>
      <c r="N302" s="1">
        <v>4.33</v>
      </c>
      <c r="O302" s="19" t="s">
        <v>16</v>
      </c>
    </row>
    <row r="303" spans="1:15" x14ac:dyDescent="0.25">
      <c r="A303" s="16">
        <v>45357</v>
      </c>
      <c r="B303" t="s">
        <v>15</v>
      </c>
      <c r="C303">
        <v>1</v>
      </c>
      <c r="D303" s="21">
        <v>0.625</v>
      </c>
      <c r="E303" s="1">
        <v>0.8</v>
      </c>
      <c r="F303" s="1">
        <v>24.8</v>
      </c>
      <c r="G303" s="1">
        <v>15.08</v>
      </c>
      <c r="H303" s="1">
        <v>7.8</v>
      </c>
      <c r="I303" s="1">
        <v>7.51</v>
      </c>
      <c r="J303" s="1">
        <v>98.7</v>
      </c>
      <c r="K303" s="1">
        <v>0.8</v>
      </c>
      <c r="L303" t="s">
        <v>16</v>
      </c>
      <c r="M303" s="1">
        <v>1.68</v>
      </c>
      <c r="N303" s="1">
        <v>4.3</v>
      </c>
      <c r="O303" s="19" t="s">
        <v>16</v>
      </c>
    </row>
    <row r="304" spans="1:15" x14ac:dyDescent="0.25">
      <c r="A304" s="16">
        <v>45357</v>
      </c>
      <c r="B304" t="s">
        <v>15</v>
      </c>
      <c r="C304">
        <v>2</v>
      </c>
      <c r="D304" s="21">
        <v>0.64375000000000004</v>
      </c>
      <c r="E304" s="1">
        <v>0.6</v>
      </c>
      <c r="F304" s="1">
        <v>24.7</v>
      </c>
      <c r="G304" s="1">
        <v>14.03</v>
      </c>
      <c r="H304" s="1">
        <v>7.81</v>
      </c>
      <c r="I304" s="1">
        <v>7.37</v>
      </c>
      <c r="J304" s="1">
        <v>95.9</v>
      </c>
      <c r="K304" s="1">
        <v>0.6</v>
      </c>
      <c r="L304" t="s">
        <v>16</v>
      </c>
      <c r="M304" s="1">
        <v>2.85</v>
      </c>
      <c r="N304" s="1">
        <v>5.17</v>
      </c>
      <c r="O304" s="19" t="s">
        <v>16</v>
      </c>
    </row>
    <row r="305" spans="1:15" x14ac:dyDescent="0.25">
      <c r="A305" s="16">
        <v>45357</v>
      </c>
      <c r="B305" t="s">
        <v>15</v>
      </c>
      <c r="C305">
        <v>3</v>
      </c>
      <c r="D305" s="21">
        <v>0.59305555555555556</v>
      </c>
      <c r="E305" s="1">
        <v>0.8</v>
      </c>
      <c r="F305" s="1">
        <v>24.5</v>
      </c>
      <c r="G305" s="1">
        <v>7.51</v>
      </c>
      <c r="H305" s="1">
        <v>7.56</v>
      </c>
      <c r="I305" s="1">
        <v>5.81</v>
      </c>
      <c r="J305" s="1">
        <v>73</v>
      </c>
      <c r="K305" s="1">
        <v>0.8</v>
      </c>
      <c r="L305" t="s">
        <v>16</v>
      </c>
      <c r="M305" s="1">
        <v>1.99</v>
      </c>
      <c r="N305" s="1">
        <v>6.03</v>
      </c>
      <c r="O305" s="19" t="s">
        <v>16</v>
      </c>
    </row>
    <row r="306" spans="1:15" x14ac:dyDescent="0.25">
      <c r="A306" s="16">
        <v>45357</v>
      </c>
      <c r="B306" t="s">
        <v>22</v>
      </c>
      <c r="C306">
        <v>1</v>
      </c>
      <c r="D306" s="21">
        <v>0.70277777777777772</v>
      </c>
      <c r="E306" s="1">
        <v>0.95</v>
      </c>
      <c r="F306" s="1">
        <v>24.9</v>
      </c>
      <c r="G306" s="1">
        <v>28.31</v>
      </c>
      <c r="H306" s="1">
        <v>8.06</v>
      </c>
      <c r="I306" s="1">
        <v>8.35</v>
      </c>
      <c r="J306" s="1">
        <v>119.8</v>
      </c>
      <c r="K306" s="1">
        <v>0.95</v>
      </c>
      <c r="L306" t="s">
        <v>16</v>
      </c>
      <c r="M306" s="1">
        <v>4.13</v>
      </c>
      <c r="N306" s="1">
        <v>4.2699999999999996</v>
      </c>
      <c r="O306" s="19" t="s">
        <v>16</v>
      </c>
    </row>
    <row r="307" spans="1:15" x14ac:dyDescent="0.25">
      <c r="A307" s="16">
        <v>45357</v>
      </c>
      <c r="B307" t="s">
        <v>22</v>
      </c>
      <c r="C307">
        <v>2</v>
      </c>
      <c r="D307" s="21">
        <v>0.67847222222222225</v>
      </c>
      <c r="E307" s="1">
        <v>0.7</v>
      </c>
      <c r="F307" s="1">
        <v>25</v>
      </c>
      <c r="G307" s="1">
        <v>27.87</v>
      </c>
      <c r="H307" s="1">
        <v>7.94</v>
      </c>
      <c r="I307" s="1">
        <v>7.88</v>
      </c>
      <c r="J307" s="1">
        <v>112.6</v>
      </c>
      <c r="K307" s="1">
        <v>0.7</v>
      </c>
      <c r="L307" t="s">
        <v>16</v>
      </c>
      <c r="M307" s="1">
        <v>4.08</v>
      </c>
      <c r="N307" s="1">
        <v>3.65</v>
      </c>
      <c r="O307" s="19" t="s">
        <v>16</v>
      </c>
    </row>
    <row r="308" spans="1:15" x14ac:dyDescent="0.25">
      <c r="A308" s="16">
        <v>45357</v>
      </c>
      <c r="B308" t="s">
        <v>22</v>
      </c>
      <c r="C308">
        <v>3</v>
      </c>
      <c r="D308" s="21">
        <v>0.69097222222222221</v>
      </c>
      <c r="E308" s="1">
        <v>0.85</v>
      </c>
      <c r="F308" s="1">
        <v>25.1</v>
      </c>
      <c r="G308" s="1">
        <v>29.08</v>
      </c>
      <c r="H308" s="1">
        <v>8</v>
      </c>
      <c r="I308" s="1">
        <v>7.94</v>
      </c>
      <c r="J308" s="1">
        <v>113.9</v>
      </c>
      <c r="K308" s="1">
        <v>0.85</v>
      </c>
      <c r="L308" t="s">
        <v>16</v>
      </c>
      <c r="M308" s="1">
        <v>3.03</v>
      </c>
      <c r="N308" s="1">
        <v>5.77</v>
      </c>
      <c r="O308" s="19" t="s">
        <v>16</v>
      </c>
    </row>
    <row r="309" spans="1:15" x14ac:dyDescent="0.25">
      <c r="A309" s="16">
        <v>45391</v>
      </c>
      <c r="B309" t="s">
        <v>15</v>
      </c>
      <c r="C309">
        <v>1</v>
      </c>
      <c r="D309" s="21">
        <v>0.64583333333333337</v>
      </c>
      <c r="E309" s="1">
        <v>0.7</v>
      </c>
      <c r="F309" s="1">
        <v>24.8</v>
      </c>
      <c r="G309" s="1">
        <v>26.37</v>
      </c>
      <c r="H309" s="1">
        <v>7.9</v>
      </c>
      <c r="I309" s="1">
        <v>6.84</v>
      </c>
      <c r="J309" s="1">
        <v>95.8</v>
      </c>
      <c r="K309" s="1">
        <v>0.7</v>
      </c>
      <c r="L309" t="s">
        <v>16</v>
      </c>
      <c r="M309" s="1">
        <v>4.8</v>
      </c>
      <c r="N309" s="1">
        <v>14.5</v>
      </c>
      <c r="O309" s="19" t="s">
        <v>16</v>
      </c>
    </row>
    <row r="310" spans="1:15" x14ac:dyDescent="0.25">
      <c r="A310" s="16">
        <v>45391</v>
      </c>
      <c r="B310" t="s">
        <v>15</v>
      </c>
      <c r="C310">
        <v>2</v>
      </c>
      <c r="D310" s="21">
        <v>0.65138888888888891</v>
      </c>
      <c r="E310" s="1">
        <v>0.55000000000000004</v>
      </c>
      <c r="F310" s="1">
        <v>25</v>
      </c>
      <c r="G310" s="1">
        <v>27.13</v>
      </c>
      <c r="H310" s="1">
        <v>7.94</v>
      </c>
      <c r="I310" s="1">
        <v>7.26</v>
      </c>
      <c r="J310" s="1">
        <v>102.6</v>
      </c>
      <c r="K310" s="1">
        <v>0.55000000000000004</v>
      </c>
      <c r="L310" t="s">
        <v>16</v>
      </c>
      <c r="M310" s="1">
        <v>4.09</v>
      </c>
      <c r="N310" s="1">
        <v>4.13</v>
      </c>
      <c r="O310" s="19" t="s">
        <v>16</v>
      </c>
    </row>
    <row r="311" spans="1:15" x14ac:dyDescent="0.25">
      <c r="A311" s="16">
        <v>45391</v>
      </c>
      <c r="B311" t="s">
        <v>15</v>
      </c>
      <c r="C311">
        <v>3</v>
      </c>
      <c r="D311" s="21">
        <v>0.63749999999999996</v>
      </c>
      <c r="E311" s="1">
        <v>0.6</v>
      </c>
      <c r="F311" s="1">
        <v>24.9</v>
      </c>
      <c r="G311" s="1">
        <v>22.17</v>
      </c>
      <c r="H311" s="1">
        <v>7.87</v>
      </c>
      <c r="I311" s="1">
        <v>6.49</v>
      </c>
      <c r="J311" s="1">
        <v>88.8</v>
      </c>
      <c r="K311" s="1">
        <v>0.6</v>
      </c>
      <c r="L311" t="s">
        <v>16</v>
      </c>
      <c r="M311" s="1">
        <v>2.2799999999999998</v>
      </c>
      <c r="N311" s="1">
        <v>4.08</v>
      </c>
      <c r="O311" s="19" t="s">
        <v>16</v>
      </c>
    </row>
    <row r="312" spans="1:15" x14ac:dyDescent="0.25">
      <c r="A312" s="16">
        <v>45391</v>
      </c>
      <c r="B312" t="s">
        <v>22</v>
      </c>
      <c r="C312">
        <v>1</v>
      </c>
      <c r="D312" s="21">
        <v>0.70347222222222228</v>
      </c>
      <c r="E312" s="1">
        <v>0.6</v>
      </c>
      <c r="F312" s="1">
        <v>24.8</v>
      </c>
      <c r="G312" s="1">
        <v>31.14</v>
      </c>
      <c r="H312" s="1">
        <v>7.96</v>
      </c>
      <c r="I312" s="1">
        <v>7.36</v>
      </c>
      <c r="J312" s="1">
        <v>107.3</v>
      </c>
      <c r="K312" s="1">
        <v>0.6</v>
      </c>
      <c r="L312" t="s">
        <v>16</v>
      </c>
      <c r="M312" s="1">
        <v>14.23</v>
      </c>
      <c r="N312" s="1">
        <v>15</v>
      </c>
      <c r="O312" s="19" t="s">
        <v>16</v>
      </c>
    </row>
    <row r="313" spans="1:15" x14ac:dyDescent="0.25">
      <c r="A313" s="16">
        <v>45391</v>
      </c>
      <c r="B313" t="s">
        <v>22</v>
      </c>
      <c r="C313">
        <v>2</v>
      </c>
      <c r="D313" s="21">
        <v>0.68541666666666667</v>
      </c>
      <c r="E313" s="1">
        <v>0.55000000000000004</v>
      </c>
      <c r="F313" s="1">
        <v>25</v>
      </c>
      <c r="G313" s="1">
        <v>30.26</v>
      </c>
      <c r="H313" s="1">
        <v>8.0299999999999994</v>
      </c>
      <c r="I313" s="1">
        <v>8.6199999999999992</v>
      </c>
      <c r="J313" s="1">
        <v>124</v>
      </c>
      <c r="K313" s="1">
        <v>0.55000000000000004</v>
      </c>
      <c r="L313" t="s">
        <v>16</v>
      </c>
      <c r="M313" s="1">
        <v>7.7</v>
      </c>
      <c r="N313" s="1">
        <v>6.84</v>
      </c>
      <c r="O313" s="19" t="s">
        <v>16</v>
      </c>
    </row>
    <row r="314" spans="1:15" x14ac:dyDescent="0.25">
      <c r="A314" s="16">
        <v>45391</v>
      </c>
      <c r="B314" t="s">
        <v>22</v>
      </c>
      <c r="C314">
        <v>3</v>
      </c>
      <c r="D314" s="21">
        <v>0.69444444444444442</v>
      </c>
      <c r="E314" s="1">
        <v>0.5</v>
      </c>
      <c r="F314" s="1">
        <v>25.3</v>
      </c>
      <c r="G314" s="1">
        <v>31.42</v>
      </c>
      <c r="H314" s="1">
        <v>7.97</v>
      </c>
      <c r="I314" s="1">
        <v>7.42</v>
      </c>
      <c r="J314" s="1">
        <v>108.2</v>
      </c>
      <c r="K314" s="1">
        <v>0.5</v>
      </c>
      <c r="L314" t="s">
        <v>16</v>
      </c>
      <c r="M314" s="1">
        <v>4.71</v>
      </c>
      <c r="N314" s="1">
        <v>7.6</v>
      </c>
      <c r="O314" s="19" t="s">
        <v>16</v>
      </c>
    </row>
    <row r="315" spans="1:15" x14ac:dyDescent="0.25">
      <c r="A315" s="16">
        <v>45418</v>
      </c>
      <c r="B315" t="str">
        <f>VLOOKUP(MID(O315,20,3),Notes!A$1:C$9, 3)</f>
        <v>LX-N</v>
      </c>
      <c r="C315">
        <f>VLOOKUP(MID(O315,20,3),Notes!A$1:C$9,2)</f>
        <v>1</v>
      </c>
      <c r="D315" s="1">
        <f>IFERROR(INDEX(Database_WQ!$A:$V, MATCH($O315, Database_WQ!$A:$A, 0), 21), "Not Found")</f>
        <v>1543</v>
      </c>
      <c r="E315" s="1">
        <f>IFERROR(INDEX(Database_WQ!$A:$V, MATCH($O315, Database_WQ!$A:$A, 0), 7), "Not Found")</f>
        <v>0.55000000000000004</v>
      </c>
      <c r="F315" s="1">
        <f>IFERROR(INDEX(Database_WQ!$A:$V, MATCH($O315, Database_WQ!$A:$A, 0), 3), "Not Found")</f>
        <v>30.2</v>
      </c>
      <c r="G315" s="1">
        <f>IFERROR(INDEX(Database_WQ!$A:$V, MATCH($O315, Database_WQ!$A:$A, 0), 4), "Not Found")</f>
        <v>23.3</v>
      </c>
      <c r="H315" s="1">
        <f>IFERROR(INDEX(Database_WQ!$A:$V, MATCH($O315, Database_WQ!$A:$A, 0), 6), "Not Found")</f>
        <v>7.98</v>
      </c>
      <c r="I315" s="1">
        <f>IFERROR(INDEX(Database_WQ!$A:$V, MATCH($O315, Database_WQ!$A:$A, 0), 5), "Not Found")</f>
        <v>7.14</v>
      </c>
      <c r="J315" s="1">
        <f>IFERROR(INDEX(Database_WQ!$A:$V, MATCH($O315, Database_WQ!$A:$A, 0), 22), "Not Found")</f>
        <v>107.8</v>
      </c>
      <c r="K315" s="1">
        <f>IFERROR(INDEX(Database_WQ!$A:$V, MATCH($O315, Database_WQ!$A:$A, 0), 9), "Not Found")</f>
        <v>0.55000000000000004</v>
      </c>
      <c r="L315" s="19" t="s">
        <v>16</v>
      </c>
      <c r="M315" s="1">
        <f>IFERROR(INDEX(Database_WQ!$A:$V, MATCH($O315, Database_WQ!$A:$A, 0), 10), "Not Found")</f>
        <v>3.35</v>
      </c>
      <c r="N315" s="1">
        <f>IFERROR(INDEX(Database_WQ!$A:$V, MATCH($O315, Database_WQ!$A:$A, 0), 11), "Not Found")</f>
        <v>10.199999999999999</v>
      </c>
      <c r="O315" t="s">
        <v>411</v>
      </c>
    </row>
    <row r="316" spans="1:15" x14ac:dyDescent="0.25">
      <c r="A316" s="16">
        <v>45418</v>
      </c>
      <c r="B316" t="str">
        <f>VLOOKUP(MID(O316,20,3),Notes!A$1:C$9, 3)</f>
        <v>LX-N</v>
      </c>
      <c r="C316">
        <f>VLOOKUP(MID(O316,20,3),Notes!A$1:C$9,2)</f>
        <v>2</v>
      </c>
      <c r="D316" s="1">
        <f>IFERROR(INDEX(Database_WQ!$A:$V, MATCH($O316, Database_WQ!$A:$A, 0), 21), "Not Found")</f>
        <v>1552</v>
      </c>
      <c r="E316" s="1">
        <f>IFERROR(INDEX(Database_WQ!$A:$V, MATCH($O316, Database_WQ!$A:$A, 0), 7), "Not Found")</f>
        <v>0.5</v>
      </c>
      <c r="F316" s="1">
        <f>IFERROR(INDEX(Database_WQ!$A:$V, MATCH($O316, Database_WQ!$A:$A, 0), 3), "Not Found")</f>
        <v>30.1</v>
      </c>
      <c r="G316" s="1">
        <f>IFERROR(INDEX(Database_WQ!$A:$V, MATCH($O316, Database_WQ!$A:$A, 0), 4), "Not Found")</f>
        <v>20.97</v>
      </c>
      <c r="H316" s="1">
        <f>IFERROR(INDEX(Database_WQ!$A:$V, MATCH($O316, Database_WQ!$A:$A, 0), 6), "Not Found")</f>
        <v>7.97</v>
      </c>
      <c r="I316" s="1">
        <f>IFERROR(INDEX(Database_WQ!$A:$V, MATCH($O316, Database_WQ!$A:$A, 0), 5), "Not Found")</f>
        <v>6.79</v>
      </c>
      <c r="J316" s="1">
        <f>IFERROR(INDEX(Database_WQ!$A:$V, MATCH($O316, Database_WQ!$A:$A, 0), 22), "Not Found")</f>
        <v>101</v>
      </c>
      <c r="K316" s="1">
        <f>IFERROR(INDEX(Database_WQ!$A:$V, MATCH($O316, Database_WQ!$A:$A, 0), 9), "Not Found")</f>
        <v>0.5</v>
      </c>
      <c r="L316" s="19" t="s">
        <v>16</v>
      </c>
      <c r="M316" s="1">
        <f>IFERROR(INDEX(Database_WQ!$A:$V, MATCH($O316, Database_WQ!$A:$A, 0), 10), "Not Found")</f>
        <v>6.07</v>
      </c>
      <c r="N316" s="1">
        <f>IFERROR(INDEX(Database_WQ!$A:$V, MATCH($O316, Database_WQ!$A:$A, 0), 11), "Not Found")</f>
        <v>10.4</v>
      </c>
      <c r="O316" t="s">
        <v>414</v>
      </c>
    </row>
    <row r="317" spans="1:15" x14ac:dyDescent="0.25">
      <c r="A317" s="16">
        <v>45418</v>
      </c>
      <c r="B317" t="str">
        <f>VLOOKUP(MID(O317,20,3),Notes!A$1:C$9, 3)</f>
        <v>LX-N</v>
      </c>
      <c r="C317">
        <f>VLOOKUP(MID(O317,20,3),Notes!A$1:C$9,2)</f>
        <v>3</v>
      </c>
      <c r="D317" s="1">
        <f>IFERROR(INDEX(Database_WQ!$A:$V, MATCH($O317, Database_WQ!$A:$A, 0), 21), "Not Found")</f>
        <v>1529</v>
      </c>
      <c r="E317" s="1">
        <f>IFERROR(INDEX(Database_WQ!$A:$V, MATCH($O317, Database_WQ!$A:$A, 0), 7), "Not Found")</f>
        <v>0.65</v>
      </c>
      <c r="F317" s="1">
        <f>IFERROR(INDEX(Database_WQ!$A:$V, MATCH($O317, Database_WQ!$A:$A, 0), 3), "Not Found")</f>
        <v>29.2</v>
      </c>
      <c r="G317" s="1">
        <f>IFERROR(INDEX(Database_WQ!$A:$V, MATCH($O317, Database_WQ!$A:$A, 0), 4), "Not Found")</f>
        <v>17.760000000000002</v>
      </c>
      <c r="H317" s="1">
        <f>IFERROR(INDEX(Database_WQ!$A:$V, MATCH($O317, Database_WQ!$A:$A, 0), 6), "Not Found")</f>
        <v>7.84</v>
      </c>
      <c r="I317" s="1">
        <f>IFERROR(INDEX(Database_WQ!$A:$V, MATCH($O317, Database_WQ!$A:$A, 0), 5), "Not Found")</f>
        <v>6.01</v>
      </c>
      <c r="J317" s="1">
        <f>IFERROR(INDEX(Database_WQ!$A:$V, MATCH($O317, Database_WQ!$A:$A, 0), 22), "Not Found")</f>
        <v>86.4</v>
      </c>
      <c r="K317" s="1">
        <f>IFERROR(INDEX(Database_WQ!$A:$V, MATCH($O317, Database_WQ!$A:$A, 0), 9), "Not Found")</f>
        <v>0.65</v>
      </c>
      <c r="L317" s="19" t="s">
        <v>16</v>
      </c>
      <c r="M317" s="1">
        <f>IFERROR(INDEX(Database_WQ!$A:$V, MATCH($O317, Database_WQ!$A:$A, 0), 10), "Not Found")</f>
        <v>3.97</v>
      </c>
      <c r="N317" s="1">
        <f>IFERROR(INDEX(Database_WQ!$A:$V, MATCH($O317, Database_WQ!$A:$A, 0), 11), "Not Found")</f>
        <v>2.12</v>
      </c>
      <c r="O317" t="s">
        <v>416</v>
      </c>
    </row>
    <row r="318" spans="1:15" x14ac:dyDescent="0.25">
      <c r="A318" s="16">
        <v>45418</v>
      </c>
      <c r="B318" t="str">
        <f>VLOOKUP(MID(O318,20,3),Notes!A$1:C$9, 3)</f>
        <v>LX-S</v>
      </c>
      <c r="C318">
        <f>VLOOKUP(MID(O318,20,3),Notes!A$1:C$9,2)</f>
        <v>1</v>
      </c>
      <c r="D318" s="1">
        <f>IFERROR(INDEX(Database_WQ!$A:$V, MATCH($O318, Database_WQ!$A:$A, 0), 21), "Not Found")</f>
        <v>1705</v>
      </c>
      <c r="E318" s="1">
        <f>IFERROR(INDEX(Database_WQ!$A:$V, MATCH($O318, Database_WQ!$A:$A, 0), 7), "Not Found")</f>
        <v>0.6</v>
      </c>
      <c r="F318" s="1">
        <f>IFERROR(INDEX(Database_WQ!$A:$V, MATCH($O318, Database_WQ!$A:$A, 0), 3), "Not Found")</f>
        <v>29.9</v>
      </c>
      <c r="G318" s="1">
        <f>IFERROR(INDEX(Database_WQ!$A:$V, MATCH($O318, Database_WQ!$A:$A, 0), 4), "Not Found")</f>
        <v>32.200000000000003</v>
      </c>
      <c r="H318" s="1">
        <f>IFERROR(INDEX(Database_WQ!$A:$V, MATCH($O318, Database_WQ!$A:$A, 0), 6), "Not Found")</f>
        <v>8.09</v>
      </c>
      <c r="I318" s="1">
        <f>IFERROR(INDEX(Database_WQ!$A:$V, MATCH($O318, Database_WQ!$A:$A, 0), 5), "Not Found")</f>
        <v>7.88</v>
      </c>
      <c r="J318" s="1">
        <f>IFERROR(INDEX(Database_WQ!$A:$V, MATCH($O318, Database_WQ!$A:$A, 0), 22), "Not Found")</f>
        <v>124.5</v>
      </c>
      <c r="K318" s="1">
        <f>IFERROR(INDEX(Database_WQ!$A:$V, MATCH($O318, Database_WQ!$A:$A, 0), 9), "Not Found")</f>
        <v>0.6</v>
      </c>
      <c r="L318" s="19" t="s">
        <v>16</v>
      </c>
      <c r="M318" s="1">
        <f>IFERROR(INDEX(Database_WQ!$A:$V, MATCH($O318, Database_WQ!$A:$A, 0), 10), "Not Found")</f>
        <v>12.94</v>
      </c>
      <c r="N318" s="1">
        <f>IFERROR(INDEX(Database_WQ!$A:$V, MATCH($O318, Database_WQ!$A:$A, 0), 11), "Not Found")</f>
        <v>4.08</v>
      </c>
      <c r="O318" t="s">
        <v>417</v>
      </c>
    </row>
    <row r="319" spans="1:15" x14ac:dyDescent="0.25">
      <c r="A319" s="16">
        <v>45418</v>
      </c>
      <c r="B319" t="str">
        <f>VLOOKUP(MID(O319,20,3),Notes!A$1:C$9, 3)</f>
        <v>LX-S</v>
      </c>
      <c r="C319">
        <f>VLOOKUP(MID(O319,20,3),Notes!A$1:C$9,2)</f>
        <v>2</v>
      </c>
      <c r="D319" s="1">
        <f>IFERROR(INDEX(Database_WQ!$A:$V, MATCH($O319, Database_WQ!$A:$A, 0), 21), "Not Found")</f>
        <v>1641</v>
      </c>
      <c r="E319" s="1">
        <f>IFERROR(INDEX(Database_WQ!$A:$V, MATCH($O319, Database_WQ!$A:$A, 0), 7), "Not Found")</f>
        <v>0.6</v>
      </c>
      <c r="F319" s="1">
        <f>IFERROR(INDEX(Database_WQ!$A:$V, MATCH($O319, Database_WQ!$A:$A, 0), 3), "Not Found")</f>
        <v>30.3</v>
      </c>
      <c r="G319" s="1">
        <f>IFERROR(INDEX(Database_WQ!$A:$V, MATCH($O319, Database_WQ!$A:$A, 0), 4), "Not Found")</f>
        <v>31.23</v>
      </c>
      <c r="H319" s="1">
        <f>IFERROR(INDEX(Database_WQ!$A:$V, MATCH($O319, Database_WQ!$A:$A, 0), 6), "Not Found")</f>
        <v>8.0500000000000007</v>
      </c>
      <c r="I319" s="1">
        <f>IFERROR(INDEX(Database_WQ!$A:$V, MATCH($O319, Database_WQ!$A:$A, 0), 5), "Not Found")</f>
        <v>8.07</v>
      </c>
      <c r="J319" s="1">
        <f>IFERROR(INDEX(Database_WQ!$A:$V, MATCH($O319, Database_WQ!$A:$A, 0), 22), "Not Found")</f>
        <v>127.9</v>
      </c>
      <c r="K319" s="1">
        <f>IFERROR(INDEX(Database_WQ!$A:$V, MATCH($O319, Database_WQ!$A:$A, 0), 9), "Not Found")</f>
        <v>0.6</v>
      </c>
      <c r="L319" s="19" t="s">
        <v>16</v>
      </c>
      <c r="M319" s="1">
        <f>IFERROR(INDEX(Database_WQ!$A:$V, MATCH($O319, Database_WQ!$A:$A, 0), 10), "Not Found")</f>
        <v>10.73</v>
      </c>
      <c r="N319" s="1">
        <f>IFERROR(INDEX(Database_WQ!$A:$V, MATCH($O319, Database_WQ!$A:$A, 0), 11), "Not Found")</f>
        <v>4.71</v>
      </c>
      <c r="O319" t="s">
        <v>419</v>
      </c>
    </row>
    <row r="320" spans="1:15" x14ac:dyDescent="0.25">
      <c r="A320" s="16">
        <v>45418</v>
      </c>
      <c r="B320" t="str">
        <f>VLOOKUP(MID(O320,20,3),Notes!A$1:C$9, 3)</f>
        <v>LX-S</v>
      </c>
      <c r="C320">
        <f>VLOOKUP(MID(O320,20,3),Notes!A$1:C$9,2)</f>
        <v>3</v>
      </c>
      <c r="D320" s="1">
        <f>IFERROR(INDEX(Database_WQ!$A:$V, MATCH($O320, Database_WQ!$A:$A, 0), 21), "Not Found")</f>
        <v>1647</v>
      </c>
      <c r="E320" s="1">
        <f>IFERROR(INDEX(Database_WQ!$A:$V, MATCH($O320, Database_WQ!$A:$A, 0), 7), "Not Found")</f>
        <v>0.55000000000000004</v>
      </c>
      <c r="F320" s="1">
        <f>IFERROR(INDEX(Database_WQ!$A:$V, MATCH($O320, Database_WQ!$A:$A, 0), 3), "Not Found")</f>
        <v>31.2</v>
      </c>
      <c r="G320" s="1">
        <f>IFERROR(INDEX(Database_WQ!$A:$V, MATCH($O320, Database_WQ!$A:$A, 0), 4), "Not Found")</f>
        <v>31.72</v>
      </c>
      <c r="H320" s="1">
        <f>IFERROR(INDEX(Database_WQ!$A:$V, MATCH($O320, Database_WQ!$A:$A, 0), 6), "Not Found")</f>
        <v>8.02</v>
      </c>
      <c r="I320" s="1">
        <f>IFERROR(INDEX(Database_WQ!$A:$V, MATCH($O320, Database_WQ!$A:$A, 0), 5), "Not Found")</f>
        <v>7.77</v>
      </c>
      <c r="J320" s="1">
        <f>IFERROR(INDEX(Database_WQ!$A:$V, MATCH($O320, Database_WQ!$A:$A, 0), 22), "Not Found")</f>
        <v>125</v>
      </c>
      <c r="K320" s="1">
        <f>IFERROR(INDEX(Database_WQ!$A:$V, MATCH($O320, Database_WQ!$A:$A, 0), 9), "Not Found")</f>
        <v>0.55000000000000004</v>
      </c>
      <c r="L320" s="19" t="s">
        <v>16</v>
      </c>
      <c r="M320" s="1">
        <f>IFERROR(INDEX(Database_WQ!$A:$V, MATCH($O320, Database_WQ!$A:$A, 0), 10), "Not Found")</f>
        <v>6.39</v>
      </c>
      <c r="N320" s="1">
        <f>IFERROR(INDEX(Database_WQ!$A:$V, MATCH($O320, Database_WQ!$A:$A, 0), 11), "Not Found")</f>
        <v>10.7</v>
      </c>
      <c r="O320" t="s">
        <v>421</v>
      </c>
    </row>
    <row r="321" spans="1:15" x14ac:dyDescent="0.25">
      <c r="A321" s="16">
        <v>45446</v>
      </c>
      <c r="B321" t="str">
        <f>VLOOKUP(MID(O321,20,3),Notes!A$1:C$9, 3)</f>
        <v>LX-N</v>
      </c>
      <c r="C321">
        <f>VLOOKUP(MID(O321,20,3),Notes!A$1:C$9,2)</f>
        <v>1</v>
      </c>
      <c r="D321" s="1">
        <f>IFERROR(INDEX(Database_WQ!$A:$V, MATCH($O321, Database_WQ!$A:$A, 0), 21), "Not Found")</f>
        <v>1626</v>
      </c>
      <c r="E321" s="1">
        <f>IFERROR(INDEX(Database_WQ!$A:$V, MATCH($O321, Database_WQ!$A:$A, 0), 7), "Not Found")</f>
        <v>0.8</v>
      </c>
      <c r="F321" s="1">
        <f>IFERROR(INDEX(Database_WQ!$A:$V, MATCH($O321, Database_WQ!$A:$A, 0), 3), "Not Found")</f>
        <v>31.2</v>
      </c>
      <c r="G321" s="1">
        <f>IFERROR(INDEX(Database_WQ!$A:$V, MATCH($O321, Database_WQ!$A:$A, 0), 4), "Not Found")</f>
        <v>29.72</v>
      </c>
      <c r="H321" s="1">
        <f>IFERROR(INDEX(Database_WQ!$A:$V, MATCH($O321, Database_WQ!$A:$A, 0), 6), "Not Found")</f>
        <v>7.92</v>
      </c>
      <c r="I321" s="1">
        <f>IFERROR(INDEX(Database_WQ!$A:$V, MATCH($O321, Database_WQ!$A:$A, 0), 5), "Not Found")</f>
        <v>6.44</v>
      </c>
      <c r="J321" s="1">
        <f>IFERROR(INDEX(Database_WQ!$A:$V, MATCH($O321, Database_WQ!$A:$A, 0), 22), "Not Found")</f>
        <v>101.9</v>
      </c>
      <c r="K321" s="1">
        <f>IFERROR(INDEX(Database_WQ!$A:$V, MATCH($O321, Database_WQ!$A:$A, 0), 9), "Not Found")</f>
        <v>0.8</v>
      </c>
      <c r="L321" s="19" t="s">
        <v>16</v>
      </c>
      <c r="M321" s="1">
        <f>IFERROR(INDEX(Database_WQ!$A:$V, MATCH($O321, Database_WQ!$A:$A, 0), 10), "Not Found")</f>
        <v>5.0199999999999996</v>
      </c>
      <c r="N321" s="1">
        <f>IFERROR(INDEX(Database_WQ!$A:$V, MATCH($O321, Database_WQ!$A:$A, 0), 11), "Not Found")</f>
        <v>5.28</v>
      </c>
      <c r="O321" t="s">
        <v>423</v>
      </c>
    </row>
    <row r="322" spans="1:15" x14ac:dyDescent="0.25">
      <c r="A322" s="16">
        <v>45446</v>
      </c>
      <c r="B322" t="str">
        <f>VLOOKUP(MID(O322,20,3),Notes!A$1:C$9, 3)</f>
        <v>LX-N</v>
      </c>
      <c r="C322">
        <f>VLOOKUP(MID(O322,20,3),Notes!A$1:C$9,2)</f>
        <v>2</v>
      </c>
      <c r="D322" s="1">
        <f>IFERROR(INDEX(Database_WQ!$A:$V, MATCH($O322, Database_WQ!$A:$A, 0), 21), "Not Found")</f>
        <v>1635</v>
      </c>
      <c r="E322" s="1">
        <f>IFERROR(INDEX(Database_WQ!$A:$V, MATCH($O322, Database_WQ!$A:$A, 0), 7), "Not Found")</f>
        <v>0.5</v>
      </c>
      <c r="F322" s="1">
        <f>IFERROR(INDEX(Database_WQ!$A:$V, MATCH($O322, Database_WQ!$A:$A, 0), 3), "Not Found")</f>
        <v>30.9</v>
      </c>
      <c r="G322" s="1">
        <f>IFERROR(INDEX(Database_WQ!$A:$V, MATCH($O322, Database_WQ!$A:$A, 0), 4), "Not Found")</f>
        <v>30.04</v>
      </c>
      <c r="H322" s="1">
        <f>IFERROR(INDEX(Database_WQ!$A:$V, MATCH($O322, Database_WQ!$A:$A, 0), 6), "Not Found")</f>
        <v>7.92</v>
      </c>
      <c r="I322" s="1">
        <f>IFERROR(INDEX(Database_WQ!$A:$V, MATCH($O322, Database_WQ!$A:$A, 0), 5), "Not Found")</f>
        <v>6.37</v>
      </c>
      <c r="J322" s="1">
        <f>IFERROR(INDEX(Database_WQ!$A:$V, MATCH($O322, Database_WQ!$A:$A, 0), 22), "Not Found")</f>
        <v>100.9</v>
      </c>
      <c r="K322" s="1">
        <f>IFERROR(INDEX(Database_WQ!$A:$V, MATCH($O322, Database_WQ!$A:$A, 0), 9), "Not Found")</f>
        <v>0.5</v>
      </c>
      <c r="L322" s="19" t="s">
        <v>16</v>
      </c>
      <c r="M322" s="1">
        <f>IFERROR(INDEX(Database_WQ!$A:$V, MATCH($O322, Database_WQ!$A:$A, 0), 10), "Not Found")</f>
        <v>8.1999999999999993</v>
      </c>
      <c r="N322" s="1">
        <f>IFERROR(INDEX(Database_WQ!$A:$V, MATCH($O322, Database_WQ!$A:$A, 0), 11), "Not Found")</f>
        <v>8.43</v>
      </c>
      <c r="O322" t="s">
        <v>424</v>
      </c>
    </row>
    <row r="323" spans="1:15" x14ac:dyDescent="0.25">
      <c r="A323" s="16">
        <v>45446</v>
      </c>
      <c r="B323" t="str">
        <f>VLOOKUP(MID(O323,20,3),Notes!A$1:C$9, 3)</f>
        <v>LX-N</v>
      </c>
      <c r="C323">
        <f>VLOOKUP(MID(O323,20,3),Notes!A$1:C$9,2)</f>
        <v>3</v>
      </c>
      <c r="D323" s="1">
        <f>IFERROR(INDEX(Database_WQ!$A:$V, MATCH($O323, Database_WQ!$A:$A, 0), 21), "Not Found")</f>
        <v>1612</v>
      </c>
      <c r="E323" s="1">
        <f>IFERROR(INDEX(Database_WQ!$A:$V, MATCH($O323, Database_WQ!$A:$A, 0), 7), "Not Found")</f>
        <v>0.55000000000000004</v>
      </c>
      <c r="F323" s="1">
        <f>IFERROR(INDEX(Database_WQ!$A:$V, MATCH($O323, Database_WQ!$A:$A, 0), 3), "Not Found")</f>
        <v>31</v>
      </c>
      <c r="G323" s="1">
        <f>IFERROR(INDEX(Database_WQ!$A:$V, MATCH($O323, Database_WQ!$A:$A, 0), 4), "Not Found")</f>
        <v>30.4</v>
      </c>
      <c r="H323" s="1">
        <f>IFERROR(INDEX(Database_WQ!$A:$V, MATCH($O323, Database_WQ!$A:$A, 0), 6), "Not Found")</f>
        <v>7.89</v>
      </c>
      <c r="I323" s="1">
        <f>IFERROR(INDEX(Database_WQ!$A:$V, MATCH($O323, Database_WQ!$A:$A, 0), 5), "Not Found")</f>
        <v>5.69</v>
      </c>
      <c r="J323" s="1">
        <f>IFERROR(INDEX(Database_WQ!$A:$V, MATCH($O323, Database_WQ!$A:$A, 0), 22), "Not Found")</f>
        <v>90.4</v>
      </c>
      <c r="K323" s="1">
        <f>IFERROR(INDEX(Database_WQ!$A:$V, MATCH($O323, Database_WQ!$A:$A, 0), 9), "Not Found")</f>
        <v>0.55000000000000004</v>
      </c>
      <c r="L323" s="19" t="s">
        <v>16</v>
      </c>
      <c r="M323" s="1">
        <f>IFERROR(INDEX(Database_WQ!$A:$V, MATCH($O323, Database_WQ!$A:$A, 0), 10), "Not Found")</f>
        <v>3.96</v>
      </c>
      <c r="N323" s="1">
        <f>IFERROR(INDEX(Database_WQ!$A:$V, MATCH($O323, Database_WQ!$A:$A, 0), 11), "Not Found")</f>
        <v>5.57</v>
      </c>
      <c r="O323" t="s">
        <v>425</v>
      </c>
    </row>
    <row r="324" spans="1:15" x14ac:dyDescent="0.25">
      <c r="A324" s="16">
        <v>45446</v>
      </c>
      <c r="B324" t="str">
        <f>VLOOKUP(MID(O324,20,3),Notes!A$1:C$9, 3)</f>
        <v>LX-S</v>
      </c>
      <c r="C324">
        <f>VLOOKUP(MID(O324,20,3),Notes!A$1:C$9,2)</f>
        <v>1</v>
      </c>
      <c r="D324" s="1">
        <f>IFERROR(INDEX(Database_WQ!$A:$V, MATCH($O324, Database_WQ!$A:$A, 0), 21), "Not Found")</f>
        <v>1800</v>
      </c>
      <c r="E324" s="1">
        <f>IFERROR(INDEX(Database_WQ!$A:$V, MATCH($O324, Database_WQ!$A:$A, 0), 7), "Not Found")</f>
        <v>0.7</v>
      </c>
      <c r="F324" s="1">
        <f>IFERROR(INDEX(Database_WQ!$A:$V, MATCH($O324, Database_WQ!$A:$A, 0), 3), "Not Found")</f>
        <v>29.9</v>
      </c>
      <c r="G324" s="1">
        <f>IFERROR(INDEX(Database_WQ!$A:$V, MATCH($O324, Database_WQ!$A:$A, 0), 4), "Not Found")</f>
        <v>34.770000000000003</v>
      </c>
      <c r="H324" s="1">
        <f>IFERROR(INDEX(Database_WQ!$A:$V, MATCH($O324, Database_WQ!$A:$A, 0), 6), "Not Found")</f>
        <v>8.09</v>
      </c>
      <c r="I324" s="1">
        <f>IFERROR(INDEX(Database_WQ!$A:$V, MATCH($O324, Database_WQ!$A:$A, 0), 5), "Not Found")</f>
        <v>7.21</v>
      </c>
      <c r="J324" s="1">
        <f>IFERROR(INDEX(Database_WQ!$A:$V, MATCH($O324, Database_WQ!$A:$A, 0), 22), "Not Found")</f>
        <v>116.1</v>
      </c>
      <c r="K324" s="1">
        <f>IFERROR(INDEX(Database_WQ!$A:$V, MATCH($O324, Database_WQ!$A:$A, 0), 9), "Not Found")</f>
        <v>0.7</v>
      </c>
      <c r="L324" s="19" t="s">
        <v>16</v>
      </c>
      <c r="M324" s="1">
        <f>IFERROR(INDEX(Database_WQ!$A:$V, MATCH($O324, Database_WQ!$A:$A, 0), 10), "Not Found")</f>
        <v>6.57</v>
      </c>
      <c r="N324" s="1">
        <f>IFERROR(INDEX(Database_WQ!$A:$V, MATCH($O324, Database_WQ!$A:$A, 0), 11), "Not Found")</f>
        <v>9.7899999999999991</v>
      </c>
      <c r="O324" t="s">
        <v>426</v>
      </c>
    </row>
    <row r="325" spans="1:15" x14ac:dyDescent="0.25">
      <c r="A325" s="16">
        <v>45446</v>
      </c>
      <c r="B325" t="str">
        <f>VLOOKUP(MID(O325,20,3),Notes!A$1:C$9, 3)</f>
        <v>LX-S</v>
      </c>
      <c r="C325">
        <f>VLOOKUP(MID(O325,20,3),Notes!A$1:C$9,2)</f>
        <v>2</v>
      </c>
      <c r="D325" s="1">
        <f>IFERROR(INDEX(Database_WQ!$A:$V, MATCH($O325, Database_WQ!$A:$A, 0), 21), "Not Found")</f>
        <v>1737</v>
      </c>
      <c r="E325" s="1">
        <f>IFERROR(INDEX(Database_WQ!$A:$V, MATCH($O325, Database_WQ!$A:$A, 0), 7), "Not Found")</f>
        <v>0.9</v>
      </c>
      <c r="F325" s="1">
        <f>IFERROR(INDEX(Database_WQ!$A:$V, MATCH($O325, Database_WQ!$A:$A, 0), 3), "Not Found")</f>
        <v>30.6</v>
      </c>
      <c r="G325" s="1">
        <f>IFERROR(INDEX(Database_WQ!$A:$V, MATCH($O325, Database_WQ!$A:$A, 0), 4), "Not Found")</f>
        <v>33.590000000000003</v>
      </c>
      <c r="H325" s="1">
        <f>IFERROR(INDEX(Database_WQ!$A:$V, MATCH($O325, Database_WQ!$A:$A, 0), 6), "Not Found")</f>
        <v>7.91</v>
      </c>
      <c r="I325" s="1">
        <f>IFERROR(INDEX(Database_WQ!$A:$V, MATCH($O325, Database_WQ!$A:$A, 0), 5), "Not Found")</f>
        <v>6.67</v>
      </c>
      <c r="J325" s="1">
        <f>IFERROR(INDEX(Database_WQ!$A:$V, MATCH($O325, Database_WQ!$A:$A, 0), 22), "Not Found")</f>
        <v>107.2</v>
      </c>
      <c r="K325" s="1">
        <f>IFERROR(INDEX(Database_WQ!$A:$V, MATCH($O325, Database_WQ!$A:$A, 0), 9), "Not Found")</f>
        <v>0.6</v>
      </c>
      <c r="L325" s="19" t="s">
        <v>16</v>
      </c>
      <c r="M325" s="1">
        <f>IFERROR(INDEX(Database_WQ!$A:$V, MATCH($O325, Database_WQ!$A:$A, 0), 10), "Not Found")</f>
        <v>8.48</v>
      </c>
      <c r="N325" s="1">
        <f>IFERROR(INDEX(Database_WQ!$A:$V, MATCH($O325, Database_WQ!$A:$A, 0), 11), "Not Found")</f>
        <v>13.7</v>
      </c>
      <c r="O325" t="s">
        <v>427</v>
      </c>
    </row>
    <row r="326" spans="1:15" x14ac:dyDescent="0.25">
      <c r="A326" s="16">
        <v>45446</v>
      </c>
      <c r="B326" t="str">
        <f>VLOOKUP(MID(O326,20,3),Notes!A$1:C$9, 3)</f>
        <v>LX-S</v>
      </c>
      <c r="C326">
        <f>VLOOKUP(MID(O326,20,3),Notes!A$1:C$9,2)</f>
        <v>3</v>
      </c>
      <c r="D326" s="1">
        <f>IFERROR(INDEX(Database_WQ!$A:$V, MATCH($O326, Database_WQ!$A:$A, 0), 21), "Not Found")</f>
        <v>1746</v>
      </c>
      <c r="E326" s="1">
        <f>IFERROR(INDEX(Database_WQ!$A:$V, MATCH($O326, Database_WQ!$A:$A, 0), 7), "Not Found")</f>
        <v>0.85</v>
      </c>
      <c r="F326" s="1">
        <f>IFERROR(INDEX(Database_WQ!$A:$V, MATCH($O326, Database_WQ!$A:$A, 0), 3), "Not Found")</f>
        <v>30.6</v>
      </c>
      <c r="G326" s="1">
        <f>IFERROR(INDEX(Database_WQ!$A:$V, MATCH($O326, Database_WQ!$A:$A, 0), 4), "Not Found")</f>
        <v>33.86</v>
      </c>
      <c r="H326" s="1">
        <f>IFERROR(INDEX(Database_WQ!$A:$V, MATCH($O326, Database_WQ!$A:$A, 0), 6), "Not Found")</f>
        <v>7.97</v>
      </c>
      <c r="I326" s="1">
        <f>IFERROR(INDEX(Database_WQ!$A:$V, MATCH($O326, Database_WQ!$A:$A, 0), 5), "Not Found")</f>
        <v>6.95</v>
      </c>
      <c r="J326" s="1">
        <f>IFERROR(INDEX(Database_WQ!$A:$V, MATCH($O326, Database_WQ!$A:$A, 0), 22), "Not Found")</f>
        <v>112</v>
      </c>
      <c r="K326" s="1">
        <f>IFERROR(INDEX(Database_WQ!$A:$V, MATCH($O326, Database_WQ!$A:$A, 0), 9), "Not Found")</f>
        <v>0.65</v>
      </c>
      <c r="L326" s="19" t="s">
        <v>16</v>
      </c>
      <c r="M326" s="1">
        <f>IFERROR(INDEX(Database_WQ!$A:$V, MATCH($O326, Database_WQ!$A:$A, 0), 10), "Not Found")</f>
        <v>7.28</v>
      </c>
      <c r="N326" s="1">
        <f>IFERROR(INDEX(Database_WQ!$A:$V, MATCH($O326, Database_WQ!$A:$A, 0), 11), "Not Found")</f>
        <v>11.6</v>
      </c>
      <c r="O326" t="s">
        <v>428</v>
      </c>
    </row>
    <row r="327" spans="1:15" x14ac:dyDescent="0.25">
      <c r="A327" s="16">
        <v>45482</v>
      </c>
      <c r="B327" t="str">
        <f>VLOOKUP(MID(O327,20,3),Notes!A$1:C$9, 3)</f>
        <v>LX-N</v>
      </c>
      <c r="C327">
        <f>VLOOKUP(MID(O327,20,3),Notes!A$1:C$9,2)</f>
        <v>1</v>
      </c>
      <c r="D327" s="1">
        <f>IFERROR(INDEX(Database_WQ!$A:$V, MATCH($O327, Database_WQ!$A:$A, 0), 21), "Not Found")</f>
        <v>1600</v>
      </c>
      <c r="E327" s="1">
        <f>IFERROR(INDEX(Database_WQ!$A:$V, MATCH($O327, Database_WQ!$A:$A, 0), 7), "Not Found")</f>
        <v>0.6</v>
      </c>
      <c r="F327" s="1">
        <f>IFERROR(INDEX(Database_WQ!$A:$V, MATCH($O327, Database_WQ!$A:$A, 0), 3), "Not Found")</f>
        <v>32.5</v>
      </c>
      <c r="G327" s="1">
        <f>IFERROR(INDEX(Database_WQ!$A:$V, MATCH($O327, Database_WQ!$A:$A, 0), 4), "Not Found")</f>
        <v>11.68</v>
      </c>
      <c r="H327" s="1">
        <f>IFERROR(INDEX(Database_WQ!$A:$V, MATCH($O327, Database_WQ!$A:$A, 0), 6), "Not Found")</f>
        <v>7.81</v>
      </c>
      <c r="I327" s="1">
        <f>IFERROR(INDEX(Database_WQ!$A:$V, MATCH($O327, Database_WQ!$A:$A, 0), 5), "Not Found")</f>
        <v>4.6500000000000004</v>
      </c>
      <c r="J327" s="1">
        <f>IFERROR(INDEX(Database_WQ!$A:$V, MATCH($O327, Database_WQ!$A:$A, 0), 22), "Not Found")</f>
        <v>67.099999999999994</v>
      </c>
      <c r="K327" s="1">
        <f>IFERROR(INDEX(Database_WQ!$A:$V, MATCH($O327, Database_WQ!$A:$A, 0), 9), "Not Found")</f>
        <v>0.6</v>
      </c>
      <c r="L327" s="19" t="s">
        <v>16</v>
      </c>
      <c r="M327" s="1">
        <f>IFERROR(INDEX(Database_WQ!$A:$V, MATCH($O327, Database_WQ!$A:$A, 0), 10), "Not Found")</f>
        <v>0.9</v>
      </c>
      <c r="N327" s="1">
        <f>IFERROR(INDEX(Database_WQ!$A:$V, MATCH($O327, Database_WQ!$A:$A, 0), 11), "Not Found")</f>
        <v>2.46</v>
      </c>
      <c r="O327" t="s">
        <v>429</v>
      </c>
    </row>
    <row r="328" spans="1:15" x14ac:dyDescent="0.25">
      <c r="A328" s="16">
        <v>45482</v>
      </c>
      <c r="B328" t="str">
        <f>VLOOKUP(MID(O328,20,3),Notes!A$1:C$9, 3)</f>
        <v>LX-N</v>
      </c>
      <c r="C328">
        <f>VLOOKUP(MID(O328,20,3),Notes!A$1:C$9,2)</f>
        <v>2</v>
      </c>
      <c r="D328" s="1">
        <f>IFERROR(INDEX(Database_WQ!$A:$V, MATCH($O328, Database_WQ!$A:$A, 0), 21), "Not Found")</f>
        <v>1613</v>
      </c>
      <c r="E328" s="1">
        <f>IFERROR(INDEX(Database_WQ!$A:$V, MATCH($O328, Database_WQ!$A:$A, 0), 7), "Not Found")</f>
        <v>0.55000000000000004</v>
      </c>
      <c r="F328" s="1">
        <f>IFERROR(INDEX(Database_WQ!$A:$V, MATCH($O328, Database_WQ!$A:$A, 0), 3), "Not Found")</f>
        <v>32.700000000000003</v>
      </c>
      <c r="G328" s="1">
        <f>IFERROR(INDEX(Database_WQ!$A:$V, MATCH($O328, Database_WQ!$A:$A, 0), 4), "Not Found")</f>
        <v>11.57</v>
      </c>
      <c r="H328" s="1">
        <f>IFERROR(INDEX(Database_WQ!$A:$V, MATCH($O328, Database_WQ!$A:$A, 0), 6), "Not Found")</f>
        <v>7.9</v>
      </c>
      <c r="I328" s="1">
        <f>IFERROR(INDEX(Database_WQ!$A:$V, MATCH($O328, Database_WQ!$A:$A, 0), 5), "Not Found")</f>
        <v>6.48</v>
      </c>
      <c r="J328" s="1">
        <f>IFERROR(INDEX(Database_WQ!$A:$V, MATCH($O328, Database_WQ!$A:$A, 0), 22), "Not Found")</f>
        <v>95.8</v>
      </c>
      <c r="K328" s="1">
        <f>IFERROR(INDEX(Database_WQ!$A:$V, MATCH($O328, Database_WQ!$A:$A, 0), 9), "Not Found")</f>
        <v>0.55000000000000004</v>
      </c>
      <c r="L328" s="19" t="s">
        <v>16</v>
      </c>
      <c r="M328" s="1">
        <f>IFERROR(INDEX(Database_WQ!$A:$V, MATCH($O328, Database_WQ!$A:$A, 0), 10), "Not Found")</f>
        <v>4.1399999999999997</v>
      </c>
      <c r="N328" s="1">
        <f>IFERROR(INDEX(Database_WQ!$A:$V, MATCH($O328, Database_WQ!$A:$A, 0), 11), "Not Found")</f>
        <v>5.13</v>
      </c>
      <c r="O328" t="s">
        <v>430</v>
      </c>
    </row>
    <row r="329" spans="1:15" x14ac:dyDescent="0.25">
      <c r="A329" s="16">
        <v>45482</v>
      </c>
      <c r="B329" t="str">
        <f>VLOOKUP(MID(O329,20,3),Notes!A$1:C$9, 3)</f>
        <v>LX-N</v>
      </c>
      <c r="C329">
        <f>VLOOKUP(MID(O329,20,3),Notes!A$1:C$9,2)</f>
        <v>3</v>
      </c>
      <c r="D329" s="1">
        <f>IFERROR(INDEX(Database_WQ!$A:$V, MATCH($O329, Database_WQ!$A:$A, 0), 21), "Not Found")</f>
        <v>1548</v>
      </c>
      <c r="E329" s="1">
        <f>IFERROR(INDEX(Database_WQ!$A:$V, MATCH($O329, Database_WQ!$A:$A, 0), 7), "Not Found")</f>
        <v>0.65</v>
      </c>
      <c r="F329" s="1">
        <f>IFERROR(INDEX(Database_WQ!$A:$V, MATCH($O329, Database_WQ!$A:$A, 0), 3), "Not Found")</f>
        <v>32.1</v>
      </c>
      <c r="G329" s="1">
        <f>IFERROR(INDEX(Database_WQ!$A:$V, MATCH($O329, Database_WQ!$A:$A, 0), 4), "Not Found")</f>
        <v>7.07</v>
      </c>
      <c r="H329" s="1">
        <f>IFERROR(INDEX(Database_WQ!$A:$V, MATCH($O329, Database_WQ!$A:$A, 0), 6), "Not Found")</f>
        <v>7.9</v>
      </c>
      <c r="I329" s="1">
        <f>IFERROR(INDEX(Database_WQ!$A:$V, MATCH($O329, Database_WQ!$A:$A, 0), 5), "Not Found")</f>
        <v>4.6500000000000004</v>
      </c>
      <c r="J329" s="1">
        <f>IFERROR(INDEX(Database_WQ!$A:$V, MATCH($O329, Database_WQ!$A:$A, 0), 22), "Not Found")</f>
        <v>66.2</v>
      </c>
      <c r="K329" s="1">
        <f>IFERROR(INDEX(Database_WQ!$A:$V, MATCH($O329, Database_WQ!$A:$A, 0), 9), "Not Found")</f>
        <v>0.65</v>
      </c>
      <c r="L329" s="19" t="s">
        <v>16</v>
      </c>
      <c r="M329" s="1">
        <f>IFERROR(INDEX(Database_WQ!$A:$V, MATCH($O329, Database_WQ!$A:$A, 0), 10), "Not Found")</f>
        <v>1.55</v>
      </c>
      <c r="N329" s="1">
        <f>IFERROR(INDEX(Database_WQ!$A:$V, MATCH($O329, Database_WQ!$A:$A, 0), 11), "Not Found")</f>
        <v>4.34</v>
      </c>
      <c r="O329" t="s">
        <v>431</v>
      </c>
    </row>
    <row r="330" spans="1:15" x14ac:dyDescent="0.25">
      <c r="A330" s="16">
        <v>45482</v>
      </c>
      <c r="B330" t="str">
        <f>VLOOKUP(MID(O330,20,3),Notes!A$1:C$9, 3)</f>
        <v>LX-S</v>
      </c>
      <c r="C330">
        <f>VLOOKUP(MID(O330,20,3),Notes!A$1:C$9,2)</f>
        <v>1</v>
      </c>
      <c r="D330" s="1">
        <f>IFERROR(INDEX(Database_WQ!$A:$V, MATCH($O330, Database_WQ!$A:$A, 0), 21), "Not Found")</f>
        <v>1841</v>
      </c>
      <c r="E330" s="1">
        <f>IFERROR(INDEX(Database_WQ!$A:$V, MATCH($O330, Database_WQ!$A:$A, 0), 7), "Not Found")</f>
        <v>0.55000000000000004</v>
      </c>
      <c r="F330" s="1">
        <f>IFERROR(INDEX(Database_WQ!$A:$V, MATCH($O330, Database_WQ!$A:$A, 0), 3), "Not Found")</f>
        <v>30.8</v>
      </c>
      <c r="G330" s="1">
        <f>IFERROR(INDEX(Database_WQ!$A:$V, MATCH($O330, Database_WQ!$A:$A, 0), 4), "Not Found")</f>
        <v>24.45</v>
      </c>
      <c r="H330" s="1">
        <f>IFERROR(INDEX(Database_WQ!$A:$V, MATCH($O330, Database_WQ!$A:$A, 0), 6), "Not Found")</f>
        <v>7.84</v>
      </c>
      <c r="I330" s="1">
        <f>IFERROR(INDEX(Database_WQ!$A:$V, MATCH($O330, Database_WQ!$A:$A, 0), 5), "Not Found")</f>
        <v>6.88</v>
      </c>
      <c r="J330" s="1">
        <f>IFERROR(INDEX(Database_WQ!$A:$V, MATCH($O330, Database_WQ!$A:$A, 0), 22), "Not Found")</f>
        <v>105.7</v>
      </c>
      <c r="K330" s="1">
        <f>IFERROR(INDEX(Database_WQ!$A:$V, MATCH($O330, Database_WQ!$A:$A, 0), 9), "Not Found")</f>
        <v>0.55000000000000004</v>
      </c>
      <c r="L330" s="19" t="s">
        <v>16</v>
      </c>
      <c r="M330" s="1">
        <f>IFERROR(INDEX(Database_WQ!$A:$V, MATCH($O330, Database_WQ!$A:$A, 0), 10), "Not Found")</f>
        <v>4.1100000000000003</v>
      </c>
      <c r="N330" s="1">
        <f>IFERROR(INDEX(Database_WQ!$A:$V, MATCH($O330, Database_WQ!$A:$A, 0), 11), "Not Found")</f>
        <v>6.55</v>
      </c>
      <c r="O330" t="s">
        <v>432</v>
      </c>
    </row>
    <row r="331" spans="1:15" x14ac:dyDescent="0.25">
      <c r="A331" s="16">
        <v>45482</v>
      </c>
      <c r="B331" t="str">
        <f>VLOOKUP(MID(O331,20,3),Notes!A$1:C$9, 3)</f>
        <v>LX-S</v>
      </c>
      <c r="C331">
        <f>VLOOKUP(MID(O331,20,3),Notes!A$1:C$9,2)</f>
        <v>2</v>
      </c>
      <c r="D331" s="1">
        <f>IFERROR(INDEX(Database_WQ!$A:$V, MATCH($O331, Database_WQ!$A:$A, 0), 21), "Not Found")</f>
        <v>1709</v>
      </c>
      <c r="E331" s="1">
        <f>IFERROR(INDEX(Database_WQ!$A:$V, MATCH($O331, Database_WQ!$A:$A, 0), 7), "Not Found")</f>
        <v>0.6</v>
      </c>
      <c r="F331" s="1">
        <f>IFERROR(INDEX(Database_WQ!$A:$V, MATCH($O331, Database_WQ!$A:$A, 0), 3), "Not Found")</f>
        <v>32.700000000000003</v>
      </c>
      <c r="G331" s="1">
        <f>IFERROR(INDEX(Database_WQ!$A:$V, MATCH($O331, Database_WQ!$A:$A, 0), 4), "Not Found")</f>
        <v>24.72</v>
      </c>
      <c r="H331" s="1">
        <f>IFERROR(INDEX(Database_WQ!$A:$V, MATCH($O331, Database_WQ!$A:$A, 0), 6), "Not Found")</f>
        <v>8.0500000000000007</v>
      </c>
      <c r="I331" s="1">
        <f>IFERROR(INDEX(Database_WQ!$A:$V, MATCH($O331, Database_WQ!$A:$A, 0), 5), "Not Found")</f>
        <v>7.32</v>
      </c>
      <c r="J331" s="1">
        <f>IFERROR(INDEX(Database_WQ!$A:$V, MATCH($O331, Database_WQ!$A:$A, 0), 22), "Not Found")</f>
        <v>115.7</v>
      </c>
      <c r="K331" s="1">
        <f>IFERROR(INDEX(Database_WQ!$A:$V, MATCH($O331, Database_WQ!$A:$A, 0), 9), "Not Found")</f>
        <v>0.6</v>
      </c>
      <c r="L331" s="19" t="s">
        <v>16</v>
      </c>
      <c r="M331" s="1">
        <f>IFERROR(INDEX(Database_WQ!$A:$V, MATCH($O331, Database_WQ!$A:$A, 0), 10), "Not Found")</f>
        <v>2.77</v>
      </c>
      <c r="N331" s="1">
        <f>IFERROR(INDEX(Database_WQ!$A:$V, MATCH($O331, Database_WQ!$A:$A, 0), 11), "Not Found")</f>
        <v>4.42</v>
      </c>
      <c r="O331" t="s">
        <v>433</v>
      </c>
    </row>
    <row r="332" spans="1:15" x14ac:dyDescent="0.25">
      <c r="A332" s="16">
        <v>45482</v>
      </c>
      <c r="B332" t="str">
        <f>VLOOKUP(MID(O332,20,3),Notes!A$1:C$9, 3)</f>
        <v>LX-S</v>
      </c>
      <c r="C332">
        <f>VLOOKUP(MID(O332,20,3),Notes!A$1:C$9,2)</f>
        <v>3</v>
      </c>
      <c r="D332" s="1">
        <f>IFERROR(INDEX(Database_WQ!$A:$V, MATCH($O332, Database_WQ!$A:$A, 0), 21), "Not Found")</f>
        <v>1715</v>
      </c>
      <c r="E332" s="1">
        <f>IFERROR(INDEX(Database_WQ!$A:$V, MATCH($O332, Database_WQ!$A:$A, 0), 7), "Not Found")</f>
        <v>0.6</v>
      </c>
      <c r="F332" s="1">
        <f>IFERROR(INDEX(Database_WQ!$A:$V, MATCH($O332, Database_WQ!$A:$A, 0), 3), "Not Found")</f>
        <v>32.4</v>
      </c>
      <c r="G332" s="1">
        <f>IFERROR(INDEX(Database_WQ!$A:$V, MATCH($O332, Database_WQ!$A:$A, 0), 4), "Not Found")</f>
        <v>24.34</v>
      </c>
      <c r="H332" s="1">
        <f>IFERROR(INDEX(Database_WQ!$A:$V, MATCH($O332, Database_WQ!$A:$A, 0), 6), "Not Found")</f>
        <v>8.08</v>
      </c>
      <c r="I332" s="1">
        <f>IFERROR(INDEX(Database_WQ!$A:$V, MATCH($O332, Database_WQ!$A:$A, 0), 5), "Not Found")</f>
        <v>7.18</v>
      </c>
      <c r="J332" s="1">
        <f>IFERROR(INDEX(Database_WQ!$A:$V, MATCH($O332, Database_WQ!$A:$A, 0), 22), "Not Found")</f>
        <v>113</v>
      </c>
      <c r="K332" s="1">
        <f>IFERROR(INDEX(Database_WQ!$A:$V, MATCH($O332, Database_WQ!$A:$A, 0), 9), "Not Found")</f>
        <v>0.6</v>
      </c>
      <c r="L332" s="19" t="s">
        <v>16</v>
      </c>
      <c r="M332" s="1">
        <f>IFERROR(INDEX(Database_WQ!$A:$V, MATCH($O332, Database_WQ!$A:$A, 0), 10), "Not Found")</f>
        <v>6.31</v>
      </c>
      <c r="N332" s="1">
        <f>IFERROR(INDEX(Database_WQ!$A:$V, MATCH($O332, Database_WQ!$A:$A, 0), 11), "Not Found")</f>
        <v>9.25</v>
      </c>
      <c r="O332" t="s">
        <v>434</v>
      </c>
    </row>
    <row r="333" spans="1:15" x14ac:dyDescent="0.25">
      <c r="A333" s="16">
        <v>45510</v>
      </c>
      <c r="B333" t="str">
        <f>VLOOKUP(MID(O333,20,3),Notes!A$1:C$9, 3)</f>
        <v>LX-N</v>
      </c>
      <c r="C333">
        <f>VLOOKUP(MID(O333,20,3),Notes!A$1:C$9,2)</f>
        <v>1</v>
      </c>
      <c r="D333" s="1">
        <f>IFERROR(INDEX(Database_WQ!$A:$V, MATCH($O333, Database_WQ!$A:$A, 0), 21), "Not Found")</f>
        <v>1718</v>
      </c>
      <c r="E333" s="1">
        <f>IFERROR(INDEX(Database_WQ!$A:$V, MATCH($O333, Database_WQ!$A:$A, 0), 7), "Not Found")</f>
        <v>0.45</v>
      </c>
      <c r="F333" s="1">
        <f>IFERROR(INDEX(Database_WQ!$A:$V, MATCH($O333, Database_WQ!$A:$A, 0), 3), "Not Found")</f>
        <v>30.6</v>
      </c>
      <c r="G333" s="1">
        <f>IFERROR(INDEX(Database_WQ!$A:$V, MATCH($O333, Database_WQ!$A:$A, 0), 4), "Not Found")</f>
        <v>7.62</v>
      </c>
      <c r="H333" s="1">
        <f>IFERROR(INDEX(Database_WQ!$A:$V, MATCH($O333, Database_WQ!$A:$A, 0), 6), "Not Found")</f>
        <v>8.16</v>
      </c>
      <c r="I333" s="1">
        <f>IFERROR(INDEX(Database_WQ!$A:$V, MATCH($O333, Database_WQ!$A:$A, 0), 5), "Not Found")</f>
        <v>6.95</v>
      </c>
      <c r="J333" s="1">
        <f>IFERROR(INDEX(Database_WQ!$A:$V, MATCH($O333, Database_WQ!$A:$A, 0), 22), "Not Found")</f>
        <v>96.7</v>
      </c>
      <c r="K333" s="1">
        <f>IFERROR(INDEX(Database_WQ!$A:$V, MATCH($O333, Database_WQ!$A:$A, 0), 9), "Not Found")</f>
        <v>0.45</v>
      </c>
      <c r="L333" s="19" t="s">
        <v>16</v>
      </c>
      <c r="M333" s="1">
        <f>IFERROR(INDEX(Database_WQ!$A:$V, MATCH($O333, Database_WQ!$A:$A, 0), 10), "Not Found")</f>
        <v>4.4000000000000004</v>
      </c>
      <c r="N333" s="1">
        <f>IFERROR(INDEX(Database_WQ!$A:$V, MATCH($O333, Database_WQ!$A:$A, 0), 11), "Not Found")</f>
        <v>4.88</v>
      </c>
      <c r="O333" t="s">
        <v>435</v>
      </c>
    </row>
    <row r="334" spans="1:15" x14ac:dyDescent="0.25">
      <c r="A334" s="16">
        <v>45510</v>
      </c>
      <c r="B334" t="str">
        <f>VLOOKUP(MID(O334,20,3),Notes!A$1:C$9, 3)</f>
        <v>LX-N</v>
      </c>
      <c r="C334">
        <f>VLOOKUP(MID(O334,20,3),Notes!A$1:C$9,2)</f>
        <v>2</v>
      </c>
      <c r="D334" s="1">
        <f>IFERROR(INDEX(Database_WQ!$A:$V, MATCH($O334, Database_WQ!$A:$A, 0), 21), "Not Found")</f>
        <v>1743</v>
      </c>
      <c r="E334" s="1">
        <f>IFERROR(INDEX(Database_WQ!$A:$V, MATCH($O334, Database_WQ!$A:$A, 0), 7), "Not Found")</f>
        <v>0.5</v>
      </c>
      <c r="F334" s="1">
        <f>IFERROR(INDEX(Database_WQ!$A:$V, MATCH($O334, Database_WQ!$A:$A, 0), 3), "Not Found")</f>
        <v>30.2</v>
      </c>
      <c r="G334" s="1">
        <f>IFERROR(INDEX(Database_WQ!$A:$V, MATCH($O334, Database_WQ!$A:$A, 0), 4), "Not Found")</f>
        <v>4.8499999999999996</v>
      </c>
      <c r="H334" s="1">
        <f>IFERROR(INDEX(Database_WQ!$A:$V, MATCH($O334, Database_WQ!$A:$A, 0), 6), "Not Found")</f>
        <v>8.1199999999999992</v>
      </c>
      <c r="I334" s="1">
        <f>IFERROR(INDEX(Database_WQ!$A:$V, MATCH($O334, Database_WQ!$A:$A, 0), 5), "Not Found")</f>
        <v>7.17</v>
      </c>
      <c r="J334" s="1">
        <f>IFERROR(INDEX(Database_WQ!$A:$V, MATCH($O334, Database_WQ!$A:$A, 0), 22), "Not Found")</f>
        <v>98.5</v>
      </c>
      <c r="K334" s="1">
        <f>IFERROR(INDEX(Database_WQ!$A:$V, MATCH($O334, Database_WQ!$A:$A, 0), 9), "Not Found")</f>
        <v>0.5</v>
      </c>
      <c r="L334" s="19" t="s">
        <v>16</v>
      </c>
      <c r="M334" s="1">
        <f>IFERROR(INDEX(Database_WQ!$A:$V, MATCH($O334, Database_WQ!$A:$A, 0), 10), "Not Found")</f>
        <v>8.4700000000000006</v>
      </c>
      <c r="N334" s="1">
        <f>IFERROR(INDEX(Database_WQ!$A:$V, MATCH($O334, Database_WQ!$A:$A, 0), 11), "Not Found")</f>
        <v>9.8699999999999992</v>
      </c>
      <c r="O334" t="s">
        <v>436</v>
      </c>
    </row>
    <row r="335" spans="1:15" x14ac:dyDescent="0.25">
      <c r="A335" s="16">
        <v>45510</v>
      </c>
      <c r="B335" t="str">
        <f>VLOOKUP(MID(O335,20,3),Notes!A$1:C$9, 3)</f>
        <v>LX-N</v>
      </c>
      <c r="C335">
        <f>VLOOKUP(MID(O335,20,3),Notes!A$1:C$9,2)</f>
        <v>3</v>
      </c>
      <c r="D335" s="1">
        <f>IFERROR(INDEX(Database_WQ!$A:$V, MATCH($O335, Database_WQ!$A:$A, 0), 21), "Not Found")</f>
        <v>1703</v>
      </c>
      <c r="E335" s="1">
        <f>IFERROR(INDEX(Database_WQ!$A:$V, MATCH($O335, Database_WQ!$A:$A, 0), 7), "Not Found")</f>
        <v>0.65</v>
      </c>
      <c r="F335" s="1">
        <f>IFERROR(INDEX(Database_WQ!$A:$V, MATCH($O335, Database_WQ!$A:$A, 0), 3), "Not Found")</f>
        <v>30</v>
      </c>
      <c r="G335" s="1">
        <f>IFERROR(INDEX(Database_WQ!$A:$V, MATCH($O335, Database_WQ!$A:$A, 0), 4), "Not Found")</f>
        <v>2.04</v>
      </c>
      <c r="H335" s="1">
        <f>IFERROR(INDEX(Database_WQ!$A:$V, MATCH($O335, Database_WQ!$A:$A, 0), 6), "Not Found")</f>
        <v>8.23</v>
      </c>
      <c r="I335" s="1">
        <f>IFERROR(INDEX(Database_WQ!$A:$V, MATCH($O335, Database_WQ!$A:$A, 0), 5), "Not Found")</f>
        <v>6.03</v>
      </c>
      <c r="J335" s="1">
        <f>IFERROR(INDEX(Database_WQ!$A:$V, MATCH($O335, Database_WQ!$A:$A, 0), 22), "Not Found")</f>
        <v>80.5</v>
      </c>
      <c r="K335" s="1">
        <f>IFERROR(INDEX(Database_WQ!$A:$V, MATCH($O335, Database_WQ!$A:$A, 0), 9), "Not Found")</f>
        <v>0.65</v>
      </c>
      <c r="L335" s="19" t="s">
        <v>16</v>
      </c>
      <c r="M335" s="1">
        <f>IFERROR(INDEX(Database_WQ!$A:$V, MATCH($O335, Database_WQ!$A:$A, 0), 10), "Not Found")</f>
        <v>3.43</v>
      </c>
      <c r="N335" s="1">
        <f>IFERROR(INDEX(Database_WQ!$A:$V, MATCH($O335, Database_WQ!$A:$A, 0), 11), "Not Found")</f>
        <v>5.72</v>
      </c>
      <c r="O335" t="s">
        <v>437</v>
      </c>
    </row>
    <row r="336" spans="1:15" x14ac:dyDescent="0.25">
      <c r="A336" s="16">
        <v>45510</v>
      </c>
      <c r="B336" t="str">
        <f>VLOOKUP(MID(O336,20,3),Notes!A$1:C$9, 3)</f>
        <v>LX-S</v>
      </c>
      <c r="C336">
        <f>VLOOKUP(MID(O336,20,3),Notes!A$1:C$9,2)</f>
        <v>1</v>
      </c>
      <c r="D336" s="1">
        <f>IFERROR(INDEX(Database_WQ!$A:$V, MATCH($O336, Database_WQ!$A:$A, 0), 21), "Not Found")</f>
        <v>1930</v>
      </c>
      <c r="E336" s="1">
        <f>IFERROR(INDEX(Database_WQ!$A:$V, MATCH($O336, Database_WQ!$A:$A, 0), 7), "Not Found")</f>
        <v>0.5</v>
      </c>
      <c r="F336" s="1">
        <f>IFERROR(INDEX(Database_WQ!$A:$V, MATCH($O336, Database_WQ!$A:$A, 0), 3), "Not Found")</f>
        <v>30.3</v>
      </c>
      <c r="G336" s="1">
        <f>IFERROR(INDEX(Database_WQ!$A:$V, MATCH($O336, Database_WQ!$A:$A, 0), 4), "Not Found")</f>
        <v>29.79</v>
      </c>
      <c r="H336" s="1">
        <f>IFERROR(INDEX(Database_WQ!$A:$V, MATCH($O336, Database_WQ!$A:$A, 0), 6), "Not Found")</f>
        <v>8.1</v>
      </c>
      <c r="I336" s="1">
        <f>IFERROR(INDEX(Database_WQ!$A:$V, MATCH($O336, Database_WQ!$A:$A, 0), 5), "Not Found")</f>
        <v>7.1</v>
      </c>
      <c r="J336" s="1">
        <f>IFERROR(INDEX(Database_WQ!$A:$V, MATCH($O336, Database_WQ!$A:$A, 0), 22), "Not Found")</f>
        <v>111.1</v>
      </c>
      <c r="K336" s="1">
        <f>IFERROR(INDEX(Database_WQ!$A:$V, MATCH($O336, Database_WQ!$A:$A, 0), 9), "Not Found")</f>
        <v>0.5</v>
      </c>
      <c r="L336" s="19" t="s">
        <v>16</v>
      </c>
      <c r="M336" s="1">
        <f>IFERROR(INDEX(Database_WQ!$A:$V, MATCH($O336, Database_WQ!$A:$A, 0), 10), "Not Found")</f>
        <v>3.98</v>
      </c>
      <c r="N336" s="1">
        <f>IFERROR(INDEX(Database_WQ!$A:$V, MATCH($O336, Database_WQ!$A:$A, 0), 11), "Not Found")</f>
        <v>4.43</v>
      </c>
      <c r="O336" t="s">
        <v>438</v>
      </c>
    </row>
    <row r="337" spans="1:15" x14ac:dyDescent="0.25">
      <c r="A337" s="16">
        <v>45510</v>
      </c>
      <c r="B337" t="str">
        <f>VLOOKUP(MID(O337,20,3),Notes!A$1:C$9, 3)</f>
        <v>LX-S</v>
      </c>
      <c r="C337">
        <f>VLOOKUP(MID(O337,20,3),Notes!A$1:C$9,2)</f>
        <v>2</v>
      </c>
      <c r="D337" s="1">
        <f>IFERROR(INDEX(Database_WQ!$A:$V, MATCH($O337, Database_WQ!$A:$A, 0), 21), "Not Found")</f>
        <v>1909</v>
      </c>
      <c r="E337" s="1">
        <f>IFERROR(INDEX(Database_WQ!$A:$V, MATCH($O337, Database_WQ!$A:$A, 0), 7), "Not Found")</f>
        <v>0.45</v>
      </c>
      <c r="F337" s="1">
        <f>IFERROR(INDEX(Database_WQ!$A:$V, MATCH($O337, Database_WQ!$A:$A, 0), 3), "Not Found")</f>
        <v>30.6</v>
      </c>
      <c r="G337" s="1">
        <f>IFERROR(INDEX(Database_WQ!$A:$V, MATCH($O337, Database_WQ!$A:$A, 0), 4), "Not Found")</f>
        <v>28.98</v>
      </c>
      <c r="H337" s="1">
        <f>IFERROR(INDEX(Database_WQ!$A:$V, MATCH($O337, Database_WQ!$A:$A, 0), 6), "Not Found")</f>
        <v>7.97</v>
      </c>
      <c r="I337" s="1">
        <f>IFERROR(INDEX(Database_WQ!$A:$V, MATCH($O337, Database_WQ!$A:$A, 0), 5), "Not Found")</f>
        <v>6.72</v>
      </c>
      <c r="J337" s="1">
        <f>IFERROR(INDEX(Database_WQ!$A:$V, MATCH($O337, Database_WQ!$A:$A, 0), 22), "Not Found")</f>
        <v>105.5</v>
      </c>
      <c r="K337" s="1">
        <f>IFERROR(INDEX(Database_WQ!$A:$V, MATCH($O337, Database_WQ!$A:$A, 0), 9), "Not Found")</f>
        <v>0.45</v>
      </c>
      <c r="L337" s="19" t="s">
        <v>16</v>
      </c>
      <c r="M337" s="1">
        <f>IFERROR(INDEX(Database_WQ!$A:$V, MATCH($O337, Database_WQ!$A:$A, 0), 10), "Not Found")</f>
        <v>8.98</v>
      </c>
      <c r="N337" s="1">
        <f>IFERROR(INDEX(Database_WQ!$A:$V, MATCH($O337, Database_WQ!$A:$A, 0), 11), "Not Found")</f>
        <v>7.96</v>
      </c>
      <c r="O337" t="s">
        <v>439</v>
      </c>
    </row>
    <row r="338" spans="1:15" x14ac:dyDescent="0.25">
      <c r="A338" s="16">
        <v>45510</v>
      </c>
      <c r="B338" t="str">
        <f>VLOOKUP(MID(O338,20,3),Notes!A$1:C$9, 3)</f>
        <v>LX-S</v>
      </c>
      <c r="C338">
        <f>VLOOKUP(MID(O338,20,3),Notes!A$1:C$9,2)</f>
        <v>3</v>
      </c>
      <c r="D338" s="1">
        <f>IFERROR(INDEX(Database_WQ!$A:$V, MATCH($O338, Database_WQ!$A:$A, 0), 21), "Not Found")</f>
        <v>1918</v>
      </c>
      <c r="E338" s="1">
        <f>IFERROR(INDEX(Database_WQ!$A:$V, MATCH($O338, Database_WQ!$A:$A, 0), 7), "Not Found")</f>
        <v>0.45</v>
      </c>
      <c r="F338" s="1">
        <f>IFERROR(INDEX(Database_WQ!$A:$V, MATCH($O338, Database_WQ!$A:$A, 0), 3), "Not Found")</f>
        <v>30.9</v>
      </c>
      <c r="G338" s="1">
        <f>IFERROR(INDEX(Database_WQ!$A:$V, MATCH($O338, Database_WQ!$A:$A, 0), 4), "Not Found")</f>
        <v>29.25</v>
      </c>
      <c r="H338" s="1">
        <f>IFERROR(INDEX(Database_WQ!$A:$V, MATCH($O338, Database_WQ!$A:$A, 0), 6), "Not Found")</f>
        <v>8.08</v>
      </c>
      <c r="I338" s="1">
        <f>IFERROR(INDEX(Database_WQ!$A:$V, MATCH($O338, Database_WQ!$A:$A, 0), 5), "Not Found")</f>
        <v>7.36</v>
      </c>
      <c r="J338" s="1">
        <f>IFERROR(INDEX(Database_WQ!$A:$V, MATCH($O338, Database_WQ!$A:$A, 0), 22), "Not Found")</f>
        <v>116</v>
      </c>
      <c r="K338" s="1">
        <f>IFERROR(INDEX(Database_WQ!$A:$V, MATCH($O338, Database_WQ!$A:$A, 0), 9), "Not Found")</f>
        <v>0.45</v>
      </c>
      <c r="L338" s="19" t="s">
        <v>16</v>
      </c>
      <c r="M338" s="1">
        <f>IFERROR(INDEX(Database_WQ!$A:$V, MATCH($O338, Database_WQ!$A:$A, 0), 10), "Not Found")</f>
        <v>4.8499999999999996</v>
      </c>
      <c r="N338" s="1">
        <f>IFERROR(INDEX(Database_WQ!$A:$V, MATCH($O338, Database_WQ!$A:$A, 0), 11), "Not Found")</f>
        <v>12.7</v>
      </c>
      <c r="O338" t="s">
        <v>440</v>
      </c>
    </row>
    <row r="339" spans="1:15" x14ac:dyDescent="0.25">
      <c r="A339" s="16">
        <v>45539</v>
      </c>
      <c r="B339" t="str">
        <f>VLOOKUP(MID(O339,20,3),Notes!A$1:C$9, 3)</f>
        <v>LX-N</v>
      </c>
      <c r="C339">
        <f>VLOOKUP(MID(O339,20,3),Notes!A$1:C$9,2)</f>
        <v>1</v>
      </c>
      <c r="D339" s="1">
        <f>IFERROR(INDEX(Database_WQ!$A:$V, MATCH($O339, Database_WQ!$A:$A, 0), 21), "Not Found")</f>
        <v>1535</v>
      </c>
      <c r="E339" s="1">
        <f>IFERROR(INDEX(Database_WQ!$A:$V, MATCH($O339, Database_WQ!$A:$A, 0), 7), "Not Found")</f>
        <v>0.6</v>
      </c>
      <c r="F339" s="1">
        <f>IFERROR(INDEX(Database_WQ!$A:$V, MATCH($O339, Database_WQ!$A:$A, 0), 3), "Not Found")</f>
        <v>30.2</v>
      </c>
      <c r="G339" s="1">
        <f>IFERROR(INDEX(Database_WQ!$A:$V, MATCH($O339, Database_WQ!$A:$A, 0), 4), "Not Found")</f>
        <v>8.52</v>
      </c>
      <c r="H339" s="1">
        <f>IFERROR(INDEX(Database_WQ!$A:$V, MATCH($O339, Database_WQ!$A:$A, 0), 6), "Not Found")</f>
        <v>7.9</v>
      </c>
      <c r="I339" s="1">
        <f>IFERROR(INDEX(Database_WQ!$A:$V, MATCH($O339, Database_WQ!$A:$A, 0), 5), "Not Found")</f>
        <v>4.91</v>
      </c>
      <c r="J339" s="1">
        <f>IFERROR(INDEX(Database_WQ!$A:$V, MATCH($O339, Database_WQ!$A:$A, 0), 22), "Not Found")</f>
        <v>68.099999999999994</v>
      </c>
      <c r="K339" s="1">
        <f>IFERROR(INDEX(Database_WQ!$A:$V, MATCH($O339, Database_WQ!$A:$A, 0), 9), "Not Found")</f>
        <v>0.6</v>
      </c>
      <c r="L339" s="19" t="s">
        <v>16</v>
      </c>
      <c r="M339" s="1">
        <f>IFERROR(INDEX(Database_WQ!$A:$V, MATCH($O339, Database_WQ!$A:$A, 0), 10), "Not Found")</f>
        <v>2.1</v>
      </c>
      <c r="N339" s="1">
        <f>IFERROR(INDEX(Database_WQ!$A:$V, MATCH($O339, Database_WQ!$A:$A, 0), 11), "Not Found")</f>
        <v>5.03</v>
      </c>
      <c r="O339" t="s">
        <v>441</v>
      </c>
    </row>
    <row r="340" spans="1:15" x14ac:dyDescent="0.25">
      <c r="A340" s="16">
        <v>45539</v>
      </c>
      <c r="B340" t="str">
        <f>VLOOKUP(MID(O340,20,3),Notes!A$1:C$9, 3)</f>
        <v>LX-N</v>
      </c>
      <c r="C340">
        <f>VLOOKUP(MID(O340,20,3),Notes!A$1:C$9,2)</f>
        <v>2</v>
      </c>
      <c r="D340" s="1">
        <f>IFERROR(INDEX(Database_WQ!$A:$V, MATCH($O340, Database_WQ!$A:$A, 0), 21), "Not Found")</f>
        <v>1452</v>
      </c>
      <c r="E340" s="1">
        <f>IFERROR(INDEX(Database_WQ!$A:$V, MATCH($O340, Database_WQ!$A:$A, 0), 7), "Not Found")</f>
        <v>0.6</v>
      </c>
      <c r="F340" s="1">
        <f>IFERROR(INDEX(Database_WQ!$A:$V, MATCH($O340, Database_WQ!$A:$A, 0), 3), "Not Found")</f>
        <v>30.8</v>
      </c>
      <c r="G340" s="1">
        <f>IFERROR(INDEX(Database_WQ!$A:$V, MATCH($O340, Database_WQ!$A:$A, 0), 4), "Not Found")</f>
        <v>10.34</v>
      </c>
      <c r="H340" s="1">
        <f>IFERROR(INDEX(Database_WQ!$A:$V, MATCH($O340, Database_WQ!$A:$A, 0), 6), "Not Found")</f>
        <v>8.09</v>
      </c>
      <c r="I340" s="1">
        <f>IFERROR(INDEX(Database_WQ!$A:$V, MATCH($O340, Database_WQ!$A:$A, 0), 5), "Not Found")</f>
        <v>6.73</v>
      </c>
      <c r="J340" s="1">
        <f>IFERROR(INDEX(Database_WQ!$A:$V, MATCH($O340, Database_WQ!$A:$A, 0), 22), "Not Found")</f>
        <v>95.4</v>
      </c>
      <c r="K340" s="1">
        <f>IFERROR(INDEX(Database_WQ!$A:$V, MATCH($O340, Database_WQ!$A:$A, 0), 9), "Not Found")</f>
        <v>0.6</v>
      </c>
      <c r="L340" s="19" t="s">
        <v>16</v>
      </c>
      <c r="M340" s="1">
        <f>IFERROR(INDEX(Database_WQ!$A:$V, MATCH($O340, Database_WQ!$A:$A, 0), 10), "Not Found")</f>
        <v>4.1500000000000004</v>
      </c>
      <c r="N340" s="1">
        <f>IFERROR(INDEX(Database_WQ!$A:$V, MATCH($O340, Database_WQ!$A:$A, 0), 11), "Not Found")</f>
        <v>4.88</v>
      </c>
      <c r="O340" t="s">
        <v>442</v>
      </c>
    </row>
    <row r="341" spans="1:15" x14ac:dyDescent="0.25">
      <c r="A341" s="16">
        <v>45539</v>
      </c>
      <c r="B341" t="str">
        <f>VLOOKUP(MID(O341,20,3),Notes!A$1:C$9, 3)</f>
        <v>LX-N</v>
      </c>
      <c r="C341">
        <f>VLOOKUP(MID(O341,20,3),Notes!A$1:C$9,2)</f>
        <v>3</v>
      </c>
      <c r="D341" s="1">
        <f>IFERROR(INDEX(Database_WQ!$A:$V, MATCH($O341, Database_WQ!$A:$A, 0), 21), "Not Found")</f>
        <v>1616</v>
      </c>
      <c r="E341" s="1">
        <f>IFERROR(INDEX(Database_WQ!$A:$V, MATCH($O341, Database_WQ!$A:$A, 0), 7), "Not Found")</f>
        <v>0.6</v>
      </c>
      <c r="F341" s="1">
        <f>IFERROR(INDEX(Database_WQ!$A:$V, MATCH($O341, Database_WQ!$A:$A, 0), 3), "Not Found")</f>
        <v>29.7</v>
      </c>
      <c r="G341" s="1">
        <f>IFERROR(INDEX(Database_WQ!$A:$V, MATCH($O341, Database_WQ!$A:$A, 0), 4), "Not Found")</f>
        <v>4.09</v>
      </c>
      <c r="H341" s="1">
        <f>IFERROR(INDEX(Database_WQ!$A:$V, MATCH($O341, Database_WQ!$A:$A, 0), 6), "Not Found")</f>
        <v>7.71</v>
      </c>
      <c r="I341" s="1">
        <f>IFERROR(INDEX(Database_WQ!$A:$V, MATCH($O341, Database_WQ!$A:$A, 0), 5), "Not Found")</f>
        <v>4.4000000000000004</v>
      </c>
      <c r="J341" s="1">
        <f>IFERROR(INDEX(Database_WQ!$A:$V, MATCH($O341, Database_WQ!$A:$A, 0), 22), "Not Found")</f>
        <v>59.1</v>
      </c>
      <c r="K341" s="1">
        <f>IFERROR(INDEX(Database_WQ!$A:$V, MATCH($O341, Database_WQ!$A:$A, 0), 9), "Not Found")</f>
        <v>0.6</v>
      </c>
      <c r="L341" s="19" t="s">
        <v>16</v>
      </c>
      <c r="M341" s="1">
        <f>IFERROR(INDEX(Database_WQ!$A:$V, MATCH($O341, Database_WQ!$A:$A, 0), 10), "Not Found")</f>
        <v>2.4300000000000002</v>
      </c>
      <c r="N341" s="1">
        <f>IFERROR(INDEX(Database_WQ!$A:$V, MATCH($O341, Database_WQ!$A:$A, 0), 11), "Not Found")</f>
        <v>4.12</v>
      </c>
      <c r="O341" t="s">
        <v>443</v>
      </c>
    </row>
    <row r="342" spans="1:15" x14ac:dyDescent="0.25">
      <c r="A342" s="16">
        <v>45539</v>
      </c>
      <c r="B342" t="str">
        <f>VLOOKUP(MID(O342,20,3),Notes!A$1:C$9, 3)</f>
        <v>LX-S</v>
      </c>
      <c r="C342">
        <f>VLOOKUP(MID(O342,20,3),Notes!A$1:C$9,2)</f>
        <v>1</v>
      </c>
      <c r="D342" s="1">
        <f>IFERROR(INDEX(Database_WQ!$A:$V, MATCH($O342, Database_WQ!$A:$A, 0), 21), "Not Found")</f>
        <v>1747</v>
      </c>
      <c r="E342" s="1">
        <f>IFERROR(INDEX(Database_WQ!$A:$V, MATCH($O342, Database_WQ!$A:$A, 0), 7), "Not Found")</f>
        <v>0.8</v>
      </c>
      <c r="F342" s="1">
        <f>IFERROR(INDEX(Database_WQ!$A:$V, MATCH($O342, Database_WQ!$A:$A, 0), 3), "Not Found")</f>
        <v>30.3</v>
      </c>
      <c r="G342" s="1">
        <f>IFERROR(INDEX(Database_WQ!$A:$V, MATCH($O342, Database_WQ!$A:$A, 0), 4), "Not Found")</f>
        <v>12.05</v>
      </c>
      <c r="H342" s="1">
        <f>IFERROR(INDEX(Database_WQ!$A:$V, MATCH($O342, Database_WQ!$A:$A, 0), 6), "Not Found")</f>
        <v>7.69</v>
      </c>
      <c r="I342" s="1">
        <f>IFERROR(INDEX(Database_WQ!$A:$V, MATCH($O342, Database_WQ!$A:$A, 0), 5), "Not Found")</f>
        <v>4.8499999999999996</v>
      </c>
      <c r="J342" s="1">
        <f>IFERROR(INDEX(Database_WQ!$A:$V, MATCH($O342, Database_WQ!$A:$A, 0), 22), "Not Found")</f>
        <v>68.400000000000006</v>
      </c>
      <c r="K342" s="1">
        <f>IFERROR(INDEX(Database_WQ!$A:$V, MATCH($O342, Database_WQ!$A:$A, 0), 9), "Not Found")</f>
        <v>0.8</v>
      </c>
      <c r="L342" s="19" t="s">
        <v>16</v>
      </c>
      <c r="M342" s="1">
        <f>IFERROR(INDEX(Database_WQ!$A:$V, MATCH($O342, Database_WQ!$A:$A, 0), 10), "Not Found")</f>
        <v>2.69</v>
      </c>
      <c r="N342" s="1">
        <f>IFERROR(INDEX(Database_WQ!$A:$V, MATCH($O342, Database_WQ!$A:$A, 0), 11), "Not Found")</f>
        <v>4.95</v>
      </c>
      <c r="O342" t="s">
        <v>444</v>
      </c>
    </row>
    <row r="343" spans="1:15" x14ac:dyDescent="0.25">
      <c r="A343" s="16">
        <v>45539</v>
      </c>
      <c r="B343" t="str">
        <f>VLOOKUP(MID(O343,20,3),Notes!A$1:C$9, 3)</f>
        <v>LX-S</v>
      </c>
      <c r="C343">
        <f>VLOOKUP(MID(O343,20,3),Notes!A$1:C$9,2)</f>
        <v>2</v>
      </c>
      <c r="D343" s="1">
        <f>IFERROR(INDEX(Database_WQ!$A:$V, MATCH($O343, Database_WQ!$A:$A, 0), 21), "Not Found")</f>
        <v>1710</v>
      </c>
      <c r="E343" s="1">
        <f>IFERROR(INDEX(Database_WQ!$A:$V, MATCH($O343, Database_WQ!$A:$A, 0), 7), "Not Found")</f>
        <v>0.6</v>
      </c>
      <c r="F343" s="1">
        <f>IFERROR(INDEX(Database_WQ!$A:$V, MATCH($O343, Database_WQ!$A:$A, 0), 3), "Not Found")</f>
        <v>30.1</v>
      </c>
      <c r="G343" s="1">
        <f>IFERROR(INDEX(Database_WQ!$A:$V, MATCH($O343, Database_WQ!$A:$A, 0), 4), "Not Found")</f>
        <v>12.32</v>
      </c>
      <c r="H343" s="1">
        <f>IFERROR(INDEX(Database_WQ!$A:$V, MATCH($O343, Database_WQ!$A:$A, 0), 6), "Not Found")</f>
        <v>7.69</v>
      </c>
      <c r="I343" s="1">
        <f>IFERROR(INDEX(Database_WQ!$A:$V, MATCH($O343, Database_WQ!$A:$A, 0), 5), "Not Found")</f>
        <v>5.98</v>
      </c>
      <c r="J343" s="1">
        <f>IFERROR(INDEX(Database_WQ!$A:$V, MATCH($O343, Database_WQ!$A:$A, 0), 22), "Not Found")</f>
        <v>84.4</v>
      </c>
      <c r="K343" s="1">
        <f>IFERROR(INDEX(Database_WQ!$A:$V, MATCH($O343, Database_WQ!$A:$A, 0), 9), "Not Found")</f>
        <v>0.6</v>
      </c>
      <c r="L343" s="19" t="s">
        <v>16</v>
      </c>
      <c r="M343" s="1">
        <f>IFERROR(INDEX(Database_WQ!$A:$V, MATCH($O343, Database_WQ!$A:$A, 0), 10), "Not Found")</f>
        <v>5.73</v>
      </c>
      <c r="N343" s="1">
        <f>IFERROR(INDEX(Database_WQ!$A:$V, MATCH($O343, Database_WQ!$A:$A, 0), 11), "Not Found")</f>
        <v>7.03</v>
      </c>
      <c r="O343" t="s">
        <v>445</v>
      </c>
    </row>
    <row r="344" spans="1:15" x14ac:dyDescent="0.25">
      <c r="A344" s="16">
        <v>45539</v>
      </c>
      <c r="B344" t="str">
        <f>VLOOKUP(MID(O344,20,3),Notes!A$1:C$9, 3)</f>
        <v>LX-S</v>
      </c>
      <c r="C344">
        <f>VLOOKUP(MID(O344,20,3),Notes!A$1:C$9,2)</f>
        <v>3</v>
      </c>
      <c r="D344" s="1">
        <f>IFERROR(INDEX(Database_WQ!$A:$V, MATCH($O344, Database_WQ!$A:$A, 0), 21), "Not Found")</f>
        <v>1731</v>
      </c>
      <c r="E344" s="1">
        <f>IFERROR(INDEX(Database_WQ!$A:$V, MATCH($O344, Database_WQ!$A:$A, 0), 7), "Not Found")</f>
        <v>0.7</v>
      </c>
      <c r="F344" s="1">
        <f>IFERROR(INDEX(Database_WQ!$A:$V, MATCH($O344, Database_WQ!$A:$A, 0), 3), "Not Found")</f>
        <v>30.8</v>
      </c>
      <c r="G344" s="1">
        <f>IFERROR(INDEX(Database_WQ!$A:$V, MATCH($O344, Database_WQ!$A:$A, 0), 4), "Not Found")</f>
        <v>11.61</v>
      </c>
      <c r="H344" s="1">
        <f>IFERROR(INDEX(Database_WQ!$A:$V, MATCH($O344, Database_WQ!$A:$A, 0), 6), "Not Found")</f>
        <v>7.62</v>
      </c>
      <c r="I344" s="1">
        <f>IFERROR(INDEX(Database_WQ!$A:$V, MATCH($O344, Database_WQ!$A:$A, 0), 5), "Not Found")</f>
        <v>5.37</v>
      </c>
      <c r="J344" s="1">
        <f>IFERROR(INDEX(Database_WQ!$A:$V, MATCH($O344, Database_WQ!$A:$A, 0), 22), "Not Found")</f>
        <v>76.5</v>
      </c>
      <c r="K344" s="1">
        <f>IFERROR(INDEX(Database_WQ!$A:$V, MATCH($O344, Database_WQ!$A:$A, 0), 9), "Not Found")</f>
        <v>0.7</v>
      </c>
      <c r="L344" s="19" t="s">
        <v>16</v>
      </c>
      <c r="M344" s="1">
        <f>IFERROR(INDEX(Database_WQ!$A:$V, MATCH($O344, Database_WQ!$A:$A, 0), 10), "Not Found")</f>
        <v>3.71</v>
      </c>
      <c r="N344" s="1">
        <f>IFERROR(INDEX(Database_WQ!$A:$V, MATCH($O344, Database_WQ!$A:$A, 0), 11), "Not Found")</f>
        <v>5.32</v>
      </c>
      <c r="O344" t="s">
        <v>446</v>
      </c>
    </row>
    <row r="345" spans="1:15" x14ac:dyDescent="0.25">
      <c r="A345" s="16">
        <v>45567</v>
      </c>
      <c r="B345" t="str">
        <f>VLOOKUP(MID(O345,20,3),Notes!A$1:C$9, 3)</f>
        <v>LX-N</v>
      </c>
      <c r="C345">
        <f>VLOOKUP(MID(O345,20,3),Notes!A$1:C$9,2)</f>
        <v>1</v>
      </c>
      <c r="D345" s="1">
        <f>IFERROR(INDEX(Database_WQ!$A:$V, MATCH($O345, Database_WQ!$A:$A, 0), 21), "Not Found")</f>
        <v>1522</v>
      </c>
      <c r="E345" s="1">
        <f>IFERROR(INDEX(Database_WQ!$A:$V, MATCH($O345, Database_WQ!$A:$A, 0), 7), "Not Found")</f>
        <v>0.6</v>
      </c>
      <c r="F345" s="1">
        <f>IFERROR(INDEX(Database_WQ!$A:$V, MATCH($O345, Database_WQ!$A:$A, 0), 3), "Not Found")</f>
        <v>31.5</v>
      </c>
      <c r="G345" s="1">
        <f>IFERROR(INDEX(Database_WQ!$A:$V, MATCH($O345, Database_WQ!$A:$A, 0), 4), "Not Found")</f>
        <v>7.32</v>
      </c>
      <c r="H345" s="1">
        <f>IFERROR(INDEX(Database_WQ!$A:$V, MATCH($O345, Database_WQ!$A:$A, 0), 6), "Not Found")</f>
        <v>7.8</v>
      </c>
      <c r="I345" s="1">
        <f>IFERROR(INDEX(Database_WQ!$A:$V, MATCH($O345, Database_WQ!$A:$A, 0), 5), "Not Found")</f>
        <v>4.8899999999999997</v>
      </c>
      <c r="J345" s="1">
        <f>IFERROR(INDEX(Database_WQ!$A:$V, MATCH($O345, Database_WQ!$A:$A, 0), 22), "Not Found")</f>
        <v>69</v>
      </c>
      <c r="K345" s="1">
        <f>IFERROR(INDEX(Database_WQ!$A:$V, MATCH($O345, Database_WQ!$A:$A, 0), 9), "Not Found")</f>
        <v>0.6</v>
      </c>
      <c r="L345" s="19" t="s">
        <v>16</v>
      </c>
      <c r="M345" s="1">
        <f>IFERROR(INDEX(Database_WQ!$A:$V, MATCH($O345, Database_WQ!$A:$A, 0), 10), "Not Found")</f>
        <v>0.82</v>
      </c>
      <c r="N345" s="1">
        <f>IFERROR(INDEX(Database_WQ!$A:$V, MATCH($O345, Database_WQ!$A:$A, 0), 11), "Not Found")</f>
        <v>2.76</v>
      </c>
      <c r="O345" t="s">
        <v>447</v>
      </c>
    </row>
    <row r="346" spans="1:15" x14ac:dyDescent="0.25">
      <c r="A346" s="16">
        <v>45567</v>
      </c>
      <c r="B346" t="str">
        <f>VLOOKUP(MID(O346,20,3),Notes!A$1:C$9, 3)</f>
        <v>LX-N</v>
      </c>
      <c r="C346">
        <f>VLOOKUP(MID(O346,20,3),Notes!A$1:C$9,2)</f>
        <v>2</v>
      </c>
      <c r="D346" s="1">
        <f>IFERROR(INDEX(Database_WQ!$A:$V, MATCH($O346, Database_WQ!$A:$A, 0), 21), "Not Found")</f>
        <v>1535</v>
      </c>
      <c r="E346" s="1">
        <f>IFERROR(INDEX(Database_WQ!$A:$V, MATCH($O346, Database_WQ!$A:$A, 0), 7), "Not Found")</f>
        <v>0.55000000000000004</v>
      </c>
      <c r="F346" s="1">
        <f>IFERROR(INDEX(Database_WQ!$A:$V, MATCH($O346, Database_WQ!$A:$A, 0), 3), "Not Found")</f>
        <v>31.7</v>
      </c>
      <c r="G346" s="1">
        <f>IFERROR(INDEX(Database_WQ!$A:$V, MATCH($O346, Database_WQ!$A:$A, 0), 4), "Not Found")</f>
        <v>7.66</v>
      </c>
      <c r="H346" s="1">
        <f>IFERROR(INDEX(Database_WQ!$A:$V, MATCH($O346, Database_WQ!$A:$A, 0), 6), "Not Found")</f>
        <v>7.81</v>
      </c>
      <c r="I346" s="1">
        <f>IFERROR(INDEX(Database_WQ!$A:$V, MATCH($O346, Database_WQ!$A:$A, 0), 5), "Not Found")</f>
        <v>5.34</v>
      </c>
      <c r="J346" s="1">
        <f>IFERROR(INDEX(Database_WQ!$A:$V, MATCH($O346, Database_WQ!$A:$A, 0), 22), "Not Found")</f>
        <v>75.5</v>
      </c>
      <c r="K346" s="1">
        <f>IFERROR(INDEX(Database_WQ!$A:$V, MATCH($O346, Database_WQ!$A:$A, 0), 9), "Not Found")</f>
        <v>0.55000000000000004</v>
      </c>
      <c r="L346" s="19" t="s">
        <v>16</v>
      </c>
      <c r="M346" s="1">
        <f>IFERROR(INDEX(Database_WQ!$A:$V, MATCH($O346, Database_WQ!$A:$A, 0), 10), "Not Found")</f>
        <v>1.03</v>
      </c>
      <c r="N346" s="1">
        <f>IFERROR(INDEX(Database_WQ!$A:$V, MATCH($O346, Database_WQ!$A:$A, 0), 11), "Not Found")</f>
        <v>3.13</v>
      </c>
      <c r="O346" t="s">
        <v>448</v>
      </c>
    </row>
    <row r="347" spans="1:15" x14ac:dyDescent="0.25">
      <c r="A347" s="16">
        <v>45567</v>
      </c>
      <c r="B347" t="str">
        <f>VLOOKUP(MID(O347,20,3),Notes!A$1:C$9, 3)</f>
        <v>LX-N</v>
      </c>
      <c r="C347">
        <f>VLOOKUP(MID(O347,20,3),Notes!A$1:C$9,2)</f>
        <v>3</v>
      </c>
      <c r="D347" s="1">
        <f>IFERROR(INDEX(Database_WQ!$A:$V, MATCH($O347, Database_WQ!$A:$A, 0), 21), "Not Found")</f>
        <v>1512</v>
      </c>
      <c r="E347" s="1">
        <f>IFERROR(INDEX(Database_WQ!$A:$V, MATCH($O347, Database_WQ!$A:$A, 0), 7), "Not Found")</f>
        <v>0.65</v>
      </c>
      <c r="F347" s="1">
        <f>IFERROR(INDEX(Database_WQ!$A:$V, MATCH($O347, Database_WQ!$A:$A, 0), 3), "Not Found")</f>
        <v>30.2</v>
      </c>
      <c r="G347" s="1">
        <f>IFERROR(INDEX(Database_WQ!$A:$V, MATCH($O347, Database_WQ!$A:$A, 0), 4), "Not Found")</f>
        <v>2.77</v>
      </c>
      <c r="H347" s="1">
        <f>IFERROR(INDEX(Database_WQ!$A:$V, MATCH($O347, Database_WQ!$A:$A, 0), 6), "Not Found")</f>
        <v>8.19</v>
      </c>
      <c r="I347" s="1">
        <f>IFERROR(INDEX(Database_WQ!$A:$V, MATCH($O347, Database_WQ!$A:$A, 0), 5), "Not Found")</f>
        <v>3.69</v>
      </c>
      <c r="J347" s="1">
        <f>IFERROR(INDEX(Database_WQ!$A:$V, MATCH($O347, Database_WQ!$A:$A, 0), 22), "Not Found")</f>
        <v>49.6</v>
      </c>
      <c r="K347" s="1">
        <f>IFERROR(INDEX(Database_WQ!$A:$V, MATCH($O347, Database_WQ!$A:$A, 0), 9), "Not Found")</f>
        <v>0.65</v>
      </c>
      <c r="L347" s="19" t="s">
        <v>16</v>
      </c>
      <c r="M347" s="1">
        <f>IFERROR(INDEX(Database_WQ!$A:$V, MATCH($O347, Database_WQ!$A:$A, 0), 10), "Not Found")</f>
        <v>1.79</v>
      </c>
      <c r="N347" s="1">
        <f>IFERROR(INDEX(Database_WQ!$A:$V, MATCH($O347, Database_WQ!$A:$A, 0), 11), "Not Found")</f>
        <v>3.19</v>
      </c>
      <c r="O347" t="s">
        <v>449</v>
      </c>
    </row>
    <row r="348" spans="1:15" x14ac:dyDescent="0.25">
      <c r="A348" s="16">
        <v>45567</v>
      </c>
      <c r="B348" t="str">
        <f>VLOOKUP(MID(O348,20,3),Notes!A$1:C$9, 3)</f>
        <v>LX-S</v>
      </c>
      <c r="C348">
        <f>VLOOKUP(MID(O348,20,3),Notes!A$1:C$9,2)</f>
        <v>1</v>
      </c>
      <c r="D348" s="1">
        <f>IFERROR(INDEX(Database_WQ!$A:$V, MATCH($O348, Database_WQ!$A:$A, 0), 21), "Not Found")</f>
        <v>1628</v>
      </c>
      <c r="E348" s="1">
        <f>IFERROR(INDEX(Database_WQ!$A:$V, MATCH($O348, Database_WQ!$A:$A, 0), 7), "Not Found")</f>
        <v>0.7</v>
      </c>
      <c r="F348" s="1">
        <f>IFERROR(INDEX(Database_WQ!$A:$V, MATCH($O348, Database_WQ!$A:$A, 0), 3), "Not Found")</f>
        <v>31.2</v>
      </c>
      <c r="G348" s="1">
        <f>IFERROR(INDEX(Database_WQ!$A:$V, MATCH($O348, Database_WQ!$A:$A, 0), 4), "Not Found")</f>
        <v>17.899999999999999</v>
      </c>
      <c r="H348" s="1">
        <f>IFERROR(INDEX(Database_WQ!$A:$V, MATCH($O348, Database_WQ!$A:$A, 0), 6), "Not Found")</f>
        <v>7.85</v>
      </c>
      <c r="I348" s="1">
        <f>IFERROR(INDEX(Database_WQ!$A:$V, MATCH($O348, Database_WQ!$A:$A, 0), 5), "Not Found")</f>
        <v>5.37</v>
      </c>
      <c r="J348" s="1">
        <f>IFERROR(INDEX(Database_WQ!$A:$V, MATCH($O348, Database_WQ!$A:$A, 0), 22), "Not Found")</f>
        <v>80.3</v>
      </c>
      <c r="K348" s="1">
        <f>IFERROR(INDEX(Database_WQ!$A:$V, MATCH($O348, Database_WQ!$A:$A, 0), 9), "Not Found")</f>
        <v>0.7</v>
      </c>
      <c r="L348" s="19" t="s">
        <v>16</v>
      </c>
      <c r="M348" s="1">
        <f>IFERROR(INDEX(Database_WQ!$A:$V, MATCH($O348, Database_WQ!$A:$A, 0), 10), "Not Found")</f>
        <v>3.2</v>
      </c>
      <c r="N348" s="1">
        <f>IFERROR(INDEX(Database_WQ!$A:$V, MATCH($O348, Database_WQ!$A:$A, 0), 11), "Not Found")</f>
        <v>6.47</v>
      </c>
      <c r="O348" t="s">
        <v>450</v>
      </c>
    </row>
    <row r="349" spans="1:15" x14ac:dyDescent="0.25">
      <c r="A349" s="16">
        <v>45567</v>
      </c>
      <c r="B349" t="str">
        <f>VLOOKUP(MID(O349,20,3),Notes!A$1:C$9, 3)</f>
        <v>LX-S</v>
      </c>
      <c r="C349">
        <f>VLOOKUP(MID(O349,20,3),Notes!A$1:C$9,2)</f>
        <v>2</v>
      </c>
      <c r="D349" s="1">
        <f>IFERROR(INDEX(Database_WQ!$A:$V, MATCH($O349, Database_WQ!$A:$A, 0), 21), "Not Found")</f>
        <v>1616</v>
      </c>
      <c r="E349" s="1">
        <f>IFERROR(INDEX(Database_WQ!$A:$V, MATCH($O349, Database_WQ!$A:$A, 0), 7), "Not Found")</f>
        <v>0.65</v>
      </c>
      <c r="F349" s="1">
        <f>IFERROR(INDEX(Database_WQ!$A:$V, MATCH($O349, Database_WQ!$A:$A, 0), 3), "Not Found")</f>
        <v>31.5</v>
      </c>
      <c r="G349" s="1">
        <f>IFERROR(INDEX(Database_WQ!$A:$V, MATCH($O349, Database_WQ!$A:$A, 0), 4), "Not Found")</f>
        <v>15.41</v>
      </c>
      <c r="H349" s="1">
        <f>IFERROR(INDEX(Database_WQ!$A:$V, MATCH($O349, Database_WQ!$A:$A, 0), 6), "Not Found")</f>
        <v>7.84</v>
      </c>
      <c r="I349" s="1">
        <f>IFERROR(INDEX(Database_WQ!$A:$V, MATCH($O349, Database_WQ!$A:$A, 0), 5), "Not Found")</f>
        <v>5.75</v>
      </c>
      <c r="J349" s="1">
        <f>IFERROR(INDEX(Database_WQ!$A:$V, MATCH($O349, Database_WQ!$A:$A, 0), 22), "Not Found")</f>
        <v>84.7</v>
      </c>
      <c r="K349" s="1">
        <f>IFERROR(INDEX(Database_WQ!$A:$V, MATCH($O349, Database_WQ!$A:$A, 0), 9), "Not Found")</f>
        <v>0.65</v>
      </c>
      <c r="L349" s="19" t="s">
        <v>16</v>
      </c>
      <c r="M349" s="1">
        <f>IFERROR(INDEX(Database_WQ!$A:$V, MATCH($O349, Database_WQ!$A:$A, 0), 10), "Not Found")</f>
        <v>3.26</v>
      </c>
      <c r="N349" s="1">
        <f>IFERROR(INDEX(Database_WQ!$A:$V, MATCH($O349, Database_WQ!$A:$A, 0), 11), "Not Found")</f>
        <v>4.99</v>
      </c>
      <c r="O349" t="s">
        <v>451</v>
      </c>
    </row>
    <row r="350" spans="1:15" x14ac:dyDescent="0.25">
      <c r="A350" s="16">
        <v>45567</v>
      </c>
      <c r="B350" t="str">
        <f>VLOOKUP(MID(O350,20,3),Notes!A$1:C$9, 3)</f>
        <v>LX-S</v>
      </c>
      <c r="C350">
        <f>VLOOKUP(MID(O350,20,3),Notes!A$1:C$9,2)</f>
        <v>3</v>
      </c>
      <c r="D350" s="1">
        <f>IFERROR(INDEX(Database_WQ!$A:$V, MATCH($O350, Database_WQ!$A:$A, 0), 21), "Not Found")</f>
        <v>1621</v>
      </c>
      <c r="E350" s="1">
        <f>IFERROR(INDEX(Database_WQ!$A:$V, MATCH($O350, Database_WQ!$A:$A, 0), 7), "Not Found")</f>
        <v>0.6</v>
      </c>
      <c r="F350" s="1">
        <f>IFERROR(INDEX(Database_WQ!$A:$V, MATCH($O350, Database_WQ!$A:$A, 0), 3), "Not Found")</f>
        <v>31.8</v>
      </c>
      <c r="G350" s="1">
        <f>IFERROR(INDEX(Database_WQ!$A:$V, MATCH($O350, Database_WQ!$A:$A, 0), 4), "Not Found")</f>
        <v>13.66</v>
      </c>
      <c r="H350" s="1">
        <f>IFERROR(INDEX(Database_WQ!$A:$V, MATCH($O350, Database_WQ!$A:$A, 0), 6), "Not Found")</f>
        <v>7.87</v>
      </c>
      <c r="I350" s="1">
        <f>IFERROR(INDEX(Database_WQ!$A:$V, MATCH($O350, Database_WQ!$A:$A, 0), 5), "Not Found")</f>
        <v>6.44</v>
      </c>
      <c r="J350" s="1">
        <f>IFERROR(INDEX(Database_WQ!$A:$V, MATCH($O350, Database_WQ!$A:$A, 0), 22), "Not Found")</f>
        <v>94.7</v>
      </c>
      <c r="K350" s="1">
        <f>IFERROR(INDEX(Database_WQ!$A:$V, MATCH($O350, Database_WQ!$A:$A, 0), 9), "Not Found")</f>
        <v>0.6</v>
      </c>
      <c r="L350" s="19" t="s">
        <v>16</v>
      </c>
      <c r="M350" s="1">
        <f>IFERROR(INDEX(Database_WQ!$A:$V, MATCH($O350, Database_WQ!$A:$A, 0), 10), "Not Found")</f>
        <v>1.5</v>
      </c>
      <c r="N350" s="1">
        <f>IFERROR(INDEX(Database_WQ!$A:$V, MATCH($O350, Database_WQ!$A:$A, 0), 11), "Not Found")</f>
        <v>4.0599999999999996</v>
      </c>
      <c r="O350" t="s">
        <v>452</v>
      </c>
    </row>
    <row r="351" spans="1:15" x14ac:dyDescent="0.25">
      <c r="A351" s="16">
        <v>45601</v>
      </c>
      <c r="B351" t="str">
        <f>VLOOKUP(MID(O351,20,3),Notes!A$1:C$9, 3)</f>
        <v>LX-N</v>
      </c>
      <c r="C351">
        <f>VLOOKUP(MID(O351,20,3),Notes!A$1:C$9,2)</f>
        <v>1</v>
      </c>
      <c r="D351" s="1">
        <f>IFERROR(INDEX(Database_WQ!$A:$V, MATCH($O351, Database_WQ!$A:$A, 0), 21), "Not Found")</f>
        <v>1644</v>
      </c>
      <c r="E351" s="1">
        <f>IFERROR(INDEX(Database_WQ!$A:$V, MATCH($O351, Database_WQ!$A:$A, 0), 7), "Not Found")</f>
        <v>0.85</v>
      </c>
      <c r="F351" s="1">
        <f>IFERROR(INDEX(Database_WQ!$A:$V, MATCH($O351, Database_WQ!$A:$A, 0), 3), "Not Found")</f>
        <v>25.5</v>
      </c>
      <c r="G351" s="1">
        <f>IFERROR(INDEX(Database_WQ!$A:$V, MATCH($O351, Database_WQ!$A:$A, 0), 4), "Not Found")</f>
        <v>7.94</v>
      </c>
      <c r="H351" s="1">
        <f>IFERROR(INDEX(Database_WQ!$A:$V, MATCH($O351, Database_WQ!$A:$A, 0), 6), "Not Found")</f>
        <v>7.91</v>
      </c>
      <c r="I351" s="1">
        <f>IFERROR(INDEX(Database_WQ!$A:$V, MATCH($O351, Database_WQ!$A:$A, 0), 5), "Not Found")</f>
        <v>6.6</v>
      </c>
      <c r="J351" s="1">
        <f>IFERROR(INDEX(Database_WQ!$A:$V, MATCH($O351, Database_WQ!$A:$A, 0), 22), "Not Found")</f>
        <v>84</v>
      </c>
      <c r="K351" s="1">
        <f>IFERROR(INDEX(Database_WQ!$A:$V, MATCH($O351, Database_WQ!$A:$A, 0), 9), "Not Found")</f>
        <v>0.85</v>
      </c>
      <c r="L351" s="19" t="s">
        <v>16</v>
      </c>
      <c r="M351" s="1">
        <f>IFERROR(INDEX(Database_WQ!$A:$V, MATCH($O351, Database_WQ!$A:$A, 0), 10), "Not Found")</f>
        <v>1.3</v>
      </c>
      <c r="N351" s="1">
        <f>IFERROR(INDEX(Database_WQ!$A:$V, MATCH($O351, Database_WQ!$A:$A, 0), 11), "Not Found")</f>
        <v>3.75</v>
      </c>
      <c r="O351" t="s">
        <v>453</v>
      </c>
    </row>
    <row r="352" spans="1:15" x14ac:dyDescent="0.25">
      <c r="A352" s="16">
        <v>45601</v>
      </c>
      <c r="B352" t="str">
        <f>VLOOKUP(MID(O352,20,3),Notes!A$1:C$9, 3)</f>
        <v>LX-N</v>
      </c>
      <c r="C352">
        <f>VLOOKUP(MID(O352,20,3),Notes!A$1:C$9,2)</f>
        <v>2</v>
      </c>
      <c r="D352" s="1">
        <f>IFERROR(INDEX(Database_WQ!$A:$V, MATCH($O352, Database_WQ!$A:$A, 0), 21), "Not Found")</f>
        <v>1656</v>
      </c>
      <c r="E352" s="1">
        <f>IFERROR(INDEX(Database_WQ!$A:$V, MATCH($O352, Database_WQ!$A:$A, 0), 7), "Not Found")</f>
        <v>0.75</v>
      </c>
      <c r="F352" s="1">
        <f>IFERROR(INDEX(Database_WQ!$A:$V, MATCH($O352, Database_WQ!$A:$A, 0), 3), "Not Found")</f>
        <v>25.5</v>
      </c>
      <c r="G352" s="1">
        <f>IFERROR(INDEX(Database_WQ!$A:$V, MATCH($O352, Database_WQ!$A:$A, 0), 4), "Not Found")</f>
        <v>8.57</v>
      </c>
      <c r="H352" s="1">
        <f>IFERROR(INDEX(Database_WQ!$A:$V, MATCH($O352, Database_WQ!$A:$A, 0), 6), "Not Found")</f>
        <v>7.77</v>
      </c>
      <c r="I352" s="1">
        <f>IFERROR(INDEX(Database_WQ!$A:$V, MATCH($O352, Database_WQ!$A:$A, 0), 5), "Not Found")</f>
        <v>6.26</v>
      </c>
      <c r="J352" s="1">
        <f>IFERROR(INDEX(Database_WQ!$A:$V, MATCH($O352, Database_WQ!$A:$A, 0), 22), "Not Found")</f>
        <v>79.8</v>
      </c>
      <c r="K352" s="1">
        <f>IFERROR(INDEX(Database_WQ!$A:$V, MATCH($O352, Database_WQ!$A:$A, 0), 9), "Not Found")</f>
        <v>0.75</v>
      </c>
      <c r="L352" s="19" t="s">
        <v>16</v>
      </c>
      <c r="M352" s="1">
        <f>IFERROR(INDEX(Database_WQ!$A:$V, MATCH($O352, Database_WQ!$A:$A, 0), 10), "Not Found")</f>
        <v>2.46</v>
      </c>
      <c r="N352" s="1">
        <f>IFERROR(INDEX(Database_WQ!$A:$V, MATCH($O352, Database_WQ!$A:$A, 0), 11), "Not Found")</f>
        <v>3.48</v>
      </c>
      <c r="O352" t="s">
        <v>454</v>
      </c>
    </row>
    <row r="353" spans="1:15" x14ac:dyDescent="0.25">
      <c r="A353" s="16">
        <v>45601</v>
      </c>
      <c r="B353" t="str">
        <f>VLOOKUP(MID(O353,20,3),Notes!A$1:C$9, 3)</f>
        <v>LX-N</v>
      </c>
      <c r="C353">
        <f>VLOOKUP(MID(O353,20,3),Notes!A$1:C$9,2)</f>
        <v>3</v>
      </c>
      <c r="D353" s="1">
        <f>IFERROR(INDEX(Database_WQ!$A:$V, MATCH($O353, Database_WQ!$A:$A, 0), 21), "Not Found")</f>
        <v>1633</v>
      </c>
      <c r="E353" s="1">
        <f>IFERROR(INDEX(Database_WQ!$A:$V, MATCH($O353, Database_WQ!$A:$A, 0), 7), "Not Found")</f>
        <v>0.9</v>
      </c>
      <c r="F353" s="1">
        <f>IFERROR(INDEX(Database_WQ!$A:$V, MATCH($O353, Database_WQ!$A:$A, 0), 3), "Not Found")</f>
        <v>25.4</v>
      </c>
      <c r="G353" s="1">
        <f>IFERROR(INDEX(Database_WQ!$A:$V, MATCH($O353, Database_WQ!$A:$A, 0), 4), "Not Found")</f>
        <v>5.8</v>
      </c>
      <c r="H353" s="1">
        <f>IFERROR(INDEX(Database_WQ!$A:$V, MATCH($O353, Database_WQ!$A:$A, 0), 6), "Not Found")</f>
        <v>7.96</v>
      </c>
      <c r="I353" s="1">
        <f>IFERROR(INDEX(Database_WQ!$A:$V, MATCH($O353, Database_WQ!$A:$A, 0), 5), "Not Found")</f>
        <v>6.14</v>
      </c>
      <c r="J353" s="1">
        <f>IFERROR(INDEX(Database_WQ!$A:$V, MATCH($O353, Database_WQ!$A:$A, 0), 22), "Not Found")</f>
        <v>76.8</v>
      </c>
      <c r="K353" s="1">
        <f>IFERROR(INDEX(Database_WQ!$A:$V, MATCH($O353, Database_WQ!$A:$A, 0), 9), "Not Found")</f>
        <v>0.9</v>
      </c>
      <c r="L353" s="19" t="s">
        <v>16</v>
      </c>
      <c r="M353" s="1">
        <f>IFERROR(INDEX(Database_WQ!$A:$V, MATCH($O353, Database_WQ!$A:$A, 0), 10), "Not Found")</f>
        <v>1.78</v>
      </c>
      <c r="N353" s="1">
        <f>IFERROR(INDEX(Database_WQ!$A:$V, MATCH($O353, Database_WQ!$A:$A, 0), 11), "Not Found")</f>
        <v>5.17</v>
      </c>
      <c r="O353" t="s">
        <v>455</v>
      </c>
    </row>
    <row r="354" spans="1:15" x14ac:dyDescent="0.25">
      <c r="A354" s="16">
        <v>45601</v>
      </c>
      <c r="B354" t="str">
        <f>VLOOKUP(MID(O354,20,3),Notes!A$1:C$9, 3)</f>
        <v>LX-S</v>
      </c>
      <c r="C354">
        <f>VLOOKUP(MID(O354,20,3),Notes!A$1:C$9,2)</f>
        <v>1</v>
      </c>
      <c r="D354" s="1">
        <f>IFERROR(INDEX(Database_WQ!$A:$V, MATCH($O354, Database_WQ!$A:$A, 0), 21), "Not Found")</f>
        <v>1759</v>
      </c>
      <c r="E354" s="1">
        <f>IFERROR(INDEX(Database_WQ!$A:$V, MATCH($O354, Database_WQ!$A:$A, 0), 7), "Not Found")</f>
        <v>0.75</v>
      </c>
      <c r="F354" s="1">
        <f>IFERROR(INDEX(Database_WQ!$A:$V, MATCH($O354, Database_WQ!$A:$A, 0), 3), "Not Found")</f>
        <v>25.3</v>
      </c>
      <c r="G354" s="1">
        <f>IFERROR(INDEX(Database_WQ!$A:$V, MATCH($O354, Database_WQ!$A:$A, 0), 4), "Not Found")</f>
        <v>14.39</v>
      </c>
      <c r="H354" s="1">
        <f>IFERROR(INDEX(Database_WQ!$A:$V, MATCH($O354, Database_WQ!$A:$A, 0), 6), "Not Found")</f>
        <v>7.67</v>
      </c>
      <c r="I354" s="1">
        <f>IFERROR(INDEX(Database_WQ!$A:$V, MATCH($O354, Database_WQ!$A:$A, 0), 5), "Not Found")</f>
        <v>5.72</v>
      </c>
      <c r="J354" s="1">
        <f>IFERROR(INDEX(Database_WQ!$A:$V, MATCH($O354, Database_WQ!$A:$A, 0), 22), "Not Found")</f>
        <v>75.7</v>
      </c>
      <c r="K354" s="1">
        <f>IFERROR(INDEX(Database_WQ!$A:$V, MATCH($O354, Database_WQ!$A:$A, 0), 9), "Not Found")</f>
        <v>0.75</v>
      </c>
      <c r="L354" s="19" t="s">
        <v>16</v>
      </c>
      <c r="M354" s="1">
        <f>IFERROR(INDEX(Database_WQ!$A:$V, MATCH($O354, Database_WQ!$A:$A, 0), 10), "Not Found")</f>
        <v>11.7</v>
      </c>
      <c r="N354" s="1">
        <f>IFERROR(INDEX(Database_WQ!$A:$V, MATCH($O354, Database_WQ!$A:$A, 0), 11), "Not Found")</f>
        <v>6.97</v>
      </c>
      <c r="O354" t="s">
        <v>456</v>
      </c>
    </row>
    <row r="355" spans="1:15" x14ac:dyDescent="0.25">
      <c r="A355" s="16">
        <v>45601</v>
      </c>
      <c r="B355" t="str">
        <f>VLOOKUP(MID(O355,20,3),Notes!A$1:C$9, 3)</f>
        <v>LX-S</v>
      </c>
      <c r="C355">
        <f>VLOOKUP(MID(O355,20,3),Notes!A$1:C$9,2)</f>
        <v>2</v>
      </c>
      <c r="D355" s="1">
        <f>IFERROR(INDEX(Database_WQ!$A:$V, MATCH($O355, Database_WQ!$A:$A, 0), 21), "Not Found")</f>
        <v>1740</v>
      </c>
      <c r="E355" s="1">
        <f>IFERROR(INDEX(Database_WQ!$A:$V, MATCH($O355, Database_WQ!$A:$A, 0), 7), "Not Found")</f>
        <v>0.8</v>
      </c>
      <c r="F355" s="1">
        <f>IFERROR(INDEX(Database_WQ!$A:$V, MATCH($O355, Database_WQ!$A:$A, 0), 3), "Not Found")</f>
        <v>25.4</v>
      </c>
      <c r="G355" s="1">
        <f>IFERROR(INDEX(Database_WQ!$A:$V, MATCH($O355, Database_WQ!$A:$A, 0), 4), "Not Found")</f>
        <v>11.24</v>
      </c>
      <c r="H355" s="1">
        <f>IFERROR(INDEX(Database_WQ!$A:$V, MATCH($O355, Database_WQ!$A:$A, 0), 6), "Not Found")</f>
        <v>7.84</v>
      </c>
      <c r="I355" s="1">
        <f>IFERROR(INDEX(Database_WQ!$A:$V, MATCH($O355, Database_WQ!$A:$A, 0), 5), "Not Found")</f>
        <v>6.99</v>
      </c>
      <c r="J355" s="1">
        <f>IFERROR(INDEX(Database_WQ!$A:$V, MATCH($O355, Database_WQ!$A:$A, 0), 22), "Not Found")</f>
        <v>90.7</v>
      </c>
      <c r="K355" s="1">
        <f>IFERROR(INDEX(Database_WQ!$A:$V, MATCH($O355, Database_WQ!$A:$A, 0), 9), "Not Found")</f>
        <v>0.8</v>
      </c>
      <c r="L355" s="19" t="s">
        <v>16</v>
      </c>
      <c r="M355" s="1">
        <f>IFERROR(INDEX(Database_WQ!$A:$V, MATCH($O355, Database_WQ!$A:$A, 0), 10), "Not Found")</f>
        <v>1.49</v>
      </c>
      <c r="N355" s="1">
        <f>IFERROR(INDEX(Database_WQ!$A:$V, MATCH($O355, Database_WQ!$A:$A, 0), 11), "Not Found")</f>
        <v>4.82</v>
      </c>
      <c r="O355" t="s">
        <v>457</v>
      </c>
    </row>
    <row r="356" spans="1:15" x14ac:dyDescent="0.25">
      <c r="A356" s="16">
        <v>45601</v>
      </c>
      <c r="B356" t="str">
        <f>VLOOKUP(MID(O356,20,3),Notes!A$1:C$9, 3)</f>
        <v>LX-S</v>
      </c>
      <c r="C356">
        <f>VLOOKUP(MID(O356,20,3),Notes!A$1:C$9,2)</f>
        <v>3</v>
      </c>
      <c r="D356" s="1">
        <f>IFERROR(INDEX(Database_WQ!$A:$V, MATCH($O356, Database_WQ!$A:$A, 0), 21), "Not Found")</f>
        <v>1749</v>
      </c>
      <c r="E356" s="1">
        <f>IFERROR(INDEX(Database_WQ!$A:$V, MATCH($O356, Database_WQ!$A:$A, 0), 7), "Not Found")</f>
        <v>0.7</v>
      </c>
      <c r="F356" s="1">
        <f>IFERROR(INDEX(Database_WQ!$A:$V, MATCH($O356, Database_WQ!$A:$A, 0), 3), "Not Found")</f>
        <v>25.3</v>
      </c>
      <c r="G356" s="1">
        <f>IFERROR(INDEX(Database_WQ!$A:$V, MATCH($O356, Database_WQ!$A:$A, 0), 4), "Not Found")</f>
        <v>12.27</v>
      </c>
      <c r="H356" s="1">
        <f>IFERROR(INDEX(Database_WQ!$A:$V, MATCH($O356, Database_WQ!$A:$A, 0), 6), "Not Found")</f>
        <v>7.86</v>
      </c>
      <c r="I356" s="1">
        <f>IFERROR(INDEX(Database_WQ!$A:$V, MATCH($O356, Database_WQ!$A:$A, 0), 5), "Not Found")</f>
        <v>6.74</v>
      </c>
      <c r="J356" s="1">
        <f>IFERROR(INDEX(Database_WQ!$A:$V, MATCH($O356, Database_WQ!$A:$A, 0), 22), "Not Found")</f>
        <v>87.2</v>
      </c>
      <c r="K356" s="1">
        <f>IFERROR(INDEX(Database_WQ!$A:$V, MATCH($O356, Database_WQ!$A:$A, 0), 9), "Not Found")</f>
        <v>0.7</v>
      </c>
      <c r="L356" s="19" t="s">
        <v>16</v>
      </c>
      <c r="M356" s="1">
        <f>IFERROR(INDEX(Database_WQ!$A:$V, MATCH($O356, Database_WQ!$A:$A, 0), 10), "Not Found")</f>
        <v>2.12</v>
      </c>
      <c r="N356" s="1">
        <f>IFERROR(INDEX(Database_WQ!$A:$V, MATCH($O356, Database_WQ!$A:$A, 0), 11), "Not Found")</f>
        <v>6.71</v>
      </c>
      <c r="O356" t="s">
        <v>458</v>
      </c>
    </row>
    <row r="357" spans="1:15" x14ac:dyDescent="0.25">
      <c r="A357" s="16">
        <v>45630</v>
      </c>
      <c r="B357" t="str">
        <f>VLOOKUP(MID(O357,20,3),Notes!A$1:C$9, 3)</f>
        <v>LX-N</v>
      </c>
      <c r="C357">
        <f>VLOOKUP(MID(O357,20,3),Notes!A$1:C$9,2)</f>
        <v>1</v>
      </c>
      <c r="D357" s="1">
        <f>IFERROR(INDEX(Database_WQ!$A:$V, MATCH($O357, Database_WQ!$A:$A, 0), 21), "Not Found")</f>
        <v>1610</v>
      </c>
      <c r="E357" s="1">
        <f>IFERROR(INDEX(Database_WQ!$A:$V, MATCH($O357, Database_WQ!$A:$A, 0), 7), "Not Found")</f>
        <v>0.7</v>
      </c>
      <c r="F357" s="1">
        <f>IFERROR(INDEX(Database_WQ!$A:$V, MATCH($O357, Database_WQ!$A:$A, 0), 3), "Not Found")</f>
        <v>19.600000000000001</v>
      </c>
      <c r="G357" s="1">
        <f>IFERROR(INDEX(Database_WQ!$A:$V, MATCH($O357, Database_WQ!$A:$A, 0), 4), "Not Found")</f>
        <v>27.77</v>
      </c>
      <c r="H357" s="1">
        <f>IFERROR(INDEX(Database_WQ!$A:$V, MATCH($O357, Database_WQ!$A:$A, 0), 6), "Not Found")</f>
        <v>8.0299999999999994</v>
      </c>
      <c r="I357" s="1">
        <f>IFERROR(INDEX(Database_WQ!$A:$V, MATCH($O357, Database_WQ!$A:$A, 0), 5), "Not Found")</f>
        <v>7.96</v>
      </c>
      <c r="J357" s="1">
        <f>IFERROR(INDEX(Database_WQ!$A:$V, MATCH($O357, Database_WQ!$A:$A, 0), 22), "Not Found")</f>
        <v>102.7</v>
      </c>
      <c r="K357" s="1">
        <f>IFERROR(INDEX(Database_WQ!$A:$V, MATCH($O357, Database_WQ!$A:$A, 0), 9), "Not Found")</f>
        <v>0.7</v>
      </c>
      <c r="L357" s="19" t="s">
        <v>16</v>
      </c>
      <c r="M357" s="1">
        <f>IFERROR(INDEX(Database_WQ!$A:$V, MATCH($O357, Database_WQ!$A:$A, 0), 10), "Not Found")</f>
        <v>2.23</v>
      </c>
      <c r="N357" s="1">
        <f>IFERROR(INDEX(Database_WQ!$A:$V, MATCH($O357, Database_WQ!$A:$A, 0), 11), "Not Found")</f>
        <v>7.73</v>
      </c>
      <c r="O357" t="s">
        <v>459</v>
      </c>
    </row>
    <row r="358" spans="1:15" x14ac:dyDescent="0.25">
      <c r="A358" s="16">
        <v>45630</v>
      </c>
      <c r="B358" t="str">
        <f>VLOOKUP(MID(O358,20,3),Notes!A$1:C$9, 3)</f>
        <v>LX-N</v>
      </c>
      <c r="C358">
        <f>VLOOKUP(MID(O358,20,3),Notes!A$1:C$9,2)</f>
        <v>2</v>
      </c>
      <c r="D358" s="1">
        <f>IFERROR(INDEX(Database_WQ!$A:$V, MATCH($O358, Database_WQ!$A:$A, 0), 21), "Not Found")</f>
        <v>1619</v>
      </c>
      <c r="E358" s="1">
        <f>IFERROR(INDEX(Database_WQ!$A:$V, MATCH($O358, Database_WQ!$A:$A, 0), 7), "Not Found")</f>
        <v>0.7</v>
      </c>
      <c r="F358" s="1">
        <f>IFERROR(INDEX(Database_WQ!$A:$V, MATCH($O358, Database_WQ!$A:$A, 0), 3), "Not Found")</f>
        <v>19.7</v>
      </c>
      <c r="G358" s="1">
        <f>IFERROR(INDEX(Database_WQ!$A:$V, MATCH($O358, Database_WQ!$A:$A, 0), 4), "Not Found")</f>
        <v>27.75</v>
      </c>
      <c r="H358" s="1">
        <f>IFERROR(INDEX(Database_WQ!$A:$V, MATCH($O358, Database_WQ!$A:$A, 0), 6), "Not Found")</f>
        <v>8.01</v>
      </c>
      <c r="I358" s="1">
        <f>IFERROR(INDEX(Database_WQ!$A:$V, MATCH($O358, Database_WQ!$A:$A, 0), 5), "Not Found")</f>
        <v>7.9</v>
      </c>
      <c r="J358" s="1">
        <f>IFERROR(INDEX(Database_WQ!$A:$V, MATCH($O358, Database_WQ!$A:$A, 0), 22), "Not Found")</f>
        <v>101.8</v>
      </c>
      <c r="K358" s="1">
        <f>IFERROR(INDEX(Database_WQ!$A:$V, MATCH($O358, Database_WQ!$A:$A, 0), 9), "Not Found")</f>
        <v>0.7</v>
      </c>
      <c r="L358" s="19" t="s">
        <v>16</v>
      </c>
      <c r="M358" s="1">
        <f>IFERROR(INDEX(Database_WQ!$A:$V, MATCH($O358, Database_WQ!$A:$A, 0), 10), "Not Found")</f>
        <v>1.49</v>
      </c>
      <c r="N358" s="1">
        <f>IFERROR(INDEX(Database_WQ!$A:$V, MATCH($O358, Database_WQ!$A:$A, 0), 11), "Not Found")</f>
        <v>3.39</v>
      </c>
      <c r="O358" t="s">
        <v>460</v>
      </c>
    </row>
    <row r="359" spans="1:15" x14ac:dyDescent="0.25">
      <c r="A359" s="16">
        <v>45630</v>
      </c>
      <c r="B359" t="str">
        <f>VLOOKUP(MID(O359,20,3),Notes!A$1:C$9, 3)</f>
        <v>LX-N</v>
      </c>
      <c r="C359">
        <f>VLOOKUP(MID(O359,20,3),Notes!A$1:C$9,2)</f>
        <v>3</v>
      </c>
      <c r="D359" s="1">
        <f>IFERROR(INDEX(Database_WQ!$A:$V, MATCH($O359, Database_WQ!$A:$A, 0), 21), "Not Found")</f>
        <v>1559</v>
      </c>
      <c r="E359" s="1">
        <f>IFERROR(INDEX(Database_WQ!$A:$V, MATCH($O359, Database_WQ!$A:$A, 0), 7), "Not Found")</f>
        <v>0.6</v>
      </c>
      <c r="F359" s="1">
        <f>IFERROR(INDEX(Database_WQ!$A:$V, MATCH($O359, Database_WQ!$A:$A, 0), 3), "Not Found")</f>
        <v>19.5</v>
      </c>
      <c r="G359" s="1">
        <f>IFERROR(INDEX(Database_WQ!$A:$V, MATCH($O359, Database_WQ!$A:$A, 0), 4), "Not Found")</f>
        <v>23.56</v>
      </c>
      <c r="H359" s="1">
        <f>IFERROR(INDEX(Database_WQ!$A:$V, MATCH($O359, Database_WQ!$A:$A, 0), 6), "Not Found")</f>
        <v>7.94</v>
      </c>
      <c r="I359" s="1">
        <f>IFERROR(INDEX(Database_WQ!$A:$V, MATCH($O359, Database_WQ!$A:$A, 0), 5), "Not Found")</f>
        <v>7.62</v>
      </c>
      <c r="J359" s="1">
        <f>IFERROR(INDEX(Database_WQ!$A:$V, MATCH($O359, Database_WQ!$A:$A, 0), 22), "Not Found")</f>
        <v>95.3</v>
      </c>
      <c r="K359" s="1">
        <f>IFERROR(INDEX(Database_WQ!$A:$V, MATCH($O359, Database_WQ!$A:$A, 0), 9), "Not Found")</f>
        <v>0.6</v>
      </c>
      <c r="L359" s="19" t="s">
        <v>16</v>
      </c>
      <c r="M359" s="1">
        <f>IFERROR(INDEX(Database_WQ!$A:$V, MATCH($O359, Database_WQ!$A:$A, 0), 10), "Not Found")</f>
        <v>2.62</v>
      </c>
      <c r="N359" s="1">
        <f>IFERROR(INDEX(Database_WQ!$A:$V, MATCH($O359, Database_WQ!$A:$A, 0), 11), "Not Found")</f>
        <v>5.14</v>
      </c>
      <c r="O359" t="s">
        <v>461</v>
      </c>
    </row>
    <row r="360" spans="1:15" x14ac:dyDescent="0.25">
      <c r="A360" s="16">
        <v>45630</v>
      </c>
      <c r="B360" t="str">
        <f>VLOOKUP(MID(O360,20,3),Notes!A$1:C$9, 3)</f>
        <v>LX-S</v>
      </c>
      <c r="C360">
        <f>VLOOKUP(MID(O360,20,3),Notes!A$1:C$9,2)</f>
        <v>1</v>
      </c>
      <c r="D360" s="1">
        <f>IFERROR(INDEX(Database_WQ!$A:$V, MATCH($O360, Database_WQ!$A:$A, 0), 21), "Not Found")</f>
        <v>1718</v>
      </c>
      <c r="E360" s="1">
        <f>IFERROR(INDEX(Database_WQ!$A:$V, MATCH($O360, Database_WQ!$A:$A, 0), 7), "Not Found")</f>
        <v>0.5</v>
      </c>
      <c r="F360" s="1">
        <f>IFERROR(INDEX(Database_WQ!$A:$V, MATCH($O360, Database_WQ!$A:$A, 0), 3), "Not Found")</f>
        <v>19.2</v>
      </c>
      <c r="G360" s="1">
        <f>IFERROR(INDEX(Database_WQ!$A:$V, MATCH($O360, Database_WQ!$A:$A, 0), 4), "Not Found")</f>
        <v>29.67</v>
      </c>
      <c r="H360" s="1">
        <f>IFERROR(INDEX(Database_WQ!$A:$V, MATCH($O360, Database_WQ!$A:$A, 0), 6), "Not Found")</f>
        <v>7.99</v>
      </c>
      <c r="I360" s="1">
        <f>IFERROR(INDEX(Database_WQ!$A:$V, MATCH($O360, Database_WQ!$A:$A, 0), 5), "Not Found")</f>
        <v>7.91</v>
      </c>
      <c r="J360" s="1">
        <f>IFERROR(INDEX(Database_WQ!$A:$V, MATCH($O360, Database_WQ!$A:$A, 0), 22), "Not Found")</f>
        <v>102.1</v>
      </c>
      <c r="K360" s="1">
        <f>IFERROR(INDEX(Database_WQ!$A:$V, MATCH($O360, Database_WQ!$A:$A, 0), 9), "Not Found")</f>
        <v>0.5</v>
      </c>
      <c r="L360" s="19" t="s">
        <v>16</v>
      </c>
      <c r="M360" s="1">
        <f>IFERROR(INDEX(Database_WQ!$A:$V, MATCH($O360, Database_WQ!$A:$A, 0), 10), "Not Found")</f>
        <v>4.3099999999999996</v>
      </c>
      <c r="N360" s="1">
        <f>IFERROR(INDEX(Database_WQ!$A:$V, MATCH($O360, Database_WQ!$A:$A, 0), 11), "Not Found")</f>
        <v>6.2</v>
      </c>
      <c r="O360" t="s">
        <v>462</v>
      </c>
    </row>
    <row r="361" spans="1:15" x14ac:dyDescent="0.25">
      <c r="A361" s="16">
        <v>45630</v>
      </c>
      <c r="B361" t="str">
        <f>VLOOKUP(MID(O361,20,3),Notes!A$1:C$9, 3)</f>
        <v>LX-S</v>
      </c>
      <c r="C361">
        <f>VLOOKUP(MID(O361,20,3),Notes!A$1:C$9,2)</f>
        <v>2</v>
      </c>
      <c r="D361" s="1">
        <f>IFERROR(INDEX(Database_WQ!$A:$V, MATCH($O361, Database_WQ!$A:$A, 0), 21), "Not Found")</f>
        <v>1709</v>
      </c>
      <c r="E361" s="1">
        <f>IFERROR(INDEX(Database_WQ!$A:$V, MATCH($O361, Database_WQ!$A:$A, 0), 7), "Not Found")</f>
        <v>0.7</v>
      </c>
      <c r="F361" s="1">
        <f>IFERROR(INDEX(Database_WQ!$A:$V, MATCH($O361, Database_WQ!$A:$A, 0), 3), "Not Found")</f>
        <v>20.2</v>
      </c>
      <c r="G361" s="1">
        <f>IFERROR(INDEX(Database_WQ!$A:$V, MATCH($O361, Database_WQ!$A:$A, 0), 4), "Not Found")</f>
        <v>30.36</v>
      </c>
      <c r="H361" s="1">
        <f>IFERROR(INDEX(Database_WQ!$A:$V, MATCH($O361, Database_WQ!$A:$A, 0), 6), "Not Found")</f>
        <v>7.93</v>
      </c>
      <c r="I361" s="1">
        <f>IFERROR(INDEX(Database_WQ!$A:$V, MATCH($O361, Database_WQ!$A:$A, 0), 5), "Not Found")</f>
        <v>7.88</v>
      </c>
      <c r="J361" s="1">
        <f>IFERROR(INDEX(Database_WQ!$A:$V, MATCH($O361, Database_WQ!$A:$A, 0), 22), "Not Found")</f>
        <v>104.2</v>
      </c>
      <c r="K361" s="1">
        <f>IFERROR(INDEX(Database_WQ!$A:$V, MATCH($O361, Database_WQ!$A:$A, 0), 9), "Not Found")</f>
        <v>0.7</v>
      </c>
      <c r="L361" s="19" t="s">
        <v>16</v>
      </c>
      <c r="M361" s="1">
        <f>IFERROR(INDEX(Database_WQ!$A:$V, MATCH($O361, Database_WQ!$A:$A, 0), 10), "Not Found")</f>
        <v>3.57</v>
      </c>
      <c r="N361" s="1">
        <f>IFERROR(INDEX(Database_WQ!$A:$V, MATCH($O361, Database_WQ!$A:$A, 0), 11), "Not Found")</f>
        <v>4.3499999999999996</v>
      </c>
      <c r="O361" t="s">
        <v>463</v>
      </c>
    </row>
    <row r="362" spans="1:15" x14ac:dyDescent="0.25">
      <c r="A362" s="16">
        <v>45630</v>
      </c>
      <c r="B362" t="str">
        <f>VLOOKUP(MID(O362,20,3),Notes!A$1:C$9, 3)</f>
        <v>LX-S</v>
      </c>
      <c r="C362">
        <f>VLOOKUP(MID(O362,20,3),Notes!A$1:C$9,2)</f>
        <v>3</v>
      </c>
      <c r="D362" s="1">
        <f>IFERROR(INDEX(Database_WQ!$A:$V, MATCH($O362, Database_WQ!$A:$A, 0), 21), "Not Found")</f>
        <v>1729</v>
      </c>
      <c r="E362" s="1">
        <f>IFERROR(INDEX(Database_WQ!$A:$V, MATCH($O362, Database_WQ!$A:$A, 0), 7), "Not Found")</f>
        <v>0.7</v>
      </c>
      <c r="F362" s="1">
        <f>IFERROR(INDEX(Database_WQ!$A:$V, MATCH($O362, Database_WQ!$A:$A, 0), 3), "Not Found")</f>
        <v>19.2</v>
      </c>
      <c r="G362" s="1">
        <f>IFERROR(INDEX(Database_WQ!$A:$V, MATCH($O362, Database_WQ!$A:$A, 0), 4), "Not Found")</f>
        <v>30.05</v>
      </c>
      <c r="H362" s="1">
        <f>IFERROR(INDEX(Database_WQ!$A:$V, MATCH($O362, Database_WQ!$A:$A, 0), 6), "Not Found")</f>
        <v>7.95</v>
      </c>
      <c r="I362" s="1">
        <f>IFERROR(INDEX(Database_WQ!$A:$V, MATCH($O362, Database_WQ!$A:$A, 0), 5), "Not Found")</f>
        <v>7.58</v>
      </c>
      <c r="J362" s="1">
        <f>IFERROR(INDEX(Database_WQ!$A:$V, MATCH($O362, Database_WQ!$A:$A, 0), 22), "Not Found")</f>
        <v>97.9</v>
      </c>
      <c r="K362" s="1">
        <f>IFERROR(INDEX(Database_WQ!$A:$V, MATCH($O362, Database_WQ!$A:$A, 0), 9), "Not Found")</f>
        <v>0.7</v>
      </c>
      <c r="L362" s="19" t="s">
        <v>16</v>
      </c>
      <c r="M362" s="1">
        <f>IFERROR(INDEX(Database_WQ!$A:$V, MATCH($O362, Database_WQ!$A:$A, 0), 10), "Not Found")</f>
        <v>4.2</v>
      </c>
      <c r="N362" s="1">
        <f>IFERROR(INDEX(Database_WQ!$A:$V, MATCH($O362, Database_WQ!$A:$A, 0), 11), "Not Found")</f>
        <v>5.04</v>
      </c>
      <c r="O362" t="s">
        <v>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21DF-84FD-43BD-9BBD-9282D5331C2C}">
  <dimension ref="A1:S354"/>
  <sheetViews>
    <sheetView topLeftCell="A327" workbookViewId="0">
      <selection activeCell="G242" sqref="A242:G354"/>
    </sheetView>
  </sheetViews>
  <sheetFormatPr defaultRowHeight="13.2" x14ac:dyDescent="0.25"/>
  <cols>
    <col min="1" max="1" width="29.33203125" bestFit="1" customWidth="1"/>
    <col min="2" max="2" width="26.33203125" bestFit="1" customWidth="1"/>
    <col min="3" max="3" width="10" bestFit="1" customWidth="1"/>
    <col min="4" max="4" width="10.33203125" bestFit="1" customWidth="1"/>
    <col min="5" max="5" width="9.6640625" bestFit="1" customWidth="1"/>
    <col min="6" max="6" width="10.5546875" bestFit="1" customWidth="1"/>
    <col min="7" max="7" width="14.109375" bestFit="1" customWidth="1"/>
    <col min="8" max="8" width="11.6640625" bestFit="1" customWidth="1"/>
    <col min="10" max="10" width="9.77734375" bestFit="1" customWidth="1"/>
    <col min="11" max="11" width="14.33203125" bestFit="1" customWidth="1"/>
    <col min="12" max="12" width="18.5546875" bestFit="1" customWidth="1"/>
    <col min="13" max="13" width="14.33203125" bestFit="1" customWidth="1"/>
    <col min="14" max="14" width="18.5546875" bestFit="1" customWidth="1"/>
    <col min="15" max="15" width="13.44140625" bestFit="1" customWidth="1"/>
    <col min="16" max="16" width="12.6640625" bestFit="1" customWidth="1"/>
    <col min="17" max="17" width="16.109375" bestFit="1" customWidth="1"/>
    <col min="18" max="18" width="38.5546875" bestFit="1" customWidth="1"/>
    <col min="19" max="19" width="10.6640625" bestFit="1" customWidth="1"/>
  </cols>
  <sheetData>
    <row r="1" spans="1:19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</row>
    <row r="2" spans="1:19" x14ac:dyDescent="0.25">
      <c r="A2" t="s">
        <v>58</v>
      </c>
      <c r="B2" t="s">
        <v>59</v>
      </c>
      <c r="C2">
        <v>66.599999999999994</v>
      </c>
      <c r="D2" t="s">
        <v>60</v>
      </c>
      <c r="E2" t="s">
        <v>60</v>
      </c>
      <c r="F2">
        <v>72.16</v>
      </c>
      <c r="G2">
        <v>55.91</v>
      </c>
      <c r="H2">
        <v>1</v>
      </c>
      <c r="I2">
        <v>2</v>
      </c>
      <c r="J2" t="s">
        <v>61</v>
      </c>
      <c r="K2" s="17">
        <v>45432</v>
      </c>
      <c r="L2" t="s">
        <v>62</v>
      </c>
      <c r="M2" s="17">
        <v>45470</v>
      </c>
      <c r="N2" t="s">
        <v>63</v>
      </c>
      <c r="O2" s="17">
        <v>45601</v>
      </c>
      <c r="P2" t="s">
        <v>63</v>
      </c>
      <c r="Q2" t="s">
        <v>60</v>
      </c>
      <c r="R2" t="s">
        <v>60</v>
      </c>
      <c r="S2" t="s">
        <v>60</v>
      </c>
    </row>
    <row r="3" spans="1:19" x14ac:dyDescent="0.25">
      <c r="A3" t="s">
        <v>64</v>
      </c>
      <c r="B3" t="s">
        <v>59</v>
      </c>
      <c r="C3">
        <v>69.069999999999993</v>
      </c>
      <c r="D3" t="s">
        <v>60</v>
      </c>
      <c r="E3" t="s">
        <v>60</v>
      </c>
      <c r="F3">
        <v>56.97</v>
      </c>
      <c r="G3">
        <v>41.49</v>
      </c>
      <c r="H3">
        <v>0</v>
      </c>
      <c r="I3">
        <v>0.5</v>
      </c>
      <c r="J3" t="s">
        <v>61</v>
      </c>
      <c r="K3" s="17">
        <v>45432</v>
      </c>
      <c r="L3" t="s">
        <v>62</v>
      </c>
      <c r="M3" s="17">
        <v>45470</v>
      </c>
      <c r="N3" t="s">
        <v>63</v>
      </c>
      <c r="O3" s="17">
        <v>45601</v>
      </c>
      <c r="P3" t="s">
        <v>63</v>
      </c>
      <c r="Q3" t="s">
        <v>60</v>
      </c>
      <c r="R3" t="s">
        <v>60</v>
      </c>
      <c r="S3" t="s">
        <v>60</v>
      </c>
    </row>
    <row r="4" spans="1:19" x14ac:dyDescent="0.25">
      <c r="A4" t="s">
        <v>65</v>
      </c>
      <c r="B4" t="s">
        <v>59</v>
      </c>
      <c r="C4">
        <v>59.71</v>
      </c>
      <c r="D4" t="s">
        <v>60</v>
      </c>
      <c r="E4" t="s">
        <v>60</v>
      </c>
      <c r="F4">
        <v>27.76</v>
      </c>
      <c r="G4">
        <v>19.440000000000001</v>
      </c>
      <c r="H4">
        <v>0</v>
      </c>
      <c r="I4">
        <v>0</v>
      </c>
      <c r="J4" t="s">
        <v>61</v>
      </c>
      <c r="K4" s="17">
        <v>45432</v>
      </c>
      <c r="L4" t="s">
        <v>62</v>
      </c>
      <c r="M4" s="17">
        <v>45470</v>
      </c>
      <c r="N4" t="s">
        <v>63</v>
      </c>
      <c r="O4" s="17">
        <v>45601</v>
      </c>
      <c r="P4" t="s">
        <v>63</v>
      </c>
      <c r="Q4" t="s">
        <v>60</v>
      </c>
      <c r="R4" t="s">
        <v>60</v>
      </c>
      <c r="S4" t="s">
        <v>60</v>
      </c>
    </row>
    <row r="5" spans="1:19" x14ac:dyDescent="0.25">
      <c r="A5" t="s">
        <v>66</v>
      </c>
      <c r="B5" t="s">
        <v>59</v>
      </c>
      <c r="C5">
        <v>38.619999999999997</v>
      </c>
      <c r="D5" t="s">
        <v>60</v>
      </c>
      <c r="E5" t="s">
        <v>60</v>
      </c>
      <c r="F5">
        <v>10.88</v>
      </c>
      <c r="G5">
        <v>7.69</v>
      </c>
      <c r="H5">
        <v>0</v>
      </c>
      <c r="I5">
        <v>0</v>
      </c>
      <c r="J5" t="s">
        <v>61</v>
      </c>
      <c r="K5" s="17">
        <v>45432</v>
      </c>
      <c r="L5" t="s">
        <v>62</v>
      </c>
      <c r="M5" s="17">
        <v>45470</v>
      </c>
      <c r="N5" t="s">
        <v>63</v>
      </c>
      <c r="O5" s="17">
        <v>45601</v>
      </c>
      <c r="P5" t="s">
        <v>63</v>
      </c>
      <c r="Q5" t="s">
        <v>60</v>
      </c>
      <c r="R5" t="s">
        <v>60</v>
      </c>
      <c r="S5" t="s">
        <v>60</v>
      </c>
    </row>
    <row r="6" spans="1:19" x14ac:dyDescent="0.25">
      <c r="A6" t="s">
        <v>67</v>
      </c>
      <c r="B6" t="s">
        <v>59</v>
      </c>
      <c r="C6">
        <v>33.44</v>
      </c>
      <c r="D6" t="s">
        <v>60</v>
      </c>
      <c r="E6" t="s">
        <v>60</v>
      </c>
      <c r="F6">
        <v>15.46</v>
      </c>
      <c r="G6">
        <v>11.68</v>
      </c>
      <c r="H6">
        <v>0</v>
      </c>
      <c r="I6">
        <v>0</v>
      </c>
      <c r="J6" t="s">
        <v>61</v>
      </c>
      <c r="K6" s="17">
        <v>45432</v>
      </c>
      <c r="L6" t="s">
        <v>62</v>
      </c>
      <c r="M6" s="17">
        <v>45470</v>
      </c>
      <c r="N6" t="s">
        <v>63</v>
      </c>
      <c r="O6" s="17">
        <v>45601</v>
      </c>
      <c r="P6" t="s">
        <v>63</v>
      </c>
      <c r="Q6" t="s">
        <v>60</v>
      </c>
      <c r="R6" t="s">
        <v>60</v>
      </c>
      <c r="S6" t="s">
        <v>60</v>
      </c>
    </row>
    <row r="7" spans="1:19" x14ac:dyDescent="0.25">
      <c r="A7" t="s">
        <v>68</v>
      </c>
      <c r="B7" t="s">
        <v>69</v>
      </c>
      <c r="C7">
        <v>44.37</v>
      </c>
      <c r="D7" t="s">
        <v>60</v>
      </c>
      <c r="E7" t="s">
        <v>60</v>
      </c>
      <c r="F7">
        <v>24.73</v>
      </c>
      <c r="G7">
        <v>19.63</v>
      </c>
      <c r="H7">
        <v>0</v>
      </c>
      <c r="I7">
        <v>0</v>
      </c>
      <c r="J7" t="s">
        <v>61</v>
      </c>
      <c r="K7" s="17">
        <v>45432</v>
      </c>
      <c r="L7" t="s">
        <v>62</v>
      </c>
      <c r="M7" s="17">
        <v>45470</v>
      </c>
      <c r="N7" t="s">
        <v>63</v>
      </c>
      <c r="O7" s="17">
        <v>45601</v>
      </c>
      <c r="P7" t="s">
        <v>63</v>
      </c>
      <c r="Q7" t="s">
        <v>60</v>
      </c>
      <c r="R7" t="s">
        <v>70</v>
      </c>
      <c r="S7" t="s">
        <v>60</v>
      </c>
    </row>
    <row r="8" spans="1:19" x14ac:dyDescent="0.25">
      <c r="A8" t="s">
        <v>71</v>
      </c>
      <c r="B8" t="s">
        <v>69</v>
      </c>
      <c r="C8">
        <v>47.51</v>
      </c>
      <c r="D8" t="s">
        <v>60</v>
      </c>
      <c r="E8" t="s">
        <v>60</v>
      </c>
      <c r="F8">
        <v>17.5</v>
      </c>
      <c r="G8">
        <v>13.92</v>
      </c>
      <c r="H8">
        <v>0</v>
      </c>
      <c r="I8">
        <v>0</v>
      </c>
      <c r="J8" t="s">
        <v>61</v>
      </c>
      <c r="K8" s="17">
        <v>45432</v>
      </c>
      <c r="L8" t="s">
        <v>62</v>
      </c>
      <c r="M8" s="17">
        <v>45470</v>
      </c>
      <c r="N8" t="s">
        <v>63</v>
      </c>
      <c r="O8" s="17">
        <v>45601</v>
      </c>
      <c r="P8" t="s">
        <v>63</v>
      </c>
      <c r="Q8" t="s">
        <v>60</v>
      </c>
      <c r="R8" t="s">
        <v>60</v>
      </c>
      <c r="S8" t="s">
        <v>60</v>
      </c>
    </row>
    <row r="9" spans="1:19" x14ac:dyDescent="0.25">
      <c r="A9" t="s">
        <v>72</v>
      </c>
      <c r="B9" t="s">
        <v>69</v>
      </c>
      <c r="C9">
        <v>42.9</v>
      </c>
      <c r="D9" t="s">
        <v>60</v>
      </c>
      <c r="E9" t="s">
        <v>60</v>
      </c>
      <c r="F9">
        <v>20.87</v>
      </c>
      <c r="G9">
        <v>17.829999999999998</v>
      </c>
      <c r="H9">
        <v>0</v>
      </c>
      <c r="I9">
        <v>1</v>
      </c>
      <c r="J9" t="s">
        <v>61</v>
      </c>
      <c r="K9" s="17">
        <v>45432</v>
      </c>
      <c r="L9" t="s">
        <v>62</v>
      </c>
      <c r="M9" s="17">
        <v>45470</v>
      </c>
      <c r="N9" t="s">
        <v>63</v>
      </c>
      <c r="O9" s="17">
        <v>45601</v>
      </c>
      <c r="P9" t="s">
        <v>63</v>
      </c>
      <c r="Q9" t="s">
        <v>60</v>
      </c>
      <c r="R9" t="s">
        <v>60</v>
      </c>
      <c r="S9" t="s">
        <v>60</v>
      </c>
    </row>
    <row r="10" spans="1:19" x14ac:dyDescent="0.25">
      <c r="A10" t="s">
        <v>73</v>
      </c>
      <c r="B10" t="s">
        <v>69</v>
      </c>
      <c r="C10">
        <v>63.69</v>
      </c>
      <c r="D10" t="s">
        <v>60</v>
      </c>
      <c r="E10" t="s">
        <v>60</v>
      </c>
      <c r="F10">
        <v>41.53</v>
      </c>
      <c r="G10">
        <v>31.6</v>
      </c>
      <c r="H10">
        <v>0</v>
      </c>
      <c r="I10">
        <v>0</v>
      </c>
      <c r="J10" t="s">
        <v>61</v>
      </c>
      <c r="K10" s="17">
        <v>45432</v>
      </c>
      <c r="L10" t="s">
        <v>62</v>
      </c>
      <c r="M10" s="17">
        <v>45470</v>
      </c>
      <c r="N10" t="s">
        <v>63</v>
      </c>
      <c r="O10" s="17">
        <v>45601</v>
      </c>
      <c r="P10" t="s">
        <v>63</v>
      </c>
      <c r="Q10" t="s">
        <v>60</v>
      </c>
      <c r="R10" t="s">
        <v>74</v>
      </c>
      <c r="S10" t="s">
        <v>60</v>
      </c>
    </row>
    <row r="11" spans="1:19" x14ac:dyDescent="0.25">
      <c r="A11" t="s">
        <v>75</v>
      </c>
      <c r="B11" t="s">
        <v>69</v>
      </c>
      <c r="C11">
        <v>49.96</v>
      </c>
      <c r="D11" t="s">
        <v>60</v>
      </c>
      <c r="E11" t="s">
        <v>60</v>
      </c>
      <c r="F11">
        <v>33.76</v>
      </c>
      <c r="G11">
        <v>29.19</v>
      </c>
      <c r="H11">
        <v>0</v>
      </c>
      <c r="I11">
        <v>0.5</v>
      </c>
      <c r="J11" t="s">
        <v>61</v>
      </c>
      <c r="K11" s="17">
        <v>45432</v>
      </c>
      <c r="L11" t="s">
        <v>62</v>
      </c>
      <c r="M11" s="17">
        <v>45470</v>
      </c>
      <c r="N11" t="s">
        <v>63</v>
      </c>
      <c r="O11" s="17">
        <v>45601</v>
      </c>
      <c r="P11" t="s">
        <v>63</v>
      </c>
      <c r="Q11" t="s">
        <v>60</v>
      </c>
      <c r="R11" t="s">
        <v>76</v>
      </c>
      <c r="S11" t="s">
        <v>60</v>
      </c>
    </row>
    <row r="12" spans="1:19" x14ac:dyDescent="0.25">
      <c r="A12" t="s">
        <v>77</v>
      </c>
      <c r="B12" t="s">
        <v>78</v>
      </c>
      <c r="C12">
        <v>53.12</v>
      </c>
      <c r="D12" t="s">
        <v>60</v>
      </c>
      <c r="E12" t="s">
        <v>60</v>
      </c>
      <c r="F12">
        <v>19.579999999999998</v>
      </c>
      <c r="G12">
        <v>14.88</v>
      </c>
      <c r="H12">
        <v>0</v>
      </c>
      <c r="I12">
        <v>0</v>
      </c>
      <c r="J12" t="s">
        <v>61</v>
      </c>
      <c r="K12" s="17">
        <v>45432</v>
      </c>
      <c r="L12" t="s">
        <v>62</v>
      </c>
      <c r="M12" s="17">
        <v>45470</v>
      </c>
      <c r="N12" t="s">
        <v>63</v>
      </c>
      <c r="O12" s="17">
        <v>45601</v>
      </c>
      <c r="P12" t="s">
        <v>63</v>
      </c>
      <c r="Q12" t="s">
        <v>60</v>
      </c>
      <c r="R12" t="s">
        <v>60</v>
      </c>
      <c r="S12" t="s">
        <v>60</v>
      </c>
    </row>
    <row r="13" spans="1:19" x14ac:dyDescent="0.25">
      <c r="A13" t="s">
        <v>79</v>
      </c>
      <c r="B13" t="s">
        <v>78</v>
      </c>
      <c r="C13">
        <v>50.64</v>
      </c>
      <c r="D13" t="s">
        <v>60</v>
      </c>
      <c r="E13" t="s">
        <v>60</v>
      </c>
      <c r="F13">
        <v>31.18</v>
      </c>
      <c r="G13">
        <v>23.22</v>
      </c>
      <c r="H13">
        <v>0</v>
      </c>
      <c r="I13">
        <v>0.5</v>
      </c>
      <c r="J13" t="s">
        <v>61</v>
      </c>
      <c r="K13" s="17">
        <v>45432</v>
      </c>
      <c r="L13" t="s">
        <v>62</v>
      </c>
      <c r="M13" s="17">
        <v>45470</v>
      </c>
      <c r="N13" t="s">
        <v>63</v>
      </c>
      <c r="O13" s="17">
        <v>45601</v>
      </c>
      <c r="P13" t="s">
        <v>63</v>
      </c>
      <c r="Q13" t="s">
        <v>60</v>
      </c>
      <c r="R13" t="s">
        <v>60</v>
      </c>
      <c r="S13" t="s">
        <v>60</v>
      </c>
    </row>
    <row r="14" spans="1:19" x14ac:dyDescent="0.25">
      <c r="A14" t="s">
        <v>80</v>
      </c>
      <c r="B14" t="s">
        <v>78</v>
      </c>
      <c r="C14">
        <v>48.4</v>
      </c>
      <c r="D14" t="s">
        <v>60</v>
      </c>
      <c r="E14" t="s">
        <v>60</v>
      </c>
      <c r="F14">
        <v>20.37</v>
      </c>
      <c r="G14">
        <v>15.47</v>
      </c>
      <c r="H14">
        <v>0</v>
      </c>
      <c r="I14">
        <v>0</v>
      </c>
      <c r="J14" t="s">
        <v>61</v>
      </c>
      <c r="K14" s="17">
        <v>45432</v>
      </c>
      <c r="L14" t="s">
        <v>62</v>
      </c>
      <c r="M14" s="17">
        <v>45470</v>
      </c>
      <c r="N14" t="s">
        <v>63</v>
      </c>
      <c r="O14" s="17">
        <v>45601</v>
      </c>
      <c r="P14" t="s">
        <v>63</v>
      </c>
      <c r="Q14" t="s">
        <v>60</v>
      </c>
      <c r="R14" t="s">
        <v>60</v>
      </c>
      <c r="S14" t="s">
        <v>60</v>
      </c>
    </row>
    <row r="15" spans="1:19" x14ac:dyDescent="0.25">
      <c r="A15" t="s">
        <v>81</v>
      </c>
      <c r="B15" t="s">
        <v>78</v>
      </c>
      <c r="C15">
        <v>36.880000000000003</v>
      </c>
      <c r="D15" t="s">
        <v>60</v>
      </c>
      <c r="E15" t="s">
        <v>60</v>
      </c>
      <c r="F15">
        <v>14.51</v>
      </c>
      <c r="G15">
        <v>12.43</v>
      </c>
      <c r="H15">
        <v>1</v>
      </c>
      <c r="I15">
        <v>1</v>
      </c>
      <c r="J15" t="s">
        <v>61</v>
      </c>
      <c r="K15" s="17">
        <v>45432</v>
      </c>
      <c r="L15" t="s">
        <v>62</v>
      </c>
      <c r="M15" s="17">
        <v>45470</v>
      </c>
      <c r="N15" t="s">
        <v>63</v>
      </c>
      <c r="O15" s="17">
        <v>45601</v>
      </c>
      <c r="P15" t="s">
        <v>63</v>
      </c>
      <c r="Q15" t="s">
        <v>60</v>
      </c>
      <c r="R15" t="s">
        <v>60</v>
      </c>
      <c r="S15" t="s">
        <v>60</v>
      </c>
    </row>
    <row r="16" spans="1:19" x14ac:dyDescent="0.25">
      <c r="A16" t="s">
        <v>82</v>
      </c>
      <c r="B16" t="s">
        <v>78</v>
      </c>
      <c r="C16">
        <v>50.56</v>
      </c>
      <c r="D16" t="s">
        <v>60</v>
      </c>
      <c r="E16" t="s">
        <v>60</v>
      </c>
      <c r="F16">
        <v>27.73</v>
      </c>
      <c r="G16">
        <v>22.86</v>
      </c>
      <c r="H16">
        <v>0</v>
      </c>
      <c r="I16">
        <v>0</v>
      </c>
      <c r="J16" t="s">
        <v>61</v>
      </c>
      <c r="K16" s="17">
        <v>45432</v>
      </c>
      <c r="L16" t="s">
        <v>62</v>
      </c>
      <c r="M16" s="17">
        <v>45470</v>
      </c>
      <c r="N16" t="s">
        <v>63</v>
      </c>
      <c r="O16" s="17">
        <v>45601</v>
      </c>
      <c r="P16" t="s">
        <v>63</v>
      </c>
      <c r="Q16" t="s">
        <v>60</v>
      </c>
      <c r="R16" t="s">
        <v>60</v>
      </c>
      <c r="S16" t="s">
        <v>60</v>
      </c>
    </row>
    <row r="17" spans="1:19" x14ac:dyDescent="0.25">
      <c r="A17" t="s">
        <v>83</v>
      </c>
      <c r="B17" t="s">
        <v>84</v>
      </c>
      <c r="C17">
        <v>43.56</v>
      </c>
      <c r="D17" t="s">
        <v>60</v>
      </c>
      <c r="E17" t="s">
        <v>60</v>
      </c>
      <c r="F17">
        <v>31.7</v>
      </c>
      <c r="G17">
        <v>23.25</v>
      </c>
      <c r="H17">
        <v>0</v>
      </c>
      <c r="I17">
        <v>0</v>
      </c>
      <c r="J17" t="s">
        <v>61</v>
      </c>
      <c r="K17" s="17">
        <v>45469</v>
      </c>
      <c r="L17" t="s">
        <v>63</v>
      </c>
      <c r="M17" s="17">
        <v>45470</v>
      </c>
      <c r="N17" t="s">
        <v>85</v>
      </c>
      <c r="O17" s="17">
        <v>45511</v>
      </c>
      <c r="P17" t="s">
        <v>63</v>
      </c>
      <c r="Q17" t="s">
        <v>60</v>
      </c>
      <c r="R17" t="s">
        <v>60</v>
      </c>
      <c r="S17" t="s">
        <v>60</v>
      </c>
    </row>
    <row r="18" spans="1:19" x14ac:dyDescent="0.25">
      <c r="A18" t="s">
        <v>86</v>
      </c>
      <c r="B18" t="s">
        <v>84</v>
      </c>
      <c r="C18">
        <v>32.17</v>
      </c>
      <c r="D18" t="s">
        <v>60</v>
      </c>
      <c r="E18" t="s">
        <v>60</v>
      </c>
      <c r="F18">
        <v>9.6</v>
      </c>
      <c r="G18">
        <v>6.89</v>
      </c>
      <c r="H18">
        <v>0</v>
      </c>
      <c r="I18">
        <v>0</v>
      </c>
      <c r="J18" t="s">
        <v>61</v>
      </c>
      <c r="K18" s="17">
        <v>45469</v>
      </c>
      <c r="L18" t="s">
        <v>63</v>
      </c>
      <c r="M18" s="17">
        <v>45470</v>
      </c>
      <c r="N18" t="s">
        <v>85</v>
      </c>
      <c r="O18" s="17">
        <v>45511</v>
      </c>
      <c r="P18" t="s">
        <v>63</v>
      </c>
      <c r="Q18" t="s">
        <v>60</v>
      </c>
      <c r="R18" t="s">
        <v>87</v>
      </c>
      <c r="S18" t="s">
        <v>60</v>
      </c>
    </row>
    <row r="19" spans="1:19" x14ac:dyDescent="0.25">
      <c r="A19" t="s">
        <v>88</v>
      </c>
      <c r="B19" t="s">
        <v>84</v>
      </c>
      <c r="C19">
        <v>36.57</v>
      </c>
      <c r="D19" t="s">
        <v>60</v>
      </c>
      <c r="E19" t="s">
        <v>60</v>
      </c>
      <c r="F19">
        <v>18.86</v>
      </c>
      <c r="G19">
        <v>13.6</v>
      </c>
      <c r="H19">
        <v>0</v>
      </c>
      <c r="I19">
        <v>0</v>
      </c>
      <c r="J19" t="s">
        <v>61</v>
      </c>
      <c r="K19" s="17">
        <v>45469</v>
      </c>
      <c r="L19" t="s">
        <v>63</v>
      </c>
      <c r="M19" s="17">
        <v>45470</v>
      </c>
      <c r="N19" t="s">
        <v>85</v>
      </c>
      <c r="O19" s="17">
        <v>45511</v>
      </c>
      <c r="P19" t="s">
        <v>63</v>
      </c>
      <c r="Q19" t="s">
        <v>60</v>
      </c>
      <c r="R19" t="s">
        <v>60</v>
      </c>
      <c r="S19" t="s">
        <v>60</v>
      </c>
    </row>
    <row r="20" spans="1:19" x14ac:dyDescent="0.25">
      <c r="A20" t="s">
        <v>89</v>
      </c>
      <c r="B20" t="s">
        <v>84</v>
      </c>
      <c r="C20">
        <v>43.82</v>
      </c>
      <c r="D20" t="s">
        <v>60</v>
      </c>
      <c r="E20" t="s">
        <v>60</v>
      </c>
      <c r="F20">
        <v>12.65</v>
      </c>
      <c r="G20">
        <v>8.6</v>
      </c>
      <c r="H20">
        <v>0.5</v>
      </c>
      <c r="I20">
        <v>0</v>
      </c>
      <c r="J20" t="s">
        <v>61</v>
      </c>
      <c r="K20" s="17">
        <v>45469</v>
      </c>
      <c r="L20" t="s">
        <v>63</v>
      </c>
      <c r="M20" s="17">
        <v>45470</v>
      </c>
      <c r="N20" t="s">
        <v>85</v>
      </c>
      <c r="O20" s="17">
        <v>45511</v>
      </c>
      <c r="P20" t="s">
        <v>63</v>
      </c>
      <c r="Q20" t="s">
        <v>60</v>
      </c>
      <c r="R20" t="s">
        <v>60</v>
      </c>
      <c r="S20" t="s">
        <v>60</v>
      </c>
    </row>
    <row r="21" spans="1:19" x14ac:dyDescent="0.25">
      <c r="A21" t="s">
        <v>90</v>
      </c>
      <c r="B21" t="s">
        <v>84</v>
      </c>
      <c r="C21">
        <v>52.81</v>
      </c>
      <c r="D21" t="s">
        <v>60</v>
      </c>
      <c r="E21" t="s">
        <v>60</v>
      </c>
      <c r="F21">
        <v>35.729999999999997</v>
      </c>
      <c r="G21">
        <v>28.23</v>
      </c>
      <c r="H21">
        <v>0.5</v>
      </c>
      <c r="I21">
        <v>0</v>
      </c>
      <c r="J21" t="s">
        <v>61</v>
      </c>
      <c r="K21" s="17">
        <v>45469</v>
      </c>
      <c r="L21" t="s">
        <v>63</v>
      </c>
      <c r="M21" s="17">
        <v>45470</v>
      </c>
      <c r="N21" t="s">
        <v>85</v>
      </c>
      <c r="O21" s="17">
        <v>45511</v>
      </c>
      <c r="P21" t="s">
        <v>63</v>
      </c>
      <c r="Q21" t="s">
        <v>60</v>
      </c>
      <c r="R21" t="s">
        <v>60</v>
      </c>
      <c r="S21" t="s">
        <v>60</v>
      </c>
    </row>
    <row r="22" spans="1:19" x14ac:dyDescent="0.25">
      <c r="A22" t="s">
        <v>91</v>
      </c>
      <c r="B22" t="s">
        <v>92</v>
      </c>
      <c r="C22">
        <v>53.39</v>
      </c>
      <c r="D22" t="s">
        <v>60</v>
      </c>
      <c r="E22" t="s">
        <v>60</v>
      </c>
      <c r="F22">
        <v>19.93</v>
      </c>
      <c r="G22">
        <v>14.31</v>
      </c>
      <c r="H22">
        <v>0</v>
      </c>
      <c r="I22">
        <v>0</v>
      </c>
      <c r="J22" t="s">
        <v>61</v>
      </c>
      <c r="K22" s="17">
        <v>45469</v>
      </c>
      <c r="L22" t="s">
        <v>63</v>
      </c>
      <c r="M22" s="17">
        <v>45470</v>
      </c>
      <c r="N22" t="s">
        <v>85</v>
      </c>
      <c r="O22" s="17">
        <v>45511</v>
      </c>
      <c r="P22" t="s">
        <v>63</v>
      </c>
      <c r="Q22" t="s">
        <v>60</v>
      </c>
      <c r="R22" t="s">
        <v>60</v>
      </c>
      <c r="S22" t="s">
        <v>60</v>
      </c>
    </row>
    <row r="23" spans="1:19" x14ac:dyDescent="0.25">
      <c r="A23" t="s">
        <v>93</v>
      </c>
      <c r="B23" t="s">
        <v>92</v>
      </c>
      <c r="C23">
        <v>51.36</v>
      </c>
      <c r="D23" t="s">
        <v>60</v>
      </c>
      <c r="E23" t="s">
        <v>60</v>
      </c>
      <c r="F23">
        <v>41.81</v>
      </c>
      <c r="G23">
        <v>28.23</v>
      </c>
      <c r="H23">
        <v>0</v>
      </c>
      <c r="I23">
        <v>0.5</v>
      </c>
      <c r="J23" t="s">
        <v>61</v>
      </c>
      <c r="K23" s="17">
        <v>45469</v>
      </c>
      <c r="L23" t="s">
        <v>63</v>
      </c>
      <c r="M23" s="17">
        <v>45470</v>
      </c>
      <c r="N23" t="s">
        <v>85</v>
      </c>
      <c r="O23" s="17">
        <v>45511</v>
      </c>
      <c r="P23" t="s">
        <v>63</v>
      </c>
      <c r="Q23" t="s">
        <v>60</v>
      </c>
      <c r="R23" t="s">
        <v>60</v>
      </c>
      <c r="S23" t="s">
        <v>60</v>
      </c>
    </row>
    <row r="24" spans="1:19" x14ac:dyDescent="0.25">
      <c r="A24" t="s">
        <v>94</v>
      </c>
      <c r="B24" t="s">
        <v>92</v>
      </c>
      <c r="C24">
        <v>49.6</v>
      </c>
      <c r="D24" t="s">
        <v>60</v>
      </c>
      <c r="E24" t="s">
        <v>60</v>
      </c>
      <c r="F24">
        <v>39.04</v>
      </c>
      <c r="G24">
        <v>28.26</v>
      </c>
      <c r="H24">
        <v>0</v>
      </c>
      <c r="I24">
        <v>0</v>
      </c>
      <c r="J24" t="s">
        <v>61</v>
      </c>
      <c r="K24" s="17">
        <v>45469</v>
      </c>
      <c r="L24" t="s">
        <v>63</v>
      </c>
      <c r="M24" s="17">
        <v>45470</v>
      </c>
      <c r="N24" t="s">
        <v>85</v>
      </c>
      <c r="O24" s="17">
        <v>45511</v>
      </c>
      <c r="P24" t="s">
        <v>63</v>
      </c>
      <c r="Q24" t="s">
        <v>60</v>
      </c>
      <c r="R24" t="s">
        <v>95</v>
      </c>
      <c r="S24" t="s">
        <v>60</v>
      </c>
    </row>
    <row r="25" spans="1:19" x14ac:dyDescent="0.25">
      <c r="A25" t="s">
        <v>96</v>
      </c>
      <c r="B25" t="s">
        <v>92</v>
      </c>
      <c r="C25">
        <v>54.95</v>
      </c>
      <c r="D25" t="s">
        <v>60</v>
      </c>
      <c r="E25" t="s">
        <v>60</v>
      </c>
      <c r="F25">
        <v>47.98</v>
      </c>
      <c r="G25">
        <v>34.36</v>
      </c>
      <c r="H25">
        <v>0.5</v>
      </c>
      <c r="I25">
        <v>0</v>
      </c>
      <c r="J25" t="s">
        <v>61</v>
      </c>
      <c r="K25" s="17">
        <v>45469</v>
      </c>
      <c r="L25" t="s">
        <v>63</v>
      </c>
      <c r="M25" s="17">
        <v>45470</v>
      </c>
      <c r="N25" t="s">
        <v>85</v>
      </c>
      <c r="O25" s="17">
        <v>45511</v>
      </c>
      <c r="P25" t="s">
        <v>63</v>
      </c>
      <c r="Q25" t="s">
        <v>60</v>
      </c>
      <c r="R25" t="s">
        <v>60</v>
      </c>
      <c r="S25" t="s">
        <v>60</v>
      </c>
    </row>
    <row r="26" spans="1:19" x14ac:dyDescent="0.25">
      <c r="A26" t="s">
        <v>97</v>
      </c>
      <c r="B26" t="s">
        <v>92</v>
      </c>
      <c r="C26">
        <v>56.46</v>
      </c>
      <c r="D26" t="s">
        <v>60</v>
      </c>
      <c r="E26" t="s">
        <v>60</v>
      </c>
      <c r="F26">
        <v>51.93</v>
      </c>
      <c r="G26">
        <v>41.95</v>
      </c>
      <c r="H26">
        <v>2</v>
      </c>
      <c r="I26">
        <v>2</v>
      </c>
      <c r="J26" t="s">
        <v>61</v>
      </c>
      <c r="K26" s="17">
        <v>45469</v>
      </c>
      <c r="L26" t="s">
        <v>63</v>
      </c>
      <c r="M26" s="17">
        <v>45470</v>
      </c>
      <c r="N26" t="s">
        <v>85</v>
      </c>
      <c r="O26" s="17">
        <v>45511</v>
      </c>
      <c r="P26" t="s">
        <v>63</v>
      </c>
      <c r="Q26" t="s">
        <v>60</v>
      </c>
      <c r="R26" t="s">
        <v>60</v>
      </c>
      <c r="S26" t="s">
        <v>60</v>
      </c>
    </row>
    <row r="27" spans="1:19" x14ac:dyDescent="0.25">
      <c r="A27" t="s">
        <v>98</v>
      </c>
      <c r="B27" t="s">
        <v>99</v>
      </c>
      <c r="C27">
        <v>58.34</v>
      </c>
      <c r="D27" t="s">
        <v>60</v>
      </c>
      <c r="E27" t="s">
        <v>60</v>
      </c>
      <c r="F27">
        <v>32.57</v>
      </c>
      <c r="G27">
        <v>23.81</v>
      </c>
      <c r="H27">
        <v>0</v>
      </c>
      <c r="I27">
        <v>0</v>
      </c>
      <c r="J27" t="s">
        <v>61</v>
      </c>
      <c r="K27" s="17">
        <v>45469</v>
      </c>
      <c r="L27" t="s">
        <v>63</v>
      </c>
      <c r="M27" s="17">
        <v>45470</v>
      </c>
      <c r="N27" t="s">
        <v>85</v>
      </c>
      <c r="O27" s="17">
        <v>45511</v>
      </c>
      <c r="P27" t="s">
        <v>63</v>
      </c>
      <c r="Q27" t="s">
        <v>60</v>
      </c>
      <c r="R27" t="s">
        <v>60</v>
      </c>
      <c r="S27" t="s">
        <v>60</v>
      </c>
    </row>
    <row r="28" spans="1:19" x14ac:dyDescent="0.25">
      <c r="A28" t="s">
        <v>100</v>
      </c>
      <c r="B28" t="s">
        <v>99</v>
      </c>
      <c r="C28">
        <v>46.4</v>
      </c>
      <c r="D28" t="s">
        <v>60</v>
      </c>
      <c r="E28" t="s">
        <v>60</v>
      </c>
      <c r="F28">
        <v>17.72</v>
      </c>
      <c r="G28">
        <v>12.13</v>
      </c>
      <c r="H28">
        <v>0.5</v>
      </c>
      <c r="I28">
        <v>0</v>
      </c>
      <c r="J28" t="s">
        <v>61</v>
      </c>
      <c r="K28" s="17">
        <v>45469</v>
      </c>
      <c r="L28" t="s">
        <v>63</v>
      </c>
      <c r="M28" s="17">
        <v>45470</v>
      </c>
      <c r="N28" t="s">
        <v>85</v>
      </c>
      <c r="O28" s="17">
        <v>45511</v>
      </c>
      <c r="P28" t="s">
        <v>63</v>
      </c>
      <c r="Q28" t="s">
        <v>60</v>
      </c>
      <c r="R28" t="s">
        <v>60</v>
      </c>
      <c r="S28" t="s">
        <v>60</v>
      </c>
    </row>
    <row r="29" spans="1:19" x14ac:dyDescent="0.25">
      <c r="A29" t="s">
        <v>101</v>
      </c>
      <c r="B29" t="s">
        <v>99</v>
      </c>
      <c r="C29">
        <v>52.94</v>
      </c>
      <c r="D29" t="s">
        <v>60</v>
      </c>
      <c r="E29" t="s">
        <v>60</v>
      </c>
      <c r="F29">
        <v>21.42</v>
      </c>
      <c r="G29">
        <v>15.25</v>
      </c>
      <c r="H29">
        <v>0</v>
      </c>
      <c r="I29">
        <v>0</v>
      </c>
      <c r="J29" t="s">
        <v>61</v>
      </c>
      <c r="K29" s="17">
        <v>45469</v>
      </c>
      <c r="L29" t="s">
        <v>63</v>
      </c>
      <c r="M29" s="17">
        <v>45470</v>
      </c>
      <c r="N29" t="s">
        <v>85</v>
      </c>
      <c r="O29" s="17">
        <v>45511</v>
      </c>
      <c r="P29" t="s">
        <v>63</v>
      </c>
      <c r="Q29" t="s">
        <v>60</v>
      </c>
      <c r="R29" t="s">
        <v>60</v>
      </c>
      <c r="S29" t="s">
        <v>60</v>
      </c>
    </row>
    <row r="30" spans="1:19" x14ac:dyDescent="0.25">
      <c r="A30" t="s">
        <v>102</v>
      </c>
      <c r="B30" t="s">
        <v>99</v>
      </c>
      <c r="C30">
        <v>45.4</v>
      </c>
      <c r="D30" t="s">
        <v>60</v>
      </c>
      <c r="E30" t="s">
        <v>60</v>
      </c>
      <c r="F30">
        <v>15.58</v>
      </c>
      <c r="G30">
        <v>12.04</v>
      </c>
      <c r="H30">
        <v>0</v>
      </c>
      <c r="I30">
        <v>0</v>
      </c>
      <c r="J30" t="s">
        <v>61</v>
      </c>
      <c r="K30" s="17">
        <v>45469</v>
      </c>
      <c r="L30" t="s">
        <v>63</v>
      </c>
      <c r="M30" s="17">
        <v>45470</v>
      </c>
      <c r="N30" t="s">
        <v>85</v>
      </c>
      <c r="O30" s="17">
        <v>45511</v>
      </c>
      <c r="P30" t="s">
        <v>63</v>
      </c>
      <c r="Q30" t="s">
        <v>60</v>
      </c>
      <c r="R30" t="s">
        <v>60</v>
      </c>
      <c r="S30" t="s">
        <v>60</v>
      </c>
    </row>
    <row r="31" spans="1:19" x14ac:dyDescent="0.25">
      <c r="A31" t="s">
        <v>103</v>
      </c>
      <c r="B31" t="s">
        <v>99</v>
      </c>
      <c r="C31">
        <v>39.020000000000003</v>
      </c>
      <c r="D31" t="s">
        <v>60</v>
      </c>
      <c r="E31" t="s">
        <v>60</v>
      </c>
      <c r="F31">
        <v>12.14</v>
      </c>
      <c r="G31">
        <v>10.07</v>
      </c>
      <c r="H31">
        <v>0</v>
      </c>
      <c r="I31">
        <v>0</v>
      </c>
      <c r="J31" t="s">
        <v>61</v>
      </c>
      <c r="K31" s="17">
        <v>45469</v>
      </c>
      <c r="L31" t="s">
        <v>63</v>
      </c>
      <c r="M31" s="17">
        <v>45470</v>
      </c>
      <c r="N31" t="s">
        <v>85</v>
      </c>
      <c r="O31" s="17">
        <v>45511</v>
      </c>
      <c r="P31" t="s">
        <v>63</v>
      </c>
      <c r="Q31" t="s">
        <v>60</v>
      </c>
      <c r="R31" t="s">
        <v>60</v>
      </c>
      <c r="S31" t="s">
        <v>60</v>
      </c>
    </row>
    <row r="32" spans="1:19" x14ac:dyDescent="0.25">
      <c r="A32" t="s">
        <v>104</v>
      </c>
      <c r="B32" t="s">
        <v>105</v>
      </c>
      <c r="C32">
        <v>54.3</v>
      </c>
      <c r="D32" t="s">
        <v>60</v>
      </c>
      <c r="E32" t="s">
        <v>60</v>
      </c>
      <c r="F32">
        <v>36.19</v>
      </c>
      <c r="G32">
        <v>26.32</v>
      </c>
      <c r="H32">
        <v>0</v>
      </c>
      <c r="I32">
        <v>0.5</v>
      </c>
      <c r="J32" t="s">
        <v>61</v>
      </c>
      <c r="K32" s="17">
        <v>45497</v>
      </c>
      <c r="L32" t="s">
        <v>63</v>
      </c>
      <c r="M32" s="17">
        <v>45502</v>
      </c>
      <c r="N32" t="s">
        <v>106</v>
      </c>
      <c r="O32" s="17">
        <v>45601</v>
      </c>
      <c r="P32" t="s">
        <v>63</v>
      </c>
      <c r="Q32" t="s">
        <v>60</v>
      </c>
      <c r="R32" t="s">
        <v>60</v>
      </c>
      <c r="S32" t="s">
        <v>60</v>
      </c>
    </row>
    <row r="33" spans="1:19" x14ac:dyDescent="0.25">
      <c r="A33" t="s">
        <v>107</v>
      </c>
      <c r="B33" t="s">
        <v>105</v>
      </c>
      <c r="C33">
        <v>55.01</v>
      </c>
      <c r="D33" t="s">
        <v>60</v>
      </c>
      <c r="E33" t="s">
        <v>60</v>
      </c>
      <c r="F33">
        <v>38.96</v>
      </c>
      <c r="G33">
        <v>28.52</v>
      </c>
      <c r="H33">
        <v>1</v>
      </c>
      <c r="I33">
        <v>0.5</v>
      </c>
      <c r="J33" t="s">
        <v>61</v>
      </c>
      <c r="K33" s="17">
        <v>45497</v>
      </c>
      <c r="L33" t="s">
        <v>63</v>
      </c>
      <c r="M33" s="17">
        <v>45502</v>
      </c>
      <c r="N33" t="s">
        <v>106</v>
      </c>
      <c r="O33" s="17">
        <v>45601</v>
      </c>
      <c r="P33" t="s">
        <v>63</v>
      </c>
      <c r="Q33" t="s">
        <v>60</v>
      </c>
      <c r="R33" t="s">
        <v>60</v>
      </c>
      <c r="S33" t="s">
        <v>60</v>
      </c>
    </row>
    <row r="34" spans="1:19" x14ac:dyDescent="0.25">
      <c r="A34" t="s">
        <v>108</v>
      </c>
      <c r="B34" t="s">
        <v>105</v>
      </c>
      <c r="C34">
        <v>47.13</v>
      </c>
      <c r="D34" t="s">
        <v>60</v>
      </c>
      <c r="E34" t="s">
        <v>60</v>
      </c>
      <c r="F34">
        <v>21.8</v>
      </c>
      <c r="G34">
        <v>16.559999999999999</v>
      </c>
      <c r="H34">
        <v>0</v>
      </c>
      <c r="I34">
        <v>0</v>
      </c>
      <c r="J34" t="s">
        <v>61</v>
      </c>
      <c r="K34" s="17">
        <v>45497</v>
      </c>
      <c r="L34" t="s">
        <v>63</v>
      </c>
      <c r="M34" s="17">
        <v>45502</v>
      </c>
      <c r="N34" t="s">
        <v>106</v>
      </c>
      <c r="O34" s="17">
        <v>45601</v>
      </c>
      <c r="P34" t="s">
        <v>63</v>
      </c>
      <c r="Q34" t="s">
        <v>60</v>
      </c>
      <c r="R34" t="s">
        <v>60</v>
      </c>
      <c r="S34" t="s">
        <v>60</v>
      </c>
    </row>
    <row r="35" spans="1:19" x14ac:dyDescent="0.25">
      <c r="A35" t="s">
        <v>109</v>
      </c>
      <c r="B35" t="s">
        <v>105</v>
      </c>
      <c r="C35">
        <v>46.65</v>
      </c>
      <c r="D35" t="s">
        <v>60</v>
      </c>
      <c r="E35" t="s">
        <v>60</v>
      </c>
      <c r="F35">
        <v>36.04</v>
      </c>
      <c r="G35">
        <v>26.13</v>
      </c>
      <c r="H35">
        <v>0</v>
      </c>
      <c r="I35">
        <v>0.5</v>
      </c>
      <c r="J35" t="s">
        <v>61</v>
      </c>
      <c r="K35" s="17">
        <v>45497</v>
      </c>
      <c r="L35" t="s">
        <v>63</v>
      </c>
      <c r="M35" s="17">
        <v>45502</v>
      </c>
      <c r="N35" t="s">
        <v>106</v>
      </c>
      <c r="O35" s="17">
        <v>45601</v>
      </c>
      <c r="P35" t="s">
        <v>63</v>
      </c>
      <c r="Q35" t="s">
        <v>60</v>
      </c>
      <c r="R35" t="s">
        <v>110</v>
      </c>
      <c r="S35" t="s">
        <v>60</v>
      </c>
    </row>
    <row r="36" spans="1:19" x14ac:dyDescent="0.25">
      <c r="A36" t="s">
        <v>111</v>
      </c>
      <c r="B36" t="s">
        <v>105</v>
      </c>
      <c r="C36">
        <v>51.05</v>
      </c>
      <c r="D36" t="s">
        <v>60</v>
      </c>
      <c r="E36" t="s">
        <v>60</v>
      </c>
      <c r="F36">
        <v>34.32</v>
      </c>
      <c r="G36">
        <v>24.11</v>
      </c>
      <c r="H36">
        <v>0.5</v>
      </c>
      <c r="I36">
        <v>0.5</v>
      </c>
      <c r="J36" t="s">
        <v>61</v>
      </c>
      <c r="K36" s="17">
        <v>45497</v>
      </c>
      <c r="L36" t="s">
        <v>63</v>
      </c>
      <c r="M36" s="17">
        <v>45502</v>
      </c>
      <c r="N36" t="s">
        <v>106</v>
      </c>
      <c r="O36" s="17">
        <v>45601</v>
      </c>
      <c r="P36" t="s">
        <v>63</v>
      </c>
      <c r="Q36" t="s">
        <v>60</v>
      </c>
      <c r="R36" t="s">
        <v>60</v>
      </c>
      <c r="S36" t="s">
        <v>60</v>
      </c>
    </row>
    <row r="37" spans="1:19" x14ac:dyDescent="0.25">
      <c r="A37" t="s">
        <v>112</v>
      </c>
      <c r="B37" t="s">
        <v>113</v>
      </c>
      <c r="C37">
        <v>39.5</v>
      </c>
      <c r="D37" t="s">
        <v>60</v>
      </c>
      <c r="E37" t="s">
        <v>60</v>
      </c>
      <c r="F37">
        <v>20.94</v>
      </c>
      <c r="G37">
        <v>17.05</v>
      </c>
      <c r="H37">
        <v>0</v>
      </c>
      <c r="I37">
        <v>0.5</v>
      </c>
      <c r="J37" t="s">
        <v>61</v>
      </c>
      <c r="K37" s="17">
        <v>45497</v>
      </c>
      <c r="L37" t="s">
        <v>63</v>
      </c>
      <c r="M37" s="17">
        <v>45502</v>
      </c>
      <c r="N37" t="s">
        <v>106</v>
      </c>
      <c r="O37" s="17">
        <v>45601</v>
      </c>
      <c r="P37" t="s">
        <v>63</v>
      </c>
      <c r="Q37" t="s">
        <v>60</v>
      </c>
      <c r="R37" t="s">
        <v>60</v>
      </c>
      <c r="S37" t="s">
        <v>60</v>
      </c>
    </row>
    <row r="38" spans="1:19" x14ac:dyDescent="0.25">
      <c r="A38" t="s">
        <v>114</v>
      </c>
      <c r="B38" t="s">
        <v>113</v>
      </c>
      <c r="C38">
        <v>42.72</v>
      </c>
      <c r="D38" t="s">
        <v>60</v>
      </c>
      <c r="E38" t="s">
        <v>60</v>
      </c>
      <c r="F38">
        <v>22.16</v>
      </c>
      <c r="G38">
        <v>16.579999999999998</v>
      </c>
      <c r="H38">
        <v>0.5</v>
      </c>
      <c r="I38">
        <v>0</v>
      </c>
      <c r="J38" t="s">
        <v>61</v>
      </c>
      <c r="K38" s="17">
        <v>45497</v>
      </c>
      <c r="L38" t="s">
        <v>63</v>
      </c>
      <c r="M38" s="17">
        <v>45502</v>
      </c>
      <c r="N38" t="s">
        <v>106</v>
      </c>
      <c r="O38" s="17">
        <v>45601</v>
      </c>
      <c r="P38" t="s">
        <v>63</v>
      </c>
      <c r="Q38" t="s">
        <v>60</v>
      </c>
      <c r="R38" t="s">
        <v>115</v>
      </c>
      <c r="S38" t="s">
        <v>60</v>
      </c>
    </row>
    <row r="39" spans="1:19" x14ac:dyDescent="0.25">
      <c r="A39" t="s">
        <v>116</v>
      </c>
      <c r="B39" t="s">
        <v>113</v>
      </c>
      <c r="C39">
        <v>40.119999999999997</v>
      </c>
      <c r="D39" t="s">
        <v>60</v>
      </c>
      <c r="E39" t="s">
        <v>60</v>
      </c>
      <c r="F39">
        <v>31.15</v>
      </c>
      <c r="G39">
        <v>24.58</v>
      </c>
      <c r="H39">
        <v>0.5</v>
      </c>
      <c r="I39">
        <v>0</v>
      </c>
      <c r="J39" t="s">
        <v>61</v>
      </c>
      <c r="K39" s="17">
        <v>45497</v>
      </c>
      <c r="L39" t="s">
        <v>63</v>
      </c>
      <c r="M39" s="17">
        <v>45502</v>
      </c>
      <c r="N39" t="s">
        <v>106</v>
      </c>
      <c r="O39" s="17">
        <v>45601</v>
      </c>
      <c r="P39" t="s">
        <v>63</v>
      </c>
      <c r="Q39" t="s">
        <v>60</v>
      </c>
      <c r="R39" t="s">
        <v>60</v>
      </c>
      <c r="S39" t="s">
        <v>60</v>
      </c>
    </row>
    <row r="40" spans="1:19" x14ac:dyDescent="0.25">
      <c r="A40" t="s">
        <v>117</v>
      </c>
      <c r="B40" t="s">
        <v>113</v>
      </c>
      <c r="C40">
        <v>56.3</v>
      </c>
      <c r="D40" t="s">
        <v>60</v>
      </c>
      <c r="E40" t="s">
        <v>60</v>
      </c>
      <c r="F40">
        <v>44.53</v>
      </c>
      <c r="G40">
        <v>33.9</v>
      </c>
      <c r="H40">
        <v>0</v>
      </c>
      <c r="I40">
        <v>0</v>
      </c>
      <c r="J40" t="s">
        <v>61</v>
      </c>
      <c r="K40" s="17">
        <v>45497</v>
      </c>
      <c r="L40" t="s">
        <v>63</v>
      </c>
      <c r="M40" s="17">
        <v>45502</v>
      </c>
      <c r="N40" t="s">
        <v>106</v>
      </c>
      <c r="O40" s="17">
        <v>45601</v>
      </c>
      <c r="P40" t="s">
        <v>63</v>
      </c>
      <c r="Q40" t="s">
        <v>60</v>
      </c>
      <c r="R40" t="s">
        <v>60</v>
      </c>
      <c r="S40" t="s">
        <v>60</v>
      </c>
    </row>
    <row r="41" spans="1:19" x14ac:dyDescent="0.25">
      <c r="A41" t="s">
        <v>118</v>
      </c>
      <c r="B41" t="s">
        <v>113</v>
      </c>
      <c r="C41">
        <v>48.4</v>
      </c>
      <c r="D41" t="s">
        <v>60</v>
      </c>
      <c r="E41" t="s">
        <v>60</v>
      </c>
      <c r="F41">
        <v>25.2</v>
      </c>
      <c r="G41">
        <v>19.02</v>
      </c>
      <c r="H41">
        <v>1</v>
      </c>
      <c r="I41">
        <v>1</v>
      </c>
      <c r="J41" t="s">
        <v>61</v>
      </c>
      <c r="K41" s="17">
        <v>45497</v>
      </c>
      <c r="L41" t="s">
        <v>63</v>
      </c>
      <c r="M41" s="17">
        <v>45502</v>
      </c>
      <c r="N41" t="s">
        <v>106</v>
      </c>
      <c r="O41" s="17">
        <v>45601</v>
      </c>
      <c r="P41" t="s">
        <v>63</v>
      </c>
      <c r="Q41" t="s">
        <v>60</v>
      </c>
      <c r="R41" t="s">
        <v>60</v>
      </c>
      <c r="S41" t="s">
        <v>60</v>
      </c>
    </row>
    <row r="42" spans="1:19" x14ac:dyDescent="0.25">
      <c r="A42" t="s">
        <v>119</v>
      </c>
      <c r="B42" t="s">
        <v>120</v>
      </c>
      <c r="C42">
        <v>44.15</v>
      </c>
      <c r="D42" t="s">
        <v>60</v>
      </c>
      <c r="E42" t="s">
        <v>60</v>
      </c>
      <c r="F42">
        <v>25.8</v>
      </c>
      <c r="G42">
        <v>22.08</v>
      </c>
      <c r="H42">
        <v>0</v>
      </c>
      <c r="I42">
        <v>0.5</v>
      </c>
      <c r="J42" t="s">
        <v>61</v>
      </c>
      <c r="K42" s="17">
        <v>45497</v>
      </c>
      <c r="L42" t="s">
        <v>63</v>
      </c>
      <c r="M42" s="17">
        <v>45502</v>
      </c>
      <c r="N42" t="s">
        <v>106</v>
      </c>
      <c r="O42" s="17">
        <v>45601</v>
      </c>
      <c r="P42" t="s">
        <v>63</v>
      </c>
      <c r="Q42" t="s">
        <v>60</v>
      </c>
      <c r="R42" t="s">
        <v>60</v>
      </c>
      <c r="S42" t="s">
        <v>60</v>
      </c>
    </row>
    <row r="43" spans="1:19" x14ac:dyDescent="0.25">
      <c r="A43" t="s">
        <v>121</v>
      </c>
      <c r="B43" t="s">
        <v>120</v>
      </c>
      <c r="C43">
        <v>38.97</v>
      </c>
      <c r="D43" t="s">
        <v>60</v>
      </c>
      <c r="E43" t="s">
        <v>60</v>
      </c>
      <c r="F43">
        <v>20.37</v>
      </c>
      <c r="G43">
        <v>16.93</v>
      </c>
      <c r="H43">
        <v>0</v>
      </c>
      <c r="I43">
        <v>0</v>
      </c>
      <c r="J43" t="s">
        <v>61</v>
      </c>
      <c r="K43" s="17">
        <v>45497</v>
      </c>
      <c r="L43" t="s">
        <v>63</v>
      </c>
      <c r="M43" s="17">
        <v>45502</v>
      </c>
      <c r="N43" t="s">
        <v>106</v>
      </c>
      <c r="O43" s="17">
        <v>45601</v>
      </c>
      <c r="P43" t="s">
        <v>63</v>
      </c>
      <c r="Q43" t="s">
        <v>60</v>
      </c>
      <c r="R43" t="s">
        <v>60</v>
      </c>
      <c r="S43" t="s">
        <v>60</v>
      </c>
    </row>
    <row r="44" spans="1:19" x14ac:dyDescent="0.25">
      <c r="A44" t="s">
        <v>122</v>
      </c>
      <c r="B44" t="s">
        <v>120</v>
      </c>
      <c r="C44">
        <v>51.32</v>
      </c>
      <c r="D44" t="s">
        <v>60</v>
      </c>
      <c r="E44" t="s">
        <v>60</v>
      </c>
      <c r="F44">
        <v>37.21</v>
      </c>
      <c r="G44">
        <v>29.08</v>
      </c>
      <c r="H44">
        <v>1</v>
      </c>
      <c r="I44">
        <v>0.5</v>
      </c>
      <c r="J44" t="s">
        <v>61</v>
      </c>
      <c r="K44" s="17">
        <v>45497</v>
      </c>
      <c r="L44" t="s">
        <v>63</v>
      </c>
      <c r="M44" s="17">
        <v>45502</v>
      </c>
      <c r="N44" t="s">
        <v>106</v>
      </c>
      <c r="O44" s="17">
        <v>45601</v>
      </c>
      <c r="P44" t="s">
        <v>63</v>
      </c>
      <c r="Q44" t="s">
        <v>60</v>
      </c>
      <c r="R44" t="s">
        <v>60</v>
      </c>
      <c r="S44" t="s">
        <v>60</v>
      </c>
    </row>
    <row r="45" spans="1:19" x14ac:dyDescent="0.25">
      <c r="A45" t="s">
        <v>123</v>
      </c>
      <c r="B45" t="s">
        <v>120</v>
      </c>
      <c r="C45">
        <v>38.69</v>
      </c>
      <c r="D45" t="s">
        <v>60</v>
      </c>
      <c r="E45" t="s">
        <v>60</v>
      </c>
      <c r="F45">
        <v>17.21</v>
      </c>
      <c r="G45">
        <v>13.48</v>
      </c>
      <c r="H45">
        <v>0</v>
      </c>
      <c r="I45">
        <v>0</v>
      </c>
      <c r="J45" t="s">
        <v>61</v>
      </c>
      <c r="K45" s="17">
        <v>45497</v>
      </c>
      <c r="L45" t="s">
        <v>63</v>
      </c>
      <c r="M45" s="17">
        <v>45502</v>
      </c>
      <c r="N45" t="s">
        <v>106</v>
      </c>
      <c r="O45" s="17">
        <v>45601</v>
      </c>
      <c r="P45" t="s">
        <v>63</v>
      </c>
      <c r="Q45" t="s">
        <v>60</v>
      </c>
      <c r="R45" t="s">
        <v>60</v>
      </c>
      <c r="S45" t="s">
        <v>60</v>
      </c>
    </row>
    <row r="46" spans="1:19" x14ac:dyDescent="0.25">
      <c r="A46" t="s">
        <v>124</v>
      </c>
      <c r="B46" t="s">
        <v>120</v>
      </c>
      <c r="C46">
        <v>47.26</v>
      </c>
      <c r="D46" t="s">
        <v>60</v>
      </c>
      <c r="E46" t="s">
        <v>60</v>
      </c>
      <c r="F46">
        <v>20.94</v>
      </c>
      <c r="G46">
        <v>14.43</v>
      </c>
      <c r="H46">
        <v>0</v>
      </c>
      <c r="I46">
        <v>0.5</v>
      </c>
      <c r="J46" t="s">
        <v>61</v>
      </c>
      <c r="K46" s="17">
        <v>45497</v>
      </c>
      <c r="L46" t="s">
        <v>63</v>
      </c>
      <c r="M46" s="17">
        <v>45502</v>
      </c>
      <c r="N46" t="s">
        <v>106</v>
      </c>
      <c r="O46" s="17">
        <v>45601</v>
      </c>
      <c r="P46" t="s">
        <v>63</v>
      </c>
      <c r="Q46" t="s">
        <v>60</v>
      </c>
      <c r="R46" t="s">
        <v>60</v>
      </c>
      <c r="S46" t="s">
        <v>60</v>
      </c>
    </row>
    <row r="47" spans="1:19" x14ac:dyDescent="0.25">
      <c r="A47" t="s">
        <v>125</v>
      </c>
      <c r="B47" t="s">
        <v>126</v>
      </c>
      <c r="C47">
        <v>45.08</v>
      </c>
      <c r="D47" t="s">
        <v>60</v>
      </c>
      <c r="E47" t="s">
        <v>60</v>
      </c>
      <c r="F47">
        <v>42.77</v>
      </c>
      <c r="G47">
        <v>32.96</v>
      </c>
      <c r="H47">
        <v>0</v>
      </c>
      <c r="I47">
        <v>0.5</v>
      </c>
      <c r="J47" t="s">
        <v>61</v>
      </c>
      <c r="K47" s="17">
        <v>45523</v>
      </c>
      <c r="L47" t="s">
        <v>85</v>
      </c>
      <c r="M47" s="17">
        <v>45530</v>
      </c>
      <c r="N47" t="s">
        <v>85</v>
      </c>
      <c r="O47" s="17">
        <v>45601</v>
      </c>
      <c r="P47" t="s">
        <v>63</v>
      </c>
      <c r="Q47" t="s">
        <v>60</v>
      </c>
      <c r="R47" t="s">
        <v>60</v>
      </c>
      <c r="S47" t="s">
        <v>60</v>
      </c>
    </row>
    <row r="48" spans="1:19" x14ac:dyDescent="0.25">
      <c r="A48" t="s">
        <v>127</v>
      </c>
      <c r="B48" t="s">
        <v>126</v>
      </c>
      <c r="C48">
        <v>50.56</v>
      </c>
      <c r="D48" t="s">
        <v>60</v>
      </c>
      <c r="E48" t="s">
        <v>60</v>
      </c>
      <c r="F48">
        <v>27.68</v>
      </c>
      <c r="G48">
        <v>20.96</v>
      </c>
      <c r="H48">
        <v>0</v>
      </c>
      <c r="I48">
        <v>0</v>
      </c>
      <c r="J48" t="s">
        <v>61</v>
      </c>
      <c r="K48" s="17">
        <v>45523</v>
      </c>
      <c r="L48" t="s">
        <v>85</v>
      </c>
      <c r="M48" s="17">
        <v>45530</v>
      </c>
      <c r="N48" t="s">
        <v>85</v>
      </c>
      <c r="O48" s="17">
        <v>45601</v>
      </c>
      <c r="P48" t="s">
        <v>63</v>
      </c>
      <c r="Q48" t="s">
        <v>60</v>
      </c>
      <c r="R48" t="s">
        <v>60</v>
      </c>
      <c r="S48" t="s">
        <v>60</v>
      </c>
    </row>
    <row r="49" spans="1:19" x14ac:dyDescent="0.25">
      <c r="A49" t="s">
        <v>128</v>
      </c>
      <c r="B49" t="s">
        <v>126</v>
      </c>
      <c r="C49">
        <v>51.43</v>
      </c>
      <c r="D49" t="s">
        <v>60</v>
      </c>
      <c r="E49" t="s">
        <v>60</v>
      </c>
      <c r="F49">
        <v>27.5</v>
      </c>
      <c r="G49">
        <v>21.29</v>
      </c>
      <c r="H49">
        <v>0</v>
      </c>
      <c r="I49">
        <v>0</v>
      </c>
      <c r="J49" t="s">
        <v>61</v>
      </c>
      <c r="K49" s="17">
        <v>45523</v>
      </c>
      <c r="L49" t="s">
        <v>85</v>
      </c>
      <c r="M49" s="17">
        <v>45530</v>
      </c>
      <c r="N49" t="s">
        <v>85</v>
      </c>
      <c r="O49" s="17">
        <v>45601</v>
      </c>
      <c r="P49" t="s">
        <v>63</v>
      </c>
      <c r="Q49" t="s">
        <v>60</v>
      </c>
      <c r="R49" t="s">
        <v>60</v>
      </c>
      <c r="S49" t="s">
        <v>60</v>
      </c>
    </row>
    <row r="50" spans="1:19" x14ac:dyDescent="0.25">
      <c r="A50" t="s">
        <v>129</v>
      </c>
      <c r="B50" t="s">
        <v>126</v>
      </c>
      <c r="C50">
        <v>42.02</v>
      </c>
      <c r="D50" t="s">
        <v>60</v>
      </c>
      <c r="E50" t="s">
        <v>60</v>
      </c>
      <c r="F50">
        <v>29.6</v>
      </c>
      <c r="G50">
        <v>22.3</v>
      </c>
      <c r="H50">
        <v>2</v>
      </c>
      <c r="I50">
        <v>2</v>
      </c>
      <c r="J50" t="s">
        <v>61</v>
      </c>
      <c r="K50" s="17">
        <v>45523</v>
      </c>
      <c r="L50" t="s">
        <v>85</v>
      </c>
      <c r="M50" s="17">
        <v>45530</v>
      </c>
      <c r="N50" t="s">
        <v>85</v>
      </c>
      <c r="O50" s="17">
        <v>45601</v>
      </c>
      <c r="P50" t="s">
        <v>63</v>
      </c>
      <c r="Q50" t="s">
        <v>60</v>
      </c>
      <c r="R50" t="s">
        <v>60</v>
      </c>
      <c r="S50" t="s">
        <v>60</v>
      </c>
    </row>
    <row r="51" spans="1:19" x14ac:dyDescent="0.25">
      <c r="A51" t="s">
        <v>130</v>
      </c>
      <c r="B51" t="s">
        <v>126</v>
      </c>
      <c r="C51">
        <v>35.53</v>
      </c>
      <c r="D51" t="s">
        <v>60</v>
      </c>
      <c r="E51" t="s">
        <v>60</v>
      </c>
      <c r="F51">
        <v>23.47</v>
      </c>
      <c r="G51">
        <v>17.989999999999998</v>
      </c>
      <c r="H51">
        <v>0</v>
      </c>
      <c r="I51">
        <v>0</v>
      </c>
      <c r="J51" t="s">
        <v>61</v>
      </c>
      <c r="K51" s="17">
        <v>45523</v>
      </c>
      <c r="L51" t="s">
        <v>85</v>
      </c>
      <c r="M51" s="17">
        <v>45530</v>
      </c>
      <c r="N51" t="s">
        <v>85</v>
      </c>
      <c r="O51" s="17">
        <v>45601</v>
      </c>
      <c r="P51" t="s">
        <v>63</v>
      </c>
      <c r="Q51" t="s">
        <v>60</v>
      </c>
      <c r="R51" t="s">
        <v>131</v>
      </c>
      <c r="S51" t="s">
        <v>60</v>
      </c>
    </row>
    <row r="52" spans="1:19" x14ac:dyDescent="0.25">
      <c r="A52" t="s">
        <v>132</v>
      </c>
      <c r="B52" t="s">
        <v>133</v>
      </c>
      <c r="C52">
        <v>58.48</v>
      </c>
      <c r="D52" t="s">
        <v>60</v>
      </c>
      <c r="E52" t="s">
        <v>60</v>
      </c>
      <c r="F52">
        <v>40.369999999999997</v>
      </c>
      <c r="G52">
        <v>28.62</v>
      </c>
      <c r="H52">
        <v>0</v>
      </c>
      <c r="I52">
        <v>0</v>
      </c>
      <c r="J52" t="s">
        <v>61</v>
      </c>
      <c r="K52" s="17">
        <v>45523</v>
      </c>
      <c r="L52" t="s">
        <v>85</v>
      </c>
      <c r="M52" s="17">
        <v>45530</v>
      </c>
      <c r="N52" t="s">
        <v>85</v>
      </c>
      <c r="O52" s="17">
        <v>45601</v>
      </c>
      <c r="P52" t="s">
        <v>63</v>
      </c>
      <c r="Q52" t="s">
        <v>60</v>
      </c>
      <c r="R52" t="s">
        <v>60</v>
      </c>
      <c r="S52" t="s">
        <v>60</v>
      </c>
    </row>
    <row r="53" spans="1:19" x14ac:dyDescent="0.25">
      <c r="A53" t="s">
        <v>134</v>
      </c>
      <c r="B53" t="s">
        <v>133</v>
      </c>
      <c r="C53">
        <v>53.8</v>
      </c>
      <c r="D53" t="s">
        <v>60</v>
      </c>
      <c r="E53" t="s">
        <v>60</v>
      </c>
      <c r="F53">
        <v>47.81</v>
      </c>
      <c r="G53">
        <v>37.729999999999997</v>
      </c>
      <c r="H53">
        <v>0.5</v>
      </c>
      <c r="I53">
        <v>0</v>
      </c>
      <c r="J53" t="s">
        <v>61</v>
      </c>
      <c r="K53" s="17">
        <v>45523</v>
      </c>
      <c r="L53" t="s">
        <v>85</v>
      </c>
      <c r="M53" s="17">
        <v>45530</v>
      </c>
      <c r="N53" t="s">
        <v>85</v>
      </c>
      <c r="O53" s="17">
        <v>45601</v>
      </c>
      <c r="P53" t="s">
        <v>63</v>
      </c>
      <c r="Q53" t="s">
        <v>60</v>
      </c>
      <c r="R53" t="s">
        <v>60</v>
      </c>
      <c r="S53" t="s">
        <v>60</v>
      </c>
    </row>
    <row r="54" spans="1:19" x14ac:dyDescent="0.25">
      <c r="A54" t="s">
        <v>135</v>
      </c>
      <c r="B54" t="s">
        <v>133</v>
      </c>
      <c r="C54">
        <v>44.84</v>
      </c>
      <c r="D54" t="s">
        <v>60</v>
      </c>
      <c r="E54" t="s">
        <v>60</v>
      </c>
      <c r="F54">
        <v>17.71</v>
      </c>
      <c r="G54">
        <v>12.71</v>
      </c>
      <c r="H54">
        <v>0</v>
      </c>
      <c r="I54">
        <v>0</v>
      </c>
      <c r="J54" t="s">
        <v>61</v>
      </c>
      <c r="K54" s="17">
        <v>45523</v>
      </c>
      <c r="L54" t="s">
        <v>85</v>
      </c>
      <c r="M54" s="17">
        <v>45530</v>
      </c>
      <c r="N54" t="s">
        <v>85</v>
      </c>
      <c r="O54" s="17">
        <v>45601</v>
      </c>
      <c r="P54" t="s">
        <v>63</v>
      </c>
      <c r="Q54" t="s">
        <v>60</v>
      </c>
      <c r="R54" t="s">
        <v>60</v>
      </c>
      <c r="S54" t="s">
        <v>60</v>
      </c>
    </row>
    <row r="55" spans="1:19" x14ac:dyDescent="0.25">
      <c r="A55" t="s">
        <v>136</v>
      </c>
      <c r="B55" t="s">
        <v>133</v>
      </c>
      <c r="C55">
        <v>53.86</v>
      </c>
      <c r="D55" t="s">
        <v>60</v>
      </c>
      <c r="E55" t="s">
        <v>60</v>
      </c>
      <c r="F55">
        <v>46.67</v>
      </c>
      <c r="G55">
        <v>32.68</v>
      </c>
      <c r="H55">
        <v>0.5</v>
      </c>
      <c r="I55">
        <v>0</v>
      </c>
      <c r="J55" t="s">
        <v>61</v>
      </c>
      <c r="K55" s="17">
        <v>45523</v>
      </c>
      <c r="L55" t="s">
        <v>85</v>
      </c>
      <c r="M55" s="17">
        <v>45530</v>
      </c>
      <c r="N55" t="s">
        <v>85</v>
      </c>
      <c r="O55" s="17">
        <v>45601</v>
      </c>
      <c r="P55" t="s">
        <v>63</v>
      </c>
      <c r="Q55" t="s">
        <v>60</v>
      </c>
      <c r="R55" t="s">
        <v>60</v>
      </c>
      <c r="S55" t="s">
        <v>60</v>
      </c>
    </row>
    <row r="56" spans="1:19" x14ac:dyDescent="0.25">
      <c r="A56" t="s">
        <v>137</v>
      </c>
      <c r="B56" t="s">
        <v>133</v>
      </c>
      <c r="C56">
        <v>43.51</v>
      </c>
      <c r="D56" t="s">
        <v>60</v>
      </c>
      <c r="E56" t="s">
        <v>60</v>
      </c>
      <c r="F56">
        <v>23.31</v>
      </c>
      <c r="G56">
        <v>17.14</v>
      </c>
      <c r="H56">
        <v>0</v>
      </c>
      <c r="I56">
        <v>0</v>
      </c>
      <c r="J56" t="s">
        <v>61</v>
      </c>
      <c r="K56" s="17">
        <v>45523</v>
      </c>
      <c r="L56" t="s">
        <v>85</v>
      </c>
      <c r="M56" s="17">
        <v>45530</v>
      </c>
      <c r="N56" t="s">
        <v>85</v>
      </c>
      <c r="O56" s="17">
        <v>45601</v>
      </c>
      <c r="P56" t="s">
        <v>63</v>
      </c>
      <c r="Q56" t="s">
        <v>60</v>
      </c>
      <c r="R56" t="s">
        <v>138</v>
      </c>
      <c r="S56" t="s">
        <v>60</v>
      </c>
    </row>
    <row r="57" spans="1:19" x14ac:dyDescent="0.25">
      <c r="A57" t="s">
        <v>139</v>
      </c>
      <c r="B57" t="s">
        <v>140</v>
      </c>
      <c r="C57">
        <v>66.28</v>
      </c>
      <c r="D57" t="s">
        <v>60</v>
      </c>
      <c r="E57" t="s">
        <v>60</v>
      </c>
      <c r="F57">
        <v>51.67</v>
      </c>
      <c r="G57">
        <v>36.58</v>
      </c>
      <c r="H57">
        <v>0.5</v>
      </c>
      <c r="I57">
        <v>0</v>
      </c>
      <c r="J57" t="s">
        <v>61</v>
      </c>
      <c r="K57" s="17">
        <v>45523</v>
      </c>
      <c r="L57" t="s">
        <v>85</v>
      </c>
      <c r="M57" s="17">
        <v>45530</v>
      </c>
      <c r="N57" t="s">
        <v>85</v>
      </c>
      <c r="O57" s="17">
        <v>45601</v>
      </c>
      <c r="P57" t="s">
        <v>63</v>
      </c>
      <c r="Q57" t="s">
        <v>60</v>
      </c>
      <c r="R57" t="s">
        <v>141</v>
      </c>
      <c r="S57" t="s">
        <v>60</v>
      </c>
    </row>
    <row r="58" spans="1:19" x14ac:dyDescent="0.25">
      <c r="A58" t="s">
        <v>142</v>
      </c>
      <c r="B58" t="s">
        <v>140</v>
      </c>
      <c r="C58">
        <v>37.54</v>
      </c>
      <c r="D58" t="s">
        <v>60</v>
      </c>
      <c r="E58" t="s">
        <v>60</v>
      </c>
      <c r="F58">
        <v>27.24</v>
      </c>
      <c r="G58">
        <v>20.73</v>
      </c>
      <c r="H58">
        <v>0.5</v>
      </c>
      <c r="I58">
        <v>0</v>
      </c>
      <c r="J58" t="s">
        <v>61</v>
      </c>
      <c r="K58" s="17">
        <v>45523</v>
      </c>
      <c r="L58" t="s">
        <v>85</v>
      </c>
      <c r="M58" s="17">
        <v>45530</v>
      </c>
      <c r="N58" t="s">
        <v>85</v>
      </c>
      <c r="O58" s="17">
        <v>45601</v>
      </c>
      <c r="P58" t="s">
        <v>63</v>
      </c>
      <c r="Q58" t="s">
        <v>60</v>
      </c>
      <c r="R58" t="s">
        <v>60</v>
      </c>
      <c r="S58" t="s">
        <v>60</v>
      </c>
    </row>
    <row r="59" spans="1:19" x14ac:dyDescent="0.25">
      <c r="A59" t="s">
        <v>143</v>
      </c>
      <c r="B59" t="s">
        <v>140</v>
      </c>
      <c r="C59">
        <v>36.71</v>
      </c>
      <c r="D59" t="s">
        <v>60</v>
      </c>
      <c r="E59" t="s">
        <v>60</v>
      </c>
      <c r="F59">
        <v>8.4700000000000006</v>
      </c>
      <c r="G59">
        <v>6.15</v>
      </c>
      <c r="H59">
        <v>0</v>
      </c>
      <c r="I59">
        <v>0</v>
      </c>
      <c r="J59" t="s">
        <v>61</v>
      </c>
      <c r="K59" s="17">
        <v>45523</v>
      </c>
      <c r="L59" t="s">
        <v>85</v>
      </c>
      <c r="M59" s="17">
        <v>45530</v>
      </c>
      <c r="N59" t="s">
        <v>85</v>
      </c>
      <c r="O59" s="17">
        <v>45601</v>
      </c>
      <c r="P59" t="s">
        <v>63</v>
      </c>
      <c r="Q59" t="s">
        <v>60</v>
      </c>
      <c r="R59" t="s">
        <v>144</v>
      </c>
      <c r="S59" t="s">
        <v>60</v>
      </c>
    </row>
    <row r="60" spans="1:19" x14ac:dyDescent="0.25">
      <c r="A60" t="s">
        <v>145</v>
      </c>
      <c r="B60" t="s">
        <v>140</v>
      </c>
      <c r="C60">
        <v>44.38</v>
      </c>
      <c r="D60" t="s">
        <v>60</v>
      </c>
      <c r="E60" t="s">
        <v>60</v>
      </c>
      <c r="F60">
        <v>30.94</v>
      </c>
      <c r="G60">
        <v>24.53</v>
      </c>
      <c r="H60">
        <v>0.5</v>
      </c>
      <c r="I60">
        <v>0</v>
      </c>
      <c r="J60" t="s">
        <v>61</v>
      </c>
      <c r="K60" s="17">
        <v>45523</v>
      </c>
      <c r="L60" t="s">
        <v>85</v>
      </c>
      <c r="M60" s="17">
        <v>45530</v>
      </c>
      <c r="N60" t="s">
        <v>85</v>
      </c>
      <c r="O60" s="17">
        <v>45601</v>
      </c>
      <c r="P60" t="s">
        <v>63</v>
      </c>
      <c r="Q60" t="s">
        <v>60</v>
      </c>
      <c r="R60" t="s">
        <v>60</v>
      </c>
      <c r="S60" t="s">
        <v>60</v>
      </c>
    </row>
    <row r="61" spans="1:19" x14ac:dyDescent="0.25">
      <c r="A61" t="s">
        <v>146</v>
      </c>
      <c r="B61" t="s">
        <v>140</v>
      </c>
      <c r="C61">
        <v>33.25</v>
      </c>
      <c r="D61" t="s">
        <v>60</v>
      </c>
      <c r="E61" t="s">
        <v>60</v>
      </c>
      <c r="F61">
        <v>24.53</v>
      </c>
      <c r="G61">
        <v>18.190000000000001</v>
      </c>
      <c r="H61">
        <v>0</v>
      </c>
      <c r="I61">
        <v>0</v>
      </c>
      <c r="J61" t="s">
        <v>61</v>
      </c>
      <c r="K61" s="17">
        <v>45523</v>
      </c>
      <c r="L61" t="s">
        <v>85</v>
      </c>
      <c r="M61" s="17">
        <v>45530</v>
      </c>
      <c r="N61" t="s">
        <v>85</v>
      </c>
      <c r="O61" s="17">
        <v>45601</v>
      </c>
      <c r="P61" t="s">
        <v>63</v>
      </c>
      <c r="Q61" t="s">
        <v>60</v>
      </c>
      <c r="R61" t="s">
        <v>60</v>
      </c>
      <c r="S61" t="s">
        <v>60</v>
      </c>
    </row>
    <row r="62" spans="1:19" x14ac:dyDescent="0.25">
      <c r="A62" t="s">
        <v>147</v>
      </c>
      <c r="B62" t="s">
        <v>148</v>
      </c>
      <c r="C62">
        <v>56.59</v>
      </c>
      <c r="D62" t="s">
        <v>60</v>
      </c>
      <c r="E62" t="s">
        <v>60</v>
      </c>
      <c r="F62">
        <v>50.8</v>
      </c>
      <c r="G62">
        <v>40.08</v>
      </c>
      <c r="H62">
        <v>0</v>
      </c>
      <c r="I62">
        <v>0</v>
      </c>
      <c r="J62" t="s">
        <v>61</v>
      </c>
      <c r="K62" s="17">
        <v>45558</v>
      </c>
      <c r="L62" t="s">
        <v>149</v>
      </c>
      <c r="M62" s="17">
        <v>45559</v>
      </c>
      <c r="N62" t="s">
        <v>106</v>
      </c>
      <c r="O62" s="17">
        <v>45601</v>
      </c>
      <c r="P62" t="s">
        <v>63</v>
      </c>
      <c r="Q62" t="s">
        <v>60</v>
      </c>
      <c r="R62" t="s">
        <v>150</v>
      </c>
      <c r="S62" t="s">
        <v>60</v>
      </c>
    </row>
    <row r="63" spans="1:19" x14ac:dyDescent="0.25">
      <c r="A63" t="s">
        <v>151</v>
      </c>
      <c r="B63" t="s">
        <v>148</v>
      </c>
      <c r="C63">
        <v>49.83</v>
      </c>
      <c r="D63" t="s">
        <v>60</v>
      </c>
      <c r="E63" t="s">
        <v>60</v>
      </c>
      <c r="F63">
        <v>32.369999999999997</v>
      </c>
      <c r="G63">
        <v>24.14</v>
      </c>
      <c r="H63">
        <v>0</v>
      </c>
      <c r="I63">
        <v>0</v>
      </c>
      <c r="J63" t="s">
        <v>61</v>
      </c>
      <c r="K63" s="17">
        <v>45558</v>
      </c>
      <c r="L63" t="s">
        <v>149</v>
      </c>
      <c r="M63" s="17">
        <v>45559</v>
      </c>
      <c r="N63" t="s">
        <v>106</v>
      </c>
      <c r="O63" s="17">
        <v>45601</v>
      </c>
      <c r="P63" t="s">
        <v>63</v>
      </c>
      <c r="Q63" t="s">
        <v>60</v>
      </c>
      <c r="R63" t="s">
        <v>152</v>
      </c>
      <c r="S63" t="s">
        <v>60</v>
      </c>
    </row>
    <row r="64" spans="1:19" x14ac:dyDescent="0.25">
      <c r="A64" t="s">
        <v>153</v>
      </c>
      <c r="B64" t="s">
        <v>148</v>
      </c>
      <c r="C64">
        <v>35</v>
      </c>
      <c r="D64" t="s">
        <v>60</v>
      </c>
      <c r="E64" t="s">
        <v>60</v>
      </c>
      <c r="F64">
        <v>21.45</v>
      </c>
      <c r="G64">
        <v>14.35</v>
      </c>
      <c r="H64">
        <v>0</v>
      </c>
      <c r="I64">
        <v>0</v>
      </c>
      <c r="J64" t="s">
        <v>61</v>
      </c>
      <c r="K64" s="17">
        <v>45558</v>
      </c>
      <c r="L64" t="s">
        <v>149</v>
      </c>
      <c r="M64" s="17">
        <v>45559</v>
      </c>
      <c r="N64" t="s">
        <v>106</v>
      </c>
      <c r="O64" s="17">
        <v>45601</v>
      </c>
      <c r="P64" t="s">
        <v>63</v>
      </c>
      <c r="Q64" t="s">
        <v>60</v>
      </c>
      <c r="R64" t="s">
        <v>60</v>
      </c>
      <c r="S64" t="s">
        <v>60</v>
      </c>
    </row>
    <row r="65" spans="1:19" x14ac:dyDescent="0.25">
      <c r="A65" t="s">
        <v>154</v>
      </c>
      <c r="B65" t="s">
        <v>148</v>
      </c>
      <c r="C65">
        <v>37.5</v>
      </c>
      <c r="D65" t="s">
        <v>60</v>
      </c>
      <c r="E65" t="s">
        <v>60</v>
      </c>
      <c r="F65">
        <v>19.84</v>
      </c>
      <c r="G65">
        <v>14.99</v>
      </c>
      <c r="H65">
        <v>0</v>
      </c>
      <c r="I65">
        <v>0</v>
      </c>
      <c r="J65" t="s">
        <v>61</v>
      </c>
      <c r="K65" s="17">
        <v>45558</v>
      </c>
      <c r="L65" t="s">
        <v>149</v>
      </c>
      <c r="M65" s="17">
        <v>45559</v>
      </c>
      <c r="N65" t="s">
        <v>106</v>
      </c>
      <c r="O65" s="17">
        <v>45601</v>
      </c>
      <c r="P65" t="s">
        <v>63</v>
      </c>
      <c r="Q65" t="s">
        <v>60</v>
      </c>
      <c r="R65" t="s">
        <v>60</v>
      </c>
      <c r="S65" t="s">
        <v>60</v>
      </c>
    </row>
    <row r="66" spans="1:19" x14ac:dyDescent="0.25">
      <c r="A66" t="s">
        <v>155</v>
      </c>
      <c r="B66" t="s">
        <v>148</v>
      </c>
      <c r="C66">
        <v>37.340000000000003</v>
      </c>
      <c r="D66" t="s">
        <v>60</v>
      </c>
      <c r="E66" t="s">
        <v>60</v>
      </c>
      <c r="F66">
        <v>18.37</v>
      </c>
      <c r="G66">
        <v>12.68</v>
      </c>
      <c r="H66">
        <v>0</v>
      </c>
      <c r="I66">
        <v>0</v>
      </c>
      <c r="J66" t="s">
        <v>61</v>
      </c>
      <c r="K66" s="17">
        <v>45558</v>
      </c>
      <c r="L66" t="s">
        <v>149</v>
      </c>
      <c r="M66" s="17">
        <v>45559</v>
      </c>
      <c r="N66" t="s">
        <v>106</v>
      </c>
      <c r="O66" s="17">
        <v>45601</v>
      </c>
      <c r="P66" t="s">
        <v>63</v>
      </c>
      <c r="Q66" t="s">
        <v>60</v>
      </c>
      <c r="R66" t="s">
        <v>60</v>
      </c>
      <c r="S66" t="s">
        <v>60</v>
      </c>
    </row>
    <row r="67" spans="1:19" x14ac:dyDescent="0.25">
      <c r="A67" t="s">
        <v>156</v>
      </c>
      <c r="B67" t="s">
        <v>157</v>
      </c>
      <c r="C67">
        <v>71.209999999999994</v>
      </c>
      <c r="D67" t="s">
        <v>60</v>
      </c>
      <c r="E67" t="s">
        <v>60</v>
      </c>
      <c r="F67">
        <v>71.680000000000007</v>
      </c>
      <c r="G67">
        <v>53.5</v>
      </c>
      <c r="H67">
        <v>0</v>
      </c>
      <c r="I67">
        <v>0</v>
      </c>
      <c r="J67" t="s">
        <v>61</v>
      </c>
      <c r="K67" s="17">
        <v>45558</v>
      </c>
      <c r="L67" t="s">
        <v>149</v>
      </c>
      <c r="M67" s="17">
        <v>45559</v>
      </c>
      <c r="N67" t="s">
        <v>106</v>
      </c>
      <c r="O67" s="17">
        <v>45601</v>
      </c>
      <c r="P67" t="s">
        <v>63</v>
      </c>
      <c r="Q67" t="s">
        <v>60</v>
      </c>
      <c r="R67" t="s">
        <v>158</v>
      </c>
      <c r="S67" t="s">
        <v>60</v>
      </c>
    </row>
    <row r="68" spans="1:19" x14ac:dyDescent="0.25">
      <c r="A68" t="s">
        <v>159</v>
      </c>
      <c r="B68" t="s">
        <v>157</v>
      </c>
      <c r="C68">
        <v>53.56</v>
      </c>
      <c r="D68" t="s">
        <v>60</v>
      </c>
      <c r="E68" t="s">
        <v>60</v>
      </c>
      <c r="F68">
        <v>34.51</v>
      </c>
      <c r="G68">
        <v>26.43</v>
      </c>
      <c r="H68">
        <v>0</v>
      </c>
      <c r="I68">
        <v>0</v>
      </c>
      <c r="J68" t="s">
        <v>61</v>
      </c>
      <c r="K68" s="17">
        <v>45558</v>
      </c>
      <c r="L68" t="s">
        <v>149</v>
      </c>
      <c r="M68" s="17">
        <v>45559</v>
      </c>
      <c r="N68" t="s">
        <v>106</v>
      </c>
      <c r="O68" s="17">
        <v>45601</v>
      </c>
      <c r="P68" t="s">
        <v>63</v>
      </c>
      <c r="Q68" t="s">
        <v>60</v>
      </c>
      <c r="R68" t="s">
        <v>60</v>
      </c>
      <c r="S68" t="s">
        <v>60</v>
      </c>
    </row>
    <row r="69" spans="1:19" x14ac:dyDescent="0.25">
      <c r="A69" t="s">
        <v>160</v>
      </c>
      <c r="B69" t="s">
        <v>157</v>
      </c>
      <c r="C69">
        <v>71.599999999999994</v>
      </c>
      <c r="D69" t="s">
        <v>60</v>
      </c>
      <c r="E69" t="s">
        <v>60</v>
      </c>
      <c r="F69">
        <v>117.78</v>
      </c>
      <c r="G69">
        <v>89.34</v>
      </c>
      <c r="H69">
        <v>1</v>
      </c>
      <c r="I69">
        <v>0.5</v>
      </c>
      <c r="J69" t="s">
        <v>61</v>
      </c>
      <c r="K69" s="17">
        <v>45558</v>
      </c>
      <c r="L69" t="s">
        <v>149</v>
      </c>
      <c r="M69" s="17">
        <v>45559</v>
      </c>
      <c r="N69" t="s">
        <v>106</v>
      </c>
      <c r="O69" s="17">
        <v>45601</v>
      </c>
      <c r="P69" t="s">
        <v>63</v>
      </c>
      <c r="Q69" t="s">
        <v>60</v>
      </c>
      <c r="R69" t="s">
        <v>60</v>
      </c>
      <c r="S69" t="s">
        <v>60</v>
      </c>
    </row>
    <row r="70" spans="1:19" x14ac:dyDescent="0.25">
      <c r="A70" t="s">
        <v>161</v>
      </c>
      <c r="B70" t="s">
        <v>157</v>
      </c>
      <c r="C70">
        <v>58.29</v>
      </c>
      <c r="D70" t="s">
        <v>60</v>
      </c>
      <c r="E70" t="s">
        <v>60</v>
      </c>
      <c r="F70">
        <v>62.32</v>
      </c>
      <c r="G70">
        <v>46.87</v>
      </c>
      <c r="H70">
        <v>0</v>
      </c>
      <c r="I70">
        <v>0</v>
      </c>
      <c r="J70" t="s">
        <v>61</v>
      </c>
      <c r="K70" s="17">
        <v>45558</v>
      </c>
      <c r="L70" t="s">
        <v>149</v>
      </c>
      <c r="M70" s="17">
        <v>45559</v>
      </c>
      <c r="N70" t="s">
        <v>106</v>
      </c>
      <c r="O70" s="17">
        <v>45601</v>
      </c>
      <c r="P70" t="s">
        <v>63</v>
      </c>
      <c r="Q70" t="s">
        <v>60</v>
      </c>
      <c r="R70" t="s">
        <v>60</v>
      </c>
      <c r="S70" t="s">
        <v>60</v>
      </c>
    </row>
    <row r="71" spans="1:19" x14ac:dyDescent="0.25">
      <c r="A71" t="s">
        <v>162</v>
      </c>
      <c r="B71" t="s">
        <v>157</v>
      </c>
      <c r="C71">
        <v>48.09</v>
      </c>
      <c r="D71" t="s">
        <v>60</v>
      </c>
      <c r="E71" t="s">
        <v>60</v>
      </c>
      <c r="F71">
        <v>48.65</v>
      </c>
      <c r="G71">
        <v>35.94</v>
      </c>
      <c r="H71">
        <v>0</v>
      </c>
      <c r="I71">
        <v>0</v>
      </c>
      <c r="J71" t="s">
        <v>61</v>
      </c>
      <c r="K71" s="17">
        <v>45558</v>
      </c>
      <c r="L71" t="s">
        <v>149</v>
      </c>
      <c r="M71" s="17">
        <v>45559</v>
      </c>
      <c r="N71" t="s">
        <v>106</v>
      </c>
      <c r="O71" s="17">
        <v>45601</v>
      </c>
      <c r="P71" t="s">
        <v>63</v>
      </c>
      <c r="Q71" t="s">
        <v>60</v>
      </c>
      <c r="R71" t="s">
        <v>60</v>
      </c>
      <c r="S71" t="s">
        <v>60</v>
      </c>
    </row>
    <row r="72" spans="1:19" x14ac:dyDescent="0.25">
      <c r="A72" t="s">
        <v>163</v>
      </c>
      <c r="B72" t="s">
        <v>164</v>
      </c>
      <c r="C72">
        <v>50.47</v>
      </c>
      <c r="D72" t="s">
        <v>60</v>
      </c>
      <c r="E72" t="s">
        <v>60</v>
      </c>
      <c r="F72">
        <v>42.95</v>
      </c>
      <c r="G72">
        <v>32.74</v>
      </c>
      <c r="H72">
        <v>0.5</v>
      </c>
      <c r="I72">
        <v>0</v>
      </c>
      <c r="J72" t="s">
        <v>61</v>
      </c>
      <c r="K72" s="17">
        <v>45558</v>
      </c>
      <c r="L72" t="s">
        <v>149</v>
      </c>
      <c r="M72" s="17">
        <v>45559</v>
      </c>
      <c r="N72" t="s">
        <v>106</v>
      </c>
      <c r="O72" s="17">
        <v>45601</v>
      </c>
      <c r="P72" t="s">
        <v>63</v>
      </c>
      <c r="Q72" t="s">
        <v>60</v>
      </c>
      <c r="R72" t="s">
        <v>60</v>
      </c>
      <c r="S72" t="s">
        <v>60</v>
      </c>
    </row>
    <row r="73" spans="1:19" x14ac:dyDescent="0.25">
      <c r="A73" t="s">
        <v>165</v>
      </c>
      <c r="B73" t="s">
        <v>164</v>
      </c>
      <c r="C73">
        <v>53.47</v>
      </c>
      <c r="D73" t="s">
        <v>60</v>
      </c>
      <c r="E73" t="s">
        <v>60</v>
      </c>
      <c r="F73">
        <v>38.61</v>
      </c>
      <c r="G73">
        <v>31.54</v>
      </c>
      <c r="H73">
        <v>0.5</v>
      </c>
      <c r="I73">
        <v>0</v>
      </c>
      <c r="J73" t="s">
        <v>61</v>
      </c>
      <c r="K73" s="17">
        <v>45558</v>
      </c>
      <c r="L73" t="s">
        <v>149</v>
      </c>
      <c r="M73" s="17">
        <v>45559</v>
      </c>
      <c r="N73" t="s">
        <v>106</v>
      </c>
      <c r="O73" s="17">
        <v>45601</v>
      </c>
      <c r="P73" t="s">
        <v>63</v>
      </c>
      <c r="Q73" t="s">
        <v>60</v>
      </c>
      <c r="R73" t="s">
        <v>166</v>
      </c>
      <c r="S73" t="s">
        <v>60</v>
      </c>
    </row>
    <row r="74" spans="1:19" x14ac:dyDescent="0.25">
      <c r="A74" t="s">
        <v>167</v>
      </c>
      <c r="B74" t="s">
        <v>164</v>
      </c>
      <c r="C74">
        <v>53.94</v>
      </c>
      <c r="D74" t="s">
        <v>60</v>
      </c>
      <c r="E74" t="s">
        <v>60</v>
      </c>
      <c r="F74">
        <v>20.88</v>
      </c>
      <c r="G74">
        <v>15.34</v>
      </c>
      <c r="H74">
        <v>0</v>
      </c>
      <c r="I74">
        <v>0</v>
      </c>
      <c r="J74" t="s">
        <v>61</v>
      </c>
      <c r="K74" s="17">
        <v>45558</v>
      </c>
      <c r="L74" t="s">
        <v>149</v>
      </c>
      <c r="M74" s="17">
        <v>45559</v>
      </c>
      <c r="N74" t="s">
        <v>106</v>
      </c>
      <c r="O74" s="17">
        <v>45601</v>
      </c>
      <c r="P74" t="s">
        <v>63</v>
      </c>
      <c r="Q74" t="s">
        <v>60</v>
      </c>
      <c r="R74" t="s">
        <v>60</v>
      </c>
      <c r="S74" t="s">
        <v>60</v>
      </c>
    </row>
    <row r="75" spans="1:19" x14ac:dyDescent="0.25">
      <c r="A75" t="s">
        <v>168</v>
      </c>
      <c r="B75" t="s">
        <v>164</v>
      </c>
      <c r="C75">
        <v>56.72</v>
      </c>
      <c r="D75" t="s">
        <v>60</v>
      </c>
      <c r="E75" t="s">
        <v>60</v>
      </c>
      <c r="F75">
        <v>30.89</v>
      </c>
      <c r="G75">
        <v>21.29</v>
      </c>
      <c r="H75">
        <v>0</v>
      </c>
      <c r="I75">
        <v>0</v>
      </c>
      <c r="J75" t="s">
        <v>61</v>
      </c>
      <c r="K75" s="17">
        <v>45558</v>
      </c>
      <c r="L75" t="s">
        <v>149</v>
      </c>
      <c r="M75" s="17">
        <v>45559</v>
      </c>
      <c r="N75" t="s">
        <v>106</v>
      </c>
      <c r="O75" s="17">
        <v>45601</v>
      </c>
      <c r="P75" t="s">
        <v>63</v>
      </c>
      <c r="Q75" t="s">
        <v>60</v>
      </c>
      <c r="R75" t="s">
        <v>60</v>
      </c>
      <c r="S75" t="s">
        <v>60</v>
      </c>
    </row>
    <row r="76" spans="1:19" x14ac:dyDescent="0.25">
      <c r="A76" t="s">
        <v>169</v>
      </c>
      <c r="B76" t="s">
        <v>164</v>
      </c>
      <c r="C76">
        <v>39.909999999999997</v>
      </c>
      <c r="D76" t="s">
        <v>60</v>
      </c>
      <c r="E76" t="s">
        <v>60</v>
      </c>
      <c r="F76">
        <v>20.94</v>
      </c>
      <c r="G76">
        <v>16.61</v>
      </c>
      <c r="H76">
        <v>0</v>
      </c>
      <c r="I76">
        <v>0</v>
      </c>
      <c r="J76" t="s">
        <v>61</v>
      </c>
      <c r="K76" s="17">
        <v>45558</v>
      </c>
      <c r="L76" t="s">
        <v>149</v>
      </c>
      <c r="M76" s="17">
        <v>45559</v>
      </c>
      <c r="N76" t="s">
        <v>106</v>
      </c>
      <c r="O76" s="17">
        <v>45601</v>
      </c>
      <c r="P76" t="s">
        <v>63</v>
      </c>
      <c r="Q76" t="s">
        <v>60</v>
      </c>
      <c r="R76" t="s">
        <v>131</v>
      </c>
      <c r="S76" t="s">
        <v>60</v>
      </c>
    </row>
    <row r="77" spans="1:19" x14ac:dyDescent="0.25">
      <c r="A77" t="s">
        <v>170</v>
      </c>
      <c r="B77" t="s">
        <v>171</v>
      </c>
      <c r="C77">
        <v>65.099999999999994</v>
      </c>
      <c r="D77" t="s">
        <v>60</v>
      </c>
      <c r="E77" t="s">
        <v>60</v>
      </c>
      <c r="F77">
        <v>34.07</v>
      </c>
      <c r="G77">
        <v>25.26</v>
      </c>
      <c r="H77">
        <v>0.5</v>
      </c>
      <c r="I77">
        <v>0.5</v>
      </c>
      <c r="J77" t="s">
        <v>61</v>
      </c>
      <c r="K77" s="17">
        <v>45582</v>
      </c>
      <c r="L77" t="s">
        <v>63</v>
      </c>
      <c r="M77" s="17">
        <v>45586</v>
      </c>
      <c r="N77" t="s">
        <v>106</v>
      </c>
      <c r="O77" s="17">
        <v>45684</v>
      </c>
      <c r="P77" t="s">
        <v>172</v>
      </c>
      <c r="Q77" t="s">
        <v>60</v>
      </c>
      <c r="R77" t="s">
        <v>60</v>
      </c>
      <c r="S77" t="s">
        <v>60</v>
      </c>
    </row>
    <row r="78" spans="1:19" x14ac:dyDescent="0.25">
      <c r="A78" t="s">
        <v>173</v>
      </c>
      <c r="B78" t="s">
        <v>171</v>
      </c>
      <c r="C78">
        <v>46.46</v>
      </c>
      <c r="D78" t="s">
        <v>60</v>
      </c>
      <c r="E78" t="s">
        <v>60</v>
      </c>
      <c r="F78">
        <v>26.25</v>
      </c>
      <c r="G78">
        <v>20.65</v>
      </c>
      <c r="H78">
        <v>0.5</v>
      </c>
      <c r="I78">
        <v>0</v>
      </c>
      <c r="J78" t="s">
        <v>61</v>
      </c>
      <c r="K78" s="17">
        <v>45582</v>
      </c>
      <c r="L78" t="s">
        <v>63</v>
      </c>
      <c r="M78" s="17">
        <v>45586</v>
      </c>
      <c r="N78" t="s">
        <v>106</v>
      </c>
      <c r="O78" s="17">
        <v>45684</v>
      </c>
      <c r="P78" t="s">
        <v>172</v>
      </c>
      <c r="Q78" t="s">
        <v>60</v>
      </c>
      <c r="R78" t="s">
        <v>174</v>
      </c>
      <c r="S78" t="s">
        <v>60</v>
      </c>
    </row>
    <row r="79" spans="1:19" x14ac:dyDescent="0.25">
      <c r="A79" t="s">
        <v>175</v>
      </c>
      <c r="B79" t="s">
        <v>171</v>
      </c>
      <c r="C79">
        <v>45.23</v>
      </c>
      <c r="D79" t="s">
        <v>60</v>
      </c>
      <c r="E79" t="s">
        <v>60</v>
      </c>
      <c r="F79">
        <v>20.86</v>
      </c>
      <c r="G79">
        <v>15.61</v>
      </c>
      <c r="H79">
        <v>0</v>
      </c>
      <c r="I79">
        <v>0</v>
      </c>
      <c r="J79" t="s">
        <v>61</v>
      </c>
      <c r="K79" s="17">
        <v>45582</v>
      </c>
      <c r="L79" t="s">
        <v>63</v>
      </c>
      <c r="M79" s="17">
        <v>45586</v>
      </c>
      <c r="N79" t="s">
        <v>106</v>
      </c>
      <c r="O79" s="17">
        <v>45684</v>
      </c>
      <c r="P79" t="s">
        <v>172</v>
      </c>
      <c r="Q79" t="s">
        <v>60</v>
      </c>
      <c r="R79" t="s">
        <v>176</v>
      </c>
      <c r="S79" t="s">
        <v>60</v>
      </c>
    </row>
    <row r="80" spans="1:19" x14ac:dyDescent="0.25">
      <c r="A80" t="s">
        <v>177</v>
      </c>
      <c r="B80" t="s">
        <v>171</v>
      </c>
      <c r="C80">
        <v>74.11</v>
      </c>
      <c r="D80" t="s">
        <v>60</v>
      </c>
      <c r="E80" t="s">
        <v>60</v>
      </c>
      <c r="F80">
        <v>50.12</v>
      </c>
      <c r="G80">
        <v>36.65</v>
      </c>
      <c r="H80">
        <v>0</v>
      </c>
      <c r="I80">
        <v>0</v>
      </c>
      <c r="J80" t="s">
        <v>61</v>
      </c>
      <c r="K80" s="17">
        <v>45582</v>
      </c>
      <c r="L80" t="s">
        <v>63</v>
      </c>
      <c r="M80" s="17">
        <v>45586</v>
      </c>
      <c r="N80" t="s">
        <v>106</v>
      </c>
      <c r="O80" s="17">
        <v>45684</v>
      </c>
      <c r="P80" t="s">
        <v>172</v>
      </c>
      <c r="Q80" t="s">
        <v>60</v>
      </c>
      <c r="R80" t="s">
        <v>60</v>
      </c>
      <c r="S80" t="s">
        <v>60</v>
      </c>
    </row>
    <row r="81" spans="1:19" x14ac:dyDescent="0.25">
      <c r="A81" t="s">
        <v>178</v>
      </c>
      <c r="B81" t="s">
        <v>171</v>
      </c>
      <c r="C81">
        <v>43.4</v>
      </c>
      <c r="D81" t="s">
        <v>60</v>
      </c>
      <c r="E81" t="s">
        <v>60</v>
      </c>
      <c r="F81">
        <v>20.36</v>
      </c>
      <c r="G81">
        <v>15.16</v>
      </c>
      <c r="H81">
        <v>1</v>
      </c>
      <c r="I81">
        <v>1</v>
      </c>
      <c r="J81" t="s">
        <v>61</v>
      </c>
      <c r="K81" s="17">
        <v>45582</v>
      </c>
      <c r="L81" t="s">
        <v>63</v>
      </c>
      <c r="M81" s="17">
        <v>45586</v>
      </c>
      <c r="N81" t="s">
        <v>106</v>
      </c>
      <c r="O81" s="17">
        <v>45684</v>
      </c>
      <c r="P81" t="s">
        <v>172</v>
      </c>
      <c r="Q81" t="s">
        <v>60</v>
      </c>
      <c r="R81" t="s">
        <v>60</v>
      </c>
      <c r="S81" t="s">
        <v>60</v>
      </c>
    </row>
    <row r="82" spans="1:19" x14ac:dyDescent="0.25">
      <c r="A82" t="s">
        <v>179</v>
      </c>
      <c r="B82" t="s">
        <v>180</v>
      </c>
      <c r="C82">
        <v>52.93</v>
      </c>
      <c r="D82" t="s">
        <v>60</v>
      </c>
      <c r="E82" t="s">
        <v>60</v>
      </c>
      <c r="F82">
        <v>40.14</v>
      </c>
      <c r="G82">
        <v>30.48</v>
      </c>
      <c r="H82">
        <v>0</v>
      </c>
      <c r="I82">
        <v>0</v>
      </c>
      <c r="J82" t="s">
        <v>61</v>
      </c>
      <c r="K82" s="17">
        <v>45582</v>
      </c>
      <c r="L82" t="s">
        <v>63</v>
      </c>
      <c r="M82" s="17">
        <v>45586</v>
      </c>
      <c r="N82" t="s">
        <v>106</v>
      </c>
      <c r="O82" s="17">
        <v>45684</v>
      </c>
      <c r="P82" t="s">
        <v>172</v>
      </c>
      <c r="Q82" t="s">
        <v>60</v>
      </c>
      <c r="R82" t="s">
        <v>152</v>
      </c>
      <c r="S82" t="s">
        <v>60</v>
      </c>
    </row>
    <row r="83" spans="1:19" x14ac:dyDescent="0.25">
      <c r="A83" t="s">
        <v>181</v>
      </c>
      <c r="B83" t="s">
        <v>180</v>
      </c>
      <c r="C83">
        <v>58.39</v>
      </c>
      <c r="D83" t="s">
        <v>60</v>
      </c>
      <c r="E83" t="s">
        <v>60</v>
      </c>
      <c r="F83">
        <v>45.27</v>
      </c>
      <c r="G83">
        <v>31.06</v>
      </c>
      <c r="H83">
        <v>0.5</v>
      </c>
      <c r="I83">
        <v>0</v>
      </c>
      <c r="J83" t="s">
        <v>61</v>
      </c>
      <c r="K83" s="17">
        <v>45582</v>
      </c>
      <c r="L83" t="s">
        <v>63</v>
      </c>
      <c r="M83" s="17">
        <v>45586</v>
      </c>
      <c r="N83" t="s">
        <v>106</v>
      </c>
      <c r="O83" s="17">
        <v>45684</v>
      </c>
      <c r="P83" t="s">
        <v>172</v>
      </c>
      <c r="Q83" t="s">
        <v>60</v>
      </c>
      <c r="R83" t="s">
        <v>60</v>
      </c>
      <c r="S83" t="s">
        <v>60</v>
      </c>
    </row>
    <row r="84" spans="1:19" x14ac:dyDescent="0.25">
      <c r="A84" t="s">
        <v>182</v>
      </c>
      <c r="B84" t="s">
        <v>180</v>
      </c>
      <c r="C84">
        <v>55.7</v>
      </c>
      <c r="D84" t="s">
        <v>60</v>
      </c>
      <c r="E84" t="s">
        <v>60</v>
      </c>
      <c r="F84">
        <v>39.61</v>
      </c>
      <c r="G84">
        <v>31.53</v>
      </c>
      <c r="H84">
        <v>0</v>
      </c>
      <c r="I84">
        <v>0</v>
      </c>
      <c r="J84" t="s">
        <v>61</v>
      </c>
      <c r="K84" s="17">
        <v>45582</v>
      </c>
      <c r="L84" t="s">
        <v>63</v>
      </c>
      <c r="M84" s="17">
        <v>45586</v>
      </c>
      <c r="N84" t="s">
        <v>106</v>
      </c>
      <c r="O84" s="17">
        <v>45684</v>
      </c>
      <c r="P84" t="s">
        <v>172</v>
      </c>
      <c r="Q84" t="s">
        <v>60</v>
      </c>
      <c r="R84" t="s">
        <v>183</v>
      </c>
      <c r="S84" t="s">
        <v>60</v>
      </c>
    </row>
    <row r="85" spans="1:19" x14ac:dyDescent="0.25">
      <c r="A85" t="s">
        <v>184</v>
      </c>
      <c r="B85" t="s">
        <v>180</v>
      </c>
      <c r="C85">
        <v>57.77</v>
      </c>
      <c r="D85" t="s">
        <v>60</v>
      </c>
      <c r="E85" t="s">
        <v>60</v>
      </c>
      <c r="F85">
        <v>36.380000000000003</v>
      </c>
      <c r="G85">
        <v>26.43</v>
      </c>
      <c r="H85">
        <v>0.5</v>
      </c>
      <c r="I85">
        <v>0</v>
      </c>
      <c r="J85" t="s">
        <v>61</v>
      </c>
      <c r="K85" s="17">
        <v>45582</v>
      </c>
      <c r="L85" t="s">
        <v>63</v>
      </c>
      <c r="M85" s="17">
        <v>45586</v>
      </c>
      <c r="N85" t="s">
        <v>106</v>
      </c>
      <c r="O85" s="17">
        <v>45684</v>
      </c>
      <c r="P85" t="s">
        <v>172</v>
      </c>
      <c r="Q85" t="s">
        <v>60</v>
      </c>
      <c r="R85" t="s">
        <v>60</v>
      </c>
      <c r="S85" t="s">
        <v>60</v>
      </c>
    </row>
    <row r="86" spans="1:19" x14ac:dyDescent="0.25">
      <c r="A86" t="s">
        <v>185</v>
      </c>
      <c r="B86" t="s">
        <v>180</v>
      </c>
      <c r="C86">
        <v>62.11</v>
      </c>
      <c r="D86" t="s">
        <v>60</v>
      </c>
      <c r="E86" t="s">
        <v>60</v>
      </c>
      <c r="F86">
        <v>45</v>
      </c>
      <c r="G86">
        <v>34.4</v>
      </c>
      <c r="H86">
        <v>2</v>
      </c>
      <c r="I86">
        <v>1</v>
      </c>
      <c r="J86" t="s">
        <v>61</v>
      </c>
      <c r="K86" s="17">
        <v>45582</v>
      </c>
      <c r="L86" t="s">
        <v>63</v>
      </c>
      <c r="M86" s="17">
        <v>45586</v>
      </c>
      <c r="N86" t="s">
        <v>106</v>
      </c>
      <c r="O86" s="17">
        <v>45684</v>
      </c>
      <c r="P86" t="s">
        <v>172</v>
      </c>
      <c r="Q86" t="s">
        <v>60</v>
      </c>
      <c r="R86" t="s">
        <v>60</v>
      </c>
      <c r="S86" t="s">
        <v>60</v>
      </c>
    </row>
    <row r="87" spans="1:19" x14ac:dyDescent="0.25">
      <c r="A87" t="s">
        <v>186</v>
      </c>
      <c r="B87" t="s">
        <v>187</v>
      </c>
      <c r="C87">
        <v>48.7</v>
      </c>
      <c r="D87" t="s">
        <v>60</v>
      </c>
      <c r="E87" t="s">
        <v>60</v>
      </c>
      <c r="F87">
        <v>23.2</v>
      </c>
      <c r="G87">
        <v>17.5</v>
      </c>
      <c r="H87">
        <v>0</v>
      </c>
      <c r="I87">
        <v>0.5</v>
      </c>
      <c r="J87" t="s">
        <v>61</v>
      </c>
      <c r="K87" s="17">
        <v>45582</v>
      </c>
      <c r="L87" t="s">
        <v>63</v>
      </c>
      <c r="M87" s="17">
        <v>45586</v>
      </c>
      <c r="N87" t="s">
        <v>106</v>
      </c>
      <c r="O87" s="17">
        <v>45684</v>
      </c>
      <c r="P87" t="s">
        <v>172</v>
      </c>
      <c r="Q87" t="s">
        <v>60</v>
      </c>
      <c r="R87" t="s">
        <v>60</v>
      </c>
      <c r="S87" t="s">
        <v>60</v>
      </c>
    </row>
    <row r="88" spans="1:19" x14ac:dyDescent="0.25">
      <c r="A88" t="s">
        <v>188</v>
      </c>
      <c r="B88" t="s">
        <v>187</v>
      </c>
      <c r="C88">
        <v>36.299999999999997</v>
      </c>
      <c r="D88" t="s">
        <v>60</v>
      </c>
      <c r="E88" t="s">
        <v>60</v>
      </c>
      <c r="F88">
        <v>20.190000000000001</v>
      </c>
      <c r="G88">
        <v>15.81</v>
      </c>
      <c r="H88">
        <v>0</v>
      </c>
      <c r="I88">
        <v>0</v>
      </c>
      <c r="J88" t="s">
        <v>61</v>
      </c>
      <c r="K88" s="17">
        <v>45582</v>
      </c>
      <c r="L88" t="s">
        <v>63</v>
      </c>
      <c r="M88" s="17">
        <v>45586</v>
      </c>
      <c r="N88" t="s">
        <v>106</v>
      </c>
      <c r="O88" s="17">
        <v>45684</v>
      </c>
      <c r="P88" t="s">
        <v>172</v>
      </c>
      <c r="Q88" t="s">
        <v>60</v>
      </c>
      <c r="R88" t="s">
        <v>60</v>
      </c>
      <c r="S88" t="s">
        <v>60</v>
      </c>
    </row>
    <row r="89" spans="1:19" x14ac:dyDescent="0.25">
      <c r="A89" t="s">
        <v>189</v>
      </c>
      <c r="B89" t="s">
        <v>187</v>
      </c>
      <c r="C89">
        <v>39.11</v>
      </c>
      <c r="D89" t="s">
        <v>60</v>
      </c>
      <c r="E89" t="s">
        <v>60</v>
      </c>
      <c r="F89">
        <v>9.3000000000000007</v>
      </c>
      <c r="G89">
        <v>7.21</v>
      </c>
      <c r="H89">
        <v>0</v>
      </c>
      <c r="I89">
        <v>0.5</v>
      </c>
      <c r="J89" t="s">
        <v>61</v>
      </c>
      <c r="K89" s="17">
        <v>45582</v>
      </c>
      <c r="L89" t="s">
        <v>63</v>
      </c>
      <c r="M89" s="17">
        <v>45586</v>
      </c>
      <c r="N89" t="s">
        <v>106</v>
      </c>
      <c r="O89" s="17">
        <v>45684</v>
      </c>
      <c r="P89" t="s">
        <v>172</v>
      </c>
      <c r="Q89" t="s">
        <v>60</v>
      </c>
      <c r="R89" t="s">
        <v>60</v>
      </c>
      <c r="S89" t="s">
        <v>60</v>
      </c>
    </row>
    <row r="90" spans="1:19" x14ac:dyDescent="0.25">
      <c r="A90" t="s">
        <v>190</v>
      </c>
      <c r="B90" t="s">
        <v>187</v>
      </c>
      <c r="C90">
        <v>40.94</v>
      </c>
      <c r="D90" t="s">
        <v>60</v>
      </c>
      <c r="E90" t="s">
        <v>60</v>
      </c>
      <c r="F90">
        <v>10.45</v>
      </c>
      <c r="G90">
        <v>7.94</v>
      </c>
      <c r="H90">
        <v>0</v>
      </c>
      <c r="I90">
        <v>0.5</v>
      </c>
      <c r="J90" t="s">
        <v>61</v>
      </c>
      <c r="K90" s="17">
        <v>45582</v>
      </c>
      <c r="L90" t="s">
        <v>63</v>
      </c>
      <c r="M90" s="17">
        <v>45586</v>
      </c>
      <c r="N90" t="s">
        <v>106</v>
      </c>
      <c r="O90" s="17">
        <v>45684</v>
      </c>
      <c r="P90" t="s">
        <v>172</v>
      </c>
      <c r="Q90" t="s">
        <v>60</v>
      </c>
      <c r="R90" t="s">
        <v>60</v>
      </c>
      <c r="S90" t="s">
        <v>60</v>
      </c>
    </row>
    <row r="91" spans="1:19" x14ac:dyDescent="0.25">
      <c r="A91" t="s">
        <v>191</v>
      </c>
      <c r="B91" t="s">
        <v>187</v>
      </c>
      <c r="C91">
        <v>45.15</v>
      </c>
      <c r="D91" t="s">
        <v>60</v>
      </c>
      <c r="E91" t="s">
        <v>60</v>
      </c>
      <c r="F91">
        <v>14.62</v>
      </c>
      <c r="G91">
        <v>10.28</v>
      </c>
      <c r="H91">
        <v>0</v>
      </c>
      <c r="I91">
        <v>0</v>
      </c>
      <c r="J91" t="s">
        <v>61</v>
      </c>
      <c r="K91" s="17">
        <v>45582</v>
      </c>
      <c r="L91" t="s">
        <v>63</v>
      </c>
      <c r="M91" s="17">
        <v>45586</v>
      </c>
      <c r="N91" t="s">
        <v>106</v>
      </c>
      <c r="O91" s="17">
        <v>45684</v>
      </c>
      <c r="P91" t="s">
        <v>172</v>
      </c>
      <c r="Q91" t="s">
        <v>60</v>
      </c>
      <c r="R91" t="s">
        <v>60</v>
      </c>
      <c r="S91" t="s">
        <v>60</v>
      </c>
    </row>
    <row r="92" spans="1:19" x14ac:dyDescent="0.25">
      <c r="A92" t="s">
        <v>192</v>
      </c>
      <c r="B92" t="s">
        <v>193</v>
      </c>
      <c r="C92">
        <v>46.15</v>
      </c>
      <c r="D92" t="s">
        <v>60</v>
      </c>
      <c r="E92" t="s">
        <v>60</v>
      </c>
      <c r="F92">
        <v>38.96</v>
      </c>
      <c r="G92">
        <v>30.19</v>
      </c>
      <c r="H92">
        <v>0.5</v>
      </c>
      <c r="I92">
        <v>0</v>
      </c>
      <c r="J92" t="s">
        <v>61</v>
      </c>
      <c r="K92" s="17">
        <v>45611</v>
      </c>
      <c r="L92" t="s">
        <v>149</v>
      </c>
      <c r="M92" s="17">
        <v>45614</v>
      </c>
      <c r="N92" t="s">
        <v>149</v>
      </c>
      <c r="O92" s="17">
        <v>45684</v>
      </c>
      <c r="P92" t="s">
        <v>172</v>
      </c>
      <c r="Q92" t="s">
        <v>60</v>
      </c>
      <c r="R92" t="s">
        <v>60</v>
      </c>
      <c r="S92" t="s">
        <v>60</v>
      </c>
    </row>
    <row r="93" spans="1:19" x14ac:dyDescent="0.25">
      <c r="A93" t="s">
        <v>194</v>
      </c>
      <c r="B93" t="s">
        <v>193</v>
      </c>
      <c r="C93">
        <v>44.99</v>
      </c>
      <c r="D93" t="s">
        <v>60</v>
      </c>
      <c r="E93" t="s">
        <v>60</v>
      </c>
      <c r="F93">
        <v>40.31</v>
      </c>
      <c r="G93">
        <v>28.04</v>
      </c>
      <c r="H93">
        <v>1</v>
      </c>
      <c r="I93">
        <v>1</v>
      </c>
      <c r="J93" t="s">
        <v>61</v>
      </c>
      <c r="K93" s="17">
        <v>45611</v>
      </c>
      <c r="L93" t="s">
        <v>149</v>
      </c>
      <c r="M93" s="17">
        <v>45614</v>
      </c>
      <c r="N93" t="s">
        <v>149</v>
      </c>
      <c r="O93" s="17">
        <v>45684</v>
      </c>
      <c r="P93" t="s">
        <v>172</v>
      </c>
      <c r="Q93" t="s">
        <v>60</v>
      </c>
      <c r="R93" t="s">
        <v>138</v>
      </c>
      <c r="S93" t="s">
        <v>60</v>
      </c>
    </row>
    <row r="94" spans="1:19" x14ac:dyDescent="0.25">
      <c r="A94" t="s">
        <v>195</v>
      </c>
      <c r="B94" t="s">
        <v>193</v>
      </c>
      <c r="C94">
        <v>59.03</v>
      </c>
      <c r="D94" t="s">
        <v>60</v>
      </c>
      <c r="E94" t="s">
        <v>60</v>
      </c>
      <c r="F94">
        <v>41.96</v>
      </c>
      <c r="G94">
        <v>30.32</v>
      </c>
      <c r="H94">
        <v>1</v>
      </c>
      <c r="I94">
        <v>2</v>
      </c>
      <c r="J94" t="s">
        <v>61</v>
      </c>
      <c r="K94" s="17">
        <v>45611</v>
      </c>
      <c r="L94" t="s">
        <v>149</v>
      </c>
      <c r="M94" s="17">
        <v>45614</v>
      </c>
      <c r="N94" t="s">
        <v>149</v>
      </c>
      <c r="O94" s="17">
        <v>45684</v>
      </c>
      <c r="P94" t="s">
        <v>172</v>
      </c>
      <c r="Q94" t="s">
        <v>60</v>
      </c>
      <c r="R94" t="s">
        <v>60</v>
      </c>
      <c r="S94" t="s">
        <v>60</v>
      </c>
    </row>
    <row r="95" spans="1:19" x14ac:dyDescent="0.25">
      <c r="A95" t="s">
        <v>196</v>
      </c>
      <c r="B95" t="s">
        <v>193</v>
      </c>
      <c r="C95">
        <v>50.96</v>
      </c>
      <c r="D95" t="s">
        <v>60</v>
      </c>
      <c r="E95" t="s">
        <v>60</v>
      </c>
      <c r="F95">
        <v>32.18</v>
      </c>
      <c r="G95">
        <v>22.12</v>
      </c>
      <c r="H95">
        <v>0</v>
      </c>
      <c r="I95">
        <v>0</v>
      </c>
      <c r="J95" t="s">
        <v>61</v>
      </c>
      <c r="K95" s="17">
        <v>45611</v>
      </c>
      <c r="L95" t="s">
        <v>149</v>
      </c>
      <c r="M95" s="17">
        <v>45614</v>
      </c>
      <c r="N95" t="s">
        <v>149</v>
      </c>
      <c r="O95" s="17">
        <v>45684</v>
      </c>
      <c r="P95" t="s">
        <v>172</v>
      </c>
      <c r="Q95" t="s">
        <v>60</v>
      </c>
      <c r="R95" t="s">
        <v>60</v>
      </c>
      <c r="S95" t="s">
        <v>60</v>
      </c>
    </row>
    <row r="96" spans="1:19" x14ac:dyDescent="0.25">
      <c r="A96" t="s">
        <v>197</v>
      </c>
      <c r="B96" t="s">
        <v>193</v>
      </c>
      <c r="C96">
        <v>37.11</v>
      </c>
      <c r="D96" t="s">
        <v>60</v>
      </c>
      <c r="E96" t="s">
        <v>60</v>
      </c>
      <c r="F96">
        <v>16.46</v>
      </c>
      <c r="G96">
        <v>13.14</v>
      </c>
      <c r="H96">
        <v>0.5</v>
      </c>
      <c r="I96">
        <v>0</v>
      </c>
      <c r="J96" t="s">
        <v>61</v>
      </c>
      <c r="K96" s="17">
        <v>45611</v>
      </c>
      <c r="L96" t="s">
        <v>149</v>
      </c>
      <c r="M96" s="17">
        <v>45614</v>
      </c>
      <c r="N96" t="s">
        <v>149</v>
      </c>
      <c r="O96" s="17">
        <v>45684</v>
      </c>
      <c r="P96" t="s">
        <v>172</v>
      </c>
      <c r="Q96" t="s">
        <v>60</v>
      </c>
      <c r="R96" t="s">
        <v>60</v>
      </c>
      <c r="S96" t="s">
        <v>60</v>
      </c>
    </row>
    <row r="97" spans="1:19" x14ac:dyDescent="0.25">
      <c r="A97" t="s">
        <v>198</v>
      </c>
      <c r="B97" t="s">
        <v>199</v>
      </c>
      <c r="C97">
        <v>58.94</v>
      </c>
      <c r="D97" t="s">
        <v>60</v>
      </c>
      <c r="E97" t="s">
        <v>60</v>
      </c>
      <c r="F97">
        <v>32.96</v>
      </c>
      <c r="G97">
        <v>24.75</v>
      </c>
      <c r="H97">
        <v>0</v>
      </c>
      <c r="I97">
        <v>0.5</v>
      </c>
      <c r="J97" t="s">
        <v>61</v>
      </c>
      <c r="K97" s="17">
        <v>45611</v>
      </c>
      <c r="L97" t="s">
        <v>149</v>
      </c>
      <c r="M97" s="17">
        <v>45614</v>
      </c>
      <c r="N97" t="s">
        <v>149</v>
      </c>
      <c r="O97" s="17">
        <v>45684</v>
      </c>
      <c r="P97" t="s">
        <v>172</v>
      </c>
      <c r="Q97" t="s">
        <v>60</v>
      </c>
      <c r="R97" t="s">
        <v>60</v>
      </c>
      <c r="S97" t="s">
        <v>60</v>
      </c>
    </row>
    <row r="98" spans="1:19" x14ac:dyDescent="0.25">
      <c r="A98" t="s">
        <v>200</v>
      </c>
      <c r="B98" t="s">
        <v>199</v>
      </c>
      <c r="C98">
        <v>53.04</v>
      </c>
      <c r="D98" t="s">
        <v>60</v>
      </c>
      <c r="E98" t="s">
        <v>60</v>
      </c>
      <c r="F98">
        <v>32.85</v>
      </c>
      <c r="G98">
        <v>25.08</v>
      </c>
      <c r="H98">
        <v>0</v>
      </c>
      <c r="I98">
        <v>0</v>
      </c>
      <c r="J98" t="s">
        <v>61</v>
      </c>
      <c r="K98" s="17">
        <v>45611</v>
      </c>
      <c r="L98" t="s">
        <v>149</v>
      </c>
      <c r="M98" s="17">
        <v>45614</v>
      </c>
      <c r="N98" t="s">
        <v>149</v>
      </c>
      <c r="O98" s="17">
        <v>45684</v>
      </c>
      <c r="P98" t="s">
        <v>172</v>
      </c>
      <c r="Q98" t="s">
        <v>60</v>
      </c>
      <c r="R98" t="s">
        <v>60</v>
      </c>
      <c r="S98" t="s">
        <v>60</v>
      </c>
    </row>
    <row r="99" spans="1:19" x14ac:dyDescent="0.25">
      <c r="A99" t="s">
        <v>201</v>
      </c>
      <c r="B99" t="s">
        <v>199</v>
      </c>
      <c r="C99">
        <v>39.99</v>
      </c>
      <c r="D99" t="s">
        <v>60</v>
      </c>
      <c r="E99" t="s">
        <v>60</v>
      </c>
      <c r="F99">
        <v>15.64</v>
      </c>
      <c r="G99">
        <v>12.73</v>
      </c>
      <c r="H99">
        <v>0</v>
      </c>
      <c r="I99">
        <v>0.5</v>
      </c>
      <c r="J99" t="s">
        <v>61</v>
      </c>
      <c r="K99" s="17">
        <v>45611</v>
      </c>
      <c r="L99" t="s">
        <v>149</v>
      </c>
      <c r="M99" s="17">
        <v>45614</v>
      </c>
      <c r="N99" t="s">
        <v>149</v>
      </c>
      <c r="O99" s="17">
        <v>45684</v>
      </c>
      <c r="P99" t="s">
        <v>172</v>
      </c>
      <c r="Q99" t="s">
        <v>60</v>
      </c>
      <c r="R99" t="s">
        <v>60</v>
      </c>
      <c r="S99" t="s">
        <v>60</v>
      </c>
    </row>
    <row r="100" spans="1:19" x14ac:dyDescent="0.25">
      <c r="A100" t="s">
        <v>202</v>
      </c>
      <c r="B100" t="s">
        <v>199</v>
      </c>
      <c r="C100">
        <v>56.32</v>
      </c>
      <c r="D100" t="s">
        <v>60</v>
      </c>
      <c r="E100" t="s">
        <v>60</v>
      </c>
      <c r="F100">
        <v>54.28</v>
      </c>
      <c r="G100">
        <v>40.270000000000003</v>
      </c>
      <c r="H100">
        <v>0.5</v>
      </c>
      <c r="I100">
        <v>0.5</v>
      </c>
      <c r="J100" t="s">
        <v>61</v>
      </c>
      <c r="K100" s="17">
        <v>45611</v>
      </c>
      <c r="L100" t="s">
        <v>149</v>
      </c>
      <c r="M100" s="17">
        <v>45614</v>
      </c>
      <c r="N100" t="s">
        <v>149</v>
      </c>
      <c r="O100" s="17">
        <v>45684</v>
      </c>
      <c r="P100" t="s">
        <v>172</v>
      </c>
      <c r="Q100" t="s">
        <v>60</v>
      </c>
      <c r="R100" t="s">
        <v>60</v>
      </c>
      <c r="S100" t="s">
        <v>60</v>
      </c>
    </row>
    <row r="101" spans="1:19" x14ac:dyDescent="0.25">
      <c r="A101" t="s">
        <v>203</v>
      </c>
      <c r="B101" t="s">
        <v>199</v>
      </c>
      <c r="C101">
        <v>48.99</v>
      </c>
      <c r="D101" t="s">
        <v>60</v>
      </c>
      <c r="E101" t="s">
        <v>60</v>
      </c>
      <c r="F101">
        <v>52.96</v>
      </c>
      <c r="G101">
        <v>40.82</v>
      </c>
      <c r="H101">
        <v>0</v>
      </c>
      <c r="I101">
        <v>0</v>
      </c>
      <c r="J101" t="s">
        <v>61</v>
      </c>
      <c r="K101" s="17">
        <v>45611</v>
      </c>
      <c r="L101" t="s">
        <v>149</v>
      </c>
      <c r="M101" s="17">
        <v>45614</v>
      </c>
      <c r="N101" t="s">
        <v>149</v>
      </c>
      <c r="O101" s="17">
        <v>45684</v>
      </c>
      <c r="P101" t="s">
        <v>172</v>
      </c>
      <c r="Q101" t="s">
        <v>60</v>
      </c>
      <c r="R101" t="s">
        <v>60</v>
      </c>
      <c r="S101" t="s">
        <v>60</v>
      </c>
    </row>
    <row r="102" spans="1:19" x14ac:dyDescent="0.25">
      <c r="A102" t="s">
        <v>204</v>
      </c>
      <c r="B102" t="s">
        <v>205</v>
      </c>
      <c r="C102">
        <v>34.32</v>
      </c>
      <c r="D102" t="s">
        <v>60</v>
      </c>
      <c r="E102" t="s">
        <v>60</v>
      </c>
      <c r="F102">
        <v>10.02</v>
      </c>
      <c r="G102">
        <v>7.56</v>
      </c>
      <c r="H102">
        <v>0.5</v>
      </c>
      <c r="I102">
        <v>0.5</v>
      </c>
      <c r="J102" t="s">
        <v>61</v>
      </c>
      <c r="K102" s="17">
        <v>45611</v>
      </c>
      <c r="L102" t="s">
        <v>149</v>
      </c>
      <c r="M102" s="17">
        <v>45614</v>
      </c>
      <c r="N102" t="s">
        <v>149</v>
      </c>
      <c r="O102" s="17">
        <v>45684</v>
      </c>
      <c r="P102" t="s">
        <v>172</v>
      </c>
      <c r="Q102" t="s">
        <v>60</v>
      </c>
      <c r="R102" t="s">
        <v>60</v>
      </c>
      <c r="S102" t="s">
        <v>60</v>
      </c>
    </row>
    <row r="103" spans="1:19" x14ac:dyDescent="0.25">
      <c r="A103" t="s">
        <v>206</v>
      </c>
      <c r="B103" t="s">
        <v>205</v>
      </c>
      <c r="C103">
        <v>52.8</v>
      </c>
      <c r="D103" t="s">
        <v>60</v>
      </c>
      <c r="E103" t="s">
        <v>60</v>
      </c>
      <c r="F103">
        <v>39.83</v>
      </c>
      <c r="G103">
        <v>29.95</v>
      </c>
      <c r="H103">
        <v>0</v>
      </c>
      <c r="I103">
        <v>0.5</v>
      </c>
      <c r="J103" t="s">
        <v>61</v>
      </c>
      <c r="K103" s="17">
        <v>45611</v>
      </c>
      <c r="L103" t="s">
        <v>149</v>
      </c>
      <c r="M103" s="17">
        <v>45614</v>
      </c>
      <c r="N103" t="s">
        <v>149</v>
      </c>
      <c r="O103" s="17">
        <v>45684</v>
      </c>
      <c r="P103" t="s">
        <v>172</v>
      </c>
      <c r="Q103" t="s">
        <v>60</v>
      </c>
      <c r="R103" t="s">
        <v>60</v>
      </c>
      <c r="S103" t="s">
        <v>60</v>
      </c>
    </row>
    <row r="104" spans="1:19" x14ac:dyDescent="0.25">
      <c r="A104" t="s">
        <v>207</v>
      </c>
      <c r="B104" t="s">
        <v>205</v>
      </c>
      <c r="C104">
        <v>42.19</v>
      </c>
      <c r="D104" t="s">
        <v>60</v>
      </c>
      <c r="E104" t="s">
        <v>60</v>
      </c>
      <c r="F104">
        <v>11.31</v>
      </c>
      <c r="G104">
        <v>8.8800000000000008</v>
      </c>
      <c r="H104">
        <v>0</v>
      </c>
      <c r="I104">
        <v>0</v>
      </c>
      <c r="J104" t="s">
        <v>61</v>
      </c>
      <c r="K104" s="17">
        <v>45611</v>
      </c>
      <c r="L104" t="s">
        <v>149</v>
      </c>
      <c r="M104" s="17">
        <v>45614</v>
      </c>
      <c r="N104" t="s">
        <v>149</v>
      </c>
      <c r="O104" s="17">
        <v>45684</v>
      </c>
      <c r="P104" t="s">
        <v>172</v>
      </c>
      <c r="Q104" t="s">
        <v>60</v>
      </c>
      <c r="R104" t="s">
        <v>60</v>
      </c>
      <c r="S104" t="s">
        <v>60</v>
      </c>
    </row>
    <row r="105" spans="1:19" x14ac:dyDescent="0.25">
      <c r="A105" t="s">
        <v>208</v>
      </c>
      <c r="B105" t="s">
        <v>205</v>
      </c>
      <c r="C105">
        <v>47.59</v>
      </c>
      <c r="D105" t="s">
        <v>60</v>
      </c>
      <c r="E105" t="s">
        <v>60</v>
      </c>
      <c r="F105">
        <v>28.7</v>
      </c>
      <c r="G105">
        <v>21.97</v>
      </c>
      <c r="H105">
        <v>0</v>
      </c>
      <c r="I105">
        <v>0.5</v>
      </c>
      <c r="J105" t="s">
        <v>61</v>
      </c>
      <c r="K105" s="17">
        <v>45611</v>
      </c>
      <c r="L105" t="s">
        <v>149</v>
      </c>
      <c r="M105" s="17">
        <v>45614</v>
      </c>
      <c r="N105" t="s">
        <v>149</v>
      </c>
      <c r="O105" s="17">
        <v>45684</v>
      </c>
      <c r="P105" t="s">
        <v>172</v>
      </c>
      <c r="Q105" t="s">
        <v>60</v>
      </c>
      <c r="R105" t="s">
        <v>60</v>
      </c>
      <c r="S105" t="s">
        <v>60</v>
      </c>
    </row>
    <row r="106" spans="1:19" x14ac:dyDescent="0.25">
      <c r="A106" t="s">
        <v>209</v>
      </c>
      <c r="B106" t="s">
        <v>205</v>
      </c>
      <c r="C106">
        <v>42.53</v>
      </c>
      <c r="D106" t="s">
        <v>60</v>
      </c>
      <c r="E106" t="s">
        <v>60</v>
      </c>
      <c r="F106">
        <v>13.23</v>
      </c>
      <c r="G106">
        <v>9.4700000000000006</v>
      </c>
      <c r="H106">
        <v>0.5</v>
      </c>
      <c r="I106">
        <v>0</v>
      </c>
      <c r="J106" t="s">
        <v>61</v>
      </c>
      <c r="K106" s="17">
        <v>45611</v>
      </c>
      <c r="L106" t="s">
        <v>149</v>
      </c>
      <c r="M106" s="17">
        <v>45614</v>
      </c>
      <c r="N106" t="s">
        <v>149</v>
      </c>
      <c r="O106" s="17">
        <v>45684</v>
      </c>
      <c r="P106" t="s">
        <v>172</v>
      </c>
      <c r="Q106" t="s">
        <v>60</v>
      </c>
      <c r="R106" t="s">
        <v>60</v>
      </c>
      <c r="S106" t="s">
        <v>60</v>
      </c>
    </row>
    <row r="107" spans="1:19" x14ac:dyDescent="0.25">
      <c r="A107" t="s">
        <v>210</v>
      </c>
      <c r="B107" t="s">
        <v>211</v>
      </c>
      <c r="C107">
        <v>56.23</v>
      </c>
      <c r="D107" t="s">
        <v>60</v>
      </c>
      <c r="E107" t="s">
        <v>60</v>
      </c>
      <c r="F107">
        <v>39.619999999999997</v>
      </c>
      <c r="G107">
        <v>30.13</v>
      </c>
      <c r="H107">
        <v>0</v>
      </c>
      <c r="I107">
        <v>0</v>
      </c>
      <c r="J107" t="s">
        <v>61</v>
      </c>
      <c r="K107" s="17">
        <v>45642</v>
      </c>
      <c r="L107" t="s">
        <v>106</v>
      </c>
      <c r="M107" s="17">
        <v>45642</v>
      </c>
      <c r="N107" t="s">
        <v>106</v>
      </c>
      <c r="O107" s="17">
        <v>45684</v>
      </c>
      <c r="P107" t="s">
        <v>172</v>
      </c>
      <c r="Q107" t="s">
        <v>60</v>
      </c>
      <c r="R107" t="s">
        <v>60</v>
      </c>
      <c r="S107" t="s">
        <v>60</v>
      </c>
    </row>
    <row r="108" spans="1:19" x14ac:dyDescent="0.25">
      <c r="A108" t="s">
        <v>212</v>
      </c>
      <c r="B108" t="s">
        <v>211</v>
      </c>
      <c r="C108">
        <v>41.22</v>
      </c>
      <c r="D108" t="s">
        <v>60</v>
      </c>
      <c r="E108" t="s">
        <v>60</v>
      </c>
      <c r="F108">
        <v>14.51</v>
      </c>
      <c r="G108">
        <v>10.93</v>
      </c>
      <c r="H108">
        <v>0</v>
      </c>
      <c r="I108">
        <v>0</v>
      </c>
      <c r="J108" t="s">
        <v>61</v>
      </c>
      <c r="K108" s="17">
        <v>45642</v>
      </c>
      <c r="L108" t="s">
        <v>106</v>
      </c>
      <c r="M108" s="17">
        <v>45642</v>
      </c>
      <c r="N108" t="s">
        <v>106</v>
      </c>
      <c r="O108" s="17">
        <v>45684</v>
      </c>
      <c r="P108" t="s">
        <v>172</v>
      </c>
      <c r="Q108" t="s">
        <v>60</v>
      </c>
      <c r="R108" t="s">
        <v>60</v>
      </c>
      <c r="S108" t="s">
        <v>60</v>
      </c>
    </row>
    <row r="109" spans="1:19" x14ac:dyDescent="0.25">
      <c r="A109" t="s">
        <v>213</v>
      </c>
      <c r="B109" t="s">
        <v>211</v>
      </c>
      <c r="C109">
        <v>43.01</v>
      </c>
      <c r="D109" t="s">
        <v>60</v>
      </c>
      <c r="E109" t="s">
        <v>60</v>
      </c>
      <c r="F109">
        <v>21.21</v>
      </c>
      <c r="G109">
        <v>18.18</v>
      </c>
      <c r="H109">
        <v>0</v>
      </c>
      <c r="I109">
        <v>0</v>
      </c>
      <c r="J109" t="s">
        <v>61</v>
      </c>
      <c r="K109" s="17">
        <v>45642</v>
      </c>
      <c r="L109" t="s">
        <v>106</v>
      </c>
      <c r="M109" s="17">
        <v>45642</v>
      </c>
      <c r="N109" t="s">
        <v>106</v>
      </c>
      <c r="O109" s="17">
        <v>45684</v>
      </c>
      <c r="P109" t="s">
        <v>172</v>
      </c>
      <c r="Q109" t="s">
        <v>60</v>
      </c>
      <c r="R109" t="s">
        <v>60</v>
      </c>
      <c r="S109" t="s">
        <v>60</v>
      </c>
    </row>
    <row r="110" spans="1:19" x14ac:dyDescent="0.25">
      <c r="A110" t="s">
        <v>214</v>
      </c>
      <c r="B110" t="s">
        <v>211</v>
      </c>
      <c r="C110">
        <v>46.44</v>
      </c>
      <c r="D110" t="s">
        <v>60</v>
      </c>
      <c r="E110" t="s">
        <v>60</v>
      </c>
      <c r="F110">
        <v>17.95</v>
      </c>
      <c r="G110">
        <v>13.54</v>
      </c>
      <c r="H110">
        <v>0</v>
      </c>
      <c r="I110">
        <v>1</v>
      </c>
      <c r="J110" t="s">
        <v>61</v>
      </c>
      <c r="K110" s="17">
        <v>45642</v>
      </c>
      <c r="L110" t="s">
        <v>106</v>
      </c>
      <c r="M110" s="17">
        <v>45642</v>
      </c>
      <c r="N110" t="s">
        <v>106</v>
      </c>
      <c r="O110" s="17">
        <v>45684</v>
      </c>
      <c r="P110" t="s">
        <v>172</v>
      </c>
      <c r="Q110" t="s">
        <v>60</v>
      </c>
      <c r="R110" t="s">
        <v>60</v>
      </c>
      <c r="S110" t="s">
        <v>60</v>
      </c>
    </row>
    <row r="111" spans="1:19" x14ac:dyDescent="0.25">
      <c r="A111" t="s">
        <v>215</v>
      </c>
      <c r="B111" t="s">
        <v>211</v>
      </c>
      <c r="C111">
        <v>49.25</v>
      </c>
      <c r="D111" t="s">
        <v>60</v>
      </c>
      <c r="E111" t="s">
        <v>60</v>
      </c>
      <c r="F111">
        <v>20</v>
      </c>
      <c r="G111">
        <v>15.15</v>
      </c>
      <c r="H111">
        <v>0</v>
      </c>
      <c r="I111">
        <v>0</v>
      </c>
      <c r="J111" t="s">
        <v>61</v>
      </c>
      <c r="K111" s="17">
        <v>45642</v>
      </c>
      <c r="L111" t="s">
        <v>106</v>
      </c>
      <c r="M111" s="17">
        <v>45642</v>
      </c>
      <c r="N111" t="s">
        <v>106</v>
      </c>
      <c r="O111" s="17">
        <v>45684</v>
      </c>
      <c r="P111" t="s">
        <v>172</v>
      </c>
      <c r="Q111" t="s">
        <v>60</v>
      </c>
      <c r="R111" t="s">
        <v>60</v>
      </c>
      <c r="S111" t="s">
        <v>60</v>
      </c>
    </row>
    <row r="112" spans="1:19" x14ac:dyDescent="0.25">
      <c r="A112" t="s">
        <v>216</v>
      </c>
      <c r="B112" t="s">
        <v>217</v>
      </c>
      <c r="C112">
        <v>69.069999999999993</v>
      </c>
      <c r="D112" t="s">
        <v>60</v>
      </c>
      <c r="E112" t="s">
        <v>60</v>
      </c>
      <c r="F112">
        <v>51.97</v>
      </c>
      <c r="G112">
        <v>39.630000000000003</v>
      </c>
      <c r="H112">
        <v>1</v>
      </c>
      <c r="I112">
        <v>2</v>
      </c>
      <c r="J112" t="s">
        <v>61</v>
      </c>
      <c r="K112" s="17">
        <v>45642</v>
      </c>
      <c r="L112" t="s">
        <v>106</v>
      </c>
      <c r="M112" s="17">
        <v>45642</v>
      </c>
      <c r="N112" t="s">
        <v>106</v>
      </c>
      <c r="O112" s="17">
        <v>45684</v>
      </c>
      <c r="P112" t="s">
        <v>172</v>
      </c>
      <c r="Q112" t="s">
        <v>60</v>
      </c>
      <c r="R112" t="s">
        <v>218</v>
      </c>
      <c r="S112" t="s">
        <v>60</v>
      </c>
    </row>
    <row r="113" spans="1:19" x14ac:dyDescent="0.25">
      <c r="A113" t="s">
        <v>219</v>
      </c>
      <c r="B113" t="s">
        <v>217</v>
      </c>
      <c r="C113">
        <v>59.46</v>
      </c>
      <c r="D113" t="s">
        <v>60</v>
      </c>
      <c r="E113" t="s">
        <v>60</v>
      </c>
      <c r="F113">
        <v>52.69</v>
      </c>
      <c r="G113">
        <v>41</v>
      </c>
      <c r="H113">
        <v>0</v>
      </c>
      <c r="I113">
        <v>0</v>
      </c>
      <c r="J113" t="s">
        <v>61</v>
      </c>
      <c r="K113" s="17">
        <v>45642</v>
      </c>
      <c r="L113" t="s">
        <v>106</v>
      </c>
      <c r="M113" s="17">
        <v>45642</v>
      </c>
      <c r="N113" t="s">
        <v>106</v>
      </c>
      <c r="O113" s="17">
        <v>45684</v>
      </c>
      <c r="P113" t="s">
        <v>172</v>
      </c>
      <c r="Q113" t="s">
        <v>60</v>
      </c>
      <c r="R113" t="s">
        <v>138</v>
      </c>
      <c r="S113" t="s">
        <v>60</v>
      </c>
    </row>
    <row r="114" spans="1:19" x14ac:dyDescent="0.25">
      <c r="A114" t="s">
        <v>220</v>
      </c>
      <c r="B114" t="s">
        <v>217</v>
      </c>
      <c r="C114">
        <v>53.8</v>
      </c>
      <c r="D114" t="s">
        <v>60</v>
      </c>
      <c r="E114" t="s">
        <v>60</v>
      </c>
      <c r="F114">
        <v>27.17</v>
      </c>
      <c r="G114">
        <v>19.190000000000001</v>
      </c>
      <c r="H114">
        <v>0</v>
      </c>
      <c r="I114">
        <v>0</v>
      </c>
      <c r="J114" t="s">
        <v>61</v>
      </c>
      <c r="K114" s="17">
        <v>45642</v>
      </c>
      <c r="L114" t="s">
        <v>106</v>
      </c>
      <c r="M114" s="17">
        <v>45642</v>
      </c>
      <c r="N114" t="s">
        <v>106</v>
      </c>
      <c r="O114" s="17">
        <v>45684</v>
      </c>
      <c r="P114" t="s">
        <v>172</v>
      </c>
      <c r="Q114" t="s">
        <v>60</v>
      </c>
      <c r="R114" t="s">
        <v>221</v>
      </c>
      <c r="S114" t="s">
        <v>60</v>
      </c>
    </row>
    <row r="115" spans="1:19" x14ac:dyDescent="0.25">
      <c r="A115" t="s">
        <v>222</v>
      </c>
      <c r="B115" t="s">
        <v>217</v>
      </c>
      <c r="C115">
        <v>48.7</v>
      </c>
      <c r="D115" t="s">
        <v>60</v>
      </c>
      <c r="E115" t="s">
        <v>60</v>
      </c>
      <c r="F115">
        <v>30.15</v>
      </c>
      <c r="G115">
        <v>23.04</v>
      </c>
      <c r="H115">
        <v>0</v>
      </c>
      <c r="I115">
        <v>0</v>
      </c>
      <c r="J115" t="s">
        <v>61</v>
      </c>
      <c r="K115" s="17">
        <v>45642</v>
      </c>
      <c r="L115" t="s">
        <v>106</v>
      </c>
      <c r="M115" s="17">
        <v>45642</v>
      </c>
      <c r="N115" t="s">
        <v>106</v>
      </c>
      <c r="O115" s="17">
        <v>45684</v>
      </c>
      <c r="P115" t="s">
        <v>172</v>
      </c>
      <c r="Q115" t="s">
        <v>60</v>
      </c>
      <c r="R115" t="s">
        <v>60</v>
      </c>
      <c r="S115" t="s">
        <v>60</v>
      </c>
    </row>
    <row r="116" spans="1:19" x14ac:dyDescent="0.25">
      <c r="A116" t="s">
        <v>223</v>
      </c>
      <c r="B116" t="s">
        <v>217</v>
      </c>
      <c r="C116">
        <v>46.33</v>
      </c>
      <c r="D116" t="s">
        <v>60</v>
      </c>
      <c r="E116" t="s">
        <v>60</v>
      </c>
      <c r="F116">
        <v>28.89</v>
      </c>
      <c r="G116">
        <v>22.22</v>
      </c>
      <c r="H116">
        <v>0</v>
      </c>
      <c r="I116">
        <v>0.5</v>
      </c>
      <c r="J116" t="s">
        <v>61</v>
      </c>
      <c r="K116" s="17">
        <v>45642</v>
      </c>
      <c r="L116" t="s">
        <v>106</v>
      </c>
      <c r="M116" s="17">
        <v>45642</v>
      </c>
      <c r="N116" t="s">
        <v>106</v>
      </c>
      <c r="O116" s="17">
        <v>45684</v>
      </c>
      <c r="P116" t="s">
        <v>172</v>
      </c>
      <c r="Q116" t="s">
        <v>60</v>
      </c>
      <c r="R116" t="s">
        <v>60</v>
      </c>
      <c r="S116" t="s">
        <v>60</v>
      </c>
    </row>
    <row r="117" spans="1:19" x14ac:dyDescent="0.25">
      <c r="A117" t="s">
        <v>224</v>
      </c>
      <c r="B117" t="s">
        <v>225</v>
      </c>
      <c r="C117">
        <v>40.880000000000003</v>
      </c>
      <c r="D117" t="s">
        <v>60</v>
      </c>
      <c r="E117" t="s">
        <v>60</v>
      </c>
      <c r="F117">
        <v>11.68</v>
      </c>
      <c r="G117">
        <v>8.61</v>
      </c>
      <c r="H117">
        <v>0</v>
      </c>
      <c r="I117">
        <v>0</v>
      </c>
      <c r="J117" t="s">
        <v>61</v>
      </c>
      <c r="K117" s="17">
        <v>45642</v>
      </c>
      <c r="L117" t="s">
        <v>106</v>
      </c>
      <c r="M117" s="17">
        <v>45642</v>
      </c>
      <c r="N117" t="s">
        <v>106</v>
      </c>
      <c r="O117" s="17">
        <v>45684</v>
      </c>
      <c r="P117" t="s">
        <v>172</v>
      </c>
      <c r="Q117" t="s">
        <v>60</v>
      </c>
      <c r="R117" t="s">
        <v>60</v>
      </c>
      <c r="S117" t="s">
        <v>60</v>
      </c>
    </row>
    <row r="118" spans="1:19" x14ac:dyDescent="0.25">
      <c r="A118" t="s">
        <v>226</v>
      </c>
      <c r="B118" t="s">
        <v>225</v>
      </c>
      <c r="C118">
        <v>41.86</v>
      </c>
      <c r="D118" t="s">
        <v>60</v>
      </c>
      <c r="E118" t="s">
        <v>60</v>
      </c>
      <c r="F118">
        <v>22.93</v>
      </c>
      <c r="G118">
        <v>17.34</v>
      </c>
      <c r="H118">
        <v>0</v>
      </c>
      <c r="I118">
        <v>0.5</v>
      </c>
      <c r="J118" t="s">
        <v>61</v>
      </c>
      <c r="K118" s="17">
        <v>45642</v>
      </c>
      <c r="L118" t="s">
        <v>106</v>
      </c>
      <c r="M118" s="17">
        <v>45642</v>
      </c>
      <c r="N118" t="s">
        <v>106</v>
      </c>
      <c r="O118" s="17">
        <v>45684</v>
      </c>
      <c r="P118" t="s">
        <v>172</v>
      </c>
      <c r="Q118" t="s">
        <v>60</v>
      </c>
      <c r="R118" t="s">
        <v>60</v>
      </c>
      <c r="S118" t="s">
        <v>60</v>
      </c>
    </row>
    <row r="119" spans="1:19" x14ac:dyDescent="0.25">
      <c r="A119" t="s">
        <v>227</v>
      </c>
      <c r="B119" t="s">
        <v>225</v>
      </c>
      <c r="C119">
        <v>45.18</v>
      </c>
      <c r="D119" t="s">
        <v>60</v>
      </c>
      <c r="E119" t="s">
        <v>60</v>
      </c>
      <c r="F119">
        <v>15.89</v>
      </c>
      <c r="G119">
        <v>12.33</v>
      </c>
      <c r="H119">
        <v>0</v>
      </c>
      <c r="I119">
        <v>0</v>
      </c>
      <c r="J119" t="s">
        <v>61</v>
      </c>
      <c r="K119" s="17">
        <v>45642</v>
      </c>
      <c r="L119" t="s">
        <v>106</v>
      </c>
      <c r="M119" s="17">
        <v>45642</v>
      </c>
      <c r="N119" t="s">
        <v>106</v>
      </c>
      <c r="O119" s="17">
        <v>45684</v>
      </c>
      <c r="P119" t="s">
        <v>172</v>
      </c>
      <c r="Q119" t="s">
        <v>60</v>
      </c>
      <c r="R119" t="s">
        <v>60</v>
      </c>
      <c r="S119" t="s">
        <v>60</v>
      </c>
    </row>
    <row r="120" spans="1:19" x14ac:dyDescent="0.25">
      <c r="A120" t="s">
        <v>228</v>
      </c>
      <c r="B120" t="s">
        <v>225</v>
      </c>
      <c r="C120">
        <v>39.799999999999997</v>
      </c>
      <c r="D120" t="s">
        <v>60</v>
      </c>
      <c r="E120" t="s">
        <v>60</v>
      </c>
      <c r="F120">
        <v>13.53</v>
      </c>
      <c r="G120">
        <v>11.07</v>
      </c>
      <c r="H120">
        <v>0</v>
      </c>
      <c r="I120">
        <v>0.5</v>
      </c>
      <c r="J120" t="s">
        <v>61</v>
      </c>
      <c r="K120" s="17">
        <v>45642</v>
      </c>
      <c r="L120" t="s">
        <v>106</v>
      </c>
      <c r="M120" s="17">
        <v>45642</v>
      </c>
      <c r="N120" t="s">
        <v>106</v>
      </c>
      <c r="O120" s="17">
        <v>45684</v>
      </c>
      <c r="P120" t="s">
        <v>172</v>
      </c>
      <c r="Q120" t="s">
        <v>60</v>
      </c>
      <c r="R120" t="s">
        <v>60</v>
      </c>
      <c r="S120" t="s">
        <v>60</v>
      </c>
    </row>
    <row r="121" spans="1:19" x14ac:dyDescent="0.25">
      <c r="A121" t="s">
        <v>229</v>
      </c>
      <c r="B121" t="s">
        <v>225</v>
      </c>
      <c r="C121">
        <v>38.29</v>
      </c>
      <c r="D121" t="s">
        <v>60</v>
      </c>
      <c r="E121" t="s">
        <v>60</v>
      </c>
      <c r="F121">
        <v>15.49</v>
      </c>
      <c r="G121">
        <v>12.08</v>
      </c>
      <c r="H121">
        <v>0</v>
      </c>
      <c r="I121">
        <v>0.5</v>
      </c>
      <c r="J121" t="s">
        <v>61</v>
      </c>
      <c r="K121" s="17">
        <v>45642</v>
      </c>
      <c r="L121" t="s">
        <v>106</v>
      </c>
      <c r="M121" s="17">
        <v>45642</v>
      </c>
      <c r="N121" t="s">
        <v>106</v>
      </c>
      <c r="O121" s="17">
        <v>45684</v>
      </c>
      <c r="P121" t="s">
        <v>172</v>
      </c>
      <c r="Q121" t="s">
        <v>60</v>
      </c>
      <c r="R121" t="s">
        <v>60</v>
      </c>
      <c r="S121" t="s">
        <v>60</v>
      </c>
    </row>
    <row r="122" spans="1:19" x14ac:dyDescent="0.25">
      <c r="A122" t="s">
        <v>230</v>
      </c>
      <c r="B122" t="s">
        <v>231</v>
      </c>
      <c r="C122">
        <v>47.84</v>
      </c>
      <c r="D122" t="s">
        <v>60</v>
      </c>
      <c r="E122" t="s">
        <v>60</v>
      </c>
      <c r="F122">
        <v>8.59</v>
      </c>
      <c r="G122">
        <v>6.56</v>
      </c>
      <c r="H122">
        <v>0</v>
      </c>
      <c r="I122">
        <v>0</v>
      </c>
      <c r="J122" t="s">
        <v>61</v>
      </c>
      <c r="K122" s="17">
        <v>45432</v>
      </c>
      <c r="L122" t="s">
        <v>62</v>
      </c>
      <c r="M122" s="17">
        <v>45470</v>
      </c>
      <c r="N122" t="s">
        <v>63</v>
      </c>
      <c r="O122" s="17">
        <v>45601</v>
      </c>
      <c r="P122" t="s">
        <v>63</v>
      </c>
      <c r="Q122" t="s">
        <v>60</v>
      </c>
      <c r="R122" t="s">
        <v>60</v>
      </c>
      <c r="S122" t="s">
        <v>60</v>
      </c>
    </row>
    <row r="123" spans="1:19" x14ac:dyDescent="0.25">
      <c r="A123" t="s">
        <v>232</v>
      </c>
      <c r="B123" t="s">
        <v>231</v>
      </c>
      <c r="C123">
        <v>52.6</v>
      </c>
      <c r="D123" t="s">
        <v>60</v>
      </c>
      <c r="E123" t="s">
        <v>60</v>
      </c>
      <c r="F123">
        <v>44.04</v>
      </c>
      <c r="G123">
        <v>33.5</v>
      </c>
      <c r="H123">
        <v>0</v>
      </c>
      <c r="I123">
        <v>0.5</v>
      </c>
      <c r="J123" t="s">
        <v>61</v>
      </c>
      <c r="K123" s="17">
        <v>45432</v>
      </c>
      <c r="L123" t="s">
        <v>62</v>
      </c>
      <c r="M123" s="17">
        <v>45470</v>
      </c>
      <c r="N123" t="s">
        <v>63</v>
      </c>
      <c r="O123" s="17">
        <v>45601</v>
      </c>
      <c r="P123" t="s">
        <v>63</v>
      </c>
      <c r="Q123" t="s">
        <v>60</v>
      </c>
      <c r="R123" t="s">
        <v>60</v>
      </c>
      <c r="S123" t="s">
        <v>60</v>
      </c>
    </row>
    <row r="124" spans="1:19" x14ac:dyDescent="0.25">
      <c r="A124" t="s">
        <v>233</v>
      </c>
      <c r="B124" t="s">
        <v>231</v>
      </c>
      <c r="C124">
        <v>52.35</v>
      </c>
      <c r="D124" t="s">
        <v>60</v>
      </c>
      <c r="E124" t="s">
        <v>60</v>
      </c>
      <c r="F124">
        <v>32.54</v>
      </c>
      <c r="G124">
        <v>22.13</v>
      </c>
      <c r="H124">
        <v>0</v>
      </c>
      <c r="I124">
        <v>0.5</v>
      </c>
      <c r="J124" t="s">
        <v>61</v>
      </c>
      <c r="K124" s="17">
        <v>45432</v>
      </c>
      <c r="L124" t="s">
        <v>62</v>
      </c>
      <c r="M124" s="17">
        <v>45470</v>
      </c>
      <c r="N124" t="s">
        <v>63</v>
      </c>
      <c r="O124" s="17">
        <v>45601</v>
      </c>
      <c r="P124" t="s">
        <v>63</v>
      </c>
      <c r="Q124" t="s">
        <v>60</v>
      </c>
      <c r="R124" t="s">
        <v>60</v>
      </c>
      <c r="S124" t="s">
        <v>60</v>
      </c>
    </row>
    <row r="125" spans="1:19" x14ac:dyDescent="0.25">
      <c r="A125" t="s">
        <v>234</v>
      </c>
      <c r="B125" t="s">
        <v>231</v>
      </c>
      <c r="C125">
        <v>57.14</v>
      </c>
      <c r="D125" t="s">
        <v>60</v>
      </c>
      <c r="E125" t="s">
        <v>60</v>
      </c>
      <c r="F125">
        <v>59.38</v>
      </c>
      <c r="G125">
        <v>45.8</v>
      </c>
      <c r="H125">
        <v>0</v>
      </c>
      <c r="I125">
        <v>0</v>
      </c>
      <c r="J125" t="s">
        <v>61</v>
      </c>
      <c r="K125" s="17">
        <v>45432</v>
      </c>
      <c r="L125" t="s">
        <v>62</v>
      </c>
      <c r="M125" s="17">
        <v>45470</v>
      </c>
      <c r="N125" t="s">
        <v>63</v>
      </c>
      <c r="O125" s="17">
        <v>45601</v>
      </c>
      <c r="P125" t="s">
        <v>63</v>
      </c>
      <c r="Q125" t="s">
        <v>60</v>
      </c>
      <c r="R125" t="s">
        <v>60</v>
      </c>
      <c r="S125" t="s">
        <v>60</v>
      </c>
    </row>
    <row r="126" spans="1:19" x14ac:dyDescent="0.25">
      <c r="A126" t="s">
        <v>235</v>
      </c>
      <c r="B126" t="s">
        <v>231</v>
      </c>
      <c r="C126">
        <v>43.77</v>
      </c>
      <c r="D126" t="s">
        <v>60</v>
      </c>
      <c r="E126" t="s">
        <v>60</v>
      </c>
      <c r="F126">
        <v>23.86</v>
      </c>
      <c r="G126">
        <v>17.52</v>
      </c>
      <c r="H126">
        <v>0</v>
      </c>
      <c r="I126">
        <v>0.5</v>
      </c>
      <c r="J126" t="s">
        <v>61</v>
      </c>
      <c r="K126" s="17">
        <v>45432</v>
      </c>
      <c r="L126" t="s">
        <v>62</v>
      </c>
      <c r="M126" s="17">
        <v>45470</v>
      </c>
      <c r="N126" t="s">
        <v>63</v>
      </c>
      <c r="O126" s="17">
        <v>45601</v>
      </c>
      <c r="P126" t="s">
        <v>63</v>
      </c>
      <c r="Q126" t="s">
        <v>60</v>
      </c>
      <c r="R126" t="s">
        <v>60</v>
      </c>
      <c r="S126" t="s">
        <v>60</v>
      </c>
    </row>
    <row r="127" spans="1:19" x14ac:dyDescent="0.25">
      <c r="A127" t="s">
        <v>236</v>
      </c>
      <c r="B127" t="s">
        <v>237</v>
      </c>
      <c r="C127">
        <v>65.83</v>
      </c>
      <c r="D127" t="s">
        <v>60</v>
      </c>
      <c r="E127" t="s">
        <v>60</v>
      </c>
      <c r="F127">
        <v>37.729999999999997</v>
      </c>
      <c r="G127">
        <v>26.86</v>
      </c>
      <c r="H127">
        <v>0.5</v>
      </c>
      <c r="I127">
        <v>0.5</v>
      </c>
      <c r="J127" t="s">
        <v>61</v>
      </c>
      <c r="K127" s="17">
        <v>45432</v>
      </c>
      <c r="L127" t="s">
        <v>62</v>
      </c>
      <c r="M127" s="17">
        <v>45470</v>
      </c>
      <c r="N127" t="s">
        <v>63</v>
      </c>
      <c r="O127" s="17">
        <v>45601</v>
      </c>
      <c r="P127" t="s">
        <v>63</v>
      </c>
      <c r="Q127" t="s">
        <v>60</v>
      </c>
      <c r="R127" t="s">
        <v>60</v>
      </c>
      <c r="S127" t="s">
        <v>60</v>
      </c>
    </row>
    <row r="128" spans="1:19" x14ac:dyDescent="0.25">
      <c r="A128" t="s">
        <v>238</v>
      </c>
      <c r="B128" t="s">
        <v>237</v>
      </c>
      <c r="C128">
        <v>34.97</v>
      </c>
      <c r="D128" t="s">
        <v>60</v>
      </c>
      <c r="E128" t="s">
        <v>60</v>
      </c>
      <c r="F128">
        <v>10</v>
      </c>
      <c r="G128">
        <v>7.68</v>
      </c>
      <c r="H128">
        <v>0</v>
      </c>
      <c r="I128">
        <v>0</v>
      </c>
      <c r="J128" t="s">
        <v>61</v>
      </c>
      <c r="K128" s="17">
        <v>45432</v>
      </c>
      <c r="L128" t="s">
        <v>62</v>
      </c>
      <c r="M128" s="17">
        <v>45470</v>
      </c>
      <c r="N128" t="s">
        <v>63</v>
      </c>
      <c r="O128" s="17">
        <v>45601</v>
      </c>
      <c r="P128" t="s">
        <v>63</v>
      </c>
      <c r="Q128" t="s">
        <v>60</v>
      </c>
      <c r="R128" t="s">
        <v>239</v>
      </c>
      <c r="S128" t="s">
        <v>60</v>
      </c>
    </row>
    <row r="129" spans="1:19" x14ac:dyDescent="0.25">
      <c r="A129" t="s">
        <v>240</v>
      </c>
      <c r="B129" t="s">
        <v>237</v>
      </c>
      <c r="C129">
        <v>62.38</v>
      </c>
      <c r="D129" t="s">
        <v>60</v>
      </c>
      <c r="E129" t="s">
        <v>60</v>
      </c>
      <c r="F129">
        <v>61.38</v>
      </c>
      <c r="G129">
        <v>42.43</v>
      </c>
      <c r="H129">
        <v>1</v>
      </c>
      <c r="I129">
        <v>1</v>
      </c>
      <c r="J129" t="s">
        <v>61</v>
      </c>
      <c r="K129" s="17">
        <v>45432</v>
      </c>
      <c r="L129" t="s">
        <v>62</v>
      </c>
      <c r="M129" s="17">
        <v>45470</v>
      </c>
      <c r="N129" t="s">
        <v>63</v>
      </c>
      <c r="O129" s="17">
        <v>45601</v>
      </c>
      <c r="P129" t="s">
        <v>63</v>
      </c>
      <c r="Q129" t="s">
        <v>60</v>
      </c>
      <c r="R129" t="s">
        <v>60</v>
      </c>
      <c r="S129" t="s">
        <v>60</v>
      </c>
    </row>
    <row r="130" spans="1:19" x14ac:dyDescent="0.25">
      <c r="A130" t="s">
        <v>241</v>
      </c>
      <c r="B130" t="s">
        <v>237</v>
      </c>
      <c r="C130">
        <v>61.94</v>
      </c>
      <c r="D130" t="s">
        <v>60</v>
      </c>
      <c r="E130" t="s">
        <v>60</v>
      </c>
      <c r="F130">
        <v>46.31</v>
      </c>
      <c r="G130">
        <v>35.590000000000003</v>
      </c>
      <c r="H130">
        <v>0.5</v>
      </c>
      <c r="I130">
        <v>0</v>
      </c>
      <c r="J130" t="s">
        <v>61</v>
      </c>
      <c r="K130" s="17">
        <v>45432</v>
      </c>
      <c r="L130" t="s">
        <v>62</v>
      </c>
      <c r="M130" s="17">
        <v>45470</v>
      </c>
      <c r="N130" t="s">
        <v>63</v>
      </c>
      <c r="O130" s="17">
        <v>45601</v>
      </c>
      <c r="P130" t="s">
        <v>63</v>
      </c>
      <c r="Q130" t="s">
        <v>60</v>
      </c>
      <c r="R130" t="s">
        <v>242</v>
      </c>
      <c r="S130" t="s">
        <v>60</v>
      </c>
    </row>
    <row r="131" spans="1:19" x14ac:dyDescent="0.25">
      <c r="A131" t="s">
        <v>243</v>
      </c>
      <c r="B131" t="s">
        <v>237</v>
      </c>
      <c r="C131">
        <v>50.44</v>
      </c>
      <c r="D131" t="s">
        <v>60</v>
      </c>
      <c r="E131" t="s">
        <v>60</v>
      </c>
      <c r="F131">
        <v>25.21</v>
      </c>
      <c r="G131">
        <v>16.850000000000001</v>
      </c>
      <c r="H131">
        <v>1</v>
      </c>
      <c r="I131">
        <v>1</v>
      </c>
      <c r="J131" t="s">
        <v>61</v>
      </c>
      <c r="K131" s="17">
        <v>45432</v>
      </c>
      <c r="L131" t="s">
        <v>62</v>
      </c>
      <c r="M131" s="17">
        <v>45470</v>
      </c>
      <c r="N131" t="s">
        <v>63</v>
      </c>
      <c r="O131" s="17">
        <v>45601</v>
      </c>
      <c r="P131" t="s">
        <v>63</v>
      </c>
      <c r="Q131" t="s">
        <v>60</v>
      </c>
      <c r="R131" t="s">
        <v>60</v>
      </c>
      <c r="S131" t="s">
        <v>60</v>
      </c>
    </row>
    <row r="132" spans="1:19" x14ac:dyDescent="0.25">
      <c r="A132" t="s">
        <v>244</v>
      </c>
      <c r="B132" t="s">
        <v>245</v>
      </c>
      <c r="C132">
        <v>37.24</v>
      </c>
      <c r="D132" t="s">
        <v>60</v>
      </c>
      <c r="E132" t="s">
        <v>60</v>
      </c>
      <c r="F132">
        <v>11.69</v>
      </c>
      <c r="G132">
        <v>9.25</v>
      </c>
      <c r="H132">
        <v>0</v>
      </c>
      <c r="I132">
        <v>0</v>
      </c>
      <c r="J132" t="s">
        <v>61</v>
      </c>
      <c r="K132" s="17">
        <v>45432</v>
      </c>
      <c r="L132" t="s">
        <v>62</v>
      </c>
      <c r="M132" s="17">
        <v>45470</v>
      </c>
      <c r="N132" t="s">
        <v>63</v>
      </c>
      <c r="O132" s="17">
        <v>45601</v>
      </c>
      <c r="P132" t="s">
        <v>63</v>
      </c>
      <c r="Q132" t="s">
        <v>60</v>
      </c>
      <c r="R132" t="s">
        <v>246</v>
      </c>
      <c r="S132" t="s">
        <v>60</v>
      </c>
    </row>
    <row r="133" spans="1:19" x14ac:dyDescent="0.25">
      <c r="A133" t="s">
        <v>247</v>
      </c>
      <c r="B133" t="s">
        <v>245</v>
      </c>
      <c r="C133">
        <v>76.12</v>
      </c>
      <c r="D133" t="s">
        <v>60</v>
      </c>
      <c r="E133" t="s">
        <v>60</v>
      </c>
      <c r="F133">
        <v>71.959999999999994</v>
      </c>
      <c r="G133">
        <v>47.64</v>
      </c>
      <c r="H133">
        <v>0</v>
      </c>
      <c r="I133">
        <v>0</v>
      </c>
      <c r="J133" t="s">
        <v>61</v>
      </c>
      <c r="K133" s="17">
        <v>45432</v>
      </c>
      <c r="L133" t="s">
        <v>62</v>
      </c>
      <c r="M133" s="17">
        <v>45470</v>
      </c>
      <c r="N133" t="s">
        <v>63</v>
      </c>
      <c r="O133" s="17">
        <v>45601</v>
      </c>
      <c r="P133" t="s">
        <v>63</v>
      </c>
      <c r="Q133" t="s">
        <v>60</v>
      </c>
      <c r="R133" t="s">
        <v>60</v>
      </c>
      <c r="S133" t="s">
        <v>60</v>
      </c>
    </row>
    <row r="134" spans="1:19" x14ac:dyDescent="0.25">
      <c r="A134" t="s">
        <v>248</v>
      </c>
      <c r="B134" t="s">
        <v>245</v>
      </c>
      <c r="C134">
        <v>51.89</v>
      </c>
      <c r="D134" t="s">
        <v>60</v>
      </c>
      <c r="E134" t="s">
        <v>60</v>
      </c>
      <c r="F134">
        <v>22.62</v>
      </c>
      <c r="G134">
        <v>14.94</v>
      </c>
      <c r="H134">
        <v>0</v>
      </c>
      <c r="I134">
        <v>0.5</v>
      </c>
      <c r="J134" t="s">
        <v>61</v>
      </c>
      <c r="K134" s="17">
        <v>45432</v>
      </c>
      <c r="L134" t="s">
        <v>62</v>
      </c>
      <c r="M134" s="17">
        <v>45470</v>
      </c>
      <c r="N134" t="s">
        <v>63</v>
      </c>
      <c r="O134" s="17">
        <v>45601</v>
      </c>
      <c r="P134" t="s">
        <v>63</v>
      </c>
      <c r="Q134" t="s">
        <v>60</v>
      </c>
      <c r="R134" t="s">
        <v>60</v>
      </c>
      <c r="S134" t="s">
        <v>60</v>
      </c>
    </row>
    <row r="135" spans="1:19" x14ac:dyDescent="0.25">
      <c r="A135" t="s">
        <v>249</v>
      </c>
      <c r="B135" t="s">
        <v>245</v>
      </c>
      <c r="C135">
        <v>40.11</v>
      </c>
      <c r="D135" t="s">
        <v>60</v>
      </c>
      <c r="E135" t="s">
        <v>60</v>
      </c>
      <c r="F135">
        <v>8.8000000000000007</v>
      </c>
      <c r="G135">
        <v>6.11</v>
      </c>
      <c r="H135">
        <v>0</v>
      </c>
      <c r="I135">
        <v>0</v>
      </c>
      <c r="J135" t="s">
        <v>61</v>
      </c>
      <c r="K135" s="17">
        <v>45432</v>
      </c>
      <c r="L135" t="s">
        <v>62</v>
      </c>
      <c r="M135" s="17">
        <v>45470</v>
      </c>
      <c r="N135" t="s">
        <v>63</v>
      </c>
      <c r="O135" s="17">
        <v>45601</v>
      </c>
      <c r="P135" t="s">
        <v>63</v>
      </c>
      <c r="Q135" t="s">
        <v>60</v>
      </c>
      <c r="R135" t="s">
        <v>60</v>
      </c>
      <c r="S135" t="s">
        <v>60</v>
      </c>
    </row>
    <row r="136" spans="1:19" x14ac:dyDescent="0.25">
      <c r="A136" t="s">
        <v>250</v>
      </c>
      <c r="B136" t="s">
        <v>245</v>
      </c>
      <c r="C136">
        <v>57.81</v>
      </c>
      <c r="D136" t="s">
        <v>60</v>
      </c>
      <c r="E136" t="s">
        <v>60</v>
      </c>
      <c r="F136">
        <v>27.4</v>
      </c>
      <c r="G136">
        <v>20.02</v>
      </c>
      <c r="H136">
        <v>0</v>
      </c>
      <c r="I136">
        <v>0</v>
      </c>
      <c r="J136" t="s">
        <v>61</v>
      </c>
      <c r="K136" s="17">
        <v>45432</v>
      </c>
      <c r="L136" t="s">
        <v>62</v>
      </c>
      <c r="M136" s="17">
        <v>45470</v>
      </c>
      <c r="N136" t="s">
        <v>63</v>
      </c>
      <c r="O136" s="17">
        <v>45601</v>
      </c>
      <c r="P136" t="s">
        <v>63</v>
      </c>
      <c r="Q136" t="s">
        <v>60</v>
      </c>
      <c r="R136" t="s">
        <v>60</v>
      </c>
      <c r="S136" t="s">
        <v>60</v>
      </c>
    </row>
    <row r="137" spans="1:19" x14ac:dyDescent="0.25">
      <c r="A137" t="s">
        <v>251</v>
      </c>
      <c r="B137" t="s">
        <v>252</v>
      </c>
      <c r="C137">
        <v>38.76</v>
      </c>
      <c r="D137" t="s">
        <v>60</v>
      </c>
      <c r="E137" t="s">
        <v>60</v>
      </c>
      <c r="F137">
        <v>16.14</v>
      </c>
      <c r="G137">
        <v>12.15</v>
      </c>
      <c r="H137">
        <v>0</v>
      </c>
      <c r="I137">
        <v>0</v>
      </c>
      <c r="J137" t="s">
        <v>61</v>
      </c>
      <c r="K137" s="17">
        <v>45469</v>
      </c>
      <c r="L137" t="s">
        <v>63</v>
      </c>
      <c r="M137" s="17">
        <v>45470</v>
      </c>
      <c r="N137" t="s">
        <v>85</v>
      </c>
      <c r="O137" s="17">
        <v>45511</v>
      </c>
      <c r="P137" t="s">
        <v>63</v>
      </c>
      <c r="Q137" t="s">
        <v>60</v>
      </c>
      <c r="R137" t="s">
        <v>60</v>
      </c>
      <c r="S137" t="s">
        <v>60</v>
      </c>
    </row>
    <row r="138" spans="1:19" x14ac:dyDescent="0.25">
      <c r="A138" t="s">
        <v>253</v>
      </c>
      <c r="B138" t="s">
        <v>252</v>
      </c>
      <c r="C138">
        <v>60.18</v>
      </c>
      <c r="D138" t="s">
        <v>60</v>
      </c>
      <c r="E138" t="s">
        <v>60</v>
      </c>
      <c r="F138">
        <v>25.28</v>
      </c>
      <c r="G138">
        <v>18.03</v>
      </c>
      <c r="H138">
        <v>1</v>
      </c>
      <c r="I138">
        <v>0</v>
      </c>
      <c r="J138" t="s">
        <v>61</v>
      </c>
      <c r="K138" s="17">
        <v>45469</v>
      </c>
      <c r="L138" t="s">
        <v>63</v>
      </c>
      <c r="M138" s="17">
        <v>45470</v>
      </c>
      <c r="N138" t="s">
        <v>85</v>
      </c>
      <c r="O138" s="17">
        <v>45511</v>
      </c>
      <c r="P138" t="s">
        <v>63</v>
      </c>
      <c r="Q138" t="s">
        <v>60</v>
      </c>
      <c r="R138" t="s">
        <v>60</v>
      </c>
      <c r="S138" t="s">
        <v>60</v>
      </c>
    </row>
    <row r="139" spans="1:19" x14ac:dyDescent="0.25">
      <c r="A139" t="s">
        <v>254</v>
      </c>
      <c r="B139" t="s">
        <v>252</v>
      </c>
      <c r="C139">
        <v>41.42</v>
      </c>
      <c r="D139" t="s">
        <v>60</v>
      </c>
      <c r="E139" t="s">
        <v>60</v>
      </c>
      <c r="F139">
        <v>21.22</v>
      </c>
      <c r="G139">
        <v>16.38</v>
      </c>
      <c r="H139">
        <v>2</v>
      </c>
      <c r="I139">
        <v>2</v>
      </c>
      <c r="J139" t="s">
        <v>61</v>
      </c>
      <c r="K139" s="17">
        <v>45469</v>
      </c>
      <c r="L139" t="s">
        <v>63</v>
      </c>
      <c r="M139" s="17">
        <v>45470</v>
      </c>
      <c r="N139" t="s">
        <v>85</v>
      </c>
      <c r="O139" s="17">
        <v>45511</v>
      </c>
      <c r="P139" t="s">
        <v>63</v>
      </c>
      <c r="Q139" t="s">
        <v>60</v>
      </c>
      <c r="R139" t="s">
        <v>255</v>
      </c>
      <c r="S139" t="s">
        <v>60</v>
      </c>
    </row>
    <row r="140" spans="1:19" x14ac:dyDescent="0.25">
      <c r="A140" t="s">
        <v>256</v>
      </c>
      <c r="B140" t="s">
        <v>252</v>
      </c>
      <c r="C140">
        <v>54.62</v>
      </c>
      <c r="D140" t="s">
        <v>60</v>
      </c>
      <c r="E140" t="s">
        <v>60</v>
      </c>
      <c r="F140">
        <v>26.77</v>
      </c>
      <c r="G140">
        <v>19.77</v>
      </c>
      <c r="H140">
        <v>1</v>
      </c>
      <c r="I140">
        <v>1</v>
      </c>
      <c r="J140" t="s">
        <v>61</v>
      </c>
      <c r="K140" s="17">
        <v>45469</v>
      </c>
      <c r="L140" t="s">
        <v>63</v>
      </c>
      <c r="M140" s="17">
        <v>45470</v>
      </c>
      <c r="N140" t="s">
        <v>85</v>
      </c>
      <c r="O140" s="17">
        <v>45511</v>
      </c>
      <c r="P140" t="s">
        <v>63</v>
      </c>
      <c r="Q140" t="s">
        <v>60</v>
      </c>
      <c r="R140" t="s">
        <v>60</v>
      </c>
      <c r="S140" t="s">
        <v>60</v>
      </c>
    </row>
    <row r="141" spans="1:19" x14ac:dyDescent="0.25">
      <c r="A141" t="s">
        <v>257</v>
      </c>
      <c r="B141" t="s">
        <v>252</v>
      </c>
      <c r="C141">
        <v>43.48</v>
      </c>
      <c r="D141" t="s">
        <v>60</v>
      </c>
      <c r="E141" t="s">
        <v>60</v>
      </c>
      <c r="F141">
        <v>20.58</v>
      </c>
      <c r="G141">
        <v>15.01</v>
      </c>
      <c r="H141">
        <v>2</v>
      </c>
      <c r="I141">
        <v>2</v>
      </c>
      <c r="J141" t="s">
        <v>61</v>
      </c>
      <c r="K141" s="17">
        <v>45469</v>
      </c>
      <c r="L141" t="s">
        <v>63</v>
      </c>
      <c r="M141" s="17">
        <v>45470</v>
      </c>
      <c r="N141" t="s">
        <v>85</v>
      </c>
      <c r="O141" s="17">
        <v>45511</v>
      </c>
      <c r="P141" t="s">
        <v>63</v>
      </c>
      <c r="Q141" t="s">
        <v>60</v>
      </c>
      <c r="R141" t="s">
        <v>258</v>
      </c>
      <c r="S141" t="s">
        <v>60</v>
      </c>
    </row>
    <row r="142" spans="1:19" x14ac:dyDescent="0.25">
      <c r="A142" t="s">
        <v>259</v>
      </c>
      <c r="B142" t="s">
        <v>260</v>
      </c>
      <c r="C142">
        <v>53.36</v>
      </c>
      <c r="D142" t="s">
        <v>60</v>
      </c>
      <c r="E142" t="s">
        <v>60</v>
      </c>
      <c r="F142">
        <v>43.84</v>
      </c>
      <c r="G142">
        <v>32.01</v>
      </c>
      <c r="H142">
        <v>0</v>
      </c>
      <c r="I142">
        <v>0</v>
      </c>
      <c r="J142" t="s">
        <v>61</v>
      </c>
      <c r="K142" s="17">
        <v>45469</v>
      </c>
      <c r="L142" t="s">
        <v>63</v>
      </c>
      <c r="M142" s="17">
        <v>45470</v>
      </c>
      <c r="N142" t="s">
        <v>85</v>
      </c>
      <c r="O142" s="17">
        <v>45511</v>
      </c>
      <c r="P142" t="s">
        <v>63</v>
      </c>
      <c r="Q142" t="s">
        <v>60</v>
      </c>
      <c r="R142" t="s">
        <v>60</v>
      </c>
      <c r="S142" t="s">
        <v>60</v>
      </c>
    </row>
    <row r="143" spans="1:19" x14ac:dyDescent="0.25">
      <c r="A143" t="s">
        <v>261</v>
      </c>
      <c r="B143" t="s">
        <v>260</v>
      </c>
      <c r="C143">
        <v>52.74</v>
      </c>
      <c r="D143" t="s">
        <v>60</v>
      </c>
      <c r="E143" t="s">
        <v>60</v>
      </c>
      <c r="F143">
        <v>31.14</v>
      </c>
      <c r="G143">
        <v>22.07</v>
      </c>
      <c r="H143">
        <v>0</v>
      </c>
      <c r="I143">
        <v>0</v>
      </c>
      <c r="J143" t="s">
        <v>61</v>
      </c>
      <c r="K143" s="17">
        <v>45469</v>
      </c>
      <c r="L143" t="s">
        <v>63</v>
      </c>
      <c r="M143" s="17">
        <v>45470</v>
      </c>
      <c r="N143" t="s">
        <v>85</v>
      </c>
      <c r="O143" s="17">
        <v>45511</v>
      </c>
      <c r="P143" t="s">
        <v>63</v>
      </c>
      <c r="Q143" t="s">
        <v>60</v>
      </c>
      <c r="R143" t="s">
        <v>60</v>
      </c>
      <c r="S143" t="s">
        <v>60</v>
      </c>
    </row>
    <row r="144" spans="1:19" x14ac:dyDescent="0.25">
      <c r="A144" t="s">
        <v>262</v>
      </c>
      <c r="B144" t="s">
        <v>260</v>
      </c>
      <c r="C144">
        <v>50.07</v>
      </c>
      <c r="D144" t="s">
        <v>60</v>
      </c>
      <c r="E144" t="s">
        <v>60</v>
      </c>
      <c r="F144">
        <v>30.91</v>
      </c>
      <c r="G144">
        <v>23.22</v>
      </c>
      <c r="H144">
        <v>1</v>
      </c>
      <c r="I144">
        <v>1</v>
      </c>
      <c r="J144" t="s">
        <v>61</v>
      </c>
      <c r="K144" s="17">
        <v>45469</v>
      </c>
      <c r="L144" t="s">
        <v>63</v>
      </c>
      <c r="M144" s="17">
        <v>45470</v>
      </c>
      <c r="N144" t="s">
        <v>85</v>
      </c>
      <c r="O144" s="17">
        <v>45511</v>
      </c>
      <c r="P144" t="s">
        <v>63</v>
      </c>
      <c r="Q144" t="s">
        <v>60</v>
      </c>
      <c r="R144" t="s">
        <v>60</v>
      </c>
      <c r="S144" t="s">
        <v>60</v>
      </c>
    </row>
    <row r="145" spans="1:19" x14ac:dyDescent="0.25">
      <c r="A145" t="s">
        <v>263</v>
      </c>
      <c r="B145" t="s">
        <v>260</v>
      </c>
      <c r="C145">
        <v>51.35</v>
      </c>
      <c r="D145" t="s">
        <v>60</v>
      </c>
      <c r="E145" t="s">
        <v>60</v>
      </c>
      <c r="F145">
        <v>38.93</v>
      </c>
      <c r="G145">
        <v>29.53</v>
      </c>
      <c r="H145">
        <v>0.5</v>
      </c>
      <c r="I145">
        <v>0.5</v>
      </c>
      <c r="J145" t="s">
        <v>61</v>
      </c>
      <c r="K145" s="17">
        <v>45469</v>
      </c>
      <c r="L145" t="s">
        <v>63</v>
      </c>
      <c r="M145" s="17">
        <v>45470</v>
      </c>
      <c r="N145" t="s">
        <v>85</v>
      </c>
      <c r="O145" s="17">
        <v>45511</v>
      </c>
      <c r="P145" t="s">
        <v>63</v>
      </c>
      <c r="Q145" t="s">
        <v>60</v>
      </c>
      <c r="R145" t="s">
        <v>60</v>
      </c>
      <c r="S145" t="s">
        <v>60</v>
      </c>
    </row>
    <row r="146" spans="1:19" x14ac:dyDescent="0.25">
      <c r="A146" t="s">
        <v>264</v>
      </c>
      <c r="B146" t="s">
        <v>260</v>
      </c>
      <c r="C146">
        <v>32.08</v>
      </c>
      <c r="D146" t="s">
        <v>60</v>
      </c>
      <c r="E146" t="s">
        <v>60</v>
      </c>
      <c r="F146">
        <v>13.35</v>
      </c>
      <c r="G146">
        <v>10.24</v>
      </c>
      <c r="H146">
        <v>1</v>
      </c>
      <c r="I146">
        <v>1</v>
      </c>
      <c r="J146" t="s">
        <v>61</v>
      </c>
      <c r="K146" s="17">
        <v>45469</v>
      </c>
      <c r="L146" t="s">
        <v>63</v>
      </c>
      <c r="M146" s="17">
        <v>45470</v>
      </c>
      <c r="N146" t="s">
        <v>85</v>
      </c>
      <c r="O146" s="17">
        <v>45511</v>
      </c>
      <c r="P146" t="s">
        <v>63</v>
      </c>
      <c r="Q146" t="s">
        <v>60</v>
      </c>
      <c r="R146" t="s">
        <v>60</v>
      </c>
      <c r="S146" t="s">
        <v>60</v>
      </c>
    </row>
    <row r="147" spans="1:19" x14ac:dyDescent="0.25">
      <c r="A147" t="s">
        <v>265</v>
      </c>
      <c r="B147" t="s">
        <v>266</v>
      </c>
      <c r="C147">
        <v>43.43</v>
      </c>
      <c r="D147" t="s">
        <v>60</v>
      </c>
      <c r="E147" t="s">
        <v>60</v>
      </c>
      <c r="F147">
        <v>12.26</v>
      </c>
      <c r="G147">
        <v>8.9</v>
      </c>
      <c r="H147">
        <v>0</v>
      </c>
      <c r="I147">
        <v>0</v>
      </c>
      <c r="J147" t="s">
        <v>61</v>
      </c>
      <c r="K147" s="17">
        <v>45469</v>
      </c>
      <c r="L147" t="s">
        <v>63</v>
      </c>
      <c r="M147" s="17">
        <v>45470</v>
      </c>
      <c r="N147" t="s">
        <v>85</v>
      </c>
      <c r="O147" s="17">
        <v>45511</v>
      </c>
      <c r="P147" t="s">
        <v>63</v>
      </c>
      <c r="Q147" t="s">
        <v>60</v>
      </c>
      <c r="R147" t="s">
        <v>60</v>
      </c>
      <c r="S147" t="s">
        <v>60</v>
      </c>
    </row>
    <row r="148" spans="1:19" x14ac:dyDescent="0.25">
      <c r="A148" t="s">
        <v>267</v>
      </c>
      <c r="B148" t="s">
        <v>266</v>
      </c>
      <c r="C148">
        <v>45.3</v>
      </c>
      <c r="D148" t="s">
        <v>60</v>
      </c>
      <c r="E148" t="s">
        <v>60</v>
      </c>
      <c r="F148">
        <v>17.440000000000001</v>
      </c>
      <c r="G148">
        <v>12.25</v>
      </c>
      <c r="H148">
        <v>1</v>
      </c>
      <c r="I148">
        <v>2</v>
      </c>
      <c r="J148" t="s">
        <v>61</v>
      </c>
      <c r="K148" s="17">
        <v>45469</v>
      </c>
      <c r="L148" t="s">
        <v>63</v>
      </c>
      <c r="M148" s="17">
        <v>45470</v>
      </c>
      <c r="N148" t="s">
        <v>85</v>
      </c>
      <c r="O148" s="17">
        <v>45511</v>
      </c>
      <c r="P148" t="s">
        <v>63</v>
      </c>
      <c r="Q148" t="s">
        <v>60</v>
      </c>
      <c r="R148" t="s">
        <v>60</v>
      </c>
      <c r="S148" t="s">
        <v>60</v>
      </c>
    </row>
    <row r="149" spans="1:19" x14ac:dyDescent="0.25">
      <c r="A149" t="s">
        <v>268</v>
      </c>
      <c r="B149" t="s">
        <v>266</v>
      </c>
      <c r="C149">
        <v>30.71</v>
      </c>
      <c r="D149" t="s">
        <v>60</v>
      </c>
      <c r="E149" t="s">
        <v>60</v>
      </c>
      <c r="F149">
        <v>8.4700000000000006</v>
      </c>
      <c r="G149">
        <v>6.21</v>
      </c>
      <c r="H149">
        <v>0</v>
      </c>
      <c r="I149">
        <v>0</v>
      </c>
      <c r="J149" t="s">
        <v>61</v>
      </c>
      <c r="K149" s="17">
        <v>45469</v>
      </c>
      <c r="L149" t="s">
        <v>63</v>
      </c>
      <c r="M149" s="17">
        <v>45470</v>
      </c>
      <c r="N149" t="s">
        <v>85</v>
      </c>
      <c r="O149" s="17">
        <v>45511</v>
      </c>
      <c r="P149" t="s">
        <v>63</v>
      </c>
      <c r="Q149" t="s">
        <v>60</v>
      </c>
      <c r="R149" t="s">
        <v>87</v>
      </c>
      <c r="S149" t="s">
        <v>60</v>
      </c>
    </row>
    <row r="150" spans="1:19" x14ac:dyDescent="0.25">
      <c r="A150" t="s">
        <v>269</v>
      </c>
      <c r="B150" t="s">
        <v>266</v>
      </c>
      <c r="C150">
        <v>46.84</v>
      </c>
      <c r="D150" t="s">
        <v>60</v>
      </c>
      <c r="E150" t="s">
        <v>60</v>
      </c>
      <c r="F150">
        <v>12.52</v>
      </c>
      <c r="G150">
        <v>8.98</v>
      </c>
      <c r="H150">
        <v>0</v>
      </c>
      <c r="I150">
        <v>0.5</v>
      </c>
      <c r="J150" t="s">
        <v>61</v>
      </c>
      <c r="K150" s="17">
        <v>45469</v>
      </c>
      <c r="L150" t="s">
        <v>63</v>
      </c>
      <c r="M150" s="17">
        <v>45470</v>
      </c>
      <c r="N150" t="s">
        <v>85</v>
      </c>
      <c r="O150" s="17">
        <v>45511</v>
      </c>
      <c r="P150" t="s">
        <v>63</v>
      </c>
      <c r="Q150" t="s">
        <v>60</v>
      </c>
      <c r="R150" t="s">
        <v>60</v>
      </c>
      <c r="S150" t="s">
        <v>60</v>
      </c>
    </row>
    <row r="151" spans="1:19" x14ac:dyDescent="0.25">
      <c r="A151" t="s">
        <v>270</v>
      </c>
      <c r="B151" t="s">
        <v>266</v>
      </c>
      <c r="C151">
        <v>74.040000000000006</v>
      </c>
      <c r="D151" t="s">
        <v>60</v>
      </c>
      <c r="E151" t="s">
        <v>60</v>
      </c>
      <c r="F151">
        <v>66.2</v>
      </c>
      <c r="G151">
        <v>48.78</v>
      </c>
      <c r="H151">
        <v>0</v>
      </c>
      <c r="I151">
        <v>0.5</v>
      </c>
      <c r="J151" t="s">
        <v>61</v>
      </c>
      <c r="K151" s="17">
        <v>45469</v>
      </c>
      <c r="L151" t="s">
        <v>63</v>
      </c>
      <c r="M151" s="17">
        <v>45470</v>
      </c>
      <c r="N151" t="s">
        <v>85</v>
      </c>
      <c r="O151" s="17">
        <v>45511</v>
      </c>
      <c r="P151" t="s">
        <v>63</v>
      </c>
      <c r="Q151" t="s">
        <v>60</v>
      </c>
      <c r="R151" t="s">
        <v>271</v>
      </c>
      <c r="S151" t="s">
        <v>60</v>
      </c>
    </row>
    <row r="152" spans="1:19" x14ac:dyDescent="0.25">
      <c r="A152" t="s">
        <v>272</v>
      </c>
      <c r="B152" t="s">
        <v>273</v>
      </c>
      <c r="C152">
        <v>67.88</v>
      </c>
      <c r="D152" t="s">
        <v>60</v>
      </c>
      <c r="E152" t="s">
        <v>60</v>
      </c>
      <c r="F152">
        <v>79.569999999999993</v>
      </c>
      <c r="G152">
        <v>54.21</v>
      </c>
      <c r="H152">
        <v>0</v>
      </c>
      <c r="I152">
        <v>0</v>
      </c>
      <c r="J152" t="s">
        <v>61</v>
      </c>
      <c r="K152" s="17">
        <v>45497</v>
      </c>
      <c r="L152" t="s">
        <v>63</v>
      </c>
      <c r="M152" s="17">
        <v>45502</v>
      </c>
      <c r="N152" t="s">
        <v>106</v>
      </c>
      <c r="O152" s="17">
        <v>45601</v>
      </c>
      <c r="P152" t="s">
        <v>63</v>
      </c>
      <c r="Q152" t="s">
        <v>60</v>
      </c>
      <c r="R152" t="s">
        <v>60</v>
      </c>
      <c r="S152" t="s">
        <v>60</v>
      </c>
    </row>
    <row r="153" spans="1:19" x14ac:dyDescent="0.25">
      <c r="A153" t="s">
        <v>274</v>
      </c>
      <c r="B153" t="s">
        <v>273</v>
      </c>
      <c r="C153">
        <v>68.739999999999995</v>
      </c>
      <c r="D153" t="s">
        <v>60</v>
      </c>
      <c r="E153" t="s">
        <v>60</v>
      </c>
      <c r="F153">
        <v>52.31</v>
      </c>
      <c r="G153">
        <v>37.450000000000003</v>
      </c>
      <c r="H153">
        <v>0.5</v>
      </c>
      <c r="I153">
        <v>0</v>
      </c>
      <c r="J153" t="s">
        <v>61</v>
      </c>
      <c r="K153" s="17">
        <v>45497</v>
      </c>
      <c r="L153" t="s">
        <v>63</v>
      </c>
      <c r="M153" s="17">
        <v>45502</v>
      </c>
      <c r="N153" t="s">
        <v>106</v>
      </c>
      <c r="O153" s="17">
        <v>45601</v>
      </c>
      <c r="P153" t="s">
        <v>63</v>
      </c>
      <c r="Q153" t="s">
        <v>60</v>
      </c>
      <c r="R153" t="s">
        <v>60</v>
      </c>
      <c r="S153" t="s">
        <v>60</v>
      </c>
    </row>
    <row r="154" spans="1:19" x14ac:dyDescent="0.25">
      <c r="A154" t="s">
        <v>275</v>
      </c>
      <c r="B154" t="s">
        <v>273</v>
      </c>
      <c r="C154">
        <v>59.33</v>
      </c>
      <c r="D154" t="s">
        <v>60</v>
      </c>
      <c r="E154" t="s">
        <v>60</v>
      </c>
      <c r="F154">
        <v>36.409999999999997</v>
      </c>
      <c r="G154">
        <v>25.56</v>
      </c>
      <c r="H154">
        <v>0</v>
      </c>
      <c r="I154">
        <v>0</v>
      </c>
      <c r="J154" t="s">
        <v>61</v>
      </c>
      <c r="K154" s="17">
        <v>45497</v>
      </c>
      <c r="L154" t="s">
        <v>63</v>
      </c>
      <c r="M154" s="17">
        <v>45502</v>
      </c>
      <c r="N154" t="s">
        <v>106</v>
      </c>
      <c r="O154" s="17">
        <v>45601</v>
      </c>
      <c r="P154" t="s">
        <v>63</v>
      </c>
      <c r="Q154" t="s">
        <v>60</v>
      </c>
      <c r="R154" t="s">
        <v>60</v>
      </c>
      <c r="S154" t="s">
        <v>60</v>
      </c>
    </row>
    <row r="155" spans="1:19" x14ac:dyDescent="0.25">
      <c r="A155" t="s">
        <v>276</v>
      </c>
      <c r="B155" t="s">
        <v>273</v>
      </c>
      <c r="C155">
        <v>50.5</v>
      </c>
      <c r="D155" t="s">
        <v>60</v>
      </c>
      <c r="E155" t="s">
        <v>60</v>
      </c>
      <c r="F155">
        <v>26.33</v>
      </c>
      <c r="G155">
        <v>20.97</v>
      </c>
      <c r="H155">
        <v>1</v>
      </c>
      <c r="I155">
        <v>2</v>
      </c>
      <c r="J155" t="s">
        <v>61</v>
      </c>
      <c r="K155" s="17">
        <v>45497</v>
      </c>
      <c r="L155" t="s">
        <v>63</v>
      </c>
      <c r="M155" s="17">
        <v>45502</v>
      </c>
      <c r="N155" t="s">
        <v>106</v>
      </c>
      <c r="O155" s="17">
        <v>45601</v>
      </c>
      <c r="P155" t="s">
        <v>63</v>
      </c>
      <c r="Q155" t="s">
        <v>60</v>
      </c>
      <c r="R155" t="s">
        <v>60</v>
      </c>
      <c r="S155" t="s">
        <v>60</v>
      </c>
    </row>
    <row r="156" spans="1:19" x14ac:dyDescent="0.25">
      <c r="A156" t="s">
        <v>277</v>
      </c>
      <c r="B156" t="s">
        <v>273</v>
      </c>
      <c r="C156">
        <v>57.8</v>
      </c>
      <c r="D156" t="s">
        <v>60</v>
      </c>
      <c r="E156" t="s">
        <v>60</v>
      </c>
      <c r="F156">
        <v>48.45</v>
      </c>
      <c r="G156">
        <v>37.44</v>
      </c>
      <c r="H156">
        <v>0.5</v>
      </c>
      <c r="I156">
        <v>0.5</v>
      </c>
      <c r="J156" t="s">
        <v>61</v>
      </c>
      <c r="K156" s="17">
        <v>45497</v>
      </c>
      <c r="L156" t="s">
        <v>63</v>
      </c>
      <c r="M156" s="17">
        <v>45502</v>
      </c>
      <c r="N156" t="s">
        <v>106</v>
      </c>
      <c r="O156" s="17">
        <v>45601</v>
      </c>
      <c r="P156" t="s">
        <v>63</v>
      </c>
      <c r="Q156" t="s">
        <v>60</v>
      </c>
      <c r="R156" t="s">
        <v>60</v>
      </c>
      <c r="S156" t="s">
        <v>60</v>
      </c>
    </row>
    <row r="157" spans="1:19" x14ac:dyDescent="0.25">
      <c r="A157" t="s">
        <v>278</v>
      </c>
      <c r="B157" t="s">
        <v>279</v>
      </c>
      <c r="C157">
        <v>86.28</v>
      </c>
      <c r="D157" t="s">
        <v>60</v>
      </c>
      <c r="E157" t="s">
        <v>60</v>
      </c>
      <c r="F157">
        <v>56.15</v>
      </c>
      <c r="G157">
        <v>44.3</v>
      </c>
      <c r="H157">
        <v>2</v>
      </c>
      <c r="I157">
        <v>2</v>
      </c>
      <c r="J157" t="s">
        <v>61</v>
      </c>
      <c r="K157" s="17">
        <v>45497</v>
      </c>
      <c r="L157" t="s">
        <v>63</v>
      </c>
      <c r="M157" s="17">
        <v>45502</v>
      </c>
      <c r="N157" t="s">
        <v>106</v>
      </c>
      <c r="O157" s="17">
        <v>45601</v>
      </c>
      <c r="P157" t="s">
        <v>63</v>
      </c>
      <c r="Q157" t="s">
        <v>60</v>
      </c>
      <c r="R157" t="s">
        <v>60</v>
      </c>
      <c r="S157" t="s">
        <v>60</v>
      </c>
    </row>
    <row r="158" spans="1:19" x14ac:dyDescent="0.25">
      <c r="A158" t="s">
        <v>280</v>
      </c>
      <c r="B158" t="s">
        <v>279</v>
      </c>
      <c r="C158">
        <v>61.71</v>
      </c>
      <c r="D158" t="s">
        <v>60</v>
      </c>
      <c r="E158" t="s">
        <v>60</v>
      </c>
      <c r="F158">
        <v>39.75</v>
      </c>
      <c r="G158">
        <v>28.86</v>
      </c>
      <c r="H158">
        <v>1</v>
      </c>
      <c r="I158">
        <v>1</v>
      </c>
      <c r="J158" t="s">
        <v>61</v>
      </c>
      <c r="K158" s="17">
        <v>45497</v>
      </c>
      <c r="L158" t="s">
        <v>63</v>
      </c>
      <c r="M158" s="17">
        <v>45502</v>
      </c>
      <c r="N158" t="s">
        <v>106</v>
      </c>
      <c r="O158" s="17">
        <v>45601</v>
      </c>
      <c r="P158" t="s">
        <v>63</v>
      </c>
      <c r="Q158" t="s">
        <v>60</v>
      </c>
      <c r="R158" t="s">
        <v>60</v>
      </c>
      <c r="S158" t="s">
        <v>60</v>
      </c>
    </row>
    <row r="159" spans="1:19" x14ac:dyDescent="0.25">
      <c r="A159" t="s">
        <v>281</v>
      </c>
      <c r="B159" t="s">
        <v>279</v>
      </c>
      <c r="C159">
        <v>61.14</v>
      </c>
      <c r="D159" t="s">
        <v>60</v>
      </c>
      <c r="E159" t="s">
        <v>60</v>
      </c>
      <c r="F159">
        <v>41.8</v>
      </c>
      <c r="G159">
        <v>28.56</v>
      </c>
      <c r="H159">
        <v>0.5</v>
      </c>
      <c r="I159">
        <v>0</v>
      </c>
      <c r="J159" t="s">
        <v>61</v>
      </c>
      <c r="K159" s="17">
        <v>45497</v>
      </c>
      <c r="L159" t="s">
        <v>63</v>
      </c>
      <c r="M159" s="17">
        <v>45502</v>
      </c>
      <c r="N159" t="s">
        <v>106</v>
      </c>
      <c r="O159" s="17">
        <v>45601</v>
      </c>
      <c r="P159" t="s">
        <v>63</v>
      </c>
      <c r="Q159" t="s">
        <v>60</v>
      </c>
      <c r="R159" t="s">
        <v>60</v>
      </c>
      <c r="S159" t="s">
        <v>60</v>
      </c>
    </row>
    <row r="160" spans="1:19" x14ac:dyDescent="0.25">
      <c r="A160" t="s">
        <v>282</v>
      </c>
      <c r="B160" t="s">
        <v>279</v>
      </c>
      <c r="C160">
        <v>68.92</v>
      </c>
      <c r="D160" t="s">
        <v>60</v>
      </c>
      <c r="E160" t="s">
        <v>60</v>
      </c>
      <c r="F160">
        <v>87.68</v>
      </c>
      <c r="G160">
        <v>63.93</v>
      </c>
      <c r="H160">
        <v>0.5</v>
      </c>
      <c r="I160">
        <v>1</v>
      </c>
      <c r="J160" t="s">
        <v>61</v>
      </c>
      <c r="K160" s="17">
        <v>45497</v>
      </c>
      <c r="L160" t="s">
        <v>63</v>
      </c>
      <c r="M160" s="17">
        <v>45502</v>
      </c>
      <c r="N160" t="s">
        <v>106</v>
      </c>
      <c r="O160" s="17">
        <v>45601</v>
      </c>
      <c r="P160" t="s">
        <v>63</v>
      </c>
      <c r="Q160" t="s">
        <v>60</v>
      </c>
      <c r="R160" t="s">
        <v>60</v>
      </c>
      <c r="S160" t="s">
        <v>60</v>
      </c>
    </row>
    <row r="161" spans="1:19" x14ac:dyDescent="0.25">
      <c r="A161" t="s">
        <v>283</v>
      </c>
      <c r="B161" t="s">
        <v>279</v>
      </c>
      <c r="C161">
        <v>70.11</v>
      </c>
      <c r="D161" t="s">
        <v>60</v>
      </c>
      <c r="E161" t="s">
        <v>60</v>
      </c>
      <c r="F161">
        <v>48.34</v>
      </c>
      <c r="G161">
        <v>40.9</v>
      </c>
      <c r="H161">
        <v>0.5</v>
      </c>
      <c r="I161">
        <v>0.5</v>
      </c>
      <c r="J161" t="s">
        <v>61</v>
      </c>
      <c r="K161" s="17">
        <v>45497</v>
      </c>
      <c r="L161" t="s">
        <v>63</v>
      </c>
      <c r="M161" s="17">
        <v>45502</v>
      </c>
      <c r="N161" t="s">
        <v>106</v>
      </c>
      <c r="O161" s="17">
        <v>45601</v>
      </c>
      <c r="P161" t="s">
        <v>63</v>
      </c>
      <c r="Q161" t="s">
        <v>60</v>
      </c>
      <c r="R161" t="s">
        <v>60</v>
      </c>
      <c r="S161" t="s">
        <v>60</v>
      </c>
    </row>
    <row r="162" spans="1:19" x14ac:dyDescent="0.25">
      <c r="A162" t="s">
        <v>284</v>
      </c>
      <c r="B162" t="s">
        <v>285</v>
      </c>
      <c r="C162">
        <v>78.209999999999994</v>
      </c>
      <c r="D162" t="s">
        <v>60</v>
      </c>
      <c r="E162" t="s">
        <v>60</v>
      </c>
      <c r="F162">
        <v>53.35</v>
      </c>
      <c r="G162">
        <v>35.119999999999997</v>
      </c>
      <c r="H162">
        <v>2</v>
      </c>
      <c r="I162">
        <v>2</v>
      </c>
      <c r="J162" t="s">
        <v>61</v>
      </c>
      <c r="K162" s="17">
        <v>45497</v>
      </c>
      <c r="L162" t="s">
        <v>63</v>
      </c>
      <c r="M162" s="17">
        <v>45502</v>
      </c>
      <c r="N162" t="s">
        <v>106</v>
      </c>
      <c r="O162" s="17">
        <v>45601</v>
      </c>
      <c r="P162" t="s">
        <v>63</v>
      </c>
      <c r="Q162" t="s">
        <v>60</v>
      </c>
      <c r="R162" t="s">
        <v>60</v>
      </c>
      <c r="S162" t="s">
        <v>60</v>
      </c>
    </row>
    <row r="163" spans="1:19" x14ac:dyDescent="0.25">
      <c r="A163" t="s">
        <v>286</v>
      </c>
      <c r="B163" t="s">
        <v>285</v>
      </c>
      <c r="C163">
        <v>61.92</v>
      </c>
      <c r="D163" t="s">
        <v>60</v>
      </c>
      <c r="E163" t="s">
        <v>60</v>
      </c>
      <c r="F163">
        <v>40.729999999999997</v>
      </c>
      <c r="G163">
        <v>28.13</v>
      </c>
      <c r="H163">
        <v>1</v>
      </c>
      <c r="I163">
        <v>0.5</v>
      </c>
      <c r="J163" t="s">
        <v>61</v>
      </c>
      <c r="K163" s="17">
        <v>45497</v>
      </c>
      <c r="L163" t="s">
        <v>63</v>
      </c>
      <c r="M163" s="17">
        <v>45502</v>
      </c>
      <c r="N163" t="s">
        <v>106</v>
      </c>
      <c r="O163" s="17">
        <v>45601</v>
      </c>
      <c r="P163" t="s">
        <v>63</v>
      </c>
      <c r="Q163" t="s">
        <v>60</v>
      </c>
      <c r="R163" t="s">
        <v>60</v>
      </c>
      <c r="S163" t="s">
        <v>60</v>
      </c>
    </row>
    <row r="164" spans="1:19" x14ac:dyDescent="0.25">
      <c r="A164" t="s">
        <v>287</v>
      </c>
      <c r="B164" t="s">
        <v>285</v>
      </c>
      <c r="C164">
        <v>57.18</v>
      </c>
      <c r="D164" t="s">
        <v>60</v>
      </c>
      <c r="E164" t="s">
        <v>60</v>
      </c>
      <c r="F164">
        <v>30.21</v>
      </c>
      <c r="G164">
        <v>23.58</v>
      </c>
      <c r="H164">
        <v>1</v>
      </c>
      <c r="I164">
        <v>0.5</v>
      </c>
      <c r="J164" t="s">
        <v>61</v>
      </c>
      <c r="K164" s="17">
        <v>45497</v>
      </c>
      <c r="L164" t="s">
        <v>63</v>
      </c>
      <c r="M164" s="17">
        <v>45502</v>
      </c>
      <c r="N164" t="s">
        <v>106</v>
      </c>
      <c r="O164" s="17">
        <v>45601</v>
      </c>
      <c r="P164" t="s">
        <v>63</v>
      </c>
      <c r="Q164" t="s">
        <v>60</v>
      </c>
      <c r="R164" t="s">
        <v>60</v>
      </c>
      <c r="S164" t="s">
        <v>60</v>
      </c>
    </row>
    <row r="165" spans="1:19" x14ac:dyDescent="0.25">
      <c r="A165" t="s">
        <v>288</v>
      </c>
      <c r="B165" t="s">
        <v>285</v>
      </c>
      <c r="C165">
        <v>49.53</v>
      </c>
      <c r="D165" t="s">
        <v>60</v>
      </c>
      <c r="E165" t="s">
        <v>60</v>
      </c>
      <c r="F165">
        <v>15.6</v>
      </c>
      <c r="G165">
        <v>10.56</v>
      </c>
      <c r="H165">
        <v>3</v>
      </c>
      <c r="I165">
        <v>3</v>
      </c>
      <c r="J165" t="s">
        <v>61</v>
      </c>
      <c r="K165" s="17">
        <v>45497</v>
      </c>
      <c r="L165" t="s">
        <v>63</v>
      </c>
      <c r="M165" s="17">
        <v>45502</v>
      </c>
      <c r="N165" t="s">
        <v>106</v>
      </c>
      <c r="O165" s="17">
        <v>45601</v>
      </c>
      <c r="P165" t="s">
        <v>63</v>
      </c>
      <c r="Q165" t="s">
        <v>60</v>
      </c>
      <c r="R165" t="s">
        <v>60</v>
      </c>
      <c r="S165" t="s">
        <v>60</v>
      </c>
    </row>
    <row r="166" spans="1:19" x14ac:dyDescent="0.25">
      <c r="A166" t="s">
        <v>289</v>
      </c>
      <c r="B166" t="s">
        <v>285</v>
      </c>
      <c r="C166">
        <v>37.869999999999997</v>
      </c>
      <c r="D166" t="s">
        <v>60</v>
      </c>
      <c r="E166" t="s">
        <v>60</v>
      </c>
      <c r="F166">
        <v>8.0299999999999994</v>
      </c>
      <c r="G166">
        <v>5.82</v>
      </c>
      <c r="H166">
        <v>1</v>
      </c>
      <c r="I166">
        <v>0.5</v>
      </c>
      <c r="J166" t="s">
        <v>61</v>
      </c>
      <c r="K166" s="17">
        <v>45497</v>
      </c>
      <c r="L166" t="s">
        <v>63</v>
      </c>
      <c r="M166" s="17">
        <v>45502</v>
      </c>
      <c r="N166" t="s">
        <v>106</v>
      </c>
      <c r="O166" s="17">
        <v>45601</v>
      </c>
      <c r="P166" t="s">
        <v>63</v>
      </c>
      <c r="Q166" t="s">
        <v>60</v>
      </c>
      <c r="R166" t="s">
        <v>60</v>
      </c>
      <c r="S166" t="s">
        <v>60</v>
      </c>
    </row>
    <row r="167" spans="1:19" x14ac:dyDescent="0.25">
      <c r="A167" t="s">
        <v>290</v>
      </c>
      <c r="B167" t="s">
        <v>291</v>
      </c>
      <c r="C167">
        <v>64.02</v>
      </c>
      <c r="D167" t="s">
        <v>60</v>
      </c>
      <c r="E167" t="s">
        <v>60</v>
      </c>
      <c r="F167">
        <v>53.05</v>
      </c>
      <c r="G167">
        <v>32.85</v>
      </c>
      <c r="H167">
        <v>1</v>
      </c>
      <c r="I167">
        <v>1</v>
      </c>
      <c r="J167" t="s">
        <v>61</v>
      </c>
      <c r="K167" s="17">
        <v>45523</v>
      </c>
      <c r="L167" t="s">
        <v>85</v>
      </c>
      <c r="M167" s="17">
        <v>45526</v>
      </c>
      <c r="N167" t="s">
        <v>85</v>
      </c>
      <c r="O167" s="17">
        <v>45601</v>
      </c>
      <c r="P167" t="s">
        <v>63</v>
      </c>
      <c r="Q167" t="s">
        <v>60</v>
      </c>
      <c r="R167" t="s">
        <v>292</v>
      </c>
      <c r="S167" t="s">
        <v>60</v>
      </c>
    </row>
    <row r="168" spans="1:19" x14ac:dyDescent="0.25">
      <c r="A168" t="s">
        <v>293</v>
      </c>
      <c r="B168" t="s">
        <v>291</v>
      </c>
      <c r="C168">
        <v>63.7</v>
      </c>
      <c r="D168" t="s">
        <v>60</v>
      </c>
      <c r="E168" t="s">
        <v>60</v>
      </c>
      <c r="F168">
        <v>56.92</v>
      </c>
      <c r="G168">
        <v>42.05</v>
      </c>
      <c r="H168">
        <v>0.5</v>
      </c>
      <c r="I168">
        <v>0</v>
      </c>
      <c r="J168" t="s">
        <v>61</v>
      </c>
      <c r="K168" s="17">
        <v>45523</v>
      </c>
      <c r="L168" t="s">
        <v>85</v>
      </c>
      <c r="M168" s="17">
        <v>45526</v>
      </c>
      <c r="N168" t="s">
        <v>85</v>
      </c>
      <c r="O168" s="17">
        <v>45601</v>
      </c>
      <c r="P168" t="s">
        <v>63</v>
      </c>
      <c r="Q168" t="s">
        <v>60</v>
      </c>
      <c r="R168" t="s">
        <v>294</v>
      </c>
      <c r="S168" t="s">
        <v>60</v>
      </c>
    </row>
    <row r="169" spans="1:19" x14ac:dyDescent="0.25">
      <c r="A169" t="s">
        <v>295</v>
      </c>
      <c r="B169" t="s">
        <v>291</v>
      </c>
      <c r="C169">
        <v>64.900000000000006</v>
      </c>
      <c r="D169" t="s">
        <v>60</v>
      </c>
      <c r="E169" t="s">
        <v>60</v>
      </c>
      <c r="F169">
        <v>61.7</v>
      </c>
      <c r="G169">
        <v>41.2</v>
      </c>
      <c r="H169">
        <v>1</v>
      </c>
      <c r="I169">
        <v>0</v>
      </c>
      <c r="J169" t="s">
        <v>61</v>
      </c>
      <c r="K169" s="17">
        <v>45523</v>
      </c>
      <c r="L169" t="s">
        <v>85</v>
      </c>
      <c r="M169" s="17">
        <v>45526</v>
      </c>
      <c r="N169" t="s">
        <v>85</v>
      </c>
      <c r="O169" s="17">
        <v>45601</v>
      </c>
      <c r="P169" t="s">
        <v>63</v>
      </c>
      <c r="Q169" t="s">
        <v>60</v>
      </c>
      <c r="R169" t="s">
        <v>60</v>
      </c>
      <c r="S169" t="s">
        <v>60</v>
      </c>
    </row>
    <row r="170" spans="1:19" x14ac:dyDescent="0.25">
      <c r="A170" t="s">
        <v>296</v>
      </c>
      <c r="B170" t="s">
        <v>291</v>
      </c>
      <c r="C170">
        <v>59.3</v>
      </c>
      <c r="D170" t="s">
        <v>60</v>
      </c>
      <c r="E170" t="s">
        <v>60</v>
      </c>
      <c r="F170">
        <v>65.59</v>
      </c>
      <c r="G170">
        <v>47.07</v>
      </c>
      <c r="H170">
        <v>0</v>
      </c>
      <c r="I170">
        <v>0</v>
      </c>
      <c r="J170" t="s">
        <v>61</v>
      </c>
      <c r="K170" s="17">
        <v>45523</v>
      </c>
      <c r="L170" t="s">
        <v>85</v>
      </c>
      <c r="M170" s="17">
        <v>45526</v>
      </c>
      <c r="N170" t="s">
        <v>85</v>
      </c>
      <c r="O170" s="17">
        <v>45601</v>
      </c>
      <c r="P170" t="s">
        <v>63</v>
      </c>
      <c r="Q170" t="s">
        <v>60</v>
      </c>
      <c r="R170" t="s">
        <v>60</v>
      </c>
      <c r="S170" t="s">
        <v>60</v>
      </c>
    </row>
    <row r="171" spans="1:19" x14ac:dyDescent="0.25">
      <c r="A171" t="s">
        <v>297</v>
      </c>
      <c r="B171" t="s">
        <v>291</v>
      </c>
      <c r="C171">
        <v>59.94</v>
      </c>
      <c r="D171" t="s">
        <v>60</v>
      </c>
      <c r="E171" t="s">
        <v>60</v>
      </c>
      <c r="F171">
        <v>69.739999999999995</v>
      </c>
      <c r="G171">
        <v>53.94</v>
      </c>
      <c r="H171">
        <v>0</v>
      </c>
      <c r="I171">
        <v>0</v>
      </c>
      <c r="J171" t="s">
        <v>61</v>
      </c>
      <c r="K171" s="17">
        <v>45523</v>
      </c>
      <c r="L171" t="s">
        <v>85</v>
      </c>
      <c r="M171" s="17">
        <v>45526</v>
      </c>
      <c r="N171" t="s">
        <v>85</v>
      </c>
      <c r="O171" s="17">
        <v>45601</v>
      </c>
      <c r="P171" t="s">
        <v>63</v>
      </c>
      <c r="Q171" t="s">
        <v>60</v>
      </c>
      <c r="R171" t="s">
        <v>60</v>
      </c>
      <c r="S171" t="s">
        <v>60</v>
      </c>
    </row>
    <row r="172" spans="1:19" x14ac:dyDescent="0.25">
      <c r="A172" t="s">
        <v>298</v>
      </c>
      <c r="B172" t="s">
        <v>299</v>
      </c>
      <c r="C172">
        <v>55.96</v>
      </c>
      <c r="D172" t="s">
        <v>60</v>
      </c>
      <c r="E172" t="s">
        <v>60</v>
      </c>
      <c r="F172">
        <v>31.77</v>
      </c>
      <c r="G172">
        <v>21.28</v>
      </c>
      <c r="H172">
        <v>1</v>
      </c>
      <c r="I172">
        <v>0.5</v>
      </c>
      <c r="J172" t="s">
        <v>61</v>
      </c>
      <c r="K172" s="17">
        <v>45523</v>
      </c>
      <c r="L172" t="s">
        <v>85</v>
      </c>
      <c r="M172" s="17">
        <v>45526</v>
      </c>
      <c r="N172" t="s">
        <v>85</v>
      </c>
      <c r="O172" s="17">
        <v>45601</v>
      </c>
      <c r="P172" t="s">
        <v>63</v>
      </c>
      <c r="Q172" t="s">
        <v>60</v>
      </c>
      <c r="R172" t="s">
        <v>300</v>
      </c>
      <c r="S172" t="s">
        <v>60</v>
      </c>
    </row>
    <row r="173" spans="1:19" x14ac:dyDescent="0.25">
      <c r="A173" t="s">
        <v>301</v>
      </c>
      <c r="B173" t="s">
        <v>299</v>
      </c>
      <c r="C173">
        <v>75.56</v>
      </c>
      <c r="D173" t="s">
        <v>60</v>
      </c>
      <c r="E173" t="s">
        <v>60</v>
      </c>
      <c r="F173">
        <v>92.54</v>
      </c>
      <c r="G173">
        <v>68.78</v>
      </c>
      <c r="H173">
        <v>0.5</v>
      </c>
      <c r="I173">
        <v>0</v>
      </c>
      <c r="J173" t="s">
        <v>61</v>
      </c>
      <c r="K173" s="17">
        <v>45523</v>
      </c>
      <c r="L173" t="s">
        <v>85</v>
      </c>
      <c r="M173" s="17">
        <v>45526</v>
      </c>
      <c r="N173" t="s">
        <v>85</v>
      </c>
      <c r="O173" s="17">
        <v>45601</v>
      </c>
      <c r="P173" t="s">
        <v>63</v>
      </c>
      <c r="Q173" t="s">
        <v>60</v>
      </c>
      <c r="R173" t="s">
        <v>60</v>
      </c>
      <c r="S173" t="s">
        <v>60</v>
      </c>
    </row>
    <row r="174" spans="1:19" x14ac:dyDescent="0.25">
      <c r="A174" t="s">
        <v>302</v>
      </c>
      <c r="B174" t="s">
        <v>299</v>
      </c>
      <c r="C174">
        <v>64.44</v>
      </c>
      <c r="D174" t="s">
        <v>60</v>
      </c>
      <c r="E174" t="s">
        <v>60</v>
      </c>
      <c r="F174">
        <v>61.9</v>
      </c>
      <c r="G174">
        <v>45.45</v>
      </c>
      <c r="H174">
        <v>0</v>
      </c>
      <c r="I174">
        <v>0</v>
      </c>
      <c r="J174" t="s">
        <v>61</v>
      </c>
      <c r="K174" s="17">
        <v>45523</v>
      </c>
      <c r="L174" t="s">
        <v>85</v>
      </c>
      <c r="M174" s="17">
        <v>45526</v>
      </c>
      <c r="N174" t="s">
        <v>85</v>
      </c>
      <c r="O174" s="17">
        <v>45601</v>
      </c>
      <c r="P174" t="s">
        <v>63</v>
      </c>
      <c r="Q174" t="s">
        <v>60</v>
      </c>
      <c r="R174" t="s">
        <v>60</v>
      </c>
      <c r="S174" t="s">
        <v>60</v>
      </c>
    </row>
    <row r="175" spans="1:19" x14ac:dyDescent="0.25">
      <c r="A175" t="s">
        <v>303</v>
      </c>
      <c r="B175" t="s">
        <v>299</v>
      </c>
      <c r="C175">
        <v>62.41</v>
      </c>
      <c r="D175" t="s">
        <v>60</v>
      </c>
      <c r="E175" t="s">
        <v>60</v>
      </c>
      <c r="F175">
        <v>65.05</v>
      </c>
      <c r="G175">
        <v>47.21</v>
      </c>
      <c r="H175">
        <v>0.5</v>
      </c>
      <c r="I175">
        <v>1</v>
      </c>
      <c r="J175" t="s">
        <v>61</v>
      </c>
      <c r="K175" s="17">
        <v>45523</v>
      </c>
      <c r="L175" t="s">
        <v>85</v>
      </c>
      <c r="M175" s="17">
        <v>45526</v>
      </c>
      <c r="N175" t="s">
        <v>85</v>
      </c>
      <c r="O175" s="17">
        <v>45601</v>
      </c>
      <c r="P175" t="s">
        <v>63</v>
      </c>
      <c r="Q175" t="s">
        <v>60</v>
      </c>
      <c r="R175" t="s">
        <v>60</v>
      </c>
      <c r="S175" t="s">
        <v>60</v>
      </c>
    </row>
    <row r="176" spans="1:19" x14ac:dyDescent="0.25">
      <c r="A176" t="s">
        <v>304</v>
      </c>
      <c r="B176" t="s">
        <v>299</v>
      </c>
      <c r="C176">
        <v>54.11</v>
      </c>
      <c r="D176" t="s">
        <v>60</v>
      </c>
      <c r="E176" t="s">
        <v>60</v>
      </c>
      <c r="F176">
        <v>29.15</v>
      </c>
      <c r="G176">
        <v>19.13</v>
      </c>
      <c r="H176">
        <v>0</v>
      </c>
      <c r="I176">
        <v>0</v>
      </c>
      <c r="J176" t="s">
        <v>61</v>
      </c>
      <c r="K176" s="17">
        <v>45523</v>
      </c>
      <c r="L176" t="s">
        <v>85</v>
      </c>
      <c r="M176" s="17">
        <v>45526</v>
      </c>
      <c r="N176" t="s">
        <v>85</v>
      </c>
      <c r="O176" s="17">
        <v>45601</v>
      </c>
      <c r="P176" t="s">
        <v>63</v>
      </c>
      <c r="Q176" t="s">
        <v>60</v>
      </c>
      <c r="R176" t="s">
        <v>60</v>
      </c>
      <c r="S176" t="s">
        <v>60</v>
      </c>
    </row>
    <row r="177" spans="1:19" x14ac:dyDescent="0.25">
      <c r="A177" t="s">
        <v>305</v>
      </c>
      <c r="B177" t="s">
        <v>306</v>
      </c>
      <c r="C177">
        <v>77.86</v>
      </c>
      <c r="D177" t="s">
        <v>60</v>
      </c>
      <c r="E177" t="s">
        <v>60</v>
      </c>
      <c r="F177">
        <v>71.010000000000005</v>
      </c>
      <c r="G177">
        <v>51.7</v>
      </c>
      <c r="H177">
        <v>0</v>
      </c>
      <c r="I177">
        <v>0</v>
      </c>
      <c r="J177" t="s">
        <v>61</v>
      </c>
      <c r="K177" s="17">
        <v>45523</v>
      </c>
      <c r="L177" t="s">
        <v>85</v>
      </c>
      <c r="M177" s="17">
        <v>45526</v>
      </c>
      <c r="N177" t="s">
        <v>85</v>
      </c>
      <c r="O177" s="17">
        <v>45601</v>
      </c>
      <c r="P177" t="s">
        <v>63</v>
      </c>
      <c r="Q177" t="s">
        <v>60</v>
      </c>
      <c r="R177" t="s">
        <v>60</v>
      </c>
      <c r="S177" t="s">
        <v>60</v>
      </c>
    </row>
    <row r="178" spans="1:19" x14ac:dyDescent="0.25">
      <c r="A178" t="s">
        <v>307</v>
      </c>
      <c r="B178" t="s">
        <v>306</v>
      </c>
      <c r="C178">
        <v>99.62</v>
      </c>
      <c r="D178" t="s">
        <v>60</v>
      </c>
      <c r="E178" t="s">
        <v>60</v>
      </c>
      <c r="F178">
        <v>126.55</v>
      </c>
      <c r="G178">
        <v>87.06</v>
      </c>
      <c r="H178">
        <v>0</v>
      </c>
      <c r="I178">
        <v>0</v>
      </c>
      <c r="J178" t="s">
        <v>61</v>
      </c>
      <c r="K178" s="17">
        <v>45523</v>
      </c>
      <c r="L178" t="s">
        <v>85</v>
      </c>
      <c r="M178" s="17">
        <v>45526</v>
      </c>
      <c r="N178" t="s">
        <v>85</v>
      </c>
      <c r="O178" s="17">
        <v>45601</v>
      </c>
      <c r="P178" t="s">
        <v>63</v>
      </c>
      <c r="Q178" t="s">
        <v>60</v>
      </c>
      <c r="R178" t="s">
        <v>60</v>
      </c>
      <c r="S178" t="s">
        <v>60</v>
      </c>
    </row>
    <row r="179" spans="1:19" x14ac:dyDescent="0.25">
      <c r="A179" t="s">
        <v>308</v>
      </c>
      <c r="B179" t="s">
        <v>306</v>
      </c>
      <c r="C179">
        <v>80.78</v>
      </c>
      <c r="D179" t="s">
        <v>60</v>
      </c>
      <c r="E179" t="s">
        <v>60</v>
      </c>
      <c r="F179">
        <v>48.58</v>
      </c>
      <c r="G179">
        <v>31.87</v>
      </c>
      <c r="H179">
        <v>2</v>
      </c>
      <c r="I179">
        <v>2</v>
      </c>
      <c r="J179" t="s">
        <v>61</v>
      </c>
      <c r="K179" s="17">
        <v>45523</v>
      </c>
      <c r="L179" t="s">
        <v>85</v>
      </c>
      <c r="M179" s="17">
        <v>45526</v>
      </c>
      <c r="N179" t="s">
        <v>85</v>
      </c>
      <c r="O179" s="17">
        <v>45601</v>
      </c>
      <c r="P179" t="s">
        <v>63</v>
      </c>
      <c r="Q179" t="s">
        <v>60</v>
      </c>
      <c r="R179" t="s">
        <v>60</v>
      </c>
      <c r="S179" t="s">
        <v>60</v>
      </c>
    </row>
    <row r="180" spans="1:19" x14ac:dyDescent="0.25">
      <c r="A180" t="s">
        <v>309</v>
      </c>
      <c r="B180" t="s">
        <v>306</v>
      </c>
      <c r="C180">
        <v>67.17</v>
      </c>
      <c r="D180" t="s">
        <v>60</v>
      </c>
      <c r="E180" t="s">
        <v>60</v>
      </c>
      <c r="F180">
        <v>53.8</v>
      </c>
      <c r="G180">
        <v>37.770000000000003</v>
      </c>
      <c r="H180">
        <v>0</v>
      </c>
      <c r="I180">
        <v>0</v>
      </c>
      <c r="J180" t="s">
        <v>61</v>
      </c>
      <c r="K180" s="17">
        <v>45523</v>
      </c>
      <c r="L180" t="s">
        <v>85</v>
      </c>
      <c r="M180" s="17">
        <v>45526</v>
      </c>
      <c r="N180" t="s">
        <v>85</v>
      </c>
      <c r="O180" s="17">
        <v>45601</v>
      </c>
      <c r="P180" t="s">
        <v>63</v>
      </c>
      <c r="Q180" t="s">
        <v>60</v>
      </c>
      <c r="R180" t="s">
        <v>60</v>
      </c>
      <c r="S180" t="s">
        <v>60</v>
      </c>
    </row>
    <row r="181" spans="1:19" x14ac:dyDescent="0.25">
      <c r="A181" t="s">
        <v>310</v>
      </c>
      <c r="B181" t="s">
        <v>306</v>
      </c>
      <c r="C181">
        <v>70.8</v>
      </c>
      <c r="D181" t="s">
        <v>60</v>
      </c>
      <c r="E181" t="s">
        <v>60</v>
      </c>
      <c r="F181">
        <v>58.64</v>
      </c>
      <c r="G181">
        <v>41.02</v>
      </c>
      <c r="H181">
        <v>0</v>
      </c>
      <c r="I181">
        <v>0.5</v>
      </c>
      <c r="J181" t="s">
        <v>61</v>
      </c>
      <c r="K181" s="17">
        <v>45523</v>
      </c>
      <c r="L181" t="s">
        <v>85</v>
      </c>
      <c r="M181" s="17">
        <v>45526</v>
      </c>
      <c r="N181" t="s">
        <v>85</v>
      </c>
      <c r="O181" s="17">
        <v>45601</v>
      </c>
      <c r="P181" t="s">
        <v>63</v>
      </c>
      <c r="Q181" t="s">
        <v>60</v>
      </c>
      <c r="R181" t="s">
        <v>292</v>
      </c>
      <c r="S181" t="s">
        <v>60</v>
      </c>
    </row>
    <row r="182" spans="1:19" x14ac:dyDescent="0.25">
      <c r="A182" t="s">
        <v>311</v>
      </c>
      <c r="B182" t="s">
        <v>312</v>
      </c>
      <c r="C182">
        <v>66.459999999999994</v>
      </c>
      <c r="D182" t="s">
        <v>60</v>
      </c>
      <c r="E182" t="s">
        <v>60</v>
      </c>
      <c r="F182">
        <v>39.9</v>
      </c>
      <c r="G182">
        <v>29.08</v>
      </c>
      <c r="H182">
        <v>0</v>
      </c>
      <c r="I182">
        <v>0</v>
      </c>
      <c r="J182" t="s">
        <v>61</v>
      </c>
      <c r="K182" s="17">
        <v>45558</v>
      </c>
      <c r="L182" t="s">
        <v>149</v>
      </c>
      <c r="M182" s="17">
        <v>45559</v>
      </c>
      <c r="N182" t="s">
        <v>106</v>
      </c>
      <c r="O182" s="17">
        <v>45601</v>
      </c>
      <c r="P182" t="s">
        <v>63</v>
      </c>
      <c r="Q182" t="s">
        <v>60</v>
      </c>
      <c r="R182" t="s">
        <v>313</v>
      </c>
      <c r="S182" t="s">
        <v>60</v>
      </c>
    </row>
    <row r="183" spans="1:19" x14ac:dyDescent="0.25">
      <c r="A183" t="s">
        <v>314</v>
      </c>
      <c r="B183" t="s">
        <v>312</v>
      </c>
      <c r="C183">
        <v>49.48</v>
      </c>
      <c r="D183" t="s">
        <v>60</v>
      </c>
      <c r="E183" t="s">
        <v>60</v>
      </c>
      <c r="F183">
        <v>31.28</v>
      </c>
      <c r="G183">
        <v>23.04</v>
      </c>
      <c r="H183">
        <v>1</v>
      </c>
      <c r="I183">
        <v>0.5</v>
      </c>
      <c r="J183" t="s">
        <v>61</v>
      </c>
      <c r="K183" s="17">
        <v>45558</v>
      </c>
      <c r="L183" t="s">
        <v>149</v>
      </c>
      <c r="M183" s="17">
        <v>45559</v>
      </c>
      <c r="N183" t="s">
        <v>106</v>
      </c>
      <c r="O183" s="17">
        <v>45601</v>
      </c>
      <c r="P183" t="s">
        <v>63</v>
      </c>
      <c r="Q183" t="s">
        <v>60</v>
      </c>
      <c r="R183" t="s">
        <v>60</v>
      </c>
      <c r="S183" t="s">
        <v>60</v>
      </c>
    </row>
    <row r="184" spans="1:19" x14ac:dyDescent="0.25">
      <c r="A184" t="s">
        <v>315</v>
      </c>
      <c r="B184" t="s">
        <v>312</v>
      </c>
      <c r="C184">
        <v>48.47</v>
      </c>
      <c r="D184" t="s">
        <v>60</v>
      </c>
      <c r="E184" t="s">
        <v>60</v>
      </c>
      <c r="F184">
        <v>27.13</v>
      </c>
      <c r="G184">
        <v>19.52</v>
      </c>
      <c r="H184">
        <v>0.5</v>
      </c>
      <c r="I184">
        <v>0.5</v>
      </c>
      <c r="J184" t="s">
        <v>61</v>
      </c>
      <c r="K184" s="17">
        <v>45558</v>
      </c>
      <c r="L184" t="s">
        <v>149</v>
      </c>
      <c r="M184" s="17">
        <v>45559</v>
      </c>
      <c r="N184" t="s">
        <v>106</v>
      </c>
      <c r="O184" s="17">
        <v>45601</v>
      </c>
      <c r="P184" t="s">
        <v>63</v>
      </c>
      <c r="Q184" t="s">
        <v>60</v>
      </c>
      <c r="R184" t="s">
        <v>60</v>
      </c>
      <c r="S184" t="s">
        <v>60</v>
      </c>
    </row>
    <row r="185" spans="1:19" x14ac:dyDescent="0.25">
      <c r="A185" t="s">
        <v>316</v>
      </c>
      <c r="B185" t="s">
        <v>312</v>
      </c>
      <c r="C185">
        <v>59.18</v>
      </c>
      <c r="D185" t="s">
        <v>60</v>
      </c>
      <c r="E185" t="s">
        <v>60</v>
      </c>
      <c r="F185">
        <v>44.89</v>
      </c>
      <c r="G185">
        <v>36.64</v>
      </c>
      <c r="H185">
        <v>1</v>
      </c>
      <c r="I185">
        <v>0.5</v>
      </c>
      <c r="J185" t="s">
        <v>61</v>
      </c>
      <c r="K185" s="17">
        <v>45558</v>
      </c>
      <c r="L185" t="s">
        <v>149</v>
      </c>
      <c r="M185" s="17">
        <v>45559</v>
      </c>
      <c r="N185" t="s">
        <v>106</v>
      </c>
      <c r="O185" s="17">
        <v>45601</v>
      </c>
      <c r="P185" t="s">
        <v>63</v>
      </c>
      <c r="Q185" t="s">
        <v>60</v>
      </c>
      <c r="R185" t="s">
        <v>60</v>
      </c>
      <c r="S185" t="s">
        <v>60</v>
      </c>
    </row>
    <row r="186" spans="1:19" x14ac:dyDescent="0.25">
      <c r="A186" t="s">
        <v>317</v>
      </c>
      <c r="B186" t="s">
        <v>312</v>
      </c>
      <c r="C186">
        <v>49.28</v>
      </c>
      <c r="D186" t="s">
        <v>60</v>
      </c>
      <c r="E186" t="s">
        <v>60</v>
      </c>
      <c r="F186">
        <v>31.68</v>
      </c>
      <c r="G186">
        <v>23.2</v>
      </c>
      <c r="H186">
        <v>1</v>
      </c>
      <c r="I186">
        <v>0.5</v>
      </c>
      <c r="J186" t="s">
        <v>61</v>
      </c>
      <c r="K186" s="17">
        <v>45558</v>
      </c>
      <c r="L186" t="s">
        <v>149</v>
      </c>
      <c r="M186" s="17">
        <v>45559</v>
      </c>
      <c r="N186" t="s">
        <v>106</v>
      </c>
      <c r="O186" s="17">
        <v>45601</v>
      </c>
      <c r="P186" t="s">
        <v>63</v>
      </c>
      <c r="Q186" t="s">
        <v>60</v>
      </c>
      <c r="R186" t="s">
        <v>60</v>
      </c>
      <c r="S186" t="s">
        <v>60</v>
      </c>
    </row>
    <row r="187" spans="1:19" x14ac:dyDescent="0.25">
      <c r="A187" t="s">
        <v>318</v>
      </c>
      <c r="B187" t="s">
        <v>319</v>
      </c>
      <c r="C187">
        <v>53.37</v>
      </c>
      <c r="D187" t="s">
        <v>60</v>
      </c>
      <c r="E187" t="s">
        <v>60</v>
      </c>
      <c r="F187">
        <v>51.64</v>
      </c>
      <c r="G187">
        <v>40.01</v>
      </c>
      <c r="H187">
        <v>0.5</v>
      </c>
      <c r="I187">
        <v>1</v>
      </c>
      <c r="J187" t="s">
        <v>61</v>
      </c>
      <c r="K187" s="17">
        <v>45558</v>
      </c>
      <c r="L187" t="s">
        <v>149</v>
      </c>
      <c r="M187" s="17">
        <v>45559</v>
      </c>
      <c r="N187" t="s">
        <v>106</v>
      </c>
      <c r="O187" s="17">
        <v>45601</v>
      </c>
      <c r="P187" t="s">
        <v>63</v>
      </c>
      <c r="Q187" t="s">
        <v>60</v>
      </c>
      <c r="R187" t="s">
        <v>320</v>
      </c>
      <c r="S187" t="s">
        <v>60</v>
      </c>
    </row>
    <row r="188" spans="1:19" x14ac:dyDescent="0.25">
      <c r="A188" t="s">
        <v>321</v>
      </c>
      <c r="B188" t="s">
        <v>319</v>
      </c>
      <c r="C188">
        <v>58.53</v>
      </c>
      <c r="D188" t="s">
        <v>60</v>
      </c>
      <c r="E188" t="s">
        <v>60</v>
      </c>
      <c r="F188">
        <v>34.880000000000003</v>
      </c>
      <c r="G188">
        <v>27.18</v>
      </c>
      <c r="H188">
        <v>0.5</v>
      </c>
      <c r="I188">
        <v>0.5</v>
      </c>
      <c r="J188" t="s">
        <v>61</v>
      </c>
      <c r="K188" s="17">
        <v>45558</v>
      </c>
      <c r="L188" t="s">
        <v>149</v>
      </c>
      <c r="M188" s="17">
        <v>45559</v>
      </c>
      <c r="N188" t="s">
        <v>106</v>
      </c>
      <c r="O188" s="17">
        <v>45601</v>
      </c>
      <c r="P188" t="s">
        <v>63</v>
      </c>
      <c r="Q188" t="s">
        <v>60</v>
      </c>
      <c r="R188" t="s">
        <v>322</v>
      </c>
      <c r="S188" t="s">
        <v>60</v>
      </c>
    </row>
    <row r="189" spans="1:19" x14ac:dyDescent="0.25">
      <c r="A189" t="s">
        <v>323</v>
      </c>
      <c r="B189" t="s">
        <v>319</v>
      </c>
      <c r="C189">
        <v>59.94</v>
      </c>
      <c r="D189" t="s">
        <v>60</v>
      </c>
      <c r="E189" t="s">
        <v>60</v>
      </c>
      <c r="F189">
        <v>51.66</v>
      </c>
      <c r="G189">
        <v>34.659999999999997</v>
      </c>
      <c r="H189">
        <v>0.5</v>
      </c>
      <c r="I189">
        <v>0.5</v>
      </c>
      <c r="J189" t="s">
        <v>61</v>
      </c>
      <c r="K189" s="17">
        <v>45558</v>
      </c>
      <c r="L189" t="s">
        <v>149</v>
      </c>
      <c r="M189" s="17">
        <v>45559</v>
      </c>
      <c r="N189" t="s">
        <v>106</v>
      </c>
      <c r="O189" s="17">
        <v>45601</v>
      </c>
      <c r="P189" t="s">
        <v>63</v>
      </c>
      <c r="Q189" t="s">
        <v>60</v>
      </c>
      <c r="R189" t="s">
        <v>300</v>
      </c>
      <c r="S189" t="s">
        <v>60</v>
      </c>
    </row>
    <row r="190" spans="1:19" x14ac:dyDescent="0.25">
      <c r="A190" t="s">
        <v>324</v>
      </c>
      <c r="B190" t="s">
        <v>319</v>
      </c>
      <c r="C190">
        <v>49.64</v>
      </c>
      <c r="D190" t="s">
        <v>60</v>
      </c>
      <c r="E190" t="s">
        <v>60</v>
      </c>
      <c r="F190">
        <v>32.64</v>
      </c>
      <c r="G190">
        <v>18.47</v>
      </c>
      <c r="H190">
        <v>1</v>
      </c>
      <c r="I190">
        <v>1</v>
      </c>
      <c r="J190" t="s">
        <v>61</v>
      </c>
      <c r="K190" s="17">
        <v>45558</v>
      </c>
      <c r="L190" t="s">
        <v>149</v>
      </c>
      <c r="M190" s="17">
        <v>45559</v>
      </c>
      <c r="N190" t="s">
        <v>106</v>
      </c>
      <c r="O190" s="17">
        <v>45601</v>
      </c>
      <c r="P190" t="s">
        <v>63</v>
      </c>
      <c r="Q190" t="s">
        <v>60</v>
      </c>
      <c r="R190" t="s">
        <v>144</v>
      </c>
      <c r="S190" t="s">
        <v>60</v>
      </c>
    </row>
    <row r="191" spans="1:19" x14ac:dyDescent="0.25">
      <c r="A191" t="s">
        <v>325</v>
      </c>
      <c r="B191" t="s">
        <v>319</v>
      </c>
      <c r="C191">
        <v>44.06</v>
      </c>
      <c r="D191" t="s">
        <v>60</v>
      </c>
      <c r="E191" t="s">
        <v>60</v>
      </c>
      <c r="F191">
        <v>29.02</v>
      </c>
      <c r="G191">
        <v>20.190000000000001</v>
      </c>
      <c r="H191">
        <v>0</v>
      </c>
      <c r="I191">
        <v>0.5</v>
      </c>
      <c r="J191" t="s">
        <v>61</v>
      </c>
      <c r="K191" s="17">
        <v>45558</v>
      </c>
      <c r="L191" t="s">
        <v>149</v>
      </c>
      <c r="M191" s="17">
        <v>45559</v>
      </c>
      <c r="N191" t="s">
        <v>106</v>
      </c>
      <c r="O191" s="17">
        <v>45601</v>
      </c>
      <c r="P191" t="s">
        <v>63</v>
      </c>
      <c r="Q191" t="s">
        <v>60</v>
      </c>
      <c r="R191" t="s">
        <v>326</v>
      </c>
      <c r="S191" t="s">
        <v>60</v>
      </c>
    </row>
    <row r="192" spans="1:19" x14ac:dyDescent="0.25">
      <c r="A192" t="s">
        <v>327</v>
      </c>
      <c r="B192" t="s">
        <v>328</v>
      </c>
      <c r="C192">
        <v>63.04</v>
      </c>
      <c r="D192" t="s">
        <v>60</v>
      </c>
      <c r="E192" t="s">
        <v>60</v>
      </c>
      <c r="F192">
        <v>43.32</v>
      </c>
      <c r="G192">
        <v>31.3</v>
      </c>
      <c r="H192">
        <v>0.5</v>
      </c>
      <c r="I192">
        <v>0.5</v>
      </c>
      <c r="J192" t="s">
        <v>61</v>
      </c>
      <c r="K192" s="17">
        <v>45558</v>
      </c>
      <c r="L192" t="s">
        <v>149</v>
      </c>
      <c r="M192" s="17">
        <v>45559</v>
      </c>
      <c r="N192" t="s">
        <v>106</v>
      </c>
      <c r="O192" s="17">
        <v>45601</v>
      </c>
      <c r="P192" t="s">
        <v>63</v>
      </c>
      <c r="Q192" t="s">
        <v>60</v>
      </c>
      <c r="R192" t="s">
        <v>329</v>
      </c>
      <c r="S192" t="s">
        <v>60</v>
      </c>
    </row>
    <row r="193" spans="1:19" x14ac:dyDescent="0.25">
      <c r="A193" t="s">
        <v>330</v>
      </c>
      <c r="B193" t="s">
        <v>328</v>
      </c>
      <c r="C193">
        <v>66.510000000000005</v>
      </c>
      <c r="D193" t="s">
        <v>60</v>
      </c>
      <c r="E193" t="s">
        <v>60</v>
      </c>
      <c r="F193">
        <v>43.57</v>
      </c>
      <c r="G193">
        <v>30.46</v>
      </c>
      <c r="H193">
        <v>0</v>
      </c>
      <c r="I193">
        <v>0</v>
      </c>
      <c r="J193" t="s">
        <v>61</v>
      </c>
      <c r="K193" s="17">
        <v>45558</v>
      </c>
      <c r="L193" t="s">
        <v>149</v>
      </c>
      <c r="M193" s="17">
        <v>45559</v>
      </c>
      <c r="N193" t="s">
        <v>106</v>
      </c>
      <c r="O193" s="17">
        <v>45601</v>
      </c>
      <c r="P193" t="s">
        <v>63</v>
      </c>
      <c r="Q193" t="s">
        <v>60</v>
      </c>
      <c r="R193" t="s">
        <v>60</v>
      </c>
      <c r="S193" t="s">
        <v>60</v>
      </c>
    </row>
    <row r="194" spans="1:19" x14ac:dyDescent="0.25">
      <c r="A194" t="s">
        <v>331</v>
      </c>
      <c r="B194" t="s">
        <v>328</v>
      </c>
      <c r="C194">
        <v>51.48</v>
      </c>
      <c r="D194" t="s">
        <v>60</v>
      </c>
      <c r="E194" t="s">
        <v>60</v>
      </c>
      <c r="F194">
        <v>40.86</v>
      </c>
      <c r="G194">
        <v>29.63</v>
      </c>
      <c r="H194">
        <v>0</v>
      </c>
      <c r="I194">
        <v>0</v>
      </c>
      <c r="J194" t="s">
        <v>61</v>
      </c>
      <c r="K194" s="17">
        <v>45558</v>
      </c>
      <c r="L194" t="s">
        <v>149</v>
      </c>
      <c r="M194" s="17">
        <v>45559</v>
      </c>
      <c r="N194" t="s">
        <v>106</v>
      </c>
      <c r="O194" s="17">
        <v>45601</v>
      </c>
      <c r="P194" t="s">
        <v>63</v>
      </c>
      <c r="Q194" t="s">
        <v>60</v>
      </c>
      <c r="R194" t="s">
        <v>60</v>
      </c>
      <c r="S194" t="s">
        <v>60</v>
      </c>
    </row>
    <row r="195" spans="1:19" x14ac:dyDescent="0.25">
      <c r="A195" t="s">
        <v>332</v>
      </c>
      <c r="B195" t="s">
        <v>328</v>
      </c>
      <c r="C195">
        <v>60.01</v>
      </c>
      <c r="D195" t="s">
        <v>60</v>
      </c>
      <c r="E195" t="s">
        <v>60</v>
      </c>
      <c r="F195">
        <v>35.99</v>
      </c>
      <c r="G195">
        <v>23.68</v>
      </c>
      <c r="H195">
        <v>0.5</v>
      </c>
      <c r="I195">
        <v>0.5</v>
      </c>
      <c r="J195" t="s">
        <v>61</v>
      </c>
      <c r="K195" s="17">
        <v>45558</v>
      </c>
      <c r="L195" t="s">
        <v>149</v>
      </c>
      <c r="M195" s="17">
        <v>45559</v>
      </c>
      <c r="N195" t="s">
        <v>106</v>
      </c>
      <c r="O195" s="17">
        <v>45601</v>
      </c>
      <c r="P195" t="s">
        <v>63</v>
      </c>
      <c r="Q195" t="s">
        <v>60</v>
      </c>
      <c r="R195" t="s">
        <v>60</v>
      </c>
      <c r="S195" t="s">
        <v>60</v>
      </c>
    </row>
    <row r="196" spans="1:19" x14ac:dyDescent="0.25">
      <c r="A196" t="s">
        <v>333</v>
      </c>
      <c r="B196" t="s">
        <v>328</v>
      </c>
      <c r="C196">
        <v>42.94</v>
      </c>
      <c r="D196" t="s">
        <v>60</v>
      </c>
      <c r="E196" t="s">
        <v>60</v>
      </c>
      <c r="F196">
        <v>23.21</v>
      </c>
      <c r="G196">
        <v>16.16</v>
      </c>
      <c r="H196">
        <v>1</v>
      </c>
      <c r="I196">
        <v>1</v>
      </c>
      <c r="J196" t="s">
        <v>61</v>
      </c>
      <c r="K196" s="17">
        <v>45558</v>
      </c>
      <c r="L196" t="s">
        <v>149</v>
      </c>
      <c r="M196" s="17">
        <v>45559</v>
      </c>
      <c r="N196" t="s">
        <v>106</v>
      </c>
      <c r="O196" s="17">
        <v>45601</v>
      </c>
      <c r="P196" t="s">
        <v>63</v>
      </c>
      <c r="Q196" t="s">
        <v>60</v>
      </c>
      <c r="R196" t="s">
        <v>60</v>
      </c>
      <c r="S196" t="s">
        <v>60</v>
      </c>
    </row>
    <row r="197" spans="1:19" x14ac:dyDescent="0.25">
      <c r="A197" t="s">
        <v>334</v>
      </c>
      <c r="B197" t="s">
        <v>335</v>
      </c>
      <c r="C197">
        <v>53.75</v>
      </c>
      <c r="D197" t="s">
        <v>60</v>
      </c>
      <c r="E197" t="s">
        <v>60</v>
      </c>
      <c r="F197">
        <v>26.22</v>
      </c>
      <c r="G197">
        <v>18.18</v>
      </c>
      <c r="H197">
        <v>0.5</v>
      </c>
      <c r="I197">
        <v>0</v>
      </c>
      <c r="J197" t="s">
        <v>61</v>
      </c>
      <c r="K197" s="17">
        <v>45582</v>
      </c>
      <c r="L197" t="s">
        <v>63</v>
      </c>
      <c r="M197" s="17">
        <v>45586</v>
      </c>
      <c r="N197" t="s">
        <v>106</v>
      </c>
      <c r="O197" s="17">
        <v>45684</v>
      </c>
      <c r="P197" t="s">
        <v>172</v>
      </c>
      <c r="Q197" t="s">
        <v>60</v>
      </c>
      <c r="R197" t="s">
        <v>60</v>
      </c>
      <c r="S197" t="s">
        <v>60</v>
      </c>
    </row>
    <row r="198" spans="1:19" x14ac:dyDescent="0.25">
      <c r="A198" t="s">
        <v>336</v>
      </c>
      <c r="B198" t="s">
        <v>335</v>
      </c>
      <c r="C198">
        <v>58.29</v>
      </c>
      <c r="D198" t="s">
        <v>60</v>
      </c>
      <c r="E198" t="s">
        <v>60</v>
      </c>
      <c r="F198">
        <v>44.56</v>
      </c>
      <c r="G198">
        <v>32.229999999999997</v>
      </c>
      <c r="H198">
        <v>0</v>
      </c>
      <c r="I198">
        <v>0</v>
      </c>
      <c r="J198" t="s">
        <v>61</v>
      </c>
      <c r="K198" s="17">
        <v>45582</v>
      </c>
      <c r="L198" t="s">
        <v>63</v>
      </c>
      <c r="M198" s="17">
        <v>45586</v>
      </c>
      <c r="N198" t="s">
        <v>106</v>
      </c>
      <c r="O198" s="17">
        <v>45684</v>
      </c>
      <c r="P198" t="s">
        <v>172</v>
      </c>
      <c r="Q198" t="s">
        <v>60</v>
      </c>
      <c r="R198" t="s">
        <v>60</v>
      </c>
      <c r="S198" t="s">
        <v>60</v>
      </c>
    </row>
    <row r="199" spans="1:19" x14ac:dyDescent="0.25">
      <c r="A199" t="s">
        <v>337</v>
      </c>
      <c r="B199" t="s">
        <v>335</v>
      </c>
      <c r="C199">
        <v>51.97</v>
      </c>
      <c r="D199" t="s">
        <v>60</v>
      </c>
      <c r="E199" t="s">
        <v>60</v>
      </c>
      <c r="F199">
        <v>25.63</v>
      </c>
      <c r="G199">
        <v>16.87</v>
      </c>
      <c r="H199">
        <v>0.5</v>
      </c>
      <c r="I199">
        <v>0.5</v>
      </c>
      <c r="J199" t="s">
        <v>61</v>
      </c>
      <c r="K199" s="17">
        <v>45582</v>
      </c>
      <c r="L199" t="s">
        <v>63</v>
      </c>
      <c r="M199" s="17">
        <v>45586</v>
      </c>
      <c r="N199" t="s">
        <v>106</v>
      </c>
      <c r="O199" s="17">
        <v>45684</v>
      </c>
      <c r="P199" t="s">
        <v>172</v>
      </c>
      <c r="Q199" t="s">
        <v>60</v>
      </c>
      <c r="R199" t="s">
        <v>60</v>
      </c>
      <c r="S199" t="s">
        <v>60</v>
      </c>
    </row>
    <row r="200" spans="1:19" x14ac:dyDescent="0.25">
      <c r="A200" t="s">
        <v>338</v>
      </c>
      <c r="B200" t="s">
        <v>335</v>
      </c>
      <c r="C200">
        <v>49.76</v>
      </c>
      <c r="D200" t="s">
        <v>60</v>
      </c>
      <c r="E200" t="s">
        <v>60</v>
      </c>
      <c r="F200">
        <v>25.43</v>
      </c>
      <c r="G200">
        <v>18.5</v>
      </c>
      <c r="H200">
        <v>1</v>
      </c>
      <c r="I200">
        <v>1</v>
      </c>
      <c r="J200" t="s">
        <v>61</v>
      </c>
      <c r="K200" s="17">
        <v>45582</v>
      </c>
      <c r="L200" t="s">
        <v>63</v>
      </c>
      <c r="M200" s="17">
        <v>45586</v>
      </c>
      <c r="N200" t="s">
        <v>106</v>
      </c>
      <c r="O200" s="17">
        <v>45684</v>
      </c>
      <c r="P200" t="s">
        <v>172</v>
      </c>
      <c r="Q200" t="s">
        <v>60</v>
      </c>
      <c r="R200" t="s">
        <v>60</v>
      </c>
      <c r="S200" t="s">
        <v>60</v>
      </c>
    </row>
    <row r="201" spans="1:19" x14ac:dyDescent="0.25">
      <c r="A201" t="s">
        <v>339</v>
      </c>
      <c r="B201" t="s">
        <v>335</v>
      </c>
      <c r="C201">
        <v>45.42</v>
      </c>
      <c r="D201" t="s">
        <v>60</v>
      </c>
      <c r="E201" t="s">
        <v>60</v>
      </c>
      <c r="F201">
        <v>23.28</v>
      </c>
      <c r="G201">
        <v>16.52</v>
      </c>
      <c r="H201">
        <v>2</v>
      </c>
      <c r="I201">
        <v>0.5</v>
      </c>
      <c r="J201" t="s">
        <v>61</v>
      </c>
      <c r="K201" s="17">
        <v>45582</v>
      </c>
      <c r="L201" t="s">
        <v>63</v>
      </c>
      <c r="M201" s="17">
        <v>45586</v>
      </c>
      <c r="N201" t="s">
        <v>106</v>
      </c>
      <c r="O201" s="17">
        <v>45684</v>
      </c>
      <c r="P201" t="s">
        <v>172</v>
      </c>
      <c r="Q201" t="s">
        <v>60</v>
      </c>
      <c r="R201" t="s">
        <v>60</v>
      </c>
      <c r="S201" t="s">
        <v>60</v>
      </c>
    </row>
    <row r="202" spans="1:19" x14ac:dyDescent="0.25">
      <c r="A202" t="s">
        <v>340</v>
      </c>
      <c r="B202" t="s">
        <v>341</v>
      </c>
      <c r="C202">
        <v>46.88</v>
      </c>
      <c r="D202" t="s">
        <v>60</v>
      </c>
      <c r="E202" t="s">
        <v>60</v>
      </c>
      <c r="F202">
        <v>19.98</v>
      </c>
      <c r="G202">
        <v>14.81</v>
      </c>
      <c r="H202">
        <v>0</v>
      </c>
      <c r="I202">
        <v>0</v>
      </c>
      <c r="J202" t="s">
        <v>61</v>
      </c>
      <c r="K202" s="17">
        <v>45582</v>
      </c>
      <c r="L202" t="s">
        <v>63</v>
      </c>
      <c r="M202" s="17">
        <v>45586</v>
      </c>
      <c r="N202" t="s">
        <v>106</v>
      </c>
      <c r="O202" s="17">
        <v>45684</v>
      </c>
      <c r="P202" t="s">
        <v>172</v>
      </c>
      <c r="Q202" t="s">
        <v>60</v>
      </c>
      <c r="R202" t="s">
        <v>60</v>
      </c>
      <c r="S202" t="s">
        <v>60</v>
      </c>
    </row>
    <row r="203" spans="1:19" x14ac:dyDescent="0.25">
      <c r="A203" t="s">
        <v>342</v>
      </c>
      <c r="B203" t="s">
        <v>341</v>
      </c>
      <c r="C203">
        <v>45.42</v>
      </c>
      <c r="D203" t="s">
        <v>60</v>
      </c>
      <c r="E203" t="s">
        <v>60</v>
      </c>
      <c r="F203">
        <v>14.54</v>
      </c>
      <c r="G203">
        <v>10.23</v>
      </c>
      <c r="H203">
        <v>0</v>
      </c>
      <c r="I203">
        <v>0.5</v>
      </c>
      <c r="J203" t="s">
        <v>61</v>
      </c>
      <c r="K203" s="17">
        <v>45582</v>
      </c>
      <c r="L203" t="s">
        <v>63</v>
      </c>
      <c r="M203" s="17">
        <v>45586</v>
      </c>
      <c r="N203" t="s">
        <v>106</v>
      </c>
      <c r="O203" s="17">
        <v>45684</v>
      </c>
      <c r="P203" t="s">
        <v>172</v>
      </c>
      <c r="Q203" t="s">
        <v>60</v>
      </c>
      <c r="R203" t="s">
        <v>60</v>
      </c>
      <c r="S203" t="s">
        <v>60</v>
      </c>
    </row>
    <row r="204" spans="1:19" x14ac:dyDescent="0.25">
      <c r="A204" t="s">
        <v>343</v>
      </c>
      <c r="B204" t="s">
        <v>341</v>
      </c>
      <c r="C204">
        <v>40.15</v>
      </c>
      <c r="D204" t="s">
        <v>60</v>
      </c>
      <c r="E204" t="s">
        <v>60</v>
      </c>
      <c r="F204">
        <v>11.61</v>
      </c>
      <c r="G204">
        <v>8.67</v>
      </c>
      <c r="H204">
        <v>2</v>
      </c>
      <c r="I204">
        <v>2</v>
      </c>
      <c r="J204" t="s">
        <v>61</v>
      </c>
      <c r="K204" s="17">
        <v>45582</v>
      </c>
      <c r="L204" t="s">
        <v>63</v>
      </c>
      <c r="M204" s="17">
        <v>45586</v>
      </c>
      <c r="N204" t="s">
        <v>106</v>
      </c>
      <c r="O204" s="17">
        <v>45684</v>
      </c>
      <c r="P204" t="s">
        <v>172</v>
      </c>
      <c r="Q204" t="s">
        <v>60</v>
      </c>
      <c r="R204" t="s">
        <v>60</v>
      </c>
      <c r="S204" t="s">
        <v>60</v>
      </c>
    </row>
    <row r="205" spans="1:19" x14ac:dyDescent="0.25">
      <c r="A205" t="s">
        <v>344</v>
      </c>
      <c r="B205" t="s">
        <v>341</v>
      </c>
      <c r="C205">
        <v>39.5</v>
      </c>
      <c r="D205" t="s">
        <v>60</v>
      </c>
      <c r="E205" t="s">
        <v>60</v>
      </c>
      <c r="F205">
        <v>13.27</v>
      </c>
      <c r="G205">
        <v>10.26</v>
      </c>
      <c r="H205">
        <v>0</v>
      </c>
      <c r="I205">
        <v>0.5</v>
      </c>
      <c r="J205" t="s">
        <v>61</v>
      </c>
      <c r="K205" s="17">
        <v>45582</v>
      </c>
      <c r="L205" t="s">
        <v>63</v>
      </c>
      <c r="M205" s="17">
        <v>45586</v>
      </c>
      <c r="N205" t="s">
        <v>106</v>
      </c>
      <c r="O205" s="17">
        <v>45684</v>
      </c>
      <c r="P205" t="s">
        <v>172</v>
      </c>
      <c r="Q205" t="s">
        <v>60</v>
      </c>
      <c r="R205" t="s">
        <v>60</v>
      </c>
      <c r="S205" t="s">
        <v>60</v>
      </c>
    </row>
    <row r="206" spans="1:19" x14ac:dyDescent="0.25">
      <c r="A206" t="s">
        <v>345</v>
      </c>
      <c r="B206" t="s">
        <v>341</v>
      </c>
      <c r="C206">
        <v>45.69</v>
      </c>
      <c r="D206" t="s">
        <v>60</v>
      </c>
      <c r="E206" t="s">
        <v>60</v>
      </c>
      <c r="F206">
        <v>19.440000000000001</v>
      </c>
      <c r="G206">
        <v>14.12</v>
      </c>
      <c r="H206">
        <v>0</v>
      </c>
      <c r="I206">
        <v>0</v>
      </c>
      <c r="J206" t="s">
        <v>61</v>
      </c>
      <c r="K206" s="17">
        <v>45582</v>
      </c>
      <c r="L206" t="s">
        <v>63</v>
      </c>
      <c r="M206" s="17">
        <v>45586</v>
      </c>
      <c r="N206" t="s">
        <v>106</v>
      </c>
      <c r="O206" s="17">
        <v>45684</v>
      </c>
      <c r="P206" t="s">
        <v>172</v>
      </c>
      <c r="Q206" t="s">
        <v>60</v>
      </c>
      <c r="R206" t="s">
        <v>60</v>
      </c>
      <c r="S206" t="s">
        <v>60</v>
      </c>
    </row>
    <row r="207" spans="1:19" x14ac:dyDescent="0.25">
      <c r="A207" t="s">
        <v>346</v>
      </c>
      <c r="B207" t="s">
        <v>347</v>
      </c>
      <c r="C207">
        <v>37.33</v>
      </c>
      <c r="D207" t="s">
        <v>60</v>
      </c>
      <c r="E207" t="s">
        <v>60</v>
      </c>
      <c r="F207">
        <v>11.81</v>
      </c>
      <c r="G207">
        <v>7.32</v>
      </c>
      <c r="H207">
        <v>0.5</v>
      </c>
      <c r="I207">
        <v>0.5</v>
      </c>
      <c r="J207" t="s">
        <v>61</v>
      </c>
      <c r="K207" s="17">
        <v>45582</v>
      </c>
      <c r="L207" t="s">
        <v>63</v>
      </c>
      <c r="M207" s="17">
        <v>45586</v>
      </c>
      <c r="N207" t="s">
        <v>106</v>
      </c>
      <c r="O207" s="17">
        <v>45684</v>
      </c>
      <c r="P207" t="s">
        <v>172</v>
      </c>
      <c r="Q207" t="s">
        <v>60</v>
      </c>
      <c r="R207" t="s">
        <v>60</v>
      </c>
      <c r="S207" t="s">
        <v>60</v>
      </c>
    </row>
    <row r="208" spans="1:19" x14ac:dyDescent="0.25">
      <c r="A208" t="s">
        <v>348</v>
      </c>
      <c r="B208" t="s">
        <v>347</v>
      </c>
      <c r="C208">
        <v>39.51</v>
      </c>
      <c r="D208" t="s">
        <v>60</v>
      </c>
      <c r="E208" t="s">
        <v>60</v>
      </c>
      <c r="F208">
        <v>7.2</v>
      </c>
      <c r="G208">
        <v>5.86</v>
      </c>
      <c r="H208">
        <v>0</v>
      </c>
      <c r="I208">
        <v>0.5</v>
      </c>
      <c r="J208" t="s">
        <v>61</v>
      </c>
      <c r="K208" s="17">
        <v>45582</v>
      </c>
      <c r="L208" t="s">
        <v>63</v>
      </c>
      <c r="M208" s="17">
        <v>45586</v>
      </c>
      <c r="N208" t="s">
        <v>106</v>
      </c>
      <c r="O208" s="17">
        <v>45684</v>
      </c>
      <c r="P208" t="s">
        <v>172</v>
      </c>
      <c r="Q208" t="s">
        <v>60</v>
      </c>
      <c r="R208" t="s">
        <v>60</v>
      </c>
      <c r="S208" t="s">
        <v>60</v>
      </c>
    </row>
    <row r="209" spans="1:19" x14ac:dyDescent="0.25">
      <c r="A209" t="s">
        <v>349</v>
      </c>
      <c r="B209" t="s">
        <v>347</v>
      </c>
      <c r="C209">
        <v>33.99</v>
      </c>
      <c r="D209" t="s">
        <v>60</v>
      </c>
      <c r="E209" t="s">
        <v>60</v>
      </c>
      <c r="F209">
        <v>9.3000000000000007</v>
      </c>
      <c r="G209">
        <v>6.83</v>
      </c>
      <c r="H209">
        <v>0</v>
      </c>
      <c r="I209">
        <v>0</v>
      </c>
      <c r="J209" t="s">
        <v>61</v>
      </c>
      <c r="K209" s="17">
        <v>45582</v>
      </c>
      <c r="L209" t="s">
        <v>63</v>
      </c>
      <c r="M209" s="17">
        <v>45586</v>
      </c>
      <c r="N209" t="s">
        <v>106</v>
      </c>
      <c r="O209" s="17">
        <v>45684</v>
      </c>
      <c r="P209" t="s">
        <v>172</v>
      </c>
      <c r="Q209" t="s">
        <v>60</v>
      </c>
      <c r="R209" t="s">
        <v>60</v>
      </c>
      <c r="S209" t="s">
        <v>60</v>
      </c>
    </row>
    <row r="210" spans="1:19" x14ac:dyDescent="0.25">
      <c r="A210" t="s">
        <v>350</v>
      </c>
      <c r="B210" t="s">
        <v>347</v>
      </c>
      <c r="C210">
        <v>34.79</v>
      </c>
      <c r="D210" t="s">
        <v>60</v>
      </c>
      <c r="E210" t="s">
        <v>60</v>
      </c>
      <c r="F210">
        <v>6.5</v>
      </c>
      <c r="G210">
        <v>4.5</v>
      </c>
      <c r="H210">
        <v>0</v>
      </c>
      <c r="I210">
        <v>0</v>
      </c>
      <c r="J210" t="s">
        <v>61</v>
      </c>
      <c r="K210" s="17">
        <v>45582</v>
      </c>
      <c r="L210" t="s">
        <v>63</v>
      </c>
      <c r="M210" s="17">
        <v>45586</v>
      </c>
      <c r="N210" t="s">
        <v>106</v>
      </c>
      <c r="O210" s="17">
        <v>45684</v>
      </c>
      <c r="P210" t="s">
        <v>172</v>
      </c>
      <c r="Q210" t="s">
        <v>60</v>
      </c>
      <c r="R210" t="s">
        <v>60</v>
      </c>
      <c r="S210" t="s">
        <v>60</v>
      </c>
    </row>
    <row r="211" spans="1:19" x14ac:dyDescent="0.25">
      <c r="A211" t="s">
        <v>351</v>
      </c>
      <c r="B211" t="s">
        <v>347</v>
      </c>
      <c r="C211">
        <v>43.72</v>
      </c>
      <c r="D211" t="s">
        <v>60</v>
      </c>
      <c r="E211" t="s">
        <v>60</v>
      </c>
      <c r="F211">
        <v>9.8699999999999992</v>
      </c>
      <c r="G211">
        <v>7.05</v>
      </c>
      <c r="H211">
        <v>0.5</v>
      </c>
      <c r="I211">
        <v>0</v>
      </c>
      <c r="J211" t="s">
        <v>61</v>
      </c>
      <c r="K211" s="17">
        <v>45582</v>
      </c>
      <c r="L211" t="s">
        <v>63</v>
      </c>
      <c r="M211" s="17">
        <v>45586</v>
      </c>
      <c r="N211" t="s">
        <v>106</v>
      </c>
      <c r="O211" s="17">
        <v>45684</v>
      </c>
      <c r="P211" t="s">
        <v>172</v>
      </c>
      <c r="Q211" t="s">
        <v>60</v>
      </c>
      <c r="R211" t="s">
        <v>60</v>
      </c>
      <c r="S211" t="s">
        <v>60</v>
      </c>
    </row>
    <row r="212" spans="1:19" x14ac:dyDescent="0.25">
      <c r="A212" t="s">
        <v>352</v>
      </c>
      <c r="B212" t="s">
        <v>353</v>
      </c>
      <c r="C212">
        <v>55</v>
      </c>
      <c r="D212" t="s">
        <v>60</v>
      </c>
      <c r="E212" t="s">
        <v>60</v>
      </c>
      <c r="F212">
        <v>32.68</v>
      </c>
      <c r="G212">
        <v>24.05</v>
      </c>
      <c r="H212">
        <v>2</v>
      </c>
      <c r="I212">
        <v>2</v>
      </c>
      <c r="J212" t="s">
        <v>61</v>
      </c>
      <c r="K212" s="17">
        <v>45611</v>
      </c>
      <c r="L212" t="s">
        <v>149</v>
      </c>
      <c r="M212" s="17">
        <v>45614</v>
      </c>
      <c r="N212" t="s">
        <v>149</v>
      </c>
      <c r="O212" s="17">
        <v>45684</v>
      </c>
      <c r="P212" t="s">
        <v>172</v>
      </c>
      <c r="Q212" t="s">
        <v>60</v>
      </c>
      <c r="R212" t="s">
        <v>60</v>
      </c>
      <c r="S212" t="s">
        <v>60</v>
      </c>
    </row>
    <row r="213" spans="1:19" x14ac:dyDescent="0.25">
      <c r="A213" t="s">
        <v>354</v>
      </c>
      <c r="B213" t="s">
        <v>353</v>
      </c>
      <c r="C213">
        <v>65.680000000000007</v>
      </c>
      <c r="D213" t="s">
        <v>60</v>
      </c>
      <c r="E213" t="s">
        <v>60</v>
      </c>
      <c r="F213">
        <v>47.19</v>
      </c>
      <c r="G213">
        <v>33.869999999999997</v>
      </c>
      <c r="H213">
        <v>1</v>
      </c>
      <c r="I213">
        <v>1</v>
      </c>
      <c r="J213" t="s">
        <v>61</v>
      </c>
      <c r="K213" s="17">
        <v>45611</v>
      </c>
      <c r="L213" t="s">
        <v>149</v>
      </c>
      <c r="M213" s="17">
        <v>45614</v>
      </c>
      <c r="N213" t="s">
        <v>149</v>
      </c>
      <c r="O213" s="17">
        <v>45684</v>
      </c>
      <c r="P213" t="s">
        <v>172</v>
      </c>
      <c r="Q213" t="s">
        <v>60</v>
      </c>
      <c r="R213" t="s">
        <v>60</v>
      </c>
      <c r="S213" t="s">
        <v>60</v>
      </c>
    </row>
    <row r="214" spans="1:19" x14ac:dyDescent="0.25">
      <c r="A214" t="s">
        <v>355</v>
      </c>
      <c r="B214" t="s">
        <v>353</v>
      </c>
      <c r="C214">
        <v>46.99</v>
      </c>
      <c r="D214" t="s">
        <v>60</v>
      </c>
      <c r="E214" t="s">
        <v>60</v>
      </c>
      <c r="F214">
        <v>25.97</v>
      </c>
      <c r="G214">
        <v>18.87</v>
      </c>
      <c r="H214">
        <v>0.5</v>
      </c>
      <c r="I214">
        <v>0.5</v>
      </c>
      <c r="J214" t="s">
        <v>61</v>
      </c>
      <c r="K214" s="17">
        <v>45611</v>
      </c>
      <c r="L214" t="s">
        <v>149</v>
      </c>
      <c r="M214" s="17">
        <v>45614</v>
      </c>
      <c r="N214" t="s">
        <v>149</v>
      </c>
      <c r="O214" s="17">
        <v>45684</v>
      </c>
      <c r="P214" t="s">
        <v>172</v>
      </c>
      <c r="Q214" t="s">
        <v>60</v>
      </c>
      <c r="R214" t="s">
        <v>60</v>
      </c>
      <c r="S214" t="s">
        <v>60</v>
      </c>
    </row>
    <row r="215" spans="1:19" x14ac:dyDescent="0.25">
      <c r="A215" t="s">
        <v>356</v>
      </c>
      <c r="B215" t="s">
        <v>353</v>
      </c>
      <c r="C215">
        <v>52.54</v>
      </c>
      <c r="D215" t="s">
        <v>60</v>
      </c>
      <c r="E215" t="s">
        <v>60</v>
      </c>
      <c r="F215">
        <v>25.81</v>
      </c>
      <c r="G215">
        <v>17.59</v>
      </c>
      <c r="H215">
        <v>0</v>
      </c>
      <c r="I215">
        <v>0</v>
      </c>
      <c r="J215" t="s">
        <v>61</v>
      </c>
      <c r="K215" s="17">
        <v>45611</v>
      </c>
      <c r="L215" t="s">
        <v>149</v>
      </c>
      <c r="M215" s="17">
        <v>45614</v>
      </c>
      <c r="N215" t="s">
        <v>149</v>
      </c>
      <c r="O215" s="17">
        <v>45684</v>
      </c>
      <c r="P215" t="s">
        <v>172</v>
      </c>
      <c r="Q215" t="s">
        <v>60</v>
      </c>
      <c r="R215" t="s">
        <v>357</v>
      </c>
      <c r="S215" t="s">
        <v>60</v>
      </c>
    </row>
    <row r="216" spans="1:19" x14ac:dyDescent="0.25">
      <c r="A216" t="s">
        <v>358</v>
      </c>
      <c r="B216" t="s">
        <v>353</v>
      </c>
      <c r="C216">
        <v>44.8</v>
      </c>
      <c r="D216" t="s">
        <v>60</v>
      </c>
      <c r="E216" t="s">
        <v>60</v>
      </c>
      <c r="F216">
        <v>31.59</v>
      </c>
      <c r="G216">
        <v>23.12</v>
      </c>
      <c r="H216">
        <v>0</v>
      </c>
      <c r="I216">
        <v>0</v>
      </c>
      <c r="J216" t="s">
        <v>61</v>
      </c>
      <c r="K216" s="17">
        <v>45611</v>
      </c>
      <c r="L216" t="s">
        <v>149</v>
      </c>
      <c r="M216" s="17">
        <v>45614</v>
      </c>
      <c r="N216" t="s">
        <v>149</v>
      </c>
      <c r="O216" s="17">
        <v>45684</v>
      </c>
      <c r="P216" t="s">
        <v>172</v>
      </c>
      <c r="Q216" t="s">
        <v>60</v>
      </c>
      <c r="R216" t="s">
        <v>60</v>
      </c>
      <c r="S216" t="s">
        <v>60</v>
      </c>
    </row>
    <row r="217" spans="1:19" x14ac:dyDescent="0.25">
      <c r="A217" t="s">
        <v>359</v>
      </c>
      <c r="B217" t="s">
        <v>360</v>
      </c>
      <c r="C217">
        <v>57.3</v>
      </c>
      <c r="D217" t="s">
        <v>60</v>
      </c>
      <c r="E217" t="s">
        <v>60</v>
      </c>
      <c r="F217">
        <v>42.88</v>
      </c>
      <c r="G217">
        <v>29.27</v>
      </c>
      <c r="H217">
        <v>1</v>
      </c>
      <c r="I217">
        <v>0</v>
      </c>
      <c r="J217" t="s">
        <v>61</v>
      </c>
      <c r="K217" s="17">
        <v>45611</v>
      </c>
      <c r="L217" t="s">
        <v>149</v>
      </c>
      <c r="M217" s="17">
        <v>45614</v>
      </c>
      <c r="N217" t="s">
        <v>149</v>
      </c>
      <c r="O217" s="17">
        <v>45684</v>
      </c>
      <c r="P217" t="s">
        <v>172</v>
      </c>
      <c r="Q217" t="s">
        <v>60</v>
      </c>
      <c r="R217" t="s">
        <v>60</v>
      </c>
      <c r="S217" t="s">
        <v>60</v>
      </c>
    </row>
    <row r="218" spans="1:19" x14ac:dyDescent="0.25">
      <c r="A218" t="s">
        <v>361</v>
      </c>
      <c r="B218" t="s">
        <v>360</v>
      </c>
      <c r="C218">
        <v>54.89</v>
      </c>
      <c r="D218" t="s">
        <v>60</v>
      </c>
      <c r="E218" t="s">
        <v>60</v>
      </c>
      <c r="F218">
        <v>23.92</v>
      </c>
      <c r="G218">
        <v>15.23</v>
      </c>
      <c r="H218">
        <v>0.5</v>
      </c>
      <c r="I218">
        <v>0</v>
      </c>
      <c r="J218" t="s">
        <v>61</v>
      </c>
      <c r="K218" s="17">
        <v>45611</v>
      </c>
      <c r="L218" t="s">
        <v>149</v>
      </c>
      <c r="M218" s="17">
        <v>45614</v>
      </c>
      <c r="N218" t="s">
        <v>149</v>
      </c>
      <c r="O218" s="17">
        <v>45684</v>
      </c>
      <c r="P218" t="s">
        <v>172</v>
      </c>
      <c r="Q218" t="s">
        <v>60</v>
      </c>
      <c r="R218" t="s">
        <v>60</v>
      </c>
      <c r="S218" t="s">
        <v>60</v>
      </c>
    </row>
    <row r="219" spans="1:19" x14ac:dyDescent="0.25">
      <c r="A219" t="s">
        <v>362</v>
      </c>
      <c r="B219" t="s">
        <v>360</v>
      </c>
      <c r="C219">
        <v>53.42</v>
      </c>
      <c r="D219" t="s">
        <v>60</v>
      </c>
      <c r="E219" t="s">
        <v>60</v>
      </c>
      <c r="F219">
        <v>19.77</v>
      </c>
      <c r="G219">
        <v>12.52</v>
      </c>
      <c r="H219">
        <v>3</v>
      </c>
      <c r="I219">
        <v>3</v>
      </c>
      <c r="J219" t="s">
        <v>61</v>
      </c>
      <c r="K219" s="17">
        <v>45611</v>
      </c>
      <c r="L219" t="s">
        <v>149</v>
      </c>
      <c r="M219" s="17">
        <v>45614</v>
      </c>
      <c r="N219" t="s">
        <v>149</v>
      </c>
      <c r="O219" s="17">
        <v>45684</v>
      </c>
      <c r="P219" t="s">
        <v>172</v>
      </c>
      <c r="Q219" t="s">
        <v>60</v>
      </c>
      <c r="R219" t="s">
        <v>60</v>
      </c>
      <c r="S219" t="s">
        <v>60</v>
      </c>
    </row>
    <row r="220" spans="1:19" x14ac:dyDescent="0.25">
      <c r="A220" t="s">
        <v>363</v>
      </c>
      <c r="B220" t="s">
        <v>360</v>
      </c>
      <c r="C220">
        <v>41.01</v>
      </c>
      <c r="D220" t="s">
        <v>60</v>
      </c>
      <c r="E220" t="s">
        <v>60</v>
      </c>
      <c r="F220">
        <v>13.35</v>
      </c>
      <c r="G220">
        <v>8.5500000000000007</v>
      </c>
      <c r="H220">
        <v>2</v>
      </c>
      <c r="I220">
        <v>2</v>
      </c>
      <c r="J220" t="s">
        <v>61</v>
      </c>
      <c r="K220" s="17">
        <v>45611</v>
      </c>
      <c r="L220" t="s">
        <v>149</v>
      </c>
      <c r="M220" s="17">
        <v>45614</v>
      </c>
      <c r="N220" t="s">
        <v>149</v>
      </c>
      <c r="O220" s="17">
        <v>45684</v>
      </c>
      <c r="P220" t="s">
        <v>172</v>
      </c>
      <c r="Q220" t="s">
        <v>60</v>
      </c>
      <c r="R220" t="s">
        <v>60</v>
      </c>
      <c r="S220" t="s">
        <v>60</v>
      </c>
    </row>
    <row r="221" spans="1:19" x14ac:dyDescent="0.25">
      <c r="A221" t="s">
        <v>364</v>
      </c>
      <c r="B221" t="s">
        <v>360</v>
      </c>
      <c r="C221">
        <v>51.89</v>
      </c>
      <c r="D221" t="s">
        <v>60</v>
      </c>
      <c r="E221" t="s">
        <v>60</v>
      </c>
      <c r="F221">
        <v>21.52</v>
      </c>
      <c r="G221">
        <v>14.51</v>
      </c>
      <c r="H221">
        <v>1</v>
      </c>
      <c r="I221">
        <v>1</v>
      </c>
      <c r="J221" t="s">
        <v>61</v>
      </c>
      <c r="K221" s="17">
        <v>45611</v>
      </c>
      <c r="L221" t="s">
        <v>149</v>
      </c>
      <c r="M221" s="17">
        <v>45614</v>
      </c>
      <c r="N221" t="s">
        <v>149</v>
      </c>
      <c r="O221" s="17">
        <v>45684</v>
      </c>
      <c r="P221" t="s">
        <v>172</v>
      </c>
      <c r="Q221" t="s">
        <v>60</v>
      </c>
      <c r="R221" t="s">
        <v>60</v>
      </c>
      <c r="S221" t="s">
        <v>60</v>
      </c>
    </row>
    <row r="222" spans="1:19" x14ac:dyDescent="0.25">
      <c r="A222" t="s">
        <v>365</v>
      </c>
      <c r="B222" t="s">
        <v>366</v>
      </c>
      <c r="C222">
        <v>68.19</v>
      </c>
      <c r="D222" t="s">
        <v>60</v>
      </c>
      <c r="E222" t="s">
        <v>60</v>
      </c>
      <c r="F222">
        <v>31.44</v>
      </c>
      <c r="G222">
        <v>26.58</v>
      </c>
      <c r="H222">
        <v>1</v>
      </c>
      <c r="I222">
        <v>1</v>
      </c>
      <c r="J222" t="s">
        <v>61</v>
      </c>
      <c r="K222" s="17">
        <v>45611</v>
      </c>
      <c r="L222" t="s">
        <v>149</v>
      </c>
      <c r="M222" s="17">
        <v>45614</v>
      </c>
      <c r="N222" t="s">
        <v>149</v>
      </c>
      <c r="O222" s="17">
        <v>45684</v>
      </c>
      <c r="P222" t="s">
        <v>172</v>
      </c>
      <c r="Q222" t="s">
        <v>60</v>
      </c>
      <c r="R222" t="s">
        <v>60</v>
      </c>
      <c r="S222" t="s">
        <v>60</v>
      </c>
    </row>
    <row r="223" spans="1:19" x14ac:dyDescent="0.25">
      <c r="A223" t="s">
        <v>367</v>
      </c>
      <c r="B223" t="s">
        <v>366</v>
      </c>
      <c r="C223">
        <v>40.97</v>
      </c>
      <c r="D223" t="s">
        <v>60</v>
      </c>
      <c r="E223" t="s">
        <v>60</v>
      </c>
      <c r="F223">
        <v>26.41</v>
      </c>
      <c r="G223">
        <v>16.8</v>
      </c>
      <c r="H223">
        <v>1</v>
      </c>
      <c r="I223">
        <v>1</v>
      </c>
      <c r="J223" t="s">
        <v>61</v>
      </c>
      <c r="K223" s="17">
        <v>45611</v>
      </c>
      <c r="L223" t="s">
        <v>149</v>
      </c>
      <c r="M223" s="17">
        <v>45614</v>
      </c>
      <c r="N223" t="s">
        <v>149</v>
      </c>
      <c r="O223" s="17">
        <v>45684</v>
      </c>
      <c r="P223" t="s">
        <v>172</v>
      </c>
      <c r="Q223" t="s">
        <v>60</v>
      </c>
      <c r="R223" t="s">
        <v>60</v>
      </c>
      <c r="S223" t="s">
        <v>60</v>
      </c>
    </row>
    <row r="224" spans="1:19" x14ac:dyDescent="0.25">
      <c r="A224" t="s">
        <v>368</v>
      </c>
      <c r="B224" t="s">
        <v>366</v>
      </c>
      <c r="C224">
        <v>51.13</v>
      </c>
      <c r="D224" t="s">
        <v>60</v>
      </c>
      <c r="E224" t="s">
        <v>60</v>
      </c>
      <c r="F224">
        <v>31.67</v>
      </c>
      <c r="G224">
        <v>24.67</v>
      </c>
      <c r="H224">
        <v>4</v>
      </c>
      <c r="I224">
        <v>5</v>
      </c>
      <c r="J224" t="s">
        <v>61</v>
      </c>
      <c r="K224" s="17">
        <v>45611</v>
      </c>
      <c r="L224" t="s">
        <v>149</v>
      </c>
      <c r="M224" s="17">
        <v>45614</v>
      </c>
      <c r="N224" t="s">
        <v>149</v>
      </c>
      <c r="O224" s="17">
        <v>45684</v>
      </c>
      <c r="P224" t="s">
        <v>172</v>
      </c>
      <c r="Q224" t="s">
        <v>60</v>
      </c>
      <c r="R224" t="s">
        <v>60</v>
      </c>
      <c r="S224" t="s">
        <v>60</v>
      </c>
    </row>
    <row r="225" spans="1:19" x14ac:dyDescent="0.25">
      <c r="A225" t="s">
        <v>369</v>
      </c>
      <c r="B225" t="s">
        <v>366</v>
      </c>
      <c r="C225">
        <v>72.17</v>
      </c>
      <c r="D225" t="s">
        <v>60</v>
      </c>
      <c r="E225" t="s">
        <v>60</v>
      </c>
      <c r="F225">
        <v>42.59</v>
      </c>
      <c r="G225">
        <v>30.96</v>
      </c>
      <c r="H225">
        <v>2</v>
      </c>
      <c r="I225">
        <v>2</v>
      </c>
      <c r="J225" t="s">
        <v>61</v>
      </c>
      <c r="K225" s="17">
        <v>45611</v>
      </c>
      <c r="L225" t="s">
        <v>149</v>
      </c>
      <c r="M225" s="17">
        <v>45614</v>
      </c>
      <c r="N225" t="s">
        <v>149</v>
      </c>
      <c r="O225" s="17">
        <v>45684</v>
      </c>
      <c r="P225" t="s">
        <v>172</v>
      </c>
      <c r="Q225" t="s">
        <v>60</v>
      </c>
      <c r="R225" t="s">
        <v>60</v>
      </c>
      <c r="S225" t="s">
        <v>60</v>
      </c>
    </row>
    <row r="226" spans="1:19" x14ac:dyDescent="0.25">
      <c r="A226" t="s">
        <v>370</v>
      </c>
      <c r="B226" t="s">
        <v>366</v>
      </c>
      <c r="C226">
        <v>65.430000000000007</v>
      </c>
      <c r="D226" t="s">
        <v>60</v>
      </c>
      <c r="E226" t="s">
        <v>60</v>
      </c>
      <c r="F226">
        <v>58.84</v>
      </c>
      <c r="G226">
        <v>37.9</v>
      </c>
      <c r="H226">
        <v>2</v>
      </c>
      <c r="I226">
        <v>2</v>
      </c>
      <c r="J226" t="s">
        <v>61</v>
      </c>
      <c r="K226" s="17">
        <v>45611</v>
      </c>
      <c r="L226" t="s">
        <v>149</v>
      </c>
      <c r="M226" s="17">
        <v>45614</v>
      </c>
      <c r="N226" t="s">
        <v>149</v>
      </c>
      <c r="O226" s="17">
        <v>45684</v>
      </c>
      <c r="P226" t="s">
        <v>172</v>
      </c>
      <c r="Q226" t="s">
        <v>60</v>
      </c>
      <c r="R226" t="s">
        <v>60</v>
      </c>
      <c r="S226" t="s">
        <v>60</v>
      </c>
    </row>
    <row r="227" spans="1:19" x14ac:dyDescent="0.25">
      <c r="A227" t="s">
        <v>371</v>
      </c>
      <c r="B227" t="s">
        <v>372</v>
      </c>
      <c r="C227">
        <v>59.26</v>
      </c>
      <c r="D227" t="s">
        <v>60</v>
      </c>
      <c r="E227" t="s">
        <v>60</v>
      </c>
      <c r="F227">
        <v>41.23</v>
      </c>
      <c r="G227">
        <v>30.14</v>
      </c>
      <c r="H227">
        <v>1</v>
      </c>
      <c r="I227">
        <v>2</v>
      </c>
      <c r="J227" t="s">
        <v>61</v>
      </c>
      <c r="K227" s="17">
        <v>45642</v>
      </c>
      <c r="L227" t="s">
        <v>106</v>
      </c>
      <c r="M227" s="17">
        <v>45642</v>
      </c>
      <c r="N227" t="s">
        <v>106</v>
      </c>
      <c r="O227" s="17">
        <v>45684</v>
      </c>
      <c r="P227" t="s">
        <v>172</v>
      </c>
      <c r="Q227" t="s">
        <v>60</v>
      </c>
      <c r="R227" t="s">
        <v>60</v>
      </c>
      <c r="S227" t="s">
        <v>60</v>
      </c>
    </row>
    <row r="228" spans="1:19" x14ac:dyDescent="0.25">
      <c r="A228" t="s">
        <v>373</v>
      </c>
      <c r="B228" t="s">
        <v>372</v>
      </c>
      <c r="C228">
        <v>49.69</v>
      </c>
      <c r="D228" t="s">
        <v>60</v>
      </c>
      <c r="E228" t="s">
        <v>60</v>
      </c>
      <c r="F228">
        <v>40.229999999999997</v>
      </c>
      <c r="G228">
        <v>32.14</v>
      </c>
      <c r="H228">
        <v>0</v>
      </c>
      <c r="I228">
        <v>0.5</v>
      </c>
      <c r="J228" t="s">
        <v>61</v>
      </c>
      <c r="K228" s="17">
        <v>45642</v>
      </c>
      <c r="L228" t="s">
        <v>106</v>
      </c>
      <c r="M228" s="17">
        <v>45642</v>
      </c>
      <c r="N228" t="s">
        <v>106</v>
      </c>
      <c r="O228" s="17">
        <v>45684</v>
      </c>
      <c r="P228" t="s">
        <v>172</v>
      </c>
      <c r="Q228" t="s">
        <v>60</v>
      </c>
      <c r="R228" t="s">
        <v>60</v>
      </c>
      <c r="S228" t="s">
        <v>60</v>
      </c>
    </row>
    <row r="229" spans="1:19" x14ac:dyDescent="0.25">
      <c r="A229" t="s">
        <v>374</v>
      </c>
      <c r="B229" t="s">
        <v>372</v>
      </c>
      <c r="C229">
        <v>46.91</v>
      </c>
      <c r="D229" t="s">
        <v>60</v>
      </c>
      <c r="E229" t="s">
        <v>60</v>
      </c>
      <c r="F229">
        <v>22.3</v>
      </c>
      <c r="G229">
        <v>16.829999999999998</v>
      </c>
      <c r="H229">
        <v>0</v>
      </c>
      <c r="I229">
        <v>0</v>
      </c>
      <c r="J229" t="s">
        <v>61</v>
      </c>
      <c r="K229" s="17">
        <v>45642</v>
      </c>
      <c r="L229" t="s">
        <v>106</v>
      </c>
      <c r="M229" s="17">
        <v>45642</v>
      </c>
      <c r="N229" t="s">
        <v>106</v>
      </c>
      <c r="O229" s="17">
        <v>45684</v>
      </c>
      <c r="P229" t="s">
        <v>172</v>
      </c>
      <c r="Q229" t="s">
        <v>60</v>
      </c>
      <c r="R229" t="s">
        <v>60</v>
      </c>
      <c r="S229" t="s">
        <v>60</v>
      </c>
    </row>
    <row r="230" spans="1:19" x14ac:dyDescent="0.25">
      <c r="A230" t="s">
        <v>375</v>
      </c>
      <c r="B230" t="s">
        <v>372</v>
      </c>
      <c r="C230">
        <v>54.57</v>
      </c>
      <c r="D230" t="s">
        <v>60</v>
      </c>
      <c r="E230" t="s">
        <v>60</v>
      </c>
      <c r="F230">
        <v>38.020000000000003</v>
      </c>
      <c r="G230">
        <v>27.2</v>
      </c>
      <c r="H230">
        <v>1</v>
      </c>
      <c r="I230">
        <v>2</v>
      </c>
      <c r="J230" t="s">
        <v>61</v>
      </c>
      <c r="K230" s="17">
        <v>45642</v>
      </c>
      <c r="L230" t="s">
        <v>106</v>
      </c>
      <c r="M230" s="17">
        <v>45642</v>
      </c>
      <c r="N230" t="s">
        <v>106</v>
      </c>
      <c r="O230" s="17">
        <v>45684</v>
      </c>
      <c r="P230" t="s">
        <v>172</v>
      </c>
      <c r="Q230" t="s">
        <v>60</v>
      </c>
      <c r="R230" t="s">
        <v>60</v>
      </c>
      <c r="S230" t="s">
        <v>60</v>
      </c>
    </row>
    <row r="231" spans="1:19" x14ac:dyDescent="0.25">
      <c r="A231" t="s">
        <v>376</v>
      </c>
      <c r="B231" t="s">
        <v>372</v>
      </c>
      <c r="C231">
        <v>55.33</v>
      </c>
      <c r="D231" t="s">
        <v>60</v>
      </c>
      <c r="E231" t="s">
        <v>60</v>
      </c>
      <c r="F231">
        <v>30.06</v>
      </c>
      <c r="G231">
        <v>22.18</v>
      </c>
      <c r="H231">
        <v>1</v>
      </c>
      <c r="I231">
        <v>2</v>
      </c>
      <c r="J231" t="s">
        <v>61</v>
      </c>
      <c r="K231" s="17">
        <v>45642</v>
      </c>
      <c r="L231" t="s">
        <v>106</v>
      </c>
      <c r="M231" s="17">
        <v>45642</v>
      </c>
      <c r="N231" t="s">
        <v>106</v>
      </c>
      <c r="O231" s="17">
        <v>45684</v>
      </c>
      <c r="P231" t="s">
        <v>172</v>
      </c>
      <c r="Q231" t="s">
        <v>60</v>
      </c>
      <c r="R231" t="s">
        <v>218</v>
      </c>
      <c r="S231" t="s">
        <v>60</v>
      </c>
    </row>
    <row r="232" spans="1:19" x14ac:dyDescent="0.25">
      <c r="A232" t="s">
        <v>377</v>
      </c>
      <c r="B232" t="s">
        <v>378</v>
      </c>
      <c r="C232">
        <v>63.71</v>
      </c>
      <c r="D232" t="s">
        <v>60</v>
      </c>
      <c r="E232" t="s">
        <v>60</v>
      </c>
      <c r="F232">
        <v>61.26</v>
      </c>
      <c r="G232">
        <v>46.27</v>
      </c>
      <c r="H232">
        <v>0</v>
      </c>
      <c r="I232">
        <v>0</v>
      </c>
      <c r="J232" t="s">
        <v>61</v>
      </c>
      <c r="K232" s="17">
        <v>45642</v>
      </c>
      <c r="L232" t="s">
        <v>106</v>
      </c>
      <c r="M232" s="17">
        <v>45642</v>
      </c>
      <c r="N232" t="s">
        <v>106</v>
      </c>
      <c r="O232" s="17">
        <v>45684</v>
      </c>
      <c r="P232" t="s">
        <v>172</v>
      </c>
      <c r="Q232" t="s">
        <v>60</v>
      </c>
      <c r="R232" t="s">
        <v>60</v>
      </c>
      <c r="S232" t="s">
        <v>60</v>
      </c>
    </row>
    <row r="233" spans="1:19" x14ac:dyDescent="0.25">
      <c r="A233" t="s">
        <v>379</v>
      </c>
      <c r="B233" t="s">
        <v>378</v>
      </c>
      <c r="C233">
        <v>64.7</v>
      </c>
      <c r="D233" t="s">
        <v>60</v>
      </c>
      <c r="E233" t="s">
        <v>60</v>
      </c>
      <c r="F233">
        <v>61.41</v>
      </c>
      <c r="G233">
        <v>44.21</v>
      </c>
      <c r="H233">
        <v>0</v>
      </c>
      <c r="I233">
        <v>0</v>
      </c>
      <c r="J233" t="s">
        <v>61</v>
      </c>
      <c r="K233" s="17">
        <v>45642</v>
      </c>
      <c r="L233" t="s">
        <v>106</v>
      </c>
      <c r="M233" s="17">
        <v>45642</v>
      </c>
      <c r="N233" t="s">
        <v>106</v>
      </c>
      <c r="O233" s="17">
        <v>45684</v>
      </c>
      <c r="P233" t="s">
        <v>172</v>
      </c>
      <c r="Q233" t="s">
        <v>60</v>
      </c>
      <c r="R233" t="s">
        <v>380</v>
      </c>
      <c r="S233" t="s">
        <v>60</v>
      </c>
    </row>
    <row r="234" spans="1:19" x14ac:dyDescent="0.25">
      <c r="A234" t="s">
        <v>381</v>
      </c>
      <c r="B234" t="s">
        <v>378</v>
      </c>
      <c r="C234">
        <v>54.25</v>
      </c>
      <c r="D234" t="s">
        <v>60</v>
      </c>
      <c r="E234" t="s">
        <v>60</v>
      </c>
      <c r="F234">
        <v>42.47</v>
      </c>
      <c r="G234">
        <v>31.88</v>
      </c>
      <c r="H234">
        <v>2</v>
      </c>
      <c r="I234">
        <v>2</v>
      </c>
      <c r="J234" t="s">
        <v>61</v>
      </c>
      <c r="K234" s="17">
        <v>45642</v>
      </c>
      <c r="L234" t="s">
        <v>106</v>
      </c>
      <c r="M234" s="17">
        <v>45642</v>
      </c>
      <c r="N234" t="s">
        <v>106</v>
      </c>
      <c r="O234" s="17">
        <v>45684</v>
      </c>
      <c r="P234" t="s">
        <v>172</v>
      </c>
      <c r="Q234" t="s">
        <v>60</v>
      </c>
      <c r="R234" t="s">
        <v>382</v>
      </c>
      <c r="S234" t="s">
        <v>60</v>
      </c>
    </row>
    <row r="235" spans="1:19" x14ac:dyDescent="0.25">
      <c r="A235" t="s">
        <v>383</v>
      </c>
      <c r="B235" t="s">
        <v>378</v>
      </c>
      <c r="C235">
        <v>66.52</v>
      </c>
      <c r="D235" t="s">
        <v>60</v>
      </c>
      <c r="E235" t="s">
        <v>60</v>
      </c>
      <c r="F235">
        <v>48.67</v>
      </c>
      <c r="G235">
        <v>33.6</v>
      </c>
      <c r="H235">
        <v>2</v>
      </c>
      <c r="I235">
        <v>3</v>
      </c>
      <c r="J235" t="s">
        <v>61</v>
      </c>
      <c r="K235" s="17">
        <v>45642</v>
      </c>
      <c r="L235" t="s">
        <v>106</v>
      </c>
      <c r="M235" s="17">
        <v>45642</v>
      </c>
      <c r="N235" t="s">
        <v>106</v>
      </c>
      <c r="O235" s="17">
        <v>45684</v>
      </c>
      <c r="P235" t="s">
        <v>172</v>
      </c>
      <c r="Q235" t="s">
        <v>60</v>
      </c>
      <c r="R235" t="s">
        <v>60</v>
      </c>
      <c r="S235" t="s">
        <v>60</v>
      </c>
    </row>
    <row r="236" spans="1:19" x14ac:dyDescent="0.25">
      <c r="A236" t="s">
        <v>384</v>
      </c>
      <c r="B236" t="s">
        <v>378</v>
      </c>
      <c r="C236">
        <v>36.56</v>
      </c>
      <c r="D236" t="s">
        <v>60</v>
      </c>
      <c r="E236" t="s">
        <v>60</v>
      </c>
      <c r="F236">
        <v>13.74</v>
      </c>
      <c r="G236">
        <v>13.28</v>
      </c>
      <c r="H236">
        <v>0</v>
      </c>
      <c r="I236">
        <v>0</v>
      </c>
      <c r="J236" t="s">
        <v>61</v>
      </c>
      <c r="K236" s="17">
        <v>45642</v>
      </c>
      <c r="L236" t="s">
        <v>106</v>
      </c>
      <c r="M236" s="17">
        <v>45642</v>
      </c>
      <c r="N236" t="s">
        <v>106</v>
      </c>
      <c r="O236" s="17">
        <v>45684</v>
      </c>
      <c r="P236" t="s">
        <v>172</v>
      </c>
      <c r="Q236" t="s">
        <v>60</v>
      </c>
      <c r="R236" t="s">
        <v>385</v>
      </c>
      <c r="S236" t="s">
        <v>60</v>
      </c>
    </row>
    <row r="237" spans="1:19" x14ac:dyDescent="0.25">
      <c r="A237" t="s">
        <v>386</v>
      </c>
      <c r="B237" t="s">
        <v>387</v>
      </c>
      <c r="C237">
        <v>90.98</v>
      </c>
      <c r="D237" t="s">
        <v>60</v>
      </c>
      <c r="E237" t="s">
        <v>60</v>
      </c>
      <c r="F237">
        <v>78.84</v>
      </c>
      <c r="G237">
        <v>56.03</v>
      </c>
      <c r="H237">
        <v>0.5</v>
      </c>
      <c r="I237">
        <v>1</v>
      </c>
      <c r="J237" t="s">
        <v>61</v>
      </c>
      <c r="K237" s="17">
        <v>45642</v>
      </c>
      <c r="L237" t="s">
        <v>106</v>
      </c>
      <c r="M237" s="17">
        <v>45642</v>
      </c>
      <c r="N237" t="s">
        <v>106</v>
      </c>
      <c r="O237" s="17">
        <v>45684</v>
      </c>
      <c r="P237" t="s">
        <v>172</v>
      </c>
      <c r="Q237" t="s">
        <v>60</v>
      </c>
      <c r="R237" t="s">
        <v>60</v>
      </c>
      <c r="S237" t="s">
        <v>60</v>
      </c>
    </row>
    <row r="238" spans="1:19" x14ac:dyDescent="0.25">
      <c r="A238" t="s">
        <v>388</v>
      </c>
      <c r="B238" t="s">
        <v>387</v>
      </c>
      <c r="C238">
        <v>91.03</v>
      </c>
      <c r="D238" t="s">
        <v>60</v>
      </c>
      <c r="E238" t="s">
        <v>60</v>
      </c>
      <c r="F238">
        <v>73.17</v>
      </c>
      <c r="G238">
        <v>52.41</v>
      </c>
      <c r="H238">
        <v>0</v>
      </c>
      <c r="I238">
        <v>0</v>
      </c>
      <c r="J238" t="s">
        <v>61</v>
      </c>
      <c r="K238" s="17">
        <v>45642</v>
      </c>
      <c r="L238" t="s">
        <v>106</v>
      </c>
      <c r="M238" s="17">
        <v>45642</v>
      </c>
      <c r="N238" t="s">
        <v>106</v>
      </c>
      <c r="O238" s="17">
        <v>45684</v>
      </c>
      <c r="P238" t="s">
        <v>172</v>
      </c>
      <c r="Q238" t="s">
        <v>60</v>
      </c>
      <c r="R238" t="s">
        <v>60</v>
      </c>
      <c r="S238" t="s">
        <v>60</v>
      </c>
    </row>
    <row r="239" spans="1:19" x14ac:dyDescent="0.25">
      <c r="A239" t="s">
        <v>389</v>
      </c>
      <c r="B239" t="s">
        <v>387</v>
      </c>
      <c r="C239">
        <v>81.31</v>
      </c>
      <c r="D239" t="s">
        <v>60</v>
      </c>
      <c r="E239" t="s">
        <v>60</v>
      </c>
      <c r="F239">
        <v>80.72</v>
      </c>
      <c r="G239">
        <v>52.96</v>
      </c>
      <c r="H239">
        <v>0.5</v>
      </c>
      <c r="I239">
        <v>1</v>
      </c>
      <c r="J239" t="s">
        <v>61</v>
      </c>
      <c r="K239" s="17">
        <v>45642</v>
      </c>
      <c r="L239" t="s">
        <v>106</v>
      </c>
      <c r="M239" s="17">
        <v>45642</v>
      </c>
      <c r="N239" t="s">
        <v>106</v>
      </c>
      <c r="O239" s="17">
        <v>45684</v>
      </c>
      <c r="P239" t="s">
        <v>172</v>
      </c>
      <c r="Q239" t="s">
        <v>60</v>
      </c>
      <c r="R239" t="s">
        <v>60</v>
      </c>
      <c r="S239" t="s">
        <v>60</v>
      </c>
    </row>
    <row r="240" spans="1:19" x14ac:dyDescent="0.25">
      <c r="A240" t="s">
        <v>390</v>
      </c>
      <c r="B240" t="s">
        <v>387</v>
      </c>
      <c r="C240">
        <v>45.75</v>
      </c>
      <c r="D240" t="s">
        <v>60</v>
      </c>
      <c r="E240" t="s">
        <v>60</v>
      </c>
      <c r="F240">
        <v>11.91</v>
      </c>
      <c r="G240">
        <v>8.5</v>
      </c>
      <c r="H240">
        <v>0.5</v>
      </c>
      <c r="I240">
        <v>0.5</v>
      </c>
      <c r="J240" t="s">
        <v>61</v>
      </c>
      <c r="K240" s="17">
        <v>45642</v>
      </c>
      <c r="L240" t="s">
        <v>106</v>
      </c>
      <c r="M240" s="17">
        <v>45642</v>
      </c>
      <c r="N240" t="s">
        <v>106</v>
      </c>
      <c r="O240" s="17">
        <v>45684</v>
      </c>
      <c r="P240" t="s">
        <v>172</v>
      </c>
      <c r="Q240" t="s">
        <v>60</v>
      </c>
      <c r="R240" t="s">
        <v>60</v>
      </c>
      <c r="S240" t="s">
        <v>60</v>
      </c>
    </row>
    <row r="241" spans="1:19" x14ac:dyDescent="0.25">
      <c r="A241" t="s">
        <v>391</v>
      </c>
      <c r="B241" t="s">
        <v>387</v>
      </c>
      <c r="C241">
        <v>68.36</v>
      </c>
      <c r="D241" t="s">
        <v>60</v>
      </c>
      <c r="E241" t="s">
        <v>60</v>
      </c>
      <c r="F241">
        <v>46.13</v>
      </c>
      <c r="G241">
        <v>32.94</v>
      </c>
      <c r="H241">
        <v>0</v>
      </c>
      <c r="I241">
        <v>0</v>
      </c>
      <c r="J241" t="s">
        <v>61</v>
      </c>
      <c r="K241" s="17">
        <v>45642</v>
      </c>
      <c r="L241" t="s">
        <v>106</v>
      </c>
      <c r="M241" s="17">
        <v>45642</v>
      </c>
      <c r="N241" t="s">
        <v>106</v>
      </c>
      <c r="O241" s="17">
        <v>45684</v>
      </c>
      <c r="P241" t="s">
        <v>172</v>
      </c>
      <c r="Q241" t="s">
        <v>60</v>
      </c>
      <c r="R241" t="s">
        <v>60</v>
      </c>
      <c r="S241" t="s">
        <v>60</v>
      </c>
    </row>
    <row r="242" spans="1:19" x14ac:dyDescent="0.25">
      <c r="A242" t="s">
        <v>513</v>
      </c>
      <c r="B242" t="s">
        <v>504</v>
      </c>
      <c r="C242">
        <v>31.49</v>
      </c>
      <c r="D242">
        <v>25.6</v>
      </c>
      <c r="E242">
        <v>7.2</v>
      </c>
      <c r="F242">
        <v>3.65</v>
      </c>
      <c r="G242">
        <v>2.93</v>
      </c>
    </row>
    <row r="243" spans="1:19" x14ac:dyDescent="0.25">
      <c r="A243" t="s">
        <v>514</v>
      </c>
      <c r="B243" t="s">
        <v>504</v>
      </c>
      <c r="C243">
        <v>25.12</v>
      </c>
      <c r="D243">
        <v>15.01</v>
      </c>
      <c r="E243">
        <v>8.23</v>
      </c>
      <c r="F243">
        <v>2.2400000000000002</v>
      </c>
      <c r="G243">
        <v>1.77</v>
      </c>
    </row>
    <row r="244" spans="1:19" x14ac:dyDescent="0.25">
      <c r="A244" t="s">
        <v>515</v>
      </c>
      <c r="B244" t="s">
        <v>504</v>
      </c>
      <c r="C244">
        <v>13.9</v>
      </c>
      <c r="D244">
        <v>11.33</v>
      </c>
      <c r="E244">
        <v>5.3</v>
      </c>
      <c r="F244">
        <v>0.47</v>
      </c>
      <c r="G244">
        <v>0.35</v>
      </c>
    </row>
    <row r="245" spans="1:19" x14ac:dyDescent="0.25">
      <c r="A245" t="s">
        <v>516</v>
      </c>
      <c r="B245" t="s">
        <v>504</v>
      </c>
      <c r="C245">
        <v>35.020000000000003</v>
      </c>
      <c r="D245">
        <v>24.15</v>
      </c>
      <c r="E245">
        <v>17.07</v>
      </c>
      <c r="F245">
        <v>9.39</v>
      </c>
      <c r="G245">
        <v>7.1</v>
      </c>
    </row>
    <row r="246" spans="1:19" x14ac:dyDescent="0.25">
      <c r="A246" t="s">
        <v>517</v>
      </c>
      <c r="B246" t="s">
        <v>504</v>
      </c>
      <c r="C246">
        <v>20</v>
      </c>
      <c r="D246">
        <v>13.96</v>
      </c>
      <c r="E246">
        <v>8.0299999999999994</v>
      </c>
      <c r="F246">
        <v>1.79</v>
      </c>
      <c r="G246">
        <v>1.47</v>
      </c>
    </row>
    <row r="247" spans="1:19" x14ac:dyDescent="0.25">
      <c r="A247" t="s">
        <v>518</v>
      </c>
      <c r="B247" t="s">
        <v>504</v>
      </c>
      <c r="C247">
        <v>20.51</v>
      </c>
      <c r="D247">
        <v>25.6</v>
      </c>
      <c r="E247">
        <v>13.28</v>
      </c>
      <c r="F247">
        <v>4.4000000000000004</v>
      </c>
      <c r="G247">
        <v>3.3</v>
      </c>
    </row>
    <row r="248" spans="1:19" x14ac:dyDescent="0.25">
      <c r="A248" t="s">
        <v>519</v>
      </c>
      <c r="B248" t="s">
        <v>504</v>
      </c>
      <c r="C248">
        <v>16.190000000000001</v>
      </c>
      <c r="D248">
        <v>12.98</v>
      </c>
      <c r="E248">
        <v>5.57</v>
      </c>
      <c r="F248">
        <v>0.98</v>
      </c>
      <c r="G248">
        <v>0.77</v>
      </c>
    </row>
    <row r="249" spans="1:19" x14ac:dyDescent="0.25">
      <c r="A249" t="s">
        <v>520</v>
      </c>
      <c r="B249" t="s">
        <v>504</v>
      </c>
      <c r="C249">
        <v>36.729999999999997</v>
      </c>
      <c r="D249">
        <v>32.659999999999997</v>
      </c>
      <c r="E249">
        <v>21.44</v>
      </c>
      <c r="F249">
        <v>13.43</v>
      </c>
      <c r="G249">
        <v>9.7799999999999994</v>
      </c>
    </row>
    <row r="250" spans="1:19" x14ac:dyDescent="0.25">
      <c r="A250" t="s">
        <v>521</v>
      </c>
      <c r="B250" t="s">
        <v>504</v>
      </c>
      <c r="C250">
        <v>17.22</v>
      </c>
      <c r="D250">
        <v>16.440000000000001</v>
      </c>
      <c r="E250">
        <v>3.56</v>
      </c>
      <c r="F250">
        <v>1.23</v>
      </c>
      <c r="G250">
        <v>1.0900000000000001</v>
      </c>
    </row>
    <row r="251" spans="1:19" x14ac:dyDescent="0.25">
      <c r="A251" t="s">
        <v>522</v>
      </c>
      <c r="B251" t="s">
        <v>504</v>
      </c>
      <c r="C251">
        <v>39.89</v>
      </c>
      <c r="D251">
        <v>31.75</v>
      </c>
      <c r="E251">
        <v>18.09</v>
      </c>
      <c r="F251">
        <v>13.02</v>
      </c>
      <c r="G251">
        <v>10.06</v>
      </c>
    </row>
    <row r="252" spans="1:19" x14ac:dyDescent="0.25">
      <c r="A252" t="s">
        <v>523</v>
      </c>
      <c r="B252" t="s">
        <v>504</v>
      </c>
      <c r="C252">
        <v>29.94</v>
      </c>
      <c r="D252">
        <v>32.58</v>
      </c>
      <c r="E252">
        <v>12.5</v>
      </c>
      <c r="F252">
        <v>6.28</v>
      </c>
      <c r="G252">
        <v>4.47</v>
      </c>
    </row>
    <row r="253" spans="1:19" x14ac:dyDescent="0.25">
      <c r="A253" t="s">
        <v>524</v>
      </c>
      <c r="B253" t="s">
        <v>504</v>
      </c>
      <c r="C253">
        <v>23.86</v>
      </c>
      <c r="D253">
        <v>18.36</v>
      </c>
      <c r="E253">
        <v>9.57</v>
      </c>
      <c r="F253">
        <v>3.11</v>
      </c>
      <c r="G253">
        <v>2.4900000000000002</v>
      </c>
    </row>
    <row r="254" spans="1:19" x14ac:dyDescent="0.25">
      <c r="A254" t="s">
        <v>525</v>
      </c>
      <c r="B254" t="s">
        <v>504</v>
      </c>
      <c r="C254">
        <v>31.72</v>
      </c>
      <c r="D254">
        <v>25.45</v>
      </c>
      <c r="E254">
        <v>10.65</v>
      </c>
      <c r="F254">
        <v>4.91</v>
      </c>
      <c r="G254">
        <v>3.61</v>
      </c>
    </row>
    <row r="255" spans="1:19" x14ac:dyDescent="0.25">
      <c r="A255" t="s">
        <v>526</v>
      </c>
      <c r="B255" t="s">
        <v>505</v>
      </c>
      <c r="C255">
        <v>43.09</v>
      </c>
      <c r="D255">
        <v>38.33</v>
      </c>
      <c r="E255">
        <v>15.49</v>
      </c>
      <c r="F255">
        <v>17.62</v>
      </c>
      <c r="G255">
        <v>11.96</v>
      </c>
    </row>
    <row r="256" spans="1:19" x14ac:dyDescent="0.25">
      <c r="A256" t="s">
        <v>527</v>
      </c>
      <c r="B256" t="s">
        <v>505</v>
      </c>
      <c r="C256">
        <v>22.59</v>
      </c>
      <c r="D256">
        <v>23.24</v>
      </c>
      <c r="E256">
        <v>12.37</v>
      </c>
      <c r="F256">
        <v>3.4</v>
      </c>
      <c r="G256">
        <v>2.35</v>
      </c>
    </row>
    <row r="257" spans="1:7" x14ac:dyDescent="0.25">
      <c r="A257" t="s">
        <v>528</v>
      </c>
      <c r="B257" t="s">
        <v>505</v>
      </c>
      <c r="C257">
        <v>32.99</v>
      </c>
      <c r="D257">
        <v>17.8</v>
      </c>
      <c r="E257">
        <v>13.47</v>
      </c>
      <c r="F257">
        <v>4.74</v>
      </c>
      <c r="G257">
        <v>3.49</v>
      </c>
    </row>
    <row r="258" spans="1:7" x14ac:dyDescent="0.25">
      <c r="A258" t="s">
        <v>529</v>
      </c>
      <c r="B258" t="s">
        <v>505</v>
      </c>
      <c r="C258">
        <v>36.909999999999997</v>
      </c>
      <c r="D258">
        <v>43.2</v>
      </c>
      <c r="E258">
        <v>15.79</v>
      </c>
      <c r="F258">
        <v>15.8</v>
      </c>
      <c r="G258">
        <v>12.47</v>
      </c>
    </row>
    <row r="259" spans="1:7" x14ac:dyDescent="0.25">
      <c r="A259" t="s">
        <v>530</v>
      </c>
      <c r="B259" t="s">
        <v>505</v>
      </c>
      <c r="C259">
        <v>19.11</v>
      </c>
      <c r="D259">
        <v>15.19</v>
      </c>
      <c r="E259">
        <v>6.16</v>
      </c>
      <c r="F259">
        <v>1.17</v>
      </c>
      <c r="G259">
        <v>0.9</v>
      </c>
    </row>
    <row r="260" spans="1:7" x14ac:dyDescent="0.25">
      <c r="A260" t="s">
        <v>531</v>
      </c>
      <c r="B260" t="s">
        <v>505</v>
      </c>
      <c r="C260">
        <v>22.58</v>
      </c>
      <c r="D260">
        <v>15.57</v>
      </c>
      <c r="E260">
        <v>7.85</v>
      </c>
      <c r="F260">
        <v>2.0099999999999998</v>
      </c>
      <c r="G260">
        <v>1.45</v>
      </c>
    </row>
    <row r="261" spans="1:7" x14ac:dyDescent="0.25">
      <c r="A261" t="s">
        <v>532</v>
      </c>
      <c r="B261" t="s">
        <v>505</v>
      </c>
      <c r="C261">
        <v>22.82</v>
      </c>
      <c r="D261">
        <v>15.97</v>
      </c>
      <c r="E261">
        <v>9</v>
      </c>
      <c r="F261">
        <v>2.2200000000000002</v>
      </c>
      <c r="G261">
        <v>1.65</v>
      </c>
    </row>
    <row r="262" spans="1:7" x14ac:dyDescent="0.25">
      <c r="A262" t="s">
        <v>533</v>
      </c>
      <c r="B262" t="s">
        <v>505</v>
      </c>
      <c r="C262">
        <v>32.89</v>
      </c>
      <c r="D262">
        <v>30.64</v>
      </c>
      <c r="E262">
        <v>12.61</v>
      </c>
      <c r="F262">
        <v>7.38</v>
      </c>
      <c r="G262">
        <v>5.67</v>
      </c>
    </row>
    <row r="263" spans="1:7" x14ac:dyDescent="0.25">
      <c r="A263" t="s">
        <v>534</v>
      </c>
      <c r="B263" t="s">
        <v>505</v>
      </c>
      <c r="C263">
        <v>20.8</v>
      </c>
      <c r="D263">
        <v>18.47</v>
      </c>
      <c r="E263">
        <v>10.55</v>
      </c>
      <c r="F263">
        <v>3.36</v>
      </c>
      <c r="G263">
        <v>2.5099999999999998</v>
      </c>
    </row>
    <row r="264" spans="1:7" x14ac:dyDescent="0.25">
      <c r="A264" t="s">
        <v>535</v>
      </c>
      <c r="B264" t="s">
        <v>505</v>
      </c>
      <c r="C264">
        <v>29.39</v>
      </c>
      <c r="D264">
        <v>19.05</v>
      </c>
      <c r="E264">
        <v>12.65</v>
      </c>
      <c r="F264">
        <v>4.5</v>
      </c>
      <c r="G264">
        <v>3.22</v>
      </c>
    </row>
    <row r="265" spans="1:7" x14ac:dyDescent="0.25">
      <c r="A265" t="s">
        <v>536</v>
      </c>
      <c r="B265" t="s">
        <v>505</v>
      </c>
      <c r="C265">
        <v>29.21</v>
      </c>
      <c r="D265">
        <v>19.22</v>
      </c>
      <c r="E265">
        <v>15.86</v>
      </c>
      <c r="F265">
        <v>5.37</v>
      </c>
      <c r="G265">
        <v>4.0199999999999996</v>
      </c>
    </row>
    <row r="266" spans="1:7" x14ac:dyDescent="0.25">
      <c r="A266" t="s">
        <v>537</v>
      </c>
      <c r="B266" t="s">
        <v>506</v>
      </c>
      <c r="C266">
        <v>24.47</v>
      </c>
      <c r="D266">
        <v>27.76</v>
      </c>
      <c r="E266">
        <v>11.89</v>
      </c>
      <c r="F266">
        <v>3.62</v>
      </c>
      <c r="G266">
        <v>2.73</v>
      </c>
    </row>
    <row r="267" spans="1:7" x14ac:dyDescent="0.25">
      <c r="A267" t="s">
        <v>538</v>
      </c>
      <c r="B267" t="s">
        <v>506</v>
      </c>
      <c r="C267">
        <v>23.44</v>
      </c>
      <c r="D267">
        <v>29.39</v>
      </c>
      <c r="E267">
        <v>8.9600000000000009</v>
      </c>
      <c r="F267">
        <v>3.85</v>
      </c>
      <c r="G267">
        <v>3.28</v>
      </c>
    </row>
    <row r="268" spans="1:7" x14ac:dyDescent="0.25">
      <c r="A268" t="s">
        <v>539</v>
      </c>
      <c r="B268" t="s">
        <v>506</v>
      </c>
      <c r="C268">
        <v>33.82</v>
      </c>
      <c r="D268">
        <v>26.71</v>
      </c>
      <c r="E268">
        <v>13.38</v>
      </c>
      <c r="F268">
        <v>5.89</v>
      </c>
      <c r="G268">
        <v>4.54</v>
      </c>
    </row>
    <row r="269" spans="1:7" x14ac:dyDescent="0.25">
      <c r="A269" t="s">
        <v>540</v>
      </c>
      <c r="B269" t="s">
        <v>506</v>
      </c>
      <c r="C269">
        <v>20.36</v>
      </c>
      <c r="D269">
        <v>15.29</v>
      </c>
      <c r="E269">
        <v>7.65</v>
      </c>
      <c r="F269">
        <v>1.2</v>
      </c>
      <c r="G269">
        <v>0.9</v>
      </c>
    </row>
    <row r="270" spans="1:7" x14ac:dyDescent="0.25">
      <c r="A270" t="s">
        <v>541</v>
      </c>
      <c r="B270" t="s">
        <v>506</v>
      </c>
      <c r="C270">
        <v>11.47</v>
      </c>
      <c r="D270">
        <v>10.02</v>
      </c>
      <c r="E270">
        <v>6.37</v>
      </c>
      <c r="F270">
        <v>0.86</v>
      </c>
      <c r="G270">
        <v>0.71</v>
      </c>
    </row>
    <row r="271" spans="1:7" x14ac:dyDescent="0.25">
      <c r="A271" t="s">
        <v>542</v>
      </c>
      <c r="B271" t="s">
        <v>506</v>
      </c>
      <c r="C271">
        <v>38.19</v>
      </c>
      <c r="D271">
        <v>24.11</v>
      </c>
      <c r="E271">
        <v>14.46</v>
      </c>
      <c r="F271">
        <v>9.93</v>
      </c>
      <c r="G271">
        <v>7.58</v>
      </c>
    </row>
    <row r="272" spans="1:7" x14ac:dyDescent="0.25">
      <c r="A272" t="s">
        <v>543</v>
      </c>
      <c r="B272" t="s">
        <v>506</v>
      </c>
      <c r="C272">
        <v>28.01</v>
      </c>
      <c r="D272">
        <v>22.84</v>
      </c>
      <c r="E272">
        <v>11.35</v>
      </c>
      <c r="F272">
        <v>4.46</v>
      </c>
      <c r="G272">
        <v>3.38</v>
      </c>
    </row>
    <row r="273" spans="1:7" x14ac:dyDescent="0.25">
      <c r="A273" t="s">
        <v>544</v>
      </c>
      <c r="B273" t="s">
        <v>506</v>
      </c>
      <c r="C273">
        <v>26.75</v>
      </c>
      <c r="D273">
        <v>17.690000000000001</v>
      </c>
      <c r="E273">
        <v>12.31</v>
      </c>
      <c r="F273">
        <v>3.15</v>
      </c>
      <c r="G273">
        <v>2.35</v>
      </c>
    </row>
    <row r="274" spans="1:7" x14ac:dyDescent="0.25">
      <c r="A274" t="s">
        <v>545</v>
      </c>
      <c r="B274" t="s">
        <v>506</v>
      </c>
      <c r="C274">
        <v>26.85</v>
      </c>
      <c r="D274">
        <v>19.05</v>
      </c>
      <c r="E274">
        <v>8.82</v>
      </c>
      <c r="F274">
        <v>3.12</v>
      </c>
      <c r="G274">
        <v>2.4300000000000002</v>
      </c>
    </row>
    <row r="275" spans="1:7" x14ac:dyDescent="0.25">
      <c r="A275" t="s">
        <v>546</v>
      </c>
      <c r="B275" t="s">
        <v>506</v>
      </c>
      <c r="C275">
        <v>20.61</v>
      </c>
      <c r="D275">
        <v>25.53</v>
      </c>
      <c r="E275">
        <v>14.81</v>
      </c>
      <c r="F275">
        <v>6.64</v>
      </c>
      <c r="G275">
        <v>5.64</v>
      </c>
    </row>
    <row r="276" spans="1:7" x14ac:dyDescent="0.25">
      <c r="A276" t="s">
        <v>547</v>
      </c>
      <c r="B276" t="s">
        <v>506</v>
      </c>
      <c r="C276">
        <v>54.39</v>
      </c>
      <c r="D276">
        <v>35.270000000000003</v>
      </c>
      <c r="E276">
        <v>8.93</v>
      </c>
      <c r="F276">
        <v>7.88</v>
      </c>
      <c r="G276">
        <v>6.02</v>
      </c>
    </row>
    <row r="277" spans="1:7" x14ac:dyDescent="0.25">
      <c r="A277" t="s">
        <v>548</v>
      </c>
      <c r="B277" t="s">
        <v>506</v>
      </c>
      <c r="C277">
        <v>32.799999999999997</v>
      </c>
      <c r="D277">
        <v>34.51</v>
      </c>
      <c r="E277">
        <v>12.57</v>
      </c>
      <c r="F277">
        <v>7.46</v>
      </c>
      <c r="G277">
        <v>5.53</v>
      </c>
    </row>
    <row r="278" spans="1:7" x14ac:dyDescent="0.25">
      <c r="A278" t="s">
        <v>549</v>
      </c>
      <c r="B278" t="s">
        <v>506</v>
      </c>
      <c r="C278">
        <v>20.65</v>
      </c>
      <c r="D278">
        <v>16.43</v>
      </c>
      <c r="E278">
        <v>7.53</v>
      </c>
      <c r="F278">
        <v>1.95</v>
      </c>
      <c r="G278">
        <v>1.51</v>
      </c>
    </row>
    <row r="279" spans="1:7" x14ac:dyDescent="0.25">
      <c r="A279" t="s">
        <v>550</v>
      </c>
      <c r="B279" t="s">
        <v>506</v>
      </c>
      <c r="C279">
        <v>31.04</v>
      </c>
      <c r="D279">
        <v>25.02</v>
      </c>
      <c r="E279">
        <v>15.09</v>
      </c>
      <c r="F279">
        <v>7.01</v>
      </c>
      <c r="G279">
        <v>5.45</v>
      </c>
    </row>
    <row r="280" spans="1:7" x14ac:dyDescent="0.25">
      <c r="A280" t="s">
        <v>551</v>
      </c>
      <c r="B280" t="s">
        <v>506</v>
      </c>
      <c r="C280">
        <v>40.21</v>
      </c>
      <c r="D280">
        <v>32.99</v>
      </c>
      <c r="E280">
        <v>16.510000000000002</v>
      </c>
      <c r="F280">
        <v>10.61</v>
      </c>
      <c r="G280">
        <v>7.59</v>
      </c>
    </row>
    <row r="281" spans="1:7" x14ac:dyDescent="0.25">
      <c r="A281" t="s">
        <v>552</v>
      </c>
      <c r="B281" t="s">
        <v>506</v>
      </c>
      <c r="C281">
        <v>32.78</v>
      </c>
      <c r="D281">
        <v>31.99</v>
      </c>
      <c r="E281">
        <v>15.69</v>
      </c>
      <c r="F281">
        <v>6.98</v>
      </c>
      <c r="G281">
        <v>4.93</v>
      </c>
    </row>
    <row r="282" spans="1:7" x14ac:dyDescent="0.25">
      <c r="A282" t="s">
        <v>553</v>
      </c>
      <c r="B282" t="s">
        <v>507</v>
      </c>
      <c r="C282">
        <v>32.9</v>
      </c>
      <c r="D282">
        <v>31.13</v>
      </c>
      <c r="E282">
        <v>13.57</v>
      </c>
      <c r="F282">
        <v>8.44</v>
      </c>
      <c r="G282">
        <v>6.67</v>
      </c>
    </row>
    <row r="283" spans="1:7" x14ac:dyDescent="0.25">
      <c r="A283" t="s">
        <v>554</v>
      </c>
      <c r="B283" t="s">
        <v>507</v>
      </c>
      <c r="C283">
        <v>37.72</v>
      </c>
      <c r="D283">
        <v>32.33</v>
      </c>
      <c r="E283">
        <v>21.82</v>
      </c>
      <c r="F283">
        <v>16.63</v>
      </c>
      <c r="G283">
        <v>11.24</v>
      </c>
    </row>
    <row r="284" spans="1:7" x14ac:dyDescent="0.25">
      <c r="A284" t="s">
        <v>555</v>
      </c>
      <c r="B284" t="s">
        <v>507</v>
      </c>
      <c r="C284">
        <v>30.93</v>
      </c>
      <c r="D284">
        <v>26.12</v>
      </c>
      <c r="E284">
        <v>8.69</v>
      </c>
      <c r="F284">
        <v>5.34</v>
      </c>
      <c r="G284">
        <v>4.05</v>
      </c>
    </row>
    <row r="285" spans="1:7" x14ac:dyDescent="0.25">
      <c r="A285" t="s">
        <v>556</v>
      </c>
      <c r="B285" t="s">
        <v>507</v>
      </c>
      <c r="C285">
        <v>22.69</v>
      </c>
      <c r="D285">
        <v>25.39</v>
      </c>
      <c r="E285">
        <v>6.8</v>
      </c>
      <c r="F285">
        <v>2.27</v>
      </c>
      <c r="G285">
        <v>1.95</v>
      </c>
    </row>
    <row r="286" spans="1:7" x14ac:dyDescent="0.25">
      <c r="A286" t="s">
        <v>557</v>
      </c>
      <c r="B286" t="s">
        <v>507</v>
      </c>
      <c r="C286">
        <v>26.79</v>
      </c>
      <c r="D286">
        <v>19.97</v>
      </c>
      <c r="E286">
        <v>8.4600000000000009</v>
      </c>
      <c r="F286">
        <v>3.73</v>
      </c>
      <c r="G286">
        <v>2.82</v>
      </c>
    </row>
    <row r="287" spans="1:7" x14ac:dyDescent="0.25">
      <c r="A287" t="s">
        <v>558</v>
      </c>
      <c r="B287" t="s">
        <v>507</v>
      </c>
      <c r="C287">
        <v>26.22</v>
      </c>
      <c r="D287">
        <v>21.3</v>
      </c>
      <c r="E287">
        <v>11.46</v>
      </c>
      <c r="F287">
        <v>4.8099999999999996</v>
      </c>
      <c r="G287">
        <v>3.71</v>
      </c>
    </row>
    <row r="288" spans="1:7" x14ac:dyDescent="0.25">
      <c r="A288" t="s">
        <v>559</v>
      </c>
      <c r="B288" t="s">
        <v>507</v>
      </c>
      <c r="C288">
        <v>23.26</v>
      </c>
      <c r="D288">
        <v>19.89</v>
      </c>
      <c r="E288">
        <v>8.5</v>
      </c>
      <c r="F288">
        <v>3.78</v>
      </c>
      <c r="G288">
        <v>3.16</v>
      </c>
    </row>
    <row r="289" spans="1:7" x14ac:dyDescent="0.25">
      <c r="A289" t="s">
        <v>560</v>
      </c>
      <c r="B289" t="s">
        <v>507</v>
      </c>
      <c r="C289">
        <v>26.55</v>
      </c>
      <c r="D289">
        <v>21.41</v>
      </c>
      <c r="E289">
        <v>12.22</v>
      </c>
      <c r="F289">
        <v>3.68</v>
      </c>
      <c r="G289">
        <v>2.75</v>
      </c>
    </row>
    <row r="290" spans="1:7" x14ac:dyDescent="0.25">
      <c r="A290" t="s">
        <v>561</v>
      </c>
      <c r="B290" t="s">
        <v>507</v>
      </c>
      <c r="C290">
        <v>24.95</v>
      </c>
      <c r="D290">
        <v>17.66</v>
      </c>
      <c r="E290">
        <v>12.28</v>
      </c>
      <c r="F290">
        <v>3.48</v>
      </c>
      <c r="G290">
        <v>2.85</v>
      </c>
    </row>
    <row r="291" spans="1:7" x14ac:dyDescent="0.25">
      <c r="A291" t="s">
        <v>562</v>
      </c>
      <c r="B291" t="s">
        <v>507</v>
      </c>
      <c r="C291">
        <v>14.44</v>
      </c>
      <c r="D291">
        <v>12.9</v>
      </c>
      <c r="E291">
        <v>3.63</v>
      </c>
      <c r="F291">
        <v>0.45</v>
      </c>
      <c r="G291">
        <v>0.35</v>
      </c>
    </row>
    <row r="292" spans="1:7" x14ac:dyDescent="0.25">
      <c r="A292" t="s">
        <v>563</v>
      </c>
      <c r="B292" t="s">
        <v>507</v>
      </c>
      <c r="C292">
        <v>19.05</v>
      </c>
      <c r="D292">
        <v>14.64</v>
      </c>
      <c r="E292">
        <v>5.87</v>
      </c>
      <c r="F292">
        <v>1.1200000000000001</v>
      </c>
      <c r="G292">
        <v>0.77</v>
      </c>
    </row>
    <row r="293" spans="1:7" x14ac:dyDescent="0.25">
      <c r="A293" t="s">
        <v>564</v>
      </c>
      <c r="B293" t="s">
        <v>508</v>
      </c>
      <c r="C293">
        <v>32.65</v>
      </c>
      <c r="D293">
        <v>32.119999999999997</v>
      </c>
      <c r="E293">
        <v>14.91</v>
      </c>
      <c r="F293">
        <v>12.62</v>
      </c>
      <c r="G293">
        <v>9.09</v>
      </c>
    </row>
    <row r="294" spans="1:7" x14ac:dyDescent="0.25">
      <c r="A294" t="s">
        <v>565</v>
      </c>
      <c r="B294" t="s">
        <v>508</v>
      </c>
      <c r="C294">
        <v>30.42</v>
      </c>
      <c r="D294">
        <v>25.74</v>
      </c>
      <c r="E294">
        <v>11.19</v>
      </c>
      <c r="F294">
        <v>6.84</v>
      </c>
      <c r="G294">
        <v>5.04</v>
      </c>
    </row>
    <row r="295" spans="1:7" x14ac:dyDescent="0.25">
      <c r="A295" t="s">
        <v>566</v>
      </c>
      <c r="B295" t="s">
        <v>508</v>
      </c>
      <c r="C295">
        <v>21.89</v>
      </c>
      <c r="D295">
        <v>23.06</v>
      </c>
      <c r="E295">
        <v>10.01</v>
      </c>
      <c r="F295">
        <v>3.22</v>
      </c>
      <c r="G295">
        <v>2.54</v>
      </c>
    </row>
    <row r="296" spans="1:7" x14ac:dyDescent="0.25">
      <c r="A296" t="s">
        <v>567</v>
      </c>
      <c r="B296" t="s">
        <v>508</v>
      </c>
      <c r="C296">
        <v>30.18</v>
      </c>
      <c r="D296">
        <v>26.34</v>
      </c>
      <c r="E296">
        <v>12.4</v>
      </c>
      <c r="F296">
        <v>7.08</v>
      </c>
      <c r="G296">
        <v>5.69</v>
      </c>
    </row>
    <row r="297" spans="1:7" x14ac:dyDescent="0.25">
      <c r="A297" t="s">
        <v>568</v>
      </c>
      <c r="B297" t="s">
        <v>508</v>
      </c>
      <c r="C297">
        <v>31.99</v>
      </c>
      <c r="D297">
        <v>24.18</v>
      </c>
      <c r="E297">
        <v>12.23</v>
      </c>
      <c r="F297">
        <v>6.26</v>
      </c>
      <c r="G297">
        <v>4.66</v>
      </c>
    </row>
    <row r="298" spans="1:7" x14ac:dyDescent="0.25">
      <c r="A298" t="s">
        <v>569</v>
      </c>
      <c r="B298" t="s">
        <v>508</v>
      </c>
      <c r="C298">
        <v>32.43</v>
      </c>
      <c r="D298">
        <v>20.420000000000002</v>
      </c>
      <c r="E298">
        <v>11.6</v>
      </c>
      <c r="F298">
        <v>6.09</v>
      </c>
      <c r="G298">
        <v>4.1900000000000004</v>
      </c>
    </row>
    <row r="299" spans="1:7" x14ac:dyDescent="0.25">
      <c r="A299" t="s">
        <v>570</v>
      </c>
      <c r="B299" t="s">
        <v>508</v>
      </c>
      <c r="C299">
        <v>27.09</v>
      </c>
      <c r="D299">
        <v>22.91</v>
      </c>
      <c r="E299">
        <v>8.1300000000000008</v>
      </c>
      <c r="F299">
        <v>3.97</v>
      </c>
      <c r="G299">
        <v>3.17</v>
      </c>
    </row>
    <row r="300" spans="1:7" x14ac:dyDescent="0.25">
      <c r="A300" t="s">
        <v>571</v>
      </c>
      <c r="B300" t="s">
        <v>508</v>
      </c>
      <c r="C300">
        <v>33.82</v>
      </c>
      <c r="D300">
        <v>21.36</v>
      </c>
      <c r="E300">
        <v>5.65</v>
      </c>
      <c r="F300">
        <v>5.04</v>
      </c>
      <c r="G300">
        <v>3.78</v>
      </c>
    </row>
    <row r="301" spans="1:7" x14ac:dyDescent="0.25">
      <c r="A301" t="s">
        <v>572</v>
      </c>
      <c r="B301" t="s">
        <v>508</v>
      </c>
      <c r="C301">
        <v>35.49</v>
      </c>
      <c r="D301">
        <v>26.47</v>
      </c>
      <c r="E301">
        <v>14.01</v>
      </c>
      <c r="F301">
        <v>7.22</v>
      </c>
      <c r="G301">
        <v>5.54</v>
      </c>
    </row>
    <row r="302" spans="1:7" x14ac:dyDescent="0.25">
      <c r="A302" t="s">
        <v>573</v>
      </c>
      <c r="B302" t="s">
        <v>508</v>
      </c>
      <c r="C302">
        <v>25.89</v>
      </c>
      <c r="D302">
        <v>21.21</v>
      </c>
      <c r="E302">
        <v>12.5</v>
      </c>
      <c r="F302">
        <v>6.3</v>
      </c>
      <c r="G302">
        <v>5.56</v>
      </c>
    </row>
    <row r="303" spans="1:7" x14ac:dyDescent="0.25">
      <c r="A303" t="s">
        <v>574</v>
      </c>
      <c r="B303" t="s">
        <v>508</v>
      </c>
      <c r="C303">
        <v>27.12</v>
      </c>
      <c r="D303">
        <v>18.62</v>
      </c>
      <c r="E303">
        <v>9.89</v>
      </c>
      <c r="F303">
        <v>3.58</v>
      </c>
      <c r="G303">
        <v>2.6</v>
      </c>
    </row>
    <row r="304" spans="1:7" x14ac:dyDescent="0.25">
      <c r="A304" t="s">
        <v>575</v>
      </c>
      <c r="B304" t="s">
        <v>508</v>
      </c>
      <c r="C304">
        <v>39.020000000000003</v>
      </c>
      <c r="D304">
        <v>26.55</v>
      </c>
      <c r="E304">
        <v>11.1</v>
      </c>
      <c r="F304">
        <v>7.85</v>
      </c>
      <c r="G304">
        <v>5.8</v>
      </c>
    </row>
    <row r="305" spans="1:7" x14ac:dyDescent="0.25">
      <c r="A305" t="s">
        <v>576</v>
      </c>
      <c r="B305" t="s">
        <v>508</v>
      </c>
      <c r="C305">
        <v>22.16</v>
      </c>
      <c r="D305">
        <v>17.28</v>
      </c>
      <c r="E305">
        <v>9.9</v>
      </c>
      <c r="F305">
        <v>2.36</v>
      </c>
      <c r="G305">
        <v>1.75</v>
      </c>
    </row>
    <row r="306" spans="1:7" x14ac:dyDescent="0.25">
      <c r="A306" t="s">
        <v>577</v>
      </c>
      <c r="B306" t="s">
        <v>509</v>
      </c>
      <c r="C306">
        <v>29.41</v>
      </c>
      <c r="D306">
        <v>22.26</v>
      </c>
      <c r="E306">
        <v>9.57</v>
      </c>
      <c r="F306">
        <v>3.98</v>
      </c>
      <c r="G306">
        <v>3.18</v>
      </c>
    </row>
    <row r="307" spans="1:7" x14ac:dyDescent="0.25">
      <c r="A307" t="s">
        <v>578</v>
      </c>
      <c r="B307" t="s">
        <v>509</v>
      </c>
      <c r="C307">
        <v>19.86</v>
      </c>
      <c r="D307">
        <v>19.239999999999998</v>
      </c>
      <c r="E307">
        <v>5.6</v>
      </c>
      <c r="F307">
        <v>1.66</v>
      </c>
      <c r="G307">
        <v>1.38</v>
      </c>
    </row>
    <row r="308" spans="1:7" x14ac:dyDescent="0.25">
      <c r="A308" t="s">
        <v>579</v>
      </c>
      <c r="B308" t="s">
        <v>509</v>
      </c>
      <c r="C308">
        <v>25.42</v>
      </c>
      <c r="D308">
        <v>22.74</v>
      </c>
      <c r="E308">
        <v>13.43</v>
      </c>
      <c r="F308">
        <v>5.37</v>
      </c>
      <c r="G308">
        <v>4.42</v>
      </c>
    </row>
    <row r="309" spans="1:7" x14ac:dyDescent="0.25">
      <c r="A309" t="s">
        <v>580</v>
      </c>
      <c r="B309" t="s">
        <v>509</v>
      </c>
      <c r="C309">
        <v>26.89</v>
      </c>
      <c r="D309">
        <v>28.11</v>
      </c>
      <c r="E309">
        <v>10.77</v>
      </c>
      <c r="F309">
        <v>4.6500000000000004</v>
      </c>
      <c r="G309">
        <v>3.4</v>
      </c>
    </row>
    <row r="310" spans="1:7" x14ac:dyDescent="0.25">
      <c r="A310" t="s">
        <v>581</v>
      </c>
      <c r="B310" t="s">
        <v>509</v>
      </c>
      <c r="C310">
        <v>29.54</v>
      </c>
      <c r="D310">
        <v>17.66</v>
      </c>
      <c r="E310">
        <v>5.42</v>
      </c>
      <c r="F310">
        <v>2.77</v>
      </c>
      <c r="G310">
        <v>2.2799999999999998</v>
      </c>
    </row>
    <row r="311" spans="1:7" x14ac:dyDescent="0.25">
      <c r="A311" t="s">
        <v>582</v>
      </c>
      <c r="B311" t="s">
        <v>509</v>
      </c>
      <c r="C311">
        <v>37.479999999999997</v>
      </c>
      <c r="D311">
        <v>24.57</v>
      </c>
      <c r="E311">
        <v>10.26</v>
      </c>
      <c r="F311">
        <v>5.82</v>
      </c>
      <c r="G311">
        <v>4.18</v>
      </c>
    </row>
    <row r="312" spans="1:7" x14ac:dyDescent="0.25">
      <c r="A312" t="s">
        <v>583</v>
      </c>
      <c r="B312" t="s">
        <v>509</v>
      </c>
      <c r="C312">
        <v>30.25</v>
      </c>
      <c r="D312">
        <v>28.59</v>
      </c>
      <c r="E312">
        <v>11.47</v>
      </c>
      <c r="F312">
        <v>4.41</v>
      </c>
      <c r="G312">
        <v>3.39</v>
      </c>
    </row>
    <row r="313" spans="1:7" x14ac:dyDescent="0.25">
      <c r="A313" t="s">
        <v>584</v>
      </c>
      <c r="B313" t="s">
        <v>509</v>
      </c>
      <c r="C313">
        <v>19.48</v>
      </c>
      <c r="D313">
        <v>18.47</v>
      </c>
      <c r="E313">
        <v>12.82</v>
      </c>
      <c r="F313">
        <v>2.74</v>
      </c>
      <c r="G313">
        <v>2.1800000000000002</v>
      </c>
    </row>
    <row r="314" spans="1:7" x14ac:dyDescent="0.25">
      <c r="A314" t="s">
        <v>585</v>
      </c>
      <c r="B314" t="s">
        <v>509</v>
      </c>
      <c r="C314">
        <v>27.26</v>
      </c>
      <c r="D314">
        <v>16.260000000000002</v>
      </c>
      <c r="E314">
        <v>11.15</v>
      </c>
      <c r="F314">
        <v>2.96</v>
      </c>
      <c r="G314">
        <v>1.75</v>
      </c>
    </row>
    <row r="315" spans="1:7" x14ac:dyDescent="0.25">
      <c r="A315" t="s">
        <v>586</v>
      </c>
      <c r="B315" t="s">
        <v>509</v>
      </c>
      <c r="C315">
        <v>22.56</v>
      </c>
      <c r="D315">
        <v>17.98</v>
      </c>
      <c r="E315">
        <v>8.64</v>
      </c>
      <c r="F315">
        <v>1.75</v>
      </c>
      <c r="G315">
        <v>1.26</v>
      </c>
    </row>
    <row r="316" spans="1:7" x14ac:dyDescent="0.25">
      <c r="A316" t="s">
        <v>587</v>
      </c>
      <c r="B316" t="s">
        <v>509</v>
      </c>
      <c r="C316">
        <v>16.63</v>
      </c>
      <c r="D316">
        <v>15.82</v>
      </c>
      <c r="E316">
        <v>9.2200000000000006</v>
      </c>
      <c r="F316">
        <v>1.49</v>
      </c>
      <c r="G316">
        <v>1.1599999999999999</v>
      </c>
    </row>
    <row r="317" spans="1:7" x14ac:dyDescent="0.25">
      <c r="A317" t="s">
        <v>588</v>
      </c>
      <c r="B317" t="s">
        <v>510</v>
      </c>
      <c r="C317">
        <v>41.41</v>
      </c>
      <c r="D317">
        <v>39.58</v>
      </c>
      <c r="E317">
        <v>19.09</v>
      </c>
      <c r="F317">
        <v>18.989999999999998</v>
      </c>
      <c r="G317">
        <v>13.87</v>
      </c>
    </row>
    <row r="318" spans="1:7" x14ac:dyDescent="0.25">
      <c r="A318" t="s">
        <v>589</v>
      </c>
      <c r="B318" t="s">
        <v>510</v>
      </c>
      <c r="C318">
        <v>36.409999999999997</v>
      </c>
      <c r="D318">
        <v>34.28</v>
      </c>
      <c r="E318">
        <v>22.55</v>
      </c>
      <c r="F318">
        <v>15.99</v>
      </c>
      <c r="G318">
        <v>12.12</v>
      </c>
    </row>
    <row r="319" spans="1:7" x14ac:dyDescent="0.25">
      <c r="A319" t="s">
        <v>590</v>
      </c>
      <c r="B319" t="s">
        <v>510</v>
      </c>
      <c r="C319">
        <v>32.68</v>
      </c>
      <c r="D319">
        <v>30.04</v>
      </c>
      <c r="E319">
        <v>13.8</v>
      </c>
      <c r="F319">
        <v>10.220000000000001</v>
      </c>
      <c r="G319">
        <v>8.1999999999999993</v>
      </c>
    </row>
    <row r="320" spans="1:7" x14ac:dyDescent="0.25">
      <c r="A320" t="s">
        <v>591</v>
      </c>
      <c r="B320" t="s">
        <v>510</v>
      </c>
      <c r="C320">
        <v>29.76</v>
      </c>
      <c r="D320">
        <v>31.56</v>
      </c>
      <c r="E320">
        <v>14.13</v>
      </c>
      <c r="F320">
        <v>7.47</v>
      </c>
      <c r="G320">
        <v>5.61</v>
      </c>
    </row>
    <row r="321" spans="1:7" x14ac:dyDescent="0.25">
      <c r="A321" t="s">
        <v>592</v>
      </c>
      <c r="B321" t="s">
        <v>510</v>
      </c>
      <c r="C321">
        <v>24.19</v>
      </c>
      <c r="D321">
        <v>24.49</v>
      </c>
      <c r="E321">
        <v>13.57</v>
      </c>
      <c r="F321">
        <v>5.64</v>
      </c>
      <c r="G321">
        <v>3.99</v>
      </c>
    </row>
    <row r="322" spans="1:7" x14ac:dyDescent="0.25">
      <c r="A322" t="s">
        <v>593</v>
      </c>
      <c r="B322" t="s">
        <v>510</v>
      </c>
      <c r="C322">
        <v>26.55</v>
      </c>
      <c r="D322">
        <v>17.989999999999998</v>
      </c>
      <c r="E322">
        <v>10.38</v>
      </c>
      <c r="F322">
        <v>3.9</v>
      </c>
      <c r="G322">
        <v>2.75</v>
      </c>
    </row>
    <row r="323" spans="1:7" x14ac:dyDescent="0.25">
      <c r="A323" t="s">
        <v>594</v>
      </c>
      <c r="B323" t="s">
        <v>510</v>
      </c>
      <c r="C323">
        <v>29.11</v>
      </c>
      <c r="D323">
        <v>20.2</v>
      </c>
      <c r="E323">
        <v>20.14</v>
      </c>
      <c r="F323">
        <v>7.77</v>
      </c>
      <c r="G323">
        <v>5.79</v>
      </c>
    </row>
    <row r="324" spans="1:7" x14ac:dyDescent="0.25">
      <c r="A324" t="s">
        <v>595</v>
      </c>
      <c r="B324" t="s">
        <v>510</v>
      </c>
      <c r="C324">
        <v>27.89</v>
      </c>
      <c r="D324">
        <v>24.9</v>
      </c>
      <c r="E324">
        <v>14.01</v>
      </c>
      <c r="F324">
        <v>4.41</v>
      </c>
      <c r="G324">
        <v>3.3</v>
      </c>
    </row>
    <row r="325" spans="1:7" x14ac:dyDescent="0.25">
      <c r="A325" t="s">
        <v>596</v>
      </c>
      <c r="B325" t="s">
        <v>510</v>
      </c>
      <c r="C325">
        <v>26.38</v>
      </c>
      <c r="D325">
        <v>19.850000000000001</v>
      </c>
      <c r="E325">
        <v>11.94</v>
      </c>
      <c r="F325">
        <v>3.61</v>
      </c>
      <c r="G325">
        <v>2.5</v>
      </c>
    </row>
    <row r="326" spans="1:7" x14ac:dyDescent="0.25">
      <c r="A326" t="s">
        <v>597</v>
      </c>
      <c r="B326" t="s">
        <v>510</v>
      </c>
      <c r="C326">
        <v>18.940000000000001</v>
      </c>
      <c r="D326">
        <v>22.86</v>
      </c>
      <c r="E326">
        <v>10.55</v>
      </c>
      <c r="F326">
        <v>3.52</v>
      </c>
      <c r="G326">
        <v>2.04</v>
      </c>
    </row>
    <row r="327" spans="1:7" x14ac:dyDescent="0.25">
      <c r="A327" t="s">
        <v>598</v>
      </c>
      <c r="B327" t="s">
        <v>510</v>
      </c>
      <c r="C327">
        <v>19.5</v>
      </c>
      <c r="D327">
        <v>19.059999999999999</v>
      </c>
      <c r="E327">
        <v>10.16</v>
      </c>
      <c r="F327">
        <v>2.09</v>
      </c>
      <c r="G327">
        <v>1.51</v>
      </c>
    </row>
    <row r="328" spans="1:7" x14ac:dyDescent="0.25">
      <c r="A328" t="s">
        <v>599</v>
      </c>
      <c r="B328" t="s">
        <v>510</v>
      </c>
      <c r="C328">
        <v>18.02</v>
      </c>
      <c r="D328">
        <v>14.14</v>
      </c>
      <c r="E328">
        <v>6.24</v>
      </c>
      <c r="F328">
        <v>1.39</v>
      </c>
      <c r="G328">
        <v>1.1399999999999999</v>
      </c>
    </row>
    <row r="329" spans="1:7" x14ac:dyDescent="0.25">
      <c r="A329" t="s">
        <v>600</v>
      </c>
      <c r="B329" t="s">
        <v>511</v>
      </c>
      <c r="C329">
        <v>42.02</v>
      </c>
      <c r="D329">
        <v>38.47</v>
      </c>
      <c r="E329">
        <v>27.24</v>
      </c>
      <c r="F329">
        <v>26.87</v>
      </c>
      <c r="G329">
        <v>16.16</v>
      </c>
    </row>
    <row r="330" spans="1:7" x14ac:dyDescent="0.25">
      <c r="A330" t="s">
        <v>601</v>
      </c>
      <c r="B330" t="s">
        <v>511</v>
      </c>
      <c r="C330">
        <v>37.18</v>
      </c>
      <c r="D330">
        <v>36.04</v>
      </c>
      <c r="E330">
        <v>10.07</v>
      </c>
      <c r="F330">
        <v>9.09</v>
      </c>
      <c r="G330">
        <v>6.25</v>
      </c>
    </row>
    <row r="331" spans="1:7" x14ac:dyDescent="0.25">
      <c r="A331" t="s">
        <v>602</v>
      </c>
      <c r="B331" t="s">
        <v>511</v>
      </c>
      <c r="C331">
        <v>37.159999999999997</v>
      </c>
      <c r="D331">
        <v>27.4</v>
      </c>
      <c r="E331">
        <v>17.47</v>
      </c>
      <c r="F331">
        <v>8.93</v>
      </c>
      <c r="G331">
        <v>6.53</v>
      </c>
    </row>
    <row r="332" spans="1:7" x14ac:dyDescent="0.25">
      <c r="A332" t="s">
        <v>603</v>
      </c>
      <c r="B332" t="s">
        <v>511</v>
      </c>
      <c r="C332">
        <v>33.1</v>
      </c>
      <c r="D332">
        <v>27.28</v>
      </c>
      <c r="E332">
        <v>18.37</v>
      </c>
      <c r="F332">
        <v>12.2</v>
      </c>
      <c r="G332">
        <v>10.39</v>
      </c>
    </row>
    <row r="333" spans="1:7" x14ac:dyDescent="0.25">
      <c r="A333" t="s">
        <v>604</v>
      </c>
      <c r="B333" t="s">
        <v>511</v>
      </c>
      <c r="C333">
        <v>32.119999999999997</v>
      </c>
      <c r="D333">
        <v>22.4</v>
      </c>
      <c r="E333">
        <v>13.5</v>
      </c>
      <c r="F333">
        <v>7.59</v>
      </c>
      <c r="G333">
        <v>5.54</v>
      </c>
    </row>
    <row r="334" spans="1:7" x14ac:dyDescent="0.25">
      <c r="A334" t="s">
        <v>605</v>
      </c>
      <c r="B334" t="s">
        <v>511</v>
      </c>
      <c r="C334">
        <v>25.28</v>
      </c>
      <c r="D334">
        <v>19.87</v>
      </c>
      <c r="E334">
        <v>12.25</v>
      </c>
      <c r="F334">
        <v>4.71</v>
      </c>
      <c r="G334">
        <v>3.2</v>
      </c>
    </row>
    <row r="335" spans="1:7" x14ac:dyDescent="0.25">
      <c r="A335" t="s">
        <v>606</v>
      </c>
      <c r="B335" t="s">
        <v>511</v>
      </c>
      <c r="C335">
        <v>29.01</v>
      </c>
      <c r="D335">
        <v>21.56</v>
      </c>
      <c r="E335">
        <v>17.34</v>
      </c>
      <c r="F335">
        <v>7.42</v>
      </c>
      <c r="G335">
        <v>5.56</v>
      </c>
    </row>
    <row r="336" spans="1:7" x14ac:dyDescent="0.25">
      <c r="A336" t="s">
        <v>607</v>
      </c>
      <c r="B336" t="s">
        <v>511</v>
      </c>
      <c r="C336">
        <v>22.84</v>
      </c>
      <c r="D336">
        <v>21.22</v>
      </c>
      <c r="E336">
        <v>14.45</v>
      </c>
      <c r="F336">
        <v>4.5</v>
      </c>
      <c r="G336">
        <v>3.5</v>
      </c>
    </row>
    <row r="337" spans="1:7" x14ac:dyDescent="0.25">
      <c r="A337" t="s">
        <v>608</v>
      </c>
      <c r="B337" t="s">
        <v>511</v>
      </c>
      <c r="C337">
        <v>18.940000000000001</v>
      </c>
      <c r="D337">
        <v>16.16</v>
      </c>
      <c r="E337">
        <v>7.77</v>
      </c>
      <c r="F337">
        <v>2.3199999999999998</v>
      </c>
      <c r="G337">
        <v>1.89</v>
      </c>
    </row>
    <row r="338" spans="1:7" x14ac:dyDescent="0.25">
      <c r="A338" t="s">
        <v>609</v>
      </c>
      <c r="B338" t="s">
        <v>511</v>
      </c>
      <c r="C338">
        <v>19.38</v>
      </c>
      <c r="D338">
        <v>12.06</v>
      </c>
      <c r="E338">
        <v>7.84</v>
      </c>
      <c r="F338">
        <v>1.89</v>
      </c>
      <c r="G338">
        <v>1.52</v>
      </c>
    </row>
    <row r="339" spans="1:7" x14ac:dyDescent="0.25">
      <c r="A339" t="s">
        <v>610</v>
      </c>
      <c r="B339" t="s">
        <v>511</v>
      </c>
      <c r="C339">
        <v>18.47</v>
      </c>
      <c r="D339">
        <v>15.43</v>
      </c>
      <c r="E339">
        <v>6.89</v>
      </c>
      <c r="F339">
        <v>1.7</v>
      </c>
      <c r="G339">
        <v>1.35</v>
      </c>
    </row>
    <row r="340" spans="1:7" x14ac:dyDescent="0.25">
      <c r="A340" t="s">
        <v>611</v>
      </c>
      <c r="B340" t="s">
        <v>511</v>
      </c>
      <c r="C340">
        <v>9.9700000000000006</v>
      </c>
      <c r="D340">
        <v>5.32</v>
      </c>
      <c r="E340">
        <v>2.2200000000000002</v>
      </c>
      <c r="F340">
        <v>7.0000000000000007E-2</v>
      </c>
      <c r="G340">
        <v>0.05</v>
      </c>
    </row>
    <row r="341" spans="1:7" x14ac:dyDescent="0.25">
      <c r="A341" t="s">
        <v>612</v>
      </c>
      <c r="B341" t="s">
        <v>511</v>
      </c>
      <c r="C341">
        <v>11.57</v>
      </c>
      <c r="D341">
        <v>10.14</v>
      </c>
      <c r="E341">
        <v>2.57</v>
      </c>
      <c r="F341">
        <v>0.19</v>
      </c>
      <c r="G341">
        <v>0.11</v>
      </c>
    </row>
    <row r="342" spans="1:7" x14ac:dyDescent="0.25">
      <c r="A342" t="s">
        <v>613</v>
      </c>
      <c r="B342" t="s">
        <v>512</v>
      </c>
      <c r="C342">
        <v>40.49</v>
      </c>
      <c r="D342">
        <v>33.61</v>
      </c>
      <c r="E342">
        <v>16.579999999999998</v>
      </c>
      <c r="F342">
        <v>17.600000000000001</v>
      </c>
      <c r="G342">
        <v>14.64</v>
      </c>
    </row>
    <row r="343" spans="1:7" x14ac:dyDescent="0.25">
      <c r="A343" t="s">
        <v>614</v>
      </c>
      <c r="B343" t="s">
        <v>512</v>
      </c>
      <c r="C343">
        <v>36.700000000000003</v>
      </c>
      <c r="D343">
        <v>32.97</v>
      </c>
      <c r="E343">
        <v>18.71</v>
      </c>
      <c r="F343">
        <v>16.63</v>
      </c>
      <c r="G343">
        <v>13.42</v>
      </c>
    </row>
    <row r="344" spans="1:7" x14ac:dyDescent="0.25">
      <c r="A344" t="s">
        <v>615</v>
      </c>
      <c r="B344" t="s">
        <v>512</v>
      </c>
      <c r="C344">
        <v>33</v>
      </c>
      <c r="D344">
        <v>25.4</v>
      </c>
      <c r="E344">
        <v>14.25</v>
      </c>
      <c r="F344">
        <v>9.19</v>
      </c>
      <c r="G344">
        <v>7.08</v>
      </c>
    </row>
    <row r="345" spans="1:7" x14ac:dyDescent="0.25">
      <c r="A345" t="s">
        <v>616</v>
      </c>
      <c r="B345" t="s">
        <v>512</v>
      </c>
      <c r="C345">
        <v>32.19</v>
      </c>
      <c r="D345">
        <v>26.23</v>
      </c>
      <c r="E345">
        <v>13.7</v>
      </c>
      <c r="F345">
        <v>6.85</v>
      </c>
      <c r="G345">
        <v>5.69</v>
      </c>
    </row>
    <row r="346" spans="1:7" x14ac:dyDescent="0.25">
      <c r="A346" t="s">
        <v>617</v>
      </c>
      <c r="B346" t="s">
        <v>512</v>
      </c>
      <c r="C346">
        <v>25.59</v>
      </c>
      <c r="D346">
        <v>24.26</v>
      </c>
      <c r="E346">
        <v>14.34</v>
      </c>
      <c r="F346">
        <v>7.4</v>
      </c>
      <c r="G346">
        <v>5.44</v>
      </c>
    </row>
    <row r="347" spans="1:7" x14ac:dyDescent="0.25">
      <c r="A347" t="s">
        <v>618</v>
      </c>
      <c r="B347" t="s">
        <v>512</v>
      </c>
      <c r="C347">
        <v>29.69</v>
      </c>
      <c r="D347">
        <v>23.02</v>
      </c>
      <c r="E347">
        <v>11.74</v>
      </c>
      <c r="F347">
        <v>5.12</v>
      </c>
      <c r="G347">
        <v>3.79</v>
      </c>
    </row>
    <row r="348" spans="1:7" x14ac:dyDescent="0.25">
      <c r="A348" t="s">
        <v>619</v>
      </c>
      <c r="B348" t="s">
        <v>512</v>
      </c>
      <c r="C348">
        <v>28.54</v>
      </c>
      <c r="D348">
        <v>26.99</v>
      </c>
      <c r="E348">
        <v>16.52</v>
      </c>
      <c r="F348">
        <v>5.72</v>
      </c>
      <c r="G348">
        <v>4.54</v>
      </c>
    </row>
    <row r="349" spans="1:7" x14ac:dyDescent="0.25">
      <c r="A349" t="s">
        <v>620</v>
      </c>
      <c r="B349" t="s">
        <v>512</v>
      </c>
      <c r="C349">
        <v>24.66</v>
      </c>
      <c r="D349">
        <v>22.98</v>
      </c>
      <c r="E349">
        <v>9.8800000000000008</v>
      </c>
      <c r="F349">
        <v>4.03</v>
      </c>
      <c r="G349">
        <v>3.29</v>
      </c>
    </row>
    <row r="350" spans="1:7" x14ac:dyDescent="0.25">
      <c r="A350" t="s">
        <v>621</v>
      </c>
      <c r="B350" t="s">
        <v>512</v>
      </c>
      <c r="C350">
        <v>24.51</v>
      </c>
      <c r="D350">
        <v>18.88</v>
      </c>
      <c r="E350">
        <v>11.9</v>
      </c>
      <c r="F350">
        <v>3.34</v>
      </c>
      <c r="G350">
        <v>2.4700000000000002</v>
      </c>
    </row>
    <row r="351" spans="1:7" x14ac:dyDescent="0.25">
      <c r="A351" t="s">
        <v>622</v>
      </c>
      <c r="B351" t="s">
        <v>512</v>
      </c>
      <c r="C351">
        <v>25.76</v>
      </c>
      <c r="D351">
        <v>14.18</v>
      </c>
      <c r="E351">
        <v>14.31</v>
      </c>
      <c r="F351">
        <v>3.14</v>
      </c>
      <c r="G351">
        <v>2.56</v>
      </c>
    </row>
    <row r="352" spans="1:7" x14ac:dyDescent="0.25">
      <c r="A352" t="s">
        <v>623</v>
      </c>
      <c r="B352" t="s">
        <v>512</v>
      </c>
      <c r="C352">
        <v>19.29</v>
      </c>
      <c r="D352">
        <v>16.97</v>
      </c>
      <c r="E352">
        <v>6.83</v>
      </c>
      <c r="F352">
        <v>1.82</v>
      </c>
      <c r="G352">
        <v>1.4</v>
      </c>
    </row>
    <row r="353" spans="1:7" x14ac:dyDescent="0.25">
      <c r="A353" t="s">
        <v>624</v>
      </c>
      <c r="B353" t="s">
        <v>512</v>
      </c>
      <c r="C353">
        <v>20.13</v>
      </c>
      <c r="D353">
        <v>12.67</v>
      </c>
      <c r="E353">
        <v>9.42</v>
      </c>
      <c r="F353">
        <v>1.76</v>
      </c>
      <c r="G353">
        <v>1.34</v>
      </c>
    </row>
    <row r="354" spans="1:7" x14ac:dyDescent="0.25">
      <c r="A354" t="s">
        <v>625</v>
      </c>
      <c r="B354" t="s">
        <v>512</v>
      </c>
      <c r="C354">
        <v>12.41</v>
      </c>
      <c r="D354">
        <v>12.8</v>
      </c>
      <c r="E354">
        <v>5.64</v>
      </c>
      <c r="F354">
        <v>0.72</v>
      </c>
      <c r="G354">
        <v>0.52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E28F1-4D3E-418B-A9D6-36DEBB07B77D}">
  <dimension ref="A1:P281"/>
  <sheetViews>
    <sheetView topLeftCell="A254" workbookViewId="0">
      <selection activeCell="B280" sqref="B280"/>
    </sheetView>
  </sheetViews>
  <sheetFormatPr defaultRowHeight="13.2" x14ac:dyDescent="0.25"/>
  <cols>
    <col min="1" max="1" width="12.44140625" bestFit="1" customWidth="1"/>
    <col min="2" max="2" width="26.33203125" bestFit="1" customWidth="1"/>
    <col min="3" max="3" width="4" bestFit="1" customWidth="1"/>
    <col min="4" max="4" width="10.5546875" bestFit="1" customWidth="1"/>
    <col min="5" max="5" width="7.6640625" bestFit="1" customWidth="1"/>
    <col min="6" max="6" width="8.21875" bestFit="1" customWidth="1"/>
    <col min="7" max="7" width="9.77734375" bestFit="1" customWidth="1"/>
    <col min="8" max="8" width="14.33203125" bestFit="1" customWidth="1"/>
    <col min="9" max="9" width="18.5546875" bestFit="1" customWidth="1"/>
    <col min="10" max="10" width="14.33203125" bestFit="1" customWidth="1"/>
    <col min="11" max="11" width="15.33203125" bestFit="1" customWidth="1"/>
    <col min="12" max="12" width="13.44140625" bestFit="1" customWidth="1"/>
    <col min="13" max="13" width="12.6640625" bestFit="1" customWidth="1"/>
    <col min="14" max="14" width="16.109375" bestFit="1" customWidth="1"/>
    <col min="15" max="15" width="9.5546875" bestFit="1" customWidth="1"/>
    <col min="16" max="16" width="10.6640625" bestFit="1" customWidth="1"/>
  </cols>
  <sheetData>
    <row r="1" spans="1:16" x14ac:dyDescent="0.25">
      <c r="A1" t="s">
        <v>39</v>
      </c>
      <c r="B1" t="s">
        <v>40</v>
      </c>
      <c r="C1" t="s">
        <v>6</v>
      </c>
      <c r="D1" t="s">
        <v>392</v>
      </c>
      <c r="E1" t="s">
        <v>393</v>
      </c>
      <c r="F1" t="s">
        <v>394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</row>
    <row r="2" spans="1:16" x14ac:dyDescent="0.25">
      <c r="A2" t="s">
        <v>58</v>
      </c>
      <c r="B2" t="s">
        <v>59</v>
      </c>
      <c r="C2" t="s">
        <v>18</v>
      </c>
      <c r="D2">
        <v>2</v>
      </c>
      <c r="E2" t="s">
        <v>21</v>
      </c>
      <c r="F2" t="s">
        <v>395</v>
      </c>
      <c r="G2" t="s">
        <v>61</v>
      </c>
      <c r="H2" s="17">
        <v>45483</v>
      </c>
      <c r="I2" t="s">
        <v>63</v>
      </c>
      <c r="J2" s="17">
        <v>45483</v>
      </c>
      <c r="K2" t="s">
        <v>63</v>
      </c>
      <c r="L2" s="17">
        <v>45601</v>
      </c>
      <c r="M2" t="s">
        <v>63</v>
      </c>
      <c r="N2" t="s">
        <v>60</v>
      </c>
      <c r="O2" t="s">
        <v>60</v>
      </c>
      <c r="P2" t="s">
        <v>60</v>
      </c>
    </row>
    <row r="3" spans="1:16" x14ac:dyDescent="0.25">
      <c r="A3" t="s">
        <v>64</v>
      </c>
      <c r="B3" t="s">
        <v>59</v>
      </c>
      <c r="C3" t="s">
        <v>18</v>
      </c>
      <c r="D3">
        <v>2</v>
      </c>
      <c r="E3" t="s">
        <v>17</v>
      </c>
      <c r="F3" t="s">
        <v>395</v>
      </c>
      <c r="G3" t="s">
        <v>61</v>
      </c>
      <c r="H3" s="17">
        <v>45483</v>
      </c>
      <c r="I3" t="s">
        <v>63</v>
      </c>
      <c r="J3" s="17">
        <v>45483</v>
      </c>
      <c r="K3" t="s">
        <v>63</v>
      </c>
      <c r="L3" s="17">
        <v>45601</v>
      </c>
      <c r="M3" t="s">
        <v>63</v>
      </c>
      <c r="N3" t="s">
        <v>60</v>
      </c>
      <c r="O3" t="s">
        <v>60</v>
      </c>
      <c r="P3" t="s">
        <v>60</v>
      </c>
    </row>
    <row r="4" spans="1:16" x14ac:dyDescent="0.25">
      <c r="A4" t="s">
        <v>65</v>
      </c>
      <c r="B4" t="s">
        <v>59</v>
      </c>
      <c r="C4" t="s">
        <v>19</v>
      </c>
      <c r="D4">
        <v>2</v>
      </c>
      <c r="E4" t="s">
        <v>21</v>
      </c>
      <c r="F4" t="s">
        <v>395</v>
      </c>
      <c r="G4" t="s">
        <v>61</v>
      </c>
      <c r="H4" s="17">
        <v>45483</v>
      </c>
      <c r="I4" t="s">
        <v>63</v>
      </c>
      <c r="J4" s="17">
        <v>45483</v>
      </c>
      <c r="K4" t="s">
        <v>63</v>
      </c>
      <c r="L4" s="17">
        <v>45601</v>
      </c>
      <c r="M4" t="s">
        <v>63</v>
      </c>
      <c r="N4" t="s">
        <v>60</v>
      </c>
      <c r="O4" t="s">
        <v>60</v>
      </c>
      <c r="P4" t="s">
        <v>60</v>
      </c>
    </row>
    <row r="5" spans="1:16" x14ac:dyDescent="0.25">
      <c r="A5" t="s">
        <v>66</v>
      </c>
      <c r="B5" t="s">
        <v>59</v>
      </c>
      <c r="C5" t="s">
        <v>19</v>
      </c>
      <c r="D5">
        <v>2</v>
      </c>
      <c r="E5" t="s">
        <v>21</v>
      </c>
      <c r="F5" t="s">
        <v>395</v>
      </c>
      <c r="G5" t="s">
        <v>61</v>
      </c>
      <c r="H5" s="17">
        <v>45483</v>
      </c>
      <c r="I5" t="s">
        <v>63</v>
      </c>
      <c r="J5" s="17">
        <v>45483</v>
      </c>
      <c r="K5" t="s">
        <v>63</v>
      </c>
      <c r="L5" s="17">
        <v>45601</v>
      </c>
      <c r="M5" t="s">
        <v>63</v>
      </c>
      <c r="N5" t="s">
        <v>60</v>
      </c>
      <c r="O5" t="s">
        <v>60</v>
      </c>
      <c r="P5" t="s">
        <v>60</v>
      </c>
    </row>
    <row r="6" spans="1:16" x14ac:dyDescent="0.25">
      <c r="A6" t="s">
        <v>67</v>
      </c>
      <c r="B6" t="s">
        <v>59</v>
      </c>
      <c r="C6" t="s">
        <v>19</v>
      </c>
      <c r="D6">
        <v>2</v>
      </c>
      <c r="E6" t="s">
        <v>17</v>
      </c>
      <c r="F6" t="s">
        <v>395</v>
      </c>
      <c r="G6" t="s">
        <v>61</v>
      </c>
      <c r="H6" s="17">
        <v>45483</v>
      </c>
      <c r="I6" t="s">
        <v>63</v>
      </c>
      <c r="J6" s="17">
        <v>45483</v>
      </c>
      <c r="K6" t="s">
        <v>63</v>
      </c>
      <c r="L6" s="17">
        <v>45601</v>
      </c>
      <c r="M6" t="s">
        <v>63</v>
      </c>
      <c r="N6" t="s">
        <v>60</v>
      </c>
      <c r="O6" t="s">
        <v>60</v>
      </c>
      <c r="P6" t="s">
        <v>60</v>
      </c>
    </row>
    <row r="7" spans="1:16" x14ac:dyDescent="0.25">
      <c r="A7" t="s">
        <v>68</v>
      </c>
      <c r="B7" t="s">
        <v>69</v>
      </c>
      <c r="C7" t="s">
        <v>18</v>
      </c>
      <c r="D7">
        <v>2</v>
      </c>
      <c r="E7" t="s">
        <v>17</v>
      </c>
      <c r="F7" t="s">
        <v>395</v>
      </c>
      <c r="G7" t="s">
        <v>61</v>
      </c>
      <c r="H7" s="17">
        <v>45483</v>
      </c>
      <c r="I7" t="s">
        <v>63</v>
      </c>
      <c r="J7" s="17">
        <v>45483</v>
      </c>
      <c r="K7" t="s">
        <v>63</v>
      </c>
      <c r="L7" s="17">
        <v>45601</v>
      </c>
      <c r="M7" t="s">
        <v>63</v>
      </c>
      <c r="N7" t="s">
        <v>60</v>
      </c>
      <c r="O7" t="s">
        <v>60</v>
      </c>
      <c r="P7" t="s">
        <v>60</v>
      </c>
    </row>
    <row r="8" spans="1:16" x14ac:dyDescent="0.25">
      <c r="A8" t="s">
        <v>71</v>
      </c>
      <c r="B8" t="s">
        <v>69</v>
      </c>
      <c r="C8" t="s">
        <v>18</v>
      </c>
      <c r="D8">
        <v>2</v>
      </c>
      <c r="E8" t="s">
        <v>17</v>
      </c>
      <c r="F8" t="s">
        <v>395</v>
      </c>
      <c r="G8" t="s">
        <v>61</v>
      </c>
      <c r="H8" s="17">
        <v>45483</v>
      </c>
      <c r="I8" t="s">
        <v>63</v>
      </c>
      <c r="J8" s="17">
        <v>45483</v>
      </c>
      <c r="K8" t="s">
        <v>63</v>
      </c>
      <c r="L8" s="17">
        <v>45601</v>
      </c>
      <c r="M8" t="s">
        <v>63</v>
      </c>
      <c r="N8" t="s">
        <v>60</v>
      </c>
      <c r="O8" t="s">
        <v>60</v>
      </c>
      <c r="P8" t="s">
        <v>60</v>
      </c>
    </row>
    <row r="9" spans="1:16" x14ac:dyDescent="0.25">
      <c r="A9" t="s">
        <v>72</v>
      </c>
      <c r="B9" t="s">
        <v>69</v>
      </c>
      <c r="C9" t="s">
        <v>19</v>
      </c>
      <c r="D9">
        <v>2</v>
      </c>
      <c r="E9" t="s">
        <v>17</v>
      </c>
      <c r="F9" t="s">
        <v>395</v>
      </c>
      <c r="G9" t="s">
        <v>61</v>
      </c>
      <c r="H9" s="17">
        <v>45483</v>
      </c>
      <c r="I9" t="s">
        <v>63</v>
      </c>
      <c r="J9" s="17">
        <v>45483</v>
      </c>
      <c r="K9" t="s">
        <v>63</v>
      </c>
      <c r="L9" s="17">
        <v>45601</v>
      </c>
      <c r="M9" t="s">
        <v>63</v>
      </c>
      <c r="N9" t="s">
        <v>60</v>
      </c>
      <c r="O9" t="s">
        <v>60</v>
      </c>
      <c r="P9" t="s">
        <v>60</v>
      </c>
    </row>
    <row r="10" spans="1:16" x14ac:dyDescent="0.25">
      <c r="A10" t="s">
        <v>73</v>
      </c>
      <c r="B10" t="s">
        <v>69</v>
      </c>
      <c r="C10" t="s">
        <v>16</v>
      </c>
      <c r="D10">
        <v>4</v>
      </c>
      <c r="E10" t="s">
        <v>21</v>
      </c>
      <c r="F10" t="s">
        <v>395</v>
      </c>
      <c r="G10" t="s">
        <v>61</v>
      </c>
      <c r="H10" s="17">
        <v>45483</v>
      </c>
      <c r="I10" t="s">
        <v>63</v>
      </c>
      <c r="J10" s="17">
        <v>45483</v>
      </c>
      <c r="K10" t="s">
        <v>63</v>
      </c>
      <c r="L10" s="17">
        <v>45601</v>
      </c>
      <c r="M10" t="s">
        <v>63</v>
      </c>
      <c r="N10" t="s">
        <v>60</v>
      </c>
      <c r="O10" t="s">
        <v>60</v>
      </c>
      <c r="P10" t="s">
        <v>60</v>
      </c>
    </row>
    <row r="11" spans="1:16" x14ac:dyDescent="0.25">
      <c r="A11" t="s">
        <v>75</v>
      </c>
      <c r="B11" t="s">
        <v>69</v>
      </c>
      <c r="C11" t="s">
        <v>16</v>
      </c>
      <c r="D11">
        <v>4</v>
      </c>
      <c r="E11" t="s">
        <v>21</v>
      </c>
      <c r="F11" t="s">
        <v>395</v>
      </c>
      <c r="G11" t="s">
        <v>61</v>
      </c>
      <c r="H11" s="17">
        <v>45483</v>
      </c>
      <c r="I11" t="s">
        <v>63</v>
      </c>
      <c r="J11" s="17">
        <v>45483</v>
      </c>
      <c r="K11" t="s">
        <v>63</v>
      </c>
      <c r="L11" s="17">
        <v>45601</v>
      </c>
      <c r="M11" t="s">
        <v>63</v>
      </c>
      <c r="N11" t="s">
        <v>60</v>
      </c>
      <c r="O11" t="s">
        <v>60</v>
      </c>
      <c r="P11" t="s">
        <v>60</v>
      </c>
    </row>
    <row r="12" spans="1:16" x14ac:dyDescent="0.25">
      <c r="A12" t="s">
        <v>77</v>
      </c>
      <c r="B12" t="s">
        <v>78</v>
      </c>
      <c r="C12" t="s">
        <v>19</v>
      </c>
      <c r="D12">
        <v>2</v>
      </c>
      <c r="E12" t="s">
        <v>17</v>
      </c>
      <c r="F12" t="s">
        <v>395</v>
      </c>
      <c r="G12" t="s">
        <v>61</v>
      </c>
      <c r="H12" s="17">
        <v>45483</v>
      </c>
      <c r="I12" t="s">
        <v>63</v>
      </c>
      <c r="J12" s="17">
        <v>45483</v>
      </c>
      <c r="K12" t="s">
        <v>63</v>
      </c>
      <c r="L12" s="17">
        <v>45601</v>
      </c>
      <c r="M12" t="s">
        <v>63</v>
      </c>
      <c r="N12" t="s">
        <v>60</v>
      </c>
      <c r="O12" t="s">
        <v>60</v>
      </c>
      <c r="P12" t="s">
        <v>60</v>
      </c>
    </row>
    <row r="13" spans="1:16" x14ac:dyDescent="0.25">
      <c r="A13" t="s">
        <v>79</v>
      </c>
      <c r="B13" t="s">
        <v>78</v>
      </c>
      <c r="C13" t="s">
        <v>18</v>
      </c>
      <c r="D13">
        <v>2</v>
      </c>
      <c r="E13" t="s">
        <v>17</v>
      </c>
      <c r="F13" t="s">
        <v>395</v>
      </c>
      <c r="G13" t="s">
        <v>61</v>
      </c>
      <c r="H13" s="17">
        <v>45483</v>
      </c>
      <c r="I13" t="s">
        <v>63</v>
      </c>
      <c r="J13" s="17">
        <v>45483</v>
      </c>
      <c r="K13" t="s">
        <v>63</v>
      </c>
      <c r="L13" s="17">
        <v>45601</v>
      </c>
      <c r="M13" t="s">
        <v>63</v>
      </c>
      <c r="N13" t="s">
        <v>60</v>
      </c>
      <c r="O13" t="s">
        <v>60</v>
      </c>
      <c r="P13" t="s">
        <v>60</v>
      </c>
    </row>
    <row r="14" spans="1:16" x14ac:dyDescent="0.25">
      <c r="A14" t="s">
        <v>80</v>
      </c>
      <c r="B14" t="s">
        <v>78</v>
      </c>
      <c r="C14" t="s">
        <v>18</v>
      </c>
      <c r="D14">
        <v>2</v>
      </c>
      <c r="E14" t="s">
        <v>17</v>
      </c>
      <c r="F14" t="s">
        <v>395</v>
      </c>
      <c r="G14" t="s">
        <v>61</v>
      </c>
      <c r="H14" s="17">
        <v>45483</v>
      </c>
      <c r="I14" t="s">
        <v>63</v>
      </c>
      <c r="J14" s="17">
        <v>45483</v>
      </c>
      <c r="K14" t="s">
        <v>63</v>
      </c>
      <c r="L14" s="17">
        <v>45601</v>
      </c>
      <c r="M14" t="s">
        <v>63</v>
      </c>
      <c r="N14" t="s">
        <v>60</v>
      </c>
      <c r="O14" t="s">
        <v>60</v>
      </c>
      <c r="P14" t="s">
        <v>60</v>
      </c>
    </row>
    <row r="15" spans="1:16" x14ac:dyDescent="0.25">
      <c r="A15" t="s">
        <v>81</v>
      </c>
      <c r="B15" t="s">
        <v>78</v>
      </c>
      <c r="C15" t="s">
        <v>18</v>
      </c>
      <c r="D15">
        <v>2</v>
      </c>
      <c r="E15" t="s">
        <v>17</v>
      </c>
      <c r="F15" t="s">
        <v>395</v>
      </c>
      <c r="G15" t="s">
        <v>61</v>
      </c>
      <c r="H15" s="17">
        <v>45483</v>
      </c>
      <c r="I15" t="s">
        <v>63</v>
      </c>
      <c r="J15" s="17">
        <v>45483</v>
      </c>
      <c r="K15" t="s">
        <v>63</v>
      </c>
      <c r="L15" s="17">
        <v>45601</v>
      </c>
      <c r="M15" t="s">
        <v>63</v>
      </c>
      <c r="N15" t="s">
        <v>60</v>
      </c>
      <c r="O15" t="s">
        <v>60</v>
      </c>
      <c r="P15" t="s">
        <v>60</v>
      </c>
    </row>
    <row r="16" spans="1:16" x14ac:dyDescent="0.25">
      <c r="A16" t="s">
        <v>82</v>
      </c>
      <c r="B16" t="s">
        <v>78</v>
      </c>
      <c r="C16" t="s">
        <v>19</v>
      </c>
      <c r="D16">
        <v>2</v>
      </c>
      <c r="E16" t="s">
        <v>17</v>
      </c>
      <c r="F16" t="s">
        <v>395</v>
      </c>
      <c r="G16" t="s">
        <v>61</v>
      </c>
      <c r="H16" s="17">
        <v>45483</v>
      </c>
      <c r="I16" t="s">
        <v>63</v>
      </c>
      <c r="J16" s="17">
        <v>45483</v>
      </c>
      <c r="K16" t="s">
        <v>63</v>
      </c>
      <c r="L16" s="17">
        <v>45601</v>
      </c>
      <c r="M16" t="s">
        <v>63</v>
      </c>
      <c r="N16" t="s">
        <v>60</v>
      </c>
      <c r="O16" t="s">
        <v>60</v>
      </c>
      <c r="P16" t="s">
        <v>60</v>
      </c>
    </row>
    <row r="17" spans="1:16" x14ac:dyDescent="0.25">
      <c r="A17" t="s">
        <v>83</v>
      </c>
      <c r="B17" t="s">
        <v>84</v>
      </c>
      <c r="C17" t="s">
        <v>18</v>
      </c>
      <c r="D17">
        <v>2</v>
      </c>
      <c r="E17" t="s">
        <v>17</v>
      </c>
      <c r="F17" t="s">
        <v>395</v>
      </c>
      <c r="G17" t="s">
        <v>61</v>
      </c>
      <c r="H17" s="17">
        <v>45498</v>
      </c>
      <c r="I17" t="s">
        <v>106</v>
      </c>
      <c r="J17" s="17">
        <v>45498</v>
      </c>
      <c r="K17" t="s">
        <v>85</v>
      </c>
      <c r="L17" s="17">
        <v>45511</v>
      </c>
      <c r="M17" t="s">
        <v>63</v>
      </c>
      <c r="N17" t="s">
        <v>60</v>
      </c>
      <c r="O17" t="s">
        <v>60</v>
      </c>
      <c r="P17" t="s">
        <v>60</v>
      </c>
    </row>
    <row r="18" spans="1:16" x14ac:dyDescent="0.25">
      <c r="A18" t="s">
        <v>86</v>
      </c>
      <c r="B18" t="s">
        <v>84</v>
      </c>
      <c r="C18" t="s">
        <v>19</v>
      </c>
      <c r="D18">
        <v>2</v>
      </c>
      <c r="E18" t="s">
        <v>17</v>
      </c>
      <c r="F18" t="s">
        <v>395</v>
      </c>
      <c r="G18" t="s">
        <v>61</v>
      </c>
      <c r="H18" s="17">
        <v>45498</v>
      </c>
      <c r="I18" t="s">
        <v>106</v>
      </c>
      <c r="J18" s="17">
        <v>45498</v>
      </c>
      <c r="K18" t="s">
        <v>85</v>
      </c>
      <c r="L18" s="17">
        <v>45511</v>
      </c>
      <c r="M18" t="s">
        <v>63</v>
      </c>
      <c r="N18" t="s">
        <v>60</v>
      </c>
      <c r="O18" t="s">
        <v>60</v>
      </c>
      <c r="P18" t="s">
        <v>60</v>
      </c>
    </row>
    <row r="19" spans="1:16" x14ac:dyDescent="0.25">
      <c r="A19" t="s">
        <v>88</v>
      </c>
      <c r="B19" t="s">
        <v>84</v>
      </c>
      <c r="C19" t="s">
        <v>18</v>
      </c>
      <c r="D19">
        <v>2</v>
      </c>
      <c r="E19" t="s">
        <v>17</v>
      </c>
      <c r="F19" t="s">
        <v>395</v>
      </c>
      <c r="G19" t="s">
        <v>61</v>
      </c>
      <c r="H19" s="17">
        <v>45498</v>
      </c>
      <c r="I19" t="s">
        <v>106</v>
      </c>
      <c r="J19" s="17">
        <v>45498</v>
      </c>
      <c r="K19" t="s">
        <v>85</v>
      </c>
      <c r="L19" s="17">
        <v>45511</v>
      </c>
      <c r="M19" t="s">
        <v>63</v>
      </c>
      <c r="N19" t="s">
        <v>60</v>
      </c>
      <c r="O19" t="s">
        <v>60</v>
      </c>
      <c r="P19" t="s">
        <v>60</v>
      </c>
    </row>
    <row r="20" spans="1:16" x14ac:dyDescent="0.25">
      <c r="A20" t="s">
        <v>89</v>
      </c>
      <c r="B20" t="s">
        <v>84</v>
      </c>
      <c r="C20" t="s">
        <v>19</v>
      </c>
      <c r="D20">
        <v>2</v>
      </c>
      <c r="E20" t="s">
        <v>21</v>
      </c>
      <c r="F20" t="s">
        <v>395</v>
      </c>
      <c r="G20" t="s">
        <v>61</v>
      </c>
      <c r="H20" s="17">
        <v>45498</v>
      </c>
      <c r="I20" t="s">
        <v>106</v>
      </c>
      <c r="J20" s="17">
        <v>45498</v>
      </c>
      <c r="K20" t="s">
        <v>85</v>
      </c>
      <c r="L20" s="17">
        <v>45511</v>
      </c>
      <c r="M20" t="s">
        <v>63</v>
      </c>
      <c r="N20" t="s">
        <v>60</v>
      </c>
      <c r="O20" t="s">
        <v>60</v>
      </c>
      <c r="P20" t="s">
        <v>60</v>
      </c>
    </row>
    <row r="21" spans="1:16" x14ac:dyDescent="0.25">
      <c r="A21" t="s">
        <v>90</v>
      </c>
      <c r="B21" t="s">
        <v>84</v>
      </c>
      <c r="C21" t="s">
        <v>18</v>
      </c>
      <c r="D21">
        <v>2</v>
      </c>
      <c r="E21" t="s">
        <v>17</v>
      </c>
      <c r="F21" t="s">
        <v>395</v>
      </c>
      <c r="G21" t="s">
        <v>61</v>
      </c>
      <c r="H21" s="17">
        <v>45498</v>
      </c>
      <c r="I21" t="s">
        <v>106</v>
      </c>
      <c r="J21" s="17">
        <v>45498</v>
      </c>
      <c r="K21" t="s">
        <v>85</v>
      </c>
      <c r="L21" s="17">
        <v>45511</v>
      </c>
      <c r="M21" t="s">
        <v>63</v>
      </c>
      <c r="N21" t="s">
        <v>60</v>
      </c>
      <c r="O21" t="s">
        <v>60</v>
      </c>
      <c r="P21" t="s">
        <v>60</v>
      </c>
    </row>
    <row r="22" spans="1:16" x14ac:dyDescent="0.25">
      <c r="A22" t="s">
        <v>91</v>
      </c>
      <c r="B22" t="s">
        <v>92</v>
      </c>
      <c r="C22" t="s">
        <v>19</v>
      </c>
      <c r="D22">
        <v>2</v>
      </c>
      <c r="E22" t="s">
        <v>21</v>
      </c>
      <c r="F22" t="s">
        <v>395</v>
      </c>
      <c r="G22" t="s">
        <v>61</v>
      </c>
      <c r="H22" s="17">
        <v>45498</v>
      </c>
      <c r="I22" t="s">
        <v>106</v>
      </c>
      <c r="J22" s="17">
        <v>45498</v>
      </c>
      <c r="K22" t="s">
        <v>85</v>
      </c>
      <c r="L22" s="17">
        <v>45511</v>
      </c>
      <c r="M22" t="s">
        <v>63</v>
      </c>
      <c r="N22" t="s">
        <v>60</v>
      </c>
      <c r="O22" t="s">
        <v>60</v>
      </c>
      <c r="P22" t="s">
        <v>60</v>
      </c>
    </row>
    <row r="23" spans="1:16" x14ac:dyDescent="0.25">
      <c r="A23" t="s">
        <v>93</v>
      </c>
      <c r="B23" t="s">
        <v>92</v>
      </c>
      <c r="C23" t="s">
        <v>18</v>
      </c>
      <c r="D23">
        <v>2</v>
      </c>
      <c r="E23" t="s">
        <v>17</v>
      </c>
      <c r="F23" t="s">
        <v>395</v>
      </c>
      <c r="G23" t="s">
        <v>61</v>
      </c>
      <c r="H23" s="17">
        <v>45498</v>
      </c>
      <c r="I23" t="s">
        <v>106</v>
      </c>
      <c r="J23" s="17">
        <v>45498</v>
      </c>
      <c r="K23" t="s">
        <v>85</v>
      </c>
      <c r="L23" s="17">
        <v>45511</v>
      </c>
      <c r="M23" t="s">
        <v>63</v>
      </c>
      <c r="N23" t="s">
        <v>60</v>
      </c>
      <c r="O23" t="s">
        <v>60</v>
      </c>
      <c r="P23" t="s">
        <v>60</v>
      </c>
    </row>
    <row r="24" spans="1:16" x14ac:dyDescent="0.25">
      <c r="A24" t="s">
        <v>94</v>
      </c>
      <c r="B24" t="s">
        <v>92</v>
      </c>
      <c r="C24" t="s">
        <v>19</v>
      </c>
      <c r="D24">
        <v>3</v>
      </c>
      <c r="E24" t="s">
        <v>17</v>
      </c>
      <c r="F24" t="s">
        <v>395</v>
      </c>
      <c r="G24" t="s">
        <v>61</v>
      </c>
      <c r="H24" s="17">
        <v>45498</v>
      </c>
      <c r="I24" t="s">
        <v>106</v>
      </c>
      <c r="J24" s="17">
        <v>45498</v>
      </c>
      <c r="K24" t="s">
        <v>85</v>
      </c>
      <c r="L24" s="17">
        <v>45511</v>
      </c>
      <c r="M24" t="s">
        <v>63</v>
      </c>
      <c r="N24" t="s">
        <v>60</v>
      </c>
      <c r="O24" t="s">
        <v>60</v>
      </c>
      <c r="P24" t="s">
        <v>60</v>
      </c>
    </row>
    <row r="25" spans="1:16" x14ac:dyDescent="0.25">
      <c r="A25" t="s">
        <v>96</v>
      </c>
      <c r="B25" t="s">
        <v>92</v>
      </c>
      <c r="C25" t="s">
        <v>18</v>
      </c>
      <c r="D25">
        <v>2</v>
      </c>
      <c r="E25" t="s">
        <v>17</v>
      </c>
      <c r="F25" t="s">
        <v>395</v>
      </c>
      <c r="G25" t="s">
        <v>61</v>
      </c>
      <c r="H25" s="17">
        <v>45498</v>
      </c>
      <c r="I25" t="s">
        <v>106</v>
      </c>
      <c r="J25" s="17">
        <v>45498</v>
      </c>
      <c r="K25" t="s">
        <v>85</v>
      </c>
      <c r="L25" s="17">
        <v>45511</v>
      </c>
      <c r="M25" t="s">
        <v>63</v>
      </c>
      <c r="N25" t="s">
        <v>60</v>
      </c>
      <c r="O25" t="s">
        <v>60</v>
      </c>
      <c r="P25" t="s">
        <v>60</v>
      </c>
    </row>
    <row r="26" spans="1:16" x14ac:dyDescent="0.25">
      <c r="A26" t="s">
        <v>97</v>
      </c>
      <c r="B26" t="s">
        <v>92</v>
      </c>
      <c r="C26" t="s">
        <v>18</v>
      </c>
      <c r="D26">
        <v>2</v>
      </c>
      <c r="E26" t="s">
        <v>21</v>
      </c>
      <c r="F26" t="s">
        <v>395</v>
      </c>
      <c r="G26" t="s">
        <v>61</v>
      </c>
      <c r="H26" s="17">
        <v>45498</v>
      </c>
      <c r="I26" t="s">
        <v>106</v>
      </c>
      <c r="J26" s="17">
        <v>45498</v>
      </c>
      <c r="K26" t="s">
        <v>85</v>
      </c>
      <c r="L26" s="17">
        <v>45511</v>
      </c>
      <c r="M26" t="s">
        <v>63</v>
      </c>
      <c r="N26" t="s">
        <v>60</v>
      </c>
      <c r="O26" t="s">
        <v>60</v>
      </c>
      <c r="P26" t="s">
        <v>60</v>
      </c>
    </row>
    <row r="27" spans="1:16" x14ac:dyDescent="0.25">
      <c r="A27" t="s">
        <v>98</v>
      </c>
      <c r="B27" t="s">
        <v>99</v>
      </c>
      <c r="C27" t="s">
        <v>18</v>
      </c>
      <c r="D27">
        <v>2</v>
      </c>
      <c r="E27" t="s">
        <v>17</v>
      </c>
      <c r="F27" t="s">
        <v>395</v>
      </c>
      <c r="G27" t="s">
        <v>61</v>
      </c>
      <c r="H27" s="17">
        <v>45498</v>
      </c>
      <c r="I27" t="s">
        <v>106</v>
      </c>
      <c r="J27" s="17">
        <v>45498</v>
      </c>
      <c r="K27" t="s">
        <v>85</v>
      </c>
      <c r="L27" s="17">
        <v>45511</v>
      </c>
      <c r="M27" t="s">
        <v>63</v>
      </c>
      <c r="N27" t="s">
        <v>60</v>
      </c>
      <c r="O27" t="s">
        <v>60</v>
      </c>
      <c r="P27" t="s">
        <v>60</v>
      </c>
    </row>
    <row r="28" spans="1:16" x14ac:dyDescent="0.25">
      <c r="A28" t="s">
        <v>100</v>
      </c>
      <c r="B28" t="s">
        <v>99</v>
      </c>
      <c r="C28" t="s">
        <v>19</v>
      </c>
      <c r="D28">
        <v>2</v>
      </c>
      <c r="E28" t="s">
        <v>17</v>
      </c>
      <c r="F28" t="s">
        <v>395</v>
      </c>
      <c r="G28" t="s">
        <v>61</v>
      </c>
      <c r="H28" s="17">
        <v>45498</v>
      </c>
      <c r="I28" t="s">
        <v>106</v>
      </c>
      <c r="J28" s="17">
        <v>45498</v>
      </c>
      <c r="K28" t="s">
        <v>85</v>
      </c>
      <c r="L28" s="17">
        <v>45511</v>
      </c>
      <c r="M28" t="s">
        <v>63</v>
      </c>
      <c r="N28" t="s">
        <v>60</v>
      </c>
      <c r="O28" t="s">
        <v>60</v>
      </c>
      <c r="P28" t="s">
        <v>60</v>
      </c>
    </row>
    <row r="29" spans="1:16" x14ac:dyDescent="0.25">
      <c r="A29" t="s">
        <v>101</v>
      </c>
      <c r="B29" t="s">
        <v>99</v>
      </c>
      <c r="C29" t="s">
        <v>18</v>
      </c>
      <c r="D29">
        <v>2</v>
      </c>
      <c r="E29" t="s">
        <v>21</v>
      </c>
      <c r="F29" t="s">
        <v>395</v>
      </c>
      <c r="G29" t="s">
        <v>61</v>
      </c>
      <c r="H29" s="17">
        <v>45498</v>
      </c>
      <c r="I29" t="s">
        <v>106</v>
      </c>
      <c r="J29" s="17">
        <v>45498</v>
      </c>
      <c r="K29" t="s">
        <v>85</v>
      </c>
      <c r="L29" s="17">
        <v>45511</v>
      </c>
      <c r="M29" t="s">
        <v>63</v>
      </c>
      <c r="N29" t="s">
        <v>60</v>
      </c>
      <c r="O29" t="s">
        <v>60</v>
      </c>
      <c r="P29" t="s">
        <v>60</v>
      </c>
    </row>
    <row r="30" spans="1:16" x14ac:dyDescent="0.25">
      <c r="A30" t="s">
        <v>102</v>
      </c>
      <c r="B30" t="s">
        <v>99</v>
      </c>
      <c r="C30" t="s">
        <v>18</v>
      </c>
      <c r="D30">
        <v>2</v>
      </c>
      <c r="E30" t="s">
        <v>17</v>
      </c>
      <c r="F30" t="s">
        <v>395</v>
      </c>
      <c r="G30" t="s">
        <v>61</v>
      </c>
      <c r="H30" s="17">
        <v>45498</v>
      </c>
      <c r="I30" t="s">
        <v>106</v>
      </c>
      <c r="J30" s="17">
        <v>45498</v>
      </c>
      <c r="K30" t="s">
        <v>85</v>
      </c>
      <c r="L30" s="17">
        <v>45511</v>
      </c>
      <c r="M30" t="s">
        <v>63</v>
      </c>
      <c r="N30" t="s">
        <v>60</v>
      </c>
      <c r="O30" t="s">
        <v>60</v>
      </c>
      <c r="P30" t="s">
        <v>60</v>
      </c>
    </row>
    <row r="31" spans="1:16" x14ac:dyDescent="0.25">
      <c r="A31" t="s">
        <v>103</v>
      </c>
      <c r="B31" t="s">
        <v>99</v>
      </c>
      <c r="C31" t="s">
        <v>18</v>
      </c>
      <c r="D31">
        <v>2</v>
      </c>
      <c r="E31" t="s">
        <v>17</v>
      </c>
      <c r="F31" t="s">
        <v>395</v>
      </c>
      <c r="G31" t="s">
        <v>61</v>
      </c>
      <c r="H31" s="17">
        <v>45498</v>
      </c>
      <c r="I31" t="s">
        <v>106</v>
      </c>
      <c r="J31" s="17">
        <v>45498</v>
      </c>
      <c r="K31" t="s">
        <v>85</v>
      </c>
      <c r="L31" s="17">
        <v>45511</v>
      </c>
      <c r="M31" t="s">
        <v>63</v>
      </c>
      <c r="N31" t="s">
        <v>60</v>
      </c>
      <c r="O31" t="s">
        <v>60</v>
      </c>
      <c r="P31" t="s">
        <v>60</v>
      </c>
    </row>
    <row r="32" spans="1:16" x14ac:dyDescent="0.25">
      <c r="A32" t="s">
        <v>104</v>
      </c>
      <c r="B32" t="s">
        <v>105</v>
      </c>
      <c r="C32" t="s">
        <v>19</v>
      </c>
      <c r="D32">
        <v>2</v>
      </c>
      <c r="E32" t="s">
        <v>17</v>
      </c>
      <c r="F32" t="s">
        <v>395</v>
      </c>
      <c r="G32" t="s">
        <v>61</v>
      </c>
      <c r="H32" s="17">
        <v>45545</v>
      </c>
      <c r="I32" t="s">
        <v>85</v>
      </c>
      <c r="J32" s="17">
        <v>45545</v>
      </c>
      <c r="K32" t="s">
        <v>149</v>
      </c>
      <c r="L32" s="17">
        <v>45601</v>
      </c>
      <c r="M32" t="s">
        <v>63</v>
      </c>
      <c r="N32" t="s">
        <v>60</v>
      </c>
      <c r="O32" t="s">
        <v>60</v>
      </c>
      <c r="P32" t="s">
        <v>60</v>
      </c>
    </row>
    <row r="33" spans="1:16" x14ac:dyDescent="0.25">
      <c r="A33" t="s">
        <v>107</v>
      </c>
      <c r="B33" t="s">
        <v>105</v>
      </c>
      <c r="C33" t="s">
        <v>18</v>
      </c>
      <c r="D33">
        <v>2</v>
      </c>
      <c r="E33" t="s">
        <v>17</v>
      </c>
      <c r="F33" t="s">
        <v>395</v>
      </c>
      <c r="G33" t="s">
        <v>61</v>
      </c>
      <c r="H33" s="17">
        <v>45545</v>
      </c>
      <c r="I33" t="s">
        <v>85</v>
      </c>
      <c r="J33" s="17">
        <v>45545</v>
      </c>
      <c r="K33" t="s">
        <v>149</v>
      </c>
      <c r="L33" s="17">
        <v>45601</v>
      </c>
      <c r="M33" t="s">
        <v>63</v>
      </c>
      <c r="N33" t="s">
        <v>60</v>
      </c>
      <c r="O33" t="s">
        <v>60</v>
      </c>
      <c r="P33" t="s">
        <v>60</v>
      </c>
    </row>
    <row r="34" spans="1:16" x14ac:dyDescent="0.25">
      <c r="A34" t="s">
        <v>108</v>
      </c>
      <c r="B34" t="s">
        <v>105</v>
      </c>
      <c r="C34" t="s">
        <v>18</v>
      </c>
      <c r="D34">
        <v>2</v>
      </c>
      <c r="E34" t="s">
        <v>17</v>
      </c>
      <c r="F34" t="s">
        <v>395</v>
      </c>
      <c r="G34" t="s">
        <v>61</v>
      </c>
      <c r="H34" s="17">
        <v>45545</v>
      </c>
      <c r="I34" t="s">
        <v>85</v>
      </c>
      <c r="J34" s="17">
        <v>45545</v>
      </c>
      <c r="K34" t="s">
        <v>149</v>
      </c>
      <c r="L34" s="17">
        <v>45601</v>
      </c>
      <c r="M34" t="s">
        <v>63</v>
      </c>
      <c r="N34" t="s">
        <v>60</v>
      </c>
      <c r="O34" t="s">
        <v>60</v>
      </c>
      <c r="P34" t="s">
        <v>60</v>
      </c>
    </row>
    <row r="35" spans="1:16" x14ac:dyDescent="0.25">
      <c r="A35" t="s">
        <v>109</v>
      </c>
      <c r="B35" t="s">
        <v>105</v>
      </c>
      <c r="C35" t="s">
        <v>18</v>
      </c>
      <c r="D35">
        <v>2</v>
      </c>
      <c r="E35" t="s">
        <v>17</v>
      </c>
      <c r="F35" t="s">
        <v>395</v>
      </c>
      <c r="G35" t="s">
        <v>61</v>
      </c>
      <c r="H35" s="17">
        <v>45545</v>
      </c>
      <c r="I35" t="s">
        <v>85</v>
      </c>
      <c r="J35" s="17">
        <v>45545</v>
      </c>
      <c r="K35" t="s">
        <v>149</v>
      </c>
      <c r="L35" s="17">
        <v>45601</v>
      </c>
      <c r="M35" t="s">
        <v>63</v>
      </c>
      <c r="N35" t="s">
        <v>60</v>
      </c>
      <c r="O35" t="s">
        <v>60</v>
      </c>
      <c r="P35" t="s">
        <v>60</v>
      </c>
    </row>
    <row r="36" spans="1:16" x14ac:dyDescent="0.25">
      <c r="A36" t="s">
        <v>111</v>
      </c>
      <c r="B36" t="s">
        <v>105</v>
      </c>
      <c r="C36" t="s">
        <v>18</v>
      </c>
      <c r="D36">
        <v>2</v>
      </c>
      <c r="E36" t="s">
        <v>17</v>
      </c>
      <c r="F36" t="s">
        <v>395</v>
      </c>
      <c r="G36" t="s">
        <v>61</v>
      </c>
      <c r="H36" s="17">
        <v>45545</v>
      </c>
      <c r="I36" t="s">
        <v>85</v>
      </c>
      <c r="J36" s="17">
        <v>45545</v>
      </c>
      <c r="K36" t="s">
        <v>149</v>
      </c>
      <c r="L36" s="17">
        <v>45601</v>
      </c>
      <c r="M36" t="s">
        <v>63</v>
      </c>
      <c r="N36" t="s">
        <v>60</v>
      </c>
      <c r="O36" t="s">
        <v>60</v>
      </c>
      <c r="P36" t="s">
        <v>60</v>
      </c>
    </row>
    <row r="37" spans="1:16" x14ac:dyDescent="0.25">
      <c r="A37" t="s">
        <v>112</v>
      </c>
      <c r="B37" t="s">
        <v>113</v>
      </c>
      <c r="C37" t="s">
        <v>19</v>
      </c>
      <c r="D37">
        <v>2</v>
      </c>
      <c r="E37" t="s">
        <v>17</v>
      </c>
      <c r="F37" t="s">
        <v>395</v>
      </c>
      <c r="G37" t="s">
        <v>61</v>
      </c>
      <c r="H37" s="17">
        <v>45545</v>
      </c>
      <c r="I37" t="s">
        <v>85</v>
      </c>
      <c r="J37" s="17">
        <v>45545</v>
      </c>
      <c r="K37" t="s">
        <v>149</v>
      </c>
      <c r="L37" s="17">
        <v>45601</v>
      </c>
      <c r="M37" t="s">
        <v>63</v>
      </c>
      <c r="N37" t="s">
        <v>60</v>
      </c>
      <c r="O37" t="s">
        <v>60</v>
      </c>
      <c r="P37" t="s">
        <v>60</v>
      </c>
    </row>
    <row r="38" spans="1:16" x14ac:dyDescent="0.25">
      <c r="A38" t="s">
        <v>114</v>
      </c>
      <c r="B38" t="s">
        <v>113</v>
      </c>
      <c r="C38" t="s">
        <v>18</v>
      </c>
      <c r="D38">
        <v>2</v>
      </c>
      <c r="E38" t="s">
        <v>21</v>
      </c>
      <c r="F38" t="s">
        <v>395</v>
      </c>
      <c r="G38" t="s">
        <v>61</v>
      </c>
      <c r="H38" s="17">
        <v>45545</v>
      </c>
      <c r="I38" t="s">
        <v>85</v>
      </c>
      <c r="J38" s="17">
        <v>45545</v>
      </c>
      <c r="K38" t="s">
        <v>149</v>
      </c>
      <c r="L38" s="17">
        <v>45601</v>
      </c>
      <c r="M38" t="s">
        <v>63</v>
      </c>
      <c r="N38" t="s">
        <v>60</v>
      </c>
      <c r="O38" t="s">
        <v>60</v>
      </c>
      <c r="P38" t="s">
        <v>60</v>
      </c>
    </row>
    <row r="39" spans="1:16" x14ac:dyDescent="0.25">
      <c r="A39" t="s">
        <v>116</v>
      </c>
      <c r="B39" t="s">
        <v>113</v>
      </c>
      <c r="C39" t="s">
        <v>19</v>
      </c>
      <c r="D39">
        <v>2</v>
      </c>
      <c r="E39" t="s">
        <v>17</v>
      </c>
      <c r="F39" t="s">
        <v>395</v>
      </c>
      <c r="G39" t="s">
        <v>61</v>
      </c>
      <c r="H39" s="17">
        <v>45545</v>
      </c>
      <c r="I39" t="s">
        <v>85</v>
      </c>
      <c r="J39" s="17">
        <v>45545</v>
      </c>
      <c r="K39" t="s">
        <v>149</v>
      </c>
      <c r="L39" s="17">
        <v>45601</v>
      </c>
      <c r="M39" t="s">
        <v>63</v>
      </c>
      <c r="N39" t="s">
        <v>60</v>
      </c>
      <c r="O39" t="s">
        <v>60</v>
      </c>
      <c r="P39" t="s">
        <v>60</v>
      </c>
    </row>
    <row r="40" spans="1:16" x14ac:dyDescent="0.25">
      <c r="A40" t="s">
        <v>117</v>
      </c>
      <c r="B40" t="s">
        <v>113</v>
      </c>
      <c r="C40" t="s">
        <v>18</v>
      </c>
      <c r="D40">
        <v>2</v>
      </c>
      <c r="E40" t="s">
        <v>21</v>
      </c>
      <c r="F40" t="s">
        <v>395</v>
      </c>
      <c r="G40" t="s">
        <v>61</v>
      </c>
      <c r="H40" s="17">
        <v>45545</v>
      </c>
      <c r="I40" t="s">
        <v>85</v>
      </c>
      <c r="J40" s="17">
        <v>45545</v>
      </c>
      <c r="K40" t="s">
        <v>149</v>
      </c>
      <c r="L40" s="17">
        <v>45601</v>
      </c>
      <c r="M40" t="s">
        <v>63</v>
      </c>
      <c r="N40" t="s">
        <v>60</v>
      </c>
      <c r="O40" t="s">
        <v>60</v>
      </c>
      <c r="P40" t="s">
        <v>60</v>
      </c>
    </row>
    <row r="41" spans="1:16" x14ac:dyDescent="0.25">
      <c r="A41" t="s">
        <v>118</v>
      </c>
      <c r="B41" t="s">
        <v>113</v>
      </c>
      <c r="C41" t="s">
        <v>18</v>
      </c>
      <c r="D41">
        <v>2</v>
      </c>
      <c r="E41" t="s">
        <v>21</v>
      </c>
      <c r="F41" t="s">
        <v>395</v>
      </c>
      <c r="G41" t="s">
        <v>61</v>
      </c>
      <c r="H41" s="17">
        <v>45545</v>
      </c>
      <c r="I41" t="s">
        <v>85</v>
      </c>
      <c r="J41" s="17">
        <v>45545</v>
      </c>
      <c r="K41" t="s">
        <v>149</v>
      </c>
      <c r="L41" s="17">
        <v>45601</v>
      </c>
      <c r="M41" t="s">
        <v>63</v>
      </c>
      <c r="N41" t="s">
        <v>60</v>
      </c>
      <c r="O41" t="s">
        <v>60</v>
      </c>
      <c r="P41" t="s">
        <v>60</v>
      </c>
    </row>
    <row r="42" spans="1:16" x14ac:dyDescent="0.25">
      <c r="A42" t="s">
        <v>119</v>
      </c>
      <c r="B42" t="s">
        <v>120</v>
      </c>
      <c r="C42" t="s">
        <v>19</v>
      </c>
      <c r="D42">
        <v>2</v>
      </c>
      <c r="E42" t="s">
        <v>17</v>
      </c>
      <c r="F42" t="s">
        <v>395</v>
      </c>
      <c r="G42" t="s">
        <v>61</v>
      </c>
      <c r="H42" s="17">
        <v>45545</v>
      </c>
      <c r="I42" t="s">
        <v>85</v>
      </c>
      <c r="J42" s="17">
        <v>45545</v>
      </c>
      <c r="K42" t="s">
        <v>149</v>
      </c>
      <c r="L42" s="17">
        <v>45601</v>
      </c>
      <c r="M42" t="s">
        <v>63</v>
      </c>
      <c r="N42" t="s">
        <v>60</v>
      </c>
      <c r="O42" t="s">
        <v>60</v>
      </c>
      <c r="P42" t="s">
        <v>60</v>
      </c>
    </row>
    <row r="43" spans="1:16" x14ac:dyDescent="0.25">
      <c r="A43" t="s">
        <v>121</v>
      </c>
      <c r="B43" t="s">
        <v>120</v>
      </c>
      <c r="C43" t="s">
        <v>18</v>
      </c>
      <c r="D43">
        <v>2</v>
      </c>
      <c r="E43" t="s">
        <v>17</v>
      </c>
      <c r="F43" t="s">
        <v>395</v>
      </c>
      <c r="G43" t="s">
        <v>61</v>
      </c>
      <c r="H43" s="17">
        <v>45545</v>
      </c>
      <c r="I43" t="s">
        <v>85</v>
      </c>
      <c r="J43" s="17">
        <v>45545</v>
      </c>
      <c r="K43" t="s">
        <v>149</v>
      </c>
      <c r="L43" s="17">
        <v>45601</v>
      </c>
      <c r="M43" t="s">
        <v>63</v>
      </c>
      <c r="N43" t="s">
        <v>60</v>
      </c>
      <c r="O43" t="s">
        <v>60</v>
      </c>
      <c r="P43" t="s">
        <v>60</v>
      </c>
    </row>
    <row r="44" spans="1:16" x14ac:dyDescent="0.25">
      <c r="A44" t="s">
        <v>122</v>
      </c>
      <c r="B44" t="s">
        <v>120</v>
      </c>
      <c r="C44" t="s">
        <v>18</v>
      </c>
      <c r="D44">
        <v>2</v>
      </c>
      <c r="E44" t="s">
        <v>17</v>
      </c>
      <c r="F44" t="s">
        <v>395</v>
      </c>
      <c r="G44" t="s">
        <v>61</v>
      </c>
      <c r="H44" s="17">
        <v>45545</v>
      </c>
      <c r="I44" t="s">
        <v>85</v>
      </c>
      <c r="J44" s="17">
        <v>45545</v>
      </c>
      <c r="K44" t="s">
        <v>149</v>
      </c>
      <c r="L44" s="17">
        <v>45601</v>
      </c>
      <c r="M44" t="s">
        <v>63</v>
      </c>
      <c r="N44" t="s">
        <v>60</v>
      </c>
      <c r="O44" t="s">
        <v>60</v>
      </c>
      <c r="P44" t="s">
        <v>60</v>
      </c>
    </row>
    <row r="45" spans="1:16" x14ac:dyDescent="0.25">
      <c r="A45" t="s">
        <v>123</v>
      </c>
      <c r="B45" t="s">
        <v>120</v>
      </c>
      <c r="C45" t="s">
        <v>19</v>
      </c>
      <c r="D45">
        <v>2</v>
      </c>
      <c r="E45" t="s">
        <v>17</v>
      </c>
      <c r="F45" t="s">
        <v>395</v>
      </c>
      <c r="G45" t="s">
        <v>61</v>
      </c>
      <c r="H45" s="17">
        <v>45545</v>
      </c>
      <c r="I45" t="s">
        <v>85</v>
      </c>
      <c r="J45" s="17">
        <v>45545</v>
      </c>
      <c r="K45" t="s">
        <v>149</v>
      </c>
      <c r="L45" s="17">
        <v>45601</v>
      </c>
      <c r="M45" t="s">
        <v>63</v>
      </c>
      <c r="N45" t="s">
        <v>60</v>
      </c>
      <c r="O45" t="s">
        <v>60</v>
      </c>
      <c r="P45" t="s">
        <v>60</v>
      </c>
    </row>
    <row r="46" spans="1:16" x14ac:dyDescent="0.25">
      <c r="A46" t="s">
        <v>124</v>
      </c>
      <c r="B46" t="s">
        <v>120</v>
      </c>
      <c r="C46" t="s">
        <v>18</v>
      </c>
      <c r="D46">
        <v>2</v>
      </c>
      <c r="E46" t="s">
        <v>21</v>
      </c>
      <c r="F46" t="s">
        <v>395</v>
      </c>
      <c r="G46" t="s">
        <v>61</v>
      </c>
      <c r="H46" s="17">
        <v>45545</v>
      </c>
      <c r="I46" t="s">
        <v>85</v>
      </c>
      <c r="J46" s="17">
        <v>45545</v>
      </c>
      <c r="K46" t="s">
        <v>149</v>
      </c>
      <c r="L46" s="17">
        <v>45601</v>
      </c>
      <c r="M46" t="s">
        <v>63</v>
      </c>
      <c r="N46" t="s">
        <v>60</v>
      </c>
      <c r="O46" t="s">
        <v>60</v>
      </c>
      <c r="P46" t="s">
        <v>60</v>
      </c>
    </row>
    <row r="47" spans="1:16" x14ac:dyDescent="0.25">
      <c r="A47" t="s">
        <v>125</v>
      </c>
      <c r="B47" t="s">
        <v>126</v>
      </c>
      <c r="C47" t="s">
        <v>18</v>
      </c>
      <c r="D47">
        <v>2</v>
      </c>
      <c r="E47" t="s">
        <v>17</v>
      </c>
      <c r="F47" t="s">
        <v>395</v>
      </c>
      <c r="G47" t="s">
        <v>61</v>
      </c>
      <c r="H47" s="17">
        <v>45560</v>
      </c>
      <c r="I47" t="s">
        <v>149</v>
      </c>
      <c r="J47" s="17">
        <v>45561</v>
      </c>
      <c r="K47" t="s">
        <v>85</v>
      </c>
      <c r="L47" s="17">
        <v>45601</v>
      </c>
      <c r="M47" t="s">
        <v>63</v>
      </c>
      <c r="N47" t="s">
        <v>60</v>
      </c>
      <c r="O47" t="s">
        <v>60</v>
      </c>
      <c r="P47" t="s">
        <v>60</v>
      </c>
    </row>
    <row r="48" spans="1:16" x14ac:dyDescent="0.25">
      <c r="A48" t="s">
        <v>127</v>
      </c>
      <c r="B48" t="s">
        <v>126</v>
      </c>
      <c r="C48" t="s">
        <v>18</v>
      </c>
      <c r="D48">
        <v>2</v>
      </c>
      <c r="E48" t="s">
        <v>21</v>
      </c>
      <c r="F48" t="s">
        <v>395</v>
      </c>
      <c r="G48" t="s">
        <v>61</v>
      </c>
      <c r="H48" s="17">
        <v>45560</v>
      </c>
      <c r="I48" t="s">
        <v>149</v>
      </c>
      <c r="J48" s="17">
        <v>45561</v>
      </c>
      <c r="K48" t="s">
        <v>85</v>
      </c>
      <c r="L48" s="17">
        <v>45601</v>
      </c>
      <c r="M48" t="s">
        <v>63</v>
      </c>
      <c r="N48" t="s">
        <v>60</v>
      </c>
      <c r="O48" t="s">
        <v>60</v>
      </c>
      <c r="P48" t="s">
        <v>60</v>
      </c>
    </row>
    <row r="49" spans="1:16" x14ac:dyDescent="0.25">
      <c r="A49" t="s">
        <v>128</v>
      </c>
      <c r="B49" t="s">
        <v>126</v>
      </c>
      <c r="C49" t="s">
        <v>19</v>
      </c>
      <c r="D49">
        <v>2</v>
      </c>
      <c r="E49" t="s">
        <v>17</v>
      </c>
      <c r="F49" t="s">
        <v>395</v>
      </c>
      <c r="G49" t="s">
        <v>61</v>
      </c>
      <c r="H49" s="17">
        <v>45560</v>
      </c>
      <c r="I49" t="s">
        <v>149</v>
      </c>
      <c r="J49" s="17">
        <v>45561</v>
      </c>
      <c r="K49" t="s">
        <v>85</v>
      </c>
      <c r="L49" s="17">
        <v>45601</v>
      </c>
      <c r="M49" t="s">
        <v>63</v>
      </c>
      <c r="N49" t="s">
        <v>60</v>
      </c>
      <c r="O49" t="s">
        <v>60</v>
      </c>
      <c r="P49" t="s">
        <v>60</v>
      </c>
    </row>
    <row r="50" spans="1:16" x14ac:dyDescent="0.25">
      <c r="A50" t="s">
        <v>129</v>
      </c>
      <c r="B50" t="s">
        <v>126</v>
      </c>
      <c r="C50" t="s">
        <v>18</v>
      </c>
      <c r="D50">
        <v>2</v>
      </c>
      <c r="E50" t="s">
        <v>21</v>
      </c>
      <c r="F50" t="s">
        <v>395</v>
      </c>
      <c r="G50" t="s">
        <v>61</v>
      </c>
      <c r="H50" s="17">
        <v>45560</v>
      </c>
      <c r="I50" t="s">
        <v>149</v>
      </c>
      <c r="J50" s="17">
        <v>45561</v>
      </c>
      <c r="K50" t="s">
        <v>85</v>
      </c>
      <c r="L50" s="17">
        <v>45601</v>
      </c>
      <c r="M50" t="s">
        <v>63</v>
      </c>
      <c r="N50" t="s">
        <v>60</v>
      </c>
      <c r="O50" t="s">
        <v>60</v>
      </c>
      <c r="P50" t="s">
        <v>60</v>
      </c>
    </row>
    <row r="51" spans="1:16" x14ac:dyDescent="0.25">
      <c r="A51" t="s">
        <v>130</v>
      </c>
      <c r="B51" t="s">
        <v>126</v>
      </c>
      <c r="C51" t="s">
        <v>19</v>
      </c>
      <c r="D51">
        <v>2</v>
      </c>
      <c r="E51" t="s">
        <v>17</v>
      </c>
      <c r="F51" t="s">
        <v>395</v>
      </c>
      <c r="G51" t="s">
        <v>61</v>
      </c>
      <c r="H51" s="17">
        <v>45560</v>
      </c>
      <c r="I51" t="s">
        <v>149</v>
      </c>
      <c r="J51" s="17">
        <v>45561</v>
      </c>
      <c r="K51" t="s">
        <v>85</v>
      </c>
      <c r="L51" s="17">
        <v>45601</v>
      </c>
      <c r="M51" t="s">
        <v>63</v>
      </c>
      <c r="N51" t="s">
        <v>60</v>
      </c>
      <c r="O51" t="s">
        <v>60</v>
      </c>
      <c r="P51" t="s">
        <v>60</v>
      </c>
    </row>
    <row r="52" spans="1:16" x14ac:dyDescent="0.25">
      <c r="A52" t="s">
        <v>132</v>
      </c>
      <c r="B52" t="s">
        <v>133</v>
      </c>
      <c r="C52" t="s">
        <v>19</v>
      </c>
      <c r="D52">
        <v>2</v>
      </c>
      <c r="E52" t="s">
        <v>17</v>
      </c>
      <c r="F52" t="s">
        <v>395</v>
      </c>
      <c r="G52" t="s">
        <v>61</v>
      </c>
      <c r="H52" s="17">
        <v>45560</v>
      </c>
      <c r="I52" t="s">
        <v>149</v>
      </c>
      <c r="J52" s="17">
        <v>45561</v>
      </c>
      <c r="K52" t="s">
        <v>85</v>
      </c>
      <c r="L52" s="17">
        <v>45601</v>
      </c>
      <c r="M52" t="s">
        <v>63</v>
      </c>
      <c r="N52" t="s">
        <v>60</v>
      </c>
      <c r="O52" t="s">
        <v>60</v>
      </c>
      <c r="P52" t="s">
        <v>60</v>
      </c>
    </row>
    <row r="53" spans="1:16" x14ac:dyDescent="0.25">
      <c r="A53" t="s">
        <v>134</v>
      </c>
      <c r="B53" t="s">
        <v>133</v>
      </c>
      <c r="C53" t="s">
        <v>18</v>
      </c>
      <c r="D53">
        <v>2</v>
      </c>
      <c r="E53" t="s">
        <v>17</v>
      </c>
      <c r="F53" t="s">
        <v>395</v>
      </c>
      <c r="G53" t="s">
        <v>61</v>
      </c>
      <c r="H53" s="17">
        <v>45560</v>
      </c>
      <c r="I53" t="s">
        <v>149</v>
      </c>
      <c r="J53" s="17">
        <v>45561</v>
      </c>
      <c r="K53" t="s">
        <v>85</v>
      </c>
      <c r="L53" s="17">
        <v>45601</v>
      </c>
      <c r="M53" t="s">
        <v>63</v>
      </c>
      <c r="N53" t="s">
        <v>60</v>
      </c>
      <c r="O53" t="s">
        <v>60</v>
      </c>
      <c r="P53" t="s">
        <v>60</v>
      </c>
    </row>
    <row r="54" spans="1:16" x14ac:dyDescent="0.25">
      <c r="A54" t="s">
        <v>135</v>
      </c>
      <c r="B54" t="s">
        <v>133</v>
      </c>
      <c r="C54" t="s">
        <v>19</v>
      </c>
      <c r="D54">
        <v>2</v>
      </c>
      <c r="E54" t="s">
        <v>17</v>
      </c>
      <c r="F54" t="s">
        <v>395</v>
      </c>
      <c r="G54" t="s">
        <v>61</v>
      </c>
      <c r="H54" s="17">
        <v>45560</v>
      </c>
      <c r="I54" t="s">
        <v>149</v>
      </c>
      <c r="J54" s="17">
        <v>45561</v>
      </c>
      <c r="K54" t="s">
        <v>85</v>
      </c>
      <c r="L54" s="17">
        <v>45601</v>
      </c>
      <c r="M54" t="s">
        <v>63</v>
      </c>
      <c r="N54" t="s">
        <v>60</v>
      </c>
      <c r="O54" t="s">
        <v>60</v>
      </c>
      <c r="P54" t="s">
        <v>60</v>
      </c>
    </row>
    <row r="55" spans="1:16" x14ac:dyDescent="0.25">
      <c r="A55" t="s">
        <v>136</v>
      </c>
      <c r="B55" t="s">
        <v>133</v>
      </c>
      <c r="C55" t="s">
        <v>18</v>
      </c>
      <c r="D55">
        <v>2</v>
      </c>
      <c r="E55" t="s">
        <v>21</v>
      </c>
      <c r="F55" t="s">
        <v>395</v>
      </c>
      <c r="G55" t="s">
        <v>61</v>
      </c>
      <c r="H55" s="17">
        <v>45560</v>
      </c>
      <c r="I55" t="s">
        <v>149</v>
      </c>
      <c r="J55" s="17">
        <v>45561</v>
      </c>
      <c r="K55" t="s">
        <v>85</v>
      </c>
      <c r="L55" s="17">
        <v>45601</v>
      </c>
      <c r="M55" t="s">
        <v>63</v>
      </c>
      <c r="N55" t="s">
        <v>60</v>
      </c>
      <c r="O55" t="s">
        <v>60</v>
      </c>
      <c r="P55" t="s">
        <v>60</v>
      </c>
    </row>
    <row r="56" spans="1:16" x14ac:dyDescent="0.25">
      <c r="A56" t="s">
        <v>137</v>
      </c>
      <c r="B56" t="s">
        <v>133</v>
      </c>
      <c r="C56" t="s">
        <v>19</v>
      </c>
      <c r="D56">
        <v>2</v>
      </c>
      <c r="E56" t="s">
        <v>17</v>
      </c>
      <c r="F56" t="s">
        <v>395</v>
      </c>
      <c r="G56" t="s">
        <v>61</v>
      </c>
      <c r="H56" s="17">
        <v>45560</v>
      </c>
      <c r="I56" t="s">
        <v>149</v>
      </c>
      <c r="J56" s="17">
        <v>45561</v>
      </c>
      <c r="K56" t="s">
        <v>85</v>
      </c>
      <c r="L56" s="17">
        <v>45601</v>
      </c>
      <c r="M56" t="s">
        <v>63</v>
      </c>
      <c r="N56" t="s">
        <v>60</v>
      </c>
      <c r="O56" t="s">
        <v>60</v>
      </c>
      <c r="P56" t="s">
        <v>60</v>
      </c>
    </row>
    <row r="57" spans="1:16" x14ac:dyDescent="0.25">
      <c r="A57" t="s">
        <v>139</v>
      </c>
      <c r="B57" t="s">
        <v>140</v>
      </c>
      <c r="C57" t="s">
        <v>16</v>
      </c>
      <c r="D57">
        <v>4</v>
      </c>
      <c r="E57" t="s">
        <v>21</v>
      </c>
      <c r="F57" t="s">
        <v>395</v>
      </c>
      <c r="G57" t="s">
        <v>61</v>
      </c>
      <c r="H57" s="17">
        <v>45560</v>
      </c>
      <c r="I57" t="s">
        <v>149</v>
      </c>
      <c r="J57" s="17">
        <v>45561</v>
      </c>
      <c r="K57" t="s">
        <v>85</v>
      </c>
      <c r="L57" s="17">
        <v>45601</v>
      </c>
      <c r="M57" t="s">
        <v>63</v>
      </c>
      <c r="N57" t="s">
        <v>60</v>
      </c>
      <c r="O57" t="s">
        <v>60</v>
      </c>
      <c r="P57" t="s">
        <v>60</v>
      </c>
    </row>
    <row r="58" spans="1:16" x14ac:dyDescent="0.25">
      <c r="A58" t="s">
        <v>142</v>
      </c>
      <c r="B58" t="s">
        <v>140</v>
      </c>
      <c r="C58" t="s">
        <v>16</v>
      </c>
      <c r="D58" t="s">
        <v>16</v>
      </c>
      <c r="E58" t="s">
        <v>20</v>
      </c>
      <c r="F58" t="s">
        <v>395</v>
      </c>
      <c r="G58" t="s">
        <v>61</v>
      </c>
      <c r="H58" s="17">
        <v>45560</v>
      </c>
      <c r="I58" t="s">
        <v>149</v>
      </c>
      <c r="J58" s="17">
        <v>45561</v>
      </c>
      <c r="K58" t="s">
        <v>85</v>
      </c>
      <c r="L58" s="17">
        <v>45601</v>
      </c>
      <c r="M58" t="s">
        <v>63</v>
      </c>
      <c r="N58" t="s">
        <v>60</v>
      </c>
      <c r="O58" t="s">
        <v>60</v>
      </c>
      <c r="P58" t="s">
        <v>60</v>
      </c>
    </row>
    <row r="59" spans="1:16" x14ac:dyDescent="0.25">
      <c r="A59" t="s">
        <v>143</v>
      </c>
      <c r="B59" t="s">
        <v>140</v>
      </c>
      <c r="C59" t="s">
        <v>19</v>
      </c>
      <c r="D59">
        <v>2</v>
      </c>
      <c r="E59" t="s">
        <v>17</v>
      </c>
      <c r="F59" t="s">
        <v>395</v>
      </c>
      <c r="G59" t="s">
        <v>61</v>
      </c>
      <c r="H59" s="17">
        <v>45560</v>
      </c>
      <c r="I59" t="s">
        <v>149</v>
      </c>
      <c r="J59" s="17">
        <v>45561</v>
      </c>
      <c r="K59" t="s">
        <v>85</v>
      </c>
      <c r="L59" s="17">
        <v>45601</v>
      </c>
      <c r="M59" t="s">
        <v>63</v>
      </c>
      <c r="N59" t="s">
        <v>60</v>
      </c>
      <c r="O59" t="s">
        <v>60</v>
      </c>
      <c r="P59" t="s">
        <v>60</v>
      </c>
    </row>
    <row r="60" spans="1:16" x14ac:dyDescent="0.25">
      <c r="A60" t="s">
        <v>145</v>
      </c>
      <c r="B60" t="s">
        <v>140</v>
      </c>
      <c r="C60" t="s">
        <v>18</v>
      </c>
      <c r="D60">
        <v>2</v>
      </c>
      <c r="E60" t="s">
        <v>17</v>
      </c>
      <c r="F60" t="s">
        <v>395</v>
      </c>
      <c r="G60" t="s">
        <v>61</v>
      </c>
      <c r="H60" s="17">
        <v>45560</v>
      </c>
      <c r="I60" t="s">
        <v>149</v>
      </c>
      <c r="J60" s="17">
        <v>45561</v>
      </c>
      <c r="K60" t="s">
        <v>85</v>
      </c>
      <c r="L60" s="17">
        <v>45601</v>
      </c>
      <c r="M60" t="s">
        <v>63</v>
      </c>
      <c r="N60" t="s">
        <v>60</v>
      </c>
      <c r="O60" t="s">
        <v>60</v>
      </c>
      <c r="P60" t="s">
        <v>60</v>
      </c>
    </row>
    <row r="61" spans="1:16" x14ac:dyDescent="0.25">
      <c r="A61" t="s">
        <v>146</v>
      </c>
      <c r="B61" t="s">
        <v>140</v>
      </c>
      <c r="C61" t="s">
        <v>18</v>
      </c>
      <c r="D61">
        <v>2</v>
      </c>
      <c r="E61" t="s">
        <v>21</v>
      </c>
      <c r="F61" t="s">
        <v>395</v>
      </c>
      <c r="G61" t="s">
        <v>61</v>
      </c>
      <c r="H61" s="17">
        <v>45560</v>
      </c>
      <c r="I61" t="s">
        <v>149</v>
      </c>
      <c r="J61" s="17">
        <v>45561</v>
      </c>
      <c r="K61" t="s">
        <v>85</v>
      </c>
      <c r="L61" s="17">
        <v>45601</v>
      </c>
      <c r="M61" t="s">
        <v>63</v>
      </c>
      <c r="N61" t="s">
        <v>60</v>
      </c>
      <c r="O61" t="s">
        <v>60</v>
      </c>
      <c r="P61" t="s">
        <v>60</v>
      </c>
    </row>
    <row r="62" spans="1:16" x14ac:dyDescent="0.25">
      <c r="A62" t="s">
        <v>147</v>
      </c>
      <c r="B62" t="s">
        <v>148</v>
      </c>
      <c r="C62" t="s">
        <v>19</v>
      </c>
      <c r="D62">
        <v>2</v>
      </c>
      <c r="E62" t="s">
        <v>17</v>
      </c>
      <c r="F62" t="s">
        <v>395</v>
      </c>
      <c r="G62" t="s">
        <v>61</v>
      </c>
      <c r="H62" s="17">
        <v>45594</v>
      </c>
      <c r="I62" t="s">
        <v>85</v>
      </c>
      <c r="J62" s="17">
        <v>45594</v>
      </c>
      <c r="K62" t="s">
        <v>85</v>
      </c>
      <c r="L62" s="17">
        <v>45601</v>
      </c>
      <c r="M62" t="s">
        <v>63</v>
      </c>
      <c r="N62" t="s">
        <v>60</v>
      </c>
      <c r="O62" t="s">
        <v>60</v>
      </c>
      <c r="P62" t="s">
        <v>60</v>
      </c>
    </row>
    <row r="63" spans="1:16" x14ac:dyDescent="0.25">
      <c r="A63" t="s">
        <v>151</v>
      </c>
      <c r="B63" t="s">
        <v>148</v>
      </c>
      <c r="C63" t="s">
        <v>18</v>
      </c>
      <c r="D63">
        <v>2</v>
      </c>
      <c r="E63" t="s">
        <v>17</v>
      </c>
      <c r="F63" t="s">
        <v>395</v>
      </c>
      <c r="G63" t="s">
        <v>61</v>
      </c>
      <c r="H63" s="17">
        <v>45594</v>
      </c>
      <c r="I63" t="s">
        <v>85</v>
      </c>
      <c r="J63" s="17">
        <v>45594</v>
      </c>
      <c r="K63" t="s">
        <v>85</v>
      </c>
      <c r="L63" s="17">
        <v>45601</v>
      </c>
      <c r="M63" t="s">
        <v>63</v>
      </c>
      <c r="N63" t="s">
        <v>60</v>
      </c>
      <c r="O63" t="s">
        <v>60</v>
      </c>
      <c r="P63" t="s">
        <v>60</v>
      </c>
    </row>
    <row r="64" spans="1:16" x14ac:dyDescent="0.25">
      <c r="A64" t="s">
        <v>153</v>
      </c>
      <c r="B64" t="s">
        <v>148</v>
      </c>
      <c r="C64" t="s">
        <v>19</v>
      </c>
      <c r="D64">
        <v>2</v>
      </c>
      <c r="E64" t="s">
        <v>17</v>
      </c>
      <c r="F64" t="s">
        <v>395</v>
      </c>
      <c r="G64" t="s">
        <v>61</v>
      </c>
      <c r="H64" s="17">
        <v>45594</v>
      </c>
      <c r="I64" t="s">
        <v>85</v>
      </c>
      <c r="J64" s="17">
        <v>45594</v>
      </c>
      <c r="K64" t="s">
        <v>85</v>
      </c>
      <c r="L64" s="17">
        <v>45601</v>
      </c>
      <c r="M64" t="s">
        <v>63</v>
      </c>
      <c r="N64" t="s">
        <v>60</v>
      </c>
      <c r="O64" t="s">
        <v>60</v>
      </c>
      <c r="P64" t="s">
        <v>60</v>
      </c>
    </row>
    <row r="65" spans="1:16" x14ac:dyDescent="0.25">
      <c r="A65" t="s">
        <v>154</v>
      </c>
      <c r="B65" t="s">
        <v>148</v>
      </c>
      <c r="C65" t="s">
        <v>19</v>
      </c>
      <c r="D65">
        <v>2</v>
      </c>
      <c r="E65" t="s">
        <v>17</v>
      </c>
      <c r="F65" t="s">
        <v>395</v>
      </c>
      <c r="G65" t="s">
        <v>61</v>
      </c>
      <c r="H65" s="17">
        <v>45594</v>
      </c>
      <c r="I65" t="s">
        <v>85</v>
      </c>
      <c r="J65" s="17">
        <v>45594</v>
      </c>
      <c r="K65" t="s">
        <v>85</v>
      </c>
      <c r="L65" s="17">
        <v>45601</v>
      </c>
      <c r="M65" t="s">
        <v>63</v>
      </c>
      <c r="N65" t="s">
        <v>60</v>
      </c>
      <c r="O65" t="s">
        <v>60</v>
      </c>
      <c r="P65" t="s">
        <v>60</v>
      </c>
    </row>
    <row r="66" spans="1:16" x14ac:dyDescent="0.25">
      <c r="A66" t="s">
        <v>155</v>
      </c>
      <c r="B66" t="s">
        <v>148</v>
      </c>
      <c r="C66" t="s">
        <v>18</v>
      </c>
      <c r="D66">
        <v>2</v>
      </c>
      <c r="E66" t="s">
        <v>17</v>
      </c>
      <c r="F66" t="s">
        <v>395</v>
      </c>
      <c r="G66" t="s">
        <v>61</v>
      </c>
      <c r="H66" s="17">
        <v>45594</v>
      </c>
      <c r="I66" t="s">
        <v>85</v>
      </c>
      <c r="J66" s="17">
        <v>45594</v>
      </c>
      <c r="K66" t="s">
        <v>85</v>
      </c>
      <c r="L66" s="17">
        <v>45601</v>
      </c>
      <c r="M66" t="s">
        <v>63</v>
      </c>
      <c r="N66" t="s">
        <v>60</v>
      </c>
      <c r="O66" t="s">
        <v>60</v>
      </c>
      <c r="P66" t="s">
        <v>60</v>
      </c>
    </row>
    <row r="67" spans="1:16" x14ac:dyDescent="0.25">
      <c r="A67" t="s">
        <v>156</v>
      </c>
      <c r="B67" t="s">
        <v>157</v>
      </c>
      <c r="C67" t="s">
        <v>18</v>
      </c>
      <c r="D67">
        <v>2</v>
      </c>
      <c r="E67" t="s">
        <v>17</v>
      </c>
      <c r="F67" t="s">
        <v>395</v>
      </c>
      <c r="G67" t="s">
        <v>61</v>
      </c>
      <c r="H67" s="17">
        <v>45594</v>
      </c>
      <c r="I67" t="s">
        <v>85</v>
      </c>
      <c r="J67" s="17">
        <v>45594</v>
      </c>
      <c r="K67" t="s">
        <v>85</v>
      </c>
      <c r="L67" s="17">
        <v>45601</v>
      </c>
      <c r="M67" t="s">
        <v>63</v>
      </c>
      <c r="N67" t="s">
        <v>60</v>
      </c>
      <c r="O67" t="s">
        <v>60</v>
      </c>
      <c r="P67" t="s">
        <v>60</v>
      </c>
    </row>
    <row r="68" spans="1:16" x14ac:dyDescent="0.25">
      <c r="A68" t="s">
        <v>159</v>
      </c>
      <c r="B68" t="s">
        <v>157</v>
      </c>
      <c r="C68" t="s">
        <v>18</v>
      </c>
      <c r="D68">
        <v>2</v>
      </c>
      <c r="E68" t="s">
        <v>21</v>
      </c>
      <c r="F68" t="s">
        <v>395</v>
      </c>
      <c r="G68" t="s">
        <v>61</v>
      </c>
      <c r="H68" s="17">
        <v>45594</v>
      </c>
      <c r="I68" t="s">
        <v>85</v>
      </c>
      <c r="J68" s="17">
        <v>45594</v>
      </c>
      <c r="K68" t="s">
        <v>85</v>
      </c>
      <c r="L68" s="17">
        <v>45601</v>
      </c>
      <c r="M68" t="s">
        <v>63</v>
      </c>
      <c r="N68" t="s">
        <v>60</v>
      </c>
      <c r="O68" t="s">
        <v>60</v>
      </c>
      <c r="P68" t="s">
        <v>60</v>
      </c>
    </row>
    <row r="69" spans="1:16" x14ac:dyDescent="0.25">
      <c r="A69" t="s">
        <v>160</v>
      </c>
      <c r="B69" t="s">
        <v>157</v>
      </c>
      <c r="C69" t="s">
        <v>18</v>
      </c>
      <c r="D69">
        <v>2</v>
      </c>
      <c r="E69" t="s">
        <v>17</v>
      </c>
      <c r="F69" t="s">
        <v>395</v>
      </c>
      <c r="G69" t="s">
        <v>61</v>
      </c>
      <c r="H69" s="17">
        <v>45594</v>
      </c>
      <c r="I69" t="s">
        <v>85</v>
      </c>
      <c r="J69" s="17">
        <v>45594</v>
      </c>
      <c r="K69" t="s">
        <v>85</v>
      </c>
      <c r="L69" s="17">
        <v>45601</v>
      </c>
      <c r="M69" t="s">
        <v>63</v>
      </c>
      <c r="N69" t="s">
        <v>60</v>
      </c>
      <c r="O69" t="s">
        <v>60</v>
      </c>
      <c r="P69" t="s">
        <v>60</v>
      </c>
    </row>
    <row r="70" spans="1:16" x14ac:dyDescent="0.25">
      <c r="A70" t="s">
        <v>161</v>
      </c>
      <c r="B70" t="s">
        <v>157</v>
      </c>
      <c r="C70" t="s">
        <v>18</v>
      </c>
      <c r="D70">
        <v>2</v>
      </c>
      <c r="E70" t="s">
        <v>17</v>
      </c>
      <c r="F70" t="s">
        <v>395</v>
      </c>
      <c r="G70" t="s">
        <v>61</v>
      </c>
      <c r="H70" s="17">
        <v>45594</v>
      </c>
      <c r="I70" t="s">
        <v>85</v>
      </c>
      <c r="J70" s="17">
        <v>45594</v>
      </c>
      <c r="K70" t="s">
        <v>85</v>
      </c>
      <c r="L70" s="17">
        <v>45601</v>
      </c>
      <c r="M70" t="s">
        <v>63</v>
      </c>
      <c r="N70" t="s">
        <v>60</v>
      </c>
      <c r="O70" t="s">
        <v>60</v>
      </c>
      <c r="P70" t="s">
        <v>60</v>
      </c>
    </row>
    <row r="71" spans="1:16" x14ac:dyDescent="0.25">
      <c r="A71" t="s">
        <v>162</v>
      </c>
      <c r="B71" t="s">
        <v>157</v>
      </c>
      <c r="C71" t="s">
        <v>18</v>
      </c>
      <c r="D71">
        <v>2</v>
      </c>
      <c r="E71" t="s">
        <v>17</v>
      </c>
      <c r="F71" t="s">
        <v>395</v>
      </c>
      <c r="G71" t="s">
        <v>61</v>
      </c>
      <c r="H71" s="17">
        <v>45594</v>
      </c>
      <c r="I71" t="s">
        <v>85</v>
      </c>
      <c r="J71" s="17">
        <v>45594</v>
      </c>
      <c r="K71" t="s">
        <v>85</v>
      </c>
      <c r="L71" s="17">
        <v>45601</v>
      </c>
      <c r="M71" t="s">
        <v>63</v>
      </c>
      <c r="N71" t="s">
        <v>60</v>
      </c>
      <c r="O71" t="s">
        <v>60</v>
      </c>
      <c r="P71" t="s">
        <v>60</v>
      </c>
    </row>
    <row r="72" spans="1:16" x14ac:dyDescent="0.25">
      <c r="A72" t="s">
        <v>163</v>
      </c>
      <c r="B72" t="s">
        <v>164</v>
      </c>
      <c r="C72" t="s">
        <v>18</v>
      </c>
      <c r="D72">
        <v>2</v>
      </c>
      <c r="E72" t="s">
        <v>17</v>
      </c>
      <c r="F72" t="s">
        <v>395</v>
      </c>
      <c r="G72" t="s">
        <v>61</v>
      </c>
      <c r="H72" s="17">
        <v>45594</v>
      </c>
      <c r="I72" t="s">
        <v>85</v>
      </c>
      <c r="J72" s="17">
        <v>45594</v>
      </c>
      <c r="K72" t="s">
        <v>85</v>
      </c>
      <c r="L72" s="17">
        <v>45601</v>
      </c>
      <c r="M72" t="s">
        <v>63</v>
      </c>
      <c r="N72" t="s">
        <v>60</v>
      </c>
      <c r="O72" t="s">
        <v>60</v>
      </c>
      <c r="P72" t="s">
        <v>60</v>
      </c>
    </row>
    <row r="73" spans="1:16" x14ac:dyDescent="0.25">
      <c r="A73" t="s">
        <v>165</v>
      </c>
      <c r="B73" t="s">
        <v>164</v>
      </c>
      <c r="C73" t="s">
        <v>19</v>
      </c>
      <c r="D73">
        <v>2</v>
      </c>
      <c r="E73" t="s">
        <v>17</v>
      </c>
      <c r="F73" t="s">
        <v>395</v>
      </c>
      <c r="G73" t="s">
        <v>61</v>
      </c>
      <c r="H73" s="17">
        <v>45594</v>
      </c>
      <c r="I73" t="s">
        <v>85</v>
      </c>
      <c r="J73" s="17">
        <v>45594</v>
      </c>
      <c r="K73" t="s">
        <v>85</v>
      </c>
      <c r="L73" s="17">
        <v>45601</v>
      </c>
      <c r="M73" t="s">
        <v>63</v>
      </c>
      <c r="N73" t="s">
        <v>60</v>
      </c>
      <c r="O73" t="s">
        <v>60</v>
      </c>
      <c r="P73" t="s">
        <v>60</v>
      </c>
    </row>
    <row r="74" spans="1:16" x14ac:dyDescent="0.25">
      <c r="A74" t="s">
        <v>167</v>
      </c>
      <c r="B74" t="s">
        <v>164</v>
      </c>
      <c r="C74" t="s">
        <v>18</v>
      </c>
      <c r="D74">
        <v>2</v>
      </c>
      <c r="E74" t="s">
        <v>17</v>
      </c>
      <c r="F74" t="s">
        <v>395</v>
      </c>
      <c r="G74" t="s">
        <v>61</v>
      </c>
      <c r="H74" s="17">
        <v>45594</v>
      </c>
      <c r="I74" t="s">
        <v>85</v>
      </c>
      <c r="J74" s="17">
        <v>45594</v>
      </c>
      <c r="K74" t="s">
        <v>85</v>
      </c>
      <c r="L74" s="17">
        <v>45601</v>
      </c>
      <c r="M74" t="s">
        <v>63</v>
      </c>
      <c r="N74" t="s">
        <v>60</v>
      </c>
      <c r="O74" t="s">
        <v>60</v>
      </c>
      <c r="P74" t="s">
        <v>60</v>
      </c>
    </row>
    <row r="75" spans="1:16" x14ac:dyDescent="0.25">
      <c r="A75" t="s">
        <v>168</v>
      </c>
      <c r="B75" t="s">
        <v>164</v>
      </c>
      <c r="C75" t="s">
        <v>18</v>
      </c>
      <c r="D75">
        <v>2</v>
      </c>
      <c r="E75" t="s">
        <v>17</v>
      </c>
      <c r="F75" t="s">
        <v>395</v>
      </c>
      <c r="G75" t="s">
        <v>61</v>
      </c>
      <c r="H75" s="17">
        <v>45594</v>
      </c>
      <c r="I75" t="s">
        <v>85</v>
      </c>
      <c r="J75" s="17">
        <v>45594</v>
      </c>
      <c r="K75" t="s">
        <v>85</v>
      </c>
      <c r="L75" s="17">
        <v>45601</v>
      </c>
      <c r="M75" t="s">
        <v>63</v>
      </c>
      <c r="N75" t="s">
        <v>60</v>
      </c>
      <c r="O75" t="s">
        <v>60</v>
      </c>
      <c r="P75" t="s">
        <v>60</v>
      </c>
    </row>
    <row r="76" spans="1:16" x14ac:dyDescent="0.25">
      <c r="A76" t="s">
        <v>169</v>
      </c>
      <c r="B76" t="s">
        <v>164</v>
      </c>
      <c r="C76" t="s">
        <v>18</v>
      </c>
      <c r="D76">
        <v>2</v>
      </c>
      <c r="E76" t="s">
        <v>17</v>
      </c>
      <c r="F76" t="s">
        <v>395</v>
      </c>
      <c r="G76" t="s">
        <v>61</v>
      </c>
      <c r="H76" s="17">
        <v>45594</v>
      </c>
      <c r="I76" t="s">
        <v>85</v>
      </c>
      <c r="J76" s="17">
        <v>45594</v>
      </c>
      <c r="K76" t="s">
        <v>85</v>
      </c>
      <c r="L76" s="17">
        <v>45601</v>
      </c>
      <c r="M76" t="s">
        <v>63</v>
      </c>
      <c r="N76" t="s">
        <v>60</v>
      </c>
      <c r="O76" t="s">
        <v>60</v>
      </c>
      <c r="P76" t="s">
        <v>60</v>
      </c>
    </row>
    <row r="77" spans="1:16" x14ac:dyDescent="0.25">
      <c r="A77" t="s">
        <v>170</v>
      </c>
      <c r="B77" t="s">
        <v>171</v>
      </c>
      <c r="C77" t="s">
        <v>18</v>
      </c>
      <c r="D77">
        <v>3</v>
      </c>
      <c r="E77" t="s">
        <v>17</v>
      </c>
      <c r="F77" t="s">
        <v>395</v>
      </c>
      <c r="G77" t="s">
        <v>61</v>
      </c>
      <c r="H77" s="17">
        <v>45642</v>
      </c>
      <c r="I77" t="s">
        <v>149</v>
      </c>
      <c r="J77" s="17">
        <v>45646</v>
      </c>
      <c r="K77" t="s">
        <v>85</v>
      </c>
      <c r="L77" s="17">
        <v>45684</v>
      </c>
      <c r="M77" t="s">
        <v>172</v>
      </c>
      <c r="N77" t="s">
        <v>60</v>
      </c>
      <c r="O77" t="s">
        <v>60</v>
      </c>
      <c r="P77" t="s">
        <v>60</v>
      </c>
    </row>
    <row r="78" spans="1:16" x14ac:dyDescent="0.25">
      <c r="A78" t="s">
        <v>173</v>
      </c>
      <c r="B78" t="s">
        <v>171</v>
      </c>
      <c r="C78" t="s">
        <v>19</v>
      </c>
      <c r="D78">
        <v>2</v>
      </c>
      <c r="E78" t="s">
        <v>21</v>
      </c>
      <c r="F78" t="s">
        <v>395</v>
      </c>
      <c r="G78" t="s">
        <v>61</v>
      </c>
      <c r="H78" s="17">
        <v>45642</v>
      </c>
      <c r="I78" t="s">
        <v>149</v>
      </c>
      <c r="J78" s="17">
        <v>45646</v>
      </c>
      <c r="K78" t="s">
        <v>85</v>
      </c>
      <c r="L78" s="17">
        <v>45684</v>
      </c>
      <c r="M78" t="s">
        <v>172</v>
      </c>
      <c r="N78" t="s">
        <v>60</v>
      </c>
      <c r="O78" t="s">
        <v>60</v>
      </c>
      <c r="P78" t="s">
        <v>60</v>
      </c>
    </row>
    <row r="79" spans="1:16" x14ac:dyDescent="0.25">
      <c r="A79" t="s">
        <v>175</v>
      </c>
      <c r="B79" t="s">
        <v>171</v>
      </c>
      <c r="C79" t="s">
        <v>19</v>
      </c>
      <c r="D79">
        <v>2</v>
      </c>
      <c r="E79" t="s">
        <v>17</v>
      </c>
      <c r="F79" t="s">
        <v>395</v>
      </c>
      <c r="G79" t="s">
        <v>61</v>
      </c>
      <c r="H79" s="17">
        <v>45642</v>
      </c>
      <c r="I79" t="s">
        <v>149</v>
      </c>
      <c r="J79" s="17">
        <v>45646</v>
      </c>
      <c r="K79" t="s">
        <v>85</v>
      </c>
      <c r="L79" s="17">
        <v>45684</v>
      </c>
      <c r="M79" t="s">
        <v>172</v>
      </c>
      <c r="N79" t="s">
        <v>60</v>
      </c>
      <c r="O79" t="s">
        <v>60</v>
      </c>
      <c r="P79" t="s">
        <v>60</v>
      </c>
    </row>
    <row r="80" spans="1:16" x14ac:dyDescent="0.25">
      <c r="A80" t="s">
        <v>177</v>
      </c>
      <c r="B80" t="s">
        <v>171</v>
      </c>
      <c r="C80" t="s">
        <v>18</v>
      </c>
      <c r="D80">
        <v>2</v>
      </c>
      <c r="E80" t="s">
        <v>17</v>
      </c>
      <c r="F80" t="s">
        <v>395</v>
      </c>
      <c r="G80" t="s">
        <v>61</v>
      </c>
      <c r="H80" s="17">
        <v>45642</v>
      </c>
      <c r="I80" t="s">
        <v>149</v>
      </c>
      <c r="J80" s="17">
        <v>45646</v>
      </c>
      <c r="K80" t="s">
        <v>85</v>
      </c>
      <c r="L80" s="17">
        <v>45684</v>
      </c>
      <c r="M80" t="s">
        <v>172</v>
      </c>
      <c r="N80" t="s">
        <v>60</v>
      </c>
      <c r="O80" t="s">
        <v>60</v>
      </c>
      <c r="P80" t="s">
        <v>60</v>
      </c>
    </row>
    <row r="81" spans="1:16" x14ac:dyDescent="0.25">
      <c r="A81" t="s">
        <v>178</v>
      </c>
      <c r="B81" t="s">
        <v>171</v>
      </c>
      <c r="C81" t="s">
        <v>18</v>
      </c>
      <c r="D81">
        <v>2</v>
      </c>
      <c r="E81" t="s">
        <v>17</v>
      </c>
      <c r="F81" t="s">
        <v>395</v>
      </c>
      <c r="G81" t="s">
        <v>61</v>
      </c>
      <c r="H81" s="17">
        <v>45642</v>
      </c>
      <c r="I81" t="s">
        <v>149</v>
      </c>
      <c r="J81" s="17">
        <v>45646</v>
      </c>
      <c r="K81" t="s">
        <v>85</v>
      </c>
      <c r="L81" s="17">
        <v>45684</v>
      </c>
      <c r="M81" t="s">
        <v>172</v>
      </c>
      <c r="N81" t="s">
        <v>60</v>
      </c>
      <c r="O81" t="s">
        <v>60</v>
      </c>
      <c r="P81" t="s">
        <v>60</v>
      </c>
    </row>
    <row r="82" spans="1:16" x14ac:dyDescent="0.25">
      <c r="A82" t="s">
        <v>179</v>
      </c>
      <c r="B82" t="s">
        <v>180</v>
      </c>
      <c r="C82" t="s">
        <v>18</v>
      </c>
      <c r="D82">
        <v>2</v>
      </c>
      <c r="E82" t="s">
        <v>17</v>
      </c>
      <c r="F82" t="s">
        <v>395</v>
      </c>
      <c r="G82" t="s">
        <v>61</v>
      </c>
      <c r="H82" s="17">
        <v>45642</v>
      </c>
      <c r="I82" t="s">
        <v>149</v>
      </c>
      <c r="J82" s="17">
        <v>45646</v>
      </c>
      <c r="K82" t="s">
        <v>85</v>
      </c>
      <c r="L82" s="17">
        <v>45684</v>
      </c>
      <c r="M82" t="s">
        <v>172</v>
      </c>
      <c r="N82" t="s">
        <v>60</v>
      </c>
      <c r="O82" t="s">
        <v>60</v>
      </c>
      <c r="P82" t="s">
        <v>60</v>
      </c>
    </row>
    <row r="83" spans="1:16" x14ac:dyDescent="0.25">
      <c r="A83" t="s">
        <v>181</v>
      </c>
      <c r="B83" t="s">
        <v>180</v>
      </c>
      <c r="C83" t="s">
        <v>18</v>
      </c>
      <c r="D83">
        <v>2</v>
      </c>
      <c r="E83" t="s">
        <v>17</v>
      </c>
      <c r="F83" t="s">
        <v>395</v>
      </c>
      <c r="G83" t="s">
        <v>61</v>
      </c>
      <c r="H83" s="17">
        <v>45642</v>
      </c>
      <c r="I83" t="s">
        <v>149</v>
      </c>
      <c r="J83" s="17">
        <v>45646</v>
      </c>
      <c r="K83" t="s">
        <v>85</v>
      </c>
      <c r="L83" s="17">
        <v>45684</v>
      </c>
      <c r="M83" t="s">
        <v>172</v>
      </c>
      <c r="N83" t="s">
        <v>60</v>
      </c>
      <c r="O83" t="s">
        <v>60</v>
      </c>
      <c r="P83" t="s">
        <v>60</v>
      </c>
    </row>
    <row r="84" spans="1:16" x14ac:dyDescent="0.25">
      <c r="A84" t="s">
        <v>182</v>
      </c>
      <c r="B84" t="s">
        <v>180</v>
      </c>
      <c r="C84" t="s">
        <v>19</v>
      </c>
      <c r="D84">
        <v>2</v>
      </c>
      <c r="E84" t="s">
        <v>17</v>
      </c>
      <c r="F84" t="s">
        <v>395</v>
      </c>
      <c r="G84" t="s">
        <v>61</v>
      </c>
      <c r="H84" s="17">
        <v>45642</v>
      </c>
      <c r="I84" t="s">
        <v>149</v>
      </c>
      <c r="J84" s="17">
        <v>45646</v>
      </c>
      <c r="K84" t="s">
        <v>85</v>
      </c>
      <c r="L84" s="17">
        <v>45684</v>
      </c>
      <c r="M84" t="s">
        <v>172</v>
      </c>
      <c r="N84" t="s">
        <v>60</v>
      </c>
      <c r="O84" t="s">
        <v>60</v>
      </c>
      <c r="P84" t="s">
        <v>60</v>
      </c>
    </row>
    <row r="85" spans="1:16" x14ac:dyDescent="0.25">
      <c r="A85" t="s">
        <v>184</v>
      </c>
      <c r="B85" t="s">
        <v>180</v>
      </c>
      <c r="C85" t="s">
        <v>18</v>
      </c>
      <c r="D85">
        <v>2</v>
      </c>
      <c r="E85" t="s">
        <v>17</v>
      </c>
      <c r="F85" t="s">
        <v>395</v>
      </c>
      <c r="G85" t="s">
        <v>61</v>
      </c>
      <c r="H85" s="17">
        <v>45642</v>
      </c>
      <c r="I85" t="s">
        <v>149</v>
      </c>
      <c r="J85" s="17">
        <v>45646</v>
      </c>
      <c r="K85" t="s">
        <v>85</v>
      </c>
      <c r="L85" s="17">
        <v>45684</v>
      </c>
      <c r="M85" t="s">
        <v>172</v>
      </c>
      <c r="N85" t="s">
        <v>60</v>
      </c>
      <c r="O85" t="s">
        <v>60</v>
      </c>
      <c r="P85" t="s">
        <v>60</v>
      </c>
    </row>
    <row r="86" spans="1:16" x14ac:dyDescent="0.25">
      <c r="A86" t="s">
        <v>185</v>
      </c>
      <c r="B86" t="s">
        <v>180</v>
      </c>
      <c r="C86" t="s">
        <v>18</v>
      </c>
      <c r="D86">
        <v>2</v>
      </c>
      <c r="E86" t="s">
        <v>17</v>
      </c>
      <c r="F86" t="s">
        <v>395</v>
      </c>
      <c r="G86" t="s">
        <v>61</v>
      </c>
      <c r="H86" s="17">
        <v>45642</v>
      </c>
      <c r="I86" t="s">
        <v>149</v>
      </c>
      <c r="J86" s="17">
        <v>45646</v>
      </c>
      <c r="K86" t="s">
        <v>85</v>
      </c>
      <c r="L86" s="17">
        <v>45684</v>
      </c>
      <c r="M86" t="s">
        <v>172</v>
      </c>
      <c r="N86" t="s">
        <v>60</v>
      </c>
      <c r="O86" t="s">
        <v>60</v>
      </c>
      <c r="P86" t="s">
        <v>60</v>
      </c>
    </row>
    <row r="87" spans="1:16" x14ac:dyDescent="0.25">
      <c r="A87" t="s">
        <v>186</v>
      </c>
      <c r="B87" t="s">
        <v>187</v>
      </c>
      <c r="C87" t="s">
        <v>18</v>
      </c>
      <c r="D87">
        <v>2</v>
      </c>
      <c r="E87" t="s">
        <v>17</v>
      </c>
      <c r="F87" t="s">
        <v>395</v>
      </c>
      <c r="G87" t="s">
        <v>61</v>
      </c>
      <c r="H87" s="17">
        <v>45642</v>
      </c>
      <c r="I87" t="s">
        <v>149</v>
      </c>
      <c r="J87" s="17">
        <v>45646</v>
      </c>
      <c r="K87" t="s">
        <v>85</v>
      </c>
      <c r="L87" s="17">
        <v>45684</v>
      </c>
      <c r="M87" t="s">
        <v>172</v>
      </c>
      <c r="N87" t="s">
        <v>60</v>
      </c>
      <c r="O87" t="s">
        <v>60</v>
      </c>
      <c r="P87" t="s">
        <v>60</v>
      </c>
    </row>
    <row r="88" spans="1:16" x14ac:dyDescent="0.25">
      <c r="A88" t="s">
        <v>188</v>
      </c>
      <c r="B88" t="s">
        <v>187</v>
      </c>
      <c r="C88" t="s">
        <v>19</v>
      </c>
      <c r="D88">
        <v>2</v>
      </c>
      <c r="E88" t="s">
        <v>17</v>
      </c>
      <c r="F88" t="s">
        <v>395</v>
      </c>
      <c r="G88" t="s">
        <v>61</v>
      </c>
      <c r="H88" s="17">
        <v>45642</v>
      </c>
      <c r="I88" t="s">
        <v>149</v>
      </c>
      <c r="J88" s="17">
        <v>45646</v>
      </c>
      <c r="K88" t="s">
        <v>85</v>
      </c>
      <c r="L88" s="17">
        <v>45684</v>
      </c>
      <c r="M88" t="s">
        <v>172</v>
      </c>
      <c r="N88" t="s">
        <v>60</v>
      </c>
      <c r="O88" t="s">
        <v>60</v>
      </c>
      <c r="P88" t="s">
        <v>60</v>
      </c>
    </row>
    <row r="89" spans="1:16" x14ac:dyDescent="0.25">
      <c r="A89" t="s">
        <v>189</v>
      </c>
      <c r="B89" t="s">
        <v>187</v>
      </c>
      <c r="C89" t="s">
        <v>18</v>
      </c>
      <c r="D89">
        <v>3</v>
      </c>
      <c r="E89" t="s">
        <v>17</v>
      </c>
      <c r="F89" t="s">
        <v>395</v>
      </c>
      <c r="G89" t="s">
        <v>61</v>
      </c>
      <c r="H89" s="17">
        <v>45642</v>
      </c>
      <c r="I89" t="s">
        <v>149</v>
      </c>
      <c r="J89" s="17">
        <v>45646</v>
      </c>
      <c r="K89" t="s">
        <v>85</v>
      </c>
      <c r="L89" s="17">
        <v>45684</v>
      </c>
      <c r="M89" t="s">
        <v>172</v>
      </c>
      <c r="N89" t="s">
        <v>60</v>
      </c>
      <c r="O89" t="s">
        <v>60</v>
      </c>
      <c r="P89" t="s">
        <v>60</v>
      </c>
    </row>
    <row r="90" spans="1:16" x14ac:dyDescent="0.25">
      <c r="A90" t="s">
        <v>190</v>
      </c>
      <c r="B90" t="s">
        <v>187</v>
      </c>
      <c r="C90" t="s">
        <v>19</v>
      </c>
      <c r="D90">
        <v>2</v>
      </c>
      <c r="E90" t="s">
        <v>17</v>
      </c>
      <c r="F90" t="s">
        <v>395</v>
      </c>
      <c r="G90" t="s">
        <v>61</v>
      </c>
      <c r="H90" s="17">
        <v>45642</v>
      </c>
      <c r="I90" t="s">
        <v>149</v>
      </c>
      <c r="J90" s="17">
        <v>45646</v>
      </c>
      <c r="K90" t="s">
        <v>85</v>
      </c>
      <c r="L90" s="17">
        <v>45684</v>
      </c>
      <c r="M90" t="s">
        <v>172</v>
      </c>
      <c r="N90" t="s">
        <v>60</v>
      </c>
      <c r="O90" t="s">
        <v>60</v>
      </c>
      <c r="P90" t="s">
        <v>60</v>
      </c>
    </row>
    <row r="91" spans="1:16" x14ac:dyDescent="0.25">
      <c r="A91" t="s">
        <v>191</v>
      </c>
      <c r="B91" t="s">
        <v>187</v>
      </c>
      <c r="C91" t="s">
        <v>18</v>
      </c>
      <c r="D91">
        <v>2</v>
      </c>
      <c r="E91" t="s">
        <v>17</v>
      </c>
      <c r="F91" t="s">
        <v>395</v>
      </c>
      <c r="G91" t="s">
        <v>61</v>
      </c>
      <c r="H91" s="17">
        <v>45642</v>
      </c>
      <c r="I91" t="s">
        <v>149</v>
      </c>
      <c r="J91" s="17">
        <v>45646</v>
      </c>
      <c r="K91" t="s">
        <v>85</v>
      </c>
      <c r="L91" s="17">
        <v>45684</v>
      </c>
      <c r="M91" t="s">
        <v>172</v>
      </c>
      <c r="N91" t="s">
        <v>60</v>
      </c>
      <c r="O91" t="s">
        <v>60</v>
      </c>
      <c r="P91" t="s">
        <v>60</v>
      </c>
    </row>
    <row r="92" spans="1:16" x14ac:dyDescent="0.25">
      <c r="A92" t="s">
        <v>192</v>
      </c>
      <c r="B92" t="s">
        <v>193</v>
      </c>
      <c r="C92" t="s">
        <v>18</v>
      </c>
      <c r="D92">
        <v>1</v>
      </c>
      <c r="E92" t="s">
        <v>17</v>
      </c>
      <c r="F92" t="s">
        <v>395</v>
      </c>
      <c r="G92" t="s">
        <v>61</v>
      </c>
      <c r="H92" s="17">
        <v>45642</v>
      </c>
      <c r="I92" t="s">
        <v>149</v>
      </c>
      <c r="J92" s="17">
        <v>45646</v>
      </c>
      <c r="K92" t="s">
        <v>85</v>
      </c>
      <c r="L92" s="17">
        <v>45684</v>
      </c>
      <c r="M92" t="s">
        <v>172</v>
      </c>
      <c r="N92" t="s">
        <v>60</v>
      </c>
      <c r="O92" t="s">
        <v>60</v>
      </c>
      <c r="P92" t="s">
        <v>60</v>
      </c>
    </row>
    <row r="93" spans="1:16" x14ac:dyDescent="0.25">
      <c r="A93" t="s">
        <v>194</v>
      </c>
      <c r="B93" t="s">
        <v>193</v>
      </c>
      <c r="C93" t="s">
        <v>18</v>
      </c>
      <c r="D93">
        <v>3</v>
      </c>
      <c r="E93" t="s">
        <v>17</v>
      </c>
      <c r="F93" t="s">
        <v>395</v>
      </c>
      <c r="G93" t="s">
        <v>61</v>
      </c>
      <c r="H93" s="17">
        <v>45642</v>
      </c>
      <c r="I93" t="s">
        <v>149</v>
      </c>
      <c r="J93" s="17">
        <v>45646</v>
      </c>
      <c r="K93" t="s">
        <v>85</v>
      </c>
      <c r="L93" s="17">
        <v>45684</v>
      </c>
      <c r="M93" t="s">
        <v>172</v>
      </c>
      <c r="N93" t="s">
        <v>60</v>
      </c>
      <c r="O93" t="s">
        <v>60</v>
      </c>
      <c r="P93" t="s">
        <v>60</v>
      </c>
    </row>
    <row r="94" spans="1:16" x14ac:dyDescent="0.25">
      <c r="A94" t="s">
        <v>195</v>
      </c>
      <c r="B94" t="s">
        <v>193</v>
      </c>
      <c r="C94" t="s">
        <v>18</v>
      </c>
      <c r="D94">
        <v>2</v>
      </c>
      <c r="E94" t="s">
        <v>17</v>
      </c>
      <c r="F94" t="s">
        <v>395</v>
      </c>
      <c r="G94" t="s">
        <v>61</v>
      </c>
      <c r="H94" s="17">
        <v>45642</v>
      </c>
      <c r="I94" t="s">
        <v>149</v>
      </c>
      <c r="J94" s="17">
        <v>45646</v>
      </c>
      <c r="K94" t="s">
        <v>85</v>
      </c>
      <c r="L94" s="17">
        <v>45684</v>
      </c>
      <c r="M94" t="s">
        <v>172</v>
      </c>
      <c r="N94" t="s">
        <v>60</v>
      </c>
      <c r="O94" t="s">
        <v>60</v>
      </c>
      <c r="P94" t="s">
        <v>60</v>
      </c>
    </row>
    <row r="95" spans="1:16" x14ac:dyDescent="0.25">
      <c r="A95" t="s">
        <v>196</v>
      </c>
      <c r="B95" t="s">
        <v>193</v>
      </c>
      <c r="C95" t="s">
        <v>18</v>
      </c>
      <c r="D95">
        <v>2</v>
      </c>
      <c r="E95" t="s">
        <v>17</v>
      </c>
      <c r="F95" t="s">
        <v>395</v>
      </c>
      <c r="G95" t="s">
        <v>61</v>
      </c>
      <c r="H95" s="17">
        <v>45642</v>
      </c>
      <c r="I95" t="s">
        <v>149</v>
      </c>
      <c r="J95" s="17">
        <v>45646</v>
      </c>
      <c r="K95" t="s">
        <v>85</v>
      </c>
      <c r="L95" s="17">
        <v>45684</v>
      </c>
      <c r="M95" t="s">
        <v>172</v>
      </c>
      <c r="N95" t="s">
        <v>60</v>
      </c>
      <c r="O95" t="s">
        <v>60</v>
      </c>
      <c r="P95" t="s">
        <v>60</v>
      </c>
    </row>
    <row r="96" spans="1:16" x14ac:dyDescent="0.25">
      <c r="A96" t="s">
        <v>197</v>
      </c>
      <c r="B96" t="s">
        <v>193</v>
      </c>
      <c r="C96" t="s">
        <v>19</v>
      </c>
      <c r="D96">
        <v>2</v>
      </c>
      <c r="E96" t="s">
        <v>17</v>
      </c>
      <c r="F96" t="s">
        <v>395</v>
      </c>
      <c r="G96" t="s">
        <v>61</v>
      </c>
      <c r="H96" s="17">
        <v>45642</v>
      </c>
      <c r="I96" t="s">
        <v>149</v>
      </c>
      <c r="J96" s="17">
        <v>45646</v>
      </c>
      <c r="K96" t="s">
        <v>85</v>
      </c>
      <c r="L96" s="17">
        <v>45684</v>
      </c>
      <c r="M96" t="s">
        <v>172</v>
      </c>
      <c r="N96" t="s">
        <v>60</v>
      </c>
      <c r="O96" t="s">
        <v>60</v>
      </c>
      <c r="P96" t="s">
        <v>60</v>
      </c>
    </row>
    <row r="97" spans="1:16" x14ac:dyDescent="0.25">
      <c r="A97" t="s">
        <v>198</v>
      </c>
      <c r="B97" t="s">
        <v>199</v>
      </c>
      <c r="C97" t="s">
        <v>18</v>
      </c>
      <c r="D97" t="s">
        <v>16</v>
      </c>
      <c r="E97" t="s">
        <v>17</v>
      </c>
      <c r="F97" t="s">
        <v>396</v>
      </c>
      <c r="G97" t="s">
        <v>61</v>
      </c>
      <c r="H97" s="17">
        <v>45642</v>
      </c>
      <c r="I97" t="s">
        <v>149</v>
      </c>
      <c r="J97" s="17">
        <v>45646</v>
      </c>
      <c r="K97" t="s">
        <v>85</v>
      </c>
      <c r="L97" s="17">
        <v>45684</v>
      </c>
      <c r="M97" t="s">
        <v>172</v>
      </c>
      <c r="N97" t="s">
        <v>60</v>
      </c>
      <c r="O97" t="s">
        <v>60</v>
      </c>
      <c r="P97" t="s">
        <v>60</v>
      </c>
    </row>
    <row r="98" spans="1:16" x14ac:dyDescent="0.25">
      <c r="A98" t="s">
        <v>200</v>
      </c>
      <c r="B98" t="s">
        <v>199</v>
      </c>
      <c r="C98" t="s">
        <v>18</v>
      </c>
      <c r="D98">
        <v>3</v>
      </c>
      <c r="E98" t="s">
        <v>17</v>
      </c>
      <c r="F98" t="s">
        <v>395</v>
      </c>
      <c r="G98" t="s">
        <v>61</v>
      </c>
      <c r="H98" s="17">
        <v>45642</v>
      </c>
      <c r="I98" t="s">
        <v>149</v>
      </c>
      <c r="J98" s="17">
        <v>45646</v>
      </c>
      <c r="K98" t="s">
        <v>85</v>
      </c>
      <c r="L98" s="17">
        <v>45684</v>
      </c>
      <c r="M98" t="s">
        <v>172</v>
      </c>
      <c r="N98" t="s">
        <v>60</v>
      </c>
      <c r="O98" t="s">
        <v>60</v>
      </c>
      <c r="P98" t="s">
        <v>60</v>
      </c>
    </row>
    <row r="99" spans="1:16" x14ac:dyDescent="0.25">
      <c r="A99" t="s">
        <v>201</v>
      </c>
      <c r="B99" t="s">
        <v>199</v>
      </c>
      <c r="C99" t="s">
        <v>18</v>
      </c>
      <c r="D99">
        <v>3</v>
      </c>
      <c r="E99" t="s">
        <v>17</v>
      </c>
      <c r="F99" t="s">
        <v>395</v>
      </c>
      <c r="G99" t="s">
        <v>61</v>
      </c>
      <c r="H99" s="17">
        <v>45642</v>
      </c>
      <c r="I99" t="s">
        <v>149</v>
      </c>
      <c r="J99" s="17">
        <v>45646</v>
      </c>
      <c r="K99" t="s">
        <v>85</v>
      </c>
      <c r="L99" s="17">
        <v>45684</v>
      </c>
      <c r="M99" t="s">
        <v>172</v>
      </c>
      <c r="N99" t="s">
        <v>60</v>
      </c>
      <c r="O99" t="s">
        <v>60</v>
      </c>
      <c r="P99" t="s">
        <v>60</v>
      </c>
    </row>
    <row r="100" spans="1:16" x14ac:dyDescent="0.25">
      <c r="A100" t="s">
        <v>202</v>
      </c>
      <c r="B100" t="s">
        <v>199</v>
      </c>
      <c r="C100" t="s">
        <v>18</v>
      </c>
      <c r="D100">
        <v>3</v>
      </c>
      <c r="E100" t="s">
        <v>17</v>
      </c>
      <c r="F100" t="s">
        <v>395</v>
      </c>
      <c r="G100" t="s">
        <v>61</v>
      </c>
      <c r="H100" s="17">
        <v>45642</v>
      </c>
      <c r="I100" t="s">
        <v>149</v>
      </c>
      <c r="J100" s="17">
        <v>45646</v>
      </c>
      <c r="K100" t="s">
        <v>85</v>
      </c>
      <c r="L100" s="17">
        <v>45684</v>
      </c>
      <c r="M100" t="s">
        <v>172</v>
      </c>
      <c r="N100" t="s">
        <v>60</v>
      </c>
      <c r="O100" t="s">
        <v>60</v>
      </c>
      <c r="P100" t="s">
        <v>60</v>
      </c>
    </row>
    <row r="101" spans="1:16" x14ac:dyDescent="0.25">
      <c r="A101" t="s">
        <v>203</v>
      </c>
      <c r="B101" t="s">
        <v>199</v>
      </c>
      <c r="C101" t="s">
        <v>18</v>
      </c>
      <c r="D101">
        <v>3</v>
      </c>
      <c r="E101" t="s">
        <v>17</v>
      </c>
      <c r="F101" t="s">
        <v>395</v>
      </c>
      <c r="G101" t="s">
        <v>61</v>
      </c>
      <c r="H101" s="17">
        <v>45642</v>
      </c>
      <c r="I101" t="s">
        <v>149</v>
      </c>
      <c r="J101" s="17">
        <v>45646</v>
      </c>
      <c r="K101" t="s">
        <v>85</v>
      </c>
      <c r="L101" s="17">
        <v>45684</v>
      </c>
      <c r="M101" t="s">
        <v>172</v>
      </c>
      <c r="N101" t="s">
        <v>60</v>
      </c>
      <c r="O101" t="s">
        <v>60</v>
      </c>
      <c r="P101" t="s">
        <v>60</v>
      </c>
    </row>
    <row r="102" spans="1:16" x14ac:dyDescent="0.25">
      <c r="A102" t="s">
        <v>204</v>
      </c>
      <c r="B102" t="s">
        <v>205</v>
      </c>
      <c r="C102" t="s">
        <v>18</v>
      </c>
      <c r="D102">
        <v>2</v>
      </c>
      <c r="E102" t="s">
        <v>17</v>
      </c>
      <c r="F102" t="s">
        <v>395</v>
      </c>
      <c r="G102" t="s">
        <v>61</v>
      </c>
      <c r="H102" s="17">
        <v>45642</v>
      </c>
      <c r="I102" t="s">
        <v>149</v>
      </c>
      <c r="J102" s="17">
        <v>45646</v>
      </c>
      <c r="K102" t="s">
        <v>85</v>
      </c>
      <c r="L102" s="17">
        <v>45684</v>
      </c>
      <c r="M102" t="s">
        <v>172</v>
      </c>
      <c r="N102" t="s">
        <v>60</v>
      </c>
      <c r="O102" t="s">
        <v>60</v>
      </c>
      <c r="P102" t="s">
        <v>60</v>
      </c>
    </row>
    <row r="103" spans="1:16" x14ac:dyDescent="0.25">
      <c r="A103" t="s">
        <v>206</v>
      </c>
      <c r="B103" t="s">
        <v>205</v>
      </c>
      <c r="C103" t="s">
        <v>18</v>
      </c>
      <c r="D103">
        <v>1</v>
      </c>
      <c r="E103" t="s">
        <v>17</v>
      </c>
      <c r="F103" t="s">
        <v>395</v>
      </c>
      <c r="G103" t="s">
        <v>61</v>
      </c>
      <c r="H103" s="17">
        <v>45642</v>
      </c>
      <c r="I103" t="s">
        <v>149</v>
      </c>
      <c r="J103" s="17">
        <v>45646</v>
      </c>
      <c r="K103" t="s">
        <v>85</v>
      </c>
      <c r="L103" s="17">
        <v>45684</v>
      </c>
      <c r="M103" t="s">
        <v>172</v>
      </c>
      <c r="N103" t="s">
        <v>60</v>
      </c>
      <c r="O103" t="s">
        <v>60</v>
      </c>
      <c r="P103" t="s">
        <v>60</v>
      </c>
    </row>
    <row r="104" spans="1:16" x14ac:dyDescent="0.25">
      <c r="A104" t="s">
        <v>207</v>
      </c>
      <c r="B104" t="s">
        <v>205</v>
      </c>
      <c r="C104" t="s">
        <v>18</v>
      </c>
      <c r="D104">
        <v>3</v>
      </c>
      <c r="E104" t="s">
        <v>17</v>
      </c>
      <c r="F104" t="s">
        <v>395</v>
      </c>
      <c r="G104" t="s">
        <v>61</v>
      </c>
      <c r="H104" s="17">
        <v>45642</v>
      </c>
      <c r="I104" t="s">
        <v>149</v>
      </c>
      <c r="J104" s="17">
        <v>45646</v>
      </c>
      <c r="K104" t="s">
        <v>85</v>
      </c>
      <c r="L104" s="17">
        <v>45684</v>
      </c>
      <c r="M104" t="s">
        <v>172</v>
      </c>
      <c r="N104" t="s">
        <v>60</v>
      </c>
      <c r="O104" t="s">
        <v>60</v>
      </c>
      <c r="P104" t="s">
        <v>60</v>
      </c>
    </row>
    <row r="105" spans="1:16" x14ac:dyDescent="0.25">
      <c r="A105" t="s">
        <v>208</v>
      </c>
      <c r="B105" t="s">
        <v>205</v>
      </c>
      <c r="C105" t="s">
        <v>18</v>
      </c>
      <c r="D105">
        <v>3</v>
      </c>
      <c r="E105" t="s">
        <v>17</v>
      </c>
      <c r="F105" t="s">
        <v>395</v>
      </c>
      <c r="G105" t="s">
        <v>61</v>
      </c>
      <c r="H105" s="17">
        <v>45642</v>
      </c>
      <c r="I105" t="s">
        <v>149</v>
      </c>
      <c r="J105" s="17">
        <v>45646</v>
      </c>
      <c r="K105" t="s">
        <v>85</v>
      </c>
      <c r="L105" s="17">
        <v>45684</v>
      </c>
      <c r="M105" t="s">
        <v>172</v>
      </c>
      <c r="N105" t="s">
        <v>60</v>
      </c>
      <c r="O105" t="s">
        <v>60</v>
      </c>
      <c r="P105" t="s">
        <v>60</v>
      </c>
    </row>
    <row r="106" spans="1:16" x14ac:dyDescent="0.25">
      <c r="A106" t="s">
        <v>209</v>
      </c>
      <c r="B106" t="s">
        <v>205</v>
      </c>
      <c r="C106" t="s">
        <v>18</v>
      </c>
      <c r="D106">
        <v>2</v>
      </c>
      <c r="E106" t="s">
        <v>17</v>
      </c>
      <c r="F106" t="s">
        <v>395</v>
      </c>
      <c r="G106" t="s">
        <v>61</v>
      </c>
      <c r="H106" s="17">
        <v>45642</v>
      </c>
      <c r="I106" t="s">
        <v>149</v>
      </c>
      <c r="J106" s="17">
        <v>45646</v>
      </c>
      <c r="K106" t="s">
        <v>85</v>
      </c>
      <c r="L106" s="17">
        <v>45684</v>
      </c>
      <c r="M106" t="s">
        <v>172</v>
      </c>
      <c r="N106" t="s">
        <v>60</v>
      </c>
      <c r="O106" t="s">
        <v>60</v>
      </c>
      <c r="P106" t="s">
        <v>60</v>
      </c>
    </row>
    <row r="107" spans="1:16" x14ac:dyDescent="0.25">
      <c r="A107" t="s">
        <v>210</v>
      </c>
      <c r="B107" t="s">
        <v>211</v>
      </c>
      <c r="C107" t="s">
        <v>16</v>
      </c>
      <c r="D107">
        <v>4</v>
      </c>
      <c r="E107" t="s">
        <v>17</v>
      </c>
      <c r="F107" t="s">
        <v>395</v>
      </c>
      <c r="G107" t="s">
        <v>61</v>
      </c>
      <c r="H107" s="17">
        <v>45681</v>
      </c>
      <c r="I107" t="s">
        <v>85</v>
      </c>
      <c r="J107" s="17">
        <v>45681</v>
      </c>
      <c r="K107" t="s">
        <v>85</v>
      </c>
      <c r="L107" s="17">
        <v>45684</v>
      </c>
      <c r="M107" t="s">
        <v>172</v>
      </c>
      <c r="N107" t="s">
        <v>60</v>
      </c>
      <c r="O107" t="s">
        <v>60</v>
      </c>
      <c r="P107" t="s">
        <v>60</v>
      </c>
    </row>
    <row r="108" spans="1:16" x14ac:dyDescent="0.25">
      <c r="A108" t="s">
        <v>212</v>
      </c>
      <c r="B108" t="s">
        <v>211</v>
      </c>
      <c r="C108" t="s">
        <v>19</v>
      </c>
      <c r="D108">
        <v>2</v>
      </c>
      <c r="E108" t="s">
        <v>17</v>
      </c>
      <c r="F108" t="s">
        <v>395</v>
      </c>
      <c r="G108" t="s">
        <v>61</v>
      </c>
      <c r="H108" s="17">
        <v>45681</v>
      </c>
      <c r="I108" t="s">
        <v>85</v>
      </c>
      <c r="J108" s="17">
        <v>45681</v>
      </c>
      <c r="K108" t="s">
        <v>85</v>
      </c>
      <c r="L108" s="17">
        <v>45684</v>
      </c>
      <c r="M108" t="s">
        <v>172</v>
      </c>
      <c r="N108" t="s">
        <v>60</v>
      </c>
      <c r="O108" t="s">
        <v>60</v>
      </c>
      <c r="P108" t="s">
        <v>60</v>
      </c>
    </row>
    <row r="109" spans="1:16" x14ac:dyDescent="0.25">
      <c r="A109" t="s">
        <v>213</v>
      </c>
      <c r="B109" t="s">
        <v>211</v>
      </c>
      <c r="C109" t="s">
        <v>16</v>
      </c>
      <c r="D109">
        <v>4</v>
      </c>
      <c r="E109" t="s">
        <v>17</v>
      </c>
      <c r="F109" t="s">
        <v>395</v>
      </c>
      <c r="G109" t="s">
        <v>61</v>
      </c>
      <c r="H109" s="17">
        <v>45681</v>
      </c>
      <c r="I109" t="s">
        <v>85</v>
      </c>
      <c r="J109" s="17">
        <v>45681</v>
      </c>
      <c r="K109" t="s">
        <v>85</v>
      </c>
      <c r="L109" s="17">
        <v>45684</v>
      </c>
      <c r="M109" t="s">
        <v>172</v>
      </c>
      <c r="N109" t="s">
        <v>60</v>
      </c>
      <c r="O109" t="s">
        <v>60</v>
      </c>
      <c r="P109" t="s">
        <v>60</v>
      </c>
    </row>
    <row r="110" spans="1:16" x14ac:dyDescent="0.25">
      <c r="A110" t="s">
        <v>214</v>
      </c>
      <c r="B110" t="s">
        <v>211</v>
      </c>
      <c r="C110" t="s">
        <v>16</v>
      </c>
      <c r="D110">
        <v>4</v>
      </c>
      <c r="E110" t="s">
        <v>17</v>
      </c>
      <c r="F110" t="s">
        <v>395</v>
      </c>
      <c r="G110" t="s">
        <v>61</v>
      </c>
      <c r="H110" s="17">
        <v>45681</v>
      </c>
      <c r="I110" t="s">
        <v>85</v>
      </c>
      <c r="J110" s="17">
        <v>45681</v>
      </c>
      <c r="K110" t="s">
        <v>85</v>
      </c>
      <c r="L110" s="17">
        <v>45684</v>
      </c>
      <c r="M110" t="s">
        <v>172</v>
      </c>
      <c r="N110" t="s">
        <v>60</v>
      </c>
      <c r="O110" t="s">
        <v>60</v>
      </c>
      <c r="P110" t="s">
        <v>60</v>
      </c>
    </row>
    <row r="111" spans="1:16" x14ac:dyDescent="0.25">
      <c r="A111" t="s">
        <v>215</v>
      </c>
      <c r="B111" t="s">
        <v>211</v>
      </c>
      <c r="C111" t="s">
        <v>16</v>
      </c>
      <c r="D111">
        <v>4</v>
      </c>
      <c r="E111" t="s">
        <v>21</v>
      </c>
      <c r="F111" t="s">
        <v>395</v>
      </c>
      <c r="G111" t="s">
        <v>61</v>
      </c>
      <c r="H111" s="17">
        <v>45681</v>
      </c>
      <c r="I111" t="s">
        <v>85</v>
      </c>
      <c r="J111" s="17">
        <v>45681</v>
      </c>
      <c r="K111" t="s">
        <v>85</v>
      </c>
      <c r="L111" s="17">
        <v>45684</v>
      </c>
      <c r="M111" t="s">
        <v>172</v>
      </c>
      <c r="N111" t="s">
        <v>60</v>
      </c>
      <c r="O111" t="s">
        <v>60</v>
      </c>
      <c r="P111" t="s">
        <v>60</v>
      </c>
    </row>
    <row r="112" spans="1:16" x14ac:dyDescent="0.25">
      <c r="A112" t="s">
        <v>216</v>
      </c>
      <c r="B112" t="s">
        <v>217</v>
      </c>
      <c r="C112" t="s">
        <v>16</v>
      </c>
      <c r="D112">
        <v>4</v>
      </c>
      <c r="E112" t="s">
        <v>17</v>
      </c>
      <c r="F112" t="s">
        <v>395</v>
      </c>
      <c r="G112" t="s">
        <v>61</v>
      </c>
      <c r="H112" s="17">
        <v>45681</v>
      </c>
      <c r="I112" t="s">
        <v>85</v>
      </c>
      <c r="J112" s="17">
        <v>45681</v>
      </c>
      <c r="K112" t="s">
        <v>85</v>
      </c>
      <c r="L112" s="17">
        <v>45684</v>
      </c>
      <c r="M112" t="s">
        <v>172</v>
      </c>
      <c r="N112" t="s">
        <v>60</v>
      </c>
      <c r="O112" t="s">
        <v>60</v>
      </c>
      <c r="P112" t="s">
        <v>60</v>
      </c>
    </row>
    <row r="113" spans="1:16" x14ac:dyDescent="0.25">
      <c r="A113" t="s">
        <v>219</v>
      </c>
      <c r="B113" t="s">
        <v>217</v>
      </c>
      <c r="C113" t="s">
        <v>18</v>
      </c>
      <c r="D113">
        <v>3</v>
      </c>
      <c r="E113" t="s">
        <v>17</v>
      </c>
      <c r="F113" t="s">
        <v>395</v>
      </c>
      <c r="G113" t="s">
        <v>61</v>
      </c>
      <c r="H113" s="17">
        <v>45681</v>
      </c>
      <c r="I113" t="s">
        <v>85</v>
      </c>
      <c r="J113" s="17">
        <v>45681</v>
      </c>
      <c r="K113" t="s">
        <v>85</v>
      </c>
      <c r="L113" s="17">
        <v>45684</v>
      </c>
      <c r="M113" t="s">
        <v>172</v>
      </c>
      <c r="N113" t="s">
        <v>60</v>
      </c>
      <c r="O113" t="s">
        <v>60</v>
      </c>
      <c r="P113" t="s">
        <v>60</v>
      </c>
    </row>
    <row r="114" spans="1:16" x14ac:dyDescent="0.25">
      <c r="A114" t="s">
        <v>220</v>
      </c>
      <c r="B114" t="s">
        <v>217</v>
      </c>
      <c r="C114" t="s">
        <v>19</v>
      </c>
      <c r="D114">
        <v>2</v>
      </c>
      <c r="E114" t="s">
        <v>17</v>
      </c>
      <c r="F114" t="s">
        <v>395</v>
      </c>
      <c r="G114" t="s">
        <v>61</v>
      </c>
      <c r="H114" s="17">
        <v>45681</v>
      </c>
      <c r="I114" t="s">
        <v>85</v>
      </c>
      <c r="J114" s="17">
        <v>45681</v>
      </c>
      <c r="K114" t="s">
        <v>85</v>
      </c>
      <c r="L114" s="17">
        <v>45684</v>
      </c>
      <c r="M114" t="s">
        <v>172</v>
      </c>
      <c r="N114" t="s">
        <v>60</v>
      </c>
      <c r="O114" t="s">
        <v>60</v>
      </c>
      <c r="P114" t="s">
        <v>60</v>
      </c>
    </row>
    <row r="115" spans="1:16" x14ac:dyDescent="0.25">
      <c r="A115" t="s">
        <v>222</v>
      </c>
      <c r="B115" t="s">
        <v>217</v>
      </c>
      <c r="C115" t="s">
        <v>18</v>
      </c>
      <c r="D115">
        <v>2</v>
      </c>
      <c r="E115" t="s">
        <v>17</v>
      </c>
      <c r="F115" t="s">
        <v>395</v>
      </c>
      <c r="G115" t="s">
        <v>61</v>
      </c>
      <c r="H115" s="17">
        <v>45681</v>
      </c>
      <c r="I115" t="s">
        <v>85</v>
      </c>
      <c r="J115" s="17">
        <v>45681</v>
      </c>
      <c r="K115" t="s">
        <v>85</v>
      </c>
      <c r="L115" s="17">
        <v>45684</v>
      </c>
      <c r="M115" t="s">
        <v>172</v>
      </c>
      <c r="N115" t="s">
        <v>60</v>
      </c>
      <c r="O115" t="s">
        <v>60</v>
      </c>
      <c r="P115" t="s">
        <v>60</v>
      </c>
    </row>
    <row r="116" spans="1:16" x14ac:dyDescent="0.25">
      <c r="A116" t="s">
        <v>223</v>
      </c>
      <c r="B116" t="s">
        <v>217</v>
      </c>
      <c r="C116" t="s">
        <v>18</v>
      </c>
      <c r="D116">
        <v>3</v>
      </c>
      <c r="E116" t="s">
        <v>17</v>
      </c>
      <c r="F116" t="s">
        <v>395</v>
      </c>
      <c r="G116" t="s">
        <v>61</v>
      </c>
      <c r="H116" s="17">
        <v>45681</v>
      </c>
      <c r="I116" t="s">
        <v>85</v>
      </c>
      <c r="J116" s="17">
        <v>45681</v>
      </c>
      <c r="K116" t="s">
        <v>85</v>
      </c>
      <c r="L116" s="17">
        <v>45684</v>
      </c>
      <c r="M116" t="s">
        <v>172</v>
      </c>
      <c r="N116" t="s">
        <v>60</v>
      </c>
      <c r="O116" t="s">
        <v>60</v>
      </c>
      <c r="P116" t="s">
        <v>60</v>
      </c>
    </row>
    <row r="117" spans="1:16" x14ac:dyDescent="0.25">
      <c r="A117" t="s">
        <v>224</v>
      </c>
      <c r="B117" t="s">
        <v>225</v>
      </c>
      <c r="C117" t="s">
        <v>16</v>
      </c>
      <c r="D117">
        <v>4</v>
      </c>
      <c r="E117" t="s">
        <v>17</v>
      </c>
      <c r="F117" t="s">
        <v>395</v>
      </c>
      <c r="G117" t="s">
        <v>61</v>
      </c>
      <c r="H117" s="17">
        <v>45681</v>
      </c>
      <c r="I117" t="s">
        <v>85</v>
      </c>
      <c r="J117" s="17">
        <v>45681</v>
      </c>
      <c r="K117" t="s">
        <v>85</v>
      </c>
      <c r="L117" s="17">
        <v>45684</v>
      </c>
      <c r="M117" t="s">
        <v>172</v>
      </c>
      <c r="N117" t="s">
        <v>60</v>
      </c>
      <c r="O117" t="s">
        <v>60</v>
      </c>
      <c r="P117" t="s">
        <v>60</v>
      </c>
    </row>
    <row r="118" spans="1:16" x14ac:dyDescent="0.25">
      <c r="A118" t="s">
        <v>226</v>
      </c>
      <c r="B118" t="s">
        <v>225</v>
      </c>
      <c r="C118" t="s">
        <v>19</v>
      </c>
      <c r="D118">
        <v>2</v>
      </c>
      <c r="E118" t="s">
        <v>17</v>
      </c>
      <c r="F118" t="s">
        <v>395</v>
      </c>
      <c r="G118" t="s">
        <v>61</v>
      </c>
      <c r="H118" s="17">
        <v>45681</v>
      </c>
      <c r="I118" t="s">
        <v>85</v>
      </c>
      <c r="J118" s="17">
        <v>45681</v>
      </c>
      <c r="K118" t="s">
        <v>85</v>
      </c>
      <c r="L118" s="17">
        <v>45684</v>
      </c>
      <c r="M118" t="s">
        <v>172</v>
      </c>
      <c r="N118" t="s">
        <v>60</v>
      </c>
      <c r="O118" t="s">
        <v>60</v>
      </c>
      <c r="P118" t="s">
        <v>60</v>
      </c>
    </row>
    <row r="119" spans="1:16" x14ac:dyDescent="0.25">
      <c r="A119" t="s">
        <v>227</v>
      </c>
      <c r="B119" t="s">
        <v>225</v>
      </c>
      <c r="C119" t="s">
        <v>16</v>
      </c>
      <c r="D119">
        <v>4</v>
      </c>
      <c r="E119" t="s">
        <v>17</v>
      </c>
      <c r="F119" t="s">
        <v>395</v>
      </c>
      <c r="G119" t="s">
        <v>61</v>
      </c>
      <c r="H119" s="17">
        <v>45681</v>
      </c>
      <c r="I119" t="s">
        <v>85</v>
      </c>
      <c r="J119" s="17">
        <v>45681</v>
      </c>
      <c r="K119" t="s">
        <v>85</v>
      </c>
      <c r="L119" s="17">
        <v>45684</v>
      </c>
      <c r="M119" t="s">
        <v>172</v>
      </c>
      <c r="N119" t="s">
        <v>60</v>
      </c>
      <c r="O119" t="s">
        <v>60</v>
      </c>
      <c r="P119" t="s">
        <v>60</v>
      </c>
    </row>
    <row r="120" spans="1:16" x14ac:dyDescent="0.25">
      <c r="A120" t="s">
        <v>228</v>
      </c>
      <c r="B120" t="s">
        <v>225</v>
      </c>
      <c r="C120" t="s">
        <v>16</v>
      </c>
      <c r="D120">
        <v>4</v>
      </c>
      <c r="E120" t="s">
        <v>17</v>
      </c>
      <c r="F120" t="s">
        <v>395</v>
      </c>
      <c r="G120" t="s">
        <v>61</v>
      </c>
      <c r="H120" s="17">
        <v>45681</v>
      </c>
      <c r="I120" t="s">
        <v>85</v>
      </c>
      <c r="J120" s="17">
        <v>45681</v>
      </c>
      <c r="K120" t="s">
        <v>85</v>
      </c>
      <c r="L120" s="17">
        <v>45684</v>
      </c>
      <c r="M120" t="s">
        <v>172</v>
      </c>
      <c r="N120" t="s">
        <v>60</v>
      </c>
      <c r="O120" t="s">
        <v>60</v>
      </c>
      <c r="P120" t="s">
        <v>60</v>
      </c>
    </row>
    <row r="121" spans="1:16" x14ac:dyDescent="0.25">
      <c r="A121" t="s">
        <v>229</v>
      </c>
      <c r="B121" t="s">
        <v>225</v>
      </c>
      <c r="C121" t="s">
        <v>16</v>
      </c>
      <c r="D121">
        <v>4</v>
      </c>
      <c r="E121" t="s">
        <v>17</v>
      </c>
      <c r="F121" t="s">
        <v>395</v>
      </c>
      <c r="G121" t="s">
        <v>61</v>
      </c>
      <c r="H121" s="17">
        <v>45681</v>
      </c>
      <c r="I121" t="s">
        <v>85</v>
      </c>
      <c r="J121" s="17">
        <v>45681</v>
      </c>
      <c r="K121" t="s">
        <v>85</v>
      </c>
      <c r="L121" s="17">
        <v>45684</v>
      </c>
      <c r="M121" t="s">
        <v>172</v>
      </c>
      <c r="N121" t="s">
        <v>60</v>
      </c>
      <c r="O121" t="s">
        <v>60</v>
      </c>
      <c r="P121" t="s">
        <v>60</v>
      </c>
    </row>
    <row r="122" spans="1:16" x14ac:dyDescent="0.25">
      <c r="A122" t="s">
        <v>230</v>
      </c>
      <c r="B122" t="s">
        <v>231</v>
      </c>
      <c r="C122" t="s">
        <v>16</v>
      </c>
      <c r="D122">
        <v>4</v>
      </c>
      <c r="E122" t="s">
        <v>17</v>
      </c>
      <c r="F122" t="s">
        <v>395</v>
      </c>
      <c r="G122" t="s">
        <v>61</v>
      </c>
      <c r="H122" s="17">
        <v>45483</v>
      </c>
      <c r="I122" t="s">
        <v>63</v>
      </c>
      <c r="J122" s="17">
        <v>45483</v>
      </c>
      <c r="K122" t="s">
        <v>63</v>
      </c>
      <c r="L122" s="17">
        <v>45601</v>
      </c>
      <c r="M122" t="s">
        <v>63</v>
      </c>
      <c r="N122" t="s">
        <v>60</v>
      </c>
      <c r="O122" t="s">
        <v>60</v>
      </c>
      <c r="P122" t="s">
        <v>60</v>
      </c>
    </row>
    <row r="123" spans="1:16" x14ac:dyDescent="0.25">
      <c r="A123" t="s">
        <v>232</v>
      </c>
      <c r="B123" t="s">
        <v>231</v>
      </c>
      <c r="C123" t="s">
        <v>18</v>
      </c>
      <c r="D123">
        <v>1</v>
      </c>
      <c r="E123" t="s">
        <v>21</v>
      </c>
      <c r="F123" t="s">
        <v>395</v>
      </c>
      <c r="G123" t="s">
        <v>61</v>
      </c>
      <c r="H123" s="17">
        <v>45483</v>
      </c>
      <c r="I123" t="s">
        <v>63</v>
      </c>
      <c r="J123" s="17">
        <v>45483</v>
      </c>
      <c r="K123" t="s">
        <v>63</v>
      </c>
      <c r="L123" s="17">
        <v>45601</v>
      </c>
      <c r="M123" t="s">
        <v>63</v>
      </c>
      <c r="N123" t="s">
        <v>60</v>
      </c>
      <c r="O123" t="s">
        <v>60</v>
      </c>
      <c r="P123" t="s">
        <v>60</v>
      </c>
    </row>
    <row r="124" spans="1:16" x14ac:dyDescent="0.25">
      <c r="A124" t="s">
        <v>233</v>
      </c>
      <c r="B124" t="s">
        <v>231</v>
      </c>
      <c r="C124" t="s">
        <v>18</v>
      </c>
      <c r="D124">
        <v>2</v>
      </c>
      <c r="E124" t="s">
        <v>17</v>
      </c>
      <c r="F124" t="s">
        <v>395</v>
      </c>
      <c r="G124" t="s">
        <v>61</v>
      </c>
      <c r="H124" s="17">
        <v>45483</v>
      </c>
      <c r="I124" t="s">
        <v>63</v>
      </c>
      <c r="J124" s="17">
        <v>45483</v>
      </c>
      <c r="K124" t="s">
        <v>63</v>
      </c>
      <c r="L124" s="17">
        <v>45601</v>
      </c>
      <c r="M124" t="s">
        <v>63</v>
      </c>
      <c r="N124" t="s">
        <v>60</v>
      </c>
      <c r="O124" t="s">
        <v>60</v>
      </c>
      <c r="P124" t="s">
        <v>60</v>
      </c>
    </row>
    <row r="125" spans="1:16" x14ac:dyDescent="0.25">
      <c r="A125" t="s">
        <v>234</v>
      </c>
      <c r="B125" t="s">
        <v>231</v>
      </c>
      <c r="C125" t="s">
        <v>18</v>
      </c>
      <c r="D125">
        <v>1</v>
      </c>
      <c r="E125" t="s">
        <v>17</v>
      </c>
      <c r="F125" t="s">
        <v>395</v>
      </c>
      <c r="G125" t="s">
        <v>61</v>
      </c>
      <c r="H125" s="17">
        <v>45483</v>
      </c>
      <c r="I125" t="s">
        <v>63</v>
      </c>
      <c r="J125" s="17">
        <v>45483</v>
      </c>
      <c r="K125" t="s">
        <v>63</v>
      </c>
      <c r="L125" s="17">
        <v>45601</v>
      </c>
      <c r="M125" t="s">
        <v>63</v>
      </c>
      <c r="N125" t="s">
        <v>60</v>
      </c>
      <c r="O125" t="s">
        <v>60</v>
      </c>
      <c r="P125" t="s">
        <v>60</v>
      </c>
    </row>
    <row r="126" spans="1:16" x14ac:dyDescent="0.25">
      <c r="A126" t="s">
        <v>235</v>
      </c>
      <c r="B126" t="s">
        <v>231</v>
      </c>
      <c r="C126" t="s">
        <v>19</v>
      </c>
      <c r="D126">
        <v>2</v>
      </c>
      <c r="E126" t="s">
        <v>17</v>
      </c>
      <c r="F126" t="s">
        <v>395</v>
      </c>
      <c r="G126" t="s">
        <v>61</v>
      </c>
      <c r="H126" s="17">
        <v>45483</v>
      </c>
      <c r="I126" t="s">
        <v>63</v>
      </c>
      <c r="J126" s="17">
        <v>45483</v>
      </c>
      <c r="K126" t="s">
        <v>63</v>
      </c>
      <c r="L126" s="17">
        <v>45601</v>
      </c>
      <c r="M126" t="s">
        <v>63</v>
      </c>
      <c r="N126" t="s">
        <v>60</v>
      </c>
      <c r="O126" t="s">
        <v>60</v>
      </c>
      <c r="P126" t="s">
        <v>60</v>
      </c>
    </row>
    <row r="127" spans="1:16" x14ac:dyDescent="0.25">
      <c r="A127" t="s">
        <v>236</v>
      </c>
      <c r="B127" t="s">
        <v>237</v>
      </c>
      <c r="C127" t="s">
        <v>19</v>
      </c>
      <c r="D127">
        <v>2</v>
      </c>
      <c r="E127" t="s">
        <v>17</v>
      </c>
      <c r="F127" t="s">
        <v>395</v>
      </c>
      <c r="G127" t="s">
        <v>61</v>
      </c>
      <c r="H127" s="17">
        <v>45483</v>
      </c>
      <c r="I127" t="s">
        <v>63</v>
      </c>
      <c r="J127" s="17">
        <v>45483</v>
      </c>
      <c r="K127" t="s">
        <v>63</v>
      </c>
      <c r="L127" s="17">
        <v>45601</v>
      </c>
      <c r="M127" t="s">
        <v>63</v>
      </c>
      <c r="N127" t="s">
        <v>60</v>
      </c>
      <c r="O127" t="s">
        <v>60</v>
      </c>
      <c r="P127" t="s">
        <v>60</v>
      </c>
    </row>
    <row r="128" spans="1:16" x14ac:dyDescent="0.25">
      <c r="A128" t="s">
        <v>238</v>
      </c>
      <c r="B128" t="s">
        <v>237</v>
      </c>
      <c r="C128" t="s">
        <v>19</v>
      </c>
      <c r="D128">
        <v>2</v>
      </c>
      <c r="E128" t="s">
        <v>17</v>
      </c>
      <c r="F128" t="s">
        <v>395</v>
      </c>
      <c r="G128" t="s">
        <v>61</v>
      </c>
      <c r="H128" s="17">
        <v>45483</v>
      </c>
      <c r="I128" t="s">
        <v>63</v>
      </c>
      <c r="J128" s="17">
        <v>45483</v>
      </c>
      <c r="K128" t="s">
        <v>63</v>
      </c>
      <c r="L128" s="17">
        <v>45601</v>
      </c>
      <c r="M128" t="s">
        <v>63</v>
      </c>
      <c r="N128" t="s">
        <v>60</v>
      </c>
      <c r="O128" t="s">
        <v>60</v>
      </c>
      <c r="P128" t="s">
        <v>60</v>
      </c>
    </row>
    <row r="129" spans="1:16" x14ac:dyDescent="0.25">
      <c r="A129" t="s">
        <v>240</v>
      </c>
      <c r="B129" t="s">
        <v>237</v>
      </c>
      <c r="C129" t="s">
        <v>18</v>
      </c>
      <c r="D129">
        <v>2</v>
      </c>
      <c r="E129" t="s">
        <v>17</v>
      </c>
      <c r="F129" t="s">
        <v>395</v>
      </c>
      <c r="G129" t="s">
        <v>61</v>
      </c>
      <c r="H129" s="17">
        <v>45483</v>
      </c>
      <c r="I129" t="s">
        <v>63</v>
      </c>
      <c r="J129" s="17">
        <v>45483</v>
      </c>
      <c r="K129" t="s">
        <v>63</v>
      </c>
      <c r="L129" s="17">
        <v>45601</v>
      </c>
      <c r="M129" t="s">
        <v>63</v>
      </c>
      <c r="N129" t="s">
        <v>60</v>
      </c>
      <c r="O129" t="s">
        <v>60</v>
      </c>
      <c r="P129" t="s">
        <v>60</v>
      </c>
    </row>
    <row r="130" spans="1:16" x14ac:dyDescent="0.25">
      <c r="A130" t="s">
        <v>241</v>
      </c>
      <c r="B130" t="s">
        <v>237</v>
      </c>
      <c r="C130" t="s">
        <v>16</v>
      </c>
      <c r="D130">
        <v>4</v>
      </c>
      <c r="E130" t="s">
        <v>17</v>
      </c>
      <c r="F130" t="s">
        <v>395</v>
      </c>
      <c r="G130" t="s">
        <v>61</v>
      </c>
      <c r="H130" s="17">
        <v>45483</v>
      </c>
      <c r="I130" t="s">
        <v>63</v>
      </c>
      <c r="J130" s="17">
        <v>45483</v>
      </c>
      <c r="K130" t="s">
        <v>63</v>
      </c>
      <c r="L130" s="17">
        <v>45601</v>
      </c>
      <c r="M130" t="s">
        <v>63</v>
      </c>
      <c r="N130" t="s">
        <v>60</v>
      </c>
      <c r="O130" t="s">
        <v>60</v>
      </c>
      <c r="P130" t="s">
        <v>60</v>
      </c>
    </row>
    <row r="131" spans="1:16" x14ac:dyDescent="0.25">
      <c r="A131" t="s">
        <v>243</v>
      </c>
      <c r="B131" t="s">
        <v>237</v>
      </c>
      <c r="C131" t="s">
        <v>16</v>
      </c>
      <c r="D131" t="s">
        <v>16</v>
      </c>
      <c r="E131" t="s">
        <v>20</v>
      </c>
      <c r="F131" t="s">
        <v>395</v>
      </c>
      <c r="G131" t="s">
        <v>61</v>
      </c>
      <c r="H131" s="17">
        <v>45483</v>
      </c>
      <c r="I131" t="s">
        <v>63</v>
      </c>
      <c r="J131" s="17">
        <v>45483</v>
      </c>
      <c r="K131" t="s">
        <v>63</v>
      </c>
      <c r="L131" s="17">
        <v>45601</v>
      </c>
      <c r="M131" t="s">
        <v>63</v>
      </c>
      <c r="N131" t="s">
        <v>60</v>
      </c>
      <c r="O131" t="s">
        <v>60</v>
      </c>
      <c r="P131" t="s">
        <v>60</v>
      </c>
    </row>
    <row r="132" spans="1:16" x14ac:dyDescent="0.25">
      <c r="A132" t="s">
        <v>244</v>
      </c>
      <c r="B132" t="s">
        <v>245</v>
      </c>
      <c r="C132" t="s">
        <v>19</v>
      </c>
      <c r="D132">
        <v>2</v>
      </c>
      <c r="E132" t="s">
        <v>17</v>
      </c>
      <c r="F132" t="s">
        <v>395</v>
      </c>
      <c r="G132" t="s">
        <v>61</v>
      </c>
      <c r="H132" s="17">
        <v>45483</v>
      </c>
      <c r="I132" t="s">
        <v>63</v>
      </c>
      <c r="J132" s="17">
        <v>45483</v>
      </c>
      <c r="K132" t="s">
        <v>63</v>
      </c>
      <c r="L132" s="17">
        <v>45601</v>
      </c>
      <c r="M132" t="s">
        <v>63</v>
      </c>
      <c r="N132" t="s">
        <v>60</v>
      </c>
      <c r="O132" t="s">
        <v>60</v>
      </c>
      <c r="P132" t="s">
        <v>60</v>
      </c>
    </row>
    <row r="133" spans="1:16" x14ac:dyDescent="0.25">
      <c r="A133" t="s">
        <v>247</v>
      </c>
      <c r="B133" t="s">
        <v>245</v>
      </c>
      <c r="C133" t="s">
        <v>18</v>
      </c>
      <c r="D133">
        <v>2</v>
      </c>
      <c r="E133" t="s">
        <v>17</v>
      </c>
      <c r="F133" t="s">
        <v>395</v>
      </c>
      <c r="G133" t="s">
        <v>61</v>
      </c>
      <c r="H133" s="17">
        <v>45483</v>
      </c>
      <c r="I133" t="s">
        <v>63</v>
      </c>
      <c r="J133" s="17">
        <v>45483</v>
      </c>
      <c r="K133" t="s">
        <v>63</v>
      </c>
      <c r="L133" s="17">
        <v>45601</v>
      </c>
      <c r="M133" t="s">
        <v>63</v>
      </c>
      <c r="N133" t="s">
        <v>60</v>
      </c>
      <c r="O133" t="s">
        <v>60</v>
      </c>
      <c r="P133" t="s">
        <v>60</v>
      </c>
    </row>
    <row r="134" spans="1:16" x14ac:dyDescent="0.25">
      <c r="A134" t="s">
        <v>248</v>
      </c>
      <c r="B134" t="s">
        <v>245</v>
      </c>
      <c r="C134" t="s">
        <v>19</v>
      </c>
      <c r="D134">
        <v>2</v>
      </c>
      <c r="E134" t="s">
        <v>17</v>
      </c>
      <c r="F134" t="s">
        <v>395</v>
      </c>
      <c r="G134" t="s">
        <v>61</v>
      </c>
      <c r="H134" s="17">
        <v>45483</v>
      </c>
      <c r="I134" t="s">
        <v>63</v>
      </c>
      <c r="J134" s="17">
        <v>45483</v>
      </c>
      <c r="K134" t="s">
        <v>63</v>
      </c>
      <c r="L134" s="17">
        <v>45601</v>
      </c>
      <c r="M134" t="s">
        <v>63</v>
      </c>
      <c r="N134" t="s">
        <v>60</v>
      </c>
      <c r="O134" t="s">
        <v>60</v>
      </c>
      <c r="P134" t="s">
        <v>60</v>
      </c>
    </row>
    <row r="135" spans="1:16" x14ac:dyDescent="0.25">
      <c r="A135" t="s">
        <v>249</v>
      </c>
      <c r="B135" t="s">
        <v>245</v>
      </c>
      <c r="C135" t="s">
        <v>19</v>
      </c>
      <c r="D135">
        <v>2</v>
      </c>
      <c r="E135" t="s">
        <v>17</v>
      </c>
      <c r="F135" t="s">
        <v>395</v>
      </c>
      <c r="G135" t="s">
        <v>61</v>
      </c>
      <c r="H135" s="17">
        <v>45483</v>
      </c>
      <c r="I135" t="s">
        <v>63</v>
      </c>
      <c r="J135" s="17">
        <v>45483</v>
      </c>
      <c r="K135" t="s">
        <v>63</v>
      </c>
      <c r="L135" s="17">
        <v>45601</v>
      </c>
      <c r="M135" t="s">
        <v>63</v>
      </c>
      <c r="N135" t="s">
        <v>60</v>
      </c>
      <c r="O135" t="s">
        <v>60</v>
      </c>
      <c r="P135" t="s">
        <v>60</v>
      </c>
    </row>
    <row r="136" spans="1:16" x14ac:dyDescent="0.25">
      <c r="A136" t="s">
        <v>250</v>
      </c>
      <c r="B136" t="s">
        <v>245</v>
      </c>
      <c r="C136" t="s">
        <v>18</v>
      </c>
      <c r="D136">
        <v>2</v>
      </c>
      <c r="E136" t="s">
        <v>17</v>
      </c>
      <c r="F136" t="s">
        <v>395</v>
      </c>
      <c r="G136" t="s">
        <v>61</v>
      </c>
      <c r="H136" s="17">
        <v>45483</v>
      </c>
      <c r="I136" t="s">
        <v>63</v>
      </c>
      <c r="J136" s="17">
        <v>45483</v>
      </c>
      <c r="K136" t="s">
        <v>63</v>
      </c>
      <c r="L136" s="17">
        <v>45601</v>
      </c>
      <c r="M136" t="s">
        <v>63</v>
      </c>
      <c r="N136" t="s">
        <v>60</v>
      </c>
      <c r="O136" t="s">
        <v>60</v>
      </c>
      <c r="P136" t="s">
        <v>60</v>
      </c>
    </row>
    <row r="137" spans="1:16" x14ac:dyDescent="0.25">
      <c r="A137" t="s">
        <v>251</v>
      </c>
      <c r="B137" t="s">
        <v>252</v>
      </c>
      <c r="C137" t="s">
        <v>19</v>
      </c>
      <c r="D137">
        <v>2</v>
      </c>
      <c r="E137" t="s">
        <v>17</v>
      </c>
      <c r="F137" t="s">
        <v>395</v>
      </c>
      <c r="G137" t="s">
        <v>61</v>
      </c>
      <c r="H137" s="17">
        <v>45498</v>
      </c>
      <c r="I137" t="s">
        <v>106</v>
      </c>
      <c r="J137" s="17">
        <v>45498</v>
      </c>
      <c r="K137" t="s">
        <v>85</v>
      </c>
      <c r="L137" s="17">
        <v>45511</v>
      </c>
      <c r="M137" t="s">
        <v>63</v>
      </c>
      <c r="N137" t="s">
        <v>60</v>
      </c>
      <c r="O137" t="s">
        <v>60</v>
      </c>
      <c r="P137" t="s">
        <v>60</v>
      </c>
    </row>
    <row r="138" spans="1:16" x14ac:dyDescent="0.25">
      <c r="A138" t="s">
        <v>253</v>
      </c>
      <c r="B138" t="s">
        <v>252</v>
      </c>
      <c r="C138" t="s">
        <v>19</v>
      </c>
      <c r="D138">
        <v>2</v>
      </c>
      <c r="E138" t="s">
        <v>17</v>
      </c>
      <c r="F138" t="s">
        <v>395</v>
      </c>
      <c r="G138" t="s">
        <v>61</v>
      </c>
      <c r="H138" s="17">
        <v>45498</v>
      </c>
      <c r="I138" t="s">
        <v>106</v>
      </c>
      <c r="J138" s="17">
        <v>45498</v>
      </c>
      <c r="K138" t="s">
        <v>85</v>
      </c>
      <c r="L138" s="17">
        <v>45511</v>
      </c>
      <c r="M138" t="s">
        <v>63</v>
      </c>
      <c r="N138" t="s">
        <v>60</v>
      </c>
      <c r="O138" t="s">
        <v>60</v>
      </c>
      <c r="P138" t="s">
        <v>60</v>
      </c>
    </row>
    <row r="139" spans="1:16" x14ac:dyDescent="0.25">
      <c r="A139" t="s">
        <v>254</v>
      </c>
      <c r="B139" t="s">
        <v>252</v>
      </c>
      <c r="C139" t="s">
        <v>16</v>
      </c>
      <c r="D139">
        <v>4</v>
      </c>
      <c r="E139" t="s">
        <v>17</v>
      </c>
      <c r="F139" t="s">
        <v>395</v>
      </c>
      <c r="G139" t="s">
        <v>61</v>
      </c>
      <c r="H139" s="17">
        <v>45498</v>
      </c>
      <c r="I139" t="s">
        <v>106</v>
      </c>
      <c r="J139" s="17">
        <v>45498</v>
      </c>
      <c r="K139" t="s">
        <v>85</v>
      </c>
      <c r="L139" s="17">
        <v>45511</v>
      </c>
      <c r="M139" t="s">
        <v>63</v>
      </c>
      <c r="N139" t="s">
        <v>60</v>
      </c>
      <c r="O139" t="s">
        <v>60</v>
      </c>
      <c r="P139" t="s">
        <v>60</v>
      </c>
    </row>
    <row r="140" spans="1:16" x14ac:dyDescent="0.25">
      <c r="A140" t="s">
        <v>256</v>
      </c>
      <c r="B140" t="s">
        <v>252</v>
      </c>
      <c r="C140" t="s">
        <v>18</v>
      </c>
      <c r="D140">
        <v>2</v>
      </c>
      <c r="E140" t="s">
        <v>21</v>
      </c>
      <c r="F140" t="s">
        <v>395</v>
      </c>
      <c r="G140" t="s">
        <v>61</v>
      </c>
      <c r="H140" s="17">
        <v>45498</v>
      </c>
      <c r="I140" t="s">
        <v>106</v>
      </c>
      <c r="J140" s="17">
        <v>45498</v>
      </c>
      <c r="K140" t="s">
        <v>85</v>
      </c>
      <c r="L140" s="17">
        <v>45511</v>
      </c>
      <c r="M140" t="s">
        <v>63</v>
      </c>
      <c r="N140" t="s">
        <v>60</v>
      </c>
      <c r="O140" t="s">
        <v>60</v>
      </c>
      <c r="P140" t="s">
        <v>60</v>
      </c>
    </row>
    <row r="141" spans="1:16" x14ac:dyDescent="0.25">
      <c r="A141" t="s">
        <v>257</v>
      </c>
      <c r="B141" t="s">
        <v>252</v>
      </c>
      <c r="C141" t="s">
        <v>16</v>
      </c>
      <c r="D141">
        <v>4</v>
      </c>
      <c r="E141" t="s">
        <v>17</v>
      </c>
      <c r="F141" t="s">
        <v>395</v>
      </c>
      <c r="G141" t="s">
        <v>61</v>
      </c>
      <c r="H141" s="17">
        <v>45498</v>
      </c>
      <c r="I141" t="s">
        <v>106</v>
      </c>
      <c r="J141" s="17">
        <v>45498</v>
      </c>
      <c r="K141" t="s">
        <v>85</v>
      </c>
      <c r="L141" s="17">
        <v>45511</v>
      </c>
      <c r="M141" t="s">
        <v>63</v>
      </c>
      <c r="N141" t="s">
        <v>60</v>
      </c>
      <c r="O141" t="s">
        <v>60</v>
      </c>
      <c r="P141" t="s">
        <v>60</v>
      </c>
    </row>
    <row r="142" spans="1:16" x14ac:dyDescent="0.25">
      <c r="A142" t="s">
        <v>259</v>
      </c>
      <c r="B142" t="s">
        <v>260</v>
      </c>
      <c r="C142" t="s">
        <v>18</v>
      </c>
      <c r="D142">
        <v>2</v>
      </c>
      <c r="E142" t="s">
        <v>17</v>
      </c>
      <c r="F142" t="s">
        <v>395</v>
      </c>
      <c r="G142" t="s">
        <v>61</v>
      </c>
      <c r="H142" s="17">
        <v>45498</v>
      </c>
      <c r="I142" t="s">
        <v>106</v>
      </c>
      <c r="J142" s="17">
        <v>45498</v>
      </c>
      <c r="K142" t="s">
        <v>85</v>
      </c>
      <c r="L142" s="17">
        <v>45511</v>
      </c>
      <c r="M142" t="s">
        <v>63</v>
      </c>
      <c r="N142" t="s">
        <v>60</v>
      </c>
      <c r="O142" t="s">
        <v>60</v>
      </c>
      <c r="P142" t="s">
        <v>60</v>
      </c>
    </row>
    <row r="143" spans="1:16" x14ac:dyDescent="0.25">
      <c r="A143" t="s">
        <v>261</v>
      </c>
      <c r="B143" t="s">
        <v>260</v>
      </c>
      <c r="C143" t="s">
        <v>19</v>
      </c>
      <c r="D143">
        <v>2</v>
      </c>
      <c r="E143" t="s">
        <v>17</v>
      </c>
      <c r="F143" t="s">
        <v>395</v>
      </c>
      <c r="G143" t="s">
        <v>61</v>
      </c>
      <c r="H143" s="17">
        <v>45498</v>
      </c>
      <c r="I143" t="s">
        <v>106</v>
      </c>
      <c r="J143" s="17">
        <v>45498</v>
      </c>
      <c r="K143" t="s">
        <v>85</v>
      </c>
      <c r="L143" s="17">
        <v>45511</v>
      </c>
      <c r="M143" t="s">
        <v>63</v>
      </c>
      <c r="N143" t="s">
        <v>60</v>
      </c>
      <c r="O143" t="s">
        <v>60</v>
      </c>
      <c r="P143" t="s">
        <v>60</v>
      </c>
    </row>
    <row r="144" spans="1:16" x14ac:dyDescent="0.25">
      <c r="A144" t="s">
        <v>262</v>
      </c>
      <c r="B144" t="s">
        <v>260</v>
      </c>
      <c r="C144" t="s">
        <v>19</v>
      </c>
      <c r="D144">
        <v>2</v>
      </c>
      <c r="E144" t="s">
        <v>17</v>
      </c>
      <c r="F144" t="s">
        <v>395</v>
      </c>
      <c r="G144" t="s">
        <v>61</v>
      </c>
      <c r="H144" s="17">
        <v>45498</v>
      </c>
      <c r="I144" t="s">
        <v>106</v>
      </c>
      <c r="J144" s="17">
        <v>45498</v>
      </c>
      <c r="K144" t="s">
        <v>85</v>
      </c>
      <c r="L144" s="17">
        <v>45511</v>
      </c>
      <c r="M144" t="s">
        <v>63</v>
      </c>
      <c r="N144" t="s">
        <v>60</v>
      </c>
      <c r="O144" t="s">
        <v>60</v>
      </c>
      <c r="P144" t="s">
        <v>60</v>
      </c>
    </row>
    <row r="145" spans="1:16" x14ac:dyDescent="0.25">
      <c r="A145" t="s">
        <v>263</v>
      </c>
      <c r="B145" t="s">
        <v>260</v>
      </c>
      <c r="C145" t="s">
        <v>18</v>
      </c>
      <c r="D145">
        <v>2</v>
      </c>
      <c r="E145" t="s">
        <v>17</v>
      </c>
      <c r="F145" t="s">
        <v>395</v>
      </c>
      <c r="G145" t="s">
        <v>61</v>
      </c>
      <c r="H145" s="17">
        <v>45498</v>
      </c>
      <c r="I145" t="s">
        <v>106</v>
      </c>
      <c r="J145" s="17">
        <v>45498</v>
      </c>
      <c r="K145" t="s">
        <v>85</v>
      </c>
      <c r="L145" s="17">
        <v>45511</v>
      </c>
      <c r="M145" t="s">
        <v>63</v>
      </c>
      <c r="N145" t="s">
        <v>60</v>
      </c>
      <c r="O145" t="s">
        <v>60</v>
      </c>
      <c r="P145" t="s">
        <v>60</v>
      </c>
    </row>
    <row r="146" spans="1:16" x14ac:dyDescent="0.25">
      <c r="A146" t="s">
        <v>264</v>
      </c>
      <c r="B146" t="s">
        <v>260</v>
      </c>
      <c r="C146" t="s">
        <v>19</v>
      </c>
      <c r="D146">
        <v>2</v>
      </c>
      <c r="E146" t="s">
        <v>17</v>
      </c>
      <c r="F146" t="s">
        <v>395</v>
      </c>
      <c r="G146" t="s">
        <v>61</v>
      </c>
      <c r="H146" s="17">
        <v>45498</v>
      </c>
      <c r="I146" t="s">
        <v>106</v>
      </c>
      <c r="J146" s="17">
        <v>45498</v>
      </c>
      <c r="K146" t="s">
        <v>85</v>
      </c>
      <c r="L146" s="17">
        <v>45511</v>
      </c>
      <c r="M146" t="s">
        <v>63</v>
      </c>
      <c r="N146" t="s">
        <v>60</v>
      </c>
      <c r="O146" t="s">
        <v>60</v>
      </c>
      <c r="P146" t="s">
        <v>60</v>
      </c>
    </row>
    <row r="147" spans="1:16" x14ac:dyDescent="0.25">
      <c r="A147" t="s">
        <v>265</v>
      </c>
      <c r="B147" t="s">
        <v>266</v>
      </c>
      <c r="C147" t="s">
        <v>19</v>
      </c>
      <c r="D147">
        <v>2</v>
      </c>
      <c r="E147" t="s">
        <v>17</v>
      </c>
      <c r="F147" t="s">
        <v>395</v>
      </c>
      <c r="G147" t="s">
        <v>61</v>
      </c>
      <c r="H147" s="17">
        <v>45498</v>
      </c>
      <c r="I147" t="s">
        <v>106</v>
      </c>
      <c r="J147" s="17">
        <v>45498</v>
      </c>
      <c r="K147" t="s">
        <v>85</v>
      </c>
      <c r="L147" s="17">
        <v>45511</v>
      </c>
      <c r="M147" t="s">
        <v>63</v>
      </c>
      <c r="N147" t="s">
        <v>60</v>
      </c>
      <c r="O147" t="s">
        <v>60</v>
      </c>
      <c r="P147" t="s">
        <v>60</v>
      </c>
    </row>
    <row r="148" spans="1:16" x14ac:dyDescent="0.25">
      <c r="A148" t="s">
        <v>267</v>
      </c>
      <c r="B148" t="s">
        <v>266</v>
      </c>
      <c r="C148" t="s">
        <v>19</v>
      </c>
      <c r="D148">
        <v>2</v>
      </c>
      <c r="E148" t="s">
        <v>17</v>
      </c>
      <c r="F148" t="s">
        <v>395</v>
      </c>
      <c r="G148" t="s">
        <v>61</v>
      </c>
      <c r="H148" s="17">
        <v>45498</v>
      </c>
      <c r="I148" t="s">
        <v>106</v>
      </c>
      <c r="J148" s="17">
        <v>45498</v>
      </c>
      <c r="K148" t="s">
        <v>85</v>
      </c>
      <c r="L148" s="17">
        <v>45511</v>
      </c>
      <c r="M148" t="s">
        <v>63</v>
      </c>
      <c r="N148" t="s">
        <v>60</v>
      </c>
      <c r="O148" t="s">
        <v>60</v>
      </c>
      <c r="P148" t="s">
        <v>60</v>
      </c>
    </row>
    <row r="149" spans="1:16" x14ac:dyDescent="0.25">
      <c r="A149" t="s">
        <v>268</v>
      </c>
      <c r="B149" t="s">
        <v>266</v>
      </c>
      <c r="C149" t="s">
        <v>19</v>
      </c>
      <c r="D149">
        <v>2</v>
      </c>
      <c r="E149" t="s">
        <v>17</v>
      </c>
      <c r="F149" t="s">
        <v>395</v>
      </c>
      <c r="G149" t="s">
        <v>61</v>
      </c>
      <c r="H149" s="17">
        <v>45498</v>
      </c>
      <c r="I149" t="s">
        <v>106</v>
      </c>
      <c r="J149" s="17">
        <v>45498</v>
      </c>
      <c r="K149" t="s">
        <v>85</v>
      </c>
      <c r="L149" s="17">
        <v>45511</v>
      </c>
      <c r="M149" t="s">
        <v>63</v>
      </c>
      <c r="N149" t="s">
        <v>60</v>
      </c>
      <c r="O149" t="s">
        <v>60</v>
      </c>
      <c r="P149" t="s">
        <v>60</v>
      </c>
    </row>
    <row r="150" spans="1:16" x14ac:dyDescent="0.25">
      <c r="A150" t="s">
        <v>269</v>
      </c>
      <c r="B150" t="s">
        <v>266</v>
      </c>
      <c r="C150" t="s">
        <v>19</v>
      </c>
      <c r="D150">
        <v>2</v>
      </c>
      <c r="E150" t="s">
        <v>17</v>
      </c>
      <c r="F150" t="s">
        <v>395</v>
      </c>
      <c r="G150" t="s">
        <v>61</v>
      </c>
      <c r="H150" s="17">
        <v>45498</v>
      </c>
      <c r="I150" t="s">
        <v>106</v>
      </c>
      <c r="J150" s="17">
        <v>45498</v>
      </c>
      <c r="K150" t="s">
        <v>85</v>
      </c>
      <c r="L150" s="17">
        <v>45511</v>
      </c>
      <c r="M150" t="s">
        <v>63</v>
      </c>
      <c r="N150" t="s">
        <v>60</v>
      </c>
      <c r="O150" t="s">
        <v>60</v>
      </c>
      <c r="P150" t="s">
        <v>60</v>
      </c>
    </row>
    <row r="151" spans="1:16" x14ac:dyDescent="0.25">
      <c r="A151" t="s">
        <v>270</v>
      </c>
      <c r="B151" t="s">
        <v>266</v>
      </c>
      <c r="C151" t="s">
        <v>18</v>
      </c>
      <c r="D151">
        <v>2</v>
      </c>
      <c r="E151" t="s">
        <v>17</v>
      </c>
      <c r="F151" t="s">
        <v>395</v>
      </c>
      <c r="G151" t="s">
        <v>61</v>
      </c>
      <c r="H151" s="17">
        <v>45498</v>
      </c>
      <c r="I151" t="s">
        <v>106</v>
      </c>
      <c r="J151" s="17">
        <v>45498</v>
      </c>
      <c r="K151" t="s">
        <v>85</v>
      </c>
      <c r="L151" s="17">
        <v>45511</v>
      </c>
      <c r="M151" t="s">
        <v>63</v>
      </c>
      <c r="N151" t="s">
        <v>60</v>
      </c>
      <c r="O151" t="s">
        <v>60</v>
      </c>
      <c r="P151" t="s">
        <v>60</v>
      </c>
    </row>
    <row r="152" spans="1:16" x14ac:dyDescent="0.25">
      <c r="A152" t="s">
        <v>272</v>
      </c>
      <c r="B152" t="s">
        <v>273</v>
      </c>
      <c r="C152" t="s">
        <v>18</v>
      </c>
      <c r="D152">
        <v>1</v>
      </c>
      <c r="E152" t="s">
        <v>17</v>
      </c>
      <c r="F152" t="s">
        <v>395</v>
      </c>
      <c r="G152" t="s">
        <v>61</v>
      </c>
      <c r="H152" s="17">
        <v>45545</v>
      </c>
      <c r="I152" t="s">
        <v>85</v>
      </c>
      <c r="J152" s="17">
        <v>45545</v>
      </c>
      <c r="K152" t="s">
        <v>149</v>
      </c>
      <c r="L152" s="17">
        <v>45601</v>
      </c>
      <c r="M152" t="s">
        <v>63</v>
      </c>
      <c r="N152" t="s">
        <v>60</v>
      </c>
      <c r="O152" t="s">
        <v>60</v>
      </c>
      <c r="P152" t="s">
        <v>60</v>
      </c>
    </row>
    <row r="153" spans="1:16" x14ac:dyDescent="0.25">
      <c r="A153" t="s">
        <v>274</v>
      </c>
      <c r="B153" t="s">
        <v>273</v>
      </c>
      <c r="C153" t="s">
        <v>18</v>
      </c>
      <c r="D153">
        <v>1</v>
      </c>
      <c r="E153" t="s">
        <v>17</v>
      </c>
      <c r="F153" t="s">
        <v>395</v>
      </c>
      <c r="G153" t="s">
        <v>61</v>
      </c>
      <c r="H153" s="17">
        <v>45545</v>
      </c>
      <c r="I153" t="s">
        <v>85</v>
      </c>
      <c r="J153" s="17">
        <v>45545</v>
      </c>
      <c r="K153" t="s">
        <v>149</v>
      </c>
      <c r="L153" s="17">
        <v>45601</v>
      </c>
      <c r="M153" t="s">
        <v>63</v>
      </c>
      <c r="N153" t="s">
        <v>60</v>
      </c>
      <c r="O153" t="s">
        <v>60</v>
      </c>
      <c r="P153" t="s">
        <v>60</v>
      </c>
    </row>
    <row r="154" spans="1:16" x14ac:dyDescent="0.25">
      <c r="A154" t="s">
        <v>275</v>
      </c>
      <c r="B154" t="s">
        <v>273</v>
      </c>
      <c r="C154" t="s">
        <v>19</v>
      </c>
      <c r="D154">
        <v>2</v>
      </c>
      <c r="E154" t="s">
        <v>17</v>
      </c>
      <c r="F154" t="s">
        <v>395</v>
      </c>
      <c r="G154" t="s">
        <v>61</v>
      </c>
      <c r="H154" s="17">
        <v>45545</v>
      </c>
      <c r="I154" t="s">
        <v>85</v>
      </c>
      <c r="J154" s="17">
        <v>45545</v>
      </c>
      <c r="K154" t="s">
        <v>149</v>
      </c>
      <c r="L154" s="17">
        <v>45601</v>
      </c>
      <c r="M154" t="s">
        <v>63</v>
      </c>
      <c r="N154" t="s">
        <v>60</v>
      </c>
      <c r="O154" t="s">
        <v>60</v>
      </c>
      <c r="P154" t="s">
        <v>60</v>
      </c>
    </row>
    <row r="155" spans="1:16" x14ac:dyDescent="0.25">
      <c r="A155" t="s">
        <v>276</v>
      </c>
      <c r="B155" t="s">
        <v>273</v>
      </c>
      <c r="C155" t="s">
        <v>18</v>
      </c>
      <c r="D155">
        <v>2</v>
      </c>
      <c r="E155" t="s">
        <v>17</v>
      </c>
      <c r="F155" t="s">
        <v>395</v>
      </c>
      <c r="G155" t="s">
        <v>61</v>
      </c>
      <c r="H155" s="17">
        <v>45545</v>
      </c>
      <c r="I155" t="s">
        <v>85</v>
      </c>
      <c r="J155" s="17">
        <v>45545</v>
      </c>
      <c r="K155" t="s">
        <v>149</v>
      </c>
      <c r="L155" s="17">
        <v>45601</v>
      </c>
      <c r="M155" t="s">
        <v>63</v>
      </c>
      <c r="N155" t="s">
        <v>60</v>
      </c>
      <c r="O155" t="s">
        <v>60</v>
      </c>
      <c r="P155" t="s">
        <v>60</v>
      </c>
    </row>
    <row r="156" spans="1:16" x14ac:dyDescent="0.25">
      <c r="A156" t="s">
        <v>277</v>
      </c>
      <c r="B156" t="s">
        <v>273</v>
      </c>
      <c r="C156" t="s">
        <v>18</v>
      </c>
      <c r="D156">
        <v>2</v>
      </c>
      <c r="E156" t="s">
        <v>17</v>
      </c>
      <c r="F156" t="s">
        <v>395</v>
      </c>
      <c r="G156" t="s">
        <v>61</v>
      </c>
      <c r="H156" s="17">
        <v>45545</v>
      </c>
      <c r="I156" t="s">
        <v>85</v>
      </c>
      <c r="J156" s="17">
        <v>45545</v>
      </c>
      <c r="K156" t="s">
        <v>149</v>
      </c>
      <c r="L156" s="17">
        <v>45601</v>
      </c>
      <c r="M156" t="s">
        <v>63</v>
      </c>
      <c r="N156" t="s">
        <v>60</v>
      </c>
      <c r="O156" t="s">
        <v>60</v>
      </c>
      <c r="P156" t="s">
        <v>60</v>
      </c>
    </row>
    <row r="157" spans="1:16" x14ac:dyDescent="0.25">
      <c r="A157" t="s">
        <v>278</v>
      </c>
      <c r="B157" t="s">
        <v>279</v>
      </c>
      <c r="C157" t="s">
        <v>19</v>
      </c>
      <c r="D157">
        <v>2</v>
      </c>
      <c r="E157" t="s">
        <v>17</v>
      </c>
      <c r="F157" t="s">
        <v>395</v>
      </c>
      <c r="G157" t="s">
        <v>61</v>
      </c>
      <c r="H157" s="17">
        <v>45545</v>
      </c>
      <c r="I157" t="s">
        <v>85</v>
      </c>
      <c r="J157" s="17">
        <v>45545</v>
      </c>
      <c r="K157" t="s">
        <v>149</v>
      </c>
      <c r="L157" s="17">
        <v>45601</v>
      </c>
      <c r="M157" t="s">
        <v>63</v>
      </c>
      <c r="N157" t="s">
        <v>60</v>
      </c>
      <c r="O157" t="s">
        <v>60</v>
      </c>
      <c r="P157" t="s">
        <v>60</v>
      </c>
    </row>
    <row r="158" spans="1:16" x14ac:dyDescent="0.25">
      <c r="A158" t="s">
        <v>280</v>
      </c>
      <c r="B158" t="s">
        <v>279</v>
      </c>
      <c r="C158" t="s">
        <v>18</v>
      </c>
      <c r="D158">
        <v>2</v>
      </c>
      <c r="E158" t="s">
        <v>17</v>
      </c>
      <c r="F158" t="s">
        <v>395</v>
      </c>
      <c r="G158" t="s">
        <v>61</v>
      </c>
      <c r="H158" s="17">
        <v>45545</v>
      </c>
      <c r="I158" t="s">
        <v>85</v>
      </c>
      <c r="J158" s="17">
        <v>45545</v>
      </c>
      <c r="K158" t="s">
        <v>149</v>
      </c>
      <c r="L158" s="17">
        <v>45601</v>
      </c>
      <c r="M158" t="s">
        <v>63</v>
      </c>
      <c r="N158" t="s">
        <v>60</v>
      </c>
      <c r="O158" t="s">
        <v>60</v>
      </c>
      <c r="P158" t="s">
        <v>60</v>
      </c>
    </row>
    <row r="159" spans="1:16" x14ac:dyDescent="0.25">
      <c r="A159" t="s">
        <v>281</v>
      </c>
      <c r="B159" t="s">
        <v>279</v>
      </c>
      <c r="C159" t="s">
        <v>19</v>
      </c>
      <c r="D159">
        <v>2</v>
      </c>
      <c r="E159" t="s">
        <v>17</v>
      </c>
      <c r="F159" t="s">
        <v>395</v>
      </c>
      <c r="G159" t="s">
        <v>61</v>
      </c>
      <c r="H159" s="17">
        <v>45545</v>
      </c>
      <c r="I159" t="s">
        <v>85</v>
      </c>
      <c r="J159" s="17">
        <v>45545</v>
      </c>
      <c r="K159" t="s">
        <v>149</v>
      </c>
      <c r="L159" s="17">
        <v>45601</v>
      </c>
      <c r="M159" t="s">
        <v>63</v>
      </c>
      <c r="N159" t="s">
        <v>60</v>
      </c>
      <c r="O159" t="s">
        <v>60</v>
      </c>
      <c r="P159" t="s">
        <v>60</v>
      </c>
    </row>
    <row r="160" spans="1:16" x14ac:dyDescent="0.25">
      <c r="A160" t="s">
        <v>282</v>
      </c>
      <c r="B160" t="s">
        <v>279</v>
      </c>
      <c r="C160" t="s">
        <v>18</v>
      </c>
      <c r="D160">
        <v>2</v>
      </c>
      <c r="E160" t="s">
        <v>17</v>
      </c>
      <c r="F160" t="s">
        <v>395</v>
      </c>
      <c r="G160" t="s">
        <v>61</v>
      </c>
      <c r="H160" s="17">
        <v>45545</v>
      </c>
      <c r="I160" t="s">
        <v>85</v>
      </c>
      <c r="J160" s="17">
        <v>45545</v>
      </c>
      <c r="K160" t="s">
        <v>149</v>
      </c>
      <c r="L160" s="17">
        <v>45601</v>
      </c>
      <c r="M160" t="s">
        <v>63</v>
      </c>
      <c r="N160" t="s">
        <v>60</v>
      </c>
      <c r="O160" t="s">
        <v>60</v>
      </c>
      <c r="P160" t="s">
        <v>60</v>
      </c>
    </row>
    <row r="161" spans="1:16" x14ac:dyDescent="0.25">
      <c r="A161" t="s">
        <v>283</v>
      </c>
      <c r="B161" t="s">
        <v>279</v>
      </c>
      <c r="C161" t="s">
        <v>18</v>
      </c>
      <c r="D161">
        <v>2</v>
      </c>
      <c r="E161" t="s">
        <v>17</v>
      </c>
      <c r="F161" t="s">
        <v>395</v>
      </c>
      <c r="G161" t="s">
        <v>61</v>
      </c>
      <c r="H161" s="17">
        <v>45545</v>
      </c>
      <c r="I161" t="s">
        <v>85</v>
      </c>
      <c r="J161" s="17">
        <v>45545</v>
      </c>
      <c r="K161" t="s">
        <v>149</v>
      </c>
      <c r="L161" s="17">
        <v>45601</v>
      </c>
      <c r="M161" t="s">
        <v>63</v>
      </c>
      <c r="N161" t="s">
        <v>60</v>
      </c>
      <c r="O161" t="s">
        <v>60</v>
      </c>
      <c r="P161" t="s">
        <v>60</v>
      </c>
    </row>
    <row r="162" spans="1:16" x14ac:dyDescent="0.25">
      <c r="A162" t="s">
        <v>284</v>
      </c>
      <c r="B162" t="s">
        <v>285</v>
      </c>
      <c r="C162" t="s">
        <v>19</v>
      </c>
      <c r="D162">
        <v>2</v>
      </c>
      <c r="E162" t="s">
        <v>17</v>
      </c>
      <c r="F162" t="s">
        <v>395</v>
      </c>
      <c r="G162" t="s">
        <v>61</v>
      </c>
      <c r="H162" s="17">
        <v>45545</v>
      </c>
      <c r="I162" t="s">
        <v>85</v>
      </c>
      <c r="J162" s="17">
        <v>45545</v>
      </c>
      <c r="K162" t="s">
        <v>149</v>
      </c>
      <c r="L162" s="17">
        <v>45601</v>
      </c>
      <c r="M162" t="s">
        <v>63</v>
      </c>
      <c r="N162" t="s">
        <v>60</v>
      </c>
      <c r="O162" t="s">
        <v>60</v>
      </c>
      <c r="P162" t="s">
        <v>60</v>
      </c>
    </row>
    <row r="163" spans="1:16" x14ac:dyDescent="0.25">
      <c r="A163" t="s">
        <v>286</v>
      </c>
      <c r="B163" t="s">
        <v>285</v>
      </c>
      <c r="C163" t="s">
        <v>18</v>
      </c>
      <c r="D163">
        <v>3</v>
      </c>
      <c r="E163" t="s">
        <v>17</v>
      </c>
      <c r="F163" t="s">
        <v>395</v>
      </c>
      <c r="G163" t="s">
        <v>61</v>
      </c>
      <c r="H163" s="17">
        <v>45545</v>
      </c>
      <c r="I163" t="s">
        <v>85</v>
      </c>
      <c r="J163" s="17">
        <v>45545</v>
      </c>
      <c r="K163" t="s">
        <v>149</v>
      </c>
      <c r="L163" s="17">
        <v>45601</v>
      </c>
      <c r="M163" t="s">
        <v>63</v>
      </c>
      <c r="N163" t="s">
        <v>60</v>
      </c>
      <c r="O163" t="s">
        <v>60</v>
      </c>
      <c r="P163" t="s">
        <v>60</v>
      </c>
    </row>
    <row r="164" spans="1:16" x14ac:dyDescent="0.25">
      <c r="A164" t="s">
        <v>287</v>
      </c>
      <c r="B164" t="s">
        <v>285</v>
      </c>
      <c r="C164" t="s">
        <v>18</v>
      </c>
      <c r="D164">
        <v>2</v>
      </c>
      <c r="E164" t="s">
        <v>17</v>
      </c>
      <c r="F164" t="s">
        <v>395</v>
      </c>
      <c r="G164" t="s">
        <v>61</v>
      </c>
      <c r="H164" s="17">
        <v>45545</v>
      </c>
      <c r="I164" t="s">
        <v>85</v>
      </c>
      <c r="J164" s="17">
        <v>45545</v>
      </c>
      <c r="K164" t="s">
        <v>149</v>
      </c>
      <c r="L164" s="17">
        <v>45601</v>
      </c>
      <c r="M164" t="s">
        <v>63</v>
      </c>
      <c r="N164" t="s">
        <v>60</v>
      </c>
      <c r="O164" t="s">
        <v>60</v>
      </c>
      <c r="P164" t="s">
        <v>60</v>
      </c>
    </row>
    <row r="165" spans="1:16" x14ac:dyDescent="0.25">
      <c r="A165" t="s">
        <v>288</v>
      </c>
      <c r="B165" t="s">
        <v>285</v>
      </c>
      <c r="C165" t="s">
        <v>18</v>
      </c>
      <c r="D165">
        <v>2</v>
      </c>
      <c r="E165" t="s">
        <v>17</v>
      </c>
      <c r="F165" t="s">
        <v>395</v>
      </c>
      <c r="G165" t="s">
        <v>61</v>
      </c>
      <c r="H165" s="17">
        <v>45545</v>
      </c>
      <c r="I165" t="s">
        <v>85</v>
      </c>
      <c r="J165" s="17">
        <v>45545</v>
      </c>
      <c r="K165" t="s">
        <v>149</v>
      </c>
      <c r="L165" s="17">
        <v>45601</v>
      </c>
      <c r="M165" t="s">
        <v>63</v>
      </c>
      <c r="N165" t="s">
        <v>60</v>
      </c>
      <c r="O165" t="s">
        <v>60</v>
      </c>
      <c r="P165" t="s">
        <v>60</v>
      </c>
    </row>
    <row r="166" spans="1:16" x14ac:dyDescent="0.25">
      <c r="A166" t="s">
        <v>289</v>
      </c>
      <c r="B166" t="s">
        <v>285</v>
      </c>
      <c r="C166" t="s">
        <v>18</v>
      </c>
      <c r="D166">
        <v>2</v>
      </c>
      <c r="E166" t="s">
        <v>17</v>
      </c>
      <c r="F166" t="s">
        <v>395</v>
      </c>
      <c r="G166" t="s">
        <v>61</v>
      </c>
      <c r="H166" s="17">
        <v>45545</v>
      </c>
      <c r="I166" t="s">
        <v>85</v>
      </c>
      <c r="J166" s="17">
        <v>45545</v>
      </c>
      <c r="K166" t="s">
        <v>149</v>
      </c>
      <c r="L166" s="17">
        <v>45601</v>
      </c>
      <c r="M166" t="s">
        <v>63</v>
      </c>
      <c r="N166" t="s">
        <v>60</v>
      </c>
      <c r="O166" t="s">
        <v>60</v>
      </c>
      <c r="P166" t="s">
        <v>60</v>
      </c>
    </row>
    <row r="167" spans="1:16" x14ac:dyDescent="0.25">
      <c r="A167" t="s">
        <v>290</v>
      </c>
      <c r="B167" t="s">
        <v>291</v>
      </c>
      <c r="C167" t="s">
        <v>19</v>
      </c>
      <c r="D167">
        <v>2</v>
      </c>
      <c r="E167" t="s">
        <v>17</v>
      </c>
      <c r="F167" t="s">
        <v>395</v>
      </c>
      <c r="G167" t="s">
        <v>61</v>
      </c>
      <c r="H167" s="17">
        <v>45560</v>
      </c>
      <c r="I167" t="s">
        <v>149</v>
      </c>
      <c r="J167" s="17">
        <v>45561</v>
      </c>
      <c r="K167" t="s">
        <v>85</v>
      </c>
      <c r="L167" s="17">
        <v>45601</v>
      </c>
      <c r="M167" t="s">
        <v>63</v>
      </c>
      <c r="N167" t="s">
        <v>60</v>
      </c>
      <c r="O167" t="s">
        <v>60</v>
      </c>
      <c r="P167" t="s">
        <v>60</v>
      </c>
    </row>
    <row r="168" spans="1:16" x14ac:dyDescent="0.25">
      <c r="A168" t="s">
        <v>293</v>
      </c>
      <c r="B168" t="s">
        <v>291</v>
      </c>
      <c r="C168" t="s">
        <v>18</v>
      </c>
      <c r="D168">
        <v>2</v>
      </c>
      <c r="E168" t="s">
        <v>17</v>
      </c>
      <c r="F168" t="s">
        <v>395</v>
      </c>
      <c r="G168" t="s">
        <v>61</v>
      </c>
      <c r="H168" s="17">
        <v>45560</v>
      </c>
      <c r="I168" t="s">
        <v>149</v>
      </c>
      <c r="J168" s="17">
        <v>45561</v>
      </c>
      <c r="K168" t="s">
        <v>85</v>
      </c>
      <c r="L168" s="17">
        <v>45601</v>
      </c>
      <c r="M168" t="s">
        <v>63</v>
      </c>
      <c r="N168" t="s">
        <v>60</v>
      </c>
      <c r="O168" t="s">
        <v>60</v>
      </c>
      <c r="P168" t="s">
        <v>60</v>
      </c>
    </row>
    <row r="169" spans="1:16" x14ac:dyDescent="0.25">
      <c r="A169" t="s">
        <v>295</v>
      </c>
      <c r="B169" t="s">
        <v>291</v>
      </c>
      <c r="C169" t="s">
        <v>18</v>
      </c>
      <c r="D169">
        <v>2</v>
      </c>
      <c r="E169" t="s">
        <v>17</v>
      </c>
      <c r="F169" t="s">
        <v>395</v>
      </c>
      <c r="G169" t="s">
        <v>61</v>
      </c>
      <c r="H169" s="17">
        <v>45560</v>
      </c>
      <c r="I169" t="s">
        <v>149</v>
      </c>
      <c r="J169" s="17">
        <v>45561</v>
      </c>
      <c r="K169" t="s">
        <v>85</v>
      </c>
      <c r="L169" s="17">
        <v>45601</v>
      </c>
      <c r="M169" t="s">
        <v>63</v>
      </c>
      <c r="N169" t="s">
        <v>60</v>
      </c>
      <c r="O169" t="s">
        <v>60</v>
      </c>
      <c r="P169" t="s">
        <v>60</v>
      </c>
    </row>
    <row r="170" spans="1:16" x14ac:dyDescent="0.25">
      <c r="A170" t="s">
        <v>296</v>
      </c>
      <c r="B170" t="s">
        <v>291</v>
      </c>
      <c r="C170" t="s">
        <v>19</v>
      </c>
      <c r="D170">
        <v>2</v>
      </c>
      <c r="E170" t="s">
        <v>17</v>
      </c>
      <c r="F170" t="s">
        <v>395</v>
      </c>
      <c r="G170" t="s">
        <v>61</v>
      </c>
      <c r="H170" s="17">
        <v>45560</v>
      </c>
      <c r="I170" t="s">
        <v>149</v>
      </c>
      <c r="J170" s="17">
        <v>45561</v>
      </c>
      <c r="K170" t="s">
        <v>85</v>
      </c>
      <c r="L170" s="17">
        <v>45601</v>
      </c>
      <c r="M170" t="s">
        <v>63</v>
      </c>
      <c r="N170" t="s">
        <v>60</v>
      </c>
      <c r="O170" t="s">
        <v>60</v>
      </c>
      <c r="P170" t="s">
        <v>60</v>
      </c>
    </row>
    <row r="171" spans="1:16" x14ac:dyDescent="0.25">
      <c r="A171" t="s">
        <v>297</v>
      </c>
      <c r="B171" t="s">
        <v>291</v>
      </c>
      <c r="C171" t="s">
        <v>18</v>
      </c>
      <c r="D171">
        <v>2</v>
      </c>
      <c r="E171" t="s">
        <v>17</v>
      </c>
      <c r="F171" t="s">
        <v>395</v>
      </c>
      <c r="G171" t="s">
        <v>61</v>
      </c>
      <c r="H171" s="17">
        <v>45560</v>
      </c>
      <c r="I171" t="s">
        <v>149</v>
      </c>
      <c r="J171" s="17">
        <v>45561</v>
      </c>
      <c r="K171" t="s">
        <v>85</v>
      </c>
      <c r="L171" s="17">
        <v>45601</v>
      </c>
      <c r="M171" t="s">
        <v>63</v>
      </c>
      <c r="N171" t="s">
        <v>60</v>
      </c>
      <c r="O171" t="s">
        <v>60</v>
      </c>
      <c r="P171" t="s">
        <v>60</v>
      </c>
    </row>
    <row r="172" spans="1:16" x14ac:dyDescent="0.25">
      <c r="A172" t="s">
        <v>298</v>
      </c>
      <c r="B172" t="s">
        <v>299</v>
      </c>
      <c r="C172" t="s">
        <v>19</v>
      </c>
      <c r="D172">
        <v>2</v>
      </c>
      <c r="E172" t="s">
        <v>17</v>
      </c>
      <c r="F172" t="s">
        <v>395</v>
      </c>
      <c r="G172" t="s">
        <v>61</v>
      </c>
      <c r="H172" s="17">
        <v>45560</v>
      </c>
      <c r="I172" t="s">
        <v>149</v>
      </c>
      <c r="J172" s="17">
        <v>45561</v>
      </c>
      <c r="K172" t="s">
        <v>85</v>
      </c>
      <c r="L172" s="17">
        <v>45601</v>
      </c>
      <c r="M172" t="s">
        <v>63</v>
      </c>
      <c r="N172" t="s">
        <v>60</v>
      </c>
      <c r="O172" t="s">
        <v>60</v>
      </c>
      <c r="P172" t="s">
        <v>60</v>
      </c>
    </row>
    <row r="173" spans="1:16" x14ac:dyDescent="0.25">
      <c r="A173" t="s">
        <v>301</v>
      </c>
      <c r="B173" t="s">
        <v>299</v>
      </c>
      <c r="C173" t="s">
        <v>18</v>
      </c>
      <c r="D173">
        <v>2</v>
      </c>
      <c r="E173" t="s">
        <v>17</v>
      </c>
      <c r="F173" t="s">
        <v>395</v>
      </c>
      <c r="G173" t="s">
        <v>61</v>
      </c>
      <c r="H173" s="17">
        <v>45560</v>
      </c>
      <c r="I173" t="s">
        <v>149</v>
      </c>
      <c r="J173" s="17">
        <v>45561</v>
      </c>
      <c r="K173" t="s">
        <v>85</v>
      </c>
      <c r="L173" s="17">
        <v>45601</v>
      </c>
      <c r="M173" t="s">
        <v>63</v>
      </c>
      <c r="N173" t="s">
        <v>60</v>
      </c>
      <c r="O173" t="s">
        <v>60</v>
      </c>
      <c r="P173" t="s">
        <v>60</v>
      </c>
    </row>
    <row r="174" spans="1:16" x14ac:dyDescent="0.25">
      <c r="A174" t="s">
        <v>302</v>
      </c>
      <c r="B174" t="s">
        <v>299</v>
      </c>
      <c r="C174" t="s">
        <v>18</v>
      </c>
      <c r="D174">
        <v>2</v>
      </c>
      <c r="E174" t="s">
        <v>21</v>
      </c>
      <c r="F174" t="s">
        <v>395</v>
      </c>
      <c r="G174" t="s">
        <v>61</v>
      </c>
      <c r="H174" s="17">
        <v>45560</v>
      </c>
      <c r="I174" t="s">
        <v>149</v>
      </c>
      <c r="J174" s="17">
        <v>45561</v>
      </c>
      <c r="K174" t="s">
        <v>85</v>
      </c>
      <c r="L174" s="17">
        <v>45601</v>
      </c>
      <c r="M174" t="s">
        <v>63</v>
      </c>
      <c r="N174" t="s">
        <v>60</v>
      </c>
      <c r="O174" t="s">
        <v>60</v>
      </c>
      <c r="P174" t="s">
        <v>60</v>
      </c>
    </row>
    <row r="175" spans="1:16" x14ac:dyDescent="0.25">
      <c r="A175" t="s">
        <v>303</v>
      </c>
      <c r="B175" t="s">
        <v>299</v>
      </c>
      <c r="C175" t="s">
        <v>18</v>
      </c>
      <c r="D175">
        <v>2</v>
      </c>
      <c r="E175" t="s">
        <v>17</v>
      </c>
      <c r="F175" t="s">
        <v>395</v>
      </c>
      <c r="G175" t="s">
        <v>61</v>
      </c>
      <c r="H175" s="17">
        <v>45560</v>
      </c>
      <c r="I175" t="s">
        <v>149</v>
      </c>
      <c r="J175" s="17">
        <v>45561</v>
      </c>
      <c r="K175" t="s">
        <v>85</v>
      </c>
      <c r="L175" s="17">
        <v>45601</v>
      </c>
      <c r="M175" t="s">
        <v>63</v>
      </c>
      <c r="N175" t="s">
        <v>60</v>
      </c>
      <c r="O175" t="s">
        <v>60</v>
      </c>
      <c r="P175" t="s">
        <v>60</v>
      </c>
    </row>
    <row r="176" spans="1:16" x14ac:dyDescent="0.25">
      <c r="A176" t="s">
        <v>304</v>
      </c>
      <c r="B176" t="s">
        <v>299</v>
      </c>
      <c r="C176" t="s">
        <v>18</v>
      </c>
      <c r="D176">
        <v>2</v>
      </c>
      <c r="E176" t="s">
        <v>17</v>
      </c>
      <c r="F176" t="s">
        <v>395</v>
      </c>
      <c r="G176" t="s">
        <v>61</v>
      </c>
      <c r="H176" s="17">
        <v>45560</v>
      </c>
      <c r="I176" t="s">
        <v>149</v>
      </c>
      <c r="J176" s="17">
        <v>45561</v>
      </c>
      <c r="K176" t="s">
        <v>85</v>
      </c>
      <c r="L176" s="17">
        <v>45601</v>
      </c>
      <c r="M176" t="s">
        <v>63</v>
      </c>
      <c r="N176" t="s">
        <v>60</v>
      </c>
      <c r="O176" t="s">
        <v>60</v>
      </c>
      <c r="P176" t="s">
        <v>60</v>
      </c>
    </row>
    <row r="177" spans="1:16" x14ac:dyDescent="0.25">
      <c r="A177" t="s">
        <v>305</v>
      </c>
      <c r="B177" t="s">
        <v>306</v>
      </c>
      <c r="C177" t="s">
        <v>19</v>
      </c>
      <c r="D177">
        <v>2</v>
      </c>
      <c r="E177" t="s">
        <v>17</v>
      </c>
      <c r="F177" t="s">
        <v>395</v>
      </c>
      <c r="G177" t="s">
        <v>61</v>
      </c>
      <c r="H177" s="17">
        <v>45560</v>
      </c>
      <c r="I177" t="s">
        <v>149</v>
      </c>
      <c r="J177" s="17">
        <v>45561</v>
      </c>
      <c r="K177" t="s">
        <v>85</v>
      </c>
      <c r="L177" s="17">
        <v>45601</v>
      </c>
      <c r="M177" t="s">
        <v>63</v>
      </c>
      <c r="N177" t="s">
        <v>60</v>
      </c>
      <c r="O177" t="s">
        <v>60</v>
      </c>
      <c r="P177" t="s">
        <v>60</v>
      </c>
    </row>
    <row r="178" spans="1:16" x14ac:dyDescent="0.25">
      <c r="A178" t="s">
        <v>307</v>
      </c>
      <c r="B178" t="s">
        <v>306</v>
      </c>
      <c r="C178" t="s">
        <v>18</v>
      </c>
      <c r="D178">
        <v>2</v>
      </c>
      <c r="E178" t="s">
        <v>21</v>
      </c>
      <c r="F178" t="s">
        <v>395</v>
      </c>
      <c r="G178" t="s">
        <v>61</v>
      </c>
      <c r="H178" s="17">
        <v>45560</v>
      </c>
      <c r="I178" t="s">
        <v>149</v>
      </c>
      <c r="J178" s="17">
        <v>45561</v>
      </c>
      <c r="K178" t="s">
        <v>85</v>
      </c>
      <c r="L178" s="17">
        <v>45601</v>
      </c>
      <c r="M178" t="s">
        <v>63</v>
      </c>
      <c r="N178" t="s">
        <v>60</v>
      </c>
      <c r="O178" t="s">
        <v>60</v>
      </c>
      <c r="P178" t="s">
        <v>60</v>
      </c>
    </row>
    <row r="179" spans="1:16" x14ac:dyDescent="0.25">
      <c r="A179" t="s">
        <v>308</v>
      </c>
      <c r="B179" t="s">
        <v>306</v>
      </c>
      <c r="C179" t="s">
        <v>18</v>
      </c>
      <c r="D179">
        <v>2</v>
      </c>
      <c r="E179" t="s">
        <v>17</v>
      </c>
      <c r="F179" t="s">
        <v>395</v>
      </c>
      <c r="G179" t="s">
        <v>61</v>
      </c>
      <c r="H179" s="17">
        <v>45560</v>
      </c>
      <c r="I179" t="s">
        <v>149</v>
      </c>
      <c r="J179" s="17">
        <v>45561</v>
      </c>
      <c r="K179" t="s">
        <v>85</v>
      </c>
      <c r="L179" s="17">
        <v>45601</v>
      </c>
      <c r="M179" t="s">
        <v>63</v>
      </c>
      <c r="N179" t="s">
        <v>60</v>
      </c>
      <c r="O179" t="s">
        <v>60</v>
      </c>
      <c r="P179" t="s">
        <v>60</v>
      </c>
    </row>
    <row r="180" spans="1:16" x14ac:dyDescent="0.25">
      <c r="A180" t="s">
        <v>309</v>
      </c>
      <c r="B180" t="s">
        <v>306</v>
      </c>
      <c r="C180" t="s">
        <v>18</v>
      </c>
      <c r="D180">
        <v>2</v>
      </c>
      <c r="E180" t="s">
        <v>17</v>
      </c>
      <c r="F180" t="s">
        <v>395</v>
      </c>
      <c r="G180" t="s">
        <v>61</v>
      </c>
      <c r="H180" s="17">
        <v>45560</v>
      </c>
      <c r="I180" t="s">
        <v>149</v>
      </c>
      <c r="J180" s="17">
        <v>45561</v>
      </c>
      <c r="K180" t="s">
        <v>85</v>
      </c>
      <c r="L180" s="17">
        <v>45601</v>
      </c>
      <c r="M180" t="s">
        <v>63</v>
      </c>
      <c r="N180" t="s">
        <v>60</v>
      </c>
      <c r="O180" t="s">
        <v>60</v>
      </c>
      <c r="P180" t="s">
        <v>60</v>
      </c>
    </row>
    <row r="181" spans="1:16" x14ac:dyDescent="0.25">
      <c r="A181" t="s">
        <v>310</v>
      </c>
      <c r="B181" t="s">
        <v>306</v>
      </c>
      <c r="C181" t="s">
        <v>18</v>
      </c>
      <c r="D181">
        <v>2</v>
      </c>
      <c r="E181" t="s">
        <v>17</v>
      </c>
      <c r="F181" t="s">
        <v>395</v>
      </c>
      <c r="G181" t="s">
        <v>61</v>
      </c>
      <c r="H181" s="17">
        <v>45560</v>
      </c>
      <c r="I181" t="s">
        <v>149</v>
      </c>
      <c r="J181" s="17">
        <v>45561</v>
      </c>
      <c r="K181" t="s">
        <v>85</v>
      </c>
      <c r="L181" s="17">
        <v>45601</v>
      </c>
      <c r="M181" t="s">
        <v>63</v>
      </c>
      <c r="N181" t="s">
        <v>60</v>
      </c>
      <c r="O181" t="s">
        <v>60</v>
      </c>
      <c r="P181" t="s">
        <v>60</v>
      </c>
    </row>
    <row r="182" spans="1:16" x14ac:dyDescent="0.25">
      <c r="A182" t="s">
        <v>311</v>
      </c>
      <c r="B182" t="s">
        <v>312</v>
      </c>
      <c r="C182" t="s">
        <v>18</v>
      </c>
      <c r="D182">
        <v>2</v>
      </c>
      <c r="E182" t="s">
        <v>21</v>
      </c>
      <c r="F182" t="s">
        <v>395</v>
      </c>
      <c r="G182" t="s">
        <v>61</v>
      </c>
      <c r="H182" s="17">
        <v>45594</v>
      </c>
      <c r="I182" t="s">
        <v>85</v>
      </c>
      <c r="J182" s="17">
        <v>45594</v>
      </c>
      <c r="K182" t="s">
        <v>85</v>
      </c>
      <c r="L182" s="17">
        <v>45601</v>
      </c>
      <c r="M182" t="s">
        <v>63</v>
      </c>
      <c r="N182" t="s">
        <v>60</v>
      </c>
      <c r="O182" t="s">
        <v>60</v>
      </c>
      <c r="P182" t="s">
        <v>60</v>
      </c>
    </row>
    <row r="183" spans="1:16" x14ac:dyDescent="0.25">
      <c r="A183" t="s">
        <v>314</v>
      </c>
      <c r="B183" t="s">
        <v>312</v>
      </c>
      <c r="C183" t="s">
        <v>18</v>
      </c>
      <c r="D183">
        <v>2</v>
      </c>
      <c r="E183" t="s">
        <v>17</v>
      </c>
      <c r="F183" t="s">
        <v>395</v>
      </c>
      <c r="G183" t="s">
        <v>61</v>
      </c>
      <c r="H183" s="17">
        <v>45594</v>
      </c>
      <c r="I183" t="s">
        <v>85</v>
      </c>
      <c r="J183" s="17">
        <v>45594</v>
      </c>
      <c r="K183" t="s">
        <v>85</v>
      </c>
      <c r="L183" s="17">
        <v>45601</v>
      </c>
      <c r="M183" t="s">
        <v>63</v>
      </c>
      <c r="N183" t="s">
        <v>60</v>
      </c>
      <c r="O183" t="s">
        <v>60</v>
      </c>
      <c r="P183" t="s">
        <v>60</v>
      </c>
    </row>
    <row r="184" spans="1:16" x14ac:dyDescent="0.25">
      <c r="A184" t="s">
        <v>315</v>
      </c>
      <c r="B184" t="s">
        <v>312</v>
      </c>
      <c r="C184" t="s">
        <v>18</v>
      </c>
      <c r="D184">
        <v>2</v>
      </c>
      <c r="E184" t="s">
        <v>17</v>
      </c>
      <c r="F184" t="s">
        <v>395</v>
      </c>
      <c r="G184" t="s">
        <v>61</v>
      </c>
      <c r="H184" s="17">
        <v>45594</v>
      </c>
      <c r="I184" t="s">
        <v>85</v>
      </c>
      <c r="J184" s="17">
        <v>45594</v>
      </c>
      <c r="K184" t="s">
        <v>85</v>
      </c>
      <c r="L184" s="17">
        <v>45601</v>
      </c>
      <c r="M184" t="s">
        <v>63</v>
      </c>
      <c r="N184" t="s">
        <v>60</v>
      </c>
      <c r="O184" t="s">
        <v>60</v>
      </c>
      <c r="P184" t="s">
        <v>60</v>
      </c>
    </row>
    <row r="185" spans="1:16" x14ac:dyDescent="0.25">
      <c r="A185" t="s">
        <v>316</v>
      </c>
      <c r="B185" t="s">
        <v>312</v>
      </c>
      <c r="C185" t="s">
        <v>18</v>
      </c>
      <c r="D185">
        <v>2</v>
      </c>
      <c r="E185" t="s">
        <v>17</v>
      </c>
      <c r="F185" t="s">
        <v>395</v>
      </c>
      <c r="G185" t="s">
        <v>61</v>
      </c>
      <c r="H185" s="17">
        <v>45594</v>
      </c>
      <c r="I185" t="s">
        <v>85</v>
      </c>
      <c r="J185" s="17">
        <v>45594</v>
      </c>
      <c r="K185" t="s">
        <v>85</v>
      </c>
      <c r="L185" s="17">
        <v>45601</v>
      </c>
      <c r="M185" t="s">
        <v>63</v>
      </c>
      <c r="N185" t="s">
        <v>60</v>
      </c>
      <c r="O185" t="s">
        <v>60</v>
      </c>
      <c r="P185" t="s">
        <v>60</v>
      </c>
    </row>
    <row r="186" spans="1:16" x14ac:dyDescent="0.25">
      <c r="A186" t="s">
        <v>317</v>
      </c>
      <c r="B186" t="s">
        <v>312</v>
      </c>
      <c r="C186" t="s">
        <v>18</v>
      </c>
      <c r="D186">
        <v>2</v>
      </c>
      <c r="E186" t="s">
        <v>21</v>
      </c>
      <c r="F186" t="s">
        <v>395</v>
      </c>
      <c r="G186" t="s">
        <v>61</v>
      </c>
      <c r="H186" s="17">
        <v>45594</v>
      </c>
      <c r="I186" t="s">
        <v>85</v>
      </c>
      <c r="J186" s="17">
        <v>45594</v>
      </c>
      <c r="K186" t="s">
        <v>85</v>
      </c>
      <c r="L186" s="17">
        <v>45601</v>
      </c>
      <c r="M186" t="s">
        <v>63</v>
      </c>
      <c r="N186" t="s">
        <v>60</v>
      </c>
      <c r="O186" t="s">
        <v>60</v>
      </c>
      <c r="P186" t="s">
        <v>60</v>
      </c>
    </row>
    <row r="187" spans="1:16" x14ac:dyDescent="0.25">
      <c r="A187" t="s">
        <v>318</v>
      </c>
      <c r="B187" t="s">
        <v>319</v>
      </c>
      <c r="C187" t="s">
        <v>18</v>
      </c>
      <c r="D187">
        <v>2</v>
      </c>
      <c r="E187" t="s">
        <v>17</v>
      </c>
      <c r="F187" t="s">
        <v>395</v>
      </c>
      <c r="G187" t="s">
        <v>61</v>
      </c>
      <c r="H187" s="17">
        <v>45594</v>
      </c>
      <c r="I187" t="s">
        <v>85</v>
      </c>
      <c r="J187" s="17">
        <v>45594</v>
      </c>
      <c r="K187" t="s">
        <v>85</v>
      </c>
      <c r="L187" s="17">
        <v>45601</v>
      </c>
      <c r="M187" t="s">
        <v>63</v>
      </c>
      <c r="N187" t="s">
        <v>60</v>
      </c>
      <c r="O187" t="s">
        <v>60</v>
      </c>
      <c r="P187" t="s">
        <v>60</v>
      </c>
    </row>
    <row r="188" spans="1:16" x14ac:dyDescent="0.25">
      <c r="A188" t="s">
        <v>321</v>
      </c>
      <c r="B188" t="s">
        <v>319</v>
      </c>
      <c r="C188" t="s">
        <v>19</v>
      </c>
      <c r="D188">
        <v>2</v>
      </c>
      <c r="E188" t="s">
        <v>17</v>
      </c>
      <c r="F188" t="s">
        <v>395</v>
      </c>
      <c r="G188" t="s">
        <v>61</v>
      </c>
      <c r="H188" s="17">
        <v>45594</v>
      </c>
      <c r="I188" t="s">
        <v>85</v>
      </c>
      <c r="J188" s="17">
        <v>45594</v>
      </c>
      <c r="K188" t="s">
        <v>85</v>
      </c>
      <c r="L188" s="17">
        <v>45601</v>
      </c>
      <c r="M188" t="s">
        <v>63</v>
      </c>
      <c r="N188" t="s">
        <v>60</v>
      </c>
      <c r="O188" t="s">
        <v>60</v>
      </c>
      <c r="P188" t="s">
        <v>60</v>
      </c>
    </row>
    <row r="189" spans="1:16" x14ac:dyDescent="0.25">
      <c r="A189" t="s">
        <v>323</v>
      </c>
      <c r="B189" t="s">
        <v>319</v>
      </c>
      <c r="C189" t="s">
        <v>18</v>
      </c>
      <c r="D189">
        <v>2</v>
      </c>
      <c r="E189" t="s">
        <v>17</v>
      </c>
      <c r="F189" t="s">
        <v>395</v>
      </c>
      <c r="G189" t="s">
        <v>61</v>
      </c>
      <c r="H189" s="17">
        <v>45594</v>
      </c>
      <c r="I189" t="s">
        <v>85</v>
      </c>
      <c r="J189" s="17">
        <v>45594</v>
      </c>
      <c r="K189" t="s">
        <v>85</v>
      </c>
      <c r="L189" s="17">
        <v>45601</v>
      </c>
      <c r="M189" t="s">
        <v>63</v>
      </c>
      <c r="N189" t="s">
        <v>60</v>
      </c>
      <c r="O189" t="s">
        <v>60</v>
      </c>
      <c r="P189" t="s">
        <v>60</v>
      </c>
    </row>
    <row r="190" spans="1:16" x14ac:dyDescent="0.25">
      <c r="A190" t="s">
        <v>324</v>
      </c>
      <c r="B190" t="s">
        <v>319</v>
      </c>
      <c r="C190" t="s">
        <v>19</v>
      </c>
      <c r="D190">
        <v>2</v>
      </c>
      <c r="E190" t="s">
        <v>17</v>
      </c>
      <c r="F190" t="s">
        <v>395</v>
      </c>
      <c r="G190" t="s">
        <v>61</v>
      </c>
      <c r="H190" s="17">
        <v>45594</v>
      </c>
      <c r="I190" t="s">
        <v>85</v>
      </c>
      <c r="J190" s="17">
        <v>45594</v>
      </c>
      <c r="K190" t="s">
        <v>85</v>
      </c>
      <c r="L190" s="17">
        <v>45601</v>
      </c>
      <c r="M190" t="s">
        <v>63</v>
      </c>
      <c r="N190" t="s">
        <v>60</v>
      </c>
      <c r="O190" t="s">
        <v>60</v>
      </c>
      <c r="P190" t="s">
        <v>60</v>
      </c>
    </row>
    <row r="191" spans="1:16" x14ac:dyDescent="0.25">
      <c r="A191" t="s">
        <v>325</v>
      </c>
      <c r="B191" t="s">
        <v>319</v>
      </c>
      <c r="C191" t="s">
        <v>18</v>
      </c>
      <c r="D191">
        <v>2</v>
      </c>
      <c r="E191" t="s">
        <v>17</v>
      </c>
      <c r="F191" t="s">
        <v>395</v>
      </c>
      <c r="G191" t="s">
        <v>61</v>
      </c>
      <c r="H191" s="17">
        <v>45594</v>
      </c>
      <c r="I191" t="s">
        <v>85</v>
      </c>
      <c r="J191" s="17">
        <v>45594</v>
      </c>
      <c r="K191" t="s">
        <v>85</v>
      </c>
      <c r="L191" s="17">
        <v>45601</v>
      </c>
      <c r="M191" t="s">
        <v>63</v>
      </c>
      <c r="N191" t="s">
        <v>60</v>
      </c>
      <c r="O191" t="s">
        <v>60</v>
      </c>
      <c r="P191" t="s">
        <v>60</v>
      </c>
    </row>
    <row r="192" spans="1:16" x14ac:dyDescent="0.25">
      <c r="A192" t="s">
        <v>327</v>
      </c>
      <c r="B192" t="s">
        <v>328</v>
      </c>
      <c r="C192" t="s">
        <v>18</v>
      </c>
      <c r="D192">
        <v>2</v>
      </c>
      <c r="E192" t="s">
        <v>17</v>
      </c>
      <c r="F192" t="s">
        <v>395</v>
      </c>
      <c r="G192" t="s">
        <v>61</v>
      </c>
      <c r="H192" s="17">
        <v>45594</v>
      </c>
      <c r="I192" t="s">
        <v>85</v>
      </c>
      <c r="J192" s="17">
        <v>45594</v>
      </c>
      <c r="K192" t="s">
        <v>85</v>
      </c>
      <c r="L192" s="17">
        <v>45601</v>
      </c>
      <c r="M192" t="s">
        <v>63</v>
      </c>
      <c r="N192" t="s">
        <v>60</v>
      </c>
      <c r="O192" t="s">
        <v>60</v>
      </c>
      <c r="P192" t="s">
        <v>60</v>
      </c>
    </row>
    <row r="193" spans="1:16" x14ac:dyDescent="0.25">
      <c r="A193" t="s">
        <v>330</v>
      </c>
      <c r="B193" t="s">
        <v>328</v>
      </c>
      <c r="C193" t="s">
        <v>19</v>
      </c>
      <c r="D193">
        <v>2</v>
      </c>
      <c r="E193" t="s">
        <v>17</v>
      </c>
      <c r="F193" t="s">
        <v>395</v>
      </c>
      <c r="G193" t="s">
        <v>61</v>
      </c>
      <c r="H193" s="17">
        <v>45594</v>
      </c>
      <c r="I193" t="s">
        <v>85</v>
      </c>
      <c r="J193" s="17">
        <v>45594</v>
      </c>
      <c r="K193" t="s">
        <v>85</v>
      </c>
      <c r="L193" s="17">
        <v>45601</v>
      </c>
      <c r="M193" t="s">
        <v>63</v>
      </c>
      <c r="N193" t="s">
        <v>60</v>
      </c>
      <c r="O193" t="s">
        <v>60</v>
      </c>
      <c r="P193" t="s">
        <v>60</v>
      </c>
    </row>
    <row r="194" spans="1:16" x14ac:dyDescent="0.25">
      <c r="A194" t="s">
        <v>331</v>
      </c>
      <c r="B194" t="s">
        <v>328</v>
      </c>
      <c r="C194" t="s">
        <v>18</v>
      </c>
      <c r="D194">
        <v>2</v>
      </c>
      <c r="E194" t="s">
        <v>17</v>
      </c>
      <c r="F194" t="s">
        <v>395</v>
      </c>
      <c r="G194" t="s">
        <v>61</v>
      </c>
      <c r="H194" s="17">
        <v>45594</v>
      </c>
      <c r="I194" t="s">
        <v>85</v>
      </c>
      <c r="J194" s="17">
        <v>45594</v>
      </c>
      <c r="K194" t="s">
        <v>85</v>
      </c>
      <c r="L194" s="17">
        <v>45601</v>
      </c>
      <c r="M194" t="s">
        <v>63</v>
      </c>
      <c r="N194" t="s">
        <v>60</v>
      </c>
      <c r="O194" t="s">
        <v>60</v>
      </c>
      <c r="P194" t="s">
        <v>60</v>
      </c>
    </row>
    <row r="195" spans="1:16" x14ac:dyDescent="0.25">
      <c r="A195" t="s">
        <v>332</v>
      </c>
      <c r="B195" t="s">
        <v>328</v>
      </c>
      <c r="C195" t="s">
        <v>18</v>
      </c>
      <c r="D195">
        <v>2</v>
      </c>
      <c r="E195" t="s">
        <v>17</v>
      </c>
      <c r="F195" t="s">
        <v>395</v>
      </c>
      <c r="G195" t="s">
        <v>61</v>
      </c>
      <c r="H195" s="17">
        <v>45594</v>
      </c>
      <c r="I195" t="s">
        <v>85</v>
      </c>
      <c r="J195" s="17">
        <v>45594</v>
      </c>
      <c r="K195" t="s">
        <v>85</v>
      </c>
      <c r="L195" s="17">
        <v>45601</v>
      </c>
      <c r="M195" t="s">
        <v>63</v>
      </c>
      <c r="N195" t="s">
        <v>60</v>
      </c>
      <c r="O195" t="s">
        <v>60</v>
      </c>
      <c r="P195" t="s">
        <v>60</v>
      </c>
    </row>
    <row r="196" spans="1:16" x14ac:dyDescent="0.25">
      <c r="A196" t="s">
        <v>333</v>
      </c>
      <c r="B196" t="s">
        <v>328</v>
      </c>
      <c r="C196" t="s">
        <v>18</v>
      </c>
      <c r="D196">
        <v>2</v>
      </c>
      <c r="E196" t="s">
        <v>17</v>
      </c>
      <c r="F196" t="s">
        <v>395</v>
      </c>
      <c r="G196" t="s">
        <v>61</v>
      </c>
      <c r="H196" s="17">
        <v>45594</v>
      </c>
      <c r="I196" t="s">
        <v>85</v>
      </c>
      <c r="J196" s="17">
        <v>45594</v>
      </c>
      <c r="K196" t="s">
        <v>85</v>
      </c>
      <c r="L196" s="17">
        <v>45601</v>
      </c>
      <c r="M196" t="s">
        <v>63</v>
      </c>
      <c r="N196" t="s">
        <v>60</v>
      </c>
      <c r="O196" t="s">
        <v>60</v>
      </c>
      <c r="P196" t="s">
        <v>60</v>
      </c>
    </row>
    <row r="197" spans="1:16" x14ac:dyDescent="0.25">
      <c r="A197" t="s">
        <v>334</v>
      </c>
      <c r="B197" t="s">
        <v>335</v>
      </c>
      <c r="C197" t="s">
        <v>18</v>
      </c>
      <c r="D197">
        <v>2</v>
      </c>
      <c r="E197" t="s">
        <v>17</v>
      </c>
      <c r="F197" t="s">
        <v>395</v>
      </c>
      <c r="G197" t="s">
        <v>61</v>
      </c>
      <c r="H197" s="17">
        <v>45642</v>
      </c>
      <c r="I197" t="s">
        <v>149</v>
      </c>
      <c r="J197" s="17">
        <v>45646</v>
      </c>
      <c r="K197" t="s">
        <v>85</v>
      </c>
      <c r="L197" s="17">
        <v>45684</v>
      </c>
      <c r="M197" t="s">
        <v>172</v>
      </c>
      <c r="N197" t="s">
        <v>60</v>
      </c>
      <c r="O197" t="s">
        <v>60</v>
      </c>
      <c r="P197" t="s">
        <v>60</v>
      </c>
    </row>
    <row r="198" spans="1:16" x14ac:dyDescent="0.25">
      <c r="A198" t="s">
        <v>336</v>
      </c>
      <c r="B198" t="s">
        <v>335</v>
      </c>
      <c r="C198" t="s">
        <v>18</v>
      </c>
      <c r="D198">
        <v>2</v>
      </c>
      <c r="E198" t="s">
        <v>21</v>
      </c>
      <c r="F198" t="s">
        <v>395</v>
      </c>
      <c r="G198" t="s">
        <v>61</v>
      </c>
      <c r="H198" s="17">
        <v>45642</v>
      </c>
      <c r="I198" t="s">
        <v>149</v>
      </c>
      <c r="J198" s="17">
        <v>45646</v>
      </c>
      <c r="K198" t="s">
        <v>85</v>
      </c>
      <c r="L198" s="17">
        <v>45684</v>
      </c>
      <c r="M198" t="s">
        <v>172</v>
      </c>
      <c r="N198" t="s">
        <v>60</v>
      </c>
      <c r="O198" t="s">
        <v>60</v>
      </c>
      <c r="P198" t="s">
        <v>60</v>
      </c>
    </row>
    <row r="199" spans="1:16" x14ac:dyDescent="0.25">
      <c r="A199" t="s">
        <v>337</v>
      </c>
      <c r="B199" t="s">
        <v>335</v>
      </c>
      <c r="C199" t="s">
        <v>18</v>
      </c>
      <c r="D199">
        <v>2</v>
      </c>
      <c r="E199" t="s">
        <v>17</v>
      </c>
      <c r="F199" t="s">
        <v>395</v>
      </c>
      <c r="G199" t="s">
        <v>61</v>
      </c>
      <c r="H199" s="17">
        <v>45642</v>
      </c>
      <c r="I199" t="s">
        <v>149</v>
      </c>
      <c r="J199" s="17">
        <v>45646</v>
      </c>
      <c r="K199" t="s">
        <v>85</v>
      </c>
      <c r="L199" s="17">
        <v>45684</v>
      </c>
      <c r="M199" t="s">
        <v>172</v>
      </c>
      <c r="N199" t="s">
        <v>60</v>
      </c>
      <c r="O199" t="s">
        <v>60</v>
      </c>
      <c r="P199" t="s">
        <v>60</v>
      </c>
    </row>
    <row r="200" spans="1:16" x14ac:dyDescent="0.25">
      <c r="A200" t="s">
        <v>338</v>
      </c>
      <c r="B200" t="s">
        <v>335</v>
      </c>
      <c r="C200" t="s">
        <v>18</v>
      </c>
      <c r="D200">
        <v>2</v>
      </c>
      <c r="E200" t="s">
        <v>17</v>
      </c>
      <c r="F200" t="s">
        <v>395</v>
      </c>
      <c r="G200" t="s">
        <v>61</v>
      </c>
      <c r="H200" s="17">
        <v>45642</v>
      </c>
      <c r="I200" t="s">
        <v>149</v>
      </c>
      <c r="J200" s="17">
        <v>45646</v>
      </c>
      <c r="K200" t="s">
        <v>85</v>
      </c>
      <c r="L200" s="17">
        <v>45684</v>
      </c>
      <c r="M200" t="s">
        <v>172</v>
      </c>
      <c r="N200" t="s">
        <v>60</v>
      </c>
      <c r="O200" t="s">
        <v>60</v>
      </c>
      <c r="P200" t="s">
        <v>60</v>
      </c>
    </row>
    <row r="201" spans="1:16" x14ac:dyDescent="0.25">
      <c r="A201" t="s">
        <v>339</v>
      </c>
      <c r="B201" t="s">
        <v>335</v>
      </c>
      <c r="C201" t="s">
        <v>18</v>
      </c>
      <c r="D201">
        <v>2</v>
      </c>
      <c r="E201" t="s">
        <v>17</v>
      </c>
      <c r="F201" t="s">
        <v>395</v>
      </c>
      <c r="G201" t="s">
        <v>61</v>
      </c>
      <c r="H201" s="17">
        <v>45642</v>
      </c>
      <c r="I201" t="s">
        <v>149</v>
      </c>
      <c r="J201" s="17">
        <v>45646</v>
      </c>
      <c r="K201" t="s">
        <v>85</v>
      </c>
      <c r="L201" s="17">
        <v>45684</v>
      </c>
      <c r="M201" t="s">
        <v>172</v>
      </c>
      <c r="N201" t="s">
        <v>60</v>
      </c>
      <c r="O201" t="s">
        <v>60</v>
      </c>
      <c r="P201" t="s">
        <v>60</v>
      </c>
    </row>
    <row r="202" spans="1:16" x14ac:dyDescent="0.25">
      <c r="A202" t="s">
        <v>340</v>
      </c>
      <c r="B202" t="s">
        <v>341</v>
      </c>
      <c r="C202" t="s">
        <v>19</v>
      </c>
      <c r="D202">
        <v>2</v>
      </c>
      <c r="E202" t="s">
        <v>17</v>
      </c>
      <c r="F202" t="s">
        <v>395</v>
      </c>
      <c r="G202" t="s">
        <v>61</v>
      </c>
      <c r="H202" s="17">
        <v>45642</v>
      </c>
      <c r="I202" t="s">
        <v>149</v>
      </c>
      <c r="J202" s="17">
        <v>45646</v>
      </c>
      <c r="K202" t="s">
        <v>85</v>
      </c>
      <c r="L202" s="17">
        <v>45684</v>
      </c>
      <c r="M202" t="s">
        <v>172</v>
      </c>
      <c r="N202" t="s">
        <v>60</v>
      </c>
      <c r="O202" t="s">
        <v>60</v>
      </c>
      <c r="P202" t="s">
        <v>60</v>
      </c>
    </row>
    <row r="203" spans="1:16" x14ac:dyDescent="0.25">
      <c r="A203" t="s">
        <v>342</v>
      </c>
      <c r="B203" t="s">
        <v>341</v>
      </c>
      <c r="C203" t="s">
        <v>19</v>
      </c>
      <c r="D203">
        <v>2</v>
      </c>
      <c r="E203" t="s">
        <v>17</v>
      </c>
      <c r="F203" t="s">
        <v>395</v>
      </c>
      <c r="G203" t="s">
        <v>61</v>
      </c>
      <c r="H203" s="17">
        <v>45642</v>
      </c>
      <c r="I203" t="s">
        <v>149</v>
      </c>
      <c r="J203" s="17">
        <v>45646</v>
      </c>
      <c r="K203" t="s">
        <v>85</v>
      </c>
      <c r="L203" s="17">
        <v>45684</v>
      </c>
      <c r="M203" t="s">
        <v>172</v>
      </c>
      <c r="N203" t="s">
        <v>60</v>
      </c>
      <c r="O203" t="s">
        <v>60</v>
      </c>
      <c r="P203" t="s">
        <v>60</v>
      </c>
    </row>
    <row r="204" spans="1:16" x14ac:dyDescent="0.25">
      <c r="A204" t="s">
        <v>343</v>
      </c>
      <c r="B204" t="s">
        <v>341</v>
      </c>
      <c r="C204" t="s">
        <v>18</v>
      </c>
      <c r="D204">
        <v>2</v>
      </c>
      <c r="E204" t="s">
        <v>17</v>
      </c>
      <c r="F204" t="s">
        <v>395</v>
      </c>
      <c r="G204" t="s">
        <v>61</v>
      </c>
      <c r="H204" s="17">
        <v>45642</v>
      </c>
      <c r="I204" t="s">
        <v>149</v>
      </c>
      <c r="J204" s="17">
        <v>45646</v>
      </c>
      <c r="K204" t="s">
        <v>85</v>
      </c>
      <c r="L204" s="17">
        <v>45684</v>
      </c>
      <c r="M204" t="s">
        <v>172</v>
      </c>
      <c r="N204" t="s">
        <v>60</v>
      </c>
      <c r="O204" t="s">
        <v>60</v>
      </c>
      <c r="P204" t="s">
        <v>60</v>
      </c>
    </row>
    <row r="205" spans="1:16" x14ac:dyDescent="0.25">
      <c r="A205" t="s">
        <v>344</v>
      </c>
      <c r="B205" t="s">
        <v>341</v>
      </c>
      <c r="C205" t="s">
        <v>19</v>
      </c>
      <c r="D205">
        <v>2</v>
      </c>
      <c r="E205" t="s">
        <v>17</v>
      </c>
      <c r="F205" t="s">
        <v>395</v>
      </c>
      <c r="G205" t="s">
        <v>61</v>
      </c>
      <c r="H205" s="17">
        <v>45642</v>
      </c>
      <c r="I205" t="s">
        <v>149</v>
      </c>
      <c r="J205" s="17">
        <v>45646</v>
      </c>
      <c r="K205" t="s">
        <v>85</v>
      </c>
      <c r="L205" s="17">
        <v>45684</v>
      </c>
      <c r="M205" t="s">
        <v>172</v>
      </c>
      <c r="N205" t="s">
        <v>60</v>
      </c>
      <c r="O205" t="s">
        <v>60</v>
      </c>
      <c r="P205" t="s">
        <v>60</v>
      </c>
    </row>
    <row r="206" spans="1:16" x14ac:dyDescent="0.25">
      <c r="A206" t="s">
        <v>345</v>
      </c>
      <c r="B206" t="s">
        <v>341</v>
      </c>
      <c r="C206" t="s">
        <v>18</v>
      </c>
      <c r="D206">
        <v>2</v>
      </c>
      <c r="E206" t="s">
        <v>17</v>
      </c>
      <c r="F206" t="s">
        <v>395</v>
      </c>
      <c r="G206" t="s">
        <v>61</v>
      </c>
      <c r="H206" s="17">
        <v>45642</v>
      </c>
      <c r="I206" t="s">
        <v>149</v>
      </c>
      <c r="J206" s="17">
        <v>45646</v>
      </c>
      <c r="K206" t="s">
        <v>85</v>
      </c>
      <c r="L206" s="17">
        <v>45684</v>
      </c>
      <c r="M206" t="s">
        <v>172</v>
      </c>
      <c r="N206" t="s">
        <v>60</v>
      </c>
      <c r="O206" t="s">
        <v>60</v>
      </c>
      <c r="P206" t="s">
        <v>60</v>
      </c>
    </row>
    <row r="207" spans="1:16" x14ac:dyDescent="0.25">
      <c r="A207" t="s">
        <v>346</v>
      </c>
      <c r="B207" t="s">
        <v>347</v>
      </c>
      <c r="C207" t="s">
        <v>19</v>
      </c>
      <c r="D207">
        <v>2</v>
      </c>
      <c r="E207" t="s">
        <v>17</v>
      </c>
      <c r="F207" t="s">
        <v>395</v>
      </c>
      <c r="G207" t="s">
        <v>61</v>
      </c>
      <c r="H207" s="17">
        <v>45642</v>
      </c>
      <c r="I207" t="s">
        <v>149</v>
      </c>
      <c r="J207" s="17">
        <v>45646</v>
      </c>
      <c r="K207" t="s">
        <v>85</v>
      </c>
      <c r="L207" s="17">
        <v>45684</v>
      </c>
      <c r="M207" t="s">
        <v>172</v>
      </c>
      <c r="N207" t="s">
        <v>60</v>
      </c>
      <c r="O207" t="s">
        <v>60</v>
      </c>
      <c r="P207" t="s">
        <v>60</v>
      </c>
    </row>
    <row r="208" spans="1:16" x14ac:dyDescent="0.25">
      <c r="A208" t="s">
        <v>348</v>
      </c>
      <c r="B208" t="s">
        <v>347</v>
      </c>
      <c r="C208" t="s">
        <v>19</v>
      </c>
      <c r="D208">
        <v>2</v>
      </c>
      <c r="E208" t="s">
        <v>17</v>
      </c>
      <c r="F208" t="s">
        <v>395</v>
      </c>
      <c r="G208" t="s">
        <v>61</v>
      </c>
      <c r="H208" s="17">
        <v>45642</v>
      </c>
      <c r="I208" t="s">
        <v>149</v>
      </c>
      <c r="J208" s="17">
        <v>45646</v>
      </c>
      <c r="K208" t="s">
        <v>85</v>
      </c>
      <c r="L208" s="17">
        <v>45684</v>
      </c>
      <c r="M208" t="s">
        <v>172</v>
      </c>
      <c r="N208" t="s">
        <v>60</v>
      </c>
      <c r="O208" t="s">
        <v>60</v>
      </c>
      <c r="P208" t="s">
        <v>60</v>
      </c>
    </row>
    <row r="209" spans="1:16" x14ac:dyDescent="0.25">
      <c r="A209" t="s">
        <v>349</v>
      </c>
      <c r="B209" t="s">
        <v>347</v>
      </c>
      <c r="C209" t="s">
        <v>18</v>
      </c>
      <c r="D209">
        <v>2</v>
      </c>
      <c r="E209" t="s">
        <v>17</v>
      </c>
      <c r="F209" t="s">
        <v>395</v>
      </c>
      <c r="G209" t="s">
        <v>61</v>
      </c>
      <c r="H209" s="17">
        <v>45642</v>
      </c>
      <c r="I209" t="s">
        <v>149</v>
      </c>
      <c r="J209" s="17">
        <v>45646</v>
      </c>
      <c r="K209" t="s">
        <v>85</v>
      </c>
      <c r="L209" s="17">
        <v>45684</v>
      </c>
      <c r="M209" t="s">
        <v>172</v>
      </c>
      <c r="N209" t="s">
        <v>60</v>
      </c>
      <c r="O209" t="s">
        <v>60</v>
      </c>
      <c r="P209" t="s">
        <v>60</v>
      </c>
    </row>
    <row r="210" spans="1:16" x14ac:dyDescent="0.25">
      <c r="A210" t="s">
        <v>350</v>
      </c>
      <c r="B210" t="s">
        <v>347</v>
      </c>
      <c r="C210" t="s">
        <v>18</v>
      </c>
      <c r="D210">
        <v>2</v>
      </c>
      <c r="E210" t="s">
        <v>17</v>
      </c>
      <c r="F210" t="s">
        <v>395</v>
      </c>
      <c r="G210" t="s">
        <v>61</v>
      </c>
      <c r="H210" s="17">
        <v>45642</v>
      </c>
      <c r="I210" t="s">
        <v>149</v>
      </c>
      <c r="J210" s="17">
        <v>45646</v>
      </c>
      <c r="K210" t="s">
        <v>85</v>
      </c>
      <c r="L210" s="17">
        <v>45684</v>
      </c>
      <c r="M210" t="s">
        <v>172</v>
      </c>
      <c r="N210" t="s">
        <v>60</v>
      </c>
      <c r="O210" t="s">
        <v>60</v>
      </c>
      <c r="P210" t="s">
        <v>60</v>
      </c>
    </row>
    <row r="211" spans="1:16" x14ac:dyDescent="0.25">
      <c r="A211" t="s">
        <v>351</v>
      </c>
      <c r="B211" t="s">
        <v>347</v>
      </c>
      <c r="C211" t="s">
        <v>19</v>
      </c>
      <c r="D211">
        <v>2</v>
      </c>
      <c r="E211" t="s">
        <v>17</v>
      </c>
      <c r="F211" t="s">
        <v>395</v>
      </c>
      <c r="G211" t="s">
        <v>61</v>
      </c>
      <c r="H211" s="17">
        <v>45642</v>
      </c>
      <c r="I211" t="s">
        <v>149</v>
      </c>
      <c r="J211" s="17">
        <v>45646</v>
      </c>
      <c r="K211" t="s">
        <v>85</v>
      </c>
      <c r="L211" s="17">
        <v>45684</v>
      </c>
      <c r="M211" t="s">
        <v>172</v>
      </c>
      <c r="N211" t="s">
        <v>60</v>
      </c>
      <c r="O211" t="s">
        <v>60</v>
      </c>
      <c r="P211" t="s">
        <v>60</v>
      </c>
    </row>
    <row r="212" spans="1:16" x14ac:dyDescent="0.25">
      <c r="A212" t="s">
        <v>352</v>
      </c>
      <c r="B212" t="s">
        <v>353</v>
      </c>
      <c r="C212" t="s">
        <v>18</v>
      </c>
      <c r="D212">
        <v>3</v>
      </c>
      <c r="E212" t="s">
        <v>17</v>
      </c>
      <c r="F212" t="s">
        <v>395</v>
      </c>
      <c r="G212" t="s">
        <v>61</v>
      </c>
      <c r="H212" s="17">
        <v>45642</v>
      </c>
      <c r="I212" t="s">
        <v>149</v>
      </c>
      <c r="J212" s="17">
        <v>45646</v>
      </c>
      <c r="K212" t="s">
        <v>85</v>
      </c>
      <c r="L212" s="17">
        <v>45684</v>
      </c>
      <c r="M212" t="s">
        <v>172</v>
      </c>
      <c r="N212" t="s">
        <v>60</v>
      </c>
      <c r="O212" t="s">
        <v>60</v>
      </c>
      <c r="P212" t="s">
        <v>60</v>
      </c>
    </row>
    <row r="213" spans="1:16" x14ac:dyDescent="0.25">
      <c r="A213" t="s">
        <v>354</v>
      </c>
      <c r="B213" t="s">
        <v>353</v>
      </c>
      <c r="C213" t="s">
        <v>18</v>
      </c>
      <c r="D213">
        <v>1</v>
      </c>
      <c r="E213" t="s">
        <v>17</v>
      </c>
      <c r="F213" t="s">
        <v>395</v>
      </c>
      <c r="G213" t="s">
        <v>61</v>
      </c>
      <c r="H213" s="17">
        <v>45642</v>
      </c>
      <c r="I213" t="s">
        <v>149</v>
      </c>
      <c r="J213" s="17">
        <v>45646</v>
      </c>
      <c r="K213" t="s">
        <v>85</v>
      </c>
      <c r="L213" s="17">
        <v>45684</v>
      </c>
      <c r="M213" t="s">
        <v>172</v>
      </c>
      <c r="N213" t="s">
        <v>60</v>
      </c>
      <c r="O213" t="s">
        <v>60</v>
      </c>
      <c r="P213" t="s">
        <v>60</v>
      </c>
    </row>
    <row r="214" spans="1:16" x14ac:dyDescent="0.25">
      <c r="A214" t="s">
        <v>355</v>
      </c>
      <c r="B214" t="s">
        <v>353</v>
      </c>
      <c r="C214" t="s">
        <v>19</v>
      </c>
      <c r="D214">
        <v>2</v>
      </c>
      <c r="E214" t="s">
        <v>17</v>
      </c>
      <c r="F214" t="s">
        <v>395</v>
      </c>
      <c r="G214" t="s">
        <v>61</v>
      </c>
      <c r="H214" s="17">
        <v>45642</v>
      </c>
      <c r="I214" t="s">
        <v>149</v>
      </c>
      <c r="J214" s="17">
        <v>45646</v>
      </c>
      <c r="K214" t="s">
        <v>85</v>
      </c>
      <c r="L214" s="17">
        <v>45684</v>
      </c>
      <c r="M214" t="s">
        <v>172</v>
      </c>
      <c r="N214" t="s">
        <v>60</v>
      </c>
      <c r="O214" t="s">
        <v>60</v>
      </c>
      <c r="P214" t="s">
        <v>60</v>
      </c>
    </row>
    <row r="215" spans="1:16" x14ac:dyDescent="0.25">
      <c r="A215" t="s">
        <v>356</v>
      </c>
      <c r="B215" t="s">
        <v>353</v>
      </c>
      <c r="C215" t="s">
        <v>16</v>
      </c>
      <c r="D215">
        <v>4</v>
      </c>
      <c r="E215" t="s">
        <v>21</v>
      </c>
      <c r="F215" t="s">
        <v>395</v>
      </c>
      <c r="G215" t="s">
        <v>61</v>
      </c>
      <c r="H215" s="17">
        <v>45642</v>
      </c>
      <c r="I215" t="s">
        <v>149</v>
      </c>
      <c r="J215" s="17">
        <v>45646</v>
      </c>
      <c r="K215" t="s">
        <v>85</v>
      </c>
      <c r="L215" s="17">
        <v>45684</v>
      </c>
      <c r="M215" t="s">
        <v>172</v>
      </c>
      <c r="N215" t="s">
        <v>60</v>
      </c>
      <c r="O215" t="s">
        <v>60</v>
      </c>
      <c r="P215" t="s">
        <v>60</v>
      </c>
    </row>
    <row r="216" spans="1:16" x14ac:dyDescent="0.25">
      <c r="A216" t="s">
        <v>358</v>
      </c>
      <c r="B216" t="s">
        <v>353</v>
      </c>
      <c r="C216" t="s">
        <v>18</v>
      </c>
      <c r="D216">
        <v>3</v>
      </c>
      <c r="E216" t="s">
        <v>17</v>
      </c>
      <c r="F216" t="s">
        <v>395</v>
      </c>
      <c r="G216" t="s">
        <v>61</v>
      </c>
      <c r="H216" s="17">
        <v>45642</v>
      </c>
      <c r="I216" t="s">
        <v>149</v>
      </c>
      <c r="J216" s="17">
        <v>45646</v>
      </c>
      <c r="K216" t="s">
        <v>85</v>
      </c>
      <c r="L216" s="17">
        <v>45684</v>
      </c>
      <c r="M216" t="s">
        <v>172</v>
      </c>
      <c r="N216" t="s">
        <v>60</v>
      </c>
      <c r="O216" t="s">
        <v>60</v>
      </c>
      <c r="P216" t="s">
        <v>60</v>
      </c>
    </row>
    <row r="217" spans="1:16" x14ac:dyDescent="0.25">
      <c r="A217" t="s">
        <v>359</v>
      </c>
      <c r="B217" t="s">
        <v>360</v>
      </c>
      <c r="C217" t="s">
        <v>18</v>
      </c>
      <c r="D217">
        <v>2</v>
      </c>
      <c r="E217" t="s">
        <v>17</v>
      </c>
      <c r="F217" t="s">
        <v>395</v>
      </c>
      <c r="G217" t="s">
        <v>61</v>
      </c>
      <c r="H217" s="17">
        <v>45642</v>
      </c>
      <c r="I217" t="s">
        <v>149</v>
      </c>
      <c r="J217" s="17">
        <v>45646</v>
      </c>
      <c r="K217" t="s">
        <v>85</v>
      </c>
      <c r="L217" s="17">
        <v>45684</v>
      </c>
      <c r="M217" t="s">
        <v>172</v>
      </c>
      <c r="N217" t="s">
        <v>60</v>
      </c>
      <c r="O217" t="s">
        <v>60</v>
      </c>
      <c r="P217" t="s">
        <v>60</v>
      </c>
    </row>
    <row r="218" spans="1:16" x14ac:dyDescent="0.25">
      <c r="A218" t="s">
        <v>361</v>
      </c>
      <c r="B218" t="s">
        <v>360</v>
      </c>
      <c r="C218" t="s">
        <v>19</v>
      </c>
      <c r="D218">
        <v>2</v>
      </c>
      <c r="E218" t="s">
        <v>17</v>
      </c>
      <c r="F218" t="s">
        <v>395</v>
      </c>
      <c r="G218" t="s">
        <v>61</v>
      </c>
      <c r="H218" s="17">
        <v>45642</v>
      </c>
      <c r="I218" t="s">
        <v>149</v>
      </c>
      <c r="J218" s="17">
        <v>45646</v>
      </c>
      <c r="K218" t="s">
        <v>85</v>
      </c>
      <c r="L218" s="17">
        <v>45684</v>
      </c>
      <c r="M218" t="s">
        <v>172</v>
      </c>
      <c r="N218" t="s">
        <v>60</v>
      </c>
      <c r="O218" t="s">
        <v>60</v>
      </c>
      <c r="P218" t="s">
        <v>60</v>
      </c>
    </row>
    <row r="219" spans="1:16" x14ac:dyDescent="0.25">
      <c r="A219" t="s">
        <v>362</v>
      </c>
      <c r="B219" t="s">
        <v>360</v>
      </c>
      <c r="C219" t="s">
        <v>18</v>
      </c>
      <c r="D219">
        <v>2</v>
      </c>
      <c r="E219" t="s">
        <v>17</v>
      </c>
      <c r="F219" t="s">
        <v>395</v>
      </c>
      <c r="G219" t="s">
        <v>61</v>
      </c>
      <c r="H219" s="17">
        <v>45642</v>
      </c>
      <c r="I219" t="s">
        <v>149</v>
      </c>
      <c r="J219" s="17">
        <v>45646</v>
      </c>
      <c r="K219" t="s">
        <v>85</v>
      </c>
      <c r="L219" s="17">
        <v>45684</v>
      </c>
      <c r="M219" t="s">
        <v>172</v>
      </c>
      <c r="N219" t="s">
        <v>60</v>
      </c>
      <c r="O219" t="s">
        <v>60</v>
      </c>
      <c r="P219" t="s">
        <v>60</v>
      </c>
    </row>
    <row r="220" spans="1:16" x14ac:dyDescent="0.25">
      <c r="A220" t="s">
        <v>363</v>
      </c>
      <c r="B220" t="s">
        <v>360</v>
      </c>
      <c r="C220" t="s">
        <v>18</v>
      </c>
      <c r="D220">
        <v>2</v>
      </c>
      <c r="E220" t="s">
        <v>17</v>
      </c>
      <c r="F220" t="s">
        <v>395</v>
      </c>
      <c r="G220" t="s">
        <v>61</v>
      </c>
      <c r="H220" s="17">
        <v>45642</v>
      </c>
      <c r="I220" t="s">
        <v>149</v>
      </c>
      <c r="J220" s="17">
        <v>45646</v>
      </c>
      <c r="K220" t="s">
        <v>85</v>
      </c>
      <c r="L220" s="17">
        <v>45684</v>
      </c>
      <c r="M220" t="s">
        <v>172</v>
      </c>
      <c r="N220" t="s">
        <v>60</v>
      </c>
      <c r="O220" t="s">
        <v>60</v>
      </c>
      <c r="P220" t="s">
        <v>60</v>
      </c>
    </row>
    <row r="221" spans="1:16" x14ac:dyDescent="0.25">
      <c r="A221" t="s">
        <v>364</v>
      </c>
      <c r="B221" t="s">
        <v>360</v>
      </c>
      <c r="C221" t="s">
        <v>18</v>
      </c>
      <c r="D221">
        <v>2</v>
      </c>
      <c r="E221" t="s">
        <v>17</v>
      </c>
      <c r="F221" t="s">
        <v>395</v>
      </c>
      <c r="G221" t="s">
        <v>61</v>
      </c>
      <c r="H221" s="17">
        <v>45642</v>
      </c>
      <c r="I221" t="s">
        <v>149</v>
      </c>
      <c r="J221" s="17">
        <v>45646</v>
      </c>
      <c r="K221" t="s">
        <v>85</v>
      </c>
      <c r="L221" s="17">
        <v>45684</v>
      </c>
      <c r="M221" t="s">
        <v>172</v>
      </c>
      <c r="N221" t="s">
        <v>60</v>
      </c>
      <c r="O221" t="s">
        <v>60</v>
      </c>
      <c r="P221" t="s">
        <v>60</v>
      </c>
    </row>
    <row r="222" spans="1:16" x14ac:dyDescent="0.25">
      <c r="A222" t="s">
        <v>365</v>
      </c>
      <c r="B222" t="s">
        <v>366</v>
      </c>
      <c r="C222" t="s">
        <v>18</v>
      </c>
      <c r="D222">
        <v>2</v>
      </c>
      <c r="E222" t="s">
        <v>17</v>
      </c>
      <c r="F222" t="s">
        <v>395</v>
      </c>
      <c r="G222" t="s">
        <v>61</v>
      </c>
      <c r="H222" s="17">
        <v>45642</v>
      </c>
      <c r="I222" t="s">
        <v>149</v>
      </c>
      <c r="J222" s="17">
        <v>45646</v>
      </c>
      <c r="K222" t="s">
        <v>85</v>
      </c>
      <c r="L222" s="17">
        <v>45684</v>
      </c>
      <c r="M222" t="s">
        <v>172</v>
      </c>
      <c r="N222" t="s">
        <v>60</v>
      </c>
      <c r="O222" t="s">
        <v>397</v>
      </c>
      <c r="P222" t="s">
        <v>60</v>
      </c>
    </row>
    <row r="223" spans="1:16" x14ac:dyDescent="0.25">
      <c r="A223" t="s">
        <v>367</v>
      </c>
      <c r="B223" t="s">
        <v>366</v>
      </c>
      <c r="C223" t="s">
        <v>19</v>
      </c>
      <c r="D223">
        <v>2</v>
      </c>
      <c r="E223" t="s">
        <v>17</v>
      </c>
      <c r="F223" t="s">
        <v>395</v>
      </c>
      <c r="G223" t="s">
        <v>61</v>
      </c>
      <c r="H223" s="17">
        <v>45642</v>
      </c>
      <c r="I223" t="s">
        <v>149</v>
      </c>
      <c r="J223" s="17">
        <v>45646</v>
      </c>
      <c r="K223" t="s">
        <v>85</v>
      </c>
      <c r="L223" s="17">
        <v>45684</v>
      </c>
      <c r="M223" t="s">
        <v>172</v>
      </c>
      <c r="N223" t="s">
        <v>60</v>
      </c>
      <c r="O223" t="s">
        <v>60</v>
      </c>
      <c r="P223" t="s">
        <v>60</v>
      </c>
    </row>
    <row r="224" spans="1:16" x14ac:dyDescent="0.25">
      <c r="A224" t="s">
        <v>368</v>
      </c>
      <c r="B224" t="s">
        <v>366</v>
      </c>
      <c r="C224" t="s">
        <v>18</v>
      </c>
      <c r="D224">
        <v>2</v>
      </c>
      <c r="E224" t="s">
        <v>17</v>
      </c>
      <c r="F224" t="s">
        <v>395</v>
      </c>
      <c r="G224" t="s">
        <v>61</v>
      </c>
      <c r="H224" s="17">
        <v>45642</v>
      </c>
      <c r="I224" t="s">
        <v>149</v>
      </c>
      <c r="J224" s="17">
        <v>45646</v>
      </c>
      <c r="K224" t="s">
        <v>85</v>
      </c>
      <c r="L224" s="17">
        <v>45684</v>
      </c>
      <c r="M224" t="s">
        <v>172</v>
      </c>
      <c r="N224" t="s">
        <v>60</v>
      </c>
      <c r="O224" t="s">
        <v>60</v>
      </c>
      <c r="P224" t="s">
        <v>60</v>
      </c>
    </row>
    <row r="225" spans="1:16" x14ac:dyDescent="0.25">
      <c r="A225" t="s">
        <v>369</v>
      </c>
      <c r="B225" t="s">
        <v>366</v>
      </c>
      <c r="C225" t="s">
        <v>18</v>
      </c>
      <c r="D225">
        <v>2</v>
      </c>
      <c r="E225" t="s">
        <v>17</v>
      </c>
      <c r="F225" t="s">
        <v>395</v>
      </c>
      <c r="G225" t="s">
        <v>61</v>
      </c>
      <c r="H225" s="17">
        <v>45642</v>
      </c>
      <c r="I225" t="s">
        <v>149</v>
      </c>
      <c r="J225" s="17">
        <v>45646</v>
      </c>
      <c r="K225" t="s">
        <v>85</v>
      </c>
      <c r="L225" s="17">
        <v>45684</v>
      </c>
      <c r="M225" t="s">
        <v>172</v>
      </c>
      <c r="N225" t="s">
        <v>60</v>
      </c>
      <c r="O225" t="s">
        <v>60</v>
      </c>
      <c r="P225" t="s">
        <v>60</v>
      </c>
    </row>
    <row r="226" spans="1:16" x14ac:dyDescent="0.25">
      <c r="A226" t="s">
        <v>370</v>
      </c>
      <c r="B226" t="s">
        <v>366</v>
      </c>
      <c r="C226" t="s">
        <v>18</v>
      </c>
      <c r="D226">
        <v>2</v>
      </c>
      <c r="E226" t="s">
        <v>17</v>
      </c>
      <c r="F226" t="s">
        <v>395</v>
      </c>
      <c r="G226" t="s">
        <v>61</v>
      </c>
      <c r="H226" s="17">
        <v>45642</v>
      </c>
      <c r="I226" t="s">
        <v>149</v>
      </c>
      <c r="J226" s="17">
        <v>45646</v>
      </c>
      <c r="K226" t="s">
        <v>85</v>
      </c>
      <c r="L226" s="17">
        <v>45684</v>
      </c>
      <c r="M226" t="s">
        <v>172</v>
      </c>
      <c r="N226" t="s">
        <v>60</v>
      </c>
      <c r="O226" t="s">
        <v>60</v>
      </c>
      <c r="P226" t="s">
        <v>60</v>
      </c>
    </row>
    <row r="227" spans="1:16" x14ac:dyDescent="0.25">
      <c r="A227" t="s">
        <v>371</v>
      </c>
      <c r="B227" t="s">
        <v>372</v>
      </c>
      <c r="C227" t="s">
        <v>19</v>
      </c>
      <c r="D227">
        <v>2</v>
      </c>
      <c r="E227" t="s">
        <v>17</v>
      </c>
      <c r="F227" t="s">
        <v>395</v>
      </c>
      <c r="G227" t="s">
        <v>61</v>
      </c>
      <c r="H227" s="17">
        <v>45681</v>
      </c>
      <c r="I227" t="s">
        <v>85</v>
      </c>
      <c r="J227" s="17">
        <v>45681</v>
      </c>
      <c r="K227" t="s">
        <v>85</v>
      </c>
      <c r="L227" s="17">
        <v>45684</v>
      </c>
      <c r="M227" t="s">
        <v>172</v>
      </c>
      <c r="N227" t="s">
        <v>60</v>
      </c>
      <c r="O227" t="s">
        <v>60</v>
      </c>
      <c r="P227" t="s">
        <v>60</v>
      </c>
    </row>
    <row r="228" spans="1:16" x14ac:dyDescent="0.25">
      <c r="A228" t="s">
        <v>373</v>
      </c>
      <c r="B228" t="s">
        <v>372</v>
      </c>
      <c r="C228" t="s">
        <v>18</v>
      </c>
      <c r="D228">
        <v>1</v>
      </c>
      <c r="E228" t="s">
        <v>17</v>
      </c>
      <c r="F228" t="s">
        <v>395</v>
      </c>
      <c r="G228" t="s">
        <v>61</v>
      </c>
      <c r="H228" s="17">
        <v>45681</v>
      </c>
      <c r="I228" t="s">
        <v>85</v>
      </c>
      <c r="J228" s="17">
        <v>45681</v>
      </c>
      <c r="K228" t="s">
        <v>85</v>
      </c>
      <c r="L228" s="17">
        <v>45684</v>
      </c>
      <c r="M228" t="s">
        <v>172</v>
      </c>
      <c r="N228" t="s">
        <v>60</v>
      </c>
      <c r="O228" t="s">
        <v>60</v>
      </c>
      <c r="P228" t="s">
        <v>60</v>
      </c>
    </row>
    <row r="229" spans="1:16" x14ac:dyDescent="0.25">
      <c r="A229" t="s">
        <v>374</v>
      </c>
      <c r="B229" t="s">
        <v>372</v>
      </c>
      <c r="C229" t="s">
        <v>19</v>
      </c>
      <c r="D229">
        <v>3</v>
      </c>
      <c r="E229" t="s">
        <v>17</v>
      </c>
      <c r="F229" t="s">
        <v>395</v>
      </c>
      <c r="G229" t="s">
        <v>61</v>
      </c>
      <c r="H229" s="17">
        <v>45681</v>
      </c>
      <c r="I229" t="s">
        <v>85</v>
      </c>
      <c r="J229" s="17">
        <v>45681</v>
      </c>
      <c r="K229" t="s">
        <v>85</v>
      </c>
      <c r="L229" s="17">
        <v>45684</v>
      </c>
      <c r="M229" t="s">
        <v>172</v>
      </c>
      <c r="N229" t="s">
        <v>60</v>
      </c>
      <c r="O229" t="s">
        <v>60</v>
      </c>
      <c r="P229" t="s">
        <v>60</v>
      </c>
    </row>
    <row r="230" spans="1:16" x14ac:dyDescent="0.25">
      <c r="A230" t="s">
        <v>375</v>
      </c>
      <c r="B230" t="s">
        <v>372</v>
      </c>
      <c r="C230" t="s">
        <v>18</v>
      </c>
      <c r="D230">
        <v>2</v>
      </c>
      <c r="E230" t="s">
        <v>17</v>
      </c>
      <c r="F230" t="s">
        <v>395</v>
      </c>
      <c r="G230" t="s">
        <v>61</v>
      </c>
      <c r="H230" s="17">
        <v>45681</v>
      </c>
      <c r="I230" t="s">
        <v>85</v>
      </c>
      <c r="J230" s="17">
        <v>45681</v>
      </c>
      <c r="K230" t="s">
        <v>85</v>
      </c>
      <c r="L230" s="17">
        <v>45684</v>
      </c>
      <c r="M230" t="s">
        <v>172</v>
      </c>
      <c r="N230" t="s">
        <v>60</v>
      </c>
      <c r="O230" t="s">
        <v>60</v>
      </c>
      <c r="P230" t="s">
        <v>60</v>
      </c>
    </row>
    <row r="231" spans="1:16" x14ac:dyDescent="0.25">
      <c r="A231" t="s">
        <v>376</v>
      </c>
      <c r="B231" t="s">
        <v>372</v>
      </c>
      <c r="C231" t="s">
        <v>16</v>
      </c>
      <c r="D231">
        <v>4</v>
      </c>
      <c r="E231" t="s">
        <v>17</v>
      </c>
      <c r="F231" t="s">
        <v>395</v>
      </c>
      <c r="G231" t="s">
        <v>61</v>
      </c>
      <c r="H231" s="17">
        <v>45681</v>
      </c>
      <c r="I231" t="s">
        <v>85</v>
      </c>
      <c r="J231" s="17">
        <v>45681</v>
      </c>
      <c r="K231" t="s">
        <v>85</v>
      </c>
      <c r="L231" s="17">
        <v>45684</v>
      </c>
      <c r="M231" t="s">
        <v>172</v>
      </c>
      <c r="N231" t="s">
        <v>60</v>
      </c>
      <c r="O231" t="s">
        <v>60</v>
      </c>
      <c r="P231" t="s">
        <v>60</v>
      </c>
    </row>
    <row r="232" spans="1:16" x14ac:dyDescent="0.25">
      <c r="A232" t="s">
        <v>377</v>
      </c>
      <c r="B232" t="s">
        <v>378</v>
      </c>
      <c r="C232" t="s">
        <v>16</v>
      </c>
      <c r="D232">
        <v>4</v>
      </c>
      <c r="E232" t="s">
        <v>17</v>
      </c>
      <c r="F232" t="s">
        <v>395</v>
      </c>
      <c r="G232" t="s">
        <v>61</v>
      </c>
      <c r="H232" s="17">
        <v>45681</v>
      </c>
      <c r="I232" t="s">
        <v>85</v>
      </c>
      <c r="J232" s="17">
        <v>45681</v>
      </c>
      <c r="K232" t="s">
        <v>85</v>
      </c>
      <c r="L232" s="17">
        <v>45684</v>
      </c>
      <c r="M232" t="s">
        <v>172</v>
      </c>
      <c r="N232" t="s">
        <v>60</v>
      </c>
      <c r="O232" t="s">
        <v>60</v>
      </c>
      <c r="P232" t="s">
        <v>60</v>
      </c>
    </row>
    <row r="233" spans="1:16" x14ac:dyDescent="0.25">
      <c r="A233" t="s">
        <v>379</v>
      </c>
      <c r="B233" t="s">
        <v>378</v>
      </c>
      <c r="C233" t="s">
        <v>16</v>
      </c>
      <c r="D233">
        <v>4</v>
      </c>
      <c r="E233" t="s">
        <v>21</v>
      </c>
      <c r="F233" t="s">
        <v>395</v>
      </c>
      <c r="G233" t="s">
        <v>61</v>
      </c>
      <c r="H233" s="17">
        <v>45681</v>
      </c>
      <c r="I233" t="s">
        <v>85</v>
      </c>
      <c r="J233" s="17">
        <v>45681</v>
      </c>
      <c r="K233" t="s">
        <v>85</v>
      </c>
      <c r="L233" s="17">
        <v>45684</v>
      </c>
      <c r="M233" t="s">
        <v>172</v>
      </c>
      <c r="N233" t="s">
        <v>60</v>
      </c>
      <c r="O233" t="s">
        <v>60</v>
      </c>
      <c r="P233" t="s">
        <v>60</v>
      </c>
    </row>
    <row r="234" spans="1:16" x14ac:dyDescent="0.25">
      <c r="A234" t="s">
        <v>381</v>
      </c>
      <c r="B234" t="s">
        <v>378</v>
      </c>
      <c r="C234" t="s">
        <v>16</v>
      </c>
      <c r="D234">
        <v>4</v>
      </c>
      <c r="E234" t="s">
        <v>17</v>
      </c>
      <c r="F234" t="s">
        <v>395</v>
      </c>
      <c r="G234" t="s">
        <v>61</v>
      </c>
      <c r="H234" s="17">
        <v>45681</v>
      </c>
      <c r="I234" t="s">
        <v>85</v>
      </c>
      <c r="J234" s="17">
        <v>45681</v>
      </c>
      <c r="K234" t="s">
        <v>85</v>
      </c>
      <c r="L234" s="17">
        <v>45684</v>
      </c>
      <c r="M234" t="s">
        <v>172</v>
      </c>
      <c r="N234" t="s">
        <v>60</v>
      </c>
      <c r="O234" t="s">
        <v>60</v>
      </c>
      <c r="P234" t="s">
        <v>60</v>
      </c>
    </row>
    <row r="235" spans="1:16" x14ac:dyDescent="0.25">
      <c r="A235" t="s">
        <v>383</v>
      </c>
      <c r="B235" t="s">
        <v>378</v>
      </c>
      <c r="C235" t="s">
        <v>19</v>
      </c>
      <c r="D235">
        <v>2</v>
      </c>
      <c r="E235" t="s">
        <v>17</v>
      </c>
      <c r="F235" t="s">
        <v>395</v>
      </c>
      <c r="G235" t="s">
        <v>61</v>
      </c>
      <c r="H235" s="17">
        <v>45681</v>
      </c>
      <c r="I235" t="s">
        <v>85</v>
      </c>
      <c r="J235" s="17">
        <v>45681</v>
      </c>
      <c r="K235" t="s">
        <v>85</v>
      </c>
      <c r="L235" s="17">
        <v>45684</v>
      </c>
      <c r="M235" t="s">
        <v>172</v>
      </c>
      <c r="N235" t="s">
        <v>60</v>
      </c>
      <c r="O235" t="s">
        <v>60</v>
      </c>
      <c r="P235" t="s">
        <v>60</v>
      </c>
    </row>
    <row r="236" spans="1:16" x14ac:dyDescent="0.25">
      <c r="A236" t="s">
        <v>384</v>
      </c>
      <c r="B236" t="s">
        <v>378</v>
      </c>
      <c r="C236" t="s">
        <v>16</v>
      </c>
      <c r="D236" t="s">
        <v>16</v>
      </c>
      <c r="E236" t="s">
        <v>17</v>
      </c>
      <c r="F236" t="s">
        <v>396</v>
      </c>
      <c r="G236" t="s">
        <v>61</v>
      </c>
      <c r="H236" s="17">
        <v>45681</v>
      </c>
      <c r="I236" t="s">
        <v>85</v>
      </c>
      <c r="J236" s="17">
        <v>45681</v>
      </c>
      <c r="K236" t="s">
        <v>85</v>
      </c>
      <c r="L236" s="17">
        <v>45684</v>
      </c>
      <c r="M236" t="s">
        <v>172</v>
      </c>
      <c r="N236" t="s">
        <v>60</v>
      </c>
      <c r="O236" t="s">
        <v>60</v>
      </c>
      <c r="P236" t="s">
        <v>60</v>
      </c>
    </row>
    <row r="237" spans="1:16" x14ac:dyDescent="0.25">
      <c r="A237" t="s">
        <v>386</v>
      </c>
      <c r="B237" t="s">
        <v>387</v>
      </c>
      <c r="C237" t="s">
        <v>18</v>
      </c>
      <c r="D237">
        <v>2</v>
      </c>
      <c r="E237" t="s">
        <v>17</v>
      </c>
      <c r="F237" t="s">
        <v>395</v>
      </c>
      <c r="G237" t="s">
        <v>61</v>
      </c>
      <c r="H237" s="17">
        <v>45681</v>
      </c>
      <c r="I237" t="s">
        <v>85</v>
      </c>
      <c r="J237" s="17">
        <v>45681</v>
      </c>
      <c r="K237" t="s">
        <v>85</v>
      </c>
      <c r="L237" s="17">
        <v>45684</v>
      </c>
      <c r="M237" t="s">
        <v>172</v>
      </c>
      <c r="N237" t="s">
        <v>60</v>
      </c>
      <c r="O237" t="s">
        <v>60</v>
      </c>
      <c r="P237" t="s">
        <v>60</v>
      </c>
    </row>
    <row r="238" spans="1:16" x14ac:dyDescent="0.25">
      <c r="A238" t="s">
        <v>388</v>
      </c>
      <c r="B238" t="s">
        <v>387</v>
      </c>
      <c r="C238" t="s">
        <v>18</v>
      </c>
      <c r="D238">
        <v>2</v>
      </c>
      <c r="E238" t="s">
        <v>17</v>
      </c>
      <c r="F238" t="s">
        <v>395</v>
      </c>
      <c r="G238" t="s">
        <v>61</v>
      </c>
      <c r="H238" s="17">
        <v>45681</v>
      </c>
      <c r="I238" t="s">
        <v>85</v>
      </c>
      <c r="J238" s="17">
        <v>45681</v>
      </c>
      <c r="K238" t="s">
        <v>85</v>
      </c>
      <c r="L238" s="17">
        <v>45684</v>
      </c>
      <c r="M238" t="s">
        <v>172</v>
      </c>
      <c r="N238" t="s">
        <v>60</v>
      </c>
      <c r="O238" t="s">
        <v>60</v>
      </c>
      <c r="P238" t="s">
        <v>60</v>
      </c>
    </row>
    <row r="239" spans="1:16" x14ac:dyDescent="0.25">
      <c r="A239" t="s">
        <v>389</v>
      </c>
      <c r="B239" t="s">
        <v>387</v>
      </c>
      <c r="C239" t="s">
        <v>18</v>
      </c>
      <c r="D239">
        <v>2</v>
      </c>
      <c r="E239" t="s">
        <v>21</v>
      </c>
      <c r="F239" t="s">
        <v>395</v>
      </c>
      <c r="G239" t="s">
        <v>61</v>
      </c>
      <c r="H239" s="17">
        <v>45681</v>
      </c>
      <c r="I239" t="s">
        <v>85</v>
      </c>
      <c r="J239" s="17">
        <v>45681</v>
      </c>
      <c r="K239" t="s">
        <v>85</v>
      </c>
      <c r="L239" s="17">
        <v>45684</v>
      </c>
      <c r="M239" t="s">
        <v>172</v>
      </c>
      <c r="N239" t="s">
        <v>60</v>
      </c>
      <c r="O239" t="s">
        <v>60</v>
      </c>
      <c r="P239" t="s">
        <v>60</v>
      </c>
    </row>
    <row r="240" spans="1:16" x14ac:dyDescent="0.25">
      <c r="A240" t="s">
        <v>390</v>
      </c>
      <c r="B240" t="s">
        <v>387</v>
      </c>
      <c r="C240" t="s">
        <v>18</v>
      </c>
      <c r="D240">
        <v>1</v>
      </c>
      <c r="E240" t="s">
        <v>17</v>
      </c>
      <c r="F240" t="s">
        <v>395</v>
      </c>
      <c r="G240" t="s">
        <v>61</v>
      </c>
      <c r="H240" s="17">
        <v>45681</v>
      </c>
      <c r="I240" t="s">
        <v>85</v>
      </c>
      <c r="J240" s="17">
        <v>45681</v>
      </c>
      <c r="K240" t="s">
        <v>85</v>
      </c>
      <c r="L240" s="17">
        <v>45684</v>
      </c>
      <c r="M240" t="s">
        <v>172</v>
      </c>
      <c r="N240" t="s">
        <v>60</v>
      </c>
      <c r="O240" t="s">
        <v>60</v>
      </c>
      <c r="P240" t="s">
        <v>60</v>
      </c>
    </row>
    <row r="241" spans="1:16" x14ac:dyDescent="0.25">
      <c r="A241" t="s">
        <v>391</v>
      </c>
      <c r="B241" t="s">
        <v>387</v>
      </c>
      <c r="C241" t="s">
        <v>18</v>
      </c>
      <c r="D241">
        <v>2</v>
      </c>
      <c r="E241" t="s">
        <v>17</v>
      </c>
      <c r="F241" t="s">
        <v>395</v>
      </c>
      <c r="G241" t="s">
        <v>61</v>
      </c>
      <c r="H241" s="17">
        <v>45681</v>
      </c>
      <c r="I241" t="s">
        <v>85</v>
      </c>
      <c r="J241" s="17">
        <v>45681</v>
      </c>
      <c r="K241" t="s">
        <v>85</v>
      </c>
      <c r="L241" s="17">
        <v>45684</v>
      </c>
      <c r="M241" t="s">
        <v>172</v>
      </c>
      <c r="N241" t="s">
        <v>60</v>
      </c>
      <c r="O241" t="s">
        <v>60</v>
      </c>
      <c r="P241" t="s">
        <v>60</v>
      </c>
    </row>
    <row r="242" spans="1:16" x14ac:dyDescent="0.25">
      <c r="A242" t="s">
        <v>513</v>
      </c>
      <c r="B242" t="s">
        <v>504</v>
      </c>
      <c r="C242" t="s">
        <v>16</v>
      </c>
      <c r="D242">
        <v>4</v>
      </c>
      <c r="E242" t="s">
        <v>21</v>
      </c>
      <c r="F242" t="s">
        <v>395</v>
      </c>
    </row>
    <row r="243" spans="1:16" x14ac:dyDescent="0.25">
      <c r="A243" t="s">
        <v>514</v>
      </c>
      <c r="B243" t="s">
        <v>504</v>
      </c>
      <c r="C243" t="s">
        <v>19</v>
      </c>
      <c r="D243">
        <v>2</v>
      </c>
      <c r="E243" t="s">
        <v>17</v>
      </c>
      <c r="F243" t="s">
        <v>395</v>
      </c>
    </row>
    <row r="244" spans="1:16" x14ac:dyDescent="0.25">
      <c r="A244" t="s">
        <v>515</v>
      </c>
      <c r="B244" t="s">
        <v>504</v>
      </c>
      <c r="C244" t="s">
        <v>16</v>
      </c>
      <c r="D244">
        <v>4</v>
      </c>
      <c r="E244" t="s">
        <v>17</v>
      </c>
      <c r="F244" t="s">
        <v>395</v>
      </c>
    </row>
    <row r="245" spans="1:16" x14ac:dyDescent="0.25">
      <c r="A245" t="s">
        <v>516</v>
      </c>
      <c r="B245" t="s">
        <v>504</v>
      </c>
      <c r="C245" t="s">
        <v>19</v>
      </c>
      <c r="D245">
        <v>3</v>
      </c>
      <c r="E245" t="s">
        <v>17</v>
      </c>
      <c r="F245" t="s">
        <v>395</v>
      </c>
    </row>
    <row r="246" spans="1:16" x14ac:dyDescent="0.25">
      <c r="A246" t="s">
        <v>517</v>
      </c>
      <c r="B246" t="s">
        <v>504</v>
      </c>
      <c r="C246" t="s">
        <v>16</v>
      </c>
      <c r="D246" t="s">
        <v>16</v>
      </c>
      <c r="E246" t="s">
        <v>17</v>
      </c>
      <c r="F246" t="s">
        <v>395</v>
      </c>
    </row>
    <row r="247" spans="1:16" x14ac:dyDescent="0.25">
      <c r="A247" t="s">
        <v>518</v>
      </c>
      <c r="B247" t="s">
        <v>504</v>
      </c>
      <c r="C247" t="s">
        <v>19</v>
      </c>
      <c r="D247">
        <v>2</v>
      </c>
      <c r="E247" t="s">
        <v>17</v>
      </c>
      <c r="F247" t="s">
        <v>395</v>
      </c>
    </row>
    <row r="248" spans="1:16" x14ac:dyDescent="0.25">
      <c r="A248" t="s">
        <v>519</v>
      </c>
      <c r="B248" t="s">
        <v>504</v>
      </c>
      <c r="C248" t="s">
        <v>16</v>
      </c>
      <c r="D248" t="s">
        <v>16</v>
      </c>
      <c r="E248" t="s">
        <v>17</v>
      </c>
      <c r="F248" t="s">
        <v>395</v>
      </c>
    </row>
    <row r="249" spans="1:16" x14ac:dyDescent="0.25">
      <c r="A249" t="s">
        <v>520</v>
      </c>
      <c r="B249" t="s">
        <v>504</v>
      </c>
      <c r="C249" t="s">
        <v>18</v>
      </c>
      <c r="D249">
        <v>2</v>
      </c>
      <c r="E249" t="s">
        <v>17</v>
      </c>
      <c r="F249" t="s">
        <v>395</v>
      </c>
    </row>
    <row r="250" spans="1:16" x14ac:dyDescent="0.25">
      <c r="A250" t="s">
        <v>521</v>
      </c>
      <c r="B250" t="s">
        <v>504</v>
      </c>
      <c r="C250" t="s">
        <v>16</v>
      </c>
      <c r="D250" t="s">
        <v>16</v>
      </c>
      <c r="E250" t="s">
        <v>17</v>
      </c>
      <c r="F250" t="s">
        <v>395</v>
      </c>
    </row>
    <row r="251" spans="1:16" x14ac:dyDescent="0.25">
      <c r="A251" t="s">
        <v>522</v>
      </c>
      <c r="B251" t="s">
        <v>504</v>
      </c>
      <c r="C251" t="s">
        <v>18</v>
      </c>
      <c r="D251">
        <v>2</v>
      </c>
      <c r="E251" t="s">
        <v>17</v>
      </c>
      <c r="F251" t="s">
        <v>395</v>
      </c>
    </row>
    <row r="252" spans="1:16" x14ac:dyDescent="0.25">
      <c r="A252" t="s">
        <v>523</v>
      </c>
      <c r="B252" t="s">
        <v>504</v>
      </c>
      <c r="C252" t="s">
        <v>18</v>
      </c>
      <c r="D252">
        <v>1</v>
      </c>
      <c r="E252" t="s">
        <v>17</v>
      </c>
      <c r="F252" t="s">
        <v>395</v>
      </c>
    </row>
    <row r="253" spans="1:16" x14ac:dyDescent="0.25">
      <c r="A253" t="s">
        <v>524</v>
      </c>
      <c r="B253" t="s">
        <v>504</v>
      </c>
      <c r="C253" t="s">
        <v>19</v>
      </c>
      <c r="D253">
        <v>2</v>
      </c>
      <c r="E253" t="s">
        <v>21</v>
      </c>
      <c r="F253" t="s">
        <v>395</v>
      </c>
    </row>
    <row r="254" spans="1:16" x14ac:dyDescent="0.25">
      <c r="A254" t="s">
        <v>525</v>
      </c>
      <c r="B254" t="s">
        <v>504</v>
      </c>
      <c r="C254" t="s">
        <v>19</v>
      </c>
      <c r="D254">
        <v>2</v>
      </c>
      <c r="E254" t="s">
        <v>17</v>
      </c>
      <c r="F254" t="s">
        <v>395</v>
      </c>
    </row>
    <row r="255" spans="1:16" x14ac:dyDescent="0.25">
      <c r="A255" t="s">
        <v>526</v>
      </c>
      <c r="B255" t="s">
        <v>505</v>
      </c>
      <c r="C255" t="s">
        <v>18</v>
      </c>
      <c r="D255">
        <v>2</v>
      </c>
      <c r="E255" t="s">
        <v>21</v>
      </c>
      <c r="F255" t="s">
        <v>395</v>
      </c>
    </row>
    <row r="256" spans="1:16" x14ac:dyDescent="0.25">
      <c r="A256" t="s">
        <v>527</v>
      </c>
      <c r="B256" t="s">
        <v>505</v>
      </c>
      <c r="C256" t="s">
        <v>18</v>
      </c>
      <c r="D256">
        <v>2</v>
      </c>
      <c r="E256" t="s">
        <v>17</v>
      </c>
      <c r="F256" t="s">
        <v>395</v>
      </c>
    </row>
    <row r="257" spans="1:6" x14ac:dyDescent="0.25">
      <c r="A257" t="s">
        <v>528</v>
      </c>
      <c r="B257" t="s">
        <v>505</v>
      </c>
      <c r="C257" t="s">
        <v>19</v>
      </c>
      <c r="D257">
        <v>1</v>
      </c>
      <c r="E257" t="s">
        <v>21</v>
      </c>
      <c r="F257" t="s">
        <v>395</v>
      </c>
    </row>
    <row r="258" spans="1:6" x14ac:dyDescent="0.25">
      <c r="A258" t="s">
        <v>529</v>
      </c>
      <c r="B258" t="s">
        <v>505</v>
      </c>
      <c r="C258" t="s">
        <v>18</v>
      </c>
      <c r="D258">
        <v>2</v>
      </c>
      <c r="E258" t="s">
        <v>17</v>
      </c>
      <c r="F258" t="s">
        <v>395</v>
      </c>
    </row>
    <row r="259" spans="1:6" x14ac:dyDescent="0.25">
      <c r="A259" t="s">
        <v>530</v>
      </c>
      <c r="B259" t="s">
        <v>505</v>
      </c>
      <c r="C259" t="s">
        <v>16</v>
      </c>
      <c r="D259">
        <v>4</v>
      </c>
      <c r="E259" t="s">
        <v>17</v>
      </c>
      <c r="F259" t="s">
        <v>395</v>
      </c>
    </row>
    <row r="260" spans="1:6" x14ac:dyDescent="0.25">
      <c r="A260" t="s">
        <v>531</v>
      </c>
      <c r="B260" t="s">
        <v>505</v>
      </c>
      <c r="C260" t="s">
        <v>19</v>
      </c>
      <c r="D260">
        <v>2</v>
      </c>
      <c r="E260" t="s">
        <v>17</v>
      </c>
      <c r="F260" t="s">
        <v>395</v>
      </c>
    </row>
    <row r="261" spans="1:6" x14ac:dyDescent="0.25">
      <c r="A261" t="s">
        <v>532</v>
      </c>
      <c r="B261" t="s">
        <v>505</v>
      </c>
      <c r="C261" t="s">
        <v>18</v>
      </c>
      <c r="D261">
        <v>2</v>
      </c>
      <c r="E261" t="s">
        <v>17</v>
      </c>
      <c r="F261" t="s">
        <v>395</v>
      </c>
    </row>
    <row r="262" spans="1:6" x14ac:dyDescent="0.25">
      <c r="A262" t="s">
        <v>533</v>
      </c>
      <c r="B262" t="s">
        <v>505</v>
      </c>
      <c r="C262" t="s">
        <v>18</v>
      </c>
      <c r="D262">
        <v>1</v>
      </c>
      <c r="E262" t="s">
        <v>17</v>
      </c>
      <c r="F262" t="s">
        <v>395</v>
      </c>
    </row>
    <row r="263" spans="1:6" x14ac:dyDescent="0.25">
      <c r="A263" t="s">
        <v>534</v>
      </c>
      <c r="B263" t="s">
        <v>505</v>
      </c>
      <c r="C263" t="s">
        <v>19</v>
      </c>
      <c r="D263">
        <v>2</v>
      </c>
      <c r="E263" t="s">
        <v>17</v>
      </c>
      <c r="F263" t="s">
        <v>395</v>
      </c>
    </row>
    <row r="264" spans="1:6" x14ac:dyDescent="0.25">
      <c r="A264" t="s">
        <v>535</v>
      </c>
      <c r="B264" t="s">
        <v>505</v>
      </c>
      <c r="C264" t="s">
        <v>19</v>
      </c>
      <c r="D264">
        <v>2</v>
      </c>
      <c r="E264" t="s">
        <v>17</v>
      </c>
      <c r="F264" t="s">
        <v>395</v>
      </c>
    </row>
    <row r="265" spans="1:6" x14ac:dyDescent="0.25">
      <c r="A265" t="s">
        <v>536</v>
      </c>
      <c r="B265" t="s">
        <v>505</v>
      </c>
      <c r="C265" t="s">
        <v>18</v>
      </c>
      <c r="D265" t="s">
        <v>16</v>
      </c>
      <c r="E265" t="s">
        <v>21</v>
      </c>
      <c r="F265" t="s">
        <v>395</v>
      </c>
    </row>
    <row r="266" spans="1:6" x14ac:dyDescent="0.25">
      <c r="A266" t="s">
        <v>537</v>
      </c>
      <c r="B266" t="s">
        <v>506</v>
      </c>
      <c r="C266" t="s">
        <v>19</v>
      </c>
      <c r="D266">
        <v>2</v>
      </c>
      <c r="E266" t="s">
        <v>17</v>
      </c>
      <c r="F266" t="s">
        <v>395</v>
      </c>
    </row>
    <row r="267" spans="1:6" x14ac:dyDescent="0.25">
      <c r="A267" t="s">
        <v>538</v>
      </c>
      <c r="B267" t="s">
        <v>506</v>
      </c>
      <c r="C267" t="s">
        <v>19</v>
      </c>
      <c r="D267">
        <v>2</v>
      </c>
      <c r="E267" t="s">
        <v>17</v>
      </c>
      <c r="F267" t="s">
        <v>395</v>
      </c>
    </row>
    <row r="268" spans="1:6" x14ac:dyDescent="0.25">
      <c r="A268" t="s">
        <v>539</v>
      </c>
      <c r="B268" t="s">
        <v>506</v>
      </c>
      <c r="C268" t="s">
        <v>19</v>
      </c>
      <c r="D268">
        <v>2</v>
      </c>
      <c r="E268" t="s">
        <v>17</v>
      </c>
      <c r="F268" t="s">
        <v>395</v>
      </c>
    </row>
    <row r="269" spans="1:6" x14ac:dyDescent="0.25">
      <c r="A269" t="s">
        <v>540</v>
      </c>
      <c r="B269" t="s">
        <v>506</v>
      </c>
      <c r="C269" t="s">
        <v>16</v>
      </c>
      <c r="D269" t="s">
        <v>16</v>
      </c>
      <c r="E269" t="s">
        <v>17</v>
      </c>
      <c r="F269" t="s">
        <v>395</v>
      </c>
    </row>
    <row r="270" spans="1:6" x14ac:dyDescent="0.25">
      <c r="A270" t="s">
        <v>541</v>
      </c>
      <c r="B270" t="s">
        <v>506</v>
      </c>
      <c r="C270" t="s">
        <v>16</v>
      </c>
      <c r="D270" t="s">
        <v>16</v>
      </c>
      <c r="E270" t="s">
        <v>17</v>
      </c>
      <c r="F270" t="s">
        <v>395</v>
      </c>
    </row>
    <row r="271" spans="1:6" x14ac:dyDescent="0.25">
      <c r="A271" t="s">
        <v>542</v>
      </c>
      <c r="B271" t="s">
        <v>506</v>
      </c>
      <c r="C271" t="s">
        <v>19</v>
      </c>
      <c r="D271">
        <v>2</v>
      </c>
      <c r="E271" t="s">
        <v>17</v>
      </c>
      <c r="F271" t="s">
        <v>395</v>
      </c>
    </row>
    <row r="272" spans="1:6" x14ac:dyDescent="0.25">
      <c r="A272" t="s">
        <v>543</v>
      </c>
      <c r="B272" t="s">
        <v>506</v>
      </c>
      <c r="C272" t="s">
        <v>19</v>
      </c>
      <c r="D272">
        <v>2</v>
      </c>
      <c r="E272" t="s">
        <v>17</v>
      </c>
      <c r="F272" t="s">
        <v>395</v>
      </c>
    </row>
    <row r="273" spans="1:6" x14ac:dyDescent="0.25">
      <c r="A273" t="s">
        <v>544</v>
      </c>
      <c r="B273" t="s">
        <v>506</v>
      </c>
      <c r="C273" t="s">
        <v>19</v>
      </c>
      <c r="D273">
        <v>2</v>
      </c>
      <c r="E273" t="s">
        <v>17</v>
      </c>
      <c r="F273" t="s">
        <v>395</v>
      </c>
    </row>
    <row r="274" spans="1:6" x14ac:dyDescent="0.25">
      <c r="A274" t="s">
        <v>545</v>
      </c>
      <c r="B274" t="s">
        <v>506</v>
      </c>
      <c r="C274" t="s">
        <v>19</v>
      </c>
      <c r="D274">
        <v>2</v>
      </c>
      <c r="E274" t="s">
        <v>21</v>
      </c>
      <c r="F274" t="s">
        <v>395</v>
      </c>
    </row>
    <row r="275" spans="1:6" x14ac:dyDescent="0.25">
      <c r="A275" t="s">
        <v>546</v>
      </c>
      <c r="B275" t="s">
        <v>506</v>
      </c>
      <c r="C275" t="s">
        <v>16</v>
      </c>
      <c r="D275">
        <v>4</v>
      </c>
      <c r="E275" t="s">
        <v>17</v>
      </c>
      <c r="F275" t="s">
        <v>395</v>
      </c>
    </row>
    <row r="276" spans="1:6" x14ac:dyDescent="0.25">
      <c r="A276" t="s">
        <v>547</v>
      </c>
      <c r="B276" t="s">
        <v>506</v>
      </c>
      <c r="C276" t="s">
        <v>18</v>
      </c>
      <c r="D276">
        <v>2</v>
      </c>
      <c r="E276" t="s">
        <v>21</v>
      </c>
      <c r="F276" t="s">
        <v>395</v>
      </c>
    </row>
    <row r="277" spans="1:6" x14ac:dyDescent="0.25">
      <c r="A277" t="s">
        <v>548</v>
      </c>
      <c r="B277" t="s">
        <v>506</v>
      </c>
      <c r="C277" t="s">
        <v>19</v>
      </c>
      <c r="D277">
        <v>2</v>
      </c>
      <c r="E277" t="s">
        <v>17</v>
      </c>
      <c r="F277" t="s">
        <v>395</v>
      </c>
    </row>
    <row r="278" spans="1:6" x14ac:dyDescent="0.25">
      <c r="A278" t="s">
        <v>549</v>
      </c>
      <c r="B278" t="s">
        <v>506</v>
      </c>
      <c r="C278" t="s">
        <v>19</v>
      </c>
      <c r="D278">
        <v>2</v>
      </c>
      <c r="E278" t="s">
        <v>17</v>
      </c>
      <c r="F278" t="s">
        <v>395</v>
      </c>
    </row>
    <row r="279" spans="1:6" x14ac:dyDescent="0.25">
      <c r="A279" t="s">
        <v>550</v>
      </c>
      <c r="B279" t="s">
        <v>506</v>
      </c>
      <c r="C279" t="s">
        <v>19</v>
      </c>
      <c r="D279">
        <v>2</v>
      </c>
      <c r="E279" t="s">
        <v>17</v>
      </c>
      <c r="F279" t="s">
        <v>395</v>
      </c>
    </row>
    <row r="280" spans="1:6" x14ac:dyDescent="0.25">
      <c r="A280" t="s">
        <v>551</v>
      </c>
      <c r="B280" t="s">
        <v>506</v>
      </c>
      <c r="C280" t="s">
        <v>19</v>
      </c>
      <c r="D280">
        <v>2</v>
      </c>
      <c r="E280" t="s">
        <v>17</v>
      </c>
      <c r="F280" t="s">
        <v>395</v>
      </c>
    </row>
    <row r="281" spans="1:6" x14ac:dyDescent="0.25">
      <c r="A281" t="s">
        <v>552</v>
      </c>
      <c r="B281" t="s">
        <v>506</v>
      </c>
      <c r="C281" t="s">
        <v>19</v>
      </c>
      <c r="D281">
        <v>2</v>
      </c>
      <c r="E281" t="s">
        <v>17</v>
      </c>
      <c r="F281" t="s">
        <v>395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54861-7185-497F-B9E1-E387F1DD9EAD}">
  <dimension ref="A1:X241"/>
  <sheetViews>
    <sheetView topLeftCell="A37" workbookViewId="0">
      <selection activeCell="A50" sqref="A50"/>
    </sheetView>
  </sheetViews>
  <sheetFormatPr defaultRowHeight="13.2" x14ac:dyDescent="0.25"/>
  <cols>
    <col min="1" max="1" width="29.33203125" bestFit="1" customWidth="1"/>
    <col min="2" max="2" width="26.33203125" bestFit="1" customWidth="1"/>
    <col min="3" max="3" width="11.21875" bestFit="1" customWidth="1"/>
    <col min="4" max="4" width="6.88671875" bestFit="1" customWidth="1"/>
    <col min="5" max="5" width="14.88671875" bestFit="1" customWidth="1"/>
    <col min="6" max="6" width="5" bestFit="1" customWidth="1"/>
    <col min="7" max="7" width="5.77734375" bestFit="1" customWidth="1"/>
    <col min="8" max="8" width="13.33203125" bestFit="1" customWidth="1"/>
    <col min="9" max="9" width="6.6640625" bestFit="1" customWidth="1"/>
    <col min="10" max="10" width="14.33203125" bestFit="1" customWidth="1"/>
    <col min="11" max="11" width="12.21875" bestFit="1" customWidth="1"/>
    <col min="12" max="12" width="9.77734375" customWidth="1"/>
    <col min="13" max="13" width="14.33203125" bestFit="1" customWidth="1"/>
    <col min="14" max="14" width="18.5546875" bestFit="1" customWidth="1"/>
    <col min="15" max="15" width="14.33203125" bestFit="1" customWidth="1"/>
    <col min="16" max="16" width="18.5546875" bestFit="1" customWidth="1"/>
    <col min="17" max="17" width="13.44140625" bestFit="1" customWidth="1"/>
    <col min="18" max="18" width="12.6640625" bestFit="1" customWidth="1"/>
    <col min="19" max="19" width="11.44140625" bestFit="1" customWidth="1"/>
    <col min="20" max="20" width="10.6640625" bestFit="1" customWidth="1"/>
    <col min="21" max="21" width="12.77734375" bestFit="1" customWidth="1"/>
    <col min="22" max="22" width="21.44140625" bestFit="1" customWidth="1"/>
    <col min="23" max="23" width="12.6640625" bestFit="1" customWidth="1"/>
    <col min="24" max="24" width="8.5546875" bestFit="1" customWidth="1"/>
  </cols>
  <sheetData>
    <row r="1" spans="1:24" x14ac:dyDescent="0.25">
      <c r="A1" t="s">
        <v>398</v>
      </c>
      <c r="B1" t="s">
        <v>40</v>
      </c>
      <c r="C1" t="s">
        <v>399</v>
      </c>
      <c r="D1" t="s">
        <v>400</v>
      </c>
      <c r="E1" t="s">
        <v>401</v>
      </c>
      <c r="F1" t="s">
        <v>29</v>
      </c>
      <c r="G1" t="s">
        <v>402</v>
      </c>
      <c r="H1" t="s">
        <v>403</v>
      </c>
      <c r="I1" t="s">
        <v>404</v>
      </c>
      <c r="J1" t="s">
        <v>405</v>
      </c>
      <c r="K1" t="s">
        <v>406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56</v>
      </c>
      <c r="T1" t="s">
        <v>57</v>
      </c>
      <c r="U1" t="s">
        <v>407</v>
      </c>
      <c r="V1" t="s">
        <v>408</v>
      </c>
      <c r="W1" t="s">
        <v>409</v>
      </c>
      <c r="X1" t="s">
        <v>410</v>
      </c>
    </row>
    <row r="2" spans="1:24" x14ac:dyDescent="0.25">
      <c r="A2" t="s">
        <v>411</v>
      </c>
      <c r="B2" t="s">
        <v>59</v>
      </c>
      <c r="C2">
        <v>30.2</v>
      </c>
      <c r="D2">
        <v>23.3</v>
      </c>
      <c r="E2">
        <v>7.14</v>
      </c>
      <c r="F2">
        <v>7.98</v>
      </c>
      <c r="G2">
        <v>0.55000000000000004</v>
      </c>
      <c r="H2" s="17">
        <v>0.55000000000000004</v>
      </c>
      <c r="I2">
        <v>0.55000000000000004</v>
      </c>
      <c r="J2" s="17">
        <v>3.35</v>
      </c>
      <c r="K2">
        <v>10.199999999999999</v>
      </c>
      <c r="L2" s="17" t="s">
        <v>61</v>
      </c>
      <c r="M2" s="17">
        <v>45432</v>
      </c>
      <c r="N2" t="s">
        <v>62</v>
      </c>
      <c r="O2" s="17">
        <v>45441</v>
      </c>
      <c r="P2" t="s">
        <v>106</v>
      </c>
      <c r="Q2" s="17">
        <v>45601</v>
      </c>
      <c r="R2" t="s">
        <v>63</v>
      </c>
      <c r="S2" t="s">
        <v>412</v>
      </c>
      <c r="T2" t="s">
        <v>60</v>
      </c>
      <c r="U2">
        <v>1543</v>
      </c>
      <c r="V2">
        <v>107.8</v>
      </c>
      <c r="W2" t="s">
        <v>413</v>
      </c>
      <c r="X2" t="s">
        <v>60</v>
      </c>
    </row>
    <row r="3" spans="1:24" x14ac:dyDescent="0.25">
      <c r="A3" t="s">
        <v>414</v>
      </c>
      <c r="B3" t="s">
        <v>69</v>
      </c>
      <c r="C3">
        <v>30.1</v>
      </c>
      <c r="D3">
        <v>20.97</v>
      </c>
      <c r="E3">
        <v>6.79</v>
      </c>
      <c r="F3">
        <v>7.97</v>
      </c>
      <c r="G3">
        <v>0.5</v>
      </c>
      <c r="H3" s="17">
        <v>0.5</v>
      </c>
      <c r="I3">
        <v>0.5</v>
      </c>
      <c r="J3" s="17">
        <v>6.07</v>
      </c>
      <c r="K3">
        <v>10.4</v>
      </c>
      <c r="L3" s="17" t="s">
        <v>61</v>
      </c>
      <c r="M3" s="17">
        <v>45432</v>
      </c>
      <c r="N3" t="s">
        <v>62</v>
      </c>
      <c r="O3" s="17">
        <v>45441</v>
      </c>
      <c r="P3" t="s">
        <v>106</v>
      </c>
      <c r="Q3" s="17">
        <v>45601</v>
      </c>
      <c r="R3" t="s">
        <v>63</v>
      </c>
      <c r="S3" t="s">
        <v>415</v>
      </c>
      <c r="T3" t="s">
        <v>60</v>
      </c>
      <c r="U3">
        <v>1552</v>
      </c>
      <c r="V3">
        <v>101</v>
      </c>
      <c r="W3" t="s">
        <v>413</v>
      </c>
      <c r="X3" t="s">
        <v>60</v>
      </c>
    </row>
    <row r="4" spans="1:24" x14ac:dyDescent="0.25">
      <c r="A4" t="s">
        <v>416</v>
      </c>
      <c r="B4" t="s">
        <v>78</v>
      </c>
      <c r="C4">
        <v>29.2</v>
      </c>
      <c r="D4">
        <v>17.760000000000002</v>
      </c>
      <c r="E4">
        <v>6.01</v>
      </c>
      <c r="F4">
        <v>7.84</v>
      </c>
      <c r="G4">
        <v>0.65</v>
      </c>
      <c r="H4" s="17">
        <v>0.65</v>
      </c>
      <c r="I4">
        <v>0.65</v>
      </c>
      <c r="J4" s="17">
        <v>3.97</v>
      </c>
      <c r="K4">
        <v>2.12</v>
      </c>
      <c r="L4" s="17" t="s">
        <v>61</v>
      </c>
      <c r="M4" s="17">
        <v>45432</v>
      </c>
      <c r="N4" t="s">
        <v>62</v>
      </c>
      <c r="O4" s="17">
        <v>45441</v>
      </c>
      <c r="P4" t="s">
        <v>106</v>
      </c>
      <c r="Q4" s="17">
        <v>45601</v>
      </c>
      <c r="R4" t="s">
        <v>63</v>
      </c>
      <c r="S4" t="s">
        <v>60</v>
      </c>
      <c r="T4" t="s">
        <v>60</v>
      </c>
      <c r="U4">
        <v>1529</v>
      </c>
      <c r="V4">
        <v>86.4</v>
      </c>
      <c r="W4" t="s">
        <v>413</v>
      </c>
      <c r="X4" t="s">
        <v>60</v>
      </c>
    </row>
    <row r="5" spans="1:24" x14ac:dyDescent="0.25">
      <c r="A5" t="s">
        <v>417</v>
      </c>
      <c r="B5" t="s">
        <v>231</v>
      </c>
      <c r="C5">
        <v>29.9</v>
      </c>
      <c r="D5">
        <v>32.200000000000003</v>
      </c>
      <c r="E5">
        <v>7.88</v>
      </c>
      <c r="F5">
        <v>8.09</v>
      </c>
      <c r="G5">
        <v>0.6</v>
      </c>
      <c r="H5" s="17">
        <v>0.6</v>
      </c>
      <c r="I5">
        <v>0.6</v>
      </c>
      <c r="J5" s="17">
        <v>12.94</v>
      </c>
      <c r="K5">
        <v>4.08</v>
      </c>
      <c r="L5" s="17" t="s">
        <v>61</v>
      </c>
      <c r="M5" s="17">
        <v>45432</v>
      </c>
      <c r="N5" t="s">
        <v>62</v>
      </c>
      <c r="O5" s="17">
        <v>45441</v>
      </c>
      <c r="P5" t="s">
        <v>106</v>
      </c>
      <c r="Q5" s="17">
        <v>45601</v>
      </c>
      <c r="R5" t="s">
        <v>63</v>
      </c>
      <c r="S5" t="s">
        <v>418</v>
      </c>
      <c r="T5" t="s">
        <v>60</v>
      </c>
      <c r="U5">
        <v>1705</v>
      </c>
      <c r="V5">
        <v>124.5</v>
      </c>
      <c r="W5" t="s">
        <v>413</v>
      </c>
      <c r="X5" t="s">
        <v>60</v>
      </c>
    </row>
    <row r="6" spans="1:24" x14ac:dyDescent="0.25">
      <c r="A6" t="s">
        <v>419</v>
      </c>
      <c r="B6" t="s">
        <v>237</v>
      </c>
      <c r="C6">
        <v>30.3</v>
      </c>
      <c r="D6">
        <v>31.23</v>
      </c>
      <c r="E6">
        <v>8.07</v>
      </c>
      <c r="F6">
        <v>8.0500000000000007</v>
      </c>
      <c r="G6">
        <v>0.6</v>
      </c>
      <c r="H6" s="17">
        <v>0.6</v>
      </c>
      <c r="I6">
        <v>0.6</v>
      </c>
      <c r="J6" s="17">
        <v>10.73</v>
      </c>
      <c r="K6">
        <v>4.71</v>
      </c>
      <c r="L6" s="17" t="s">
        <v>61</v>
      </c>
      <c r="M6" s="17">
        <v>45432</v>
      </c>
      <c r="N6" t="s">
        <v>62</v>
      </c>
      <c r="O6" s="17">
        <v>45441</v>
      </c>
      <c r="P6" t="s">
        <v>106</v>
      </c>
      <c r="Q6" s="17">
        <v>45601</v>
      </c>
      <c r="R6" t="s">
        <v>63</v>
      </c>
      <c r="S6" t="s">
        <v>420</v>
      </c>
      <c r="T6" t="s">
        <v>60</v>
      </c>
      <c r="U6">
        <v>1641</v>
      </c>
      <c r="V6">
        <v>127.9</v>
      </c>
      <c r="W6" t="s">
        <v>413</v>
      </c>
      <c r="X6" t="s">
        <v>60</v>
      </c>
    </row>
    <row r="7" spans="1:24" x14ac:dyDescent="0.25">
      <c r="A7" t="s">
        <v>421</v>
      </c>
      <c r="B7" t="s">
        <v>245</v>
      </c>
      <c r="C7">
        <v>31.2</v>
      </c>
      <c r="D7">
        <v>31.72</v>
      </c>
      <c r="E7">
        <v>7.77</v>
      </c>
      <c r="F7">
        <v>8.02</v>
      </c>
      <c r="G7">
        <v>0.55000000000000004</v>
      </c>
      <c r="H7" s="17">
        <v>0.55000000000000004</v>
      </c>
      <c r="I7">
        <v>0.55000000000000004</v>
      </c>
      <c r="J7" s="17">
        <v>6.39</v>
      </c>
      <c r="K7">
        <v>10.7</v>
      </c>
      <c r="L7" s="17" t="s">
        <v>61</v>
      </c>
      <c r="M7" s="17">
        <v>45432</v>
      </c>
      <c r="N7" t="s">
        <v>62</v>
      </c>
      <c r="O7" s="17">
        <v>45441</v>
      </c>
      <c r="P7" t="s">
        <v>106</v>
      </c>
      <c r="Q7" s="17">
        <v>45601</v>
      </c>
      <c r="R7" t="s">
        <v>63</v>
      </c>
      <c r="S7" t="s">
        <v>422</v>
      </c>
      <c r="T7" t="s">
        <v>60</v>
      </c>
      <c r="U7">
        <v>1647</v>
      </c>
      <c r="V7">
        <v>125</v>
      </c>
      <c r="W7" t="s">
        <v>413</v>
      </c>
      <c r="X7" t="s">
        <v>60</v>
      </c>
    </row>
    <row r="8" spans="1:24" x14ac:dyDescent="0.25">
      <c r="A8" t="s">
        <v>423</v>
      </c>
      <c r="B8" t="s">
        <v>84</v>
      </c>
      <c r="C8">
        <v>31.2</v>
      </c>
      <c r="D8">
        <v>29.72</v>
      </c>
      <c r="E8">
        <v>6.44</v>
      </c>
      <c r="F8">
        <v>7.92</v>
      </c>
      <c r="G8">
        <v>0.8</v>
      </c>
      <c r="H8" s="17">
        <v>0.8</v>
      </c>
      <c r="I8">
        <v>0.8</v>
      </c>
      <c r="J8" s="17">
        <v>5.0199999999999996</v>
      </c>
      <c r="K8">
        <v>5.28</v>
      </c>
      <c r="L8" s="17" t="s">
        <v>61</v>
      </c>
      <c r="M8" s="17">
        <v>45469</v>
      </c>
      <c r="N8" t="s">
        <v>63</v>
      </c>
      <c r="O8" s="17">
        <v>45470</v>
      </c>
      <c r="P8" t="s">
        <v>85</v>
      </c>
      <c r="Q8" s="17">
        <v>45511</v>
      </c>
      <c r="R8" t="s">
        <v>63</v>
      </c>
      <c r="S8" t="s">
        <v>60</v>
      </c>
      <c r="T8" t="s">
        <v>60</v>
      </c>
      <c r="U8">
        <v>1626</v>
      </c>
      <c r="V8">
        <v>101.9</v>
      </c>
      <c r="W8" t="s">
        <v>413</v>
      </c>
      <c r="X8" t="s">
        <v>60</v>
      </c>
    </row>
    <row r="9" spans="1:24" x14ac:dyDescent="0.25">
      <c r="A9" t="s">
        <v>424</v>
      </c>
      <c r="B9" t="s">
        <v>92</v>
      </c>
      <c r="C9">
        <v>30.9</v>
      </c>
      <c r="D9">
        <v>30.04</v>
      </c>
      <c r="E9">
        <v>6.37</v>
      </c>
      <c r="F9">
        <v>7.92</v>
      </c>
      <c r="G9">
        <v>0.5</v>
      </c>
      <c r="H9" s="17">
        <v>0.5</v>
      </c>
      <c r="I9">
        <v>0.5</v>
      </c>
      <c r="J9" s="17">
        <v>8.1999999999999993</v>
      </c>
      <c r="K9">
        <v>8.43</v>
      </c>
      <c r="L9" s="17" t="s">
        <v>61</v>
      </c>
      <c r="M9" s="17">
        <v>45469</v>
      </c>
      <c r="N9" t="s">
        <v>63</v>
      </c>
      <c r="O9" s="17">
        <v>45470</v>
      </c>
      <c r="P9" t="s">
        <v>85</v>
      </c>
      <c r="Q9" s="17">
        <v>45511</v>
      </c>
      <c r="R9" t="s">
        <v>63</v>
      </c>
      <c r="S9" t="s">
        <v>60</v>
      </c>
      <c r="T9" t="s">
        <v>60</v>
      </c>
      <c r="U9">
        <v>1635</v>
      </c>
      <c r="V9">
        <v>100.9</v>
      </c>
      <c r="W9" t="s">
        <v>413</v>
      </c>
      <c r="X9" t="s">
        <v>60</v>
      </c>
    </row>
    <row r="10" spans="1:24" x14ac:dyDescent="0.25">
      <c r="A10" t="s">
        <v>425</v>
      </c>
      <c r="B10" t="s">
        <v>99</v>
      </c>
      <c r="C10">
        <v>31</v>
      </c>
      <c r="D10">
        <v>30.4</v>
      </c>
      <c r="E10">
        <v>5.69</v>
      </c>
      <c r="F10">
        <v>7.89</v>
      </c>
      <c r="G10">
        <v>0.55000000000000004</v>
      </c>
      <c r="H10" s="17">
        <v>0.55000000000000004</v>
      </c>
      <c r="I10">
        <v>0.55000000000000004</v>
      </c>
      <c r="J10" s="17">
        <v>3.96</v>
      </c>
      <c r="K10">
        <v>5.57</v>
      </c>
      <c r="L10" s="17" t="s">
        <v>61</v>
      </c>
      <c r="M10" s="17">
        <v>45469</v>
      </c>
      <c r="N10" t="s">
        <v>63</v>
      </c>
      <c r="O10" s="17">
        <v>45470</v>
      </c>
      <c r="P10" t="s">
        <v>85</v>
      </c>
      <c r="Q10" s="17">
        <v>45511</v>
      </c>
      <c r="R10" t="s">
        <v>63</v>
      </c>
      <c r="S10" t="s">
        <v>60</v>
      </c>
      <c r="T10" t="s">
        <v>60</v>
      </c>
      <c r="U10">
        <v>1612</v>
      </c>
      <c r="V10">
        <v>90.4</v>
      </c>
      <c r="W10" t="s">
        <v>413</v>
      </c>
      <c r="X10" t="s">
        <v>60</v>
      </c>
    </row>
    <row r="11" spans="1:24" x14ac:dyDescent="0.25">
      <c r="A11" t="s">
        <v>426</v>
      </c>
      <c r="B11" t="s">
        <v>252</v>
      </c>
      <c r="C11">
        <v>29.9</v>
      </c>
      <c r="D11">
        <v>34.770000000000003</v>
      </c>
      <c r="E11">
        <v>7.21</v>
      </c>
      <c r="F11">
        <v>8.09</v>
      </c>
      <c r="G11">
        <v>0.7</v>
      </c>
      <c r="H11" s="17">
        <v>0.7</v>
      </c>
      <c r="I11">
        <v>0.7</v>
      </c>
      <c r="J11" s="17">
        <v>6.57</v>
      </c>
      <c r="K11">
        <v>9.7899999999999991</v>
      </c>
      <c r="L11" s="17" t="s">
        <v>61</v>
      </c>
      <c r="M11" s="17">
        <v>45469</v>
      </c>
      <c r="N11" t="s">
        <v>63</v>
      </c>
      <c r="O11" s="17">
        <v>45470</v>
      </c>
      <c r="P11" t="s">
        <v>85</v>
      </c>
      <c r="Q11" s="17">
        <v>45511</v>
      </c>
      <c r="R11" t="s">
        <v>63</v>
      </c>
      <c r="S11" t="s">
        <v>60</v>
      </c>
      <c r="T11" t="s">
        <v>60</v>
      </c>
      <c r="U11">
        <v>1800</v>
      </c>
      <c r="V11">
        <v>116.1</v>
      </c>
      <c r="W11" t="s">
        <v>413</v>
      </c>
      <c r="X11" t="s">
        <v>60</v>
      </c>
    </row>
    <row r="12" spans="1:24" x14ac:dyDescent="0.25">
      <c r="A12" t="s">
        <v>427</v>
      </c>
      <c r="B12" t="s">
        <v>260</v>
      </c>
      <c r="C12">
        <v>30.6</v>
      </c>
      <c r="D12">
        <v>33.590000000000003</v>
      </c>
      <c r="E12">
        <v>6.67</v>
      </c>
      <c r="F12">
        <v>7.91</v>
      </c>
      <c r="G12">
        <v>0.9</v>
      </c>
      <c r="H12" s="17">
        <v>0.9</v>
      </c>
      <c r="I12">
        <v>0.6</v>
      </c>
      <c r="J12" s="17">
        <v>8.48</v>
      </c>
      <c r="K12">
        <v>13.7</v>
      </c>
      <c r="L12" s="17" t="s">
        <v>61</v>
      </c>
      <c r="M12" s="17">
        <v>45469</v>
      </c>
      <c r="N12" t="s">
        <v>63</v>
      </c>
      <c r="O12" s="17">
        <v>45470</v>
      </c>
      <c r="P12" t="s">
        <v>85</v>
      </c>
      <c r="Q12" s="17">
        <v>45511</v>
      </c>
      <c r="R12" t="s">
        <v>63</v>
      </c>
      <c r="S12" t="s">
        <v>60</v>
      </c>
      <c r="T12" t="s">
        <v>60</v>
      </c>
      <c r="U12">
        <v>1737</v>
      </c>
      <c r="V12">
        <v>107.2</v>
      </c>
      <c r="W12" t="s">
        <v>413</v>
      </c>
      <c r="X12" t="s">
        <v>60</v>
      </c>
    </row>
    <row r="13" spans="1:24" x14ac:dyDescent="0.25">
      <c r="A13" t="s">
        <v>428</v>
      </c>
      <c r="B13" t="s">
        <v>266</v>
      </c>
      <c r="C13">
        <v>30.6</v>
      </c>
      <c r="D13">
        <v>33.86</v>
      </c>
      <c r="E13">
        <v>6.95</v>
      </c>
      <c r="F13">
        <v>7.97</v>
      </c>
      <c r="G13">
        <v>0.85</v>
      </c>
      <c r="H13" s="17">
        <v>0.85</v>
      </c>
      <c r="I13">
        <v>0.65</v>
      </c>
      <c r="J13" s="17">
        <v>7.28</v>
      </c>
      <c r="K13">
        <v>11.6</v>
      </c>
      <c r="L13" s="17" t="s">
        <v>61</v>
      </c>
      <c r="M13" s="17">
        <v>45469</v>
      </c>
      <c r="N13" t="s">
        <v>63</v>
      </c>
      <c r="O13" s="17">
        <v>45470</v>
      </c>
      <c r="P13" t="s">
        <v>85</v>
      </c>
      <c r="Q13" s="17">
        <v>45511</v>
      </c>
      <c r="R13" t="s">
        <v>63</v>
      </c>
      <c r="S13" t="s">
        <v>60</v>
      </c>
      <c r="T13" t="s">
        <v>60</v>
      </c>
      <c r="U13">
        <v>1746</v>
      </c>
      <c r="V13">
        <v>112</v>
      </c>
      <c r="W13" t="s">
        <v>413</v>
      </c>
      <c r="X13" t="s">
        <v>60</v>
      </c>
    </row>
    <row r="14" spans="1:24" x14ac:dyDescent="0.25">
      <c r="A14" t="s">
        <v>429</v>
      </c>
      <c r="B14" t="s">
        <v>105</v>
      </c>
      <c r="C14">
        <v>32.5</v>
      </c>
      <c r="D14">
        <v>11.68</v>
      </c>
      <c r="E14">
        <v>4.6500000000000004</v>
      </c>
      <c r="F14">
        <v>7.81</v>
      </c>
      <c r="G14">
        <v>0.6</v>
      </c>
      <c r="H14" s="17">
        <v>0.6</v>
      </c>
      <c r="I14">
        <v>0.6</v>
      </c>
      <c r="J14" s="17">
        <v>0.9</v>
      </c>
      <c r="K14">
        <v>2.46</v>
      </c>
      <c r="L14" s="17" t="s">
        <v>61</v>
      </c>
      <c r="M14" s="17">
        <v>45497</v>
      </c>
      <c r="N14" t="s">
        <v>63</v>
      </c>
      <c r="O14" s="17">
        <v>45502</v>
      </c>
      <c r="P14" t="s">
        <v>106</v>
      </c>
      <c r="Q14" s="17">
        <v>45601</v>
      </c>
      <c r="R14" t="s">
        <v>63</v>
      </c>
      <c r="S14" t="s">
        <v>60</v>
      </c>
      <c r="T14" t="s">
        <v>60</v>
      </c>
      <c r="U14">
        <v>1600</v>
      </c>
      <c r="V14">
        <v>67.099999999999994</v>
      </c>
      <c r="W14" t="s">
        <v>413</v>
      </c>
      <c r="X14" t="s">
        <v>60</v>
      </c>
    </row>
    <row r="15" spans="1:24" x14ac:dyDescent="0.25">
      <c r="A15" t="s">
        <v>430</v>
      </c>
      <c r="B15" t="s">
        <v>113</v>
      </c>
      <c r="C15">
        <v>32.700000000000003</v>
      </c>
      <c r="D15">
        <v>11.57</v>
      </c>
      <c r="E15">
        <v>6.48</v>
      </c>
      <c r="F15">
        <v>7.9</v>
      </c>
      <c r="G15">
        <v>0.55000000000000004</v>
      </c>
      <c r="H15" s="17">
        <v>0.55000000000000004</v>
      </c>
      <c r="I15">
        <v>0.55000000000000004</v>
      </c>
      <c r="J15" s="17">
        <v>4.1399999999999997</v>
      </c>
      <c r="K15">
        <v>5.13</v>
      </c>
      <c r="L15" s="17" t="s">
        <v>61</v>
      </c>
      <c r="M15" s="17">
        <v>45497</v>
      </c>
      <c r="N15" t="s">
        <v>63</v>
      </c>
      <c r="O15" s="17">
        <v>45502</v>
      </c>
      <c r="P15" t="s">
        <v>106</v>
      </c>
      <c r="Q15" s="17">
        <v>45601</v>
      </c>
      <c r="R15" t="s">
        <v>63</v>
      </c>
      <c r="S15" t="s">
        <v>60</v>
      </c>
      <c r="T15" t="s">
        <v>60</v>
      </c>
      <c r="U15">
        <v>1613</v>
      </c>
      <c r="V15">
        <v>95.8</v>
      </c>
      <c r="W15" t="s">
        <v>413</v>
      </c>
      <c r="X15" t="s">
        <v>60</v>
      </c>
    </row>
    <row r="16" spans="1:24" x14ac:dyDescent="0.25">
      <c r="A16" t="s">
        <v>431</v>
      </c>
      <c r="B16" t="s">
        <v>120</v>
      </c>
      <c r="C16">
        <v>32.1</v>
      </c>
      <c r="D16">
        <v>7.07</v>
      </c>
      <c r="E16">
        <v>4.6500000000000004</v>
      </c>
      <c r="F16">
        <v>7.9</v>
      </c>
      <c r="G16">
        <v>0.65</v>
      </c>
      <c r="H16" s="17">
        <v>0.65</v>
      </c>
      <c r="I16">
        <v>0.65</v>
      </c>
      <c r="J16" s="17">
        <v>1.55</v>
      </c>
      <c r="K16">
        <v>4.34</v>
      </c>
      <c r="L16" s="17" t="s">
        <v>61</v>
      </c>
      <c r="M16" s="17">
        <v>45497</v>
      </c>
      <c r="N16" t="s">
        <v>63</v>
      </c>
      <c r="O16" s="17">
        <v>45502</v>
      </c>
      <c r="P16" t="s">
        <v>106</v>
      </c>
      <c r="Q16" s="17">
        <v>45601</v>
      </c>
      <c r="R16" t="s">
        <v>63</v>
      </c>
      <c r="S16" t="s">
        <v>60</v>
      </c>
      <c r="T16" t="s">
        <v>60</v>
      </c>
      <c r="U16">
        <v>1548</v>
      </c>
      <c r="V16">
        <v>66.2</v>
      </c>
      <c r="W16" t="s">
        <v>413</v>
      </c>
      <c r="X16" t="s">
        <v>60</v>
      </c>
    </row>
    <row r="17" spans="1:24" x14ac:dyDescent="0.25">
      <c r="A17" t="s">
        <v>432</v>
      </c>
      <c r="B17" t="s">
        <v>273</v>
      </c>
      <c r="C17">
        <v>30.8</v>
      </c>
      <c r="D17">
        <v>24.45</v>
      </c>
      <c r="E17">
        <v>6.88</v>
      </c>
      <c r="F17">
        <v>7.84</v>
      </c>
      <c r="G17">
        <v>0.55000000000000004</v>
      </c>
      <c r="H17" s="17">
        <v>0.55000000000000004</v>
      </c>
      <c r="I17">
        <v>0.55000000000000004</v>
      </c>
      <c r="J17" s="17">
        <v>4.1100000000000003</v>
      </c>
      <c r="K17">
        <v>6.55</v>
      </c>
      <c r="L17" s="17" t="s">
        <v>61</v>
      </c>
      <c r="M17" s="17">
        <v>45497</v>
      </c>
      <c r="N17" t="s">
        <v>63</v>
      </c>
      <c r="O17" s="17">
        <v>45502</v>
      </c>
      <c r="P17" t="s">
        <v>106</v>
      </c>
      <c r="Q17" s="17">
        <v>45601</v>
      </c>
      <c r="R17" t="s">
        <v>63</v>
      </c>
      <c r="S17" t="s">
        <v>60</v>
      </c>
      <c r="T17" t="s">
        <v>60</v>
      </c>
      <c r="U17">
        <v>1841</v>
      </c>
      <c r="V17">
        <v>105.7</v>
      </c>
      <c r="W17" t="s">
        <v>413</v>
      </c>
      <c r="X17" t="s">
        <v>60</v>
      </c>
    </row>
    <row r="18" spans="1:24" x14ac:dyDescent="0.25">
      <c r="A18" t="s">
        <v>433</v>
      </c>
      <c r="B18" t="s">
        <v>279</v>
      </c>
      <c r="C18">
        <v>32.700000000000003</v>
      </c>
      <c r="D18">
        <v>24.72</v>
      </c>
      <c r="E18">
        <v>7.32</v>
      </c>
      <c r="F18">
        <v>8.0500000000000007</v>
      </c>
      <c r="G18">
        <v>0.6</v>
      </c>
      <c r="H18" s="17">
        <v>0.6</v>
      </c>
      <c r="I18">
        <v>0.6</v>
      </c>
      <c r="J18" s="17">
        <v>2.77</v>
      </c>
      <c r="K18">
        <v>4.42</v>
      </c>
      <c r="L18" s="17" t="s">
        <v>61</v>
      </c>
      <c r="M18" s="17">
        <v>45497</v>
      </c>
      <c r="N18" t="s">
        <v>63</v>
      </c>
      <c r="O18" s="17">
        <v>45502</v>
      </c>
      <c r="P18" t="s">
        <v>106</v>
      </c>
      <c r="Q18" s="17">
        <v>45601</v>
      </c>
      <c r="R18" t="s">
        <v>63</v>
      </c>
      <c r="S18" t="s">
        <v>60</v>
      </c>
      <c r="T18" t="s">
        <v>60</v>
      </c>
      <c r="U18">
        <v>1709</v>
      </c>
      <c r="V18">
        <v>115.7</v>
      </c>
      <c r="W18" t="s">
        <v>413</v>
      </c>
      <c r="X18" t="s">
        <v>60</v>
      </c>
    </row>
    <row r="19" spans="1:24" x14ac:dyDescent="0.25">
      <c r="A19" t="s">
        <v>434</v>
      </c>
      <c r="B19" t="s">
        <v>285</v>
      </c>
      <c r="C19">
        <v>32.4</v>
      </c>
      <c r="D19">
        <v>24.34</v>
      </c>
      <c r="E19">
        <v>7.18</v>
      </c>
      <c r="F19">
        <v>8.08</v>
      </c>
      <c r="G19">
        <v>0.6</v>
      </c>
      <c r="H19" s="17">
        <v>0.6</v>
      </c>
      <c r="I19">
        <v>0.6</v>
      </c>
      <c r="J19" s="17">
        <v>6.31</v>
      </c>
      <c r="K19">
        <v>9.25</v>
      </c>
      <c r="L19" s="17" t="s">
        <v>61</v>
      </c>
      <c r="M19" s="17">
        <v>45497</v>
      </c>
      <c r="N19" t="s">
        <v>63</v>
      </c>
      <c r="O19" s="17">
        <v>45502</v>
      </c>
      <c r="P19" t="s">
        <v>106</v>
      </c>
      <c r="Q19" s="17">
        <v>45601</v>
      </c>
      <c r="R19" t="s">
        <v>63</v>
      </c>
      <c r="S19" t="s">
        <v>60</v>
      </c>
      <c r="T19" t="s">
        <v>60</v>
      </c>
      <c r="U19">
        <v>1715</v>
      </c>
      <c r="V19">
        <v>113</v>
      </c>
      <c r="W19" t="s">
        <v>413</v>
      </c>
      <c r="X19" t="s">
        <v>60</v>
      </c>
    </row>
    <row r="20" spans="1:24" x14ac:dyDescent="0.25">
      <c r="A20" t="s">
        <v>435</v>
      </c>
      <c r="B20" t="s">
        <v>126</v>
      </c>
      <c r="C20">
        <v>30.6</v>
      </c>
      <c r="D20">
        <v>7.62</v>
      </c>
      <c r="E20">
        <v>6.95</v>
      </c>
      <c r="F20">
        <v>8.16</v>
      </c>
      <c r="G20">
        <v>0.45</v>
      </c>
      <c r="H20" s="17">
        <v>0.45</v>
      </c>
      <c r="I20">
        <v>0.45</v>
      </c>
      <c r="J20" s="17">
        <v>4.4000000000000004</v>
      </c>
      <c r="K20">
        <v>4.88</v>
      </c>
      <c r="L20" s="17" t="s">
        <v>61</v>
      </c>
      <c r="M20" s="17">
        <v>45523</v>
      </c>
      <c r="N20" t="s">
        <v>85</v>
      </c>
      <c r="O20" s="17">
        <v>45530</v>
      </c>
      <c r="P20" t="s">
        <v>85</v>
      </c>
      <c r="Q20" s="17">
        <v>45601</v>
      </c>
      <c r="R20" t="s">
        <v>63</v>
      </c>
      <c r="S20" t="s">
        <v>60</v>
      </c>
      <c r="T20" t="s">
        <v>60</v>
      </c>
      <c r="U20">
        <v>1718</v>
      </c>
      <c r="V20">
        <v>96.7</v>
      </c>
      <c r="W20" t="s">
        <v>413</v>
      </c>
      <c r="X20" t="s">
        <v>60</v>
      </c>
    </row>
    <row r="21" spans="1:24" x14ac:dyDescent="0.25">
      <c r="A21" t="s">
        <v>436</v>
      </c>
      <c r="B21" t="s">
        <v>133</v>
      </c>
      <c r="C21">
        <v>30.2</v>
      </c>
      <c r="D21">
        <v>4.8499999999999996</v>
      </c>
      <c r="E21">
        <v>7.17</v>
      </c>
      <c r="F21">
        <v>8.1199999999999992</v>
      </c>
      <c r="G21">
        <v>0.5</v>
      </c>
      <c r="H21" s="17">
        <v>0.5</v>
      </c>
      <c r="I21">
        <v>0.5</v>
      </c>
      <c r="J21" s="17">
        <v>8.4700000000000006</v>
      </c>
      <c r="K21">
        <v>9.8699999999999992</v>
      </c>
      <c r="L21" s="17" t="s">
        <v>61</v>
      </c>
      <c r="M21" s="17">
        <v>45523</v>
      </c>
      <c r="N21" t="s">
        <v>85</v>
      </c>
      <c r="O21" s="17">
        <v>45530</v>
      </c>
      <c r="P21" t="s">
        <v>85</v>
      </c>
      <c r="Q21" s="17">
        <v>45601</v>
      </c>
      <c r="R21" t="s">
        <v>63</v>
      </c>
      <c r="S21" t="s">
        <v>60</v>
      </c>
      <c r="T21" t="s">
        <v>60</v>
      </c>
      <c r="U21">
        <v>1743</v>
      </c>
      <c r="V21">
        <v>98.5</v>
      </c>
      <c r="W21" t="s">
        <v>413</v>
      </c>
      <c r="X21" t="s">
        <v>60</v>
      </c>
    </row>
    <row r="22" spans="1:24" x14ac:dyDescent="0.25">
      <c r="A22" t="s">
        <v>437</v>
      </c>
      <c r="B22" t="s">
        <v>140</v>
      </c>
      <c r="C22">
        <v>30</v>
      </c>
      <c r="D22">
        <v>2.04</v>
      </c>
      <c r="E22">
        <v>6.03</v>
      </c>
      <c r="F22">
        <v>8.23</v>
      </c>
      <c r="G22">
        <v>0.65</v>
      </c>
      <c r="H22" s="17">
        <v>0.5</v>
      </c>
      <c r="I22">
        <v>0.65</v>
      </c>
      <c r="J22" s="17">
        <v>3.43</v>
      </c>
      <c r="K22">
        <v>5.72</v>
      </c>
      <c r="L22" s="17" t="s">
        <v>61</v>
      </c>
      <c r="M22" s="17">
        <v>45523</v>
      </c>
      <c r="N22" t="s">
        <v>85</v>
      </c>
      <c r="O22" s="17">
        <v>45530</v>
      </c>
      <c r="P22" t="s">
        <v>85</v>
      </c>
      <c r="Q22" s="17">
        <v>45601</v>
      </c>
      <c r="R22" t="s">
        <v>63</v>
      </c>
      <c r="S22" t="s">
        <v>60</v>
      </c>
      <c r="T22" t="s">
        <v>60</v>
      </c>
      <c r="U22">
        <v>1703</v>
      </c>
      <c r="V22">
        <v>80.5</v>
      </c>
      <c r="W22" t="s">
        <v>413</v>
      </c>
      <c r="X22" t="s">
        <v>60</v>
      </c>
    </row>
    <row r="23" spans="1:24" x14ac:dyDescent="0.25">
      <c r="A23" t="s">
        <v>438</v>
      </c>
      <c r="B23" t="s">
        <v>291</v>
      </c>
      <c r="C23">
        <v>30.3</v>
      </c>
      <c r="D23">
        <v>29.79</v>
      </c>
      <c r="E23">
        <v>7.1</v>
      </c>
      <c r="F23">
        <v>8.1</v>
      </c>
      <c r="G23">
        <v>0.5</v>
      </c>
      <c r="H23" s="17">
        <v>0.5</v>
      </c>
      <c r="I23">
        <v>0.5</v>
      </c>
      <c r="J23" s="17">
        <v>3.98</v>
      </c>
      <c r="K23">
        <v>4.43</v>
      </c>
      <c r="L23" s="17" t="s">
        <v>61</v>
      </c>
      <c r="M23" s="17">
        <v>45523</v>
      </c>
      <c r="N23" t="s">
        <v>85</v>
      </c>
      <c r="O23" s="17">
        <v>45526</v>
      </c>
      <c r="P23" t="s">
        <v>85</v>
      </c>
      <c r="Q23" s="17">
        <v>45601</v>
      </c>
      <c r="R23" t="s">
        <v>63</v>
      </c>
      <c r="S23" t="s">
        <v>60</v>
      </c>
      <c r="T23" t="s">
        <v>60</v>
      </c>
      <c r="U23">
        <v>1930</v>
      </c>
      <c r="V23">
        <v>111.1</v>
      </c>
      <c r="W23" t="s">
        <v>413</v>
      </c>
      <c r="X23" t="s">
        <v>60</v>
      </c>
    </row>
    <row r="24" spans="1:24" x14ac:dyDescent="0.25">
      <c r="A24" t="s">
        <v>439</v>
      </c>
      <c r="B24" t="s">
        <v>299</v>
      </c>
      <c r="C24">
        <v>30.6</v>
      </c>
      <c r="D24">
        <v>28.98</v>
      </c>
      <c r="E24">
        <v>6.72</v>
      </c>
      <c r="F24">
        <v>7.97</v>
      </c>
      <c r="G24">
        <v>0.45</v>
      </c>
      <c r="H24" s="17">
        <v>0.45</v>
      </c>
      <c r="I24">
        <v>0.45</v>
      </c>
      <c r="J24" s="17">
        <v>8.98</v>
      </c>
      <c r="K24">
        <v>7.96</v>
      </c>
      <c r="L24" s="17" t="s">
        <v>61</v>
      </c>
      <c r="M24" s="17">
        <v>45523</v>
      </c>
      <c r="N24" t="s">
        <v>85</v>
      </c>
      <c r="O24" s="17">
        <v>45526</v>
      </c>
      <c r="P24" t="s">
        <v>85</v>
      </c>
      <c r="Q24" s="17">
        <v>45601</v>
      </c>
      <c r="R24" t="s">
        <v>63</v>
      </c>
      <c r="S24" t="s">
        <v>60</v>
      </c>
      <c r="T24" t="s">
        <v>60</v>
      </c>
      <c r="U24">
        <v>1909</v>
      </c>
      <c r="V24">
        <v>105.5</v>
      </c>
      <c r="W24" t="s">
        <v>413</v>
      </c>
      <c r="X24" t="s">
        <v>60</v>
      </c>
    </row>
    <row r="25" spans="1:24" x14ac:dyDescent="0.25">
      <c r="A25" t="s">
        <v>440</v>
      </c>
      <c r="B25" t="s">
        <v>306</v>
      </c>
      <c r="C25">
        <v>30.9</v>
      </c>
      <c r="D25">
        <v>29.25</v>
      </c>
      <c r="E25">
        <v>7.36</v>
      </c>
      <c r="F25">
        <v>8.08</v>
      </c>
      <c r="G25">
        <v>0.45</v>
      </c>
      <c r="H25" s="17">
        <v>0.45</v>
      </c>
      <c r="I25">
        <v>0.45</v>
      </c>
      <c r="J25" s="17">
        <v>4.8499999999999996</v>
      </c>
      <c r="K25">
        <v>12.7</v>
      </c>
      <c r="L25" s="17" t="s">
        <v>61</v>
      </c>
      <c r="M25" s="17">
        <v>45523</v>
      </c>
      <c r="N25" t="s">
        <v>85</v>
      </c>
      <c r="O25" s="17">
        <v>45526</v>
      </c>
      <c r="P25" t="s">
        <v>85</v>
      </c>
      <c r="Q25" s="17">
        <v>45601</v>
      </c>
      <c r="R25" t="s">
        <v>63</v>
      </c>
      <c r="S25" t="s">
        <v>60</v>
      </c>
      <c r="T25" t="s">
        <v>60</v>
      </c>
      <c r="U25">
        <v>1918</v>
      </c>
      <c r="V25">
        <v>116</v>
      </c>
      <c r="W25" t="s">
        <v>413</v>
      </c>
      <c r="X25" t="s">
        <v>60</v>
      </c>
    </row>
    <row r="26" spans="1:24" x14ac:dyDescent="0.25">
      <c r="A26" t="s">
        <v>441</v>
      </c>
      <c r="B26" t="s">
        <v>148</v>
      </c>
      <c r="C26">
        <v>30.2</v>
      </c>
      <c r="D26">
        <v>8.52</v>
      </c>
      <c r="E26">
        <v>4.91</v>
      </c>
      <c r="F26">
        <v>7.9</v>
      </c>
      <c r="G26">
        <v>0.6</v>
      </c>
      <c r="H26" s="17">
        <v>0.6</v>
      </c>
      <c r="I26">
        <v>0.6</v>
      </c>
      <c r="J26" s="17">
        <v>2.1</v>
      </c>
      <c r="K26">
        <v>5.03</v>
      </c>
      <c r="L26" s="17" t="s">
        <v>61</v>
      </c>
      <c r="M26" s="17">
        <v>45558</v>
      </c>
      <c r="N26" t="s">
        <v>149</v>
      </c>
      <c r="O26" s="17">
        <v>45559</v>
      </c>
      <c r="P26" t="s">
        <v>106</v>
      </c>
      <c r="Q26" s="17">
        <v>45601</v>
      </c>
      <c r="R26" t="s">
        <v>63</v>
      </c>
      <c r="S26" t="s">
        <v>60</v>
      </c>
      <c r="T26" t="s">
        <v>60</v>
      </c>
      <c r="U26">
        <v>1535</v>
      </c>
      <c r="V26">
        <v>68.099999999999994</v>
      </c>
      <c r="W26" t="s">
        <v>413</v>
      </c>
      <c r="X26" t="s">
        <v>60</v>
      </c>
    </row>
    <row r="27" spans="1:24" x14ac:dyDescent="0.25">
      <c r="A27" t="s">
        <v>442</v>
      </c>
      <c r="B27" t="s">
        <v>157</v>
      </c>
      <c r="C27">
        <v>30.8</v>
      </c>
      <c r="D27">
        <v>10.34</v>
      </c>
      <c r="E27">
        <v>6.73</v>
      </c>
      <c r="F27">
        <v>8.09</v>
      </c>
      <c r="G27">
        <v>0.6</v>
      </c>
      <c r="H27" s="17">
        <v>0.6</v>
      </c>
      <c r="I27">
        <v>0.6</v>
      </c>
      <c r="J27" s="17">
        <v>4.1500000000000004</v>
      </c>
      <c r="K27">
        <v>4.88</v>
      </c>
      <c r="L27" s="17" t="s">
        <v>61</v>
      </c>
      <c r="M27" s="17">
        <v>45558</v>
      </c>
      <c r="N27" t="s">
        <v>149</v>
      </c>
      <c r="O27" s="17">
        <v>45559</v>
      </c>
      <c r="P27" t="s">
        <v>106</v>
      </c>
      <c r="Q27" s="17">
        <v>45601</v>
      </c>
      <c r="R27" t="s">
        <v>63</v>
      </c>
      <c r="S27" t="s">
        <v>60</v>
      </c>
      <c r="T27" t="s">
        <v>60</v>
      </c>
      <c r="U27">
        <v>1452</v>
      </c>
      <c r="V27">
        <v>95.4</v>
      </c>
      <c r="W27" t="s">
        <v>413</v>
      </c>
      <c r="X27" t="s">
        <v>60</v>
      </c>
    </row>
    <row r="28" spans="1:24" x14ac:dyDescent="0.25">
      <c r="A28" t="s">
        <v>443</v>
      </c>
      <c r="B28" t="s">
        <v>164</v>
      </c>
      <c r="C28">
        <v>29.7</v>
      </c>
      <c r="D28">
        <v>4.09</v>
      </c>
      <c r="E28">
        <v>4.4000000000000004</v>
      </c>
      <c r="F28">
        <v>7.71</v>
      </c>
      <c r="G28">
        <v>0.6</v>
      </c>
      <c r="H28" s="17">
        <v>0.6</v>
      </c>
      <c r="I28">
        <v>0.6</v>
      </c>
      <c r="J28" s="17">
        <v>2.4300000000000002</v>
      </c>
      <c r="K28">
        <v>4.12</v>
      </c>
      <c r="L28" s="17" t="s">
        <v>61</v>
      </c>
      <c r="M28" s="17">
        <v>45558</v>
      </c>
      <c r="N28" t="s">
        <v>149</v>
      </c>
      <c r="O28" s="17">
        <v>45559</v>
      </c>
      <c r="P28" t="s">
        <v>106</v>
      </c>
      <c r="Q28" s="17">
        <v>45601</v>
      </c>
      <c r="R28" t="s">
        <v>63</v>
      </c>
      <c r="S28" t="s">
        <v>60</v>
      </c>
      <c r="T28" t="s">
        <v>60</v>
      </c>
      <c r="U28">
        <v>1616</v>
      </c>
      <c r="V28">
        <v>59.1</v>
      </c>
      <c r="W28" t="s">
        <v>413</v>
      </c>
      <c r="X28" t="s">
        <v>60</v>
      </c>
    </row>
    <row r="29" spans="1:24" x14ac:dyDescent="0.25">
      <c r="A29" t="s">
        <v>444</v>
      </c>
      <c r="B29" t="s">
        <v>312</v>
      </c>
      <c r="C29">
        <v>30.3</v>
      </c>
      <c r="D29">
        <v>12.05</v>
      </c>
      <c r="E29">
        <v>4.8499999999999996</v>
      </c>
      <c r="F29">
        <v>7.69</v>
      </c>
      <c r="G29">
        <v>0.8</v>
      </c>
      <c r="H29" s="17">
        <v>0.8</v>
      </c>
      <c r="I29">
        <v>0.8</v>
      </c>
      <c r="J29" s="17">
        <v>2.69</v>
      </c>
      <c r="K29">
        <v>4.95</v>
      </c>
      <c r="L29" s="17" t="s">
        <v>61</v>
      </c>
      <c r="M29" s="17">
        <v>45558</v>
      </c>
      <c r="N29" t="s">
        <v>149</v>
      </c>
      <c r="O29" s="17">
        <v>45559</v>
      </c>
      <c r="P29" t="s">
        <v>106</v>
      </c>
      <c r="Q29" s="17">
        <v>45601</v>
      </c>
      <c r="R29" t="s">
        <v>63</v>
      </c>
      <c r="S29" t="s">
        <v>60</v>
      </c>
      <c r="T29" t="s">
        <v>60</v>
      </c>
      <c r="U29">
        <v>1747</v>
      </c>
      <c r="V29">
        <v>68.400000000000006</v>
      </c>
      <c r="W29" t="s">
        <v>413</v>
      </c>
      <c r="X29" t="s">
        <v>60</v>
      </c>
    </row>
    <row r="30" spans="1:24" x14ac:dyDescent="0.25">
      <c r="A30" t="s">
        <v>445</v>
      </c>
      <c r="B30" t="s">
        <v>319</v>
      </c>
      <c r="C30">
        <v>30.1</v>
      </c>
      <c r="D30">
        <v>12.32</v>
      </c>
      <c r="E30">
        <v>5.98</v>
      </c>
      <c r="F30">
        <v>7.69</v>
      </c>
      <c r="G30">
        <v>0.6</v>
      </c>
      <c r="H30" s="17">
        <v>0.6</v>
      </c>
      <c r="I30">
        <v>0.6</v>
      </c>
      <c r="J30" s="17">
        <v>5.73</v>
      </c>
      <c r="K30">
        <v>7.03</v>
      </c>
      <c r="L30" s="17" t="s">
        <v>61</v>
      </c>
      <c r="M30" s="17">
        <v>45558</v>
      </c>
      <c r="N30" t="s">
        <v>149</v>
      </c>
      <c r="O30" s="17">
        <v>45559</v>
      </c>
      <c r="P30" t="s">
        <v>106</v>
      </c>
      <c r="Q30" s="17">
        <v>45601</v>
      </c>
      <c r="R30" t="s">
        <v>63</v>
      </c>
      <c r="S30" t="s">
        <v>60</v>
      </c>
      <c r="T30" t="s">
        <v>60</v>
      </c>
      <c r="U30">
        <v>1710</v>
      </c>
      <c r="V30">
        <v>84.4</v>
      </c>
      <c r="W30" t="s">
        <v>413</v>
      </c>
      <c r="X30" t="s">
        <v>60</v>
      </c>
    </row>
    <row r="31" spans="1:24" x14ac:dyDescent="0.25">
      <c r="A31" t="s">
        <v>446</v>
      </c>
      <c r="B31" t="s">
        <v>328</v>
      </c>
      <c r="C31">
        <v>30.8</v>
      </c>
      <c r="D31">
        <v>11.61</v>
      </c>
      <c r="E31">
        <v>5.37</v>
      </c>
      <c r="F31">
        <v>7.62</v>
      </c>
      <c r="G31">
        <v>0.7</v>
      </c>
      <c r="H31" s="17">
        <v>0.7</v>
      </c>
      <c r="I31">
        <v>0.7</v>
      </c>
      <c r="J31" s="17">
        <v>3.71</v>
      </c>
      <c r="K31">
        <v>5.32</v>
      </c>
      <c r="L31" s="17" t="s">
        <v>61</v>
      </c>
      <c r="M31" s="17">
        <v>45558</v>
      </c>
      <c r="N31" t="s">
        <v>149</v>
      </c>
      <c r="O31" s="17">
        <v>45559</v>
      </c>
      <c r="P31" t="s">
        <v>106</v>
      </c>
      <c r="Q31" s="17">
        <v>45601</v>
      </c>
      <c r="R31" t="s">
        <v>63</v>
      </c>
      <c r="S31" t="s">
        <v>60</v>
      </c>
      <c r="T31" t="s">
        <v>60</v>
      </c>
      <c r="U31">
        <v>1731</v>
      </c>
      <c r="V31">
        <v>76.5</v>
      </c>
      <c r="W31" t="s">
        <v>413</v>
      </c>
      <c r="X31" t="s">
        <v>60</v>
      </c>
    </row>
    <row r="32" spans="1:24" x14ac:dyDescent="0.25">
      <c r="A32" t="s">
        <v>447</v>
      </c>
      <c r="B32" t="s">
        <v>171</v>
      </c>
      <c r="C32">
        <v>31.5</v>
      </c>
      <c r="D32">
        <v>7.32</v>
      </c>
      <c r="E32">
        <v>4.8899999999999997</v>
      </c>
      <c r="F32">
        <v>7.8</v>
      </c>
      <c r="G32">
        <v>0.6</v>
      </c>
      <c r="H32" s="17">
        <v>0.6</v>
      </c>
      <c r="I32">
        <v>0.6</v>
      </c>
      <c r="J32" s="17">
        <v>0.82</v>
      </c>
      <c r="K32">
        <v>2.76</v>
      </c>
      <c r="L32" s="17" t="s">
        <v>61</v>
      </c>
      <c r="M32" s="17">
        <v>45582</v>
      </c>
      <c r="N32" t="s">
        <v>63</v>
      </c>
      <c r="O32" s="17">
        <v>45586</v>
      </c>
      <c r="P32" t="s">
        <v>106</v>
      </c>
      <c r="Q32" s="17">
        <v>45684</v>
      </c>
      <c r="R32" t="s">
        <v>172</v>
      </c>
      <c r="S32" t="s">
        <v>60</v>
      </c>
      <c r="T32" t="s">
        <v>60</v>
      </c>
      <c r="U32">
        <v>1522</v>
      </c>
      <c r="V32">
        <v>69</v>
      </c>
      <c r="W32" t="s">
        <v>413</v>
      </c>
      <c r="X32" t="s">
        <v>60</v>
      </c>
    </row>
    <row r="33" spans="1:24" x14ac:dyDescent="0.25">
      <c r="A33" t="s">
        <v>448</v>
      </c>
      <c r="B33" t="s">
        <v>180</v>
      </c>
      <c r="C33">
        <v>31.7</v>
      </c>
      <c r="D33">
        <v>7.66</v>
      </c>
      <c r="E33">
        <v>5.34</v>
      </c>
      <c r="F33">
        <v>7.81</v>
      </c>
      <c r="G33">
        <v>0.55000000000000004</v>
      </c>
      <c r="H33" s="17">
        <v>0.55000000000000004</v>
      </c>
      <c r="I33">
        <v>0.55000000000000004</v>
      </c>
      <c r="J33" s="17">
        <v>1.03</v>
      </c>
      <c r="K33">
        <v>3.13</v>
      </c>
      <c r="L33" s="17" t="s">
        <v>61</v>
      </c>
      <c r="M33" s="17">
        <v>45582</v>
      </c>
      <c r="N33" t="s">
        <v>63</v>
      </c>
      <c r="O33" s="17">
        <v>45586</v>
      </c>
      <c r="P33" t="s">
        <v>106</v>
      </c>
      <c r="Q33" s="17">
        <v>45684</v>
      </c>
      <c r="R33" t="s">
        <v>172</v>
      </c>
      <c r="S33" t="s">
        <v>60</v>
      </c>
      <c r="T33" t="s">
        <v>60</v>
      </c>
      <c r="U33">
        <v>1535</v>
      </c>
      <c r="V33">
        <v>75.5</v>
      </c>
      <c r="W33" t="s">
        <v>413</v>
      </c>
      <c r="X33" t="s">
        <v>60</v>
      </c>
    </row>
    <row r="34" spans="1:24" x14ac:dyDescent="0.25">
      <c r="A34" t="s">
        <v>449</v>
      </c>
      <c r="B34" t="s">
        <v>187</v>
      </c>
      <c r="C34">
        <v>30.2</v>
      </c>
      <c r="D34">
        <v>2.77</v>
      </c>
      <c r="E34">
        <v>3.69</v>
      </c>
      <c r="F34">
        <v>8.19</v>
      </c>
      <c r="G34">
        <v>0.65</v>
      </c>
      <c r="H34" s="17">
        <v>0.65</v>
      </c>
      <c r="I34">
        <v>0.65</v>
      </c>
      <c r="J34" s="17">
        <v>1.79</v>
      </c>
      <c r="K34">
        <v>3.19</v>
      </c>
      <c r="L34" s="17" t="s">
        <v>61</v>
      </c>
      <c r="M34" s="17">
        <v>45582</v>
      </c>
      <c r="N34" t="s">
        <v>63</v>
      </c>
      <c r="O34" s="17">
        <v>45586</v>
      </c>
      <c r="P34" t="s">
        <v>106</v>
      </c>
      <c r="Q34" s="17">
        <v>45684</v>
      </c>
      <c r="R34" t="s">
        <v>172</v>
      </c>
      <c r="S34" t="s">
        <v>60</v>
      </c>
      <c r="T34" t="s">
        <v>60</v>
      </c>
      <c r="U34">
        <v>1512</v>
      </c>
      <c r="V34">
        <v>49.6</v>
      </c>
      <c r="W34" t="s">
        <v>413</v>
      </c>
      <c r="X34" t="s">
        <v>60</v>
      </c>
    </row>
    <row r="35" spans="1:24" x14ac:dyDescent="0.25">
      <c r="A35" t="s">
        <v>450</v>
      </c>
      <c r="B35" t="s">
        <v>335</v>
      </c>
      <c r="C35">
        <v>31.2</v>
      </c>
      <c r="D35">
        <v>17.899999999999999</v>
      </c>
      <c r="E35">
        <v>5.37</v>
      </c>
      <c r="F35">
        <v>7.85</v>
      </c>
      <c r="G35">
        <v>0.7</v>
      </c>
      <c r="H35" s="17">
        <v>0.7</v>
      </c>
      <c r="I35">
        <v>0.7</v>
      </c>
      <c r="J35" s="17">
        <v>3.2</v>
      </c>
      <c r="K35">
        <v>6.47</v>
      </c>
      <c r="L35" s="17" t="s">
        <v>61</v>
      </c>
      <c r="M35" s="17">
        <v>45582</v>
      </c>
      <c r="N35" t="s">
        <v>63</v>
      </c>
      <c r="O35" s="17">
        <v>45586</v>
      </c>
      <c r="P35" t="s">
        <v>106</v>
      </c>
      <c r="Q35" s="17">
        <v>45684</v>
      </c>
      <c r="R35" t="s">
        <v>172</v>
      </c>
      <c r="S35" t="s">
        <v>60</v>
      </c>
      <c r="T35" t="s">
        <v>60</v>
      </c>
      <c r="U35">
        <v>1628</v>
      </c>
      <c r="V35">
        <v>80.3</v>
      </c>
      <c r="W35" t="s">
        <v>413</v>
      </c>
      <c r="X35" t="s">
        <v>60</v>
      </c>
    </row>
    <row r="36" spans="1:24" x14ac:dyDescent="0.25">
      <c r="A36" t="s">
        <v>451</v>
      </c>
      <c r="B36" t="s">
        <v>341</v>
      </c>
      <c r="C36">
        <v>31.5</v>
      </c>
      <c r="D36">
        <v>15.41</v>
      </c>
      <c r="E36">
        <v>5.75</v>
      </c>
      <c r="F36">
        <v>7.84</v>
      </c>
      <c r="G36">
        <v>0.65</v>
      </c>
      <c r="H36" s="17">
        <v>0.65</v>
      </c>
      <c r="I36">
        <v>0.65</v>
      </c>
      <c r="J36" s="17">
        <v>3.26</v>
      </c>
      <c r="K36">
        <v>4.99</v>
      </c>
      <c r="L36" s="17" t="s">
        <v>61</v>
      </c>
      <c r="M36" s="17">
        <v>45582</v>
      </c>
      <c r="N36" t="s">
        <v>63</v>
      </c>
      <c r="O36" s="17">
        <v>45586</v>
      </c>
      <c r="P36" t="s">
        <v>106</v>
      </c>
      <c r="Q36" s="17">
        <v>45684</v>
      </c>
      <c r="R36" t="s">
        <v>172</v>
      </c>
      <c r="S36" t="s">
        <v>60</v>
      </c>
      <c r="T36" t="s">
        <v>60</v>
      </c>
      <c r="U36">
        <v>1616</v>
      </c>
      <c r="V36">
        <v>84.7</v>
      </c>
      <c r="W36" t="s">
        <v>413</v>
      </c>
      <c r="X36" t="s">
        <v>60</v>
      </c>
    </row>
    <row r="37" spans="1:24" x14ac:dyDescent="0.25">
      <c r="A37" t="s">
        <v>452</v>
      </c>
      <c r="B37" t="s">
        <v>347</v>
      </c>
      <c r="C37">
        <v>31.8</v>
      </c>
      <c r="D37">
        <v>13.66</v>
      </c>
      <c r="E37">
        <v>6.44</v>
      </c>
      <c r="F37">
        <v>7.87</v>
      </c>
      <c r="G37">
        <v>0.6</v>
      </c>
      <c r="H37" s="17">
        <v>0.6</v>
      </c>
      <c r="I37">
        <v>0.6</v>
      </c>
      <c r="J37" s="17">
        <v>1.5</v>
      </c>
      <c r="K37">
        <v>4.0599999999999996</v>
      </c>
      <c r="L37" s="17" t="s">
        <v>61</v>
      </c>
      <c r="M37" s="17">
        <v>45582</v>
      </c>
      <c r="N37" t="s">
        <v>63</v>
      </c>
      <c r="O37" s="17">
        <v>45586</v>
      </c>
      <c r="P37" t="s">
        <v>106</v>
      </c>
      <c r="Q37" s="17">
        <v>45684</v>
      </c>
      <c r="R37" t="s">
        <v>172</v>
      </c>
      <c r="S37" t="s">
        <v>60</v>
      </c>
      <c r="T37" t="s">
        <v>60</v>
      </c>
      <c r="U37">
        <v>1621</v>
      </c>
      <c r="V37">
        <v>94.7</v>
      </c>
      <c r="W37" t="s">
        <v>413</v>
      </c>
      <c r="X37" t="s">
        <v>60</v>
      </c>
    </row>
    <row r="38" spans="1:24" x14ac:dyDescent="0.25">
      <c r="A38" t="s">
        <v>453</v>
      </c>
      <c r="B38" t="s">
        <v>193</v>
      </c>
      <c r="C38">
        <v>25.5</v>
      </c>
      <c r="D38">
        <v>7.94</v>
      </c>
      <c r="E38">
        <v>6.6</v>
      </c>
      <c r="F38">
        <v>7.91</v>
      </c>
      <c r="G38">
        <v>0.85</v>
      </c>
      <c r="H38" s="17">
        <v>0.85</v>
      </c>
      <c r="I38">
        <v>0.85</v>
      </c>
      <c r="J38" s="17">
        <v>1.3</v>
      </c>
      <c r="K38">
        <v>3.75</v>
      </c>
      <c r="L38" s="17" t="s">
        <v>61</v>
      </c>
      <c r="M38" s="17">
        <v>45611</v>
      </c>
      <c r="N38" t="s">
        <v>149</v>
      </c>
      <c r="O38" s="17">
        <v>45614</v>
      </c>
      <c r="P38" t="s">
        <v>149</v>
      </c>
      <c r="Q38" s="17">
        <v>45684</v>
      </c>
      <c r="R38" t="s">
        <v>172</v>
      </c>
      <c r="S38" t="s">
        <v>60</v>
      </c>
      <c r="T38" t="s">
        <v>60</v>
      </c>
      <c r="U38">
        <v>1644</v>
      </c>
      <c r="V38">
        <v>84</v>
      </c>
      <c r="W38" t="s">
        <v>413</v>
      </c>
      <c r="X38" t="s">
        <v>60</v>
      </c>
    </row>
    <row r="39" spans="1:24" x14ac:dyDescent="0.25">
      <c r="A39" t="s">
        <v>454</v>
      </c>
      <c r="B39" t="s">
        <v>199</v>
      </c>
      <c r="C39">
        <v>25.5</v>
      </c>
      <c r="D39">
        <v>8.57</v>
      </c>
      <c r="E39">
        <v>6.26</v>
      </c>
      <c r="F39">
        <v>7.77</v>
      </c>
      <c r="G39">
        <v>0.75</v>
      </c>
      <c r="H39" s="17">
        <v>0.75</v>
      </c>
      <c r="I39">
        <v>0.75</v>
      </c>
      <c r="J39" s="17">
        <v>2.46</v>
      </c>
      <c r="K39">
        <v>3.48</v>
      </c>
      <c r="L39" s="17" t="s">
        <v>61</v>
      </c>
      <c r="M39" s="17">
        <v>45611</v>
      </c>
      <c r="N39" t="s">
        <v>149</v>
      </c>
      <c r="O39" s="17">
        <v>45614</v>
      </c>
      <c r="P39" t="s">
        <v>149</v>
      </c>
      <c r="Q39" s="17">
        <v>45684</v>
      </c>
      <c r="R39" t="s">
        <v>172</v>
      </c>
      <c r="S39" t="s">
        <v>60</v>
      </c>
      <c r="T39" t="s">
        <v>60</v>
      </c>
      <c r="U39">
        <v>1656</v>
      </c>
      <c r="V39">
        <v>79.8</v>
      </c>
      <c r="W39" t="s">
        <v>413</v>
      </c>
      <c r="X39" t="s">
        <v>60</v>
      </c>
    </row>
    <row r="40" spans="1:24" x14ac:dyDescent="0.25">
      <c r="A40" t="s">
        <v>455</v>
      </c>
      <c r="B40" t="s">
        <v>205</v>
      </c>
      <c r="C40">
        <v>25.4</v>
      </c>
      <c r="D40">
        <v>5.8</v>
      </c>
      <c r="E40">
        <v>6.14</v>
      </c>
      <c r="F40">
        <v>7.96</v>
      </c>
      <c r="G40">
        <v>0.9</v>
      </c>
      <c r="H40" s="17">
        <v>0.9</v>
      </c>
      <c r="I40">
        <v>0.9</v>
      </c>
      <c r="J40" s="17">
        <v>1.78</v>
      </c>
      <c r="K40">
        <v>5.17</v>
      </c>
      <c r="L40" s="17" t="s">
        <v>61</v>
      </c>
      <c r="M40" s="17">
        <v>45611</v>
      </c>
      <c r="N40" t="s">
        <v>149</v>
      </c>
      <c r="O40" s="17">
        <v>45614</v>
      </c>
      <c r="P40" t="s">
        <v>149</v>
      </c>
      <c r="Q40" s="17">
        <v>45684</v>
      </c>
      <c r="R40" t="s">
        <v>172</v>
      </c>
      <c r="S40" t="s">
        <v>60</v>
      </c>
      <c r="T40" t="s">
        <v>60</v>
      </c>
      <c r="U40">
        <v>1633</v>
      </c>
      <c r="V40">
        <v>76.8</v>
      </c>
      <c r="W40" t="s">
        <v>413</v>
      </c>
      <c r="X40" t="s">
        <v>60</v>
      </c>
    </row>
    <row r="41" spans="1:24" x14ac:dyDescent="0.25">
      <c r="A41" t="s">
        <v>456</v>
      </c>
      <c r="B41" t="s">
        <v>353</v>
      </c>
      <c r="C41">
        <v>25.3</v>
      </c>
      <c r="D41">
        <v>14.39</v>
      </c>
      <c r="E41">
        <v>5.72</v>
      </c>
      <c r="F41">
        <v>7.67</v>
      </c>
      <c r="G41">
        <v>0.75</v>
      </c>
      <c r="H41" s="17">
        <v>0.75</v>
      </c>
      <c r="I41">
        <v>0.75</v>
      </c>
      <c r="J41" s="17">
        <v>11.7</v>
      </c>
      <c r="K41">
        <v>6.97</v>
      </c>
      <c r="L41" s="17" t="s">
        <v>61</v>
      </c>
      <c r="M41" s="17">
        <v>45611</v>
      </c>
      <c r="N41" t="s">
        <v>149</v>
      </c>
      <c r="O41" s="17">
        <v>45614</v>
      </c>
      <c r="P41" t="s">
        <v>149</v>
      </c>
      <c r="Q41" s="17">
        <v>45684</v>
      </c>
      <c r="R41" t="s">
        <v>172</v>
      </c>
      <c r="S41" t="s">
        <v>60</v>
      </c>
      <c r="T41" t="s">
        <v>60</v>
      </c>
      <c r="U41">
        <v>1759</v>
      </c>
      <c r="V41">
        <v>75.7</v>
      </c>
      <c r="W41" t="s">
        <v>413</v>
      </c>
      <c r="X41" t="s">
        <v>60</v>
      </c>
    </row>
    <row r="42" spans="1:24" x14ac:dyDescent="0.25">
      <c r="A42" t="s">
        <v>457</v>
      </c>
      <c r="B42" t="s">
        <v>360</v>
      </c>
      <c r="C42">
        <v>25.4</v>
      </c>
      <c r="D42">
        <v>11.24</v>
      </c>
      <c r="E42">
        <v>6.99</v>
      </c>
      <c r="F42">
        <v>7.84</v>
      </c>
      <c r="G42">
        <v>0.8</v>
      </c>
      <c r="H42" s="17">
        <v>0.8</v>
      </c>
      <c r="I42">
        <v>0.8</v>
      </c>
      <c r="J42" s="17">
        <v>1.49</v>
      </c>
      <c r="K42">
        <v>4.82</v>
      </c>
      <c r="L42" s="17" t="s">
        <v>61</v>
      </c>
      <c r="M42" s="17">
        <v>45611</v>
      </c>
      <c r="N42" t="s">
        <v>149</v>
      </c>
      <c r="O42" s="17">
        <v>45614</v>
      </c>
      <c r="P42" t="s">
        <v>149</v>
      </c>
      <c r="Q42" s="17">
        <v>45684</v>
      </c>
      <c r="R42" t="s">
        <v>172</v>
      </c>
      <c r="S42" t="s">
        <v>60</v>
      </c>
      <c r="T42" t="s">
        <v>60</v>
      </c>
      <c r="U42">
        <v>1740</v>
      </c>
      <c r="V42">
        <v>90.7</v>
      </c>
      <c r="W42" t="s">
        <v>413</v>
      </c>
      <c r="X42" t="s">
        <v>60</v>
      </c>
    </row>
    <row r="43" spans="1:24" x14ac:dyDescent="0.25">
      <c r="A43" t="s">
        <v>458</v>
      </c>
      <c r="B43" t="s">
        <v>366</v>
      </c>
      <c r="C43">
        <v>25.3</v>
      </c>
      <c r="D43">
        <v>12.27</v>
      </c>
      <c r="E43">
        <v>6.74</v>
      </c>
      <c r="F43">
        <v>7.86</v>
      </c>
      <c r="G43">
        <v>0.7</v>
      </c>
      <c r="H43" s="17">
        <v>0.7</v>
      </c>
      <c r="I43">
        <v>0.7</v>
      </c>
      <c r="J43" s="17">
        <v>2.12</v>
      </c>
      <c r="K43">
        <v>6.71</v>
      </c>
      <c r="L43" s="17" t="s">
        <v>61</v>
      </c>
      <c r="M43" s="17">
        <v>45611</v>
      </c>
      <c r="N43" t="s">
        <v>149</v>
      </c>
      <c r="O43" s="17">
        <v>45614</v>
      </c>
      <c r="P43" t="s">
        <v>149</v>
      </c>
      <c r="Q43" s="17">
        <v>45684</v>
      </c>
      <c r="R43" t="s">
        <v>172</v>
      </c>
      <c r="S43" t="s">
        <v>60</v>
      </c>
      <c r="T43" t="s">
        <v>60</v>
      </c>
      <c r="U43">
        <v>1749</v>
      </c>
      <c r="V43">
        <v>87.2</v>
      </c>
      <c r="W43" t="s">
        <v>413</v>
      </c>
      <c r="X43" t="s">
        <v>60</v>
      </c>
    </row>
    <row r="44" spans="1:24" x14ac:dyDescent="0.25">
      <c r="A44" t="s">
        <v>459</v>
      </c>
      <c r="B44" t="s">
        <v>211</v>
      </c>
      <c r="C44">
        <v>19.600000000000001</v>
      </c>
      <c r="D44">
        <v>27.77</v>
      </c>
      <c r="E44">
        <v>7.96</v>
      </c>
      <c r="F44">
        <v>8.0299999999999994</v>
      </c>
      <c r="G44">
        <v>0.7</v>
      </c>
      <c r="H44" s="17">
        <v>0.7</v>
      </c>
      <c r="I44">
        <v>0.7</v>
      </c>
      <c r="J44" s="17">
        <v>2.23</v>
      </c>
      <c r="K44">
        <v>7.73</v>
      </c>
      <c r="L44" s="17" t="s">
        <v>61</v>
      </c>
      <c r="M44" s="17">
        <v>45642</v>
      </c>
      <c r="N44" t="s">
        <v>106</v>
      </c>
      <c r="O44" s="17">
        <v>45642</v>
      </c>
      <c r="P44" t="s">
        <v>106</v>
      </c>
      <c r="Q44" s="17">
        <v>45684</v>
      </c>
      <c r="R44" t="s">
        <v>172</v>
      </c>
      <c r="S44" t="s">
        <v>60</v>
      </c>
      <c r="T44" t="s">
        <v>60</v>
      </c>
      <c r="U44">
        <v>1610</v>
      </c>
      <c r="V44">
        <v>102.7</v>
      </c>
      <c r="W44" t="s">
        <v>413</v>
      </c>
      <c r="X44" t="s">
        <v>60</v>
      </c>
    </row>
    <row r="45" spans="1:24" x14ac:dyDescent="0.25">
      <c r="A45" t="s">
        <v>460</v>
      </c>
      <c r="B45" t="s">
        <v>217</v>
      </c>
      <c r="C45">
        <v>19.7</v>
      </c>
      <c r="D45">
        <v>27.75</v>
      </c>
      <c r="E45">
        <v>7.9</v>
      </c>
      <c r="F45">
        <v>8.01</v>
      </c>
      <c r="G45">
        <v>0.7</v>
      </c>
      <c r="H45" s="17">
        <v>0.7</v>
      </c>
      <c r="I45">
        <v>0.7</v>
      </c>
      <c r="J45" s="17">
        <v>1.49</v>
      </c>
      <c r="K45">
        <v>3.39</v>
      </c>
      <c r="L45" s="17" t="s">
        <v>61</v>
      </c>
      <c r="M45" s="17">
        <v>45642</v>
      </c>
      <c r="N45" t="s">
        <v>106</v>
      </c>
      <c r="O45" s="17">
        <v>45642</v>
      </c>
      <c r="P45" t="s">
        <v>106</v>
      </c>
      <c r="Q45" s="17">
        <v>45684</v>
      </c>
      <c r="R45" t="s">
        <v>172</v>
      </c>
      <c r="S45" t="s">
        <v>60</v>
      </c>
      <c r="T45" t="s">
        <v>60</v>
      </c>
      <c r="U45">
        <v>1619</v>
      </c>
      <c r="V45">
        <v>101.8</v>
      </c>
      <c r="W45" t="s">
        <v>413</v>
      </c>
      <c r="X45" t="s">
        <v>60</v>
      </c>
    </row>
    <row r="46" spans="1:24" x14ac:dyDescent="0.25">
      <c r="A46" t="s">
        <v>461</v>
      </c>
      <c r="B46" t="s">
        <v>225</v>
      </c>
      <c r="C46">
        <v>19.5</v>
      </c>
      <c r="D46">
        <v>23.56</v>
      </c>
      <c r="E46">
        <v>7.62</v>
      </c>
      <c r="F46">
        <v>7.94</v>
      </c>
      <c r="G46">
        <v>0.6</v>
      </c>
      <c r="H46" s="17">
        <v>0.6</v>
      </c>
      <c r="I46">
        <v>0.6</v>
      </c>
      <c r="J46" s="17">
        <v>2.62</v>
      </c>
      <c r="K46">
        <v>5.14</v>
      </c>
      <c r="L46" s="17" t="s">
        <v>61</v>
      </c>
      <c r="M46" s="17">
        <v>45642</v>
      </c>
      <c r="N46" t="s">
        <v>106</v>
      </c>
      <c r="O46" s="17">
        <v>45642</v>
      </c>
      <c r="P46" t="s">
        <v>106</v>
      </c>
      <c r="Q46" s="17">
        <v>45684</v>
      </c>
      <c r="R46" t="s">
        <v>172</v>
      </c>
      <c r="S46" t="s">
        <v>60</v>
      </c>
      <c r="T46" t="s">
        <v>60</v>
      </c>
      <c r="U46">
        <v>1559</v>
      </c>
      <c r="V46">
        <v>95.3</v>
      </c>
      <c r="W46" t="s">
        <v>413</v>
      </c>
      <c r="X46" t="s">
        <v>60</v>
      </c>
    </row>
    <row r="47" spans="1:24" x14ac:dyDescent="0.25">
      <c r="A47" t="s">
        <v>462</v>
      </c>
      <c r="B47" t="s">
        <v>372</v>
      </c>
      <c r="C47">
        <v>19.2</v>
      </c>
      <c r="D47">
        <v>29.67</v>
      </c>
      <c r="E47">
        <v>7.91</v>
      </c>
      <c r="F47">
        <v>7.99</v>
      </c>
      <c r="G47">
        <v>0.5</v>
      </c>
      <c r="H47" s="17">
        <v>0.5</v>
      </c>
      <c r="I47">
        <v>0.5</v>
      </c>
      <c r="J47" s="17">
        <v>4.3099999999999996</v>
      </c>
      <c r="K47">
        <v>6.2</v>
      </c>
      <c r="L47" s="17" t="s">
        <v>61</v>
      </c>
      <c r="M47" s="17">
        <v>45642</v>
      </c>
      <c r="N47" t="s">
        <v>106</v>
      </c>
      <c r="O47" s="17">
        <v>45642</v>
      </c>
      <c r="P47" t="s">
        <v>106</v>
      </c>
      <c r="Q47" s="17">
        <v>45684</v>
      </c>
      <c r="R47" t="s">
        <v>172</v>
      </c>
      <c r="S47" t="s">
        <v>60</v>
      </c>
      <c r="T47" t="s">
        <v>60</v>
      </c>
      <c r="U47">
        <v>1718</v>
      </c>
      <c r="V47">
        <v>102.1</v>
      </c>
      <c r="W47" t="s">
        <v>413</v>
      </c>
      <c r="X47" t="s">
        <v>60</v>
      </c>
    </row>
    <row r="48" spans="1:24" x14ac:dyDescent="0.25">
      <c r="A48" t="s">
        <v>463</v>
      </c>
      <c r="B48" t="s">
        <v>378</v>
      </c>
      <c r="C48">
        <v>20.2</v>
      </c>
      <c r="D48">
        <v>30.36</v>
      </c>
      <c r="E48">
        <v>7.88</v>
      </c>
      <c r="F48">
        <v>7.93</v>
      </c>
      <c r="G48">
        <v>0.7</v>
      </c>
      <c r="H48" s="17">
        <v>0.7</v>
      </c>
      <c r="I48">
        <v>0.7</v>
      </c>
      <c r="J48" s="17">
        <v>3.57</v>
      </c>
      <c r="K48">
        <v>4.3499999999999996</v>
      </c>
      <c r="L48" s="17" t="s">
        <v>61</v>
      </c>
      <c r="M48" s="17">
        <v>45642</v>
      </c>
      <c r="N48" t="s">
        <v>106</v>
      </c>
      <c r="O48" s="17">
        <v>45642</v>
      </c>
      <c r="P48" t="s">
        <v>106</v>
      </c>
      <c r="Q48" s="17">
        <v>45684</v>
      </c>
      <c r="R48" t="s">
        <v>172</v>
      </c>
      <c r="S48" t="s">
        <v>60</v>
      </c>
      <c r="T48" t="s">
        <v>60</v>
      </c>
      <c r="U48">
        <v>1709</v>
      </c>
      <c r="V48">
        <v>104.2</v>
      </c>
      <c r="W48" t="s">
        <v>413</v>
      </c>
      <c r="X48" t="s">
        <v>60</v>
      </c>
    </row>
    <row r="49" spans="1:24" x14ac:dyDescent="0.25">
      <c r="A49" t="s">
        <v>464</v>
      </c>
      <c r="B49" t="s">
        <v>387</v>
      </c>
      <c r="C49">
        <v>19.2</v>
      </c>
      <c r="D49">
        <v>30.05</v>
      </c>
      <c r="E49">
        <v>7.58</v>
      </c>
      <c r="F49">
        <v>7.95</v>
      </c>
      <c r="G49">
        <v>0.7</v>
      </c>
      <c r="H49" s="17">
        <v>0.7</v>
      </c>
      <c r="I49">
        <v>0.7</v>
      </c>
      <c r="J49" s="17">
        <v>4.2</v>
      </c>
      <c r="K49">
        <v>5.04</v>
      </c>
      <c r="L49" s="17" t="s">
        <v>61</v>
      </c>
      <c r="M49" s="17">
        <v>45642</v>
      </c>
      <c r="N49" t="s">
        <v>106</v>
      </c>
      <c r="O49" s="17">
        <v>45642</v>
      </c>
      <c r="P49" t="s">
        <v>106</v>
      </c>
      <c r="Q49" s="17">
        <v>45684</v>
      </c>
      <c r="R49" t="s">
        <v>172</v>
      </c>
      <c r="S49" t="s">
        <v>60</v>
      </c>
      <c r="T49" t="s">
        <v>60</v>
      </c>
      <c r="U49">
        <v>1729</v>
      </c>
      <c r="V49">
        <v>97.9</v>
      </c>
      <c r="W49" t="s">
        <v>413</v>
      </c>
      <c r="X49" t="s">
        <v>60</v>
      </c>
    </row>
    <row r="50" spans="1:24" x14ac:dyDescent="0.25">
      <c r="H50" s="17"/>
      <c r="J50" s="17"/>
      <c r="L50" s="17"/>
    </row>
    <row r="51" spans="1:24" x14ac:dyDescent="0.25">
      <c r="H51" s="17"/>
      <c r="J51" s="17"/>
      <c r="L51" s="17"/>
    </row>
    <row r="52" spans="1:24" x14ac:dyDescent="0.25">
      <c r="H52" s="17"/>
      <c r="J52" s="17"/>
      <c r="L52" s="17"/>
    </row>
    <row r="53" spans="1:24" x14ac:dyDescent="0.25">
      <c r="H53" s="17"/>
      <c r="J53" s="17"/>
      <c r="L53" s="17"/>
    </row>
    <row r="54" spans="1:24" x14ac:dyDescent="0.25">
      <c r="H54" s="17"/>
      <c r="J54" s="17"/>
      <c r="L54" s="17"/>
    </row>
    <row r="55" spans="1:24" x14ac:dyDescent="0.25">
      <c r="H55" s="17"/>
      <c r="J55" s="17"/>
      <c r="L55" s="17"/>
    </row>
    <row r="56" spans="1:24" x14ac:dyDescent="0.25">
      <c r="H56" s="17"/>
      <c r="J56" s="17"/>
      <c r="L56" s="17"/>
    </row>
    <row r="57" spans="1:24" x14ac:dyDescent="0.25">
      <c r="H57" s="17"/>
      <c r="J57" s="17"/>
      <c r="L57" s="17"/>
    </row>
    <row r="58" spans="1:24" x14ac:dyDescent="0.25">
      <c r="H58" s="17"/>
      <c r="J58" s="17"/>
      <c r="L58" s="17"/>
    </row>
    <row r="59" spans="1:24" x14ac:dyDescent="0.25">
      <c r="H59" s="17"/>
      <c r="J59" s="17"/>
      <c r="L59" s="17"/>
    </row>
    <row r="60" spans="1:24" x14ac:dyDescent="0.25">
      <c r="H60" s="17"/>
      <c r="J60" s="17"/>
      <c r="L60" s="17"/>
    </row>
    <row r="61" spans="1:24" x14ac:dyDescent="0.25">
      <c r="H61" s="17"/>
      <c r="J61" s="17"/>
      <c r="L61" s="17"/>
    </row>
    <row r="62" spans="1:24" x14ac:dyDescent="0.25">
      <c r="H62" s="17"/>
      <c r="J62" s="17"/>
      <c r="L62" s="17"/>
    </row>
    <row r="63" spans="1:24" x14ac:dyDescent="0.25">
      <c r="H63" s="17"/>
      <c r="J63" s="17"/>
      <c r="L63" s="17"/>
    </row>
    <row r="64" spans="1:24" x14ac:dyDescent="0.25">
      <c r="H64" s="17"/>
      <c r="J64" s="17"/>
      <c r="L64" s="17"/>
    </row>
    <row r="65" spans="8:12" x14ac:dyDescent="0.25">
      <c r="H65" s="17"/>
      <c r="J65" s="17"/>
      <c r="L65" s="17"/>
    </row>
    <row r="66" spans="8:12" x14ac:dyDescent="0.25">
      <c r="H66" s="17"/>
      <c r="J66" s="17"/>
      <c r="L66" s="17"/>
    </row>
    <row r="67" spans="8:12" x14ac:dyDescent="0.25">
      <c r="H67" s="17"/>
      <c r="J67" s="17"/>
      <c r="L67" s="17"/>
    </row>
    <row r="68" spans="8:12" x14ac:dyDescent="0.25">
      <c r="H68" s="17"/>
      <c r="J68" s="17"/>
      <c r="L68" s="17"/>
    </row>
    <row r="69" spans="8:12" x14ac:dyDescent="0.25">
      <c r="H69" s="17"/>
      <c r="J69" s="17"/>
      <c r="L69" s="17"/>
    </row>
    <row r="70" spans="8:12" x14ac:dyDescent="0.25">
      <c r="H70" s="17"/>
      <c r="J70" s="17"/>
      <c r="L70" s="17"/>
    </row>
    <row r="71" spans="8:12" x14ac:dyDescent="0.25">
      <c r="H71" s="17"/>
      <c r="J71" s="17"/>
      <c r="L71" s="17"/>
    </row>
    <row r="72" spans="8:12" x14ac:dyDescent="0.25">
      <c r="H72" s="17"/>
      <c r="J72" s="17"/>
      <c r="L72" s="17"/>
    </row>
    <row r="73" spans="8:12" x14ac:dyDescent="0.25">
      <c r="H73" s="17"/>
      <c r="J73" s="17"/>
      <c r="L73" s="17"/>
    </row>
    <row r="74" spans="8:12" x14ac:dyDescent="0.25">
      <c r="H74" s="17"/>
      <c r="J74" s="17"/>
      <c r="L74" s="17"/>
    </row>
    <row r="75" spans="8:12" x14ac:dyDescent="0.25">
      <c r="H75" s="17"/>
      <c r="J75" s="17"/>
      <c r="L75" s="17"/>
    </row>
    <row r="76" spans="8:12" x14ac:dyDescent="0.25">
      <c r="H76" s="17"/>
      <c r="J76" s="17"/>
      <c r="L76" s="17"/>
    </row>
    <row r="77" spans="8:12" x14ac:dyDescent="0.25">
      <c r="H77" s="17"/>
      <c r="J77" s="17"/>
      <c r="L77" s="17"/>
    </row>
    <row r="78" spans="8:12" x14ac:dyDescent="0.25">
      <c r="H78" s="17"/>
      <c r="J78" s="17"/>
      <c r="L78" s="17"/>
    </row>
    <row r="79" spans="8:12" x14ac:dyDescent="0.25">
      <c r="H79" s="17"/>
      <c r="J79" s="17"/>
      <c r="L79" s="17"/>
    </row>
    <row r="80" spans="8:12" x14ac:dyDescent="0.25">
      <c r="H80" s="17"/>
      <c r="J80" s="17"/>
      <c r="L80" s="17"/>
    </row>
    <row r="81" spans="8:12" x14ac:dyDescent="0.25">
      <c r="H81" s="17"/>
      <c r="J81" s="17"/>
      <c r="L81" s="17"/>
    </row>
    <row r="82" spans="8:12" x14ac:dyDescent="0.25">
      <c r="H82" s="17"/>
      <c r="J82" s="17"/>
      <c r="L82" s="17"/>
    </row>
    <row r="83" spans="8:12" x14ac:dyDescent="0.25">
      <c r="H83" s="17"/>
      <c r="J83" s="17"/>
      <c r="L83" s="17"/>
    </row>
    <row r="84" spans="8:12" x14ac:dyDescent="0.25">
      <c r="H84" s="17"/>
      <c r="J84" s="17"/>
      <c r="L84" s="17"/>
    </row>
    <row r="85" spans="8:12" x14ac:dyDescent="0.25">
      <c r="H85" s="17"/>
      <c r="J85" s="17"/>
      <c r="L85" s="17"/>
    </row>
    <row r="86" spans="8:12" x14ac:dyDescent="0.25">
      <c r="H86" s="17"/>
      <c r="J86" s="17"/>
      <c r="L86" s="17"/>
    </row>
    <row r="87" spans="8:12" x14ac:dyDescent="0.25">
      <c r="H87" s="17"/>
      <c r="J87" s="17"/>
      <c r="L87" s="17"/>
    </row>
    <row r="88" spans="8:12" x14ac:dyDescent="0.25">
      <c r="H88" s="17"/>
      <c r="J88" s="17"/>
      <c r="L88" s="17"/>
    </row>
    <row r="89" spans="8:12" x14ac:dyDescent="0.25">
      <c r="H89" s="17"/>
      <c r="J89" s="17"/>
      <c r="L89" s="17"/>
    </row>
    <row r="90" spans="8:12" x14ac:dyDescent="0.25">
      <c r="H90" s="17"/>
      <c r="J90" s="17"/>
      <c r="L90" s="17"/>
    </row>
    <row r="91" spans="8:12" x14ac:dyDescent="0.25">
      <c r="H91" s="17"/>
      <c r="J91" s="17"/>
      <c r="L91" s="17"/>
    </row>
    <row r="92" spans="8:12" x14ac:dyDescent="0.25">
      <c r="H92" s="17"/>
      <c r="J92" s="17"/>
      <c r="L92" s="17"/>
    </row>
    <row r="93" spans="8:12" x14ac:dyDescent="0.25">
      <c r="H93" s="17"/>
      <c r="J93" s="17"/>
      <c r="L93" s="17"/>
    </row>
    <row r="94" spans="8:12" x14ac:dyDescent="0.25">
      <c r="H94" s="17"/>
      <c r="J94" s="17"/>
      <c r="L94" s="17"/>
    </row>
    <row r="95" spans="8:12" x14ac:dyDescent="0.25">
      <c r="H95" s="17"/>
      <c r="J95" s="17"/>
      <c r="L95" s="17"/>
    </row>
    <row r="96" spans="8:12" x14ac:dyDescent="0.25">
      <c r="H96" s="17"/>
      <c r="J96" s="17"/>
      <c r="L96" s="17"/>
    </row>
    <row r="97" spans="8:12" x14ac:dyDescent="0.25">
      <c r="H97" s="17"/>
      <c r="J97" s="17"/>
      <c r="L97" s="17"/>
    </row>
    <row r="98" spans="8:12" x14ac:dyDescent="0.25">
      <c r="H98" s="17"/>
      <c r="J98" s="17"/>
      <c r="L98" s="17"/>
    </row>
    <row r="99" spans="8:12" x14ac:dyDescent="0.25">
      <c r="H99" s="17"/>
      <c r="J99" s="17"/>
      <c r="L99" s="17"/>
    </row>
    <row r="100" spans="8:12" x14ac:dyDescent="0.25">
      <c r="H100" s="17"/>
      <c r="J100" s="17"/>
      <c r="L100" s="17"/>
    </row>
    <row r="101" spans="8:12" x14ac:dyDescent="0.25">
      <c r="H101" s="17"/>
      <c r="J101" s="17"/>
      <c r="L101" s="17"/>
    </row>
    <row r="102" spans="8:12" x14ac:dyDescent="0.25">
      <c r="H102" s="17"/>
      <c r="J102" s="17"/>
      <c r="L102" s="17"/>
    </row>
    <row r="103" spans="8:12" x14ac:dyDescent="0.25">
      <c r="H103" s="17"/>
      <c r="J103" s="17"/>
      <c r="L103" s="17"/>
    </row>
    <row r="104" spans="8:12" x14ac:dyDescent="0.25">
      <c r="H104" s="17"/>
      <c r="J104" s="17"/>
      <c r="L104" s="17"/>
    </row>
    <row r="105" spans="8:12" x14ac:dyDescent="0.25">
      <c r="H105" s="17"/>
      <c r="J105" s="17"/>
      <c r="L105" s="17"/>
    </row>
    <row r="106" spans="8:12" x14ac:dyDescent="0.25">
      <c r="H106" s="17"/>
      <c r="J106" s="17"/>
      <c r="L106" s="17"/>
    </row>
    <row r="107" spans="8:12" x14ac:dyDescent="0.25">
      <c r="H107" s="17"/>
      <c r="J107" s="17"/>
      <c r="L107" s="17"/>
    </row>
    <row r="108" spans="8:12" x14ac:dyDescent="0.25">
      <c r="H108" s="17"/>
      <c r="J108" s="17"/>
      <c r="L108" s="17"/>
    </row>
    <row r="109" spans="8:12" x14ac:dyDescent="0.25">
      <c r="H109" s="17"/>
      <c r="J109" s="17"/>
      <c r="L109" s="17"/>
    </row>
    <row r="110" spans="8:12" x14ac:dyDescent="0.25">
      <c r="H110" s="17"/>
      <c r="J110" s="17"/>
      <c r="L110" s="17"/>
    </row>
    <row r="111" spans="8:12" x14ac:dyDescent="0.25">
      <c r="H111" s="17"/>
      <c r="J111" s="17"/>
      <c r="L111" s="17"/>
    </row>
    <row r="112" spans="8:12" x14ac:dyDescent="0.25">
      <c r="H112" s="17"/>
      <c r="J112" s="17"/>
      <c r="L112" s="17"/>
    </row>
    <row r="113" spans="8:12" x14ac:dyDescent="0.25">
      <c r="H113" s="17"/>
      <c r="J113" s="17"/>
      <c r="L113" s="17"/>
    </row>
    <row r="114" spans="8:12" x14ac:dyDescent="0.25">
      <c r="H114" s="17"/>
      <c r="J114" s="17"/>
      <c r="L114" s="17"/>
    </row>
    <row r="115" spans="8:12" x14ac:dyDescent="0.25">
      <c r="H115" s="17"/>
      <c r="J115" s="17"/>
      <c r="L115" s="17"/>
    </row>
    <row r="116" spans="8:12" x14ac:dyDescent="0.25">
      <c r="H116" s="17"/>
      <c r="J116" s="17"/>
      <c r="L116" s="17"/>
    </row>
    <row r="117" spans="8:12" x14ac:dyDescent="0.25">
      <c r="H117" s="17"/>
      <c r="J117" s="17"/>
      <c r="L117" s="17"/>
    </row>
    <row r="118" spans="8:12" x14ac:dyDescent="0.25">
      <c r="H118" s="17"/>
      <c r="J118" s="17"/>
      <c r="L118" s="17"/>
    </row>
    <row r="119" spans="8:12" x14ac:dyDescent="0.25">
      <c r="H119" s="17"/>
      <c r="J119" s="17"/>
      <c r="L119" s="17"/>
    </row>
    <row r="120" spans="8:12" x14ac:dyDescent="0.25">
      <c r="H120" s="17"/>
      <c r="J120" s="17"/>
      <c r="L120" s="17"/>
    </row>
    <row r="121" spans="8:12" x14ac:dyDescent="0.25">
      <c r="H121" s="17"/>
      <c r="J121" s="17"/>
      <c r="L121" s="17"/>
    </row>
    <row r="122" spans="8:12" x14ac:dyDescent="0.25">
      <c r="H122" s="17"/>
      <c r="J122" s="17"/>
      <c r="L122" s="17"/>
    </row>
    <row r="123" spans="8:12" x14ac:dyDescent="0.25">
      <c r="H123" s="17"/>
      <c r="J123" s="17"/>
      <c r="L123" s="17"/>
    </row>
    <row r="124" spans="8:12" x14ac:dyDescent="0.25">
      <c r="H124" s="17"/>
      <c r="J124" s="17"/>
      <c r="L124" s="17"/>
    </row>
    <row r="125" spans="8:12" x14ac:dyDescent="0.25">
      <c r="H125" s="17"/>
      <c r="J125" s="17"/>
      <c r="L125" s="17"/>
    </row>
    <row r="126" spans="8:12" x14ac:dyDescent="0.25">
      <c r="H126" s="17"/>
      <c r="J126" s="17"/>
      <c r="L126" s="17"/>
    </row>
    <row r="127" spans="8:12" x14ac:dyDescent="0.25">
      <c r="H127" s="17"/>
      <c r="J127" s="17"/>
      <c r="L127" s="17"/>
    </row>
    <row r="128" spans="8:12" x14ac:dyDescent="0.25">
      <c r="H128" s="17"/>
      <c r="J128" s="17"/>
      <c r="L128" s="17"/>
    </row>
    <row r="129" spans="8:12" x14ac:dyDescent="0.25">
      <c r="H129" s="17"/>
      <c r="J129" s="17"/>
      <c r="L129" s="17"/>
    </row>
    <row r="130" spans="8:12" x14ac:dyDescent="0.25">
      <c r="H130" s="17"/>
      <c r="J130" s="17"/>
      <c r="L130" s="17"/>
    </row>
    <row r="131" spans="8:12" x14ac:dyDescent="0.25">
      <c r="H131" s="17"/>
      <c r="J131" s="17"/>
      <c r="L131" s="17"/>
    </row>
    <row r="132" spans="8:12" x14ac:dyDescent="0.25">
      <c r="H132" s="17"/>
      <c r="J132" s="17"/>
      <c r="L132" s="17"/>
    </row>
    <row r="133" spans="8:12" x14ac:dyDescent="0.25">
      <c r="H133" s="17"/>
      <c r="J133" s="17"/>
      <c r="L133" s="17"/>
    </row>
    <row r="134" spans="8:12" x14ac:dyDescent="0.25">
      <c r="H134" s="17"/>
      <c r="J134" s="17"/>
      <c r="L134" s="17"/>
    </row>
    <row r="135" spans="8:12" x14ac:dyDescent="0.25">
      <c r="H135" s="17"/>
      <c r="J135" s="17"/>
      <c r="L135" s="17"/>
    </row>
    <row r="136" spans="8:12" x14ac:dyDescent="0.25">
      <c r="H136" s="17"/>
      <c r="J136" s="17"/>
      <c r="L136" s="17"/>
    </row>
    <row r="137" spans="8:12" x14ac:dyDescent="0.25">
      <c r="H137" s="17"/>
      <c r="J137" s="17"/>
      <c r="L137" s="17"/>
    </row>
    <row r="138" spans="8:12" x14ac:dyDescent="0.25">
      <c r="H138" s="17"/>
      <c r="J138" s="17"/>
      <c r="L138" s="17"/>
    </row>
    <row r="139" spans="8:12" x14ac:dyDescent="0.25">
      <c r="H139" s="17"/>
      <c r="J139" s="17"/>
      <c r="L139" s="17"/>
    </row>
    <row r="140" spans="8:12" x14ac:dyDescent="0.25">
      <c r="H140" s="17"/>
      <c r="J140" s="17"/>
      <c r="L140" s="17"/>
    </row>
    <row r="141" spans="8:12" x14ac:dyDescent="0.25">
      <c r="H141" s="17"/>
      <c r="J141" s="17"/>
      <c r="L141" s="17"/>
    </row>
    <row r="142" spans="8:12" x14ac:dyDescent="0.25">
      <c r="H142" s="17"/>
      <c r="J142" s="17"/>
      <c r="L142" s="17"/>
    </row>
    <row r="143" spans="8:12" x14ac:dyDescent="0.25">
      <c r="H143" s="17"/>
      <c r="J143" s="17"/>
      <c r="L143" s="17"/>
    </row>
    <row r="144" spans="8:12" x14ac:dyDescent="0.25">
      <c r="H144" s="17"/>
      <c r="J144" s="17"/>
      <c r="L144" s="17"/>
    </row>
    <row r="145" spans="8:12" x14ac:dyDescent="0.25">
      <c r="H145" s="17"/>
      <c r="J145" s="17"/>
      <c r="L145" s="17"/>
    </row>
    <row r="146" spans="8:12" x14ac:dyDescent="0.25">
      <c r="H146" s="17"/>
      <c r="J146" s="17"/>
      <c r="L146" s="17"/>
    </row>
    <row r="147" spans="8:12" x14ac:dyDescent="0.25">
      <c r="H147" s="17"/>
      <c r="J147" s="17"/>
      <c r="L147" s="17"/>
    </row>
    <row r="148" spans="8:12" x14ac:dyDescent="0.25">
      <c r="H148" s="17"/>
      <c r="J148" s="17"/>
      <c r="L148" s="17"/>
    </row>
    <row r="149" spans="8:12" x14ac:dyDescent="0.25">
      <c r="H149" s="17"/>
      <c r="J149" s="17"/>
      <c r="L149" s="17"/>
    </row>
    <row r="150" spans="8:12" x14ac:dyDescent="0.25">
      <c r="H150" s="17"/>
      <c r="J150" s="17"/>
      <c r="L150" s="17"/>
    </row>
    <row r="151" spans="8:12" x14ac:dyDescent="0.25">
      <c r="H151" s="17"/>
      <c r="J151" s="17"/>
      <c r="L151" s="17"/>
    </row>
    <row r="152" spans="8:12" x14ac:dyDescent="0.25">
      <c r="H152" s="17"/>
      <c r="J152" s="17"/>
      <c r="L152" s="17"/>
    </row>
    <row r="153" spans="8:12" x14ac:dyDescent="0.25">
      <c r="H153" s="17"/>
      <c r="J153" s="17"/>
      <c r="L153" s="17"/>
    </row>
    <row r="154" spans="8:12" x14ac:dyDescent="0.25">
      <c r="H154" s="17"/>
      <c r="J154" s="17"/>
      <c r="L154" s="17"/>
    </row>
    <row r="155" spans="8:12" x14ac:dyDescent="0.25">
      <c r="H155" s="17"/>
      <c r="J155" s="17"/>
      <c r="L155" s="17"/>
    </row>
    <row r="156" spans="8:12" x14ac:dyDescent="0.25">
      <c r="H156" s="17"/>
      <c r="J156" s="17"/>
      <c r="L156" s="17"/>
    </row>
    <row r="157" spans="8:12" x14ac:dyDescent="0.25">
      <c r="H157" s="17"/>
      <c r="J157" s="17"/>
      <c r="L157" s="17"/>
    </row>
    <row r="158" spans="8:12" x14ac:dyDescent="0.25">
      <c r="H158" s="17"/>
      <c r="J158" s="17"/>
      <c r="L158" s="17"/>
    </row>
    <row r="159" spans="8:12" x14ac:dyDescent="0.25">
      <c r="H159" s="17"/>
      <c r="J159" s="17"/>
      <c r="L159" s="17"/>
    </row>
    <row r="160" spans="8:12" x14ac:dyDescent="0.25">
      <c r="H160" s="17"/>
      <c r="J160" s="17"/>
      <c r="L160" s="17"/>
    </row>
    <row r="161" spans="8:12" x14ac:dyDescent="0.25">
      <c r="H161" s="17"/>
      <c r="J161" s="17"/>
      <c r="L161" s="17"/>
    </row>
    <row r="162" spans="8:12" x14ac:dyDescent="0.25">
      <c r="H162" s="17"/>
      <c r="J162" s="17"/>
      <c r="L162" s="17"/>
    </row>
    <row r="163" spans="8:12" x14ac:dyDescent="0.25">
      <c r="H163" s="17"/>
      <c r="J163" s="17"/>
      <c r="L163" s="17"/>
    </row>
    <row r="164" spans="8:12" x14ac:dyDescent="0.25">
      <c r="H164" s="17"/>
      <c r="J164" s="17"/>
      <c r="L164" s="17"/>
    </row>
    <row r="165" spans="8:12" x14ac:dyDescent="0.25">
      <c r="H165" s="17"/>
      <c r="J165" s="17"/>
      <c r="L165" s="17"/>
    </row>
    <row r="166" spans="8:12" x14ac:dyDescent="0.25">
      <c r="H166" s="17"/>
      <c r="J166" s="17"/>
      <c r="L166" s="17"/>
    </row>
    <row r="167" spans="8:12" x14ac:dyDescent="0.25">
      <c r="H167" s="17"/>
      <c r="J167" s="17"/>
      <c r="L167" s="17"/>
    </row>
    <row r="168" spans="8:12" x14ac:dyDescent="0.25">
      <c r="H168" s="17"/>
      <c r="J168" s="17"/>
      <c r="L168" s="17"/>
    </row>
    <row r="169" spans="8:12" x14ac:dyDescent="0.25">
      <c r="H169" s="17"/>
      <c r="J169" s="17"/>
      <c r="L169" s="17"/>
    </row>
    <row r="170" spans="8:12" x14ac:dyDescent="0.25">
      <c r="H170" s="17"/>
      <c r="J170" s="17"/>
      <c r="L170" s="17"/>
    </row>
    <row r="171" spans="8:12" x14ac:dyDescent="0.25">
      <c r="H171" s="17"/>
      <c r="J171" s="17"/>
      <c r="L171" s="17"/>
    </row>
    <row r="172" spans="8:12" x14ac:dyDescent="0.25">
      <c r="H172" s="17"/>
      <c r="J172" s="17"/>
      <c r="L172" s="17"/>
    </row>
    <row r="173" spans="8:12" x14ac:dyDescent="0.25">
      <c r="H173" s="17"/>
      <c r="J173" s="17"/>
      <c r="L173" s="17"/>
    </row>
    <row r="174" spans="8:12" x14ac:dyDescent="0.25">
      <c r="H174" s="17"/>
      <c r="J174" s="17"/>
      <c r="L174" s="17"/>
    </row>
    <row r="175" spans="8:12" x14ac:dyDescent="0.25">
      <c r="H175" s="17"/>
      <c r="J175" s="17"/>
      <c r="L175" s="17"/>
    </row>
    <row r="176" spans="8:12" x14ac:dyDescent="0.25">
      <c r="H176" s="17"/>
      <c r="J176" s="17"/>
      <c r="L176" s="17"/>
    </row>
    <row r="177" spans="8:12" x14ac:dyDescent="0.25">
      <c r="H177" s="17"/>
      <c r="J177" s="17"/>
      <c r="L177" s="17"/>
    </row>
    <row r="178" spans="8:12" x14ac:dyDescent="0.25">
      <c r="H178" s="17"/>
      <c r="J178" s="17"/>
      <c r="L178" s="17"/>
    </row>
    <row r="179" spans="8:12" x14ac:dyDescent="0.25">
      <c r="H179" s="17"/>
      <c r="J179" s="17"/>
      <c r="L179" s="17"/>
    </row>
    <row r="180" spans="8:12" x14ac:dyDescent="0.25">
      <c r="H180" s="17"/>
      <c r="J180" s="17"/>
      <c r="L180" s="17"/>
    </row>
    <row r="181" spans="8:12" x14ac:dyDescent="0.25">
      <c r="H181" s="17"/>
      <c r="J181" s="17"/>
      <c r="L181" s="17"/>
    </row>
    <row r="182" spans="8:12" x14ac:dyDescent="0.25">
      <c r="H182" s="17"/>
      <c r="J182" s="17"/>
      <c r="L182" s="17"/>
    </row>
    <row r="183" spans="8:12" x14ac:dyDescent="0.25">
      <c r="H183" s="17"/>
      <c r="J183" s="17"/>
      <c r="L183" s="17"/>
    </row>
    <row r="184" spans="8:12" x14ac:dyDescent="0.25">
      <c r="H184" s="17"/>
      <c r="J184" s="17"/>
      <c r="L184" s="17"/>
    </row>
    <row r="185" spans="8:12" x14ac:dyDescent="0.25">
      <c r="H185" s="17"/>
      <c r="J185" s="17"/>
      <c r="L185" s="17"/>
    </row>
    <row r="186" spans="8:12" x14ac:dyDescent="0.25">
      <c r="H186" s="17"/>
      <c r="J186" s="17"/>
      <c r="L186" s="17"/>
    </row>
    <row r="187" spans="8:12" x14ac:dyDescent="0.25">
      <c r="H187" s="17"/>
      <c r="J187" s="17"/>
      <c r="L187" s="17"/>
    </row>
    <row r="188" spans="8:12" x14ac:dyDescent="0.25">
      <c r="H188" s="17"/>
      <c r="J188" s="17"/>
      <c r="L188" s="17"/>
    </row>
    <row r="189" spans="8:12" x14ac:dyDescent="0.25">
      <c r="H189" s="17"/>
      <c r="J189" s="17"/>
      <c r="L189" s="17"/>
    </row>
    <row r="190" spans="8:12" x14ac:dyDescent="0.25">
      <c r="H190" s="17"/>
      <c r="J190" s="17"/>
      <c r="L190" s="17"/>
    </row>
    <row r="191" spans="8:12" x14ac:dyDescent="0.25">
      <c r="H191" s="17"/>
      <c r="J191" s="17"/>
      <c r="L191" s="17"/>
    </row>
    <row r="192" spans="8:12" x14ac:dyDescent="0.25">
      <c r="H192" s="17"/>
      <c r="J192" s="17"/>
      <c r="L192" s="17"/>
    </row>
    <row r="193" spans="8:12" x14ac:dyDescent="0.25">
      <c r="H193" s="17"/>
      <c r="J193" s="17"/>
      <c r="L193" s="17"/>
    </row>
    <row r="194" spans="8:12" x14ac:dyDescent="0.25">
      <c r="H194" s="17"/>
      <c r="J194" s="17"/>
      <c r="L194" s="17"/>
    </row>
    <row r="195" spans="8:12" x14ac:dyDescent="0.25">
      <c r="H195" s="17"/>
      <c r="J195" s="17"/>
      <c r="L195" s="17"/>
    </row>
    <row r="196" spans="8:12" x14ac:dyDescent="0.25">
      <c r="H196" s="17"/>
      <c r="J196" s="17"/>
      <c r="L196" s="17"/>
    </row>
    <row r="197" spans="8:12" x14ac:dyDescent="0.25">
      <c r="H197" s="17"/>
      <c r="J197" s="17"/>
      <c r="L197" s="17"/>
    </row>
    <row r="198" spans="8:12" x14ac:dyDescent="0.25">
      <c r="H198" s="17"/>
      <c r="J198" s="17"/>
      <c r="L198" s="17"/>
    </row>
    <row r="199" spans="8:12" x14ac:dyDescent="0.25">
      <c r="H199" s="17"/>
      <c r="J199" s="17"/>
      <c r="L199" s="17"/>
    </row>
    <row r="200" spans="8:12" x14ac:dyDescent="0.25">
      <c r="H200" s="17"/>
      <c r="J200" s="17"/>
      <c r="L200" s="17"/>
    </row>
    <row r="201" spans="8:12" x14ac:dyDescent="0.25">
      <c r="H201" s="17"/>
      <c r="J201" s="17"/>
      <c r="L201" s="17"/>
    </row>
    <row r="202" spans="8:12" x14ac:dyDescent="0.25">
      <c r="H202" s="17"/>
      <c r="J202" s="17"/>
      <c r="L202" s="17"/>
    </row>
    <row r="203" spans="8:12" x14ac:dyDescent="0.25">
      <c r="H203" s="17"/>
      <c r="J203" s="17"/>
      <c r="L203" s="17"/>
    </row>
    <row r="204" spans="8:12" x14ac:dyDescent="0.25">
      <c r="H204" s="17"/>
      <c r="J204" s="17"/>
      <c r="L204" s="17"/>
    </row>
    <row r="205" spans="8:12" x14ac:dyDescent="0.25">
      <c r="H205" s="17"/>
      <c r="J205" s="17"/>
      <c r="L205" s="17"/>
    </row>
    <row r="206" spans="8:12" x14ac:dyDescent="0.25">
      <c r="H206" s="17"/>
      <c r="J206" s="17"/>
      <c r="L206" s="17"/>
    </row>
    <row r="207" spans="8:12" x14ac:dyDescent="0.25">
      <c r="H207" s="17"/>
      <c r="J207" s="17"/>
      <c r="L207" s="17"/>
    </row>
    <row r="208" spans="8:12" x14ac:dyDescent="0.25">
      <c r="H208" s="17"/>
      <c r="J208" s="17"/>
      <c r="L208" s="17"/>
    </row>
    <row r="209" spans="8:12" x14ac:dyDescent="0.25">
      <c r="H209" s="17"/>
      <c r="J209" s="17"/>
      <c r="L209" s="17"/>
    </row>
    <row r="210" spans="8:12" x14ac:dyDescent="0.25">
      <c r="H210" s="17"/>
      <c r="J210" s="17"/>
      <c r="L210" s="17"/>
    </row>
    <row r="211" spans="8:12" x14ac:dyDescent="0.25">
      <c r="H211" s="17"/>
      <c r="J211" s="17"/>
      <c r="L211" s="17"/>
    </row>
    <row r="212" spans="8:12" x14ac:dyDescent="0.25">
      <c r="H212" s="17"/>
      <c r="J212" s="17"/>
      <c r="L212" s="17"/>
    </row>
    <row r="213" spans="8:12" x14ac:dyDescent="0.25">
      <c r="H213" s="17"/>
      <c r="J213" s="17"/>
      <c r="L213" s="17"/>
    </row>
    <row r="214" spans="8:12" x14ac:dyDescent="0.25">
      <c r="H214" s="17"/>
      <c r="J214" s="17"/>
      <c r="L214" s="17"/>
    </row>
    <row r="215" spans="8:12" x14ac:dyDescent="0.25">
      <c r="H215" s="17"/>
      <c r="J215" s="17"/>
      <c r="L215" s="17"/>
    </row>
    <row r="216" spans="8:12" x14ac:dyDescent="0.25">
      <c r="H216" s="17"/>
      <c r="J216" s="17"/>
      <c r="L216" s="17"/>
    </row>
    <row r="217" spans="8:12" x14ac:dyDescent="0.25">
      <c r="H217" s="17"/>
      <c r="J217" s="17"/>
      <c r="L217" s="17"/>
    </row>
    <row r="218" spans="8:12" x14ac:dyDescent="0.25">
      <c r="H218" s="17"/>
      <c r="J218" s="17"/>
      <c r="L218" s="17"/>
    </row>
    <row r="219" spans="8:12" x14ac:dyDescent="0.25">
      <c r="H219" s="17"/>
      <c r="J219" s="17"/>
      <c r="L219" s="17"/>
    </row>
    <row r="220" spans="8:12" x14ac:dyDescent="0.25">
      <c r="H220" s="17"/>
      <c r="J220" s="17"/>
      <c r="L220" s="17"/>
    </row>
    <row r="221" spans="8:12" x14ac:dyDescent="0.25">
      <c r="H221" s="17"/>
      <c r="J221" s="17"/>
      <c r="L221" s="17"/>
    </row>
    <row r="222" spans="8:12" x14ac:dyDescent="0.25">
      <c r="H222" s="17"/>
      <c r="J222" s="17"/>
      <c r="L222" s="17"/>
    </row>
    <row r="223" spans="8:12" x14ac:dyDescent="0.25">
      <c r="H223" s="17"/>
      <c r="J223" s="17"/>
      <c r="L223" s="17"/>
    </row>
    <row r="224" spans="8:12" x14ac:dyDescent="0.25">
      <c r="H224" s="17"/>
      <c r="J224" s="17"/>
      <c r="L224" s="17"/>
    </row>
    <row r="225" spans="8:12" x14ac:dyDescent="0.25">
      <c r="H225" s="17"/>
      <c r="J225" s="17"/>
      <c r="L225" s="17"/>
    </row>
    <row r="226" spans="8:12" x14ac:dyDescent="0.25">
      <c r="H226" s="17"/>
      <c r="J226" s="17"/>
      <c r="L226" s="17"/>
    </row>
    <row r="227" spans="8:12" x14ac:dyDescent="0.25">
      <c r="H227" s="17"/>
      <c r="J227" s="17"/>
      <c r="L227" s="17"/>
    </row>
    <row r="228" spans="8:12" x14ac:dyDescent="0.25">
      <c r="H228" s="17"/>
      <c r="J228" s="17"/>
      <c r="L228" s="17"/>
    </row>
    <row r="229" spans="8:12" x14ac:dyDescent="0.25">
      <c r="H229" s="17"/>
      <c r="J229" s="17"/>
      <c r="L229" s="17"/>
    </row>
    <row r="230" spans="8:12" x14ac:dyDescent="0.25">
      <c r="H230" s="17"/>
      <c r="J230" s="17"/>
      <c r="L230" s="17"/>
    </row>
    <row r="231" spans="8:12" x14ac:dyDescent="0.25">
      <c r="H231" s="17"/>
      <c r="J231" s="17"/>
      <c r="L231" s="17"/>
    </row>
    <row r="232" spans="8:12" x14ac:dyDescent="0.25">
      <c r="H232" s="17"/>
      <c r="J232" s="17"/>
      <c r="L232" s="17"/>
    </row>
    <row r="233" spans="8:12" x14ac:dyDescent="0.25">
      <c r="H233" s="17"/>
      <c r="J233" s="17"/>
      <c r="L233" s="17"/>
    </row>
    <row r="234" spans="8:12" x14ac:dyDescent="0.25">
      <c r="H234" s="17"/>
      <c r="J234" s="17"/>
      <c r="L234" s="17"/>
    </row>
    <row r="235" spans="8:12" x14ac:dyDescent="0.25">
      <c r="H235" s="17"/>
      <c r="J235" s="17"/>
      <c r="L235" s="17"/>
    </row>
    <row r="236" spans="8:12" x14ac:dyDescent="0.25">
      <c r="H236" s="17"/>
      <c r="J236" s="17"/>
      <c r="L236" s="17"/>
    </row>
    <row r="237" spans="8:12" x14ac:dyDescent="0.25">
      <c r="H237" s="17"/>
      <c r="J237" s="17"/>
      <c r="L237" s="17"/>
    </row>
    <row r="238" spans="8:12" x14ac:dyDescent="0.25">
      <c r="H238" s="17"/>
      <c r="J238" s="17"/>
      <c r="L238" s="17"/>
    </row>
    <row r="239" spans="8:12" x14ac:dyDescent="0.25">
      <c r="H239" s="17"/>
      <c r="J239" s="17"/>
      <c r="L239" s="17"/>
    </row>
    <row r="240" spans="8:12" x14ac:dyDescent="0.25">
      <c r="H240" s="17"/>
      <c r="J240" s="17"/>
      <c r="L240" s="17"/>
    </row>
    <row r="241" spans="8:12" x14ac:dyDescent="0.25">
      <c r="H241" s="17"/>
      <c r="J241" s="17"/>
      <c r="L241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4D4D-9261-4DD9-8015-2366E8E71CDC}">
  <dimension ref="A1:S9"/>
  <sheetViews>
    <sheetView workbookViewId="0">
      <selection activeCell="S8" sqref="S8"/>
    </sheetView>
  </sheetViews>
  <sheetFormatPr defaultRowHeight="13.2" x14ac:dyDescent="0.25"/>
  <cols>
    <col min="1" max="1" width="16.88671875" customWidth="1"/>
    <col min="2" max="2" width="16" customWidth="1"/>
  </cols>
  <sheetData>
    <row r="1" spans="1:19" x14ac:dyDescent="0.25">
      <c r="A1" t="s">
        <v>467</v>
      </c>
      <c r="B1" t="s">
        <v>466</v>
      </c>
      <c r="C1" t="s">
        <v>2</v>
      </c>
      <c r="F1" s="20" t="s">
        <v>468</v>
      </c>
    </row>
    <row r="2" spans="1:19" x14ac:dyDescent="0.25">
      <c r="A2" t="s">
        <v>471</v>
      </c>
      <c r="B2">
        <v>1</v>
      </c>
      <c r="C2" t="s">
        <v>15</v>
      </c>
      <c r="F2" s="18" t="s">
        <v>469</v>
      </c>
      <c r="G2" s="19" t="s">
        <v>479</v>
      </c>
    </row>
    <row r="3" spans="1:19" x14ac:dyDescent="0.25">
      <c r="A3" s="22" t="s">
        <v>472</v>
      </c>
      <c r="B3">
        <v>2</v>
      </c>
      <c r="C3" t="s">
        <v>15</v>
      </c>
      <c r="F3" s="18" t="s">
        <v>4</v>
      </c>
      <c r="G3" s="18" t="s">
        <v>2</v>
      </c>
      <c r="H3" s="18" t="s">
        <v>0</v>
      </c>
      <c r="I3" s="18" t="s">
        <v>3</v>
      </c>
      <c r="J3" s="18" t="s">
        <v>1</v>
      </c>
      <c r="K3" s="18" t="s">
        <v>6</v>
      </c>
      <c r="L3" s="18" t="s">
        <v>12</v>
      </c>
      <c r="M3" s="18" t="s">
        <v>13</v>
      </c>
      <c r="N3" s="18" t="s">
        <v>7</v>
      </c>
      <c r="O3" s="18" t="s">
        <v>8</v>
      </c>
      <c r="P3" s="18" t="s">
        <v>10</v>
      </c>
      <c r="Q3" s="18" t="s">
        <v>11</v>
      </c>
      <c r="R3" s="18" t="s">
        <v>9</v>
      </c>
    </row>
    <row r="4" spans="1:19" x14ac:dyDescent="0.25">
      <c r="A4" s="22" t="s">
        <v>473</v>
      </c>
      <c r="B4">
        <v>3</v>
      </c>
      <c r="C4" t="s">
        <v>15</v>
      </c>
      <c r="F4" s="22" t="s">
        <v>480</v>
      </c>
      <c r="G4" s="23" t="s">
        <v>481</v>
      </c>
      <c r="H4" s="23" t="s">
        <v>482</v>
      </c>
      <c r="I4" s="23" t="s">
        <v>483</v>
      </c>
      <c r="J4" s="23" t="s">
        <v>484</v>
      </c>
      <c r="K4" s="23" t="s">
        <v>485</v>
      </c>
      <c r="L4" s="23" t="s">
        <v>486</v>
      </c>
      <c r="M4" t="s">
        <v>16</v>
      </c>
      <c r="N4" t="s">
        <v>16</v>
      </c>
      <c r="O4" t="s">
        <v>16</v>
      </c>
      <c r="P4" s="23" t="s">
        <v>487</v>
      </c>
      <c r="Q4" t="s">
        <v>17</v>
      </c>
      <c r="R4" s="23" t="s">
        <v>488</v>
      </c>
    </row>
    <row r="5" spans="1:19" x14ac:dyDescent="0.25">
      <c r="A5" s="22" t="s">
        <v>474</v>
      </c>
      <c r="B5">
        <v>1</v>
      </c>
      <c r="C5" t="s">
        <v>22</v>
      </c>
      <c r="J5" s="23" t="s">
        <v>470</v>
      </c>
    </row>
    <row r="6" spans="1:19" x14ac:dyDescent="0.25">
      <c r="A6" s="22" t="s">
        <v>475</v>
      </c>
      <c r="B6">
        <v>1</v>
      </c>
      <c r="C6" t="s">
        <v>22</v>
      </c>
      <c r="F6" s="18" t="s">
        <v>489</v>
      </c>
      <c r="G6" s="19" t="s">
        <v>493</v>
      </c>
    </row>
    <row r="7" spans="1:19" x14ac:dyDescent="0.25">
      <c r="A7" s="22" t="s">
        <v>476</v>
      </c>
      <c r="B7">
        <v>2</v>
      </c>
      <c r="C7" t="s">
        <v>22</v>
      </c>
      <c r="F7" s="2" t="s">
        <v>4</v>
      </c>
      <c r="G7" s="2" t="s">
        <v>2</v>
      </c>
      <c r="H7" s="2" t="s">
        <v>36</v>
      </c>
      <c r="I7" s="2" t="s">
        <v>37</v>
      </c>
      <c r="J7" s="2" t="s">
        <v>38</v>
      </c>
      <c r="K7" s="2" t="s">
        <v>27</v>
      </c>
      <c r="L7" s="2" t="s">
        <v>28</v>
      </c>
      <c r="M7" s="2" t="s">
        <v>29</v>
      </c>
      <c r="N7" s="2" t="s">
        <v>30</v>
      </c>
      <c r="O7" s="2" t="s">
        <v>31</v>
      </c>
      <c r="P7" s="2" t="s">
        <v>32</v>
      </c>
      <c r="Q7" s="2" t="s">
        <v>33</v>
      </c>
      <c r="R7" s="2" t="s">
        <v>34</v>
      </c>
      <c r="S7" s="2" t="s">
        <v>35</v>
      </c>
    </row>
    <row r="8" spans="1:19" x14ac:dyDescent="0.25">
      <c r="A8" s="22" t="s">
        <v>477</v>
      </c>
      <c r="B8">
        <v>3</v>
      </c>
      <c r="C8" t="s">
        <v>22</v>
      </c>
      <c r="F8" s="22" t="s">
        <v>490</v>
      </c>
      <c r="G8" s="22" t="s">
        <v>491</v>
      </c>
      <c r="H8" s="22" t="s">
        <v>492</v>
      </c>
      <c r="I8" s="22" t="s">
        <v>494</v>
      </c>
      <c r="J8" s="22" t="s">
        <v>495</v>
      </c>
      <c r="K8" s="22" t="s">
        <v>496</v>
      </c>
      <c r="L8" s="22" t="s">
        <v>497</v>
      </c>
      <c r="M8" s="22" t="s">
        <v>498</v>
      </c>
      <c r="N8" s="22" t="s">
        <v>499</v>
      </c>
      <c r="O8" s="22" t="s">
        <v>500</v>
      </c>
      <c r="P8" s="22" t="s">
        <v>501</v>
      </c>
      <c r="Q8" s="19" t="s">
        <v>16</v>
      </c>
      <c r="R8" s="22" t="s">
        <v>502</v>
      </c>
      <c r="S8" s="22" t="s">
        <v>503</v>
      </c>
    </row>
    <row r="9" spans="1:19" x14ac:dyDescent="0.25">
      <c r="A9" s="22" t="s">
        <v>478</v>
      </c>
      <c r="B9">
        <v>3</v>
      </c>
      <c r="C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ReproMSX</vt:lpstr>
      <vt:lpstr>2020-2024 LX WQ</vt:lpstr>
      <vt:lpstr>Database_dermo</vt:lpstr>
      <vt:lpstr>Database_repro</vt:lpstr>
      <vt:lpstr>Database_WQ</vt:lpstr>
      <vt:lpstr>Notes</vt:lpstr>
      <vt:lpstr>ReproMSX!Print_Titles</vt:lpstr>
    </vt:vector>
  </TitlesOfParts>
  <Company>Fla Marine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Peters_S</dc:creator>
  <cp:lastModifiedBy>Williams, Erica</cp:lastModifiedBy>
  <cp:lastPrinted>2010-07-22T16:22:25Z</cp:lastPrinted>
  <dcterms:created xsi:type="dcterms:W3CDTF">2005-01-26T18:00:35Z</dcterms:created>
  <dcterms:modified xsi:type="dcterms:W3CDTF">2025-06-09T14:25:59Z</dcterms:modified>
</cp:coreProperties>
</file>